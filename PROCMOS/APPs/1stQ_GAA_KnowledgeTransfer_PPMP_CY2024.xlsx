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 GAA" sheetId="1" r:id="rId4"/>
  </sheets>
  <definedNames/>
  <calcPr/>
  <extLst>
    <ext uri="GoogleSheetsCustomDataVersion2">
      <go:sheetsCustomData xmlns:go="http://customooxmlschemas.google.com/" r:id="rId5" roundtripDataChecksum="Ek+q+qMnJinZCesH6iNnE1uJROo8K4u2Ysr3/ZdQ4Jk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8">
      <text>
        <t xml:space="preserve">======
ID#AAABEdM6Ews
upmnih    (2021-04-08 04:25:07)
Submitted by: Project Leader</t>
      </text>
    </comment>
    <comment authorId="0" ref="B28">
      <text>
        <t xml:space="preserve">======
ID#AAABEdM6Ewo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i13lxn+5XtrB6qvWtR7xxQ/1i5ug=="/>
    </ext>
  </extLst>
</comments>
</file>

<file path=xl/sharedStrings.xml><?xml version="1.0" encoding="utf-8"?>
<sst xmlns="http://schemas.openxmlformats.org/spreadsheetml/2006/main" count="64" uniqueCount="60">
  <si>
    <t xml:space="preserve">  PROJECT PROCUREMENT MANAGEMENT PLAN (PPMP) 2024</t>
  </si>
  <si>
    <t>For CY 2024</t>
  </si>
  <si>
    <t>END-USER/UNIT: Office of the Director</t>
  </si>
  <si>
    <t>Charged to: GAA - GAS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</si>
  <si>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</si>
  <si>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</si>
  <si>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</si>
  <si>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</si>
  <si>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</si>
  <si>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</si>
  <si>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</si>
  <si>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</si>
  <si>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</si>
  <si>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</si>
  <si>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</si>
  <si>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</si>
  <si>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</si>
  <si>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</si>
  <si>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</si>
  <si>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</si>
  <si>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</si>
  <si>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</si>
  <si>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</si>
  <si>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</si>
  <si>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</si>
  <si>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</si>
  <si>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</si>
  <si>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</si>
  <si>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</si>
  <si>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</si>
  <si>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</si>
  <si>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</si>
  <si>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</si>
  <si>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</si>
  <si>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</si>
  <si>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</si>
  <si>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</si>
  <si>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Representation Expenses</t>
  </si>
  <si>
    <t>Meals
16 pax Jan. 12, 2024
18 pax Jan. 15, 2024</t>
  </si>
  <si>
    <t>Cash Advance</t>
  </si>
  <si>
    <t>6 pax snacks
Meeting with  Indian Embassy
January 15, 2024</t>
  </si>
  <si>
    <t>1 lot Utility Model Filing Fee</t>
  </si>
  <si>
    <t>1 lot Registrability Report Fee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</si>
  <si>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</si>
  <si>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</si>
  <si>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</si>
  <si>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</si>
  <si>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</si>
  <si>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</si>
  <si>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</si>
  <si>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</si>
  <si>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</si>
  <si>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JULIUS L. LEAÑO, JR., Ph.D</t>
  </si>
  <si>
    <t>MARILOU G. AGUSTIN</t>
  </si>
  <si>
    <t>MERLITA R. ODI</t>
  </si>
  <si>
    <t>JULIUS L. LEAÑO JR., Ph.D.</t>
  </si>
  <si>
    <t>Director IV</t>
  </si>
  <si>
    <t>Head, Property, Procurement and General Services Section</t>
  </si>
  <si>
    <t>Head, Budget and Treasury Section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</si>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</sst>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4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5" fillId="2" fontId="10" numFmtId="49" xfId="0" applyBorder="1" applyFont="1" applyNumberFormat="1"/>
    <xf borderId="13" fillId="2" fontId="2" numFmtId="0" xfId="0" applyAlignment="1" applyBorder="1" applyFont="1">
      <alignment horizontal="center" shrinkToFit="0" vertical="center" wrapText="1"/>
    </xf>
    <xf borderId="13" fillId="2" fontId="2" numFmtId="4" xfId="0" applyAlignment="1" applyBorder="1" applyFont="1" applyNumberFormat="1">
      <alignment horizontal="right" shrinkToFit="0" vertical="center" wrapText="1"/>
    </xf>
    <xf borderId="13" fillId="2" fontId="2" numFmtId="164" xfId="0" applyAlignment="1" applyBorder="1" applyFont="1" applyNumberFormat="1">
      <alignment horizontal="center" shrinkToFit="0" vertical="center" wrapText="1"/>
    </xf>
    <xf borderId="16" fillId="2" fontId="2" numFmtId="0" xfId="0" applyBorder="1" applyFont="1"/>
    <xf borderId="17" fillId="0" fontId="2" numFmtId="49" xfId="0" applyAlignment="1" applyBorder="1" applyFont="1" applyNumberFormat="1">
      <alignment readingOrder="0" shrinkToFit="0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readingOrder="0"/>
    </xf>
    <xf borderId="16" fillId="0" fontId="2" numFmtId="0" xfId="0" applyBorder="1" applyFont="1"/>
    <xf borderId="17" fillId="0" fontId="2" numFmtId="49" xfId="0" applyAlignment="1" applyBorder="1" applyFont="1" applyNumberFormat="1">
      <alignment readingOrder="0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vertical="center" wrapText="1"/>
    </xf>
    <xf borderId="17" fillId="0" fontId="2" numFmtId="49" xfId="0" applyBorder="1" applyFont="1" applyNumberFormat="1"/>
    <xf borderId="18" fillId="0" fontId="2" numFmtId="4" xfId="0" applyAlignment="1" applyBorder="1" applyFont="1" applyNumberFormat="1">
      <alignment horizontal="right" shrinkToFit="0" vertical="center" wrapText="1"/>
    </xf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19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/>
    </xf>
    <xf borderId="21" fillId="0" fontId="8" numFmtId="0" xfId="0" applyBorder="1" applyFont="1"/>
    <xf borderId="22" fillId="0" fontId="8" numFmtId="0" xfId="0" applyBorder="1" applyFont="1"/>
    <xf borderId="0" fillId="0" fontId="9" numFmtId="0" xfId="0" applyAlignment="1" applyFont="1">
      <alignment horizontal="left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24" fillId="0" fontId="8" numFmtId="0" xfId="0" applyBorder="1" applyFont="1"/>
    <xf borderId="25" fillId="0" fontId="8" numFmtId="0" xfId="0" applyBorder="1" applyFont="1"/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7" numFmtId="4" xfId="0" applyAlignment="1" applyFont="1" applyNumberFormat="1">
      <alignment horizontal="right"/>
    </xf>
    <xf borderId="0" fillId="0" fontId="18" numFmtId="0" xfId="0" applyAlignment="1" applyFont="1">
      <alignment horizontal="left" shrinkToFit="0" vertical="center" wrapText="1"/>
    </xf>
    <xf borderId="0" fillId="0" fontId="19" numFmtId="0" xfId="0" applyFont="1"/>
    <xf borderId="0" fillId="0" fontId="18" numFmtId="0" xfId="0" applyAlignment="1" applyFont="1">
      <alignment shrinkToFit="0" wrapText="1"/>
    </xf>
    <xf borderId="0" fillId="0" fontId="20" numFmtId="0" xfId="0" applyFont="1"/>
    <xf borderId="0" fillId="0" fontId="18" numFmtId="0" xfId="0" applyAlignment="1" applyFont="1">
      <alignment horizontal="left" shrinkToFit="0" wrapText="1"/>
    </xf>
    <xf borderId="0" fillId="0" fontId="20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88"/>
    <col customWidth="1" min="3" max="3" width="46.38"/>
    <col customWidth="1" min="4" max="4" width="11.63"/>
    <col customWidth="1" min="5" max="5" width="10.13"/>
    <col customWidth="1" min="6" max="6" width="11.25"/>
    <col customWidth="1" min="7" max="7" width="22.25"/>
    <col customWidth="1" min="8" max="8" width="10.38"/>
    <col customWidth="1" min="9" max="22" width="7.63"/>
    <col customWidth="1" min="23" max="23" width="11.38"/>
    <col customWidth="1" min="24" max="25" width="7.63"/>
    <col customWidth="1" min="26" max="26" width="10.25"/>
    <col customWidth="1" min="27" max="27" width="9.25"/>
    <col customWidth="1" min="28" max="28" width="7.63"/>
    <col customWidth="1" min="29" max="29" width="9.5"/>
    <col customWidth="1" min="30" max="30" width="9.88"/>
    <col customWidth="1" min="31" max="31" width="11.63"/>
    <col customWidth="1" min="32" max="32" width="22.63"/>
    <col customWidth="1" min="33" max="34" width="7.63"/>
  </cols>
  <sheetData>
    <row r="1">
      <c r="A1" s="1"/>
      <c r="B1" s="1" t="s">
        <v>0</v>
      </c>
      <c r="AG1" s="2"/>
      <c r="AH1" s="2"/>
    </row>
    <row r="2">
      <c r="A2" s="3"/>
      <c r="B2" s="3" t="s">
        <v>1</v>
      </c>
      <c r="AG2" s="2"/>
      <c r="AH2" s="2"/>
    </row>
    <row r="3">
      <c r="A3" s="4"/>
      <c r="B3" s="4"/>
      <c r="AG3" s="2"/>
      <c r="AH3" s="2"/>
    </row>
    <row r="4">
      <c r="A4" s="5"/>
      <c r="B4" s="5" t="s">
        <v>2</v>
      </c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2"/>
      <c r="AG4" s="2"/>
      <c r="AH4" s="2"/>
    </row>
    <row r="5">
      <c r="A5" s="8"/>
      <c r="B5" s="8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5"/>
      <c r="B6" s="5" t="s">
        <v>3</v>
      </c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8"/>
      <c r="B7" s="8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22.5" customHeight="1">
      <c r="A8" s="12"/>
      <c r="B8" s="13" t="s">
        <v>4</v>
      </c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4" t="s">
        <v>10</v>
      </c>
      <c r="I8" s="19" t="s">
        <v>11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2"/>
      <c r="AH8" s="22"/>
    </row>
    <row r="9">
      <c r="A9" s="12"/>
      <c r="B9" s="23"/>
      <c r="C9" s="24"/>
      <c r="D9" s="25" t="s">
        <v>12</v>
      </c>
      <c r="E9" s="24"/>
      <c r="F9" s="24"/>
      <c r="G9" s="24"/>
      <c r="H9" s="24"/>
      <c r="I9" s="26" t="s">
        <v>13</v>
      </c>
      <c r="J9" s="26" t="s">
        <v>14</v>
      </c>
      <c r="K9" s="26" t="s">
        <v>15</v>
      </c>
      <c r="L9" s="26" t="s">
        <v>16</v>
      </c>
      <c r="M9" s="26" t="s">
        <v>17</v>
      </c>
      <c r="N9" s="26" t="s">
        <v>18</v>
      </c>
      <c r="O9" s="26" t="s">
        <v>19</v>
      </c>
      <c r="P9" s="26" t="s">
        <v>20</v>
      </c>
      <c r="Q9" s="26" t="s">
        <v>21</v>
      </c>
      <c r="R9" s="26" t="s">
        <v>22</v>
      </c>
      <c r="S9" s="26" t="s">
        <v>23</v>
      </c>
      <c r="T9" s="26" t="s">
        <v>24</v>
      </c>
      <c r="U9" s="26" t="s">
        <v>25</v>
      </c>
      <c r="V9" s="26" t="s">
        <v>26</v>
      </c>
      <c r="W9" s="26" t="s">
        <v>27</v>
      </c>
      <c r="X9" s="26" t="s">
        <v>28</v>
      </c>
      <c r="Y9" s="26" t="s">
        <v>29</v>
      </c>
      <c r="Z9" s="26" t="s">
        <v>30</v>
      </c>
      <c r="AA9" s="26" t="s">
        <v>31</v>
      </c>
      <c r="AB9" s="26" t="s">
        <v>32</v>
      </c>
      <c r="AC9" s="26" t="s">
        <v>33</v>
      </c>
      <c r="AD9" s="26" t="s">
        <v>34</v>
      </c>
      <c r="AE9" s="27" t="str">
        <f>$AF$9</f>
        <v>REMARKS</v>
      </c>
      <c r="AF9" s="27" t="s">
        <v>35</v>
      </c>
      <c r="AG9" s="28"/>
      <c r="AH9" s="22"/>
    </row>
    <row r="10">
      <c r="A10" s="12"/>
      <c r="B10" s="29"/>
      <c r="C10" s="30" t="s">
        <v>36</v>
      </c>
      <c r="D10" s="31"/>
      <c r="E10" s="32"/>
      <c r="F10" s="3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5"/>
      <c r="AF10" s="36"/>
      <c r="AG10" s="22"/>
      <c r="AH10" s="22"/>
    </row>
    <row r="11" ht="15.75" customHeight="1">
      <c r="A11" s="37"/>
      <c r="B11" s="38"/>
      <c r="C11" s="39" t="s">
        <v>37</v>
      </c>
      <c r="D11" s="40"/>
      <c r="E11" s="41"/>
      <c r="F11" s="42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22"/>
      <c r="AH11" s="22"/>
    </row>
    <row r="12" ht="42.75" customHeight="1">
      <c r="A12" s="37"/>
      <c r="B12" s="38"/>
      <c r="C12" s="44" t="s">
        <v>38</v>
      </c>
      <c r="D12" s="45">
        <f>16+18</f>
        <v>34</v>
      </c>
      <c r="E12" s="46">
        <v>250.0</v>
      </c>
      <c r="F12" s="47">
        <f>E12*D12</f>
        <v>8500</v>
      </c>
      <c r="G12" s="48" t="s">
        <v>39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22"/>
      <c r="AH12" s="22"/>
    </row>
    <row r="13">
      <c r="A13" s="37"/>
      <c r="B13" s="38"/>
      <c r="C13" s="50" t="s">
        <v>40</v>
      </c>
      <c r="D13" s="51">
        <v>6.0</v>
      </c>
      <c r="E13" s="46">
        <v>200.0</v>
      </c>
      <c r="F13" s="52">
        <v>1200.0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22"/>
      <c r="AH13" s="22"/>
    </row>
    <row r="14" ht="15.75" customHeight="1">
      <c r="A14" s="37"/>
      <c r="B14" s="38"/>
      <c r="C14" s="50" t="s">
        <v>41</v>
      </c>
      <c r="D14" s="51">
        <v>1.0</v>
      </c>
      <c r="E14" s="46">
        <v>1500.0</v>
      </c>
      <c r="F14" s="52">
        <v>1500.0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22"/>
      <c r="AH14" s="22"/>
    </row>
    <row r="15" ht="15.75" customHeight="1">
      <c r="A15" s="37"/>
      <c r="B15" s="38"/>
      <c r="C15" s="50" t="s">
        <v>42</v>
      </c>
      <c r="D15" s="51">
        <v>1.0</v>
      </c>
      <c r="E15" s="46">
        <v>2000.0</v>
      </c>
      <c r="F15" s="52">
        <v>2000.0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22"/>
      <c r="AH15" s="22"/>
    </row>
    <row r="16" ht="15.75" customHeight="1">
      <c r="A16" s="37"/>
      <c r="B16" s="38"/>
      <c r="C16" s="53"/>
      <c r="D16" s="45"/>
      <c r="E16" s="54"/>
      <c r="F16" s="47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22"/>
      <c r="AH16" s="22"/>
    </row>
    <row r="17" ht="15.75" customHeight="1">
      <c r="A17" s="37"/>
      <c r="B17" s="38"/>
      <c r="C17" s="53"/>
      <c r="D17" s="45"/>
      <c r="E17" s="54"/>
      <c r="F17" s="47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22"/>
      <c r="AH17" s="22"/>
    </row>
    <row r="18" ht="15.75" customHeight="1">
      <c r="A18" s="37"/>
      <c r="B18" s="38"/>
      <c r="C18" s="53"/>
      <c r="D18" s="45"/>
      <c r="E18" s="54"/>
      <c r="F18" s="47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22"/>
      <c r="AH18" s="22"/>
    </row>
    <row r="19" ht="15.75" customHeight="1">
      <c r="A19" s="37"/>
      <c r="B19" s="38"/>
      <c r="C19" s="53"/>
      <c r="D19" s="45"/>
      <c r="E19" s="54"/>
      <c r="F19" s="47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22"/>
      <c r="AH19" s="22"/>
    </row>
    <row r="20" ht="15.75" customHeight="1">
      <c r="A20" s="55"/>
      <c r="B20" s="55"/>
      <c r="C20" s="56"/>
      <c r="D20" s="2"/>
      <c r="E20" s="9"/>
      <c r="F20" s="57"/>
      <c r="G20" s="11"/>
      <c r="H20" s="1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5.75" customHeight="1">
      <c r="A21" s="58"/>
      <c r="B21" s="58" t="s">
        <v>43</v>
      </c>
      <c r="C21" s="6"/>
      <c r="D21" s="59">
        <f>SUM(F11:F19)</f>
        <v>13200</v>
      </c>
      <c r="G21" s="11"/>
      <c r="H21" s="1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5.75" hidden="1" customHeight="1">
      <c r="A22" s="55"/>
      <c r="B22" s="60" t="s">
        <v>44</v>
      </c>
      <c r="C22" s="61"/>
      <c r="D22" s="62">
        <f>PRODUCT(D21,0.1)</f>
        <v>1320</v>
      </c>
      <c r="E22" s="63"/>
      <c r="F22" s="64"/>
      <c r="G22" s="11"/>
      <c r="H22" s="11"/>
      <c r="I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65"/>
      <c r="AE22" s="65"/>
      <c r="AF22" s="2"/>
      <c r="AG22" s="2"/>
      <c r="AH22" s="2"/>
    </row>
    <row r="23" ht="15.75" hidden="1" customHeight="1">
      <c r="A23" s="55"/>
      <c r="B23" s="66" t="s">
        <v>45</v>
      </c>
      <c r="C23" s="67"/>
      <c r="D23" s="68">
        <f>PRODUCT(D21,0.1)</f>
        <v>1320</v>
      </c>
      <c r="E23" s="69"/>
      <c r="F23" s="70"/>
      <c r="G23" s="11"/>
      <c r="H23" s="1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2"/>
      <c r="AE23" s="72"/>
      <c r="AF23" s="2"/>
      <c r="AG23" s="2"/>
      <c r="AH23" s="2"/>
    </row>
    <row r="24" ht="15.75" hidden="1" customHeight="1">
      <c r="A24" s="55"/>
      <c r="B24" s="66" t="s">
        <v>46</v>
      </c>
      <c r="C24" s="67"/>
      <c r="D24" s="68">
        <f>SUM(D21:F23)</f>
        <v>15840</v>
      </c>
      <c r="E24" s="69"/>
      <c r="F24" s="70"/>
      <c r="G24" s="11"/>
      <c r="H24" s="1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2"/>
      <c r="AE24" s="72"/>
      <c r="AF24" s="2"/>
      <c r="AG24" s="2"/>
      <c r="AH24" s="2"/>
    </row>
    <row r="25" ht="15.75" customHeight="1">
      <c r="A25" s="73"/>
      <c r="B25" s="73"/>
      <c r="C25" s="6"/>
      <c r="D25" s="2"/>
      <c r="E25" s="9"/>
      <c r="F25" s="10"/>
      <c r="G25" s="11"/>
      <c r="H25" s="1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/>
      <c r="AE25" s="72"/>
      <c r="AF25" s="2"/>
      <c r="AG25" s="2"/>
      <c r="AH25" s="2"/>
    </row>
    <row r="26" ht="15.75" customHeight="1">
      <c r="A26" s="74"/>
      <c r="B26" s="74" t="s">
        <v>47</v>
      </c>
      <c r="C26" s="6"/>
      <c r="D26" s="2"/>
      <c r="E26" s="9"/>
      <c r="F26" s="10"/>
      <c r="G26" s="11"/>
      <c r="H26" s="1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5.75" customHeight="1">
      <c r="A27" s="75"/>
      <c r="B27" s="75"/>
      <c r="C27" s="6"/>
      <c r="D27" s="2"/>
      <c r="E27" s="9"/>
      <c r="F27" s="10"/>
      <c r="G27" s="11"/>
      <c r="H27" s="1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5.75" customHeight="1">
      <c r="A28" s="76"/>
      <c r="B28" s="76" t="s">
        <v>48</v>
      </c>
      <c r="C28" s="56"/>
      <c r="D28" s="77" t="s">
        <v>49</v>
      </c>
      <c r="G28" s="71"/>
      <c r="H28" s="71"/>
      <c r="I28" s="2"/>
      <c r="J28" s="77" t="s">
        <v>50</v>
      </c>
      <c r="Y28" s="2"/>
      <c r="Z28" s="2"/>
      <c r="AA28" s="77" t="s">
        <v>51</v>
      </c>
      <c r="AE28" s="2"/>
      <c r="AF28" s="2"/>
      <c r="AH28" s="71"/>
    </row>
    <row r="29" ht="15.75" customHeight="1">
      <c r="A29" s="76"/>
      <c r="B29" s="76"/>
      <c r="C29" s="56"/>
      <c r="D29" s="77"/>
      <c r="E29" s="78"/>
      <c r="F29" s="77"/>
      <c r="G29" s="71"/>
      <c r="H29" s="71"/>
      <c r="I29" s="2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1"/>
      <c r="AH29" s="71"/>
    </row>
    <row r="30" ht="15.75" customHeight="1">
      <c r="A30" s="56"/>
      <c r="B30" s="56"/>
      <c r="C30" s="56"/>
      <c r="D30" s="71"/>
      <c r="E30" s="79"/>
      <c r="F30" s="80"/>
      <c r="G30" s="71"/>
      <c r="H30" s="71"/>
      <c r="I30" s="2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80"/>
      <c r="V30" s="80"/>
      <c r="W30" s="80"/>
      <c r="X30" s="80"/>
      <c r="Y30" s="80"/>
      <c r="Z30" s="80"/>
      <c r="AA30" s="71"/>
      <c r="AB30" s="80"/>
      <c r="AC30" s="71"/>
      <c r="AD30" s="71"/>
      <c r="AE30" s="71"/>
      <c r="AF30" s="71"/>
      <c r="AG30" s="71"/>
      <c r="AH30" s="71"/>
    </row>
    <row r="31" ht="15.75" customHeight="1">
      <c r="A31" s="81"/>
      <c r="B31" s="81" t="s">
        <v>52</v>
      </c>
      <c r="D31" s="82" t="s">
        <v>53</v>
      </c>
      <c r="H31" s="2"/>
      <c r="I31" s="2"/>
      <c r="J31" s="82" t="s">
        <v>54</v>
      </c>
      <c r="Y31" s="2"/>
      <c r="Z31" s="2"/>
      <c r="AA31" s="82" t="s">
        <v>55</v>
      </c>
      <c r="AE31" s="2"/>
      <c r="AF31" s="2"/>
    </row>
    <row r="32" ht="15.0" customHeight="1">
      <c r="A32" s="83"/>
      <c r="B32" s="83" t="s">
        <v>56</v>
      </c>
      <c r="D32" s="84" t="s">
        <v>57</v>
      </c>
      <c r="H32" s="85"/>
      <c r="I32" s="2"/>
      <c r="J32" s="86" t="s">
        <v>58</v>
      </c>
      <c r="Y32" s="2"/>
      <c r="Z32" s="2"/>
      <c r="AA32" s="84" t="s">
        <v>56</v>
      </c>
      <c r="AE32" s="2"/>
      <c r="AF32" s="2"/>
      <c r="AG32" s="71"/>
      <c r="AH32" s="71"/>
    </row>
    <row r="33" ht="15.75" customHeight="1">
      <c r="A33" s="2"/>
      <c r="B33" s="2"/>
      <c r="C33" s="2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>
      <c r="A34" s="2"/>
      <c r="B34" s="2" t="s">
        <v>59</v>
      </c>
      <c r="C34" s="2"/>
      <c r="D34" s="2" t="s">
        <v>59</v>
      </c>
      <c r="E34" s="9"/>
      <c r="F34" s="2"/>
      <c r="G34" s="2"/>
      <c r="H34" s="2"/>
      <c r="I34" s="2"/>
      <c r="J34" s="2" t="s">
        <v>59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 t="s">
        <v>59</v>
      </c>
      <c r="AB34" s="2"/>
      <c r="AC34" s="2"/>
      <c r="AD34" s="2"/>
      <c r="AE34" s="2"/>
      <c r="AF34" s="2"/>
      <c r="AG34" s="2"/>
      <c r="AH34" s="2"/>
    </row>
    <row r="35" ht="15.75" customHeight="1">
      <c r="A35" s="2"/>
      <c r="B35" s="2"/>
      <c r="C35" s="2"/>
      <c r="D35" s="2"/>
      <c r="E35" s="87"/>
      <c r="F35" s="2"/>
      <c r="G35" s="2"/>
      <c r="H35" s="2"/>
      <c r="I35" s="88"/>
      <c r="AE35" s="2"/>
      <c r="AF35" s="2"/>
      <c r="AG35" s="2"/>
      <c r="AH35" s="2"/>
    </row>
    <row r="36" ht="15.75" customHeight="1">
      <c r="A36" s="2"/>
      <c r="B36" s="2"/>
      <c r="C36" s="2"/>
      <c r="D36" s="2"/>
      <c r="E36" s="87"/>
      <c r="F36" s="2"/>
      <c r="G36" s="2"/>
      <c r="H36" s="2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2"/>
      <c r="AG36" s="2"/>
      <c r="AH36" s="2"/>
    </row>
    <row r="37" ht="15.75" customHeight="1">
      <c r="A37" s="2"/>
      <c r="B37" s="2"/>
      <c r="C37" s="2"/>
      <c r="D37" s="2"/>
      <c r="E37" s="87"/>
      <c r="F37" s="2"/>
      <c r="G37" s="2"/>
      <c r="H37" s="2"/>
      <c r="I37" s="89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2"/>
      <c r="AG37" s="2"/>
      <c r="AH37" s="2"/>
    </row>
    <row r="38" ht="15.75" customHeight="1">
      <c r="A38" s="2"/>
      <c r="B38" s="2"/>
      <c r="C38" s="2"/>
      <c r="D38" s="2"/>
      <c r="E38" s="87"/>
      <c r="F38" s="2"/>
      <c r="G38" s="2"/>
      <c r="H38" s="2"/>
      <c r="I38" s="92"/>
      <c r="AE38" s="2"/>
      <c r="AF38" s="2"/>
      <c r="AG38" s="2"/>
      <c r="AH38" s="2"/>
    </row>
    <row r="39" ht="15.75" customHeight="1">
      <c r="A39" s="2"/>
      <c r="B39" s="2"/>
      <c r="C39" s="2"/>
      <c r="D39" s="2"/>
      <c r="E39" s="87"/>
      <c r="F39" s="2"/>
      <c r="G39" s="2"/>
      <c r="H39" s="2"/>
      <c r="I39" s="93"/>
      <c r="AE39" s="2"/>
      <c r="AF39" s="2"/>
      <c r="AG39" s="2"/>
      <c r="AH39" s="2"/>
    </row>
    <row r="40" ht="15.75" customHeight="1">
      <c r="A40" s="2"/>
      <c r="B40" s="2"/>
      <c r="C40" s="2"/>
      <c r="D40" s="2"/>
      <c r="E40" s="8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5.75" customHeight="1">
      <c r="A41" s="2"/>
      <c r="B41" s="2"/>
      <c r="C41" s="2"/>
      <c r="D41" s="2"/>
      <c r="E41" s="8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5.75" customHeight="1">
      <c r="A42" s="2"/>
      <c r="B42" s="2"/>
      <c r="C42" s="2"/>
      <c r="D42" s="2"/>
      <c r="E42" s="8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8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5.75" customHeight="1">
      <c r="A45" s="2"/>
      <c r="B45" s="2"/>
      <c r="C45" s="2"/>
      <c r="D45" s="2"/>
      <c r="E45" s="8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8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8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8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8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8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8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8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8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8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8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8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8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8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8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5.75" customHeight="1">
      <c r="A62" s="2"/>
      <c r="B62" s="2"/>
      <c r="C62" s="2"/>
      <c r="D62" s="2"/>
      <c r="E62" s="8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8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8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8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8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8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8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8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8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8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8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8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8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8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8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8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8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8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8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8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8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8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8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8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8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8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8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8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8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8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8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8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8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8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8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8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8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8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8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8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8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8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8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8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8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8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8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8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8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8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8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8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8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8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8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8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8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8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8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8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8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8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8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8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8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8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8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8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8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8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8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8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8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8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8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8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8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8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8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8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8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8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8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8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8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8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8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8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8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8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8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8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8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8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8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8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8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8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8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8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8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8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8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8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8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8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8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8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8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8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8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8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8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8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8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8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8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8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8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8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8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8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8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8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8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8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8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8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8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8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8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8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8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8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8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8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8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8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8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8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8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8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8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8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8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8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8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8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8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8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8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8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8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8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8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8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8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8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8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8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8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8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8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8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8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8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8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8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8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8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8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8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8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</sheetData>
  <mergeCells count="35">
    <mergeCell ref="B1:AF1"/>
    <mergeCell ref="B2:AF2"/>
    <mergeCell ref="B3:AF3"/>
    <mergeCell ref="B8:B9"/>
    <mergeCell ref="C8:C9"/>
    <mergeCell ref="E8:E9"/>
    <mergeCell ref="F8:F9"/>
    <mergeCell ref="I8:AF8"/>
    <mergeCell ref="D23:F23"/>
    <mergeCell ref="D24:F24"/>
    <mergeCell ref="D28:F28"/>
    <mergeCell ref="B31:C31"/>
    <mergeCell ref="D31:G31"/>
    <mergeCell ref="B32:C32"/>
    <mergeCell ref="D32:G32"/>
    <mergeCell ref="G8:G9"/>
    <mergeCell ref="H8:H9"/>
    <mergeCell ref="D21:F21"/>
    <mergeCell ref="D22:F22"/>
    <mergeCell ref="I22:J22"/>
    <mergeCell ref="U22:AD22"/>
    <mergeCell ref="U23:AD23"/>
    <mergeCell ref="J31:X31"/>
    <mergeCell ref="J32:X32"/>
    <mergeCell ref="AA32:AD32"/>
    <mergeCell ref="I35:AD35"/>
    <mergeCell ref="I38:AD38"/>
    <mergeCell ref="I39:AD39"/>
    <mergeCell ref="U24:AD24"/>
    <mergeCell ref="U25:AD25"/>
    <mergeCell ref="J28:X28"/>
    <mergeCell ref="AA28:AD28"/>
    <mergeCell ref="AF28:AG28"/>
    <mergeCell ref="AA31:AD31"/>
    <mergeCell ref="AF31:AH31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