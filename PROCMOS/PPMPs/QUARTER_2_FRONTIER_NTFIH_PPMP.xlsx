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FRONTIER-NTFIH" sheetId="1" r:id="rId4"/>
    <sheet state="visible" name="PPMP Sample 1 (2)" sheetId="2" r:id="rId5"/>
  </sheets>
  <definedNames/>
  <calcPr/>
  <extLst>
    <ext uri="GoogleSheetsCustomDataVersion2">
      <go:sheetsCustomData xmlns:go="http://customooxmlschemas.google.com/" r:id="rId6" roundtripDataChecksum="wYiHjeAcvam6UOs1H0upQGHqBcN182o+0kUj3ns6O1o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6">
      <text>
        <t xml:space="preserve">======
ID#AAAA-ZHBewk
upmnih    (2021-04-08 04:25:07)
Prepared by: Project Staff/ Research Associate</t>
      </text>
    </comment>
    <comment authorId="0" ref="C86">
      <text>
        <t xml:space="preserve">======
ID#AAAA-ZHBewg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h3XU+TBNp7GQLN/Oa4T0TjlZQHLQ=="/>
    </ext>
  </extLst>
</comments>
</file>

<file path=xl/sharedStrings.xml><?xml version="1.0" encoding="utf-8"?>
<sst xmlns="http://schemas.openxmlformats.org/spreadsheetml/2006/main" count="516" uniqueCount="324">
  <si>
    <t xml:space="preserve">  PROJECT PROCUREMENT MANAGEMENT PLAN (PPMP) 2024</t>
  </si>
  <si>
    <t>For 2nd Quarter of CY 2024</t>
  </si>
  <si>
    <t>END-USER/UNIT: RDD-NFUS</t>
  </si>
  <si>
    <t>Charged to: FRONTIER: Fostering the Revitalization of Nascent Textile Innovation Ecosystems in the Regions - Establishment of Natural Textile Fiber Innovation Hub (NTFIH)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</si>
  <si>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</si>
  <si>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</si>
  <si>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</si>
  <si>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</si>
  <si>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</si>
  <si>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</si>
  <si>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</si>
  <si>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</si>
  <si>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</si>
  <si>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</si>
  <si>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</si>
  <si>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</si>
  <si>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</si>
  <si>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</si>
  <si>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</si>
  <si>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</si>
  <si>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</si>
  <si>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</si>
  <si>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</si>
  <si>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</si>
  <si>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</si>
  <si>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</si>
  <si>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</si>
  <si>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</si>
  <si>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</si>
  <si>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</si>
  <si>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</si>
  <si>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</si>
  <si>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</si>
  <si>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</si>
  <si>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</si>
  <si>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</si>
  <si>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</si>
  <si>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</si>
  <si>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</si>
  <si>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</si>
  <si>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</si>
  <si>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</si>
  <si>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</si>
  <si>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</si>
  <si>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</si>
  <si>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</si>
  <si>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</si>
  <si>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</si>
  <si>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</si>
  <si>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</si>
  <si>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</si>
  <si>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</si>
  <si>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</si>
  <si>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</si>
  <si>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</si>
  <si>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</si>
  <si>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</si>
  <si>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</si>
  <si>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</si>
  <si>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</si>
  <si>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</si>
  <si>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</si>
  <si>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</si>
  <si>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</si>
  <si>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</si>
  <si>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</si>
  <si>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</si>
  <si>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</si>
  <si>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</si>
  <si>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</si>
  <si>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</si>
  <si>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</si>
  <si>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</si>
  <si>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</si>
  <si>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</si>
  <si>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</si>
  <si>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</si>
  <si>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</si>
  <si>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Supplies and Materials Expenses</t>
  </si>
  <si>
    <t>10 pcs Original HL T4000 DW Inks 108ml - BTD60 - BK</t>
  </si>
  <si>
    <t>lot</t>
  </si>
  <si>
    <t xml:space="preserve">
Negotiated Procurement-Small Value Procurement
</t>
  </si>
  <si>
    <t>15-30 working days</t>
  </si>
  <si>
    <t>10 pcs Original HL T4000 DW Inks 108ml- BT5000 - Magenta</t>
  </si>
  <si>
    <t>10 pcs Original HL T4000 DW Inks 108ml - BT5000 - Cyan</t>
  </si>
  <si>
    <t>10 pcs Original HL T4000 DW Inks 108ml- BT5000 - Yellow</t>
  </si>
  <si>
    <t>10 pcs Original Epson L5290 Ink - 65 ml BK 003</t>
  </si>
  <si>
    <t>5 pcs Original Epson L5290 Ink - 65 ml  Magenta 003</t>
  </si>
  <si>
    <t>5 pcs Original Epson L5290 Ink - 65 ml  Cyan 003</t>
  </si>
  <si>
    <t>5 pcs Original Epson L5290 Ink - 65 ml  Yellow 003</t>
  </si>
  <si>
    <t>5 pcs Original Brother MFC-L3770DW Cartridge, (Black)</t>
  </si>
  <si>
    <t>5 pcs Original Brother MFC-L3770DW Cartridge, (Yellow)</t>
  </si>
  <si>
    <t>5 pcs OriginalBrother MFC-L3770DW Cartridge, (Cyan)</t>
  </si>
  <si>
    <t>5 pcs Original Brother MFC-L3770DW Cartridge, (Magenta)</t>
  </si>
  <si>
    <t>10 pcs Black Kyocera TK-1124 Toner Cartridge</t>
  </si>
  <si>
    <t>pcs</t>
  </si>
  <si>
    <t>x</t>
  </si>
  <si>
    <t>20 pcs Durable Office/Desk Stapler with staple remover</t>
  </si>
  <si>
    <t>Shopping</t>
  </si>
  <si>
    <t xml:space="preserve">50 pcs Spiral Notebook 216x280MM 100s(leaves) </t>
  </si>
  <si>
    <t xml:space="preserve">50 pcs Spiral Notebook 153x228MM 60s(leaves) </t>
  </si>
  <si>
    <t>10 reams - Bond Paper Color Green, A4 70gsm</t>
  </si>
  <si>
    <t>5 pcs 3 Layer Desk File Organizer Document Paper Tray</t>
  </si>
  <si>
    <t>25 pcs Clear Acrylic Name Plate Holder for Conference; 3x8.5 inches</t>
  </si>
  <si>
    <t>WiFi Printer and Scanner</t>
  </si>
  <si>
    <t>2 lots</t>
  </si>
  <si>
    <t>15 working days</t>
  </si>
  <si>
    <t>Computer Chair/Office Chair,/Ergonomic Chair With Armrest</t>
  </si>
  <si>
    <t>10 pcs</t>
  </si>
  <si>
    <t>Negotiated Procurement-Small Value Procurement</t>
  </si>
  <si>
    <t>Office Table Partition</t>
  </si>
  <si>
    <t>50203990 00</t>
  </si>
  <si>
    <t>Other Maintenance and Operating Expenses</t>
  </si>
  <si>
    <r>
      <rPr>
        <rFont val="Arial"/>
        <b/>
        <color rgb="FF000000"/>
        <sz val="9.0"/>
      </rPr>
      <t>Certificate Holder;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-A4 size; Materials: Gina fabric cover with indigenous accent Tinalak Accent;                                                                               -For MOA Signing and Launching of NTFIH in Laguna, Leyte and Davao</t>
    </r>
  </si>
  <si>
    <t>50 pcs</t>
  </si>
  <si>
    <r>
      <rPr>
        <rFont val="Arial"/>
        <b/>
        <color rgb="FF000000"/>
        <sz val="9.0"/>
      </rPr>
      <t>Certificate Holder;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-Legal size; Materials: Gina fabric cover with indigenous accent Tinalak Accent;                                                                               -For MOA Signing and Launching of NTFIH in Laguna, Leyte and Davao</t>
    </r>
  </si>
  <si>
    <r>
      <rPr>
        <rFont val="Arial"/>
        <b/>
        <color rgb="FF000000"/>
        <sz val="9.0"/>
      </rPr>
      <t>Token Packaging Box;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-Size:7.25"W x 9.25H x 1.5"Thickness                                                            -Material: Hamuti Abaca and Chipboard                                                                             -For MOA Signing and Launching of NTFIH in Laguna, Leyte and Davao</t>
    </r>
  </si>
  <si>
    <t>60 pcs</t>
  </si>
  <si>
    <r>
      <rPr>
        <rFont val="Arial"/>
        <b/>
        <color rgb="FF000000"/>
        <sz val="9.0"/>
      </rPr>
      <t xml:space="preserve">Full Fabric Notebook as Tokens          </t>
    </r>
    <r>
      <rPr>
        <rFont val="Arial"/>
        <color rgb="FF000000"/>
        <sz val="9.0"/>
      </rPr>
      <t xml:space="preserve">                                                                        </t>
    </r>
    <r>
      <rPr>
        <rFont val="Arial"/>
        <i/>
        <color rgb="FF000000"/>
        <sz val="9.0"/>
      </rPr>
      <t>-Size:6.5"W x 8.75H                                                             -Material: Indiginous Accent: Binakol and T'nalak  with magnetic lock, Inclusive of Bamboo Pen (Blue Ink)                                                                -For MOA Signing and Launching of NTFIH in Laguna, Leyte and Davao</t>
    </r>
  </si>
  <si>
    <t xml:space="preserve">Bamboo Lei for MOA Signing and Launching of NTFIH in Laguna, Leyte and Davao </t>
  </si>
  <si>
    <t>30 calendar days</t>
  </si>
  <si>
    <t>Development of Carbon Dioxide (CO2) Emission Assessment Tool</t>
  </si>
  <si>
    <t>1 lot</t>
  </si>
  <si>
    <t>45 calendar days</t>
  </si>
  <si>
    <t>Split Type Wall Mounted Inverter Airconditioner
(for CDBUS Laboratory Use)</t>
  </si>
  <si>
    <t>Pineapple fibers - unbrushed/decorticated , Source: Laguna</t>
  </si>
  <si>
    <t>60 working days</t>
  </si>
  <si>
    <t>Banana fibers - unbrushed/decorticated , Source: Laguna</t>
  </si>
  <si>
    <t>Pineapple fibers - unbrushed/decorticated, Source: Davao</t>
  </si>
  <si>
    <t>Raw Bandala Fibers, Source Catanduanes</t>
  </si>
  <si>
    <t>50 kgs</t>
  </si>
  <si>
    <t>30 working days</t>
  </si>
  <si>
    <t>Raw Bandala Fibers , Source Laguna</t>
  </si>
  <si>
    <t>20 kgs</t>
  </si>
  <si>
    <t>Oil-free vacuum pump
- max. vacuum: 99 mbar abs. 
- max. flow rate: 37 L/min @ 60 Hz or 34 L/min @ 50 Hz
- hose bard: ID8
- noise level: 52 dB
- net weight: 5.2 kg
- 220 V, 50/60 Hz
- max. power: 80W (1/6 HP)
- max. current: 0.4 A
- with overheat protection
- equipped with vacuum regulator and overflow protection / filter cartridge</t>
  </si>
  <si>
    <t>50203080 00</t>
  </si>
  <si>
    <t>Medical, Dental  Laboratory Supplies Expenses</t>
  </si>
  <si>
    <t>Hydrogen Peroxide
- Technical grade, ≥48% purity
- 35 kg/cby</t>
  </si>
  <si>
    <t>40 cby</t>
  </si>
  <si>
    <t>Acetone, technical grade, 5L</t>
  </si>
  <si>
    <t>20 bottles</t>
  </si>
  <si>
    <t>Sulfuric Acid, -95-98%, AR Grade</t>
  </si>
  <si>
    <t>30 liters Xylanase Enzyme</t>
  </si>
  <si>
    <t>Agency to Agency</t>
  </si>
  <si>
    <t>per schedule</t>
  </si>
  <si>
    <t>30 liters Pectinase Enzyme</t>
  </si>
  <si>
    <t>20 pcs pH Testing strips</t>
  </si>
  <si>
    <t>20 pairs Non-Slip Laboratory Shoes (Medium Size)</t>
  </si>
  <si>
    <t>24 gallons Bleach, unscented, 3.8-4.0/ gallon</t>
  </si>
  <si>
    <t>12 gallons Alcohol 70% Solution, Antiseptic Disinfectant 4L/Gallon</t>
  </si>
  <si>
    <t>50 packs Pull-ups Tissue, 2 ply, 190pulls/pack</t>
  </si>
  <si>
    <t>50 box Face Mask, 3 ply, Earloop, 50pcs/box</t>
  </si>
  <si>
    <t>15 pcs Polyethyene plastic bag, transparent, 0.002 in (thickness), 40in x 60in, 50 pcs/pack</t>
  </si>
  <si>
    <t>15 pcs Polyethyene plastic bag, transparent, 0.002 in (thickness), 20in x 30in, 50 pcs/pack</t>
  </si>
  <si>
    <t>10 pcs Ziplock bag, transparent, 8cm x 12cm, 100 pcs/pack</t>
  </si>
  <si>
    <t>10 pcs Ziplock bag, transparent, 14cm x 20cm, 100 pcs/pack</t>
  </si>
  <si>
    <t>10 pcs Ziplock bag, transparent, 24cm x 34cm, 100 pcs/pack</t>
  </si>
  <si>
    <t>100 pcs Particulate Filter N95</t>
  </si>
  <si>
    <t>50 pcs Laboratory Gown, 3/4 Sleeves, White, Medium</t>
  </si>
  <si>
    <t>10 pcs Reusable Respirator, Respiratory Protection</t>
  </si>
  <si>
    <t>50 pcs Lint-free tissue, 1 ply,  4.3 in x 8.4 in, 280 pcs/box</t>
  </si>
  <si>
    <t>25 pcs Safety Eye Laboratory Goggles</t>
  </si>
  <si>
    <t>5 pcs Parafilm, 4" x 125 ft</t>
  </si>
  <si>
    <t>3 pcs Electronic  Laboratorty Timer</t>
  </si>
  <si>
    <t xml:space="preserve">Stainless Steel Emergency spray eyewash and Emergency Shower                                                                                          Specification: </t>
  </si>
  <si>
    <t>1 unit</t>
  </si>
  <si>
    <t>1 unit Laboratory Glasswares  Drying Rack (Vinyl-Coated Steel Wire Construction, Self-Standing), 90 pegs, 46.2 x 18.2 x 52.5 cm</t>
  </si>
  <si>
    <t>10 pcs Magnetic Stirrer Bar</t>
  </si>
  <si>
    <t>10 pcs Fritted Glass Extraction Thimbles, 10mm</t>
  </si>
  <si>
    <t>8 pcs Glass Extraction Thimbles</t>
  </si>
  <si>
    <t>30 pcs Glass filter crucibles, 30 mL, 40-60 microns</t>
  </si>
  <si>
    <t>5 pcs Erlenmeyer Flask 250 ml</t>
  </si>
  <si>
    <t>5 pcs Erlenmeyer Flask 50 ml</t>
  </si>
  <si>
    <t xml:space="preserve">3 pcs Desiccator </t>
  </si>
  <si>
    <t>1 unit Desiccator cabinet</t>
  </si>
  <si>
    <t>3 units Hot Plate with Magnetic Stirring
Specifications:
280 mm x 280 mm or equivalent or better
200 - 1500 C temperature range, 1 increment or equivalent or better
100 - 1500 rpm speed or equivalent or better
Ceramic Plate</t>
  </si>
  <si>
    <t>3 units</t>
  </si>
  <si>
    <t>50211990 00</t>
  </si>
  <si>
    <t xml:space="preserve">Other Professional Services </t>
  </si>
  <si>
    <t>Yarn Strength and Elongation (Single Strand) ASTM D 2256</t>
  </si>
  <si>
    <t>15 samples</t>
  </si>
  <si>
    <t>3 weeks upon receipt of samples</t>
  </si>
  <si>
    <t>Yarn Number (Single) ASTM D 1059</t>
  </si>
  <si>
    <t>Yarn Evenness, ASTM D 1425</t>
  </si>
  <si>
    <t>Yarn Twist ASTM D1423/D1423M-16</t>
  </si>
  <si>
    <t>Yarn Hairiness, ASTM D 5647</t>
  </si>
  <si>
    <t>Fiber Composition AATCC</t>
  </si>
  <si>
    <t>Fiber fineness, cut middle method
- sample raw and treated bamboo fibers
- includes raw data of results
- turnaround time: 7-10 working days upon receipt of sample</t>
  </si>
  <si>
    <t>20 samples</t>
  </si>
  <si>
    <t>Worksheet Copy (request of Raw Data)</t>
  </si>
  <si>
    <t>X-Ray Diffraction Analysis</t>
  </si>
  <si>
    <t>Microscopical View (Longitudinal)</t>
  </si>
  <si>
    <t>Microscopical View (Cross-Sectional)</t>
  </si>
  <si>
    <t>Non Woven ( Needle Punching) Production Services</t>
  </si>
  <si>
    <t>104 m</t>
  </si>
  <si>
    <t>Representation Expenses</t>
  </si>
  <si>
    <t>Meals and snacks for meetings, trainings and events</t>
  </si>
  <si>
    <t>3 lots</t>
  </si>
  <si>
    <t>Printing Services - Tarpaulin, Sintra Board etc</t>
  </si>
  <si>
    <t>Cash Advance</t>
  </si>
  <si>
    <t>Repairs and Maintenance Expenses</t>
  </si>
  <si>
    <t xml:space="preserve">Office of the Director Schematic Design Concept 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</si>
  <si>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</si>
  <si>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</si>
  <si>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</si>
  <si>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</si>
  <si>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</si>
  <si>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</si>
  <si>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</si>
  <si>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</si>
  <si>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</si>
  <si>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ENGR. KARL MARX LENNIN A. FLORANTE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</si>
  <si>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</si>
  <si>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</si>
  <si>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</si>
  <si>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</si>
  <si>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</si>
  <si>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</si>
  <si>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</si>
  <si>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</si>
  <si>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</si>
  <si>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1st Quarter of CY 2024</t>
  </si>
  <si>
    <t>(Sample Only)</t>
  </si>
  <si>
    <t>Charged to: Digitalization of Philippine Textiles to Protect and Sustain the Handloom Weaving Sector</t>
  </si>
  <si>
    <t>CODE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</si>
  <si>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</si>
  <si>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</si>
  <si>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</si>
  <si>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</si>
  <si>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</si>
  <si>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</si>
  <si>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</si>
  <si>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</si>
  <si>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</si>
  <si>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</si>
  <si>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</si>
  <si>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</si>
  <si>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</si>
  <si>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Office Supplies</t>
  </si>
  <si>
    <t>32gb OTG flashdrive</t>
  </si>
  <si>
    <t>80 pieces</t>
  </si>
  <si>
    <t>Small Value Procurement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</si>
  <si>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</si>
  <si>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</si>
  <si>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</si>
  <si>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</si>
  <si>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</si>
  <si>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</si>
  <si>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</si>
  <si>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</si>
  <si>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</si>
  <si>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</si>
  <si>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</si>
  <si>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</si>
  <si>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</si>
  <si>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</si>
  <si>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</si>
  <si>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</si>
  <si>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</si>
  <si>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</si>
  <si>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</si>
  <si>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</si>
  <si>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</si>
  <si>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</si>
  <si>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</si>
  <si>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</si>
  <si>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</si>
  <si>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</si>
  <si>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</si>
  <si>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</si>
  <si>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</si>
  <si>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</si>
  <si>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</si>
  <si>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</si>
  <si>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</si>
  <si>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</si>
  <si>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</si>
  <si>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</si>
  <si>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</si>
  <si>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</si>
  <si>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</si>
  <si>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</si>
  <si>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</si>
  <si>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</si>
  <si>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</si>
  <si>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</si>
  <si>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</si>
  <si>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</si>
  <si>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</si>
  <si>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</si>
  <si>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</si>
  <si>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</si>
  <si>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</si>
  <si>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</si>
  <si>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</si>
  <si>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</si>
  <si>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</si>
  <si>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</si>
  <si>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</si>
  <si>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</si>
  <si>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</si>
  <si>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</si>
  <si>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</si>
  <si>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</si>
  <si>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</si>
  <si>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</si>
  <si>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</si>
  <si>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</si>
  <si>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</si>
  <si>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</si>
  <si>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</si>
  <si>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</si>
  <si>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</si>
  <si>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</si>
  <si>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</si>
  <si>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</si>
  <si>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Office Equipment</t>
  </si>
  <si>
    <t>Laboratory Equipment</t>
  </si>
  <si>
    <t>&lt;-- INSERT ROW IF NEEDED</t>
  </si>
  <si>
    <t>TOTAL BUDGET:</t>
  </si>
  <si>
    <t>Recommending Approval:</t>
  </si>
  <si>
    <t>________________________</t>
  </si>
  <si>
    <t>Head, Property, Procurement and General Services Section</t>
  </si>
  <si>
    <t>Head, Budget and Treasury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</si>
</sst>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28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1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b/>
      <sz val="9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sz val="10.0"/>
      <color theme="1"/>
      <name val="Verdana"/>
    </font>
    <font>
      <b/>
      <color theme="1"/>
      <name val="Arial"/>
    </font>
    <font>
      <sz val="10.0"/>
      <color theme="1"/>
      <name val="Calibri"/>
    </font>
    <font>
      <sz val="10.0"/>
      <color theme="1"/>
      <name val="Verdana"/>
    </font>
    <font>
      <b/>
      <sz val="10.0"/>
      <color theme="1"/>
      <name val="Arial"/>
    </font>
    <font>
      <b/>
      <sz val="11.0"/>
      <color theme="1"/>
      <name val="Arial"/>
    </font>
    <font>
      <b/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2" fontId="2" numFmtId="0" xfId="0" applyAlignment="1" applyFill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4" xfId="0" applyAlignment="1" applyBorder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Font="1"/>
    <xf borderId="6" fillId="0" fontId="8" numFmtId="0" xfId="0" applyBorder="1" applyFont="1"/>
    <xf borderId="7" fillId="0" fontId="8" numFmtId="0" xfId="0" applyBorder="1" applyFont="1"/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9" fillId="0" fontId="9" numFmtId="0" xfId="0" applyBorder="1" applyFont="1"/>
    <xf quotePrefix="1" borderId="6" fillId="0" fontId="7" numFmtId="0" xfId="0" applyAlignment="1" applyBorder="1" applyFont="1">
      <alignment horizontal="center" shrinkToFit="0" vertical="center" wrapText="1"/>
    </xf>
    <xf quotePrefix="1" borderId="7" fillId="0" fontId="7" numFmtId="0" xfId="0" applyAlignment="1" applyBorder="1" applyFont="1">
      <alignment horizontal="center" shrinkToFit="0" vertical="center" wrapText="1"/>
    </xf>
    <xf quotePrefix="1" borderId="7" fillId="0" fontId="7" numFmtId="0" xfId="0" applyAlignment="1" applyBorder="1" applyFont="1">
      <alignment horizontal="center" readingOrder="0" shrinkToFit="0" vertical="center" wrapText="1"/>
    </xf>
    <xf quotePrefix="1" borderId="7" fillId="0" fontId="7" numFmtId="164" xfId="0" applyAlignment="1" applyBorder="1" applyFont="1" applyNumberFormat="1">
      <alignment horizontal="center" shrinkToFit="0" vertical="center" wrapText="1"/>
    </xf>
    <xf quotePrefix="1" borderId="8" fillId="0" fontId="7" numFmtId="0" xfId="0" applyAlignment="1" applyBorder="1" applyFont="1">
      <alignment horizontal="center" shrinkToFit="0" vertical="center" wrapText="1"/>
    </xf>
    <xf borderId="10" fillId="3" fontId="7" numFmtId="0" xfId="0" applyAlignment="1" applyBorder="1" applyFill="1" applyFont="1">
      <alignment horizontal="center" shrinkToFit="0" vertical="center" wrapText="1"/>
    </xf>
    <xf borderId="11" fillId="3" fontId="7" numFmtId="0" xfId="0" applyAlignment="1" applyBorder="1" applyFont="1">
      <alignment horizontal="left" shrinkToFit="0" vertical="center" wrapText="1"/>
    </xf>
    <xf borderId="11" fillId="3" fontId="7" numFmtId="0" xfId="0" applyAlignment="1" applyBorder="1" applyFont="1">
      <alignment horizontal="left" readingOrder="0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3" fillId="3" fontId="7" numFmtId="4" xfId="0" applyAlignment="1" applyBorder="1" applyFont="1" applyNumberFormat="1">
      <alignment horizontal="right" shrinkToFit="0" vertical="center" wrapText="1"/>
    </xf>
    <xf borderId="13" fillId="3" fontId="7" numFmtId="164" xfId="0" applyAlignment="1" applyBorder="1" applyFont="1" applyNumberForma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16" fillId="2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readingOrder="0" vertical="center"/>
    </xf>
    <xf borderId="17" fillId="2" fontId="10" numFmtId="0" xfId="0" applyAlignment="1" applyBorder="1" applyFont="1">
      <alignment horizontal="center" readingOrder="0" vertical="center"/>
    </xf>
    <xf borderId="18" fillId="2" fontId="10" numFmtId="4" xfId="0" applyAlignment="1" applyBorder="1" applyFont="1" applyNumberFormat="1">
      <alignment horizontal="right" readingOrder="0" vertical="center"/>
    </xf>
    <xf borderId="18" fillId="2" fontId="10" numFmtId="164" xfId="0" applyAlignment="1" applyBorder="1" applyFont="1" applyNumberFormat="1">
      <alignment horizontal="center" vertical="center"/>
    </xf>
    <xf borderId="18" fillId="2" fontId="9" numFmtId="0" xfId="0" applyAlignment="1" applyBorder="1" applyFont="1">
      <alignment horizontal="center" readingOrder="0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center" readingOrder="0" vertical="center"/>
    </xf>
    <xf borderId="17" fillId="2" fontId="9" numFmtId="0" xfId="0" applyAlignment="1" applyBorder="1" applyFont="1">
      <alignment horizontal="center" vertical="center"/>
    </xf>
    <xf borderId="17" fillId="2" fontId="9" numFmtId="0" xfId="0" applyAlignment="1" applyBorder="1" applyFont="1">
      <alignment vertical="center"/>
    </xf>
    <xf borderId="16" fillId="2" fontId="9" numFmtId="0" xfId="0" applyAlignment="1" applyBorder="1" applyFont="1">
      <alignment vertical="center"/>
    </xf>
    <xf borderId="11" fillId="2" fontId="9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20" fillId="2" fontId="7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6" fillId="2" fontId="9" numFmtId="164" xfId="0" applyAlignment="1" applyBorder="1" applyFont="1" applyNumberFormat="1">
      <alignment horizontal="center" shrinkToFit="0" vertical="center" wrapText="1"/>
    </xf>
    <xf borderId="21" fillId="0" fontId="8" numFmtId="0" xfId="0" applyBorder="1" applyFont="1"/>
    <xf borderId="16" fillId="2" fontId="9" numFmtId="0" xfId="0" applyAlignment="1" applyBorder="1" applyFont="1">
      <alignment horizontal="center" readingOrder="0" vertical="center"/>
    </xf>
    <xf borderId="16" fillId="2" fontId="9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 readingOrder="0" vertical="center"/>
    </xf>
    <xf borderId="12" fillId="2" fontId="9" numFmtId="0" xfId="0" applyAlignment="1" applyBorder="1" applyFont="1">
      <alignment vertical="center"/>
    </xf>
    <xf borderId="11" fillId="0" fontId="8" numFmtId="0" xfId="0" applyBorder="1" applyFont="1"/>
    <xf borderId="16" fillId="2" fontId="9" numFmtId="0" xfId="0" applyAlignment="1" applyBorder="1" applyFont="1">
      <alignment readingOrder="0" shrinkToFit="0" vertical="center" wrapText="1"/>
    </xf>
    <xf borderId="17" fillId="2" fontId="9" numFmtId="4" xfId="0" applyAlignment="1" applyBorder="1" applyFont="1" applyNumberFormat="1">
      <alignment horizontal="right" readingOrder="0" shrinkToFit="0" vertical="center" wrapText="1"/>
    </xf>
    <xf borderId="17" fillId="2" fontId="9" numFmtId="164" xfId="0" applyAlignment="1" applyBorder="1" applyFont="1" applyNumberFormat="1">
      <alignment horizontal="center" shrinkToFit="0" vertical="center" wrapText="1"/>
    </xf>
    <xf borderId="16" fillId="2" fontId="9" numFmtId="4" xfId="0" applyAlignment="1" applyBorder="1" applyFont="1" applyNumberFormat="1">
      <alignment horizontal="right" readingOrder="0" shrinkToFit="0" vertical="center" wrapText="1"/>
    </xf>
    <xf borderId="16" fillId="0" fontId="11" numFmtId="4" xfId="0" applyAlignment="1" applyBorder="1" applyFont="1" applyNumberFormat="1">
      <alignment readingOrder="0" vertical="center"/>
    </xf>
    <xf borderId="16" fillId="0" fontId="10" numFmtId="0" xfId="0" applyAlignment="1" applyBorder="1" applyFont="1">
      <alignment readingOrder="0" shrinkToFit="0" vertical="center" wrapText="0"/>
    </xf>
    <xf borderId="16" fillId="2" fontId="10" numFmtId="0" xfId="0" applyAlignment="1" applyBorder="1" applyFont="1">
      <alignment horizontal="left" readingOrder="0" vertical="center"/>
    </xf>
    <xf borderId="21" fillId="2" fontId="10" numFmtId="0" xfId="0" applyAlignment="1" applyBorder="1" applyFont="1">
      <alignment horizontal="center" readingOrder="0" vertical="center"/>
    </xf>
    <xf borderId="22" fillId="0" fontId="8" numFmtId="0" xfId="0" applyBorder="1" applyFont="1"/>
    <xf borderId="16" fillId="2" fontId="9" numFmtId="0" xfId="0" applyAlignment="1" applyBorder="1" applyFont="1">
      <alignment horizontal="center" readingOrder="0"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7" fillId="2" fontId="7" numFmtId="164" xfId="0" applyAlignment="1" applyBorder="1" applyFont="1" applyNumberFormat="1">
      <alignment horizontal="center" shrinkToFit="0" vertical="center" wrapText="1"/>
    </xf>
    <xf borderId="16" fillId="2" fontId="9" numFmtId="49" xfId="0" applyAlignment="1" applyBorder="1" applyFont="1" applyNumberFormat="1">
      <alignment readingOrder="0" vertical="center"/>
    </xf>
    <xf borderId="18" fillId="2" fontId="12" numFmtId="164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readingOrder="0" shrinkToFit="0" vertical="center" wrapText="0"/>
    </xf>
    <xf borderId="18" fillId="2" fontId="9" numFmtId="4" xfId="0" applyAlignment="1" applyBorder="1" applyFont="1" applyNumberFormat="1">
      <alignment horizontal="right" readingOrder="0" shrinkToFit="0" vertical="center" wrapText="1"/>
    </xf>
    <xf borderId="18" fillId="2" fontId="7" numFmtId="164" xfId="0" applyAlignment="1" applyBorder="1" applyFont="1" applyNumberFormat="1">
      <alignment horizontal="center" shrinkToFit="0" vertical="center" wrapText="1"/>
    </xf>
    <xf borderId="11" fillId="0" fontId="10" numFmtId="0" xfId="0" applyAlignment="1" applyBorder="1" applyFont="1">
      <alignment shrinkToFit="0" vertical="center" wrapText="0"/>
    </xf>
    <xf borderId="18" fillId="2" fontId="9" numFmtId="0" xfId="0" applyAlignment="1" applyBorder="1" applyFont="1">
      <alignment horizontal="center" readingOrder="0" vertical="center"/>
    </xf>
    <xf borderId="23" fillId="2" fontId="9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center" readingOrder="0" shrinkToFit="0" vertical="center" wrapText="1"/>
    </xf>
    <xf borderId="11" fillId="2" fontId="9" numFmtId="0" xfId="0" applyAlignment="1" applyBorder="1" applyFont="1">
      <alignment horizontal="center" shrinkToFit="0" vertical="center" wrapText="1"/>
    </xf>
    <xf borderId="20" fillId="3" fontId="7" numFmtId="0" xfId="0" applyAlignment="1" applyBorder="1" applyFont="1">
      <alignment horizontal="center" shrinkToFit="0" vertical="center" wrapText="1"/>
    </xf>
    <xf borderId="16" fillId="3" fontId="7" numFmtId="0" xfId="0" applyAlignment="1" applyBorder="1" applyFont="1">
      <alignment horizontal="center" shrinkToFit="0" vertical="center" wrapText="1"/>
    </xf>
    <xf borderId="16" fillId="3" fontId="7" numFmtId="0" xfId="0" applyAlignment="1" applyBorder="1" applyFont="1">
      <alignment horizontal="left" readingOrder="0" shrinkToFit="0" vertical="center" wrapText="1"/>
    </xf>
    <xf borderId="24" fillId="3" fontId="7" numFmtId="0" xfId="0" applyAlignment="1" applyBorder="1" applyFont="1">
      <alignment horizontal="center" shrinkToFit="0" vertical="center" wrapText="1"/>
    </xf>
    <xf borderId="19" fillId="3" fontId="7" numFmtId="4" xfId="0" applyAlignment="1" applyBorder="1" applyFont="1" applyNumberFormat="1">
      <alignment horizontal="right" shrinkToFit="0" vertical="center" wrapText="1"/>
    </xf>
    <xf borderId="19" fillId="3" fontId="7" numFmtId="164" xfId="0" applyAlignment="1" applyBorder="1" applyFont="1" applyNumberFormat="1">
      <alignment horizontal="center" shrinkToFit="0" vertical="center" wrapText="1"/>
    </xf>
    <xf borderId="19" fillId="3" fontId="7" numFmtId="0" xfId="0" applyAlignment="1" applyBorder="1" applyFont="1">
      <alignment horizontal="center" shrinkToFit="0" vertical="center" wrapText="1"/>
    </xf>
    <xf borderId="25" fillId="3" fontId="7" numFmtId="0" xfId="0" applyAlignment="1" applyBorder="1" applyFont="1">
      <alignment horizontal="center" shrinkToFit="0" vertical="center" wrapText="1"/>
    </xf>
    <xf borderId="16" fillId="3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20" fillId="0" fontId="7" numFmtId="0" xfId="0" applyAlignment="1" applyBorder="1" applyFont="1">
      <alignment horizontal="center" shrinkToFit="0" vertical="center" wrapText="1"/>
    </xf>
    <xf borderId="16" fillId="0" fontId="9" numFmtId="49" xfId="0" applyAlignment="1" applyBorder="1" applyFont="1" applyNumberFormat="1">
      <alignment horizontal="center" vertical="center"/>
    </xf>
    <xf borderId="16" fillId="2" fontId="10" numFmtId="49" xfId="0" applyAlignment="1" applyBorder="1" applyFont="1" applyNumberFormat="1">
      <alignment horizontal="left" readingOrder="0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16" fillId="0" fontId="9" numFmtId="4" xfId="0" applyAlignment="1" applyBorder="1" applyFont="1" applyNumberFormat="1">
      <alignment horizontal="right" readingOrder="0" shrinkToFit="0" vertical="center" wrapText="1"/>
    </xf>
    <xf borderId="16" fillId="2" fontId="7" numFmtId="164" xfId="0" applyAlignment="1" applyBorder="1" applyFont="1" applyNumberFormat="1">
      <alignment horizontal="center" shrinkToFit="0" vertical="center" wrapText="1"/>
    </xf>
    <xf borderId="16" fillId="0" fontId="9" numFmtId="0" xfId="0" applyAlignment="1" applyBorder="1" applyFont="1">
      <alignment vertical="center"/>
    </xf>
    <xf borderId="20" fillId="2" fontId="7" numFmtId="0" xfId="0" applyAlignment="1" applyBorder="1" applyFont="1">
      <alignment horizontal="center" vertical="center"/>
    </xf>
    <xf borderId="16" fillId="2" fontId="7" numFmtId="49" xfId="0" applyAlignment="1" applyBorder="1" applyFont="1" applyNumberFormat="1">
      <alignment horizontal="center" vertical="center"/>
    </xf>
    <xf borderId="23" fillId="2" fontId="9" numFmtId="0" xfId="0" applyAlignment="1" applyBorder="1" applyFont="1">
      <alignment horizontal="center" readingOrder="0" vertical="center"/>
    </xf>
    <xf borderId="23" fillId="2" fontId="9" numFmtId="4" xfId="0" applyAlignment="1" applyBorder="1" applyFont="1" applyNumberFormat="1">
      <alignment readingOrder="0" vertical="center"/>
    </xf>
    <xf borderId="23" fillId="2" fontId="7" numFmtId="164" xfId="0" applyAlignment="1" applyBorder="1" applyFont="1" applyNumberFormat="1">
      <alignment vertical="center"/>
    </xf>
    <xf borderId="23" fillId="2" fontId="9" numFmtId="0" xfId="0" applyAlignment="1" applyBorder="1" applyFont="1">
      <alignment vertical="center"/>
    </xf>
    <xf borderId="23" fillId="2" fontId="7" numFmtId="164" xfId="0" applyAlignment="1" applyBorder="1" applyFont="1" applyNumberFormat="1">
      <alignment readingOrder="0" vertical="center"/>
    </xf>
    <xf borderId="22" fillId="2" fontId="9" numFmtId="49" xfId="0" applyAlignment="1" applyBorder="1" applyFont="1" applyNumberFormat="1">
      <alignment readingOrder="0" shrinkToFit="0" vertical="center" wrapText="1"/>
    </xf>
    <xf borderId="23" fillId="2" fontId="9" numFmtId="0" xfId="0" applyAlignment="1" applyBorder="1" applyFont="1">
      <alignment horizontal="center" readingOrder="0" shrinkToFit="0" vertical="center" wrapText="1"/>
    </xf>
    <xf borderId="23" fillId="2" fontId="9" numFmtId="0" xfId="0" applyAlignment="1" applyBorder="1" applyFont="1">
      <alignment horizontal="center" vertical="center"/>
    </xf>
    <xf borderId="22" fillId="2" fontId="9" numFmtId="49" xfId="0" applyAlignment="1" applyBorder="1" applyFont="1" applyNumberFormat="1">
      <alignment readingOrder="0" vertical="center"/>
    </xf>
    <xf borderId="23" fillId="2" fontId="10" numFmtId="49" xfId="0" applyAlignment="1" applyBorder="1" applyFont="1" applyNumberFormat="1">
      <alignment readingOrder="0"/>
    </xf>
    <xf borderId="23" fillId="2" fontId="10" numFmtId="0" xfId="0" applyAlignment="1" applyBorder="1" applyFont="1">
      <alignment horizontal="center" readingOrder="0"/>
    </xf>
    <xf borderId="23" fillId="2" fontId="10" numFmtId="4" xfId="0" applyAlignment="1" applyBorder="1" applyFont="1" applyNumberFormat="1">
      <alignment horizontal="right" readingOrder="0"/>
    </xf>
    <xf borderId="23" fillId="2" fontId="10" numFmtId="164" xfId="0" applyAlignment="1" applyBorder="1" applyFont="1" applyNumberFormat="1">
      <alignment horizontal="right" readingOrder="0"/>
    </xf>
    <xf borderId="22" fillId="2" fontId="10" numFmtId="0" xfId="0" applyAlignment="1" applyBorder="1" applyFont="1">
      <alignment horizontal="center" readingOrder="0"/>
    </xf>
    <xf borderId="23" fillId="2" fontId="13" numFmtId="0" xfId="0" applyAlignment="1" applyBorder="1" applyFont="1">
      <alignment horizontal="center" readingOrder="0" shrinkToFit="0" wrapText="0"/>
    </xf>
    <xf borderId="23" fillId="2" fontId="10" numFmtId="0" xfId="0" applyAlignment="1" applyBorder="1" applyFont="1">
      <alignment horizontal="center" shrinkToFit="0" wrapText="0"/>
    </xf>
    <xf borderId="22" fillId="2" fontId="10" numFmtId="4" xfId="0" applyAlignment="1" applyBorder="1" applyFont="1" applyNumberFormat="1">
      <alignment horizontal="right" readingOrder="0"/>
    </xf>
    <xf borderId="22" fillId="2" fontId="10" numFmtId="164" xfId="0" applyAlignment="1" applyBorder="1" applyFont="1" applyNumberFormat="1">
      <alignment horizontal="right" readingOrder="0"/>
    </xf>
    <xf borderId="22" fillId="2" fontId="13" numFmtId="0" xfId="0" applyAlignment="1" applyBorder="1" applyFont="1">
      <alignment horizontal="center" shrinkToFit="0" wrapText="0"/>
    </xf>
    <xf borderId="22" fillId="2" fontId="10" numFmtId="0" xfId="0" applyAlignment="1" applyBorder="1" applyFont="1">
      <alignment horizontal="center" readingOrder="0" shrinkToFit="0" wrapText="0"/>
    </xf>
    <xf borderId="22" fillId="2" fontId="10" numFmtId="49" xfId="0" applyAlignment="1" applyBorder="1" applyFont="1" applyNumberFormat="1">
      <alignment readingOrder="0"/>
    </xf>
    <xf borderId="22" fillId="2" fontId="9" numFmtId="0" xfId="0" applyAlignment="1" applyBorder="1" applyFont="1">
      <alignment horizontal="center" readingOrder="0" shrinkToFit="0" vertical="center" wrapText="1"/>
    </xf>
    <xf borderId="22" fillId="2" fontId="9" numFmtId="4" xfId="0" applyAlignment="1" applyBorder="1" applyFont="1" applyNumberFormat="1">
      <alignment horizontal="right" readingOrder="0" shrinkToFit="0" vertical="center" wrapText="1"/>
    </xf>
    <xf borderId="22" fillId="2" fontId="9" numFmtId="164" xfId="0" applyAlignment="1" applyBorder="1" applyFont="1" applyNumberFormat="1">
      <alignment horizontal="center" shrinkToFit="0" vertical="center" wrapText="1"/>
    </xf>
    <xf borderId="11" fillId="2" fontId="9" numFmtId="0" xfId="0" applyAlignment="1" applyBorder="1" applyFont="1">
      <alignment horizontal="center" readingOrder="0" shrinkToFit="0" vertical="center" wrapText="1"/>
    </xf>
    <xf borderId="22" fillId="2" fontId="14" numFmtId="0" xfId="0" applyAlignment="1" applyBorder="1" applyFont="1">
      <alignment horizontal="center" readingOrder="0" vertical="center"/>
    </xf>
    <xf borderId="22" fillId="2" fontId="9" numFmtId="0" xfId="0" applyAlignment="1" applyBorder="1" applyFont="1">
      <alignment horizontal="center" readingOrder="0" vertical="center"/>
    </xf>
    <xf borderId="16" fillId="0" fontId="9" numFmtId="49" xfId="0" applyAlignment="1" applyBorder="1" applyFont="1" applyNumberFormat="1">
      <alignment shrinkToFit="0" vertical="center" wrapText="1"/>
    </xf>
    <xf borderId="23" fillId="0" fontId="9" numFmtId="0" xfId="0" applyAlignment="1" applyBorder="1" applyFont="1">
      <alignment horizontal="center" readingOrder="0" shrinkToFit="0" vertical="center" wrapText="1"/>
    </xf>
    <xf borderId="23" fillId="0" fontId="9" numFmtId="4" xfId="0" applyAlignment="1" applyBorder="1" applyFont="1" applyNumberFormat="1">
      <alignment horizontal="right" shrinkToFit="0" vertical="center" wrapText="1"/>
    </xf>
    <xf borderId="23" fillId="2" fontId="9" numFmtId="164" xfId="0" applyAlignment="1" applyBorder="1" applyFont="1" applyNumberFormat="1">
      <alignment horizontal="center" shrinkToFit="0" vertical="center" wrapText="1"/>
    </xf>
    <xf borderId="23" fillId="2" fontId="14" numFmtId="0" xfId="0" applyAlignment="1" applyBorder="1" applyFont="1">
      <alignment horizontal="center" readingOrder="0" vertical="center"/>
    </xf>
    <xf borderId="26" fillId="3" fontId="7" numFmtId="0" xfId="0" applyAlignment="1" applyBorder="1" applyFont="1">
      <alignment horizontal="center" vertical="center"/>
    </xf>
    <xf borderId="16" fillId="3" fontId="7" numFmtId="49" xfId="0" applyAlignment="1" applyBorder="1" applyFont="1" applyNumberFormat="1">
      <alignment horizontal="center" vertical="center"/>
    </xf>
    <xf borderId="23" fillId="3" fontId="7" numFmtId="49" xfId="0" applyAlignment="1" applyBorder="1" applyFont="1" applyNumberFormat="1">
      <alignment vertical="center"/>
    </xf>
    <xf borderId="27" fillId="3" fontId="9" numFmtId="0" xfId="0" applyAlignment="1" applyBorder="1" applyFont="1">
      <alignment vertical="center"/>
    </xf>
    <xf borderId="27" fillId="3" fontId="9" numFmtId="4" xfId="0" applyAlignment="1" applyBorder="1" applyFont="1" applyNumberFormat="1">
      <alignment vertical="center"/>
    </xf>
    <xf borderId="27" fillId="3" fontId="9" numFmtId="164" xfId="0" applyAlignment="1" applyBorder="1" applyFont="1" applyNumberFormat="1">
      <alignment vertical="center"/>
    </xf>
    <xf borderId="27" fillId="3" fontId="9" numFmtId="0" xfId="0" applyAlignment="1" applyBorder="1" applyFont="1">
      <alignment horizontal="center" shrinkToFit="0" vertical="center" wrapText="1"/>
    </xf>
    <xf borderId="27" fillId="3" fontId="9" numFmtId="0" xfId="0" applyAlignment="1" applyBorder="1" applyFont="1">
      <alignment horizontal="center" vertical="center"/>
    </xf>
    <xf borderId="16" fillId="2" fontId="9" numFmtId="49" xfId="0" applyAlignment="1" applyBorder="1" applyFont="1" applyNumberFormat="1">
      <alignment horizontal="center" vertical="center"/>
    </xf>
    <xf borderId="16" fillId="0" fontId="9" numFmtId="0" xfId="0" applyAlignment="1" applyBorder="1" applyFont="1">
      <alignment horizontal="center" vertical="center"/>
    </xf>
    <xf borderId="16" fillId="2" fontId="9" numFmtId="49" xfId="0" applyAlignment="1" applyBorder="1" applyFont="1" applyNumberFormat="1">
      <alignment horizontal="center" shrinkToFit="0" vertical="center" wrapText="1"/>
    </xf>
    <xf borderId="11" fillId="2" fontId="9" numFmtId="49" xfId="0" applyAlignment="1" applyBorder="1" applyFont="1" applyNumberFormat="1">
      <alignment readingOrder="0" shrinkToFit="0" vertical="center" wrapText="1"/>
    </xf>
    <xf borderId="11" fillId="2" fontId="9" numFmtId="4" xfId="0" applyAlignment="1" applyBorder="1" applyFont="1" applyNumberFormat="1">
      <alignment horizontal="right" readingOrder="0" shrinkToFit="0" vertical="center" wrapText="1"/>
    </xf>
    <xf borderId="11" fillId="2" fontId="9" numFmtId="49" xfId="0" applyAlignment="1" applyBorder="1" applyFont="1" applyNumberFormat="1">
      <alignment readingOrder="0" vertical="center"/>
    </xf>
    <xf borderId="12" fillId="2" fontId="9" numFmtId="0" xfId="0" applyAlignment="1" applyBorder="1" applyFont="1">
      <alignment horizontal="center" readingOrder="0" shrinkToFit="0" vertical="center" wrapText="1"/>
    </xf>
    <xf borderId="21" fillId="2" fontId="9" numFmtId="0" xfId="0" applyAlignment="1" applyBorder="1" applyFont="1">
      <alignment horizontal="center" readingOrder="0" shrinkToFit="0" vertical="center" wrapText="1"/>
    </xf>
    <xf borderId="16" fillId="0" fontId="9" numFmtId="49" xfId="0" applyAlignment="1" applyBorder="1" applyFont="1" applyNumberFormat="1">
      <alignment readingOrder="0" shrinkToFit="0" vertical="center" wrapText="1"/>
    </xf>
    <xf borderId="18" fillId="0" fontId="9" numFmtId="0" xfId="0" applyAlignment="1" applyBorder="1" applyFont="1">
      <alignment horizontal="center" readingOrder="0" shrinkToFit="0" vertical="center" wrapText="1"/>
    </xf>
    <xf borderId="23" fillId="0" fontId="9" numFmtId="4" xfId="0" applyAlignment="1" applyBorder="1" applyFont="1" applyNumberFormat="1">
      <alignment horizontal="right" readingOrder="0" shrinkToFit="0" vertical="center" wrapText="1"/>
    </xf>
    <xf borderId="16" fillId="0" fontId="7" numFmtId="0" xfId="0" applyAlignment="1" applyBorder="1" applyFont="1">
      <alignment vertical="center"/>
    </xf>
    <xf borderId="16" fillId="2" fontId="9" numFmtId="0" xfId="0" applyAlignment="1" applyBorder="1" applyFont="1">
      <alignment horizontal="left" readingOrder="0" vertical="center"/>
    </xf>
    <xf borderId="17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vertical="center"/>
    </xf>
    <xf borderId="12" fillId="0" fontId="9" numFmtId="0" xfId="0" applyAlignment="1" applyBorder="1" applyFont="1">
      <alignment vertical="center"/>
    </xf>
    <xf borderId="16" fillId="2" fontId="9" numFmtId="0" xfId="0" applyAlignment="1" applyBorder="1" applyFont="1">
      <alignment horizontal="left" readingOrder="0" shrinkToFit="0" vertical="center" wrapText="1"/>
    </xf>
    <xf borderId="16" fillId="2" fontId="10" numFmtId="0" xfId="0" applyAlignment="1" applyBorder="1" applyFont="1">
      <alignment horizontal="left" readingOrder="0" shrinkToFit="0" vertical="center" wrapText="0"/>
    </xf>
    <xf borderId="11" fillId="0" fontId="9" numFmtId="49" xfId="0" applyAlignment="1" applyBorder="1" applyFont="1" applyNumberFormat="1">
      <alignment readingOrder="0" vertical="center"/>
    </xf>
    <xf borderId="17" fillId="2" fontId="7" numFmtId="164" xfId="0" applyAlignment="1" applyBorder="1" applyFont="1" applyNumberFormat="1">
      <alignment horizontal="center" readingOrder="0" shrinkToFit="0" vertical="center" wrapText="1"/>
    </xf>
    <xf borderId="11" fillId="2" fontId="9" numFmtId="0" xfId="0" applyAlignment="1" applyBorder="1" applyFont="1">
      <alignment horizontal="center" readingOrder="0" vertical="center"/>
    </xf>
    <xf borderId="17" fillId="2" fontId="9" numFmtId="164" xfId="0" applyAlignment="1" applyBorder="1" applyFont="1" applyNumberFormat="1">
      <alignment horizontal="center" readingOrder="0" shrinkToFit="0" vertical="center" wrapText="1"/>
    </xf>
    <xf borderId="11" fillId="2" fontId="9" numFmtId="0" xfId="0" applyAlignment="1" applyBorder="1" applyFont="1">
      <alignment horizontal="left" readingOrder="0" vertical="center"/>
    </xf>
    <xf borderId="16" fillId="3" fontId="7" numFmtId="0" xfId="0" applyAlignment="1" applyBorder="1" applyFont="1">
      <alignment horizontal="center" vertical="center"/>
    </xf>
    <xf borderId="23" fillId="3" fontId="7" numFmtId="0" xfId="0" applyAlignment="1" applyBorder="1" applyFont="1">
      <alignment vertical="center"/>
    </xf>
    <xf borderId="26" fillId="0" fontId="9" numFmtId="0" xfId="0" applyAlignment="1" applyBorder="1" applyFont="1">
      <alignment vertical="center"/>
    </xf>
    <xf borderId="16" fillId="0" fontId="9" numFmtId="0" xfId="0" applyAlignment="1" applyBorder="1" applyFont="1">
      <alignment horizontal="center" shrinkToFit="0" vertical="center" wrapText="1"/>
    </xf>
    <xf borderId="16" fillId="2" fontId="9" numFmtId="49" xfId="0" applyAlignment="1" applyBorder="1" applyFont="1" applyNumberFormat="1">
      <alignment vertical="center"/>
    </xf>
    <xf borderId="16" fillId="2" fontId="9" numFmtId="4" xfId="0" applyAlignment="1" applyBorder="1" applyFont="1" applyNumberFormat="1">
      <alignment horizontal="right" vertical="center"/>
    </xf>
    <xf borderId="23" fillId="0" fontId="9" numFmtId="0" xfId="0" applyAlignment="1" applyBorder="1" applyFont="1">
      <alignment vertical="center"/>
    </xf>
    <xf borderId="28" fillId="0" fontId="9" numFmtId="0" xfId="0" applyAlignment="1" applyBorder="1" applyFont="1">
      <alignment vertical="center"/>
    </xf>
    <xf borderId="22" fillId="0" fontId="9" numFmtId="0" xfId="0" applyAlignment="1" applyBorder="1" applyFont="1">
      <alignment vertical="center"/>
    </xf>
    <xf borderId="22" fillId="0" fontId="9" numFmtId="0" xfId="0" applyAlignment="1" applyBorder="1" applyFont="1">
      <alignment readingOrder="0" shrinkToFit="0" vertical="center" wrapText="1"/>
    </xf>
    <xf borderId="22" fillId="0" fontId="9" numFmtId="0" xfId="0" applyAlignment="1" applyBorder="1" applyFont="1">
      <alignment horizontal="center" readingOrder="0" shrinkToFit="0" vertical="center" wrapText="1"/>
    </xf>
    <xf borderId="22" fillId="0" fontId="9" numFmtId="4" xfId="0" applyAlignment="1" applyBorder="1" applyFont="1" applyNumberFormat="1">
      <alignment horizontal="right" readingOrder="0" shrinkToFit="0" vertical="center" wrapText="1"/>
    </xf>
    <xf borderId="22" fillId="2" fontId="7" numFmtId="164" xfId="0" applyAlignment="1" applyBorder="1" applyFont="1" applyNumberFormat="1">
      <alignment horizontal="center" shrinkToFit="0" vertical="center" wrapText="1"/>
    </xf>
    <xf borderId="16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2" fillId="2" fontId="9" numFmtId="0" xfId="0" applyAlignment="1" applyBorder="1" applyFont="1">
      <alignment vertical="center"/>
    </xf>
    <xf borderId="22" fillId="2" fontId="7" numFmtId="164" xfId="0" applyAlignment="1" applyBorder="1" applyFont="1" applyNumberFormat="1">
      <alignment horizontal="center" readingOrder="0" shrinkToFit="0" vertical="center" wrapText="1"/>
    </xf>
    <xf borderId="22" fillId="4" fontId="9" numFmtId="0" xfId="0" applyAlignment="1" applyBorder="1" applyFill="1" applyFont="1">
      <alignment readingOrder="0" shrinkToFit="0" vertical="center" wrapText="1"/>
    </xf>
    <xf borderId="22" fillId="4" fontId="9" numFmtId="0" xfId="0" applyAlignment="1" applyBorder="1" applyFont="1">
      <alignment horizontal="center" readingOrder="0" shrinkToFit="0" vertical="center" wrapText="1"/>
    </xf>
    <xf borderId="22" fillId="4" fontId="9" numFmtId="4" xfId="0" applyAlignment="1" applyBorder="1" applyFont="1" applyNumberFormat="1">
      <alignment horizontal="right" readingOrder="0" shrinkToFit="0" vertical="center" wrapText="1"/>
    </xf>
    <xf borderId="22" fillId="2" fontId="9" numFmtId="164" xfId="0" applyAlignment="1" applyBorder="1" applyFont="1" applyNumberFormat="1">
      <alignment horizontal="center" readingOrder="0" shrinkToFit="0" vertical="center" wrapText="1"/>
    </xf>
    <xf borderId="16" fillId="2" fontId="10" numFmtId="49" xfId="0" applyAlignment="1" applyBorder="1" applyFont="1" applyNumberFormat="1">
      <alignment horizontal="left" readingOrder="0" vertical="center"/>
    </xf>
    <xf borderId="22" fillId="2" fontId="9" numFmtId="0" xfId="0" applyAlignment="1" applyBorder="1" applyFont="1">
      <alignment horizontal="center" vertical="center"/>
    </xf>
    <xf borderId="22" fillId="0" fontId="9" numFmtId="164" xfId="0" applyAlignment="1" applyBorder="1" applyFont="1" applyNumberFormat="1">
      <alignment horizontal="center" readingOrder="0" shrinkToFit="0" vertical="center" wrapText="1"/>
    </xf>
    <xf borderId="22" fillId="0" fontId="9" numFmtId="0" xfId="0" applyAlignment="1" applyBorder="1" applyFont="1">
      <alignment horizontal="center" readingOrder="0" vertical="center"/>
    </xf>
    <xf borderId="23" fillId="3" fontId="7" numFmtId="0" xfId="0" applyAlignment="1" applyBorder="1" applyFont="1">
      <alignment readingOrder="0" vertical="center"/>
    </xf>
    <xf borderId="22" fillId="0" fontId="9" numFmtId="0" xfId="0" applyAlignment="1" applyBorder="1" applyFont="1">
      <alignment readingOrder="0" vertical="center"/>
    </xf>
    <xf borderId="16" fillId="0" fontId="9" numFmtId="0" xfId="0" applyAlignment="1" applyBorder="1" applyFont="1">
      <alignment readingOrder="0" vertical="bottom"/>
    </xf>
    <xf borderId="23" fillId="0" fontId="9" numFmtId="0" xfId="0" applyAlignment="1" applyBorder="1" applyFont="1">
      <alignment readingOrder="0" vertical="bottom"/>
    </xf>
    <xf borderId="16" fillId="3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29" fillId="0" fontId="1" numFmtId="165" xfId="0" applyAlignment="1" applyBorder="1" applyFont="1" applyNumberFormat="1">
      <alignment horizontal="right"/>
    </xf>
    <xf borderId="29" fillId="0" fontId="8" numFmtId="0" xfId="0" applyBorder="1" applyFont="1"/>
    <xf borderId="0" fillId="0" fontId="1" numFmtId="165" xfId="0" applyAlignment="1" applyFont="1" applyNumberFormat="1">
      <alignment horizontal="right"/>
    </xf>
    <xf borderId="11" fillId="0" fontId="7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30" fillId="0" fontId="1" numFmtId="164" xfId="0" applyAlignment="1" applyBorder="1" applyFont="1" applyNumberFormat="1">
      <alignment horizontal="center"/>
    </xf>
    <xf borderId="31" fillId="0" fontId="8" numFmtId="0" xfId="0" applyBorder="1" applyFont="1"/>
    <xf borderId="0" fillId="0" fontId="9" numFmtId="0" xfId="0" applyAlignment="1" applyFont="1">
      <alignment horizontal="left"/>
    </xf>
    <xf borderId="16" fillId="0" fontId="2" numFmtId="0" xfId="0" applyAlignment="1" applyBorder="1" applyFont="1">
      <alignment vertical="center"/>
    </xf>
    <xf borderId="32" fillId="0" fontId="1" numFmtId="164" xfId="0" applyAlignment="1" applyBorder="1" applyFont="1" applyNumberFormat="1">
      <alignment horizontal="center"/>
    </xf>
    <xf borderId="33" fillId="0" fontId="8" numFmtId="0" xfId="0" applyBorder="1" applyFont="1"/>
    <xf borderId="23" fillId="0" fontId="8" numFmtId="0" xfId="0" applyBorder="1" applyFont="1"/>
    <xf borderId="0" fillId="0" fontId="15" numFmtId="0" xfId="0" applyFont="1"/>
    <xf borderId="0" fillId="0" fontId="15" numFmtId="164" xfId="0" applyAlignment="1" applyFont="1" applyNumberFormat="1">
      <alignment horizont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" numFmtId="0" xfId="0" applyAlignment="1" applyFont="1">
      <alignment shrinkToFit="0" vertical="bottom" wrapText="0"/>
    </xf>
    <xf borderId="0" fillId="0" fontId="20" numFmtId="0" xfId="0" applyAlignment="1" applyFont="1">
      <alignment horizontal="left" vertical="center"/>
    </xf>
    <xf borderId="0" fillId="0" fontId="1" numFmtId="0" xfId="0" applyAlignment="1" applyFont="1">
      <alignment vertical="bottom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vertical="bottom"/>
    </xf>
    <xf borderId="0" fillId="0" fontId="19" numFmtId="0" xfId="0" applyFont="1"/>
    <xf borderId="0" fillId="0" fontId="14" numFmtId="4" xfId="0" applyAlignment="1" applyFont="1" applyNumberFormat="1">
      <alignment horizontal="right"/>
    </xf>
    <xf borderId="0" fillId="0" fontId="21" numFmtId="0" xfId="0" applyAlignment="1" applyFont="1">
      <alignment horizontal="left" shrinkToFit="0" vertical="center" wrapText="1"/>
    </xf>
    <xf borderId="17" fillId="0" fontId="22" numFmtId="49" xfId="0" applyAlignment="1" applyBorder="1" applyFont="1" applyNumberFormat="1">
      <alignment vertical="top"/>
    </xf>
    <xf borderId="12" fillId="2" fontId="22" numFmtId="49" xfId="0" applyAlignment="1" applyBorder="1" applyFont="1" applyNumberFormat="1">
      <alignment vertical="bottom"/>
    </xf>
    <xf borderId="0" fillId="0" fontId="23" numFmtId="0" xfId="0" applyFont="1"/>
    <xf borderId="0" fillId="0" fontId="21" numFmtId="0" xfId="0" applyAlignment="1" applyFont="1">
      <alignment shrinkToFit="0" wrapText="1"/>
    </xf>
    <xf borderId="0" fillId="0" fontId="24" numFmtId="0" xfId="0" applyFont="1"/>
    <xf borderId="0" fillId="0" fontId="21" numFmtId="0" xfId="0" applyAlignment="1" applyFont="1">
      <alignment horizontal="left" shrinkToFit="0" wrapText="1"/>
    </xf>
    <xf borderId="0" fillId="0" fontId="24" numFmtId="164" xfId="0" applyAlignment="1" applyFont="1" applyNumberFormat="1">
      <alignment horizontal="left" shrinkToFit="0" vertical="center" wrapText="1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3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34" fillId="0" fontId="7" numFmtId="4" xfId="0" applyAlignment="1" applyBorder="1" applyFont="1" applyNumberFormat="1">
      <alignment horizontal="center" shrinkToFit="0" vertical="center" wrapText="1"/>
    </xf>
    <xf borderId="34" fillId="0" fontId="7" numFmtId="164" xfId="0" applyAlignment="1" applyBorder="1" applyFont="1" applyNumberFormat="1">
      <alignment horizontal="center" shrinkToFit="0" vertical="center" wrapText="1"/>
    </xf>
    <xf borderId="34" fillId="0" fontId="25" numFmtId="0" xfId="0" applyAlignment="1" applyBorder="1" applyFont="1">
      <alignment horizontal="center" shrinkToFit="0" vertical="center" wrapText="1"/>
    </xf>
    <xf borderId="35" fillId="0" fontId="7" numFmtId="0" xfId="0" applyAlignment="1" applyBorder="1" applyFont="1">
      <alignment horizontal="center" shrinkToFit="0" vertical="center" wrapText="1"/>
    </xf>
    <xf borderId="36" fillId="0" fontId="8" numFmtId="0" xfId="0" applyBorder="1" applyFont="1"/>
    <xf borderId="37" fillId="0" fontId="7" numFmtId="0" xfId="0" applyAlignment="1" applyBorder="1" applyFont="1">
      <alignment horizontal="center" shrinkToFit="0" vertical="center" wrapText="1"/>
    </xf>
    <xf borderId="37" fillId="0" fontId="25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left" shrinkToFit="0" vertical="center" wrapText="1"/>
    </xf>
    <xf borderId="19" fillId="3" fontId="25" numFmtId="0" xfId="0" applyAlignment="1" applyBorder="1" applyFont="1">
      <alignment horizontal="center" shrinkToFit="0" vertical="center" wrapText="1"/>
    </xf>
    <xf borderId="25" fillId="3" fontId="25" numFmtId="0" xfId="0" applyAlignment="1" applyBorder="1" applyFont="1">
      <alignment horizontal="center" shrinkToFit="0" vertical="center" wrapText="1"/>
    </xf>
    <xf borderId="14" fillId="3" fontId="25" numFmtId="0" xfId="0" applyAlignment="1" applyBorder="1" applyFont="1">
      <alignment horizontal="center" shrinkToFit="0" vertical="center" wrapText="1"/>
    </xf>
    <xf borderId="15" fillId="0" fontId="26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/>
    </xf>
    <xf borderId="16" fillId="0" fontId="2" numFmtId="4" xfId="0" applyAlignment="1" applyBorder="1" applyFont="1" applyNumberFormat="1">
      <alignment horizontal="right"/>
    </xf>
    <xf borderId="16" fillId="0" fontId="2" numFmtId="0" xfId="0" applyBorder="1" applyFont="1"/>
    <xf borderId="17" fillId="0" fontId="2" numFmtId="0" xfId="0" applyAlignment="1" applyBorder="1" applyFont="1">
      <alignment horizontal="center"/>
    </xf>
    <xf borderId="17" fillId="0" fontId="2" numFmtId="4" xfId="0" applyAlignment="1" applyBorder="1" applyFont="1" applyNumberFormat="1">
      <alignment horizontal="right"/>
    </xf>
    <xf borderId="11" fillId="0" fontId="2" numFmtId="49" xfId="0" applyBorder="1" applyFont="1" applyNumberFormat="1"/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1" fillId="0" fontId="2" numFmtId="49" xfId="0" applyAlignment="1" applyBorder="1" applyFont="1" applyNumberFormat="1">
      <alignment horizontal="left" vertical="center"/>
    </xf>
    <xf borderId="17" fillId="0" fontId="2" numFmtId="0" xfId="0" applyAlignment="1" applyBorder="1" applyFont="1">
      <alignment horizontal="right" shrinkToFit="0" vertical="center" wrapText="1"/>
    </xf>
    <xf borderId="39" fillId="3" fontId="26" numFmtId="0" xfId="0" applyAlignment="1" applyBorder="1" applyFont="1">
      <alignment horizontal="left" vertical="center"/>
    </xf>
    <xf borderId="16" fillId="3" fontId="2" numFmtId="0" xfId="0" applyBorder="1" applyFont="1"/>
    <xf borderId="16" fillId="3" fontId="2" numFmtId="4" xfId="0" applyAlignment="1" applyBorder="1" applyFont="1" applyNumberFormat="1">
      <alignment horizontal="right"/>
    </xf>
    <xf borderId="26" fillId="0" fontId="26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 shrinkToFit="0" vertical="center" wrapText="1"/>
    </xf>
    <xf borderId="16" fillId="0" fontId="2" numFmtId="4" xfId="0" applyAlignment="1" applyBorder="1" applyFont="1" applyNumberFormat="1">
      <alignment horizontal="right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32" fillId="0" fontId="7" numFmtId="0" xfId="0" applyAlignment="1" applyBorder="1" applyFont="1">
      <alignment horizontal="left" shrinkToFit="0" vertical="center" wrapText="1"/>
    </xf>
    <xf borderId="29" fillId="0" fontId="2" numFmtId="164" xfId="0" applyBorder="1" applyFont="1" applyNumberFormat="1"/>
    <xf borderId="0" fillId="0" fontId="1" numFmtId="164" xfId="0" applyAlignment="1" applyFont="1" applyNumberFormat="1">
      <alignment horizontal="center"/>
    </xf>
    <xf borderId="0" fillId="0" fontId="25" numFmtId="0" xfId="0" applyAlignment="1" applyFont="1">
      <alignment vertical="center"/>
    </xf>
    <xf borderId="0" fillId="0" fontId="25" numFmtId="0" xfId="0" applyAlignment="1" applyFont="1">
      <alignment horizontal="left" shrinkToFit="0" vertical="center" wrapText="1"/>
    </xf>
    <xf borderId="0" fillId="0" fontId="25" numFmtId="4" xfId="0" applyAlignment="1" applyFont="1" applyNumberFormat="1">
      <alignment horizontal="right" shrinkToFit="0" vertical="center" wrapText="1"/>
    </xf>
    <xf borderId="0" fillId="0" fontId="15" numFmtId="4" xfId="0" applyAlignment="1" applyFont="1" applyNumberFormat="1">
      <alignment horizontal="right"/>
    </xf>
    <xf borderId="0" fillId="0" fontId="25" numFmtId="0" xfId="0" applyAlignment="1" applyFont="1">
      <alignment shrinkToFit="0" wrapText="1"/>
    </xf>
    <xf borderId="0" fillId="0" fontId="27" numFmtId="0" xfId="0" applyAlignment="1" applyFont="1">
      <alignment horizontal="left" vertical="center"/>
    </xf>
    <xf borderId="0" fillId="0" fontId="25" numFmtId="0" xfId="0" applyAlignment="1" applyFont="1">
      <alignment horizontal="left" shrinkToFit="0" wrapText="1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88"/>
    <col customWidth="1" min="3" max="3" width="45.5"/>
    <col customWidth="1" min="4" max="4" width="11.63"/>
    <col customWidth="1" min="6" max="6" width="13.25"/>
    <col customWidth="1" min="7" max="7" width="37.13"/>
    <col customWidth="1" min="8" max="8" width="15.75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  <c r="AL1" s="2"/>
      <c r="AM1" s="2"/>
    </row>
    <row r="2">
      <c r="A2" s="3" t="s">
        <v>1</v>
      </c>
      <c r="AJ2" s="2"/>
      <c r="AK2" s="2"/>
      <c r="AL2" s="2"/>
      <c r="AM2" s="2"/>
    </row>
    <row r="3">
      <c r="A3" s="4"/>
      <c r="AJ3" s="2"/>
      <c r="AK3" s="2"/>
      <c r="AL3" s="2"/>
      <c r="AM3" s="2"/>
    </row>
    <row r="4">
      <c r="A4" s="5"/>
      <c r="B4" s="6"/>
      <c r="C4" s="6"/>
      <c r="D4" s="6"/>
      <c r="E4" s="7"/>
      <c r="F4" s="8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  <c r="AL4" s="2"/>
      <c r="AM4" s="2"/>
    </row>
    <row r="5">
      <c r="A5" s="5" t="s">
        <v>2</v>
      </c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2"/>
      <c r="AJ5" s="2"/>
      <c r="AK5" s="2"/>
      <c r="AL5" s="2"/>
      <c r="AM5" s="2"/>
    </row>
    <row r="6">
      <c r="A6" s="10"/>
      <c r="B6" s="6"/>
      <c r="C6" s="6"/>
      <c r="D6" s="2"/>
      <c r="E6" s="11"/>
      <c r="F6" s="12"/>
      <c r="G6" s="13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>
      <c r="A7" s="5" t="s">
        <v>3</v>
      </c>
      <c r="B7" s="6"/>
      <c r="C7" s="6"/>
      <c r="D7" s="2"/>
      <c r="E7" s="11"/>
      <c r="F7" s="12"/>
      <c r="G7" s="13"/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>
      <c r="A8" s="10" t="s">
        <v>4</v>
      </c>
      <c r="B8" s="6"/>
      <c r="C8" s="6"/>
      <c r="D8" s="2"/>
      <c r="E8" s="11"/>
      <c r="F8" s="12"/>
      <c r="G8" s="13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22.5" customHeight="1">
      <c r="A9" s="14" t="s">
        <v>5</v>
      </c>
      <c r="B9" s="15" t="s">
        <v>6</v>
      </c>
      <c r="C9" s="15" t="s">
        <v>7</v>
      </c>
      <c r="D9" s="16" t="s">
        <v>8</v>
      </c>
      <c r="E9" s="17" t="s">
        <v>9</v>
      </c>
      <c r="F9" s="18" t="s">
        <v>10</v>
      </c>
      <c r="G9" s="15" t="s">
        <v>11</v>
      </c>
      <c r="H9" s="15" t="s">
        <v>12</v>
      </c>
      <c r="I9" s="19" t="s">
        <v>13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1"/>
      <c r="AJ9" s="22"/>
      <c r="AK9" s="22"/>
      <c r="AL9" s="2"/>
      <c r="AM9" s="2"/>
    </row>
    <row r="10">
      <c r="A10" s="23"/>
      <c r="B10" s="24"/>
      <c r="C10" s="24"/>
      <c r="D10" s="25" t="s">
        <v>14</v>
      </c>
      <c r="E10" s="24"/>
      <c r="F10" s="24"/>
      <c r="G10" s="24"/>
      <c r="H10" s="24"/>
      <c r="I10" s="26" t="s">
        <v>15</v>
      </c>
      <c r="J10" s="26" t="s">
        <v>16</v>
      </c>
      <c r="K10" s="26" t="s">
        <v>17</v>
      </c>
      <c r="L10" s="27" t="s">
        <v>18</v>
      </c>
      <c r="M10" s="27" t="s">
        <v>19</v>
      </c>
      <c r="N10" s="25" t="s">
        <v>20</v>
      </c>
      <c r="O10" s="25" t="s">
        <v>21</v>
      </c>
      <c r="P10" s="25" t="s">
        <v>22</v>
      </c>
      <c r="Q10" s="25" t="s">
        <v>23</v>
      </c>
      <c r="R10" s="25" t="s">
        <v>24</v>
      </c>
      <c r="S10" s="25" t="s">
        <v>25</v>
      </c>
      <c r="T10" s="25" t="s">
        <v>26</v>
      </c>
      <c r="U10" s="25" t="s">
        <v>27</v>
      </c>
      <c r="V10" s="25" t="s">
        <v>28</v>
      </c>
      <c r="W10" s="25" t="s">
        <v>29</v>
      </c>
      <c r="X10" s="25" t="s">
        <v>30</v>
      </c>
      <c r="Y10" s="25" t="s">
        <v>31</v>
      </c>
      <c r="Z10" s="25" t="s">
        <v>32</v>
      </c>
      <c r="AA10" s="25" t="s">
        <v>33</v>
      </c>
      <c r="AB10" s="25" t="s">
        <v>34</v>
      </c>
      <c r="AC10" s="25" t="s">
        <v>35</v>
      </c>
      <c r="AD10" s="25" t="s">
        <v>36</v>
      </c>
      <c r="AE10" s="25" t="s">
        <v>37</v>
      </c>
      <c r="AF10" s="25" t="s">
        <v>38</v>
      </c>
      <c r="AG10" s="25" t="s">
        <v>39</v>
      </c>
      <c r="AH10" s="25" t="s">
        <v>40</v>
      </c>
      <c r="AI10" s="28" t="s">
        <v>41</v>
      </c>
      <c r="AJ10" s="29"/>
      <c r="AK10" s="22"/>
      <c r="AL10" s="2"/>
      <c r="AM10" s="2"/>
    </row>
    <row r="11">
      <c r="A11" s="30" t="s">
        <v>42</v>
      </c>
      <c r="B11" s="31" t="s">
        <v>43</v>
      </c>
      <c r="C11" s="31" t="s">
        <v>44</v>
      </c>
      <c r="D11" s="31" t="s">
        <v>45</v>
      </c>
      <c r="E11" s="32" t="s">
        <v>46</v>
      </c>
      <c r="F11" s="33" t="s">
        <v>47</v>
      </c>
      <c r="G11" s="31" t="s">
        <v>48</v>
      </c>
      <c r="H11" s="31" t="s">
        <v>49</v>
      </c>
      <c r="I11" s="31" t="s">
        <v>50</v>
      </c>
      <c r="J11" s="31" t="s">
        <v>51</v>
      </c>
      <c r="K11" s="31" t="s">
        <v>52</v>
      </c>
      <c r="L11" s="31" t="s">
        <v>53</v>
      </c>
      <c r="M11" s="31" t="s">
        <v>54</v>
      </c>
      <c r="N11" s="31" t="s">
        <v>55</v>
      </c>
      <c r="O11" s="31" t="s">
        <v>56</v>
      </c>
      <c r="P11" s="31" t="s">
        <v>57</v>
      </c>
      <c r="Q11" s="31" t="s">
        <v>58</v>
      </c>
      <c r="R11" s="31" t="s">
        <v>59</v>
      </c>
      <c r="S11" s="31" t="s">
        <v>60</v>
      </c>
      <c r="T11" s="31" t="s">
        <v>61</v>
      </c>
      <c r="U11" s="31" t="s">
        <v>62</v>
      </c>
      <c r="V11" s="31" t="s">
        <v>63</v>
      </c>
      <c r="W11" s="31" t="s">
        <v>64</v>
      </c>
      <c r="X11" s="31" t="s">
        <v>65</v>
      </c>
      <c r="Y11" s="31" t="s">
        <v>66</v>
      </c>
      <c r="Z11" s="31" t="s">
        <v>67</v>
      </c>
      <c r="AA11" s="31" t="s">
        <v>68</v>
      </c>
      <c r="AB11" s="31" t="s">
        <v>69</v>
      </c>
      <c r="AC11" s="31" t="s">
        <v>70</v>
      </c>
      <c r="AD11" s="31" t="s">
        <v>71</v>
      </c>
      <c r="AE11" s="31" t="s">
        <v>72</v>
      </c>
      <c r="AF11" s="31" t="s">
        <v>73</v>
      </c>
      <c r="AG11" s="31" t="s">
        <v>74</v>
      </c>
      <c r="AH11" s="31" t="s">
        <v>75</v>
      </c>
      <c r="AI11" s="34" t="s">
        <v>76</v>
      </c>
      <c r="AJ11" s="22"/>
      <c r="AK11" s="22"/>
      <c r="AL11" s="2"/>
      <c r="AM11" s="2"/>
    </row>
    <row r="12">
      <c r="A12" s="35" t="s">
        <v>77</v>
      </c>
      <c r="B12" s="36"/>
      <c r="C12" s="37" t="s">
        <v>78</v>
      </c>
      <c r="D12" s="38"/>
      <c r="E12" s="39"/>
      <c r="F12" s="40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2"/>
      <c r="AJ12" s="22"/>
      <c r="AK12" s="22"/>
      <c r="AL12" s="2"/>
      <c r="AM12" s="2"/>
    </row>
    <row r="13">
      <c r="A13" s="43"/>
      <c r="B13" s="44"/>
      <c r="C13" s="45" t="s">
        <v>79</v>
      </c>
      <c r="D13" s="46" t="s">
        <v>80</v>
      </c>
      <c r="E13" s="47">
        <v>1000.0</v>
      </c>
      <c r="F13" s="48">
        <f t="shared" ref="F13:F17" si="1">E13*10</f>
        <v>10000</v>
      </c>
      <c r="G13" s="49" t="s">
        <v>81</v>
      </c>
      <c r="H13" s="50" t="s">
        <v>82</v>
      </c>
      <c r="I13" s="51">
        <v>10.0</v>
      </c>
      <c r="J13" s="52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4"/>
      <c r="AI13" s="55"/>
      <c r="AJ13" s="56"/>
      <c r="AK13" s="56"/>
      <c r="AL13" s="8"/>
      <c r="AM13" s="8"/>
    </row>
    <row r="14" ht="15.75" customHeight="1">
      <c r="A14" s="57"/>
      <c r="B14" s="58"/>
      <c r="C14" s="45" t="s">
        <v>83</v>
      </c>
      <c r="D14" s="59"/>
      <c r="E14" s="47">
        <v>1000.0</v>
      </c>
      <c r="F14" s="60">
        <f t="shared" si="1"/>
        <v>10000</v>
      </c>
      <c r="G14" s="61"/>
      <c r="H14" s="59"/>
      <c r="I14" s="62">
        <v>5.0</v>
      </c>
      <c r="J14" s="63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6"/>
      <c r="AK14" s="56"/>
      <c r="AL14" s="8"/>
      <c r="AM14" s="8"/>
    </row>
    <row r="15" ht="15.75" customHeight="1">
      <c r="A15" s="57"/>
      <c r="B15" s="58"/>
      <c r="C15" s="45" t="s">
        <v>84</v>
      </c>
      <c r="D15" s="59"/>
      <c r="E15" s="47">
        <v>1000.0</v>
      </c>
      <c r="F15" s="60">
        <f t="shared" si="1"/>
        <v>10000</v>
      </c>
      <c r="G15" s="61"/>
      <c r="H15" s="59"/>
      <c r="I15" s="64">
        <v>5.0</v>
      </c>
      <c r="J15" s="52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65"/>
      <c r="AI15" s="54"/>
      <c r="AJ15" s="56"/>
      <c r="AK15" s="56"/>
      <c r="AL15" s="8"/>
      <c r="AM15" s="8"/>
    </row>
    <row r="16" ht="15.75" customHeight="1">
      <c r="A16" s="57"/>
      <c r="B16" s="58"/>
      <c r="C16" s="45" t="s">
        <v>85</v>
      </c>
      <c r="D16" s="66"/>
      <c r="E16" s="47">
        <v>1000.0</v>
      </c>
      <c r="F16" s="60">
        <f t="shared" si="1"/>
        <v>10000</v>
      </c>
      <c r="G16" s="61"/>
      <c r="H16" s="59"/>
      <c r="I16" s="64">
        <v>5.0</v>
      </c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65"/>
      <c r="AI16" s="54"/>
      <c r="AJ16" s="56"/>
      <c r="AK16" s="56"/>
      <c r="AL16" s="8"/>
      <c r="AM16" s="8"/>
    </row>
    <row r="17" ht="15.75" customHeight="1">
      <c r="A17" s="57"/>
      <c r="B17" s="58"/>
      <c r="C17" s="67" t="s">
        <v>86</v>
      </c>
      <c r="D17" s="46" t="s">
        <v>80</v>
      </c>
      <c r="E17" s="68">
        <v>800.0</v>
      </c>
      <c r="F17" s="69">
        <f t="shared" si="1"/>
        <v>8000</v>
      </c>
      <c r="G17" s="61"/>
      <c r="H17" s="59"/>
      <c r="I17" s="64">
        <v>10.0</v>
      </c>
      <c r="J17" s="52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65"/>
      <c r="AI17" s="54"/>
      <c r="AJ17" s="56"/>
      <c r="AK17" s="56"/>
      <c r="AL17" s="8"/>
      <c r="AM17" s="8"/>
    </row>
    <row r="18" ht="15.75" customHeight="1">
      <c r="A18" s="57"/>
      <c r="B18" s="58"/>
      <c r="C18" s="67" t="s">
        <v>87</v>
      </c>
      <c r="D18" s="59"/>
      <c r="E18" s="70">
        <v>800.0</v>
      </c>
      <c r="F18" s="69">
        <f t="shared" ref="F18:F24" si="2">E18*5</f>
        <v>4000</v>
      </c>
      <c r="G18" s="61"/>
      <c r="H18" s="59"/>
      <c r="I18" s="64">
        <v>5.0</v>
      </c>
      <c r="J18" s="52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65"/>
      <c r="AI18" s="54"/>
      <c r="AJ18" s="56"/>
      <c r="AK18" s="56"/>
      <c r="AL18" s="8"/>
      <c r="AM18" s="8"/>
    </row>
    <row r="19" ht="15.75" customHeight="1">
      <c r="A19" s="57"/>
      <c r="B19" s="58"/>
      <c r="C19" s="67" t="s">
        <v>88</v>
      </c>
      <c r="D19" s="59"/>
      <c r="E19" s="71">
        <v>800.0</v>
      </c>
      <c r="F19" s="69">
        <f t="shared" si="2"/>
        <v>4000</v>
      </c>
      <c r="G19" s="61"/>
      <c r="H19" s="59"/>
      <c r="I19" s="64">
        <v>5.0</v>
      </c>
      <c r="J19" s="52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65"/>
      <c r="AI19" s="54"/>
      <c r="AJ19" s="56"/>
      <c r="AK19" s="56"/>
      <c r="AL19" s="8"/>
      <c r="AM19" s="8"/>
    </row>
    <row r="20" ht="15.75" customHeight="1">
      <c r="A20" s="57"/>
      <c r="B20" s="58"/>
      <c r="C20" s="67" t="s">
        <v>89</v>
      </c>
      <c r="D20" s="66"/>
      <c r="E20" s="68">
        <v>800.0</v>
      </c>
      <c r="F20" s="69">
        <f t="shared" si="2"/>
        <v>4000</v>
      </c>
      <c r="G20" s="61"/>
      <c r="H20" s="59"/>
      <c r="I20" s="64">
        <v>5.0</v>
      </c>
      <c r="J20" s="52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65"/>
      <c r="AI20" s="54"/>
      <c r="AJ20" s="56"/>
      <c r="AK20" s="56"/>
      <c r="AL20" s="8"/>
      <c r="AM20" s="8"/>
    </row>
    <row r="21" ht="15.75" customHeight="1">
      <c r="A21" s="57"/>
      <c r="B21" s="58"/>
      <c r="C21" s="67" t="s">
        <v>90</v>
      </c>
      <c r="D21" s="46" t="s">
        <v>80</v>
      </c>
      <c r="E21" s="68">
        <v>2000.0</v>
      </c>
      <c r="F21" s="69">
        <f t="shared" si="2"/>
        <v>10000</v>
      </c>
      <c r="G21" s="61"/>
      <c r="H21" s="59"/>
      <c r="I21" s="64">
        <v>5.0</v>
      </c>
      <c r="J21" s="52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65"/>
      <c r="AI21" s="54"/>
      <c r="AJ21" s="56"/>
      <c r="AK21" s="56"/>
      <c r="AL21" s="8"/>
      <c r="AM21" s="8"/>
    </row>
    <row r="22" ht="15.75" customHeight="1">
      <c r="A22" s="57"/>
      <c r="B22" s="58"/>
      <c r="C22" s="72" t="s">
        <v>91</v>
      </c>
      <c r="D22" s="59"/>
      <c r="E22" s="68">
        <v>2000.0</v>
      </c>
      <c r="F22" s="69">
        <f t="shared" si="2"/>
        <v>10000</v>
      </c>
      <c r="G22" s="61"/>
      <c r="H22" s="59"/>
      <c r="I22" s="64">
        <v>5.0</v>
      </c>
      <c r="J22" s="64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65"/>
      <c r="AI22" s="54"/>
      <c r="AJ22" s="56"/>
      <c r="AK22" s="56"/>
      <c r="AL22" s="8"/>
      <c r="AM22" s="8"/>
    </row>
    <row r="23" ht="15.75" customHeight="1">
      <c r="A23" s="57"/>
      <c r="B23" s="58"/>
      <c r="C23" s="73" t="s">
        <v>92</v>
      </c>
      <c r="D23" s="59"/>
      <c r="E23" s="68">
        <v>2000.0</v>
      </c>
      <c r="F23" s="69">
        <f t="shared" si="2"/>
        <v>10000</v>
      </c>
      <c r="G23" s="61"/>
      <c r="H23" s="59"/>
      <c r="I23" s="64">
        <v>5.0</v>
      </c>
      <c r="J23" s="64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65"/>
      <c r="AI23" s="54"/>
      <c r="AJ23" s="56"/>
      <c r="AK23" s="56"/>
      <c r="AL23" s="8"/>
      <c r="AM23" s="8"/>
    </row>
    <row r="24" ht="15.75" customHeight="1">
      <c r="A24" s="57"/>
      <c r="B24" s="58"/>
      <c r="C24" s="72" t="s">
        <v>93</v>
      </c>
      <c r="D24" s="66"/>
      <c r="E24" s="68">
        <v>2000.0</v>
      </c>
      <c r="F24" s="69">
        <f t="shared" si="2"/>
        <v>10000</v>
      </c>
      <c r="G24" s="61"/>
      <c r="H24" s="59"/>
      <c r="I24" s="64">
        <v>5.0</v>
      </c>
      <c r="J24" s="64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65"/>
      <c r="AI24" s="54"/>
      <c r="AJ24" s="56"/>
      <c r="AK24" s="56"/>
      <c r="AL24" s="8"/>
      <c r="AM24" s="8"/>
    </row>
    <row r="25" ht="15.75" customHeight="1">
      <c r="A25" s="57"/>
      <c r="B25" s="58"/>
      <c r="C25" s="72" t="s">
        <v>94</v>
      </c>
      <c r="D25" s="74" t="s">
        <v>95</v>
      </c>
      <c r="E25" s="68">
        <v>1500.0</v>
      </c>
      <c r="F25" s="69">
        <f>E25*10</f>
        <v>15000</v>
      </c>
      <c r="G25" s="75"/>
      <c r="H25" s="66"/>
      <c r="I25" s="64">
        <v>5.0</v>
      </c>
      <c r="J25" s="64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65"/>
      <c r="AI25" s="54"/>
      <c r="AJ25" s="56"/>
      <c r="AK25" s="56"/>
      <c r="AL25" s="8"/>
      <c r="AM25" s="8"/>
    </row>
    <row r="26" ht="15.75" customHeight="1">
      <c r="A26" s="57"/>
      <c r="B26" s="76" t="s">
        <v>96</v>
      </c>
      <c r="C26" s="72" t="s">
        <v>97</v>
      </c>
      <c r="D26" s="46" t="s">
        <v>80</v>
      </c>
      <c r="E26" s="68">
        <v>300.0</v>
      </c>
      <c r="F26" s="69">
        <f>300*20</f>
        <v>6000</v>
      </c>
      <c r="G26" s="77" t="s">
        <v>98</v>
      </c>
      <c r="H26" s="50" t="s">
        <v>82</v>
      </c>
      <c r="I26" s="64">
        <v>20.0</v>
      </c>
      <c r="J26" s="64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65"/>
      <c r="AI26" s="54"/>
      <c r="AJ26" s="56"/>
      <c r="AK26" s="56"/>
      <c r="AL26" s="8"/>
      <c r="AM26" s="8"/>
    </row>
    <row r="27" ht="15.75" customHeight="1">
      <c r="A27" s="57"/>
      <c r="B27" s="58"/>
      <c r="C27" s="72" t="s">
        <v>99</v>
      </c>
      <c r="D27" s="59"/>
      <c r="E27" s="68">
        <v>300.0</v>
      </c>
      <c r="F27" s="78">
        <f t="shared" ref="F27:F28" si="3">E27*50</f>
        <v>15000</v>
      </c>
      <c r="G27" s="61"/>
      <c r="H27" s="59"/>
      <c r="I27" s="64">
        <v>50.0</v>
      </c>
      <c r="J27" s="64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65"/>
      <c r="AI27" s="54"/>
      <c r="AJ27" s="56"/>
      <c r="AK27" s="56"/>
      <c r="AL27" s="8"/>
      <c r="AM27" s="8"/>
    </row>
    <row r="28" ht="15.75" customHeight="1">
      <c r="A28" s="57"/>
      <c r="B28" s="58"/>
      <c r="C28" s="72" t="s">
        <v>100</v>
      </c>
      <c r="D28" s="59"/>
      <c r="E28" s="68">
        <v>150.0</v>
      </c>
      <c r="F28" s="78">
        <f t="shared" si="3"/>
        <v>7500</v>
      </c>
      <c r="G28" s="61"/>
      <c r="H28" s="59"/>
      <c r="I28" s="64">
        <v>50.0</v>
      </c>
      <c r="J28" s="64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65"/>
      <c r="AI28" s="54"/>
      <c r="AJ28" s="56"/>
      <c r="AK28" s="56"/>
      <c r="AL28" s="8"/>
      <c r="AM28" s="8"/>
    </row>
    <row r="29">
      <c r="A29" s="43"/>
      <c r="B29" s="44"/>
      <c r="C29" s="79" t="s">
        <v>101</v>
      </c>
      <c r="D29" s="59"/>
      <c r="E29" s="47">
        <v>500.0</v>
      </c>
      <c r="F29" s="80">
        <f>10*E29</f>
        <v>5000</v>
      </c>
      <c r="G29" s="61"/>
      <c r="H29" s="59"/>
      <c r="I29" s="51">
        <v>10.0</v>
      </c>
      <c r="J29" s="52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4"/>
      <c r="AI29" s="55"/>
      <c r="AJ29" s="56"/>
      <c r="AK29" s="56"/>
      <c r="AL29" s="8"/>
      <c r="AM29" s="8"/>
    </row>
    <row r="30" ht="15.75" customHeight="1">
      <c r="A30" s="57"/>
      <c r="B30" s="76" t="s">
        <v>96</v>
      </c>
      <c r="C30" s="81" t="s">
        <v>102</v>
      </c>
      <c r="D30" s="59"/>
      <c r="E30" s="82">
        <v>1000.0</v>
      </c>
      <c r="F30" s="83">
        <f>E30*5</f>
        <v>5000</v>
      </c>
      <c r="G30" s="61"/>
      <c r="H30" s="59"/>
      <c r="I30" s="51">
        <v>5.0</v>
      </c>
      <c r="J30" s="64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65"/>
      <c r="AI30" s="55"/>
      <c r="AJ30" s="56"/>
      <c r="AK30" s="56"/>
      <c r="AL30" s="8"/>
      <c r="AM30" s="8"/>
    </row>
    <row r="31" ht="15.75" customHeight="1">
      <c r="A31" s="57"/>
      <c r="B31" s="58"/>
      <c r="C31" s="81" t="s">
        <v>103</v>
      </c>
      <c r="D31" s="66"/>
      <c r="E31" s="82">
        <v>450.0</v>
      </c>
      <c r="F31" s="83">
        <f>E31*25</f>
        <v>11250</v>
      </c>
      <c r="G31" s="75"/>
      <c r="H31" s="66"/>
      <c r="I31" s="51">
        <v>25.0</v>
      </c>
      <c r="J31" s="64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65"/>
      <c r="AI31" s="55"/>
      <c r="AJ31" s="56"/>
      <c r="AK31" s="56"/>
      <c r="AL31" s="8"/>
      <c r="AM31" s="8"/>
    </row>
    <row r="32" ht="15.75" customHeight="1">
      <c r="A32" s="57"/>
      <c r="B32" s="58"/>
      <c r="C32" s="84" t="s">
        <v>104</v>
      </c>
      <c r="D32" s="85" t="s">
        <v>105</v>
      </c>
      <c r="E32" s="68">
        <v>30000.0</v>
      </c>
      <c r="F32" s="78">
        <f>E32*2</f>
        <v>60000</v>
      </c>
      <c r="G32" s="86" t="s">
        <v>98</v>
      </c>
      <c r="H32" s="87" t="s">
        <v>106</v>
      </c>
      <c r="I32" s="64">
        <v>2.0</v>
      </c>
      <c r="J32" s="64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65"/>
      <c r="AI32" s="54"/>
      <c r="AJ32" s="56"/>
      <c r="AK32" s="56"/>
      <c r="AL32" s="8"/>
      <c r="AM32" s="8"/>
    </row>
    <row r="33">
      <c r="A33" s="57"/>
      <c r="B33" s="58"/>
      <c r="C33" s="67" t="s">
        <v>107</v>
      </c>
      <c r="D33" s="62" t="s">
        <v>108</v>
      </c>
      <c r="E33" s="68">
        <v>10000.0</v>
      </c>
      <c r="F33" s="78">
        <f>10*E33</f>
        <v>100000</v>
      </c>
      <c r="G33" s="88" t="s">
        <v>109</v>
      </c>
      <c r="H33" s="58" t="s">
        <v>82</v>
      </c>
      <c r="I33" s="64">
        <v>10.0</v>
      </c>
      <c r="J33" s="52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65"/>
      <c r="AI33" s="54"/>
      <c r="AJ33" s="56"/>
      <c r="AK33" s="56"/>
      <c r="AL33" s="8"/>
      <c r="AM33" s="8"/>
    </row>
    <row r="34">
      <c r="A34" s="57"/>
      <c r="B34" s="58"/>
      <c r="C34" s="67" t="s">
        <v>110</v>
      </c>
      <c r="D34" s="62" t="s">
        <v>108</v>
      </c>
      <c r="E34" s="68">
        <v>20000.0</v>
      </c>
      <c r="F34" s="78">
        <f>E34*10</f>
        <v>200000</v>
      </c>
      <c r="G34" s="88" t="s">
        <v>109</v>
      </c>
      <c r="H34" s="58" t="s">
        <v>82</v>
      </c>
      <c r="I34" s="64">
        <v>4.0</v>
      </c>
      <c r="J34" s="64">
        <v>6.0</v>
      </c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65"/>
      <c r="AI34" s="54"/>
      <c r="AJ34" s="56"/>
      <c r="AK34" s="56"/>
      <c r="AL34" s="8"/>
      <c r="AM34" s="8"/>
    </row>
    <row r="35" ht="15.75" customHeight="1">
      <c r="A35" s="89" t="s">
        <v>111</v>
      </c>
      <c r="B35" s="90"/>
      <c r="C35" s="91" t="s">
        <v>112</v>
      </c>
      <c r="D35" s="92"/>
      <c r="E35" s="93"/>
      <c r="F35" s="94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6"/>
      <c r="AI35" s="97"/>
      <c r="AJ35" s="98"/>
      <c r="AK35" s="98"/>
      <c r="AL35" s="6"/>
      <c r="AM35" s="6"/>
    </row>
    <row r="36" ht="42.0" customHeight="1">
      <c r="A36" s="99"/>
      <c r="B36" s="100"/>
      <c r="C36" s="101" t="s">
        <v>113</v>
      </c>
      <c r="D36" s="102" t="s">
        <v>114</v>
      </c>
      <c r="E36" s="103">
        <v>500.0</v>
      </c>
      <c r="F36" s="104">
        <f>500*50</f>
        <v>25000</v>
      </c>
      <c r="G36" s="86" t="s">
        <v>98</v>
      </c>
      <c r="H36" s="58" t="s">
        <v>82</v>
      </c>
      <c r="I36" s="54"/>
      <c r="J36" s="62">
        <v>50.0</v>
      </c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98"/>
      <c r="AK36" s="98"/>
      <c r="AL36" s="6"/>
      <c r="AM36" s="6"/>
    </row>
    <row r="37" ht="56.25" customHeight="1">
      <c r="A37" s="106"/>
      <c r="B37" s="107"/>
      <c r="C37" s="101" t="s">
        <v>115</v>
      </c>
      <c r="D37" s="108" t="s">
        <v>114</v>
      </c>
      <c r="E37" s="109">
        <v>500.0</v>
      </c>
      <c r="F37" s="110">
        <f>50*500</f>
        <v>25000</v>
      </c>
      <c r="G37" s="86" t="s">
        <v>98</v>
      </c>
      <c r="H37" s="58" t="s">
        <v>82</v>
      </c>
      <c r="I37" s="111"/>
      <c r="J37" s="108">
        <v>50.0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6"/>
      <c r="AK37" s="6"/>
      <c r="AL37" s="6"/>
      <c r="AM37" s="6"/>
    </row>
    <row r="38" ht="56.25" customHeight="1">
      <c r="A38" s="106"/>
      <c r="B38" s="107"/>
      <c r="C38" s="101" t="s">
        <v>116</v>
      </c>
      <c r="D38" s="108" t="s">
        <v>117</v>
      </c>
      <c r="E38" s="109">
        <v>450.0</v>
      </c>
      <c r="F38" s="110">
        <f t="shared" ref="F38:F39" si="4">60*E38</f>
        <v>27000</v>
      </c>
      <c r="G38" s="86" t="s">
        <v>98</v>
      </c>
      <c r="H38" s="58" t="s">
        <v>82</v>
      </c>
      <c r="I38" s="111"/>
      <c r="J38" s="108">
        <v>60.0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6"/>
      <c r="AK38" s="6"/>
      <c r="AL38" s="6"/>
      <c r="AM38" s="6"/>
    </row>
    <row r="39">
      <c r="A39" s="106"/>
      <c r="B39" s="107"/>
      <c r="C39" s="101" t="s">
        <v>118</v>
      </c>
      <c r="D39" s="108" t="s">
        <v>117</v>
      </c>
      <c r="E39" s="109">
        <v>1000.0</v>
      </c>
      <c r="F39" s="112">
        <f t="shared" si="4"/>
        <v>60000</v>
      </c>
      <c r="G39" s="86" t="s">
        <v>98</v>
      </c>
      <c r="H39" s="58" t="s">
        <v>82</v>
      </c>
      <c r="I39" s="111"/>
      <c r="J39" s="108">
        <v>60.0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6"/>
      <c r="AK39" s="6"/>
      <c r="AL39" s="6"/>
      <c r="AM39" s="6"/>
    </row>
    <row r="40" ht="30.75" customHeight="1">
      <c r="A40" s="106"/>
      <c r="B40" s="107"/>
      <c r="C40" s="113" t="s">
        <v>119</v>
      </c>
      <c r="D40" s="108" t="s">
        <v>117</v>
      </c>
      <c r="E40" s="109">
        <v>500.0</v>
      </c>
      <c r="F40" s="112">
        <f>500*60</f>
        <v>30000</v>
      </c>
      <c r="G40" s="86" t="s">
        <v>98</v>
      </c>
      <c r="H40" s="114" t="s">
        <v>120</v>
      </c>
      <c r="I40" s="108"/>
      <c r="J40" s="115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8"/>
      <c r="AK40" s="8"/>
      <c r="AL40" s="8"/>
      <c r="AM40" s="8"/>
    </row>
    <row r="41" ht="18.0" customHeight="1">
      <c r="A41" s="106"/>
      <c r="B41" s="107"/>
      <c r="C41" s="116" t="s">
        <v>121</v>
      </c>
      <c r="D41" s="108" t="s">
        <v>122</v>
      </c>
      <c r="E41" s="109">
        <v>350000.0</v>
      </c>
      <c r="F41" s="112">
        <v>350000.0</v>
      </c>
      <c r="G41" s="88" t="s">
        <v>109</v>
      </c>
      <c r="H41" s="114" t="s">
        <v>123</v>
      </c>
      <c r="I41" s="108">
        <v>1.0</v>
      </c>
      <c r="J41" s="115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8"/>
      <c r="AK41" s="8"/>
      <c r="AL41" s="8"/>
      <c r="AM41" s="8"/>
    </row>
    <row r="42">
      <c r="A42" s="106"/>
      <c r="B42" s="107"/>
      <c r="C42" s="116" t="s">
        <v>124</v>
      </c>
      <c r="D42" s="108" t="s">
        <v>105</v>
      </c>
      <c r="E42" s="109">
        <v>49990.0</v>
      </c>
      <c r="F42" s="110">
        <f>E42*2</f>
        <v>99980</v>
      </c>
      <c r="G42" s="88" t="s">
        <v>109</v>
      </c>
      <c r="H42" s="58" t="s">
        <v>82</v>
      </c>
      <c r="I42" s="108">
        <v>2.0</v>
      </c>
      <c r="J42" s="115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8"/>
      <c r="AK42" s="8"/>
      <c r="AL42" s="8"/>
      <c r="AM42" s="8"/>
    </row>
    <row r="43">
      <c r="A43" s="106"/>
      <c r="B43" s="107"/>
      <c r="C43" s="117" t="s">
        <v>125</v>
      </c>
      <c r="D43" s="118" t="s">
        <v>122</v>
      </c>
      <c r="E43" s="119">
        <v>180000.0</v>
      </c>
      <c r="F43" s="120">
        <v>120000.0</v>
      </c>
      <c r="G43" s="121" t="s">
        <v>109</v>
      </c>
      <c r="H43" s="118" t="s">
        <v>126</v>
      </c>
      <c r="I43" s="122">
        <v>1.0</v>
      </c>
      <c r="J43" s="123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8"/>
      <c r="AK43" s="8"/>
      <c r="AL43" s="8"/>
      <c r="AM43" s="8"/>
    </row>
    <row r="44">
      <c r="A44" s="106"/>
      <c r="B44" s="107"/>
      <c r="C44" s="117" t="s">
        <v>127</v>
      </c>
      <c r="D44" s="121" t="s">
        <v>122</v>
      </c>
      <c r="E44" s="124">
        <v>120000.0</v>
      </c>
      <c r="F44" s="125">
        <v>120000.0</v>
      </c>
      <c r="G44" s="121" t="s">
        <v>109</v>
      </c>
      <c r="H44" s="121" t="s">
        <v>126</v>
      </c>
      <c r="I44" s="126"/>
      <c r="J44" s="127">
        <v>1.0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8"/>
      <c r="AK44" s="8"/>
      <c r="AL44" s="8"/>
      <c r="AM44" s="8"/>
    </row>
    <row r="45">
      <c r="A45" s="106"/>
      <c r="B45" s="107"/>
      <c r="C45" s="128" t="s">
        <v>128</v>
      </c>
      <c r="D45" s="121" t="s">
        <v>122</v>
      </c>
      <c r="E45" s="124">
        <v>120000.0</v>
      </c>
      <c r="F45" s="125">
        <v>120000.0</v>
      </c>
      <c r="G45" s="121" t="s">
        <v>109</v>
      </c>
      <c r="H45" s="121" t="s">
        <v>126</v>
      </c>
      <c r="I45" s="126"/>
      <c r="J45" s="127">
        <v>1.0</v>
      </c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8"/>
      <c r="AK45" s="8"/>
      <c r="AL45" s="8"/>
      <c r="AM45" s="8"/>
    </row>
    <row r="46" ht="20.25" customHeight="1">
      <c r="A46" s="106"/>
      <c r="B46" s="107"/>
      <c r="C46" s="113" t="s">
        <v>129</v>
      </c>
      <c r="D46" s="129" t="s">
        <v>130</v>
      </c>
      <c r="E46" s="130">
        <v>500.0</v>
      </c>
      <c r="F46" s="131">
        <f>E46*50</f>
        <v>25000</v>
      </c>
      <c r="G46" s="121" t="s">
        <v>109</v>
      </c>
      <c r="H46" s="132" t="s">
        <v>131</v>
      </c>
      <c r="I46" s="133"/>
      <c r="J46" s="134">
        <v>50.0</v>
      </c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8"/>
      <c r="AK46" s="8"/>
      <c r="AL46" s="8"/>
      <c r="AM46" s="8"/>
    </row>
    <row r="47" ht="20.25" customHeight="1">
      <c r="A47" s="106"/>
      <c r="B47" s="107"/>
      <c r="C47" s="113" t="s">
        <v>132</v>
      </c>
      <c r="D47" s="129" t="s">
        <v>133</v>
      </c>
      <c r="E47" s="130">
        <v>500.0</v>
      </c>
      <c r="F47" s="131">
        <f>E47*20</f>
        <v>10000</v>
      </c>
      <c r="G47" s="121" t="s">
        <v>109</v>
      </c>
      <c r="H47" s="132" t="s">
        <v>131</v>
      </c>
      <c r="I47" s="133"/>
      <c r="J47" s="134">
        <v>20.0</v>
      </c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8"/>
      <c r="AK47" s="8"/>
      <c r="AL47" s="8"/>
      <c r="AM47" s="8"/>
    </row>
    <row r="48" ht="20.25" customHeight="1">
      <c r="A48" s="106"/>
      <c r="B48" s="107"/>
      <c r="C48" s="135" t="s">
        <v>134</v>
      </c>
      <c r="D48" s="136" t="s">
        <v>122</v>
      </c>
      <c r="E48" s="137">
        <v>49999.0</v>
      </c>
      <c r="F48" s="138">
        <f>E48</f>
        <v>49999</v>
      </c>
      <c r="G48" s="86" t="s">
        <v>98</v>
      </c>
      <c r="H48" s="58" t="s">
        <v>82</v>
      </c>
      <c r="I48" s="139"/>
      <c r="J48" s="108">
        <v>1.0</v>
      </c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6"/>
      <c r="AK48" s="6"/>
      <c r="AL48" s="6"/>
      <c r="AM48" s="6"/>
    </row>
    <row r="49" ht="15.75" customHeight="1">
      <c r="A49" s="140" t="s">
        <v>135</v>
      </c>
      <c r="B49" s="141"/>
      <c r="C49" s="142" t="s">
        <v>136</v>
      </c>
      <c r="D49" s="143"/>
      <c r="E49" s="144"/>
      <c r="F49" s="145"/>
      <c r="G49" s="146"/>
      <c r="H49" s="146"/>
      <c r="I49" s="147"/>
      <c r="J49" s="147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6"/>
      <c r="AK49" s="6"/>
      <c r="AL49" s="6"/>
      <c r="AM49" s="6"/>
    </row>
    <row r="50" ht="16.5" customHeight="1">
      <c r="A50" s="43"/>
      <c r="B50" s="148"/>
      <c r="C50" s="79" t="s">
        <v>137</v>
      </c>
      <c r="D50" s="62" t="s">
        <v>138</v>
      </c>
      <c r="E50" s="70">
        <v>8000.0</v>
      </c>
      <c r="F50" s="78">
        <f>E50*40</f>
        <v>320000</v>
      </c>
      <c r="G50" s="88" t="s">
        <v>109</v>
      </c>
      <c r="H50" s="87" t="s">
        <v>126</v>
      </c>
      <c r="I50" s="62">
        <v>40.0</v>
      </c>
      <c r="J50" s="149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98"/>
      <c r="AK50" s="98"/>
      <c r="AL50" s="6"/>
      <c r="AM50" s="6"/>
    </row>
    <row r="51">
      <c r="A51" s="43"/>
      <c r="B51" s="150"/>
      <c r="C51" s="151" t="s">
        <v>139</v>
      </c>
      <c r="D51" s="132" t="s">
        <v>140</v>
      </c>
      <c r="E51" s="152">
        <v>6500.0</v>
      </c>
      <c r="F51" s="78">
        <f>20*6500</f>
        <v>130000</v>
      </c>
      <c r="G51" s="88" t="s">
        <v>109</v>
      </c>
      <c r="H51" s="87" t="s">
        <v>126</v>
      </c>
      <c r="I51" s="62">
        <v>20.0</v>
      </c>
      <c r="J51" s="149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98"/>
      <c r="AK51" s="98"/>
      <c r="AL51" s="6"/>
      <c r="AM51" s="6"/>
    </row>
    <row r="52">
      <c r="A52" s="43"/>
      <c r="B52" s="148"/>
      <c r="C52" s="153" t="s">
        <v>141</v>
      </c>
      <c r="D52" s="132" t="s">
        <v>140</v>
      </c>
      <c r="E52" s="152">
        <v>2000.0</v>
      </c>
      <c r="F52" s="78">
        <f>2000*20</f>
        <v>40000</v>
      </c>
      <c r="G52" s="88" t="s">
        <v>109</v>
      </c>
      <c r="H52" s="76" t="s">
        <v>126</v>
      </c>
      <c r="I52" s="62">
        <v>20.0</v>
      </c>
      <c r="J52" s="63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98"/>
      <c r="AK52" s="98"/>
      <c r="AL52" s="6"/>
      <c r="AM52" s="6"/>
    </row>
    <row r="53">
      <c r="A53" s="43"/>
      <c r="B53" s="148"/>
      <c r="C53" s="79" t="s">
        <v>142</v>
      </c>
      <c r="D53" s="154" t="s">
        <v>122</v>
      </c>
      <c r="E53" s="152">
        <v>3500.0</v>
      </c>
      <c r="F53" s="69">
        <f t="shared" ref="F53:F54" si="5">30*E53</f>
        <v>105000</v>
      </c>
      <c r="G53" s="155" t="s">
        <v>143</v>
      </c>
      <c r="H53" s="87" t="s">
        <v>144</v>
      </c>
      <c r="I53" s="62"/>
      <c r="J53" s="62">
        <v>30.0</v>
      </c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98"/>
      <c r="AK53" s="98"/>
      <c r="AL53" s="6"/>
      <c r="AM53" s="6"/>
    </row>
    <row r="54" ht="15.75" customHeight="1">
      <c r="A54" s="43"/>
      <c r="B54" s="148"/>
      <c r="C54" s="153" t="s">
        <v>145</v>
      </c>
      <c r="D54" s="66"/>
      <c r="E54" s="152">
        <v>3500.0</v>
      </c>
      <c r="F54" s="69">
        <f t="shared" si="5"/>
        <v>105000</v>
      </c>
      <c r="G54" s="75"/>
      <c r="H54" s="66"/>
      <c r="I54" s="62"/>
      <c r="J54" s="62">
        <v>30.0</v>
      </c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98"/>
      <c r="AK54" s="98"/>
      <c r="AL54" s="6"/>
      <c r="AM54" s="6"/>
    </row>
    <row r="55" ht="15.75" customHeight="1">
      <c r="A55" s="43"/>
      <c r="B55" s="148"/>
      <c r="C55" s="156" t="s">
        <v>146</v>
      </c>
      <c r="D55" s="157" t="s">
        <v>122</v>
      </c>
      <c r="E55" s="158">
        <v>2000.0</v>
      </c>
      <c r="F55" s="78">
        <f>2000*20</f>
        <v>40000</v>
      </c>
      <c r="G55" s="49" t="s">
        <v>109</v>
      </c>
      <c r="H55" s="50" t="s">
        <v>82</v>
      </c>
      <c r="I55" s="62">
        <v>20.0</v>
      </c>
      <c r="J55" s="63"/>
      <c r="K55" s="105"/>
      <c r="L55" s="105"/>
      <c r="M55" s="105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05"/>
      <c r="AB55" s="105"/>
      <c r="AC55" s="105"/>
      <c r="AD55" s="105"/>
      <c r="AE55" s="105"/>
      <c r="AF55" s="105"/>
      <c r="AG55" s="105"/>
      <c r="AH55" s="105"/>
      <c r="AI55" s="105"/>
      <c r="AJ55" s="98"/>
      <c r="AK55" s="98"/>
      <c r="AL55" s="6"/>
      <c r="AM55" s="6"/>
    </row>
    <row r="56" ht="15.75" customHeight="1">
      <c r="A56" s="57"/>
      <c r="B56" s="63"/>
      <c r="C56" s="160" t="s">
        <v>147</v>
      </c>
      <c r="D56" s="61"/>
      <c r="E56" s="68">
        <v>500.0</v>
      </c>
      <c r="F56" s="78">
        <f>500*15</f>
        <v>7500</v>
      </c>
      <c r="G56" s="61"/>
      <c r="H56" s="59"/>
      <c r="I56" s="64">
        <v>20.0</v>
      </c>
      <c r="J56" s="161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3"/>
      <c r="AI56" s="105"/>
      <c r="AJ56" s="98"/>
      <c r="AK56" s="98"/>
      <c r="AL56" s="6"/>
      <c r="AM56" s="6"/>
    </row>
    <row r="57" ht="15.75" customHeight="1">
      <c r="A57" s="57"/>
      <c r="B57" s="63"/>
      <c r="C57" s="160" t="s">
        <v>148</v>
      </c>
      <c r="D57" s="61"/>
      <c r="E57" s="68">
        <v>500.0</v>
      </c>
      <c r="F57" s="78">
        <f>24*E57</f>
        <v>12000</v>
      </c>
      <c r="G57" s="61"/>
      <c r="H57" s="59"/>
      <c r="I57" s="64">
        <v>24.0</v>
      </c>
      <c r="J57" s="161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3"/>
      <c r="AI57" s="105"/>
      <c r="AJ57" s="98"/>
      <c r="AK57" s="98"/>
      <c r="AL57" s="6"/>
      <c r="AM57" s="6"/>
    </row>
    <row r="58" ht="15.75" customHeight="1">
      <c r="A58" s="57"/>
      <c r="B58" s="63"/>
      <c r="C58" s="160" t="s">
        <v>149</v>
      </c>
      <c r="D58" s="61"/>
      <c r="E58" s="68">
        <v>2500.0</v>
      </c>
      <c r="F58" s="78">
        <f>12*E58</f>
        <v>30000</v>
      </c>
      <c r="G58" s="61"/>
      <c r="H58" s="59"/>
      <c r="I58" s="64">
        <v>12.0</v>
      </c>
      <c r="J58" s="161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3"/>
      <c r="AI58" s="105"/>
      <c r="AJ58" s="98"/>
      <c r="AK58" s="98"/>
      <c r="AL58" s="6"/>
      <c r="AM58" s="6"/>
    </row>
    <row r="59">
      <c r="A59" s="57"/>
      <c r="B59" s="63"/>
      <c r="C59" s="164" t="s">
        <v>150</v>
      </c>
      <c r="D59" s="61"/>
      <c r="E59" s="68">
        <v>300.0</v>
      </c>
      <c r="F59" s="78">
        <f>300*50</f>
        <v>15000</v>
      </c>
      <c r="G59" s="61"/>
      <c r="H59" s="59"/>
      <c r="I59" s="64">
        <v>50.0</v>
      </c>
      <c r="J59" s="161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3"/>
      <c r="AI59" s="105"/>
      <c r="AJ59" s="98"/>
      <c r="AK59" s="98"/>
      <c r="AL59" s="6"/>
      <c r="AM59" s="6"/>
    </row>
    <row r="60">
      <c r="A60" s="57"/>
      <c r="B60" s="63"/>
      <c r="C60" s="164" t="s">
        <v>151</v>
      </c>
      <c r="D60" s="61"/>
      <c r="E60" s="68">
        <v>300.0</v>
      </c>
      <c r="F60" s="78">
        <f>50*300</f>
        <v>15000</v>
      </c>
      <c r="G60" s="61"/>
      <c r="H60" s="59"/>
      <c r="I60" s="64">
        <v>50.0</v>
      </c>
      <c r="J60" s="161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3"/>
      <c r="AI60" s="105"/>
      <c r="AJ60" s="98"/>
      <c r="AK60" s="98"/>
      <c r="AL60" s="6"/>
      <c r="AM60" s="6"/>
    </row>
    <row r="61">
      <c r="A61" s="57"/>
      <c r="B61" s="63"/>
      <c r="C61" s="164" t="s">
        <v>152</v>
      </c>
      <c r="D61" s="61"/>
      <c r="E61" s="68">
        <v>1000.0</v>
      </c>
      <c r="F61" s="78">
        <f t="shared" ref="F61:F62" si="6">E61*15</f>
        <v>15000</v>
      </c>
      <c r="G61" s="61"/>
      <c r="H61" s="59"/>
      <c r="I61" s="64">
        <v>10.0</v>
      </c>
      <c r="J61" s="161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3"/>
      <c r="AI61" s="105"/>
      <c r="AJ61" s="98"/>
      <c r="AK61" s="98"/>
      <c r="AL61" s="6"/>
      <c r="AM61" s="6"/>
    </row>
    <row r="62">
      <c r="A62" s="57"/>
      <c r="B62" s="63"/>
      <c r="C62" s="164" t="s">
        <v>153</v>
      </c>
      <c r="D62" s="61"/>
      <c r="E62" s="68">
        <v>500.0</v>
      </c>
      <c r="F62" s="78">
        <f t="shared" si="6"/>
        <v>7500</v>
      </c>
      <c r="G62" s="61"/>
      <c r="H62" s="59"/>
      <c r="I62" s="64">
        <v>10.0</v>
      </c>
      <c r="J62" s="161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3"/>
      <c r="AI62" s="105"/>
      <c r="AJ62" s="98"/>
      <c r="AK62" s="98"/>
      <c r="AL62" s="6"/>
      <c r="AM62" s="6"/>
    </row>
    <row r="63" ht="15.75" customHeight="1">
      <c r="A63" s="57"/>
      <c r="B63" s="63"/>
      <c r="C63" s="160" t="s">
        <v>154</v>
      </c>
      <c r="D63" s="61"/>
      <c r="E63" s="68">
        <v>200.0</v>
      </c>
      <c r="F63" s="78">
        <f t="shared" ref="F63:F65" si="7">E63*10</f>
        <v>2000</v>
      </c>
      <c r="G63" s="61"/>
      <c r="H63" s="59"/>
      <c r="I63" s="64">
        <v>10.0</v>
      </c>
      <c r="J63" s="161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3"/>
      <c r="AI63" s="105"/>
      <c r="AJ63" s="98"/>
      <c r="AK63" s="98"/>
      <c r="AL63" s="6"/>
      <c r="AM63" s="6"/>
    </row>
    <row r="64" ht="15.75" customHeight="1">
      <c r="A64" s="57"/>
      <c r="B64" s="63"/>
      <c r="C64" s="160" t="s">
        <v>155</v>
      </c>
      <c r="D64" s="61"/>
      <c r="E64" s="68">
        <v>300.0</v>
      </c>
      <c r="F64" s="78">
        <f t="shared" si="7"/>
        <v>3000</v>
      </c>
      <c r="G64" s="61"/>
      <c r="H64" s="59"/>
      <c r="I64" s="64">
        <v>10.0</v>
      </c>
      <c r="J64" s="161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3"/>
      <c r="AI64" s="105"/>
      <c r="AJ64" s="98"/>
      <c r="AK64" s="98"/>
      <c r="AL64" s="6"/>
      <c r="AM64" s="6"/>
    </row>
    <row r="65">
      <c r="A65" s="57"/>
      <c r="B65" s="63"/>
      <c r="C65" s="165" t="s">
        <v>156</v>
      </c>
      <c r="D65" s="61"/>
      <c r="E65" s="68">
        <v>400.0</v>
      </c>
      <c r="F65" s="78">
        <f t="shared" si="7"/>
        <v>4000</v>
      </c>
      <c r="G65" s="61"/>
      <c r="H65" s="59"/>
      <c r="I65" s="64">
        <v>10.0</v>
      </c>
      <c r="J65" s="161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3"/>
      <c r="AI65" s="105"/>
      <c r="AJ65" s="98"/>
      <c r="AK65" s="98"/>
      <c r="AL65" s="6"/>
      <c r="AM65" s="6"/>
    </row>
    <row r="66" ht="15.75" customHeight="1">
      <c r="A66" s="57"/>
      <c r="B66" s="63"/>
      <c r="C66" s="160" t="s">
        <v>157</v>
      </c>
      <c r="D66" s="61"/>
      <c r="E66" s="68">
        <v>500.0</v>
      </c>
      <c r="F66" s="78">
        <f>500*100</f>
        <v>50000</v>
      </c>
      <c r="G66" s="61"/>
      <c r="H66" s="59"/>
      <c r="I66" s="64">
        <v>100.0</v>
      </c>
      <c r="J66" s="161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3"/>
      <c r="AI66" s="105"/>
      <c r="AJ66" s="98"/>
      <c r="AK66" s="98"/>
      <c r="AL66" s="6"/>
      <c r="AM66" s="6"/>
    </row>
    <row r="67" ht="15.75" customHeight="1">
      <c r="A67" s="57"/>
      <c r="B67" s="63"/>
      <c r="C67" s="166" t="s">
        <v>158</v>
      </c>
      <c r="D67" s="61"/>
      <c r="E67" s="68">
        <v>500.0</v>
      </c>
      <c r="F67" s="78">
        <f>500*50</f>
        <v>25000</v>
      </c>
      <c r="G67" s="61"/>
      <c r="H67" s="59"/>
      <c r="I67" s="64">
        <v>50.0</v>
      </c>
      <c r="J67" s="161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3"/>
      <c r="AI67" s="105"/>
      <c r="AJ67" s="98"/>
      <c r="AK67" s="98"/>
      <c r="AL67" s="6"/>
      <c r="AM67" s="6"/>
    </row>
    <row r="68" ht="15.75" customHeight="1">
      <c r="A68" s="57"/>
      <c r="B68" s="63"/>
      <c r="C68" s="160" t="s">
        <v>159</v>
      </c>
      <c r="D68" s="61"/>
      <c r="E68" s="68">
        <v>2000.0</v>
      </c>
      <c r="F68" s="78">
        <f>2000*10</f>
        <v>20000</v>
      </c>
      <c r="G68" s="61"/>
      <c r="H68" s="59"/>
      <c r="I68" s="64">
        <v>10.0</v>
      </c>
      <c r="J68" s="161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3"/>
      <c r="AI68" s="105"/>
      <c r="AJ68" s="98"/>
      <c r="AK68" s="98"/>
      <c r="AL68" s="6"/>
      <c r="AM68" s="6"/>
    </row>
    <row r="69" ht="15.75" customHeight="1">
      <c r="A69" s="57"/>
      <c r="B69" s="63"/>
      <c r="C69" s="160" t="s">
        <v>160</v>
      </c>
      <c r="D69" s="61"/>
      <c r="E69" s="68">
        <v>400.0</v>
      </c>
      <c r="F69" s="167">
        <f>50*400</f>
        <v>20000</v>
      </c>
      <c r="G69" s="61"/>
      <c r="H69" s="59"/>
      <c r="I69" s="64">
        <v>50.0</v>
      </c>
      <c r="J69" s="161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3"/>
      <c r="AI69" s="105"/>
      <c r="AJ69" s="98"/>
      <c r="AK69" s="98"/>
      <c r="AL69" s="6"/>
      <c r="AM69" s="6"/>
    </row>
    <row r="70" ht="15.75" customHeight="1">
      <c r="A70" s="57"/>
      <c r="B70" s="63"/>
      <c r="C70" s="160" t="s">
        <v>161</v>
      </c>
      <c r="D70" s="61"/>
      <c r="E70" s="68">
        <v>500.0</v>
      </c>
      <c r="F70" s="167">
        <f>25*500</f>
        <v>12500</v>
      </c>
      <c r="G70" s="61"/>
      <c r="H70" s="59"/>
      <c r="I70" s="64">
        <v>25.0</v>
      </c>
      <c r="J70" s="161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3"/>
      <c r="AI70" s="105"/>
      <c r="AJ70" s="98"/>
      <c r="AK70" s="98"/>
      <c r="AL70" s="6"/>
      <c r="AM70" s="6"/>
    </row>
    <row r="71" ht="15.75" customHeight="1">
      <c r="A71" s="57"/>
      <c r="B71" s="63"/>
      <c r="C71" s="160" t="s">
        <v>162</v>
      </c>
      <c r="D71" s="61"/>
      <c r="E71" s="68">
        <v>4000.0</v>
      </c>
      <c r="F71" s="167">
        <f>E71*5</f>
        <v>20000</v>
      </c>
      <c r="G71" s="61"/>
      <c r="H71" s="59"/>
      <c r="I71" s="64">
        <v>5.0</v>
      </c>
      <c r="J71" s="161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3"/>
      <c r="AI71" s="105"/>
      <c r="AJ71" s="98"/>
      <c r="AK71" s="98"/>
      <c r="AL71" s="6"/>
      <c r="AM71" s="6"/>
    </row>
    <row r="72" ht="15.75" customHeight="1">
      <c r="A72" s="57"/>
      <c r="B72" s="63"/>
      <c r="C72" s="160" t="s">
        <v>163</v>
      </c>
      <c r="D72" s="75"/>
      <c r="E72" s="68">
        <f>2000</f>
        <v>2000</v>
      </c>
      <c r="F72" s="167">
        <f>2000*3</f>
        <v>6000</v>
      </c>
      <c r="G72" s="75"/>
      <c r="H72" s="66"/>
      <c r="I72" s="64">
        <v>3.0</v>
      </c>
      <c r="J72" s="161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3"/>
      <c r="AI72" s="105"/>
      <c r="AJ72" s="98"/>
      <c r="AK72" s="98"/>
      <c r="AL72" s="6"/>
      <c r="AM72" s="6"/>
    </row>
    <row r="73" ht="57.0" customHeight="1">
      <c r="A73" s="57"/>
      <c r="B73" s="63"/>
      <c r="C73" s="164" t="s">
        <v>164</v>
      </c>
      <c r="D73" s="49" t="s">
        <v>165</v>
      </c>
      <c r="E73" s="68">
        <v>40000.0</v>
      </c>
      <c r="F73" s="167">
        <v>40000.0</v>
      </c>
      <c r="G73" s="86" t="s">
        <v>98</v>
      </c>
      <c r="H73" s="168" t="s">
        <v>82</v>
      </c>
      <c r="I73" s="64">
        <v>1.0</v>
      </c>
      <c r="J73" s="161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3"/>
      <c r="AI73" s="105"/>
      <c r="AJ73" s="98"/>
      <c r="AK73" s="98"/>
      <c r="AL73" s="6"/>
      <c r="AM73" s="6"/>
    </row>
    <row r="74">
      <c r="A74" s="57"/>
      <c r="B74" s="63"/>
      <c r="C74" s="164" t="s">
        <v>166</v>
      </c>
      <c r="D74" s="49" t="s">
        <v>122</v>
      </c>
      <c r="E74" s="68">
        <v>10000.0</v>
      </c>
      <c r="F74" s="169">
        <v>10000.0</v>
      </c>
      <c r="G74" s="49" t="s">
        <v>109</v>
      </c>
      <c r="H74" s="154" t="s">
        <v>82</v>
      </c>
      <c r="I74" s="64">
        <v>1.0</v>
      </c>
      <c r="J74" s="161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3"/>
      <c r="AI74" s="105"/>
      <c r="AJ74" s="98"/>
      <c r="AK74" s="98"/>
      <c r="AL74" s="6"/>
      <c r="AM74" s="6"/>
    </row>
    <row r="75" ht="15.75" customHeight="1">
      <c r="A75" s="57"/>
      <c r="B75" s="63"/>
      <c r="C75" s="160" t="s">
        <v>167</v>
      </c>
      <c r="D75" s="61"/>
      <c r="E75" s="68">
        <v>1500.0</v>
      </c>
      <c r="F75" s="69">
        <f>1500*10</f>
        <v>15000</v>
      </c>
      <c r="G75" s="61"/>
      <c r="H75" s="59"/>
      <c r="I75" s="64">
        <v>5.0</v>
      </c>
      <c r="J75" s="161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3"/>
      <c r="AI75" s="105"/>
      <c r="AJ75" s="98"/>
      <c r="AK75" s="98"/>
      <c r="AL75" s="6"/>
      <c r="AM75" s="6"/>
    </row>
    <row r="76" ht="15.75" customHeight="1">
      <c r="A76" s="57"/>
      <c r="B76" s="63"/>
      <c r="C76" s="160" t="s">
        <v>168</v>
      </c>
      <c r="D76" s="61"/>
      <c r="E76" s="68">
        <v>4000.0</v>
      </c>
      <c r="F76" s="69">
        <f>4000*10</f>
        <v>40000</v>
      </c>
      <c r="G76" s="61"/>
      <c r="H76" s="59"/>
      <c r="I76" s="64">
        <v>10.0</v>
      </c>
      <c r="J76" s="161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3"/>
      <c r="AI76" s="105"/>
      <c r="AJ76" s="98"/>
      <c r="AK76" s="98"/>
      <c r="AL76" s="6"/>
      <c r="AM76" s="6"/>
    </row>
    <row r="77" ht="15.75" customHeight="1">
      <c r="A77" s="57"/>
      <c r="B77" s="63"/>
      <c r="C77" s="160" t="s">
        <v>169</v>
      </c>
      <c r="D77" s="61"/>
      <c r="E77" s="68">
        <v>3000.0</v>
      </c>
      <c r="F77" s="69">
        <f>8*3000</f>
        <v>24000</v>
      </c>
      <c r="G77" s="61"/>
      <c r="H77" s="59"/>
      <c r="I77" s="64">
        <v>8.0</v>
      </c>
      <c r="J77" s="161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3"/>
      <c r="AI77" s="105"/>
      <c r="AJ77" s="98"/>
      <c r="AK77" s="98"/>
      <c r="AL77" s="6"/>
      <c r="AM77" s="6"/>
    </row>
    <row r="78" ht="15.75" customHeight="1">
      <c r="A78" s="57"/>
      <c r="B78" s="63"/>
      <c r="C78" s="160" t="s">
        <v>170</v>
      </c>
      <c r="D78" s="61"/>
      <c r="E78" s="68">
        <v>3500.0</v>
      </c>
      <c r="F78" s="69">
        <f>30*E78</f>
        <v>105000</v>
      </c>
      <c r="G78" s="61"/>
      <c r="H78" s="59"/>
      <c r="I78" s="64">
        <v>30.0</v>
      </c>
      <c r="J78" s="161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  <c r="AI78" s="105"/>
      <c r="AJ78" s="98"/>
      <c r="AK78" s="98"/>
      <c r="AL78" s="6"/>
      <c r="AM78" s="6"/>
    </row>
    <row r="79" ht="15.75" customHeight="1">
      <c r="A79" s="57"/>
      <c r="B79" s="63"/>
      <c r="C79" s="160" t="s">
        <v>171</v>
      </c>
      <c r="D79" s="61"/>
      <c r="E79" s="68">
        <v>1500.0</v>
      </c>
      <c r="F79" s="69">
        <f>1500*5</f>
        <v>7500</v>
      </c>
      <c r="G79" s="61"/>
      <c r="H79" s="59"/>
      <c r="I79" s="64">
        <v>5.0</v>
      </c>
      <c r="J79" s="161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3"/>
      <c r="AI79" s="105"/>
      <c r="AJ79" s="98"/>
      <c r="AK79" s="98"/>
      <c r="AL79" s="6"/>
      <c r="AM79" s="6"/>
    </row>
    <row r="80" ht="15.75" customHeight="1">
      <c r="A80" s="57"/>
      <c r="B80" s="63"/>
      <c r="C80" s="160" t="s">
        <v>172</v>
      </c>
      <c r="D80" s="61"/>
      <c r="E80" s="68">
        <v>1000.0</v>
      </c>
      <c r="F80" s="69">
        <f>1000*5</f>
        <v>5000</v>
      </c>
      <c r="G80" s="61"/>
      <c r="H80" s="59"/>
      <c r="I80" s="64">
        <v>5.0</v>
      </c>
      <c r="J80" s="161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3"/>
      <c r="AI80" s="105"/>
      <c r="AJ80" s="98"/>
      <c r="AK80" s="98"/>
      <c r="AL80" s="6"/>
      <c r="AM80" s="6"/>
    </row>
    <row r="81">
      <c r="A81" s="57"/>
      <c r="B81" s="63"/>
      <c r="C81" s="170" t="s">
        <v>173</v>
      </c>
      <c r="D81" s="61"/>
      <c r="E81" s="68">
        <f>10000</f>
        <v>10000</v>
      </c>
      <c r="F81" s="69">
        <f>10000*3</f>
        <v>30000</v>
      </c>
      <c r="G81" s="61"/>
      <c r="H81" s="66"/>
      <c r="I81" s="64">
        <v>3.0</v>
      </c>
      <c r="J81" s="161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3"/>
      <c r="AI81" s="105"/>
      <c r="AJ81" s="98"/>
      <c r="AK81" s="98"/>
      <c r="AL81" s="6"/>
      <c r="AM81" s="6"/>
    </row>
    <row r="82">
      <c r="A82" s="57"/>
      <c r="B82" s="63"/>
      <c r="C82" s="170" t="s">
        <v>174</v>
      </c>
      <c r="D82" s="75"/>
      <c r="E82" s="68">
        <v>30000.0</v>
      </c>
      <c r="F82" s="169">
        <v>30000.0</v>
      </c>
      <c r="G82" s="75"/>
      <c r="H82" s="168" t="s">
        <v>82</v>
      </c>
      <c r="I82" s="64">
        <v>1.0</v>
      </c>
      <c r="J82" s="161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  <c r="AI82" s="105"/>
      <c r="AJ82" s="98"/>
      <c r="AK82" s="98"/>
      <c r="AL82" s="6"/>
      <c r="AM82" s="6"/>
    </row>
    <row r="83">
      <c r="A83" s="43"/>
      <c r="B83" s="63"/>
      <c r="C83" s="170" t="s">
        <v>175</v>
      </c>
      <c r="D83" s="76" t="s">
        <v>176</v>
      </c>
      <c r="E83" s="70">
        <v>40000.0</v>
      </c>
      <c r="F83" s="78">
        <f>E83*3</f>
        <v>120000</v>
      </c>
      <c r="G83" s="132" t="s">
        <v>109</v>
      </c>
      <c r="H83" s="132" t="s">
        <v>131</v>
      </c>
      <c r="I83" s="62">
        <v>3.0</v>
      </c>
      <c r="J83" s="149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98"/>
      <c r="AK83" s="98"/>
      <c r="AL83" s="6"/>
      <c r="AM83" s="6"/>
    </row>
    <row r="84" ht="15.75" customHeight="1">
      <c r="A84" s="140" t="s">
        <v>177</v>
      </c>
      <c r="B84" s="171"/>
      <c r="C84" s="172" t="s">
        <v>178</v>
      </c>
      <c r="D84" s="143"/>
      <c r="E84" s="144"/>
      <c r="F84" s="145"/>
      <c r="G84" s="146"/>
      <c r="H84" s="146"/>
      <c r="I84" s="147"/>
      <c r="J84" s="147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6"/>
      <c r="AK84" s="6"/>
      <c r="AL84" s="6"/>
      <c r="AM84" s="6"/>
    </row>
    <row r="85">
      <c r="A85" s="173"/>
      <c r="B85" s="174"/>
      <c r="C85" s="175" t="s">
        <v>179</v>
      </c>
      <c r="D85" s="136" t="s">
        <v>180</v>
      </c>
      <c r="E85" s="176">
        <v>650.0</v>
      </c>
      <c r="F85" s="138">
        <f t="shared" ref="F85:F89" si="8">15*E85</f>
        <v>9750</v>
      </c>
      <c r="G85" s="129" t="s">
        <v>143</v>
      </c>
      <c r="H85" s="49" t="s">
        <v>181</v>
      </c>
      <c r="I85" s="108"/>
      <c r="J85" s="108">
        <v>15.0</v>
      </c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6"/>
      <c r="AK85" s="6"/>
      <c r="AL85" s="6"/>
      <c r="AM85" s="6"/>
    </row>
    <row r="86">
      <c r="A86" s="178"/>
      <c r="B86" s="174"/>
      <c r="C86" s="175" t="s">
        <v>182</v>
      </c>
      <c r="D86" s="136" t="s">
        <v>180</v>
      </c>
      <c r="E86" s="176">
        <v>600.0</v>
      </c>
      <c r="F86" s="131">
        <f t="shared" si="8"/>
        <v>9000</v>
      </c>
      <c r="G86" s="129" t="s">
        <v>143</v>
      </c>
      <c r="H86" s="61"/>
      <c r="I86" s="134"/>
      <c r="J86" s="134">
        <v>15.0</v>
      </c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6"/>
      <c r="AK86" s="6"/>
      <c r="AL86" s="6"/>
      <c r="AM86" s="6"/>
    </row>
    <row r="87">
      <c r="A87" s="178"/>
      <c r="B87" s="174"/>
      <c r="C87" s="175" t="s">
        <v>183</v>
      </c>
      <c r="D87" s="136" t="s">
        <v>180</v>
      </c>
      <c r="E87" s="176">
        <v>1100.0</v>
      </c>
      <c r="F87" s="131">
        <f t="shared" si="8"/>
        <v>16500</v>
      </c>
      <c r="G87" s="129" t="s">
        <v>143</v>
      </c>
      <c r="H87" s="61"/>
      <c r="I87" s="134"/>
      <c r="J87" s="134">
        <v>15.0</v>
      </c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6"/>
      <c r="AK87" s="6"/>
      <c r="AL87" s="6"/>
      <c r="AM87" s="6"/>
    </row>
    <row r="88">
      <c r="A88" s="178"/>
      <c r="B88" s="174"/>
      <c r="C88" s="175" t="s">
        <v>184</v>
      </c>
      <c r="D88" s="136" t="s">
        <v>180</v>
      </c>
      <c r="E88" s="176">
        <v>650.0</v>
      </c>
      <c r="F88" s="131">
        <f t="shared" si="8"/>
        <v>9750</v>
      </c>
      <c r="G88" s="129" t="s">
        <v>143</v>
      </c>
      <c r="H88" s="61"/>
      <c r="I88" s="134"/>
      <c r="J88" s="134">
        <v>15.0</v>
      </c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6"/>
      <c r="AK88" s="6"/>
      <c r="AL88" s="6"/>
      <c r="AM88" s="6"/>
    </row>
    <row r="89">
      <c r="A89" s="178"/>
      <c r="B89" s="174"/>
      <c r="C89" s="175" t="s">
        <v>185</v>
      </c>
      <c r="D89" s="136" t="s">
        <v>180</v>
      </c>
      <c r="E89" s="176">
        <v>1100.0</v>
      </c>
      <c r="F89" s="131">
        <f t="shared" si="8"/>
        <v>16500</v>
      </c>
      <c r="G89" s="129" t="s">
        <v>143</v>
      </c>
      <c r="H89" s="75"/>
      <c r="I89" s="134"/>
      <c r="J89" s="134">
        <v>15.0</v>
      </c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6"/>
      <c r="AK89" s="6"/>
      <c r="AL89" s="6"/>
      <c r="AM89" s="6"/>
    </row>
    <row r="90">
      <c r="A90" s="178"/>
      <c r="B90" s="174"/>
      <c r="C90" s="180" t="s">
        <v>186</v>
      </c>
      <c r="D90" s="181" t="s">
        <v>180</v>
      </c>
      <c r="E90" s="182">
        <v>3000.0</v>
      </c>
      <c r="F90" s="183">
        <f>E90*15</f>
        <v>45000</v>
      </c>
      <c r="G90" s="129" t="s">
        <v>143</v>
      </c>
      <c r="H90" s="114" t="s">
        <v>181</v>
      </c>
      <c r="I90" s="134"/>
      <c r="J90" s="134">
        <v>15.0</v>
      </c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6"/>
      <c r="AK90" s="6"/>
      <c r="AL90" s="6"/>
      <c r="AM90" s="6"/>
    </row>
    <row r="91">
      <c r="A91" s="178"/>
      <c r="B91" s="174"/>
      <c r="C91" s="184" t="s">
        <v>187</v>
      </c>
      <c r="D91" s="185" t="s">
        <v>188</v>
      </c>
      <c r="E91" s="137">
        <v>2500.0</v>
      </c>
      <c r="F91" s="183">
        <f>2500*20</f>
        <v>50000</v>
      </c>
      <c r="G91" s="129" t="s">
        <v>143</v>
      </c>
      <c r="H91" s="114" t="s">
        <v>181</v>
      </c>
      <c r="I91" s="186"/>
      <c r="J91" s="134">
        <v>20.0</v>
      </c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98"/>
      <c r="AK91" s="98"/>
      <c r="AL91" s="98"/>
      <c r="AM91" s="98"/>
    </row>
    <row r="92">
      <c r="A92" s="178"/>
      <c r="B92" s="174"/>
      <c r="C92" s="180" t="s">
        <v>189</v>
      </c>
      <c r="D92" s="181" t="s">
        <v>122</v>
      </c>
      <c r="E92" s="182">
        <v>2000.0</v>
      </c>
      <c r="F92" s="187">
        <v>2000.0</v>
      </c>
      <c r="G92" s="129" t="s">
        <v>143</v>
      </c>
      <c r="H92" s="114" t="s">
        <v>181</v>
      </c>
      <c r="I92" s="186"/>
      <c r="J92" s="134">
        <v>1.0</v>
      </c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6"/>
      <c r="AK92" s="6"/>
      <c r="AL92" s="6"/>
      <c r="AM92" s="6"/>
    </row>
    <row r="93">
      <c r="A93" s="178"/>
      <c r="B93" s="174"/>
      <c r="C93" s="188" t="s">
        <v>190</v>
      </c>
      <c r="D93" s="189" t="s">
        <v>122</v>
      </c>
      <c r="E93" s="190">
        <v>30000.0</v>
      </c>
      <c r="F93" s="191">
        <v>30000.0</v>
      </c>
      <c r="G93" s="129" t="s">
        <v>143</v>
      </c>
      <c r="H93" s="114" t="s">
        <v>181</v>
      </c>
      <c r="I93" s="134"/>
      <c r="J93" s="134">
        <v>1.0</v>
      </c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6"/>
      <c r="AK93" s="6"/>
      <c r="AL93" s="6"/>
      <c r="AM93" s="6"/>
    </row>
    <row r="94">
      <c r="A94" s="178"/>
      <c r="B94" s="174"/>
      <c r="C94" s="192" t="s">
        <v>191</v>
      </c>
      <c r="D94" s="181" t="s">
        <v>180</v>
      </c>
      <c r="E94" s="182">
        <v>500.0</v>
      </c>
      <c r="F94" s="187">
        <f t="shared" ref="F94:F95" si="9">15*E94</f>
        <v>7500</v>
      </c>
      <c r="G94" s="129" t="s">
        <v>143</v>
      </c>
      <c r="H94" s="114" t="s">
        <v>181</v>
      </c>
      <c r="I94" s="134"/>
      <c r="J94" s="134">
        <v>15.0</v>
      </c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6"/>
      <c r="AK94" s="6"/>
      <c r="AL94" s="6"/>
      <c r="AM94" s="6"/>
    </row>
    <row r="95">
      <c r="A95" s="178"/>
      <c r="B95" s="174"/>
      <c r="C95" s="192" t="s">
        <v>192</v>
      </c>
      <c r="D95" s="181" t="s">
        <v>180</v>
      </c>
      <c r="E95" s="182">
        <v>500.0</v>
      </c>
      <c r="F95" s="187">
        <f t="shared" si="9"/>
        <v>7500</v>
      </c>
      <c r="G95" s="129" t="s">
        <v>143</v>
      </c>
      <c r="H95" s="114" t="s">
        <v>181</v>
      </c>
      <c r="I95" s="134"/>
      <c r="J95" s="134">
        <v>15.0</v>
      </c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179"/>
      <c r="AJ95" s="6"/>
      <c r="AK95" s="6"/>
      <c r="AL95" s="6"/>
      <c r="AM95" s="6"/>
    </row>
    <row r="96">
      <c r="A96" s="178"/>
      <c r="B96" s="174"/>
      <c r="C96" s="180" t="s">
        <v>193</v>
      </c>
      <c r="D96" s="181" t="s">
        <v>194</v>
      </c>
      <c r="E96" s="182">
        <v>200.0</v>
      </c>
      <c r="F96" s="187">
        <f>E96*104</f>
        <v>20800</v>
      </c>
      <c r="G96" s="86" t="s">
        <v>98</v>
      </c>
      <c r="H96" s="132" t="s">
        <v>131</v>
      </c>
      <c r="I96" s="134">
        <v>104.0</v>
      </c>
      <c r="J96" s="193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  <c r="AI96" s="179"/>
      <c r="AJ96" s="6"/>
      <c r="AK96" s="6"/>
      <c r="AL96" s="6"/>
      <c r="AM96" s="6"/>
    </row>
    <row r="97">
      <c r="A97" s="178"/>
      <c r="B97" s="174"/>
      <c r="C97" s="180"/>
      <c r="D97" s="181"/>
      <c r="E97" s="182"/>
      <c r="F97" s="194"/>
      <c r="G97" s="181"/>
      <c r="H97" s="181"/>
      <c r="I97" s="195"/>
      <c r="J97" s="193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  <c r="AC97" s="179"/>
      <c r="AD97" s="179"/>
      <c r="AE97" s="179"/>
      <c r="AF97" s="179"/>
      <c r="AG97" s="179"/>
      <c r="AH97" s="179"/>
      <c r="AI97" s="179"/>
      <c r="AJ97" s="6"/>
      <c r="AK97" s="6"/>
      <c r="AL97" s="6"/>
      <c r="AM97" s="6"/>
    </row>
    <row r="98" ht="15.75" customHeight="1">
      <c r="A98" s="140"/>
      <c r="B98" s="171"/>
      <c r="C98" s="196" t="s">
        <v>195</v>
      </c>
      <c r="D98" s="143"/>
      <c r="E98" s="144"/>
      <c r="F98" s="145"/>
      <c r="G98" s="146"/>
      <c r="H98" s="146"/>
      <c r="I98" s="147"/>
      <c r="J98" s="147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2"/>
      <c r="AK98" s="2"/>
      <c r="AL98" s="2"/>
      <c r="AM98" s="2"/>
    </row>
    <row r="99">
      <c r="A99" s="178"/>
      <c r="B99" s="174"/>
      <c r="C99" s="180" t="s">
        <v>196</v>
      </c>
      <c r="D99" s="181" t="s">
        <v>197</v>
      </c>
      <c r="E99" s="182">
        <v>15000.0</v>
      </c>
      <c r="F99" s="194">
        <f>15000*3</f>
        <v>45000</v>
      </c>
      <c r="G99" s="132" t="s">
        <v>109</v>
      </c>
      <c r="H99" s="181" t="s">
        <v>144</v>
      </c>
      <c r="I99" s="195">
        <v>1.0</v>
      </c>
      <c r="J99" s="134">
        <v>1.0</v>
      </c>
      <c r="K99" s="197">
        <v>1.0</v>
      </c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  <c r="AI99" s="179"/>
      <c r="AJ99" s="2"/>
      <c r="AK99" s="2"/>
      <c r="AL99" s="2"/>
      <c r="AM99" s="2"/>
    </row>
    <row r="100">
      <c r="A100" s="178"/>
      <c r="B100" s="174"/>
      <c r="C100" s="198" t="s">
        <v>198</v>
      </c>
      <c r="D100" s="181" t="s">
        <v>197</v>
      </c>
      <c r="E100" s="182">
        <v>2000.0</v>
      </c>
      <c r="F100" s="194">
        <f>3*2000</f>
        <v>6000</v>
      </c>
      <c r="G100" s="129" t="s">
        <v>199</v>
      </c>
      <c r="H100" s="181" t="s">
        <v>144</v>
      </c>
      <c r="I100" s="195">
        <v>1.0</v>
      </c>
      <c r="J100" s="134">
        <v>1.0</v>
      </c>
      <c r="K100" s="197">
        <v>1.0</v>
      </c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2"/>
      <c r="AK100" s="2"/>
      <c r="AL100" s="2"/>
      <c r="AM100" s="2"/>
    </row>
    <row r="101">
      <c r="A101" s="178"/>
      <c r="B101" s="174"/>
      <c r="C101" s="199"/>
      <c r="D101" s="181"/>
      <c r="E101" s="182"/>
      <c r="F101" s="194"/>
      <c r="G101" s="129"/>
      <c r="H101" s="181"/>
      <c r="I101" s="195"/>
      <c r="J101" s="134"/>
      <c r="K101" s="197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179"/>
      <c r="AJ101" s="2"/>
      <c r="AK101" s="2"/>
      <c r="AL101" s="2"/>
      <c r="AM101" s="2"/>
    </row>
    <row r="102" ht="15.75" customHeight="1">
      <c r="A102" s="140"/>
      <c r="B102" s="171"/>
      <c r="C102" s="196" t="s">
        <v>200</v>
      </c>
      <c r="D102" s="143"/>
      <c r="E102" s="144"/>
      <c r="F102" s="145"/>
      <c r="G102" s="146"/>
      <c r="H102" s="146"/>
      <c r="I102" s="147"/>
      <c r="J102" s="147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2"/>
      <c r="AK102" s="2"/>
      <c r="AL102" s="2"/>
      <c r="AM102" s="2"/>
    </row>
    <row r="103">
      <c r="A103" s="178"/>
      <c r="B103" s="174"/>
      <c r="C103" s="199" t="s">
        <v>201</v>
      </c>
      <c r="D103" s="181" t="s">
        <v>122</v>
      </c>
      <c r="E103" s="182">
        <v>150000.0</v>
      </c>
      <c r="F103" s="194">
        <v>150000.0</v>
      </c>
      <c r="G103" s="132" t="s">
        <v>109</v>
      </c>
      <c r="H103" s="181" t="s">
        <v>82</v>
      </c>
      <c r="I103" s="195"/>
      <c r="J103" s="134">
        <v>1.0</v>
      </c>
      <c r="K103" s="197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2"/>
      <c r="AK103" s="2"/>
      <c r="AL103" s="2"/>
      <c r="AM103" s="2"/>
    </row>
    <row r="104">
      <c r="A104" s="178"/>
      <c r="B104" s="174"/>
      <c r="C104" s="199"/>
      <c r="D104" s="181"/>
      <c r="E104" s="182"/>
      <c r="F104" s="194"/>
      <c r="G104" s="129"/>
      <c r="H104" s="181"/>
      <c r="I104" s="195"/>
      <c r="J104" s="134"/>
      <c r="K104" s="197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2"/>
      <c r="AK104" s="2"/>
      <c r="AL104" s="2"/>
      <c r="AM104" s="2"/>
    </row>
    <row r="105" ht="15.75" customHeight="1">
      <c r="A105" s="140"/>
      <c r="B105" s="200"/>
      <c r="C105" s="172"/>
      <c r="D105" s="143"/>
      <c r="E105" s="144"/>
      <c r="F105" s="145"/>
      <c r="G105" s="146"/>
      <c r="H105" s="146"/>
      <c r="I105" s="147"/>
      <c r="J105" s="147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2"/>
      <c r="AK105" s="2"/>
      <c r="AL105" s="2"/>
      <c r="AM105" s="2"/>
    </row>
    <row r="106" ht="15.75" customHeight="1">
      <c r="A106" s="201"/>
      <c r="B106" s="202"/>
      <c r="C106" s="202"/>
      <c r="D106" s="2"/>
      <c r="E106" s="11"/>
      <c r="F106" s="12"/>
      <c r="G106" s="13"/>
      <c r="H106" s="1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ht="15.75" customHeight="1">
      <c r="A107" s="203" t="s">
        <v>202</v>
      </c>
      <c r="B107" s="6"/>
      <c r="C107" s="6"/>
      <c r="D107" s="204">
        <f>SUM(F13:F105)</f>
        <v>3443029</v>
      </c>
      <c r="E107" s="205"/>
      <c r="F107" s="205"/>
      <c r="G107" s="13"/>
      <c r="H107" s="1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ht="15.75" customHeight="1">
      <c r="A108" s="203"/>
      <c r="B108" s="6"/>
      <c r="C108" s="6"/>
      <c r="D108" s="206"/>
      <c r="E108" s="206"/>
      <c r="F108" s="206"/>
      <c r="G108" s="13"/>
      <c r="H108" s="1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ht="15.75" customHeight="1">
      <c r="A109" s="203"/>
      <c r="B109" s="6"/>
      <c r="C109" s="6"/>
      <c r="D109" s="206"/>
      <c r="E109" s="206"/>
      <c r="F109" s="206"/>
      <c r="G109" s="13"/>
      <c r="H109" s="1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75" customHeight="1">
      <c r="A110" s="203"/>
      <c r="B110" s="6"/>
      <c r="C110" s="6"/>
      <c r="D110" s="206"/>
      <c r="E110" s="206"/>
      <c r="F110" s="206"/>
      <c r="G110" s="13"/>
      <c r="H110" s="1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ht="15.75" customHeight="1">
      <c r="A111" s="203"/>
      <c r="B111" s="6"/>
      <c r="C111" s="6"/>
      <c r="D111" s="206"/>
      <c r="E111" s="206"/>
      <c r="F111" s="206"/>
      <c r="G111" s="13"/>
      <c r="H111" s="1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hidden="1" customHeight="1">
      <c r="A112" s="207" t="s">
        <v>203</v>
      </c>
      <c r="B112" s="208"/>
      <c r="C112" s="208"/>
      <c r="D112" s="209">
        <f>PRODUCT(D107,0.1)</f>
        <v>344302.9</v>
      </c>
      <c r="E112" s="210"/>
      <c r="F112" s="75"/>
      <c r="G112" s="13"/>
      <c r="H112" s="13"/>
      <c r="I112" s="211"/>
      <c r="K112" s="211"/>
      <c r="AH112" s="211"/>
      <c r="AI112" s="2"/>
      <c r="AJ112" s="2"/>
      <c r="AK112" s="2"/>
      <c r="AL112" s="2"/>
      <c r="AM112" s="2"/>
    </row>
    <row r="113" ht="15.75" hidden="1" customHeight="1">
      <c r="A113" s="159" t="s">
        <v>204</v>
      </c>
      <c r="B113" s="212"/>
      <c r="C113" s="212"/>
      <c r="D113" s="213">
        <f>PRODUCT(D107,0.1)</f>
        <v>344302.9</v>
      </c>
      <c r="E113" s="214"/>
      <c r="F113" s="215"/>
      <c r="G113" s="13"/>
      <c r="H113" s="13"/>
      <c r="I113" s="216"/>
      <c r="J113" s="216"/>
      <c r="K113" s="217"/>
      <c r="AH113" s="217"/>
      <c r="AI113" s="2"/>
      <c r="AJ113" s="2"/>
      <c r="AK113" s="2"/>
      <c r="AL113" s="2"/>
      <c r="AM113" s="2"/>
    </row>
    <row r="114" ht="15.75" hidden="1" customHeight="1">
      <c r="A114" s="159" t="s">
        <v>205</v>
      </c>
      <c r="B114" s="212"/>
      <c r="C114" s="212"/>
      <c r="D114" s="213">
        <f>SUM(D107:F113)</f>
        <v>4131634.8</v>
      </c>
      <c r="E114" s="214"/>
      <c r="F114" s="215"/>
      <c r="G114" s="13"/>
      <c r="H114" s="13"/>
      <c r="I114" s="216"/>
      <c r="J114" s="216"/>
      <c r="K114" s="217"/>
      <c r="AH114" s="217"/>
      <c r="AI114" s="2"/>
      <c r="AJ114" s="2"/>
      <c r="AK114" s="2"/>
      <c r="AL114" s="2"/>
      <c r="AM114" s="2"/>
    </row>
    <row r="115" ht="15.75" customHeight="1">
      <c r="A115" s="218"/>
      <c r="B115" s="6"/>
      <c r="C115" s="6"/>
      <c r="D115" s="2"/>
      <c r="E115" s="11"/>
      <c r="F115" s="12"/>
      <c r="G115" s="13"/>
      <c r="H115" s="13"/>
      <c r="I115" s="216"/>
      <c r="J115" s="216"/>
      <c r="K115" s="217"/>
      <c r="AH115" s="217"/>
      <c r="AI115" s="2"/>
      <c r="AJ115" s="2"/>
      <c r="AK115" s="2"/>
      <c r="AL115" s="2"/>
      <c r="AM115" s="2"/>
    </row>
    <row r="116" ht="15.75" customHeight="1">
      <c r="A116" s="219" t="s">
        <v>206</v>
      </c>
      <c r="B116" s="6"/>
      <c r="C116" s="6"/>
      <c r="D116" s="2"/>
      <c r="E116" s="11"/>
      <c r="F116" s="12"/>
      <c r="G116" s="13"/>
      <c r="H116" s="1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98"/>
      <c r="B117" s="6"/>
      <c r="C117" s="6"/>
      <c r="D117" s="220"/>
      <c r="E117" s="221"/>
      <c r="F117" s="222"/>
      <c r="G117" s="220"/>
      <c r="H117" s="220"/>
      <c r="I117" s="220"/>
      <c r="J117" s="220"/>
      <c r="K117" s="220"/>
      <c r="L117" s="220"/>
      <c r="M117" s="22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223" t="s">
        <v>207</v>
      </c>
      <c r="B118" s="224"/>
      <c r="C118" s="224"/>
      <c r="D118" s="225" t="s">
        <v>208</v>
      </c>
      <c r="E118" s="221"/>
      <c r="F118" s="222"/>
      <c r="G118" s="225" t="s">
        <v>209</v>
      </c>
      <c r="H118" s="220"/>
      <c r="I118" s="220"/>
      <c r="J118" s="225" t="s">
        <v>210</v>
      </c>
      <c r="K118" s="220"/>
      <c r="L118" s="220"/>
      <c r="M118" s="22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16"/>
      <c r="AL118" s="2"/>
      <c r="AM118" s="2"/>
    </row>
    <row r="119" ht="15.75" customHeight="1">
      <c r="A119" s="223"/>
      <c r="B119" s="224"/>
      <c r="C119" s="224"/>
      <c r="D119" s="220"/>
      <c r="E119" s="221"/>
      <c r="F119" s="222"/>
      <c r="G119" s="220"/>
      <c r="H119" s="220"/>
      <c r="I119" s="220"/>
      <c r="J119" s="220"/>
      <c r="K119" s="220"/>
      <c r="L119" s="220"/>
      <c r="M119" s="22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16"/>
      <c r="AL119" s="2"/>
      <c r="AM119" s="2"/>
    </row>
    <row r="120" ht="15.75" customHeight="1">
      <c r="A120" s="224"/>
      <c r="B120" s="224"/>
      <c r="C120" s="224"/>
      <c r="D120" s="220"/>
      <c r="E120" s="221"/>
      <c r="F120" s="222"/>
      <c r="G120" s="220"/>
      <c r="H120" s="220"/>
      <c r="I120" s="220"/>
      <c r="J120" s="220"/>
      <c r="K120" s="220"/>
      <c r="L120" s="220"/>
      <c r="M120" s="220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16"/>
      <c r="AL120" s="2"/>
      <c r="AM120" s="2"/>
    </row>
    <row r="121" ht="15.75" customHeight="1">
      <c r="A121" s="226" t="s">
        <v>211</v>
      </c>
      <c r="D121" s="225" t="s">
        <v>212</v>
      </c>
      <c r="E121" s="221"/>
      <c r="F121" s="222"/>
      <c r="G121" s="227" t="s">
        <v>213</v>
      </c>
      <c r="H121" s="220"/>
      <c r="I121" s="220"/>
      <c r="J121" s="225" t="s">
        <v>214</v>
      </c>
      <c r="K121" s="220"/>
      <c r="L121" s="220"/>
      <c r="M121" s="220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ht="15.0" customHeight="1">
      <c r="A122" s="228" t="s">
        <v>215</v>
      </c>
      <c r="D122" s="229" t="s">
        <v>216</v>
      </c>
      <c r="E122" s="221"/>
      <c r="F122" s="222"/>
      <c r="G122" s="230" t="s">
        <v>217</v>
      </c>
      <c r="H122" s="220"/>
      <c r="I122" s="220"/>
      <c r="J122" s="229" t="s">
        <v>218</v>
      </c>
      <c r="K122" s="220"/>
      <c r="L122" s="220"/>
      <c r="M122" s="22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16"/>
      <c r="AL122" s="2"/>
      <c r="AM122" s="2"/>
    </row>
    <row r="123" ht="15.75" customHeight="1">
      <c r="A123" s="231"/>
      <c r="B123" s="231"/>
      <c r="C123" s="231"/>
      <c r="D123" s="220"/>
      <c r="E123" s="221"/>
      <c r="F123" s="222"/>
      <c r="G123" s="220"/>
      <c r="H123" s="220"/>
      <c r="I123" s="220"/>
      <c r="J123" s="220"/>
      <c r="K123" s="220"/>
      <c r="L123" s="220"/>
      <c r="M123" s="220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ht="15.75" customHeight="1">
      <c r="A124" s="231" t="s">
        <v>219</v>
      </c>
      <c r="B124" s="231"/>
      <c r="C124" s="231"/>
      <c r="D124" s="229" t="s">
        <v>220</v>
      </c>
      <c r="E124" s="221"/>
      <c r="F124" s="222"/>
      <c r="G124" s="230" t="s">
        <v>220</v>
      </c>
      <c r="H124" s="220"/>
      <c r="I124" s="220"/>
      <c r="J124" s="229" t="s">
        <v>220</v>
      </c>
      <c r="K124" s="220"/>
      <c r="L124" s="220"/>
      <c r="M124" s="220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ht="15.75" customHeight="1">
      <c r="A125" s="231"/>
      <c r="B125" s="231"/>
      <c r="C125" s="231"/>
      <c r="D125" s="220"/>
      <c r="E125" s="221"/>
      <c r="F125" s="222"/>
      <c r="G125" s="220"/>
      <c r="H125" s="220"/>
      <c r="I125" s="220"/>
      <c r="J125" s="220"/>
      <c r="K125" s="220"/>
      <c r="L125" s="220"/>
      <c r="M125" s="220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ht="15.75" customHeight="1">
      <c r="A126" s="231"/>
      <c r="B126" s="231"/>
      <c r="C126" s="231"/>
      <c r="D126" s="2"/>
      <c r="E126" s="11"/>
      <c r="F126" s="12"/>
      <c r="G126" s="13"/>
      <c r="H126" s="1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ht="15.75" customHeight="1">
      <c r="A127" s="2"/>
      <c r="B127" s="2"/>
      <c r="C127" s="2"/>
      <c r="D127" s="2"/>
      <c r="E127" s="11"/>
      <c r="F127" s="12"/>
      <c r="G127" s="13"/>
      <c r="H127" s="1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ht="15.75" customHeight="1">
      <c r="A128" s="2"/>
      <c r="B128" s="2"/>
      <c r="C128" s="2"/>
      <c r="D128" s="2"/>
      <c r="E128" s="11"/>
      <c r="F128" s="12"/>
      <c r="G128" s="13"/>
      <c r="H128" s="1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ht="15.75" customHeight="1">
      <c r="A129" s="2"/>
      <c r="B129" s="2"/>
      <c r="C129" s="2"/>
      <c r="D129" s="2"/>
      <c r="E129" s="11"/>
      <c r="F129" s="12"/>
      <c r="G129" s="13"/>
      <c r="H129" s="1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ht="15.75" customHeight="1">
      <c r="A130" s="2"/>
      <c r="B130" s="2"/>
      <c r="C130" s="2"/>
      <c r="D130" s="2"/>
      <c r="E130" s="11"/>
      <c r="F130" s="12"/>
      <c r="G130" s="13"/>
      <c r="H130" s="1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ht="15.75" customHeight="1">
      <c r="A131" s="2"/>
      <c r="B131" s="2"/>
      <c r="C131" s="2"/>
      <c r="D131" s="2"/>
      <c r="E131" s="11"/>
      <c r="F131" s="12"/>
      <c r="G131" s="13"/>
      <c r="H131" s="1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ht="15.75" customHeight="1">
      <c r="A132" s="2"/>
      <c r="B132" s="2"/>
      <c r="C132" s="2"/>
      <c r="D132" s="2"/>
      <c r="E132" s="232"/>
      <c r="F132" s="2"/>
      <c r="G132" s="2"/>
      <c r="H132" s="2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"/>
      <c r="AJ132" s="2"/>
      <c r="AK132" s="2"/>
      <c r="AL132" s="2"/>
      <c r="AM132" s="2"/>
    </row>
    <row r="133" ht="15.75" customHeight="1">
      <c r="A133" s="2"/>
      <c r="B133" s="2"/>
      <c r="C133" s="2"/>
      <c r="D133" s="2"/>
      <c r="E133" s="232"/>
      <c r="F133" s="2"/>
      <c r="G133" s="2"/>
      <c r="H133" s="2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"/>
      <c r="AJ133" s="2"/>
      <c r="AK133" s="2"/>
      <c r="AL133" s="2"/>
      <c r="AM133" s="2"/>
    </row>
    <row r="134" ht="15.75" customHeight="1">
      <c r="A134" s="2"/>
      <c r="B134" s="2"/>
      <c r="C134" s="2"/>
      <c r="D134" s="2"/>
      <c r="E134" s="232"/>
      <c r="F134" s="2"/>
      <c r="G134" s="2"/>
      <c r="H134" s="2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"/>
      <c r="AJ134" s="2"/>
      <c r="AK134" s="2"/>
      <c r="AL134" s="2"/>
      <c r="AM134" s="2"/>
    </row>
    <row r="135" ht="15.75" customHeight="1">
      <c r="A135" s="2"/>
      <c r="B135" s="2"/>
      <c r="C135" s="2"/>
      <c r="D135" s="2"/>
      <c r="E135" s="232"/>
      <c r="F135" s="2"/>
      <c r="G135" s="2"/>
      <c r="H135" s="2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"/>
      <c r="AJ135" s="2"/>
      <c r="AK135" s="2"/>
      <c r="AL135" s="2"/>
      <c r="AM135" s="2"/>
    </row>
    <row r="136" ht="15.75" customHeight="1">
      <c r="A136" s="2"/>
      <c r="B136" s="2"/>
      <c r="C136" s="2"/>
      <c r="D136" s="2"/>
      <c r="E136" s="232"/>
      <c r="F136" s="2"/>
      <c r="G136" s="2"/>
      <c r="H136" s="2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"/>
      <c r="AJ136" s="2"/>
      <c r="AK136" s="2"/>
      <c r="AL136" s="2"/>
      <c r="AM136" s="2"/>
    </row>
    <row r="137" ht="15.75" customHeight="1">
      <c r="A137" s="2"/>
      <c r="B137" s="2"/>
      <c r="C137" s="2"/>
      <c r="D137" s="2"/>
      <c r="E137" s="232"/>
      <c r="F137" s="2"/>
      <c r="G137" s="2"/>
      <c r="H137" s="2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"/>
      <c r="AJ137" s="2"/>
      <c r="AK137" s="2"/>
      <c r="AL137" s="2"/>
      <c r="AM137" s="2"/>
    </row>
    <row r="138" ht="15.75" customHeight="1">
      <c r="A138" s="2"/>
      <c r="B138" s="2"/>
      <c r="C138" s="2"/>
      <c r="D138" s="2"/>
      <c r="E138" s="232"/>
      <c r="F138" s="2"/>
      <c r="G138" s="2"/>
      <c r="H138" s="2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"/>
      <c r="AJ138" s="2"/>
      <c r="AK138" s="2"/>
      <c r="AL138" s="2"/>
      <c r="AM138" s="2"/>
    </row>
    <row r="139" ht="15.75" customHeight="1">
      <c r="A139" s="2"/>
      <c r="B139" s="2"/>
      <c r="C139" s="2"/>
      <c r="D139" s="2"/>
      <c r="E139" s="232"/>
      <c r="F139" s="2"/>
      <c r="G139" s="2"/>
      <c r="H139" s="2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"/>
      <c r="AJ139" s="2"/>
      <c r="AK139" s="2"/>
      <c r="AL139" s="2"/>
      <c r="AM139" s="2"/>
    </row>
    <row r="140" ht="15.75" customHeight="1">
      <c r="A140" s="2"/>
      <c r="B140" s="2"/>
      <c r="C140" s="2"/>
      <c r="D140" s="2"/>
      <c r="E140" s="232"/>
      <c r="F140" s="2"/>
      <c r="G140" s="2"/>
      <c r="H140" s="2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"/>
      <c r="AJ140" s="2"/>
      <c r="AK140" s="2"/>
      <c r="AL140" s="2"/>
      <c r="AM140" s="2"/>
    </row>
    <row r="141" ht="15.75" customHeight="1">
      <c r="A141" s="2"/>
      <c r="B141" s="2"/>
      <c r="C141" s="2"/>
      <c r="D141" s="2"/>
      <c r="E141" s="232"/>
      <c r="F141" s="2"/>
      <c r="G141" s="2"/>
      <c r="H141" s="2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"/>
      <c r="AJ141" s="2"/>
      <c r="AK141" s="2"/>
      <c r="AL141" s="2"/>
      <c r="AM141" s="2"/>
    </row>
    <row r="142" ht="15.75" customHeight="1">
      <c r="A142" s="2"/>
      <c r="B142" s="2"/>
      <c r="C142" s="2"/>
      <c r="D142" s="2"/>
      <c r="E142" s="232"/>
      <c r="F142" s="2"/>
      <c r="G142" s="2"/>
      <c r="H142" s="2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"/>
      <c r="AJ142" s="2"/>
      <c r="AK142" s="2"/>
      <c r="AL142" s="2"/>
      <c r="AM142" s="2"/>
    </row>
    <row r="143" ht="15.75" customHeight="1">
      <c r="A143" s="2"/>
      <c r="B143" s="2"/>
      <c r="C143" s="2"/>
      <c r="D143" s="2"/>
      <c r="E143" s="232"/>
      <c r="F143" s="2"/>
      <c r="G143" s="2"/>
      <c r="H143" s="2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"/>
      <c r="AJ143" s="2"/>
      <c r="AK143" s="2"/>
      <c r="AL143" s="2"/>
      <c r="AM143" s="2"/>
    </row>
    <row r="144" ht="15.75" customHeight="1">
      <c r="A144" s="2"/>
      <c r="B144" s="2"/>
      <c r="C144" s="2"/>
      <c r="D144" s="2"/>
      <c r="E144" s="232"/>
      <c r="F144" s="2"/>
      <c r="G144" s="2"/>
      <c r="H144" s="2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"/>
      <c r="AJ144" s="2"/>
      <c r="AK144" s="2"/>
      <c r="AL144" s="2"/>
      <c r="AM144" s="2"/>
    </row>
    <row r="145" ht="15.75" customHeight="1">
      <c r="A145" s="2"/>
      <c r="B145" s="2"/>
      <c r="C145" s="2"/>
      <c r="D145" s="2"/>
      <c r="E145" s="232"/>
      <c r="F145" s="2"/>
      <c r="G145" s="2"/>
      <c r="H145" s="2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"/>
      <c r="AJ145" s="2"/>
      <c r="AK145" s="2"/>
      <c r="AL145" s="2"/>
      <c r="AM145" s="2"/>
    </row>
    <row r="146" ht="15.75" customHeight="1">
      <c r="A146" s="2"/>
      <c r="B146" s="2"/>
      <c r="C146" s="234"/>
      <c r="D146" s="2"/>
      <c r="E146" s="232"/>
      <c r="F146" s="2"/>
      <c r="G146" s="2"/>
      <c r="H146" s="2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"/>
      <c r="AJ146" s="2"/>
      <c r="AK146" s="2"/>
      <c r="AL146" s="2"/>
      <c r="AM146" s="2"/>
    </row>
    <row r="147" ht="15.75" customHeight="1">
      <c r="A147" s="2"/>
      <c r="B147" s="2"/>
      <c r="C147" s="235"/>
      <c r="D147" s="2"/>
      <c r="E147" s="232"/>
      <c r="F147" s="2"/>
      <c r="G147" s="2"/>
      <c r="H147" s="2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"/>
      <c r="AJ147" s="2"/>
      <c r="AK147" s="2"/>
      <c r="AL147" s="2"/>
      <c r="AM147" s="2"/>
    </row>
    <row r="148" ht="15.75" customHeight="1">
      <c r="A148" s="2"/>
      <c r="B148" s="2"/>
      <c r="C148" s="2"/>
      <c r="D148" s="2"/>
      <c r="E148" s="232"/>
      <c r="F148" s="2"/>
      <c r="G148" s="2"/>
      <c r="H148" s="2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"/>
      <c r="AJ148" s="2"/>
      <c r="AK148" s="2"/>
      <c r="AL148" s="2"/>
      <c r="AM148" s="2"/>
    </row>
    <row r="149" ht="15.75" customHeight="1">
      <c r="A149" s="2"/>
      <c r="B149" s="2"/>
      <c r="C149" s="2"/>
      <c r="D149" s="2"/>
      <c r="E149" s="232"/>
      <c r="F149" s="2"/>
      <c r="G149" s="2"/>
      <c r="H149" s="2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"/>
      <c r="AJ149" s="2"/>
      <c r="AK149" s="2"/>
      <c r="AL149" s="2"/>
      <c r="AM149" s="2"/>
    </row>
    <row r="150" ht="15.75" customHeight="1">
      <c r="A150" s="2"/>
      <c r="B150" s="2"/>
      <c r="C150" s="2"/>
      <c r="D150" s="2"/>
      <c r="E150" s="232"/>
      <c r="F150" s="2"/>
      <c r="G150" s="2"/>
      <c r="H150" s="2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  <c r="AE150" s="233"/>
      <c r="AF150" s="233"/>
      <c r="AG150" s="233"/>
      <c r="AH150" s="233"/>
      <c r="AI150" s="2"/>
      <c r="AJ150" s="2"/>
      <c r="AK150" s="2"/>
      <c r="AL150" s="2"/>
      <c r="AM150" s="2"/>
    </row>
    <row r="151" ht="15.75" customHeight="1">
      <c r="A151" s="2"/>
      <c r="B151" s="2"/>
      <c r="C151" s="2"/>
      <c r="D151" s="2"/>
      <c r="E151" s="232"/>
      <c r="F151" s="2"/>
      <c r="G151" s="2"/>
      <c r="H151" s="2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  <c r="AE151" s="233"/>
      <c r="AF151" s="233"/>
      <c r="AG151" s="233"/>
      <c r="AH151" s="233"/>
      <c r="AI151" s="2"/>
      <c r="AJ151" s="2"/>
      <c r="AK151" s="2"/>
      <c r="AL151" s="2"/>
      <c r="AM151" s="2"/>
    </row>
    <row r="152" ht="15.75" customHeight="1">
      <c r="A152" s="2"/>
      <c r="B152" s="2"/>
      <c r="C152" s="2"/>
      <c r="D152" s="2"/>
      <c r="E152" s="232"/>
      <c r="F152" s="2"/>
      <c r="G152" s="2"/>
      <c r="H152" s="2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  <c r="AE152" s="233"/>
      <c r="AF152" s="233"/>
      <c r="AG152" s="233"/>
      <c r="AH152" s="233"/>
      <c r="AI152" s="2"/>
      <c r="AJ152" s="2"/>
      <c r="AK152" s="2"/>
      <c r="AL152" s="2"/>
      <c r="AM152" s="2"/>
    </row>
    <row r="153" ht="15.75" customHeight="1">
      <c r="A153" s="2"/>
      <c r="B153" s="2"/>
      <c r="C153" s="2"/>
      <c r="D153" s="2"/>
      <c r="E153" s="232"/>
      <c r="F153" s="2"/>
      <c r="G153" s="2"/>
      <c r="H153" s="2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233"/>
      <c r="AG153" s="233"/>
      <c r="AH153" s="233"/>
      <c r="AI153" s="2"/>
      <c r="AJ153" s="2"/>
      <c r="AK153" s="2"/>
      <c r="AL153" s="2"/>
      <c r="AM153" s="2"/>
    </row>
    <row r="154" ht="15.75" customHeight="1">
      <c r="A154" s="2"/>
      <c r="B154" s="2"/>
      <c r="C154" s="2"/>
      <c r="D154" s="2"/>
      <c r="E154" s="232"/>
      <c r="F154" s="2"/>
      <c r="G154" s="2"/>
      <c r="H154" s="2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  <c r="AA154" s="233"/>
      <c r="AB154" s="233"/>
      <c r="AC154" s="233"/>
      <c r="AD154" s="233"/>
      <c r="AE154" s="233"/>
      <c r="AF154" s="233"/>
      <c r="AG154" s="233"/>
      <c r="AH154" s="233"/>
      <c r="AI154" s="2"/>
      <c r="AJ154" s="2"/>
      <c r="AK154" s="2"/>
      <c r="AL154" s="2"/>
      <c r="AM154" s="2"/>
    </row>
    <row r="155" ht="15.75" customHeight="1">
      <c r="A155" s="2"/>
      <c r="B155" s="2"/>
      <c r="C155" s="2"/>
      <c r="D155" s="2"/>
      <c r="E155" s="232"/>
      <c r="F155" s="2"/>
      <c r="G155" s="2"/>
      <c r="H155" s="2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  <c r="AE155" s="233"/>
      <c r="AF155" s="233"/>
      <c r="AG155" s="233"/>
      <c r="AH155" s="233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232"/>
      <c r="F156" s="2"/>
      <c r="G156" s="2"/>
      <c r="H156" s="2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  <c r="AC156" s="233"/>
      <c r="AD156" s="233"/>
      <c r="AE156" s="233"/>
      <c r="AF156" s="233"/>
      <c r="AG156" s="233"/>
      <c r="AH156" s="233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232"/>
      <c r="F157" s="2"/>
      <c r="G157" s="2"/>
      <c r="H157" s="2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  <c r="AC157" s="233"/>
      <c r="AD157" s="233"/>
      <c r="AE157" s="233"/>
      <c r="AF157" s="233"/>
      <c r="AG157" s="233"/>
      <c r="AH157" s="233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232"/>
      <c r="F158" s="2"/>
      <c r="G158" s="2"/>
      <c r="H158" s="2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  <c r="AC158" s="233"/>
      <c r="AD158" s="233"/>
      <c r="AE158" s="233"/>
      <c r="AF158" s="233"/>
      <c r="AG158" s="233"/>
      <c r="AH158" s="233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232"/>
      <c r="F159" s="2"/>
      <c r="G159" s="2"/>
      <c r="H159" s="2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  <c r="AC159" s="233"/>
      <c r="AD159" s="233"/>
      <c r="AE159" s="233"/>
      <c r="AF159" s="233"/>
      <c r="AG159" s="233"/>
      <c r="AH159" s="233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232"/>
      <c r="F160" s="2"/>
      <c r="G160" s="2"/>
      <c r="H160" s="2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232"/>
      <c r="F161" s="2"/>
      <c r="G161" s="2"/>
      <c r="H161" s="2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  <c r="AE161" s="233"/>
      <c r="AF161" s="233"/>
      <c r="AG161" s="233"/>
      <c r="AH161" s="233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232"/>
      <c r="F162" s="2"/>
      <c r="G162" s="2"/>
      <c r="H162" s="2"/>
      <c r="I162" s="236"/>
      <c r="J162" s="237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  <c r="AA162" s="238"/>
      <c r="AB162" s="238"/>
      <c r="AC162" s="238"/>
      <c r="AD162" s="238"/>
      <c r="AE162" s="238"/>
      <c r="AF162" s="238"/>
      <c r="AG162" s="238"/>
      <c r="AH162" s="238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232"/>
      <c r="F163" s="2"/>
      <c r="G163" s="2"/>
      <c r="H163" s="2"/>
      <c r="I163" s="239"/>
      <c r="AH163" s="2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232"/>
      <c r="F164" s="2"/>
      <c r="G164" s="2"/>
      <c r="H164" s="2"/>
      <c r="I164" s="240"/>
      <c r="AH164" s="2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23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23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23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23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23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23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23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23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23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23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2"/>
      <c r="B175" s="2"/>
      <c r="C175" s="2"/>
      <c r="D175" s="2"/>
      <c r="E175" s="23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2"/>
      <c r="B176" s="2"/>
      <c r="C176" s="2"/>
      <c r="D176" s="2"/>
      <c r="E176" s="23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23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23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23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23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23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23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23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23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23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23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23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23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23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23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23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23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23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23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23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23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23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23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23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23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23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23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23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23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23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23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23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23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23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23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23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23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23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23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23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23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23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23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23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23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2"/>
      <c r="B221" s="2"/>
      <c r="C221" s="2"/>
      <c r="D221" s="2"/>
      <c r="E221" s="23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2"/>
      <c r="B222" s="2"/>
      <c r="C222" s="2"/>
      <c r="D222" s="2"/>
      <c r="E222" s="23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2"/>
      <c r="B223" s="2"/>
      <c r="C223" s="2"/>
      <c r="D223" s="2"/>
      <c r="E223" s="23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ht="15.75" customHeight="1">
      <c r="A224" s="2"/>
      <c r="B224" s="2"/>
      <c r="C224" s="2"/>
      <c r="D224" s="2"/>
      <c r="E224" s="23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ht="15.75" customHeight="1">
      <c r="A225" s="2"/>
      <c r="B225" s="2"/>
      <c r="C225" s="2"/>
      <c r="D225" s="2"/>
      <c r="E225" s="23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ht="15.75" customHeight="1">
      <c r="A226" s="2"/>
      <c r="B226" s="2"/>
      <c r="C226" s="2"/>
      <c r="D226" s="2"/>
      <c r="E226" s="23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ht="15.75" customHeight="1">
      <c r="A227" s="2"/>
      <c r="B227" s="2"/>
      <c r="C227" s="2"/>
      <c r="D227" s="2"/>
      <c r="E227" s="23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ht="15.75" customHeight="1">
      <c r="A228" s="2"/>
      <c r="B228" s="2"/>
      <c r="C228" s="2"/>
      <c r="D228" s="2"/>
      <c r="E228" s="23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ht="15.75" customHeight="1">
      <c r="A229" s="2"/>
      <c r="B229" s="2"/>
      <c r="C229" s="2"/>
      <c r="D229" s="2"/>
      <c r="E229" s="23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ht="15.75" customHeight="1">
      <c r="A230" s="2"/>
      <c r="B230" s="2"/>
      <c r="C230" s="2"/>
      <c r="D230" s="2"/>
      <c r="E230" s="23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ht="15.75" customHeight="1">
      <c r="A231" s="2"/>
      <c r="B231" s="2"/>
      <c r="C231" s="2"/>
      <c r="D231" s="2"/>
      <c r="E231" s="23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ht="15.75" customHeight="1">
      <c r="A232" s="2"/>
      <c r="B232" s="2"/>
      <c r="C232" s="2"/>
      <c r="D232" s="2"/>
      <c r="E232" s="23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ht="15.75" customHeight="1">
      <c r="A233" s="2"/>
      <c r="B233" s="2"/>
      <c r="C233" s="2"/>
      <c r="D233" s="2"/>
      <c r="E233" s="23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ht="15.75" customHeight="1">
      <c r="A234" s="2"/>
      <c r="B234" s="2"/>
      <c r="C234" s="2"/>
      <c r="D234" s="2"/>
      <c r="E234" s="23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ht="15.75" customHeight="1">
      <c r="A235" s="2"/>
      <c r="B235" s="2"/>
      <c r="C235" s="2"/>
      <c r="D235" s="2"/>
      <c r="E235" s="23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ht="15.75" customHeight="1">
      <c r="A236" s="2"/>
      <c r="B236" s="2"/>
      <c r="C236" s="2"/>
      <c r="D236" s="2"/>
      <c r="E236" s="23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ht="15.75" customHeight="1">
      <c r="A237" s="2"/>
      <c r="B237" s="2"/>
      <c r="C237" s="2"/>
      <c r="D237" s="2"/>
      <c r="E237" s="23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ht="15.75" customHeight="1">
      <c r="A238" s="2"/>
      <c r="B238" s="2"/>
      <c r="C238" s="2"/>
      <c r="D238" s="2"/>
      <c r="E238" s="23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ht="15.75" customHeight="1">
      <c r="A239" s="2"/>
      <c r="B239" s="2"/>
      <c r="C239" s="2"/>
      <c r="D239" s="2"/>
      <c r="E239" s="23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ht="15.75" customHeight="1">
      <c r="A240" s="2"/>
      <c r="B240" s="2"/>
      <c r="C240" s="2"/>
      <c r="D240" s="2"/>
      <c r="E240" s="23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ht="15.75" customHeight="1">
      <c r="A241" s="2"/>
      <c r="B241" s="2"/>
      <c r="C241" s="2"/>
      <c r="D241" s="2"/>
      <c r="E241" s="23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ht="15.75" customHeight="1">
      <c r="A242" s="2"/>
      <c r="B242" s="2"/>
      <c r="C242" s="2"/>
      <c r="D242" s="2"/>
      <c r="E242" s="23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ht="15.75" customHeight="1">
      <c r="A243" s="2"/>
      <c r="B243" s="2"/>
      <c r="C243" s="2"/>
      <c r="D243" s="2"/>
      <c r="E243" s="23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ht="15.75" customHeight="1">
      <c r="A244" s="2"/>
      <c r="B244" s="2"/>
      <c r="C244" s="2"/>
      <c r="D244" s="2"/>
      <c r="E244" s="23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ht="15.75" customHeight="1">
      <c r="A245" s="2"/>
      <c r="B245" s="2"/>
      <c r="C245" s="2"/>
      <c r="D245" s="2"/>
      <c r="E245" s="23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ht="15.75" customHeight="1">
      <c r="A246" s="2"/>
      <c r="B246" s="2"/>
      <c r="C246" s="2"/>
      <c r="D246" s="2"/>
      <c r="E246" s="23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ht="15.75" customHeight="1">
      <c r="A247" s="2"/>
      <c r="B247" s="2"/>
      <c r="C247" s="2"/>
      <c r="D247" s="2"/>
      <c r="E247" s="23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ht="15.75" customHeight="1">
      <c r="A248" s="2"/>
      <c r="B248" s="2"/>
      <c r="C248" s="2"/>
      <c r="D248" s="2"/>
      <c r="E248" s="23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ht="15.75" customHeight="1">
      <c r="A249" s="2"/>
      <c r="B249" s="2"/>
      <c r="C249" s="2"/>
      <c r="D249" s="2"/>
      <c r="E249" s="23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ht="15.75" customHeight="1">
      <c r="A250" s="2"/>
      <c r="B250" s="2"/>
      <c r="C250" s="2"/>
      <c r="D250" s="2"/>
      <c r="E250" s="23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ht="15.75" customHeight="1">
      <c r="A251" s="2"/>
      <c r="B251" s="2"/>
      <c r="C251" s="2"/>
      <c r="D251" s="2"/>
      <c r="E251" s="23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ht="15.75" customHeight="1">
      <c r="A252" s="2"/>
      <c r="B252" s="2"/>
      <c r="C252" s="2"/>
      <c r="D252" s="2"/>
      <c r="E252" s="23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ht="15.75" customHeight="1">
      <c r="A253" s="2"/>
      <c r="B253" s="2"/>
      <c r="C253" s="2"/>
      <c r="D253" s="2"/>
      <c r="E253" s="23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ht="15.75" customHeight="1">
      <c r="A254" s="2"/>
      <c r="B254" s="2"/>
      <c r="C254" s="2"/>
      <c r="D254" s="2"/>
      <c r="E254" s="23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ht="15.75" customHeight="1">
      <c r="A255" s="2"/>
      <c r="B255" s="2"/>
      <c r="C255" s="2"/>
      <c r="D255" s="2"/>
      <c r="E255" s="23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ht="15.75" customHeight="1">
      <c r="A256" s="2"/>
      <c r="B256" s="2"/>
      <c r="C256" s="2"/>
      <c r="D256" s="2"/>
      <c r="E256" s="23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2"/>
      <c r="B257" s="2"/>
      <c r="C257" s="2"/>
      <c r="D257" s="2"/>
      <c r="E257" s="23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ht="15.75" customHeight="1">
      <c r="A258" s="2"/>
      <c r="B258" s="2"/>
      <c r="C258" s="2"/>
      <c r="D258" s="2"/>
      <c r="E258" s="23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2"/>
      <c r="B259" s="2"/>
      <c r="C259" s="2"/>
      <c r="D259" s="2"/>
      <c r="E259" s="23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2"/>
      <c r="B260" s="2"/>
      <c r="C260" s="2"/>
      <c r="D260" s="2"/>
      <c r="E260" s="23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2"/>
      <c r="B261" s="2"/>
      <c r="C261" s="2"/>
      <c r="D261" s="2"/>
      <c r="E261" s="23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2"/>
      <c r="B262" s="2"/>
      <c r="C262" s="2"/>
      <c r="D262" s="2"/>
      <c r="E262" s="23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2"/>
      <c r="B263" s="2"/>
      <c r="C263" s="2"/>
      <c r="D263" s="2"/>
      <c r="E263" s="23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2"/>
      <c r="B264" s="2"/>
      <c r="C264" s="2"/>
      <c r="D264" s="2"/>
      <c r="E264" s="23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2"/>
      <c r="B265" s="2"/>
      <c r="C265" s="2"/>
      <c r="D265" s="2"/>
      <c r="E265" s="23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2"/>
      <c r="B266" s="2"/>
      <c r="C266" s="2"/>
      <c r="D266" s="2"/>
      <c r="E266" s="23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2"/>
      <c r="B267" s="2"/>
      <c r="C267" s="2"/>
      <c r="D267" s="2"/>
      <c r="E267" s="23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2"/>
      <c r="B268" s="2"/>
      <c r="C268" s="2"/>
      <c r="D268" s="2"/>
      <c r="E268" s="23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2"/>
      <c r="B269" s="2"/>
      <c r="C269" s="2"/>
      <c r="D269" s="2"/>
      <c r="E269" s="23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2"/>
      <c r="B270" s="2"/>
      <c r="C270" s="2"/>
      <c r="D270" s="2"/>
      <c r="E270" s="23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2"/>
      <c r="B271" s="2"/>
      <c r="C271" s="2"/>
      <c r="D271" s="2"/>
      <c r="E271" s="23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2"/>
      <c r="B272" s="2"/>
      <c r="C272" s="2"/>
      <c r="D272" s="2"/>
      <c r="E272" s="23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2"/>
      <c r="B273" s="2"/>
      <c r="C273" s="2"/>
      <c r="D273" s="2"/>
      <c r="E273" s="23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ht="15.75" customHeight="1">
      <c r="A274" s="2"/>
      <c r="B274" s="2"/>
      <c r="C274" s="2"/>
      <c r="D274" s="2"/>
      <c r="E274" s="23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2"/>
      <c r="B275" s="2"/>
      <c r="C275" s="2"/>
      <c r="D275" s="2"/>
      <c r="E275" s="23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2"/>
      <c r="B276" s="2"/>
      <c r="C276" s="2"/>
      <c r="D276" s="2"/>
      <c r="E276" s="23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2"/>
      <c r="B277" s="2"/>
      <c r="C277" s="2"/>
      <c r="D277" s="2"/>
      <c r="E277" s="23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2"/>
      <c r="B278" s="2"/>
      <c r="C278" s="2"/>
      <c r="D278" s="2"/>
      <c r="E278" s="23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2"/>
      <c r="B279" s="2"/>
      <c r="C279" s="2"/>
      <c r="D279" s="2"/>
      <c r="E279" s="23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2"/>
      <c r="B280" s="2"/>
      <c r="C280" s="2"/>
      <c r="D280" s="2"/>
      <c r="E280" s="23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2"/>
      <c r="B281" s="2"/>
      <c r="C281" s="2"/>
      <c r="D281" s="2"/>
      <c r="E281" s="23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2"/>
      <c r="B282" s="2"/>
      <c r="C282" s="2"/>
      <c r="D282" s="2"/>
      <c r="E282" s="23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2"/>
      <c r="B283" s="2"/>
      <c r="C283" s="2"/>
      <c r="D283" s="2"/>
      <c r="E283" s="23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ht="15.75" customHeight="1">
      <c r="A284" s="2"/>
      <c r="B284" s="2"/>
      <c r="C284" s="2"/>
      <c r="D284" s="2"/>
      <c r="E284" s="23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2"/>
      <c r="B285" s="2"/>
      <c r="C285" s="2"/>
      <c r="D285" s="2"/>
      <c r="E285" s="23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ht="15.75" customHeight="1">
      <c r="A286" s="2"/>
      <c r="B286" s="2"/>
      <c r="C286" s="2"/>
      <c r="D286" s="2"/>
      <c r="E286" s="23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2"/>
      <c r="B287" s="2"/>
      <c r="C287" s="2"/>
      <c r="D287" s="2"/>
      <c r="E287" s="23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2"/>
      <c r="B288" s="2"/>
      <c r="C288" s="2"/>
      <c r="D288" s="2"/>
      <c r="E288" s="23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2"/>
      <c r="B289" s="2"/>
      <c r="C289" s="2"/>
      <c r="D289" s="2"/>
      <c r="E289" s="23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2"/>
      <c r="B290" s="2"/>
      <c r="C290" s="2"/>
      <c r="D290" s="2"/>
      <c r="E290" s="23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2"/>
      <c r="B291" s="2"/>
      <c r="C291" s="2"/>
      <c r="D291" s="2"/>
      <c r="E291" s="23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2"/>
      <c r="B292" s="2"/>
      <c r="C292" s="2"/>
      <c r="D292" s="2"/>
      <c r="E292" s="23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2"/>
      <c r="B293" s="2"/>
      <c r="C293" s="2"/>
      <c r="D293" s="2"/>
      <c r="E293" s="23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2"/>
      <c r="B294" s="2"/>
      <c r="C294" s="2"/>
      <c r="D294" s="2"/>
      <c r="E294" s="23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ht="15.75" customHeight="1">
      <c r="A295" s="2"/>
      <c r="B295" s="2"/>
      <c r="C295" s="2"/>
      <c r="D295" s="2"/>
      <c r="E295" s="23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2"/>
      <c r="B296" s="2"/>
      <c r="C296" s="2"/>
      <c r="D296" s="2"/>
      <c r="E296" s="23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2"/>
      <c r="B297" s="2"/>
      <c r="C297" s="2"/>
      <c r="D297" s="2"/>
      <c r="E297" s="23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2"/>
      <c r="B298" s="2"/>
      <c r="C298" s="2"/>
      <c r="D298" s="2"/>
      <c r="E298" s="23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2"/>
      <c r="B299" s="2"/>
      <c r="C299" s="2"/>
      <c r="D299" s="2"/>
      <c r="E299" s="23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2"/>
      <c r="B300" s="2"/>
      <c r="C300" s="2"/>
      <c r="D300" s="2"/>
      <c r="E300" s="23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2"/>
      <c r="B301" s="2"/>
      <c r="C301" s="2"/>
      <c r="D301" s="2"/>
      <c r="E301" s="23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2"/>
      <c r="B302" s="2"/>
      <c r="C302" s="2"/>
      <c r="D302" s="2"/>
      <c r="E302" s="23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2"/>
      <c r="B303" s="2"/>
      <c r="C303" s="2"/>
      <c r="D303" s="2"/>
      <c r="E303" s="23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2"/>
      <c r="B304" s="2"/>
      <c r="C304" s="2"/>
      <c r="D304" s="2"/>
      <c r="E304" s="23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2"/>
      <c r="B305" s="2"/>
      <c r="C305" s="2"/>
      <c r="D305" s="2"/>
      <c r="E305" s="23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2"/>
      <c r="B306" s="2"/>
      <c r="C306" s="2"/>
      <c r="D306" s="2"/>
      <c r="E306" s="23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2"/>
      <c r="B307" s="2"/>
      <c r="C307" s="2"/>
      <c r="D307" s="2"/>
      <c r="E307" s="23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2"/>
      <c r="B308" s="2"/>
      <c r="C308" s="2"/>
      <c r="D308" s="2"/>
      <c r="E308" s="23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23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23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23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23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23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23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23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23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23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23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23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23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23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23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23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23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23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23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23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23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23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23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23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23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23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23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23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23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23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23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23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23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23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23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23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23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23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23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23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23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23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23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23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23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23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23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23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23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23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23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23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24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24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24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24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24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24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24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24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24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24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24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24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24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24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24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24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24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24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24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24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24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24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24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24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24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24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24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24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24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24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24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24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24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24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24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24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24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24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24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24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24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24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24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24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24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24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24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24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24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24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24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24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24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24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24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24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24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24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24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24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24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24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24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24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24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24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24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24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24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24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24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24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24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24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24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24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24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24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24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24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24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24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24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24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24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24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24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24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24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24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24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24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24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24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24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24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24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24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24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24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24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24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24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24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24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24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24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24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24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24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24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24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24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24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24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24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24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24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24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24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24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24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24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24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24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24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24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24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24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24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24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24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24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24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24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24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24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24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24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24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24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24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24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24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24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24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24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24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24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24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24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24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24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24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24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24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24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24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24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24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24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24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24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24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24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24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24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24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24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24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24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24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24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24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24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24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24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24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24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24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24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24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24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24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24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24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24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24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24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24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24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24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24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24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24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24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24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24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24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24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24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24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24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24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24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24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24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24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24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24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24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24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24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24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24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24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24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24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24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24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24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24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24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24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24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24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24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24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24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24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24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24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24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24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24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24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24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24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24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24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24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24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24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24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24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24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24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24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24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24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24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24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24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24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24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24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24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24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24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24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24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24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24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24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24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24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24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24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24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24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24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24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24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24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24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24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24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24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24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24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24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24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24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24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24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24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24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24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24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24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24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24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24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24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24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24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24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24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24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24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24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24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24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24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24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24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24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24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24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24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24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24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24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24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24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24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24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24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24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24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24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24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24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24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24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24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24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24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24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24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24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24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24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24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24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24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24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24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24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24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24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24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24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24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24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24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24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24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24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24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24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24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24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24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24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24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24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24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24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24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24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24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24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24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24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24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24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24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24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24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24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24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24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24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24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24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24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24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24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24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24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24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24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24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24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24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24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24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24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24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24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24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24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24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24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24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24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24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24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24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24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24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24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24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24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24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24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24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24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24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24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24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24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24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24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24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24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24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24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24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24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24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24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24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24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24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24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24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24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24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24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24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24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24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24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24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24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24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24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24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24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24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24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24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24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24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24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24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24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24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24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24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24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24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24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24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24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24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24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24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24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24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24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24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24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24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24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24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24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24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24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24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24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24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24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24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24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24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24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24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24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24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24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24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24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24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24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24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24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24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24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24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24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24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24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24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24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24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24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24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24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24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24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24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24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24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24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24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24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24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24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24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24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24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24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24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24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24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24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24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24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24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24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24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24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24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24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24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24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24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24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24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24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24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24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24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24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24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24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24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24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24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24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24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24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24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24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24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24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24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24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24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24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24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24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24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24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24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24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24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24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24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24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24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24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24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24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24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24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24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24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24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24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24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24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24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24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24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24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24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24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24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24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24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24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24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24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24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24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24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24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24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24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24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24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24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24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24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24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24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24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24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24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24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24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24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24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24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24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24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24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24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24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24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24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24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24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ht="15.75" customHeight="1">
      <c r="A977" s="2"/>
      <c r="B977" s="2"/>
      <c r="C977" s="2"/>
      <c r="D977" s="2"/>
      <c r="E977" s="24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ht="15.75" customHeight="1">
      <c r="A978" s="2"/>
      <c r="B978" s="2"/>
      <c r="C978" s="2"/>
      <c r="D978" s="2"/>
      <c r="E978" s="24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ht="15.75" customHeight="1">
      <c r="A979" s="2"/>
      <c r="B979" s="2"/>
      <c r="C979" s="2"/>
      <c r="D979" s="2"/>
      <c r="E979" s="24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ht="15.75" customHeight="1">
      <c r="A980" s="2"/>
      <c r="B980" s="2"/>
      <c r="C980" s="2"/>
      <c r="D980" s="2"/>
      <c r="E980" s="24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ht="15.75" customHeight="1">
      <c r="A981" s="2"/>
      <c r="B981" s="2"/>
      <c r="C981" s="2"/>
      <c r="D981" s="2"/>
      <c r="E981" s="24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ht="15.75" customHeight="1">
      <c r="A982" s="2"/>
      <c r="B982" s="2"/>
      <c r="C982" s="2"/>
      <c r="D982" s="2"/>
      <c r="E982" s="24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ht="15.75" customHeight="1">
      <c r="A983" s="2"/>
      <c r="B983" s="2"/>
      <c r="C983" s="2"/>
      <c r="D983" s="2"/>
      <c r="E983" s="24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ht="15.75" customHeight="1">
      <c r="A984" s="2"/>
      <c r="B984" s="2"/>
      <c r="C984" s="2"/>
      <c r="D984" s="2"/>
      <c r="E984" s="24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ht="15.75" customHeight="1">
      <c r="A985" s="2"/>
      <c r="B985" s="2"/>
      <c r="C985" s="2"/>
      <c r="D985" s="2"/>
      <c r="E985" s="24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ht="15.75" customHeight="1">
      <c r="A986" s="2"/>
      <c r="B986" s="2"/>
      <c r="C986" s="2"/>
      <c r="D986" s="2"/>
      <c r="E986" s="24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ht="15.75" customHeight="1">
      <c r="A987" s="2"/>
      <c r="B987" s="2"/>
      <c r="C987" s="2"/>
      <c r="D987" s="2"/>
      <c r="E987" s="24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ht="15.75" customHeight="1">
      <c r="A988" s="2"/>
      <c r="B988" s="2"/>
      <c r="C988" s="2"/>
      <c r="D988" s="2"/>
      <c r="E988" s="24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ht="15.75" customHeight="1">
      <c r="A989" s="2"/>
      <c r="B989" s="2"/>
      <c r="C989" s="2"/>
      <c r="D989" s="2"/>
      <c r="E989" s="24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ht="15.75" customHeight="1">
      <c r="A990" s="2"/>
      <c r="B990" s="2"/>
      <c r="C990" s="2"/>
      <c r="D990" s="2"/>
      <c r="E990" s="24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ht="15.75" customHeight="1">
      <c r="A991" s="2"/>
      <c r="B991" s="2"/>
      <c r="C991" s="2"/>
      <c r="D991" s="2"/>
      <c r="E991" s="24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ht="15.75" customHeight="1">
      <c r="A992" s="2"/>
      <c r="B992" s="2"/>
      <c r="C992" s="2"/>
      <c r="D992" s="2"/>
      <c r="E992" s="24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ht="15.75" customHeight="1">
      <c r="A993" s="2"/>
      <c r="B993" s="2"/>
      <c r="C993" s="2"/>
      <c r="D993" s="2"/>
      <c r="E993" s="24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ht="15.75" customHeight="1">
      <c r="A994" s="2"/>
      <c r="B994" s="2"/>
      <c r="C994" s="2"/>
      <c r="D994" s="2"/>
      <c r="E994" s="24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ht="15.75" customHeight="1">
      <c r="A995" s="2"/>
      <c r="B995" s="2"/>
      <c r="C995" s="2"/>
      <c r="D995" s="2"/>
      <c r="E995" s="24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ht="15.75" customHeight="1">
      <c r="A996" s="2"/>
      <c r="B996" s="2"/>
      <c r="C996" s="2"/>
      <c r="D996" s="2"/>
      <c r="E996" s="24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ht="15.75" customHeight="1">
      <c r="A997" s="2"/>
      <c r="B997" s="2"/>
      <c r="C997" s="2"/>
      <c r="D997" s="2"/>
      <c r="E997" s="24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ht="15.75" customHeight="1">
      <c r="A998" s="2"/>
      <c r="B998" s="2"/>
      <c r="C998" s="2"/>
      <c r="D998" s="2"/>
      <c r="E998" s="24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ht="15.75" customHeight="1">
      <c r="A999" s="2"/>
      <c r="B999" s="2"/>
      <c r="C999" s="2"/>
      <c r="D999" s="2"/>
      <c r="E999" s="24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ht="15.75" customHeight="1">
      <c r="A1000" s="2"/>
      <c r="B1000" s="2"/>
      <c r="C1000" s="2"/>
      <c r="D1000" s="2"/>
      <c r="E1000" s="24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 ht="15.75" customHeight="1">
      <c r="A1001" s="2"/>
      <c r="B1001" s="2"/>
      <c r="C1001" s="2"/>
      <c r="D1001" s="2"/>
      <c r="E1001" s="241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 ht="15.75" customHeight="1">
      <c r="A1002" s="2"/>
      <c r="B1002" s="2"/>
      <c r="C1002" s="2"/>
      <c r="D1002" s="2"/>
      <c r="E1002" s="241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ht="15.75" customHeight="1">
      <c r="A1003" s="2"/>
      <c r="B1003" s="2"/>
      <c r="C1003" s="2"/>
      <c r="D1003" s="2"/>
      <c r="E1003" s="241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 ht="15.75" customHeight="1">
      <c r="A1004" s="2"/>
      <c r="B1004" s="2"/>
      <c r="C1004" s="2"/>
      <c r="D1004" s="2"/>
      <c r="E1004" s="241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 ht="15.75" customHeight="1">
      <c r="A1005" s="2"/>
      <c r="B1005" s="2"/>
      <c r="C1005" s="2"/>
      <c r="D1005" s="2"/>
      <c r="E1005" s="241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 ht="15.75" customHeight="1">
      <c r="A1006" s="2"/>
      <c r="B1006" s="2"/>
      <c r="C1006" s="2"/>
      <c r="D1006" s="2"/>
      <c r="E1006" s="241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 ht="15.75" customHeight="1">
      <c r="A1007" s="2"/>
      <c r="B1007" s="2"/>
      <c r="C1007" s="2"/>
      <c r="D1007" s="2"/>
      <c r="E1007" s="241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 ht="15.75" customHeight="1">
      <c r="A1008" s="2"/>
      <c r="B1008" s="2"/>
      <c r="C1008" s="2"/>
      <c r="D1008" s="2"/>
      <c r="E1008" s="241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 ht="15.75" customHeight="1">
      <c r="A1009" s="2"/>
      <c r="B1009" s="2"/>
      <c r="C1009" s="2"/>
      <c r="D1009" s="2"/>
      <c r="E1009" s="241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 ht="15.75" customHeight="1">
      <c r="A1010" s="2"/>
      <c r="B1010" s="2"/>
      <c r="C1010" s="2"/>
      <c r="D1010" s="2"/>
      <c r="E1010" s="241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 ht="15.75" customHeight="1">
      <c r="A1011" s="2"/>
      <c r="B1011" s="2"/>
      <c r="C1011" s="2"/>
      <c r="D1011" s="2"/>
      <c r="E1011" s="241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 ht="15.75" customHeight="1">
      <c r="A1012" s="2"/>
      <c r="B1012" s="2"/>
      <c r="C1012" s="2"/>
      <c r="D1012" s="2"/>
      <c r="E1012" s="241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 ht="15.75" customHeight="1">
      <c r="A1013" s="2"/>
      <c r="B1013" s="2"/>
      <c r="C1013" s="2"/>
      <c r="D1013" s="2"/>
      <c r="E1013" s="241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 ht="15.75" customHeight="1">
      <c r="A1014" s="2"/>
      <c r="B1014" s="2"/>
      <c r="C1014" s="2"/>
      <c r="D1014" s="2"/>
      <c r="E1014" s="241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 ht="15.75" customHeight="1">
      <c r="A1015" s="2"/>
      <c r="B1015" s="2"/>
      <c r="C1015" s="2"/>
      <c r="D1015" s="2"/>
      <c r="E1015" s="241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 ht="15.75" customHeight="1">
      <c r="A1016" s="2"/>
      <c r="B1016" s="2"/>
      <c r="C1016" s="2"/>
      <c r="D1016" s="2"/>
      <c r="E1016" s="241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 ht="15.75" customHeight="1">
      <c r="A1017" s="2"/>
      <c r="B1017" s="2"/>
      <c r="C1017" s="2"/>
      <c r="D1017" s="2"/>
      <c r="E1017" s="241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 ht="15.75" customHeight="1">
      <c r="A1018" s="2"/>
      <c r="B1018" s="2"/>
      <c r="C1018" s="2"/>
      <c r="D1018" s="2"/>
      <c r="E1018" s="241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 ht="15.75" customHeight="1">
      <c r="A1019" s="2"/>
      <c r="B1019" s="2"/>
      <c r="C1019" s="2"/>
      <c r="D1019" s="2"/>
      <c r="E1019" s="241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 ht="15.75" customHeight="1">
      <c r="A1020" s="2"/>
      <c r="B1020" s="2"/>
      <c r="C1020" s="2"/>
      <c r="D1020" s="2"/>
      <c r="E1020" s="241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 ht="15.75" customHeight="1">
      <c r="A1021" s="2"/>
      <c r="B1021" s="2"/>
      <c r="C1021" s="2"/>
      <c r="D1021" s="2"/>
      <c r="E1021" s="241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 ht="15.75" customHeight="1">
      <c r="A1022" s="2"/>
      <c r="B1022" s="2"/>
      <c r="C1022" s="2"/>
      <c r="D1022" s="2"/>
      <c r="E1022" s="241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 ht="15.75" customHeight="1">
      <c r="A1023" s="2"/>
      <c r="B1023" s="2"/>
      <c r="C1023" s="2"/>
      <c r="D1023" s="2"/>
      <c r="E1023" s="241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 ht="15.75" customHeight="1">
      <c r="A1024" s="2"/>
      <c r="B1024" s="2"/>
      <c r="C1024" s="2"/>
      <c r="D1024" s="2"/>
      <c r="E1024" s="241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 ht="15.75" customHeight="1">
      <c r="A1025" s="2"/>
      <c r="B1025" s="2"/>
      <c r="C1025" s="2"/>
      <c r="D1025" s="2"/>
      <c r="E1025" s="241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 ht="15.75" customHeight="1">
      <c r="A1026" s="2"/>
      <c r="B1026" s="2"/>
      <c r="C1026" s="2"/>
      <c r="D1026" s="2"/>
      <c r="E1026" s="241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 ht="15.75" customHeight="1">
      <c r="A1027" s="2"/>
      <c r="B1027" s="2"/>
      <c r="C1027" s="2"/>
      <c r="D1027" s="2"/>
      <c r="E1027" s="241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 ht="15.75" customHeight="1">
      <c r="A1028" s="2"/>
      <c r="B1028" s="2"/>
      <c r="C1028" s="2"/>
      <c r="D1028" s="2"/>
      <c r="E1028" s="241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 ht="15.75" customHeight="1">
      <c r="A1029" s="2"/>
      <c r="B1029" s="2"/>
      <c r="C1029" s="2"/>
      <c r="D1029" s="2"/>
      <c r="E1029" s="241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 ht="15.75" customHeight="1">
      <c r="A1030" s="2"/>
      <c r="B1030" s="2"/>
      <c r="C1030" s="2"/>
      <c r="D1030" s="2"/>
      <c r="E1030" s="241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 ht="15.75" customHeight="1">
      <c r="A1031" s="2"/>
      <c r="B1031" s="2"/>
      <c r="C1031" s="2"/>
      <c r="D1031" s="2"/>
      <c r="E1031" s="241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 ht="15.75" customHeight="1">
      <c r="A1032" s="2"/>
      <c r="B1032" s="2"/>
      <c r="C1032" s="2"/>
      <c r="D1032" s="2"/>
      <c r="E1032" s="241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 ht="15.75" customHeight="1">
      <c r="A1033" s="2"/>
      <c r="B1033" s="2"/>
      <c r="C1033" s="2"/>
      <c r="D1033" s="2"/>
      <c r="E1033" s="241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 ht="15.75" customHeight="1">
      <c r="A1034" s="2"/>
      <c r="B1034" s="2"/>
      <c r="C1034" s="2"/>
      <c r="D1034" s="2"/>
      <c r="E1034" s="241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 ht="15.75" customHeight="1">
      <c r="A1035" s="2"/>
      <c r="B1035" s="2"/>
      <c r="C1035" s="2"/>
      <c r="D1035" s="2"/>
      <c r="E1035" s="241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 ht="15.75" customHeight="1">
      <c r="A1036" s="2"/>
      <c r="B1036" s="2"/>
      <c r="C1036" s="2"/>
      <c r="D1036" s="2"/>
      <c r="E1036" s="241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 ht="15.75" customHeight="1">
      <c r="A1037" s="2"/>
      <c r="B1037" s="2"/>
      <c r="C1037" s="2"/>
      <c r="D1037" s="2"/>
      <c r="E1037" s="241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 ht="15.75" customHeight="1">
      <c r="A1038" s="2"/>
      <c r="B1038" s="2"/>
      <c r="C1038" s="2"/>
      <c r="D1038" s="2"/>
      <c r="E1038" s="241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 ht="15.75" customHeight="1">
      <c r="A1039" s="2"/>
      <c r="B1039" s="2"/>
      <c r="C1039" s="2"/>
      <c r="D1039" s="2"/>
      <c r="E1039" s="241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 ht="15.75" customHeight="1">
      <c r="A1040" s="2"/>
      <c r="B1040" s="2"/>
      <c r="C1040" s="2"/>
      <c r="D1040" s="2"/>
      <c r="E1040" s="241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 ht="15.75" customHeight="1">
      <c r="A1041" s="2"/>
      <c r="B1041" s="2"/>
      <c r="C1041" s="2"/>
      <c r="D1041" s="2"/>
      <c r="E1041" s="241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 ht="15.75" customHeight="1">
      <c r="A1042" s="2"/>
      <c r="B1042" s="2"/>
      <c r="C1042" s="2"/>
      <c r="D1042" s="2"/>
      <c r="E1042" s="241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 ht="15.75" customHeight="1">
      <c r="A1043" s="2"/>
      <c r="B1043" s="2"/>
      <c r="C1043" s="2"/>
      <c r="D1043" s="2"/>
      <c r="E1043" s="241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 ht="15.75" customHeight="1">
      <c r="A1044" s="2"/>
      <c r="B1044" s="2"/>
      <c r="C1044" s="2"/>
      <c r="D1044" s="2"/>
      <c r="E1044" s="241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 ht="15.75" customHeight="1">
      <c r="A1045" s="2"/>
      <c r="B1045" s="2"/>
      <c r="C1045" s="2"/>
      <c r="D1045" s="2"/>
      <c r="E1045" s="241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</row>
    <row r="1046" ht="15.75" customHeight="1">
      <c r="A1046" s="2"/>
      <c r="B1046" s="2"/>
      <c r="C1046" s="2"/>
      <c r="D1046" s="2"/>
      <c r="E1046" s="241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 ht="15.75" customHeight="1">
      <c r="A1047" s="2"/>
      <c r="B1047" s="2"/>
      <c r="C1047" s="2"/>
      <c r="D1047" s="2"/>
      <c r="E1047" s="241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 ht="15.75" customHeight="1">
      <c r="A1048" s="2"/>
      <c r="B1048" s="2"/>
      <c r="C1048" s="2"/>
      <c r="D1048" s="2"/>
      <c r="E1048" s="241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 ht="15.75" customHeight="1">
      <c r="A1049" s="2"/>
      <c r="B1049" s="2"/>
      <c r="C1049" s="2"/>
      <c r="D1049" s="2"/>
      <c r="E1049" s="241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 ht="15.75" customHeight="1">
      <c r="A1050" s="2"/>
      <c r="B1050" s="2"/>
      <c r="C1050" s="2"/>
      <c r="D1050" s="2"/>
      <c r="E1050" s="241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 ht="15.75" customHeight="1">
      <c r="A1051" s="2"/>
      <c r="B1051" s="2"/>
      <c r="C1051" s="2"/>
      <c r="D1051" s="2"/>
      <c r="E1051" s="241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</row>
    <row r="1052" ht="15.75" customHeight="1">
      <c r="A1052" s="2"/>
      <c r="B1052" s="2"/>
      <c r="C1052" s="2"/>
      <c r="D1052" s="2"/>
      <c r="E1052" s="241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 ht="15.75" customHeight="1">
      <c r="A1053" s="2"/>
      <c r="B1053" s="2"/>
      <c r="C1053" s="2"/>
      <c r="D1053" s="2"/>
      <c r="E1053" s="241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 ht="15.75" customHeight="1">
      <c r="A1054" s="2"/>
      <c r="B1054" s="2"/>
      <c r="C1054" s="2"/>
      <c r="D1054" s="2"/>
      <c r="E1054" s="241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 ht="15.75" customHeight="1">
      <c r="A1055" s="2"/>
      <c r="B1055" s="2"/>
      <c r="C1055" s="2"/>
      <c r="D1055" s="2"/>
      <c r="E1055" s="241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 ht="15.75" customHeight="1">
      <c r="A1056" s="2"/>
      <c r="B1056" s="2"/>
      <c r="C1056" s="2"/>
      <c r="D1056" s="2"/>
      <c r="E1056" s="241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</sheetData>
  <mergeCells count="42">
    <mergeCell ref="H9:H10"/>
    <mergeCell ref="I9:AI9"/>
    <mergeCell ref="A1:AI1"/>
    <mergeCell ref="A2:AI2"/>
    <mergeCell ref="A3:AI3"/>
    <mergeCell ref="A9:A10"/>
    <mergeCell ref="B9:B10"/>
    <mergeCell ref="C9:C10"/>
    <mergeCell ref="E9:E10"/>
    <mergeCell ref="D26:D31"/>
    <mergeCell ref="D53:D54"/>
    <mergeCell ref="D55:D72"/>
    <mergeCell ref="D74:D82"/>
    <mergeCell ref="F9:F10"/>
    <mergeCell ref="G9:G10"/>
    <mergeCell ref="D13:D16"/>
    <mergeCell ref="H13:H25"/>
    <mergeCell ref="D17:D20"/>
    <mergeCell ref="D21:D24"/>
    <mergeCell ref="H26:H31"/>
    <mergeCell ref="G13:G25"/>
    <mergeCell ref="G26:G31"/>
    <mergeCell ref="G53:G54"/>
    <mergeCell ref="H53:H54"/>
    <mergeCell ref="G55:G72"/>
    <mergeCell ref="H55:H72"/>
    <mergeCell ref="G74:G82"/>
    <mergeCell ref="D113:F113"/>
    <mergeCell ref="D114:F114"/>
    <mergeCell ref="A121:C121"/>
    <mergeCell ref="A122:C122"/>
    <mergeCell ref="K114:AG114"/>
    <mergeCell ref="K115:AG115"/>
    <mergeCell ref="I163:AG163"/>
    <mergeCell ref="I164:AG164"/>
    <mergeCell ref="H74:H81"/>
    <mergeCell ref="H85:H89"/>
    <mergeCell ref="D107:F107"/>
    <mergeCell ref="D112:F112"/>
    <mergeCell ref="I112:J112"/>
    <mergeCell ref="K112:AG112"/>
    <mergeCell ref="K113:AG113"/>
  </mergeCells>
  <printOptions/>
  <pageMargins bottom="0.5871725383920506" footer="0.0" header="0.0" left="0.7" right="0.4462511291779584" top="0.7750677506775068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242" t="s">
        <v>221</v>
      </c>
      <c r="W2" s="2"/>
      <c r="X2" s="2"/>
    </row>
    <row r="3">
      <c r="A3" s="4" t="s">
        <v>222</v>
      </c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0"/>
      <c r="B5" s="6"/>
      <c r="C5" s="2"/>
      <c r="D5" s="11"/>
      <c r="E5" s="12"/>
      <c r="F5" s="13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223</v>
      </c>
      <c r="B6" s="6"/>
      <c r="C6" s="2"/>
      <c r="D6" s="11"/>
      <c r="E6" s="12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0" t="s">
        <v>4</v>
      </c>
      <c r="B7" s="6"/>
      <c r="C7" s="2"/>
      <c r="D7" s="11"/>
      <c r="E7" s="12"/>
      <c r="F7" s="13"/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4" t="s">
        <v>224</v>
      </c>
      <c r="B8" s="243" t="s">
        <v>7</v>
      </c>
      <c r="C8" s="244" t="s">
        <v>8</v>
      </c>
      <c r="D8" s="245" t="s">
        <v>9</v>
      </c>
      <c r="E8" s="246" t="s">
        <v>10</v>
      </c>
      <c r="F8" s="247" t="s">
        <v>11</v>
      </c>
      <c r="G8" s="243" t="s">
        <v>12</v>
      </c>
      <c r="H8" s="248" t="s">
        <v>13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  <c r="W8" s="22"/>
      <c r="X8" s="22"/>
    </row>
    <row r="9">
      <c r="A9" s="23"/>
      <c r="B9" s="249"/>
      <c r="C9" s="250" t="s">
        <v>14</v>
      </c>
      <c r="D9" s="249"/>
      <c r="E9" s="249"/>
      <c r="F9" s="249"/>
      <c r="G9" s="249"/>
      <c r="H9" s="251" t="s">
        <v>225</v>
      </c>
      <c r="I9" s="251" t="s">
        <v>226</v>
      </c>
      <c r="J9" s="251" t="s">
        <v>227</v>
      </c>
      <c r="K9" s="251" t="s">
        <v>228</v>
      </c>
      <c r="L9" s="251" t="s">
        <v>229</v>
      </c>
      <c r="M9" s="251" t="s">
        <v>230</v>
      </c>
      <c r="N9" s="251" t="s">
        <v>231</v>
      </c>
      <c r="O9" s="251" t="s">
        <v>232</v>
      </c>
      <c r="P9" s="251" t="s">
        <v>233</v>
      </c>
      <c r="Q9" s="251" t="s">
        <v>234</v>
      </c>
      <c r="R9" s="251" t="s">
        <v>235</v>
      </c>
      <c r="S9" s="251" t="s">
        <v>236</v>
      </c>
      <c r="T9" s="251" t="s">
        <v>237</v>
      </c>
      <c r="U9" s="252" t="str">
        <f>$V$9</f>
        <v>REMARKS</v>
      </c>
      <c r="V9" s="252" t="s">
        <v>41</v>
      </c>
      <c r="W9" s="29"/>
      <c r="X9" s="22"/>
    </row>
    <row r="10">
      <c r="A10" s="253"/>
      <c r="B10" s="254" t="s">
        <v>238</v>
      </c>
      <c r="C10" s="95"/>
      <c r="D10" s="93"/>
      <c r="E10" s="94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6"/>
      <c r="V10" s="257"/>
      <c r="W10" s="22"/>
      <c r="X10" s="22"/>
    </row>
    <row r="11">
      <c r="A11" s="258"/>
      <c r="B11" s="259" t="s">
        <v>239</v>
      </c>
      <c r="C11" s="260" t="s">
        <v>240</v>
      </c>
      <c r="D11" s="261">
        <f>50000/80</f>
        <v>625</v>
      </c>
      <c r="E11" s="261">
        <v>50000.0</v>
      </c>
      <c r="F11" s="262" t="s">
        <v>241</v>
      </c>
      <c r="G11" s="262"/>
      <c r="H11" s="262">
        <v>80.0</v>
      </c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2"/>
      <c r="X11" s="22"/>
    </row>
    <row r="12">
      <c r="A12" s="258"/>
      <c r="B12" s="259" t="s">
        <v>242</v>
      </c>
      <c r="C12" s="263" t="s">
        <v>243</v>
      </c>
      <c r="D12" s="264">
        <f>3000/5</f>
        <v>600</v>
      </c>
      <c r="E12" s="264">
        <v>3000.0</v>
      </c>
      <c r="F12" s="262" t="s">
        <v>241</v>
      </c>
      <c r="G12" s="262"/>
      <c r="H12" s="262">
        <v>5.0</v>
      </c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2"/>
      <c r="X12" s="22"/>
    </row>
    <row r="13">
      <c r="A13" s="258"/>
      <c r="B13" s="265" t="s">
        <v>244</v>
      </c>
      <c r="C13" s="266" t="s">
        <v>245</v>
      </c>
      <c r="D13" s="267">
        <f>10000/10</f>
        <v>1000</v>
      </c>
      <c r="E13" s="268">
        <v>10000.0</v>
      </c>
      <c r="F13" s="262" t="s">
        <v>241</v>
      </c>
      <c r="G13" s="262"/>
      <c r="H13" s="262">
        <v>10.0</v>
      </c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2"/>
      <c r="X13" s="22"/>
    </row>
    <row r="14">
      <c r="A14" s="258"/>
      <c r="B14" s="269" t="s">
        <v>246</v>
      </c>
      <c r="C14" s="266" t="s">
        <v>245</v>
      </c>
      <c r="D14" s="267">
        <f>50000/10</f>
        <v>5000</v>
      </c>
      <c r="E14" s="268">
        <v>50000.0</v>
      </c>
      <c r="F14" s="262" t="s">
        <v>241</v>
      </c>
      <c r="G14" s="262"/>
      <c r="H14" s="262">
        <v>10.0</v>
      </c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2"/>
      <c r="X14" s="22"/>
    </row>
    <row r="15">
      <c r="A15" s="258"/>
      <c r="B15" s="269" t="s">
        <v>247</v>
      </c>
      <c r="C15" s="266" t="s">
        <v>243</v>
      </c>
      <c r="D15" s="267">
        <f>2500/5</f>
        <v>500</v>
      </c>
      <c r="E15" s="268">
        <v>2500.0</v>
      </c>
      <c r="F15" s="262" t="s">
        <v>241</v>
      </c>
      <c r="G15" s="262"/>
      <c r="H15" s="262">
        <v>5.0</v>
      </c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2"/>
      <c r="X15" s="22"/>
    </row>
    <row r="16">
      <c r="A16" s="258"/>
      <c r="B16" s="265" t="s">
        <v>248</v>
      </c>
      <c r="C16" s="266" t="s">
        <v>249</v>
      </c>
      <c r="D16" s="267">
        <f>500/20</f>
        <v>25</v>
      </c>
      <c r="E16" s="268">
        <v>500.0</v>
      </c>
      <c r="F16" s="262" t="s">
        <v>98</v>
      </c>
      <c r="G16" s="262"/>
      <c r="H16" s="262">
        <v>20.0</v>
      </c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2"/>
      <c r="X16" s="22"/>
    </row>
    <row r="17">
      <c r="A17" s="258"/>
      <c r="B17" s="265" t="s">
        <v>250</v>
      </c>
      <c r="C17" s="266" t="s">
        <v>251</v>
      </c>
      <c r="D17" s="267">
        <f>300/15</f>
        <v>20</v>
      </c>
      <c r="E17" s="268">
        <v>300.0</v>
      </c>
      <c r="F17" s="262" t="s">
        <v>98</v>
      </c>
      <c r="G17" s="262"/>
      <c r="H17" s="262">
        <v>15.0</v>
      </c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2"/>
      <c r="X17" s="22"/>
    </row>
    <row r="18">
      <c r="A18" s="258"/>
      <c r="B18" s="265" t="s">
        <v>252</v>
      </c>
      <c r="C18" s="266" t="s">
        <v>253</v>
      </c>
      <c r="D18" s="267">
        <f>150/5</f>
        <v>30</v>
      </c>
      <c r="E18" s="268">
        <v>150.0</v>
      </c>
      <c r="F18" s="262" t="s">
        <v>98</v>
      </c>
      <c r="G18" s="262"/>
      <c r="H18" s="262">
        <v>5.0</v>
      </c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2"/>
      <c r="X18" s="22"/>
    </row>
    <row r="19">
      <c r="A19" s="258"/>
      <c r="B19" s="269" t="s">
        <v>254</v>
      </c>
      <c r="C19" s="266" t="s">
        <v>255</v>
      </c>
      <c r="D19" s="267">
        <f>300/10</f>
        <v>30</v>
      </c>
      <c r="E19" s="268">
        <v>300.0</v>
      </c>
      <c r="F19" s="262" t="s">
        <v>98</v>
      </c>
      <c r="G19" s="262"/>
      <c r="H19" s="262">
        <v>10.0</v>
      </c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2"/>
      <c r="X19" s="22"/>
    </row>
    <row r="20">
      <c r="A20" s="258"/>
      <c r="B20" s="265" t="s">
        <v>256</v>
      </c>
      <c r="C20" s="266" t="s">
        <v>257</v>
      </c>
      <c r="D20" s="267">
        <f>300/30</f>
        <v>10</v>
      </c>
      <c r="E20" s="268">
        <v>300.0</v>
      </c>
      <c r="F20" s="262" t="s">
        <v>98</v>
      </c>
      <c r="G20" s="262"/>
      <c r="H20" s="262">
        <v>30.0</v>
      </c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2"/>
      <c r="X20" s="22"/>
    </row>
    <row r="21" ht="15.75" customHeight="1">
      <c r="A21" s="258"/>
      <c r="B21" s="265" t="s">
        <v>258</v>
      </c>
      <c r="C21" s="266" t="s">
        <v>249</v>
      </c>
      <c r="D21" s="270">
        <f>2000/20</f>
        <v>100</v>
      </c>
      <c r="E21" s="268">
        <v>2000.0</v>
      </c>
      <c r="F21" s="262" t="s">
        <v>98</v>
      </c>
      <c r="G21" s="262"/>
      <c r="H21" s="262">
        <v>20.0</v>
      </c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2"/>
      <c r="X21" s="22"/>
    </row>
    <row r="22" ht="15.75" customHeight="1">
      <c r="A22" s="258"/>
      <c r="B22" s="269" t="s">
        <v>259</v>
      </c>
      <c r="C22" s="266" t="s">
        <v>243</v>
      </c>
      <c r="D22" s="267">
        <v>15.0</v>
      </c>
      <c r="E22" s="268">
        <v>75.0</v>
      </c>
      <c r="F22" s="262" t="s">
        <v>98</v>
      </c>
      <c r="G22" s="262"/>
      <c r="H22" s="262">
        <v>5.0</v>
      </c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2"/>
      <c r="X22" s="22"/>
    </row>
    <row r="23" ht="15.75" customHeight="1">
      <c r="A23" s="258"/>
      <c r="B23" s="269" t="s">
        <v>260</v>
      </c>
      <c r="C23" s="266" t="s">
        <v>255</v>
      </c>
      <c r="D23" s="267">
        <f>300/10</f>
        <v>30</v>
      </c>
      <c r="E23" s="268">
        <v>300.0</v>
      </c>
      <c r="F23" s="262" t="s">
        <v>98</v>
      </c>
      <c r="G23" s="262"/>
      <c r="H23" s="262">
        <v>10.0</v>
      </c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2"/>
      <c r="X23" s="22"/>
    </row>
    <row r="24" ht="15.75" customHeight="1">
      <c r="A24" s="258"/>
      <c r="B24" s="265" t="s">
        <v>261</v>
      </c>
      <c r="C24" s="266" t="s">
        <v>262</v>
      </c>
      <c r="D24" s="267">
        <f>1000/50</f>
        <v>20</v>
      </c>
      <c r="E24" s="268">
        <v>1000.0</v>
      </c>
      <c r="F24" s="262" t="s">
        <v>98</v>
      </c>
      <c r="G24" s="262"/>
      <c r="H24" s="262">
        <v>50.0</v>
      </c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2"/>
      <c r="X24" s="22"/>
    </row>
    <row r="25" ht="15.75" customHeight="1">
      <c r="A25" s="258"/>
      <c r="B25" s="265" t="s">
        <v>263</v>
      </c>
      <c r="C25" s="266" t="s">
        <v>264</v>
      </c>
      <c r="D25" s="267">
        <f>2000/15</f>
        <v>133.3333333</v>
      </c>
      <c r="E25" s="268">
        <v>2000.0</v>
      </c>
      <c r="F25" s="262" t="s">
        <v>98</v>
      </c>
      <c r="G25" s="262"/>
      <c r="H25" s="262">
        <v>15.0</v>
      </c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2"/>
      <c r="X25" s="22"/>
    </row>
    <row r="26" ht="15.75" customHeight="1">
      <c r="A26" s="258"/>
      <c r="B26" s="265" t="s">
        <v>265</v>
      </c>
      <c r="C26" s="266" t="s">
        <v>266</v>
      </c>
      <c r="D26" s="267">
        <f>1000/1</f>
        <v>1000</v>
      </c>
      <c r="E26" s="268">
        <v>1000.0</v>
      </c>
      <c r="F26" s="262" t="s">
        <v>241</v>
      </c>
      <c r="G26" s="262"/>
      <c r="H26" s="262"/>
      <c r="I26" s="262">
        <v>1.0</v>
      </c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2"/>
      <c r="X26" s="22"/>
    </row>
    <row r="27" ht="15.75" customHeight="1">
      <c r="A27" s="258"/>
      <c r="B27" s="265" t="s">
        <v>267</v>
      </c>
      <c r="C27" s="266" t="s">
        <v>176</v>
      </c>
      <c r="D27" s="267">
        <f>30000/3</f>
        <v>10000</v>
      </c>
      <c r="E27" s="268">
        <v>30000.0</v>
      </c>
      <c r="F27" s="262" t="s">
        <v>241</v>
      </c>
      <c r="G27" s="262"/>
      <c r="H27" s="262"/>
      <c r="I27" s="262">
        <v>3.0</v>
      </c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2"/>
      <c r="X27" s="22"/>
    </row>
    <row r="28" ht="15.75" customHeight="1">
      <c r="A28" s="258"/>
      <c r="B28" s="269" t="s">
        <v>268</v>
      </c>
      <c r="C28" s="266" t="s">
        <v>269</v>
      </c>
      <c r="D28" s="267">
        <f>1000/100</f>
        <v>10</v>
      </c>
      <c r="E28" s="268">
        <v>1000.0</v>
      </c>
      <c r="F28" s="262" t="s">
        <v>98</v>
      </c>
      <c r="G28" s="262"/>
      <c r="H28" s="262"/>
      <c r="I28" s="262">
        <v>100.0</v>
      </c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2"/>
      <c r="X28" s="22"/>
    </row>
    <row r="29" ht="15.75" customHeight="1">
      <c r="A29" s="258"/>
      <c r="B29" s="269" t="s">
        <v>270</v>
      </c>
      <c r="C29" s="266" t="s">
        <v>269</v>
      </c>
      <c r="D29" s="267">
        <f>2000/100</f>
        <v>20</v>
      </c>
      <c r="E29" s="268">
        <v>2000.0</v>
      </c>
      <c r="F29" s="262" t="s">
        <v>98</v>
      </c>
      <c r="G29" s="262"/>
      <c r="H29" s="262"/>
      <c r="I29" s="262">
        <v>100.0</v>
      </c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2"/>
      <c r="X29" s="22"/>
    </row>
    <row r="30" ht="15.75" customHeight="1">
      <c r="A30" s="258"/>
      <c r="B30" s="265" t="s">
        <v>271</v>
      </c>
      <c r="C30" s="266" t="s">
        <v>272</v>
      </c>
      <c r="D30" s="267">
        <f>250/50</f>
        <v>5</v>
      </c>
      <c r="E30" s="268">
        <v>250.0</v>
      </c>
      <c r="F30" s="262" t="s">
        <v>98</v>
      </c>
      <c r="G30" s="262"/>
      <c r="H30" s="262"/>
      <c r="I30" s="262">
        <v>50.0</v>
      </c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2"/>
      <c r="X30" s="22"/>
    </row>
    <row r="31" ht="15.75" customHeight="1">
      <c r="A31" s="258"/>
      <c r="B31" s="265" t="s">
        <v>273</v>
      </c>
      <c r="C31" s="266" t="s">
        <v>176</v>
      </c>
      <c r="D31" s="267">
        <f t="shared" ref="D31:D32" si="1">400/3</f>
        <v>133.3333333</v>
      </c>
      <c r="E31" s="268">
        <v>400.0</v>
      </c>
      <c r="F31" s="262" t="s">
        <v>241</v>
      </c>
      <c r="G31" s="262"/>
      <c r="H31" s="262"/>
      <c r="I31" s="262">
        <v>3.0</v>
      </c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2"/>
      <c r="X31" s="22"/>
    </row>
    <row r="32" ht="15.75" customHeight="1">
      <c r="A32" s="258"/>
      <c r="B32" s="265" t="s">
        <v>274</v>
      </c>
      <c r="C32" s="266" t="s">
        <v>176</v>
      </c>
      <c r="D32" s="267">
        <f t="shared" si="1"/>
        <v>133.3333333</v>
      </c>
      <c r="E32" s="268">
        <v>400.0</v>
      </c>
      <c r="F32" s="262" t="s">
        <v>241</v>
      </c>
      <c r="G32" s="262"/>
      <c r="H32" s="262"/>
      <c r="I32" s="262">
        <v>3.0</v>
      </c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2"/>
      <c r="X32" s="22"/>
    </row>
    <row r="33" ht="15.75" customHeight="1">
      <c r="A33" s="258"/>
      <c r="B33" s="265" t="s">
        <v>275</v>
      </c>
      <c r="C33" s="266" t="s">
        <v>276</v>
      </c>
      <c r="D33" s="267">
        <f>5500/30</f>
        <v>183.3333333</v>
      </c>
      <c r="E33" s="268">
        <v>5500.0</v>
      </c>
      <c r="F33" s="262" t="s">
        <v>98</v>
      </c>
      <c r="G33" s="262"/>
      <c r="H33" s="262"/>
      <c r="I33" s="262">
        <v>30.0</v>
      </c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2"/>
      <c r="X33" s="22"/>
    </row>
    <row r="34" ht="15.75" customHeight="1">
      <c r="A34" s="258"/>
      <c r="B34" s="265" t="s">
        <v>277</v>
      </c>
      <c r="C34" s="266" t="s">
        <v>266</v>
      </c>
      <c r="D34" s="267">
        <v>5000.0</v>
      </c>
      <c r="E34" s="268">
        <v>5000.0</v>
      </c>
      <c r="F34" s="262" t="s">
        <v>241</v>
      </c>
      <c r="G34" s="262"/>
      <c r="H34" s="262"/>
      <c r="I34" s="262">
        <v>1.0</v>
      </c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2"/>
      <c r="X34" s="22"/>
    </row>
    <row r="35" ht="15.75" customHeight="1">
      <c r="A35" s="258"/>
      <c r="B35" s="265" t="s">
        <v>278</v>
      </c>
      <c r="C35" s="266" t="s">
        <v>279</v>
      </c>
      <c r="D35" s="267">
        <f t="shared" ref="D35:D36" si="2">3200/8</f>
        <v>400</v>
      </c>
      <c r="E35" s="268">
        <v>3200.0</v>
      </c>
      <c r="F35" s="262" t="s">
        <v>98</v>
      </c>
      <c r="G35" s="262"/>
      <c r="H35" s="262"/>
      <c r="I35" s="262">
        <v>8.0</v>
      </c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2"/>
      <c r="X35" s="22"/>
    </row>
    <row r="36" ht="15.75" customHeight="1">
      <c r="A36" s="258"/>
      <c r="B36" s="265" t="s">
        <v>280</v>
      </c>
      <c r="C36" s="266" t="s">
        <v>279</v>
      </c>
      <c r="D36" s="267">
        <f t="shared" si="2"/>
        <v>400</v>
      </c>
      <c r="E36" s="268">
        <v>3200.0</v>
      </c>
      <c r="F36" s="262" t="s">
        <v>98</v>
      </c>
      <c r="G36" s="262"/>
      <c r="H36" s="262"/>
      <c r="I36" s="262">
        <v>8.0</v>
      </c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2"/>
      <c r="X36" s="22"/>
    </row>
    <row r="37" ht="15.75" customHeight="1">
      <c r="A37" s="258"/>
      <c r="B37" s="265" t="s">
        <v>281</v>
      </c>
      <c r="C37" s="266" t="s">
        <v>282</v>
      </c>
      <c r="D37" s="267">
        <f>200/3</f>
        <v>66.66666667</v>
      </c>
      <c r="E37" s="268">
        <v>200.0</v>
      </c>
      <c r="F37" s="262" t="s">
        <v>98</v>
      </c>
      <c r="G37" s="262"/>
      <c r="H37" s="262"/>
      <c r="I37" s="262">
        <v>3.0</v>
      </c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2"/>
      <c r="X37" s="22"/>
    </row>
    <row r="38" ht="15.75" customHeight="1">
      <c r="A38" s="258"/>
      <c r="B38" s="265" t="s">
        <v>283</v>
      </c>
      <c r="C38" s="266" t="s">
        <v>249</v>
      </c>
      <c r="D38" s="267">
        <f>1000/20</f>
        <v>50</v>
      </c>
      <c r="E38" s="268">
        <v>1000.0</v>
      </c>
      <c r="F38" s="262" t="s">
        <v>98</v>
      </c>
      <c r="G38" s="262"/>
      <c r="H38" s="262"/>
      <c r="I38" s="262"/>
      <c r="J38" s="262">
        <v>20.0</v>
      </c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2"/>
      <c r="X38" s="22"/>
    </row>
    <row r="39" ht="15.75" customHeight="1">
      <c r="A39" s="258"/>
      <c r="B39" s="265" t="s">
        <v>284</v>
      </c>
      <c r="C39" s="266" t="s">
        <v>285</v>
      </c>
      <c r="D39" s="267">
        <f>600/20</f>
        <v>30</v>
      </c>
      <c r="E39" s="268">
        <v>600.0</v>
      </c>
      <c r="F39" s="262" t="s">
        <v>98</v>
      </c>
      <c r="G39" s="262"/>
      <c r="H39" s="262"/>
      <c r="I39" s="262"/>
      <c r="J39" s="262">
        <v>20.0</v>
      </c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2"/>
      <c r="X39" s="22"/>
    </row>
    <row r="40" ht="15.75" customHeight="1">
      <c r="A40" s="258"/>
      <c r="B40" s="265" t="s">
        <v>286</v>
      </c>
      <c r="C40" s="266" t="s">
        <v>269</v>
      </c>
      <c r="D40" s="267">
        <f>1000/100</f>
        <v>10</v>
      </c>
      <c r="E40" s="268">
        <v>1000.0</v>
      </c>
      <c r="F40" s="262" t="s">
        <v>98</v>
      </c>
      <c r="G40" s="262"/>
      <c r="H40" s="262"/>
      <c r="I40" s="262"/>
      <c r="J40" s="262">
        <v>100.0</v>
      </c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2"/>
      <c r="X40" s="22"/>
    </row>
    <row r="41" ht="15.75" customHeight="1">
      <c r="A41" s="258"/>
      <c r="B41" s="265" t="s">
        <v>287</v>
      </c>
      <c r="C41" s="266" t="s">
        <v>272</v>
      </c>
      <c r="D41" s="267">
        <f>1000/50</f>
        <v>20</v>
      </c>
      <c r="E41" s="268">
        <v>1000.0</v>
      </c>
      <c r="F41" s="262" t="s">
        <v>98</v>
      </c>
      <c r="G41" s="262"/>
      <c r="H41" s="262"/>
      <c r="I41" s="262"/>
      <c r="J41" s="262">
        <v>50.0</v>
      </c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2"/>
      <c r="X41" s="22"/>
    </row>
    <row r="42" ht="15.75" customHeight="1">
      <c r="A42" s="258"/>
      <c r="B42" s="265" t="s">
        <v>288</v>
      </c>
      <c r="C42" s="266" t="s">
        <v>285</v>
      </c>
      <c r="D42" s="267">
        <f>400/20</f>
        <v>20</v>
      </c>
      <c r="E42" s="268">
        <v>400.0</v>
      </c>
      <c r="F42" s="262" t="s">
        <v>98</v>
      </c>
      <c r="G42" s="262"/>
      <c r="H42" s="262"/>
      <c r="I42" s="262"/>
      <c r="J42" s="262">
        <v>20.0</v>
      </c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2"/>
      <c r="X42" s="22"/>
    </row>
    <row r="43" ht="15.75" customHeight="1">
      <c r="A43" s="258"/>
      <c r="B43" s="265" t="s">
        <v>289</v>
      </c>
      <c r="C43" s="266" t="s">
        <v>290</v>
      </c>
      <c r="D43" s="267">
        <f>300/3</f>
        <v>100</v>
      </c>
      <c r="E43" s="268">
        <v>300.0</v>
      </c>
      <c r="F43" s="262" t="s">
        <v>98</v>
      </c>
      <c r="G43" s="262"/>
      <c r="H43" s="262"/>
      <c r="I43" s="262"/>
      <c r="J43" s="262">
        <v>3.0</v>
      </c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2"/>
      <c r="X43" s="22"/>
    </row>
    <row r="44" ht="15.75" customHeight="1">
      <c r="A44" s="258"/>
      <c r="B44" s="265" t="s">
        <v>291</v>
      </c>
      <c r="C44" s="266" t="s">
        <v>292</v>
      </c>
      <c r="D44" s="267">
        <f>500/10</f>
        <v>50</v>
      </c>
      <c r="E44" s="268">
        <v>500.0</v>
      </c>
      <c r="F44" s="262" t="s">
        <v>98</v>
      </c>
      <c r="G44" s="262"/>
      <c r="H44" s="262"/>
      <c r="I44" s="262"/>
      <c r="J44" s="262">
        <v>10.0</v>
      </c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2"/>
      <c r="X44" s="22"/>
    </row>
    <row r="45" ht="15.75" customHeight="1">
      <c r="A45" s="258"/>
      <c r="B45" s="265" t="s">
        <v>293</v>
      </c>
      <c r="C45" s="266" t="s">
        <v>245</v>
      </c>
      <c r="D45" s="267">
        <f t="shared" ref="D45:D46" si="3">300/10</f>
        <v>30</v>
      </c>
      <c r="E45" s="268">
        <v>300.0</v>
      </c>
      <c r="F45" s="262" t="s">
        <v>98</v>
      </c>
      <c r="G45" s="262"/>
      <c r="H45" s="262"/>
      <c r="I45" s="262"/>
      <c r="J45" s="262">
        <v>10.0</v>
      </c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2"/>
      <c r="X45" s="22"/>
    </row>
    <row r="46" ht="15.75" customHeight="1">
      <c r="A46" s="258"/>
      <c r="B46" s="265" t="s">
        <v>294</v>
      </c>
      <c r="C46" s="266" t="s">
        <v>245</v>
      </c>
      <c r="D46" s="267">
        <f t="shared" si="3"/>
        <v>30</v>
      </c>
      <c r="E46" s="268">
        <v>300.0</v>
      </c>
      <c r="F46" s="262" t="s">
        <v>98</v>
      </c>
      <c r="G46" s="262"/>
      <c r="H46" s="262"/>
      <c r="I46" s="262"/>
      <c r="J46" s="262">
        <v>10.0</v>
      </c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2"/>
      <c r="X46" s="22"/>
    </row>
    <row r="47" ht="15.75" customHeight="1">
      <c r="A47" s="258"/>
      <c r="B47" s="265"/>
      <c r="C47" s="266"/>
      <c r="D47" s="267"/>
      <c r="E47" s="268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2"/>
      <c r="X47" s="22"/>
    </row>
    <row r="48" ht="15.75" customHeight="1">
      <c r="A48" s="258"/>
      <c r="B48" s="271" t="s">
        <v>295</v>
      </c>
      <c r="C48" s="272"/>
      <c r="D48" s="273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2"/>
      <c r="X48" s="22"/>
    </row>
    <row r="49" ht="15.75" customHeight="1">
      <c r="A49" s="258"/>
      <c r="B49" s="259" t="s">
        <v>296</v>
      </c>
      <c r="C49" s="260" t="s">
        <v>297</v>
      </c>
      <c r="D49" s="267">
        <f>6560/4</f>
        <v>1640</v>
      </c>
      <c r="E49" s="261">
        <v>6560.0</v>
      </c>
      <c r="F49" s="262" t="s">
        <v>241</v>
      </c>
      <c r="G49" s="262"/>
      <c r="H49" s="262">
        <v>4.0</v>
      </c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2"/>
      <c r="X49" s="22"/>
    </row>
    <row r="50" ht="15.75" customHeight="1">
      <c r="A50" s="258"/>
      <c r="B50" s="265" t="s">
        <v>298</v>
      </c>
      <c r="C50" s="266" t="s">
        <v>297</v>
      </c>
      <c r="D50" s="267">
        <f>3440/4</f>
        <v>860</v>
      </c>
      <c r="E50" s="268">
        <v>3440.0</v>
      </c>
      <c r="F50" s="262" t="s">
        <v>241</v>
      </c>
      <c r="G50" s="262"/>
      <c r="H50" s="262">
        <v>4.0</v>
      </c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2"/>
      <c r="X50" s="22"/>
    </row>
    <row r="51" ht="15.75" customHeight="1">
      <c r="A51" s="258"/>
      <c r="B51" s="269" t="s">
        <v>299</v>
      </c>
      <c r="C51" s="266" t="s">
        <v>300</v>
      </c>
      <c r="D51" s="267">
        <f>8000/8</f>
        <v>1000</v>
      </c>
      <c r="E51" s="268">
        <v>8000.0</v>
      </c>
      <c r="F51" s="262" t="s">
        <v>241</v>
      </c>
      <c r="G51" s="262"/>
      <c r="H51" s="262">
        <v>8.0</v>
      </c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2"/>
      <c r="X51" s="22"/>
    </row>
    <row r="52" ht="15.75" customHeight="1">
      <c r="A52" s="258"/>
      <c r="B52" s="259" t="s">
        <v>301</v>
      </c>
      <c r="C52" s="266" t="s">
        <v>302</v>
      </c>
      <c r="D52" s="267">
        <f>15000/300</f>
        <v>50</v>
      </c>
      <c r="E52" s="268">
        <v>15000.0</v>
      </c>
      <c r="F52" s="262" t="s">
        <v>241</v>
      </c>
      <c r="G52" s="262"/>
      <c r="H52" s="262">
        <v>300.0</v>
      </c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2"/>
      <c r="X52" s="22"/>
    </row>
    <row r="53" ht="15.75" customHeight="1">
      <c r="A53" s="258"/>
      <c r="B53" s="259" t="s">
        <v>303</v>
      </c>
      <c r="C53" s="266" t="s">
        <v>304</v>
      </c>
      <c r="D53" s="267">
        <f>5700/100</f>
        <v>57</v>
      </c>
      <c r="E53" s="268">
        <v>5700.0</v>
      </c>
      <c r="F53" s="262" t="s">
        <v>241</v>
      </c>
      <c r="G53" s="262"/>
      <c r="H53" s="262">
        <v>100.0</v>
      </c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2"/>
      <c r="X53" s="22"/>
    </row>
    <row r="54" ht="15.75" customHeight="1">
      <c r="A54" s="258"/>
      <c r="B54" s="259" t="s">
        <v>305</v>
      </c>
      <c r="C54" s="266" t="s">
        <v>297</v>
      </c>
      <c r="D54" s="267">
        <f>5500/4</f>
        <v>1375</v>
      </c>
      <c r="E54" s="268">
        <v>5500.0</v>
      </c>
      <c r="F54" s="262" t="s">
        <v>241</v>
      </c>
      <c r="G54" s="262"/>
      <c r="H54" s="262"/>
      <c r="I54" s="262">
        <v>4.0</v>
      </c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2"/>
      <c r="X54" s="22"/>
    </row>
    <row r="55" ht="15.75" customHeight="1">
      <c r="A55" s="258"/>
      <c r="B55" s="259" t="s">
        <v>306</v>
      </c>
      <c r="C55" s="266" t="s">
        <v>307</v>
      </c>
      <c r="D55" s="267">
        <f>7200/4</f>
        <v>1800</v>
      </c>
      <c r="E55" s="268">
        <v>7200.0</v>
      </c>
      <c r="F55" s="262" t="s">
        <v>241</v>
      </c>
      <c r="G55" s="262"/>
      <c r="H55" s="262"/>
      <c r="I55" s="262">
        <v>4.0</v>
      </c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2"/>
      <c r="X55" s="22"/>
    </row>
    <row r="56" ht="15.75" customHeight="1">
      <c r="A56" s="258"/>
      <c r="B56" s="259" t="s">
        <v>308</v>
      </c>
      <c r="C56" s="266" t="s">
        <v>309</v>
      </c>
      <c r="D56" s="267">
        <f>8000/6</f>
        <v>1333.333333</v>
      </c>
      <c r="E56" s="268">
        <v>8000.0</v>
      </c>
      <c r="F56" s="262" t="s">
        <v>241</v>
      </c>
      <c r="G56" s="262"/>
      <c r="H56" s="262"/>
      <c r="I56" s="262">
        <v>6.0</v>
      </c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2"/>
      <c r="X56" s="22"/>
    </row>
    <row r="57" ht="15.75" customHeight="1">
      <c r="A57" s="258"/>
      <c r="B57" s="259" t="s">
        <v>310</v>
      </c>
      <c r="C57" s="266" t="s">
        <v>311</v>
      </c>
      <c r="D57" s="267">
        <f>280/10</f>
        <v>28</v>
      </c>
      <c r="E57" s="268">
        <v>280.0</v>
      </c>
      <c r="F57" s="262" t="s">
        <v>241</v>
      </c>
      <c r="G57" s="262"/>
      <c r="H57" s="262"/>
      <c r="I57" s="262">
        <v>10.0</v>
      </c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2"/>
      <c r="X57" s="22"/>
    </row>
    <row r="58" ht="15.75" customHeight="1">
      <c r="A58" s="258"/>
      <c r="B58" s="259" t="s">
        <v>312</v>
      </c>
      <c r="C58" s="266" t="s">
        <v>313</v>
      </c>
      <c r="D58" s="267">
        <f>2100/6</f>
        <v>350</v>
      </c>
      <c r="E58" s="268">
        <v>2100.0</v>
      </c>
      <c r="F58" s="262" t="s">
        <v>241</v>
      </c>
      <c r="G58" s="262"/>
      <c r="H58" s="262"/>
      <c r="I58" s="262"/>
      <c r="J58" s="262">
        <v>6.0</v>
      </c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2"/>
      <c r="X58" s="22"/>
    </row>
    <row r="59" ht="15.75" customHeight="1">
      <c r="A59" s="258"/>
      <c r="B59" s="259" t="s">
        <v>314</v>
      </c>
      <c r="C59" s="266" t="s">
        <v>292</v>
      </c>
      <c r="D59" s="267">
        <f>3000/10</f>
        <v>300</v>
      </c>
      <c r="E59" s="268">
        <v>3000.0</v>
      </c>
      <c r="F59" s="262" t="s">
        <v>241</v>
      </c>
      <c r="G59" s="262"/>
      <c r="H59" s="262"/>
      <c r="I59" s="262"/>
      <c r="J59" s="262">
        <v>10.0</v>
      </c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2"/>
      <c r="X59" s="22"/>
    </row>
    <row r="60" ht="15.75" customHeight="1">
      <c r="A60" s="258"/>
      <c r="B60" s="259" t="s">
        <v>315</v>
      </c>
      <c r="C60" s="266" t="s">
        <v>313</v>
      </c>
      <c r="D60" s="267">
        <f>2400/6</f>
        <v>400</v>
      </c>
      <c r="E60" s="268">
        <v>2400.0</v>
      </c>
      <c r="F60" s="262" t="s">
        <v>241</v>
      </c>
      <c r="G60" s="262"/>
      <c r="H60" s="262"/>
      <c r="I60" s="262"/>
      <c r="J60" s="262">
        <v>6.0</v>
      </c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2"/>
      <c r="X60" s="22"/>
    </row>
    <row r="61" ht="15.75" hidden="1" customHeight="1">
      <c r="A61" s="258"/>
      <c r="B61" s="259"/>
      <c r="C61" s="266"/>
      <c r="D61" s="267"/>
      <c r="E61" s="268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2"/>
      <c r="X61" s="22"/>
    </row>
    <row r="62" ht="15.75" hidden="1" customHeight="1">
      <c r="A62" s="258"/>
      <c r="B62" s="259"/>
      <c r="C62" s="266"/>
      <c r="D62" s="267"/>
      <c r="E62" s="268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2"/>
      <c r="X62" s="22"/>
    </row>
    <row r="63" ht="15.75" hidden="1" customHeight="1">
      <c r="A63" s="258"/>
      <c r="B63" s="259"/>
      <c r="C63" s="266"/>
      <c r="D63" s="267"/>
      <c r="E63" s="268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2"/>
      <c r="X63" s="22"/>
    </row>
    <row r="64" ht="15.75" hidden="1" customHeight="1">
      <c r="A64" s="258"/>
      <c r="B64" s="259"/>
      <c r="C64" s="266"/>
      <c r="D64" s="267"/>
      <c r="E64" s="268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2"/>
      <c r="X64" s="22"/>
    </row>
    <row r="65" ht="15.75" hidden="1" customHeight="1">
      <c r="A65" s="258"/>
      <c r="B65" s="259"/>
      <c r="C65" s="266"/>
      <c r="D65" s="267"/>
      <c r="E65" s="268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2"/>
      <c r="X65" s="22"/>
    </row>
    <row r="66" ht="15.75" hidden="1" customHeight="1">
      <c r="A66" s="258"/>
      <c r="B66" s="259"/>
      <c r="C66" s="266"/>
      <c r="D66" s="267"/>
      <c r="E66" s="268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2"/>
      <c r="X66" s="22"/>
    </row>
    <row r="67" ht="15.75" hidden="1" customHeight="1">
      <c r="A67" s="274"/>
      <c r="B67" s="275"/>
      <c r="C67" s="276"/>
      <c r="D67" s="277"/>
      <c r="E67" s="278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2"/>
      <c r="X67" s="22"/>
    </row>
    <row r="68" ht="15.75" hidden="1" customHeight="1">
      <c r="A68" s="258"/>
      <c r="B68" s="271" t="s">
        <v>316</v>
      </c>
      <c r="C68" s="272"/>
      <c r="D68" s="273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2"/>
      <c r="X68" s="22"/>
    </row>
    <row r="69" ht="15.75" hidden="1" customHeight="1">
      <c r="A69" s="258"/>
      <c r="B69" s="259"/>
      <c r="C69" s="266"/>
      <c r="D69" s="267"/>
      <c r="E69" s="268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2"/>
      <c r="X69" s="22"/>
    </row>
    <row r="70" ht="15.75" hidden="1" customHeight="1">
      <c r="A70" s="258"/>
      <c r="B70" s="259"/>
      <c r="C70" s="266"/>
      <c r="D70" s="267"/>
      <c r="E70" s="268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2"/>
      <c r="X70" s="22"/>
    </row>
    <row r="71" ht="15.75" hidden="1" customHeight="1">
      <c r="A71" s="258"/>
      <c r="B71" s="259"/>
      <c r="C71" s="266"/>
      <c r="D71" s="267"/>
      <c r="E71" s="268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2"/>
      <c r="X71" s="22"/>
    </row>
    <row r="72" ht="15.75" hidden="1" customHeight="1">
      <c r="A72" s="258"/>
      <c r="B72" s="259"/>
      <c r="C72" s="266"/>
      <c r="D72" s="267"/>
      <c r="E72" s="268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2"/>
      <c r="X72" s="22"/>
    </row>
    <row r="73" ht="15.75" hidden="1" customHeight="1">
      <c r="A73" s="258"/>
      <c r="B73" s="271" t="s">
        <v>317</v>
      </c>
      <c r="C73" s="272"/>
      <c r="D73" s="273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2"/>
      <c r="X73" s="22"/>
    </row>
    <row r="74" ht="15.75" hidden="1" customHeight="1">
      <c r="A74" s="258"/>
      <c r="B74" s="259"/>
      <c r="C74" s="266"/>
      <c r="D74" s="267"/>
      <c r="E74" s="268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2"/>
      <c r="X74" s="22"/>
    </row>
    <row r="75" ht="15.75" hidden="1" customHeight="1">
      <c r="A75" s="258"/>
      <c r="B75" s="259"/>
      <c r="C75" s="266"/>
      <c r="D75" s="267"/>
      <c r="E75" s="268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2"/>
      <c r="X75" s="22"/>
    </row>
    <row r="76" ht="15.75" hidden="1" customHeight="1">
      <c r="A76" s="258"/>
      <c r="B76" s="259"/>
      <c r="C76" s="266"/>
      <c r="D76" s="267"/>
      <c r="E76" s="268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2"/>
      <c r="X76" s="22"/>
    </row>
    <row r="77" ht="15.75" customHeight="1">
      <c r="A77" s="274"/>
      <c r="B77" s="279" t="s">
        <v>318</v>
      </c>
      <c r="C77" s="214"/>
      <c r="D77" s="214"/>
      <c r="E77" s="214"/>
      <c r="F77" s="214"/>
      <c r="G77" s="214"/>
      <c r="H77" s="214"/>
      <c r="I77" s="215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2"/>
      <c r="X77" s="22"/>
    </row>
    <row r="78" ht="15.75" customHeight="1">
      <c r="A78" s="201"/>
      <c r="B78" s="202"/>
      <c r="C78" s="2"/>
      <c r="D78" s="11"/>
      <c r="E78" s="280"/>
      <c r="F78" s="13"/>
      <c r="G78" s="1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03" t="s">
        <v>319</v>
      </c>
      <c r="B79" s="6"/>
      <c r="C79" s="281">
        <v>247155.0</v>
      </c>
      <c r="F79" s="13"/>
      <c r="G79" s="1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207" t="s">
        <v>203</v>
      </c>
      <c r="B80" s="208"/>
      <c r="C80" s="209">
        <f>PRODUCT(C79,0.1)</f>
        <v>24715.5</v>
      </c>
      <c r="D80" s="210"/>
      <c r="E80" s="75"/>
      <c r="F80" s="13"/>
      <c r="G80" s="13"/>
      <c r="H80" s="211"/>
      <c r="J80" s="211"/>
      <c r="U80" s="211"/>
      <c r="V80" s="2"/>
      <c r="W80" s="2"/>
      <c r="X80" s="2"/>
    </row>
    <row r="81" ht="15.75" hidden="1" customHeight="1">
      <c r="A81" s="159" t="s">
        <v>204</v>
      </c>
      <c r="B81" s="212"/>
      <c r="C81" s="213">
        <f>PRODUCT(C79,0.1)</f>
        <v>24715.5</v>
      </c>
      <c r="D81" s="214"/>
      <c r="E81" s="215"/>
      <c r="F81" s="13"/>
      <c r="G81" s="13"/>
      <c r="H81" s="216"/>
      <c r="I81" s="216"/>
      <c r="J81" s="217"/>
      <c r="U81" s="217"/>
      <c r="V81" s="2"/>
      <c r="W81" s="2"/>
      <c r="X81" s="2"/>
    </row>
    <row r="82" ht="15.75" hidden="1" customHeight="1">
      <c r="A82" s="159" t="s">
        <v>205</v>
      </c>
      <c r="B82" s="212"/>
      <c r="C82" s="213">
        <f>SUM(C79:E81)</f>
        <v>296586</v>
      </c>
      <c r="D82" s="214"/>
      <c r="E82" s="215"/>
      <c r="F82" s="13"/>
      <c r="G82" s="13"/>
      <c r="H82" s="216"/>
      <c r="I82" s="216"/>
      <c r="J82" s="217"/>
      <c r="U82" s="217"/>
      <c r="V82" s="2"/>
      <c r="W82" s="2"/>
      <c r="X82" s="2"/>
    </row>
    <row r="83" ht="15.75" customHeight="1">
      <c r="A83" s="218"/>
      <c r="B83" s="6"/>
      <c r="C83" s="2"/>
      <c r="D83" s="11"/>
      <c r="E83" s="12"/>
      <c r="F83" s="13"/>
      <c r="G83" s="13"/>
      <c r="H83" s="216"/>
      <c r="I83" s="216"/>
      <c r="J83" s="217"/>
      <c r="U83" s="217"/>
      <c r="V83" s="2"/>
      <c r="W83" s="2"/>
      <c r="X83" s="2"/>
    </row>
    <row r="84" ht="15.75" customHeight="1">
      <c r="A84" s="219" t="s">
        <v>206</v>
      </c>
      <c r="B84" s="6"/>
      <c r="C84" s="2"/>
      <c r="D84" s="11"/>
      <c r="E84" s="12"/>
      <c r="F84" s="13"/>
      <c r="G84" s="1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98"/>
      <c r="B85" s="6"/>
      <c r="C85" s="2"/>
      <c r="D85" s="11"/>
      <c r="E85" s="12"/>
      <c r="F85" s="13"/>
      <c r="G85" s="1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82" t="s">
        <v>207</v>
      </c>
      <c r="B86" s="202"/>
      <c r="C86" s="283" t="s">
        <v>208</v>
      </c>
      <c r="F86" s="216"/>
      <c r="G86" s="216"/>
      <c r="H86" s="2"/>
      <c r="I86" s="283" t="s">
        <v>320</v>
      </c>
      <c r="O86" s="2"/>
      <c r="P86" s="2"/>
      <c r="Q86" s="283" t="s">
        <v>210</v>
      </c>
      <c r="U86" s="2"/>
      <c r="V86" s="2"/>
      <c r="X86" s="216"/>
    </row>
    <row r="87" ht="15.75" customHeight="1">
      <c r="A87" s="282"/>
      <c r="B87" s="202"/>
      <c r="C87" s="283"/>
      <c r="D87" s="284"/>
      <c r="E87" s="283"/>
      <c r="F87" s="216"/>
      <c r="G87" s="216"/>
      <c r="H87" s="2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16"/>
      <c r="X87" s="216"/>
    </row>
    <row r="88" ht="15.75" customHeight="1">
      <c r="A88" s="202"/>
      <c r="B88" s="202"/>
      <c r="C88" s="216"/>
      <c r="D88" s="285"/>
      <c r="E88" s="286"/>
      <c r="F88" s="216"/>
      <c r="G88" s="216"/>
      <c r="H88" s="2"/>
      <c r="I88" s="216"/>
      <c r="J88" s="286"/>
      <c r="K88" s="286"/>
      <c r="L88" s="286"/>
      <c r="M88" s="286"/>
      <c r="N88" s="286"/>
      <c r="O88" s="286"/>
      <c r="P88" s="286"/>
      <c r="Q88" s="216"/>
      <c r="R88" s="286"/>
      <c r="S88" s="216"/>
      <c r="T88" s="216"/>
      <c r="U88" s="216"/>
      <c r="V88" s="216"/>
      <c r="W88" s="216"/>
      <c r="X88" s="216"/>
    </row>
    <row r="89" ht="15.75" customHeight="1">
      <c r="A89" s="287" t="s">
        <v>321</v>
      </c>
      <c r="C89" s="288" t="s">
        <v>212</v>
      </c>
      <c r="G89" s="2"/>
      <c r="H89" s="2"/>
      <c r="I89" s="288" t="s">
        <v>213</v>
      </c>
      <c r="O89" s="2"/>
      <c r="P89" s="2"/>
      <c r="Q89" s="288" t="s">
        <v>214</v>
      </c>
      <c r="U89" s="2"/>
      <c r="V89" s="2"/>
    </row>
    <row r="90" ht="15.0" customHeight="1">
      <c r="A90" s="289" t="s">
        <v>215</v>
      </c>
      <c r="C90" s="290" t="s">
        <v>322</v>
      </c>
      <c r="G90" s="291"/>
      <c r="H90" s="2"/>
      <c r="I90" s="292" t="s">
        <v>323</v>
      </c>
      <c r="O90" s="2"/>
      <c r="P90" s="2"/>
      <c r="Q90" s="290" t="s">
        <v>218</v>
      </c>
      <c r="U90" s="2"/>
      <c r="V90" s="2"/>
      <c r="W90" s="216"/>
      <c r="X90" s="216"/>
    </row>
    <row r="91" ht="15.75" customHeight="1">
      <c r="A91" s="2"/>
      <c r="B91" s="2"/>
      <c r="C91" s="2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219</v>
      </c>
      <c r="B92" s="2"/>
      <c r="C92" s="2" t="s">
        <v>219</v>
      </c>
      <c r="D92" s="11"/>
      <c r="E92" s="2"/>
      <c r="F92" s="2"/>
      <c r="G92" s="2"/>
      <c r="H92" s="2"/>
      <c r="I92" s="2" t="s">
        <v>219</v>
      </c>
      <c r="J92" s="2"/>
      <c r="K92" s="2"/>
      <c r="L92" s="2"/>
      <c r="M92" s="2"/>
      <c r="N92" s="2"/>
      <c r="O92" s="2"/>
      <c r="P92" s="2"/>
      <c r="Q92" s="2" t="s">
        <v>219</v>
      </c>
      <c r="R92" s="2"/>
      <c r="S92" s="2"/>
      <c r="T92" s="2"/>
      <c r="U92" s="2"/>
      <c r="V92" s="2"/>
      <c r="W92" s="2"/>
      <c r="X92" s="2"/>
    </row>
    <row r="93" ht="15.75" customHeight="1">
      <c r="D93" s="232"/>
      <c r="H93" s="233"/>
    </row>
    <row r="94" ht="15.75" customHeight="1">
      <c r="D94" s="232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</row>
    <row r="95" ht="15.75" customHeight="1">
      <c r="D95" s="232"/>
      <c r="H95" s="236"/>
      <c r="I95" s="237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</row>
    <row r="96" ht="15.75" customHeight="1">
      <c r="D96" s="232"/>
      <c r="H96" s="239"/>
    </row>
    <row r="97" ht="15.75" customHeight="1">
      <c r="D97" s="232"/>
      <c r="H97" s="240"/>
    </row>
    <row r="98" ht="15.75" customHeight="1">
      <c r="D98" s="232"/>
    </row>
    <row r="99" ht="15.75" customHeight="1">
      <c r="D99" s="232"/>
    </row>
    <row r="100" ht="15.75" customHeight="1">
      <c r="D100" s="232"/>
    </row>
    <row r="101" ht="15.75" customHeight="1">
      <c r="D101" s="232"/>
    </row>
    <row r="102" ht="15.75" customHeight="1">
      <c r="D102" s="232"/>
    </row>
    <row r="103" ht="15.75" customHeight="1">
      <c r="D103" s="232"/>
    </row>
    <row r="104" ht="15.75" customHeight="1">
      <c r="D104" s="232"/>
    </row>
    <row r="105" ht="15.75" customHeight="1">
      <c r="D105" s="232"/>
    </row>
    <row r="106" ht="15.75" customHeight="1">
      <c r="D106" s="232"/>
    </row>
    <row r="107" ht="15.75" customHeight="1">
      <c r="D107" s="232"/>
    </row>
    <row r="108" ht="15.75" customHeight="1">
      <c r="D108" s="232"/>
    </row>
    <row r="109" ht="15.75" customHeight="1">
      <c r="D109" s="232"/>
    </row>
    <row r="110" ht="15.75" customHeight="1">
      <c r="D110" s="232"/>
    </row>
    <row r="111" ht="15.75" customHeight="1">
      <c r="D111" s="232"/>
    </row>
    <row r="112" ht="15.75" customHeight="1">
      <c r="D112" s="232"/>
    </row>
    <row r="113" ht="15.75" customHeight="1">
      <c r="D113" s="232"/>
    </row>
    <row r="114" ht="15.75" customHeight="1">
      <c r="D114" s="232"/>
    </row>
    <row r="115" ht="15.75" customHeight="1">
      <c r="D115" s="232"/>
    </row>
    <row r="116" ht="15.75" customHeight="1">
      <c r="D116" s="232"/>
    </row>
    <row r="117" ht="15.75" customHeight="1">
      <c r="D117" s="232"/>
    </row>
    <row r="118" ht="15.75" customHeight="1">
      <c r="D118" s="232"/>
    </row>
    <row r="119" ht="15.75" customHeight="1">
      <c r="D119" s="232"/>
    </row>
    <row r="120" ht="15.75" customHeight="1">
      <c r="D120" s="232"/>
    </row>
    <row r="121" ht="15.75" customHeight="1">
      <c r="D121" s="232"/>
    </row>
    <row r="122" ht="15.75" customHeight="1">
      <c r="D122" s="232"/>
    </row>
    <row r="123" ht="15.75" customHeight="1">
      <c r="D123" s="232"/>
    </row>
    <row r="124" ht="15.75" customHeight="1">
      <c r="D124" s="232"/>
    </row>
    <row r="125" ht="15.75" customHeight="1">
      <c r="D125" s="232"/>
    </row>
    <row r="126" ht="15.75" customHeight="1">
      <c r="D126" s="232"/>
    </row>
    <row r="127" ht="15.75" customHeight="1">
      <c r="D127" s="232"/>
    </row>
    <row r="128" ht="15.75" customHeight="1">
      <c r="D128" s="232"/>
    </row>
    <row r="129" ht="15.75" customHeight="1">
      <c r="D129" s="232"/>
    </row>
    <row r="130" ht="15.75" customHeight="1">
      <c r="D130" s="232"/>
    </row>
    <row r="131" ht="15.75" customHeight="1">
      <c r="D131" s="232"/>
    </row>
    <row r="132" ht="15.75" customHeight="1">
      <c r="D132" s="232"/>
    </row>
    <row r="133" ht="15.75" customHeight="1">
      <c r="D133" s="232"/>
    </row>
    <row r="134" ht="15.75" customHeight="1">
      <c r="D134" s="232"/>
    </row>
    <row r="135" ht="15.75" customHeight="1">
      <c r="D135" s="232"/>
    </row>
    <row r="136" ht="15.75" customHeight="1">
      <c r="D136" s="232"/>
    </row>
    <row r="137" ht="15.75" customHeight="1">
      <c r="D137" s="232"/>
    </row>
    <row r="138" ht="15.75" customHeight="1">
      <c r="D138" s="232"/>
    </row>
    <row r="139" ht="15.75" customHeight="1">
      <c r="D139" s="232"/>
    </row>
    <row r="140" ht="15.75" customHeight="1">
      <c r="D140" s="232"/>
    </row>
    <row r="141" ht="15.75" customHeight="1">
      <c r="D141" s="232"/>
    </row>
    <row r="142" ht="15.75" customHeight="1">
      <c r="D142" s="232"/>
    </row>
    <row r="143" ht="15.75" customHeight="1">
      <c r="D143" s="232"/>
    </row>
    <row r="144" ht="15.75" customHeight="1">
      <c r="D144" s="232"/>
    </row>
    <row r="145" ht="15.75" customHeight="1">
      <c r="D145" s="232"/>
    </row>
    <row r="146" ht="15.75" customHeight="1">
      <c r="D146" s="232"/>
    </row>
    <row r="147" ht="15.75" customHeight="1">
      <c r="D147" s="232"/>
    </row>
    <row r="148" ht="15.75" customHeight="1">
      <c r="D148" s="232"/>
    </row>
    <row r="149" ht="15.75" customHeight="1">
      <c r="D149" s="232"/>
    </row>
    <row r="150" ht="15.75" customHeight="1">
      <c r="D150" s="232"/>
    </row>
    <row r="151" ht="15.75" customHeight="1">
      <c r="D151" s="232"/>
    </row>
    <row r="152" ht="15.75" customHeight="1">
      <c r="D152" s="232"/>
    </row>
    <row r="153" ht="15.75" customHeight="1">
      <c r="D153" s="232"/>
    </row>
    <row r="154" ht="15.75" customHeight="1">
      <c r="D154" s="232"/>
    </row>
    <row r="155" ht="15.75" customHeight="1">
      <c r="D155" s="232"/>
    </row>
    <row r="156" ht="15.75" customHeight="1">
      <c r="D156" s="232"/>
    </row>
    <row r="157" ht="15.75" customHeight="1">
      <c r="D157" s="232"/>
    </row>
    <row r="158" ht="15.75" customHeight="1">
      <c r="D158" s="232"/>
    </row>
    <row r="159" ht="15.75" customHeight="1">
      <c r="D159" s="232"/>
    </row>
    <row r="160" ht="15.75" customHeight="1">
      <c r="D160" s="232"/>
    </row>
    <row r="161" ht="15.75" customHeight="1">
      <c r="D161" s="232"/>
    </row>
    <row r="162" ht="15.75" customHeight="1">
      <c r="D162" s="232"/>
    </row>
    <row r="163" ht="15.75" customHeight="1">
      <c r="D163" s="232"/>
    </row>
    <row r="164" ht="15.75" customHeight="1">
      <c r="D164" s="232"/>
    </row>
    <row r="165" ht="15.75" customHeight="1">
      <c r="D165" s="232"/>
    </row>
    <row r="166" ht="15.75" customHeight="1">
      <c r="D166" s="232"/>
    </row>
    <row r="167" ht="15.75" customHeight="1">
      <c r="D167" s="232"/>
    </row>
    <row r="168" ht="15.75" customHeight="1">
      <c r="D168" s="232"/>
    </row>
    <row r="169" ht="15.75" customHeight="1">
      <c r="D169" s="232"/>
    </row>
    <row r="170" ht="15.75" customHeight="1">
      <c r="D170" s="232"/>
    </row>
    <row r="171" ht="15.75" customHeight="1">
      <c r="D171" s="232"/>
    </row>
    <row r="172" ht="15.75" customHeight="1">
      <c r="D172" s="232"/>
    </row>
    <row r="173" ht="15.75" customHeight="1">
      <c r="D173" s="232"/>
    </row>
    <row r="174" ht="15.75" customHeight="1">
      <c r="D174" s="232"/>
    </row>
    <row r="175" ht="15.75" customHeight="1">
      <c r="D175" s="232"/>
    </row>
    <row r="176" ht="15.75" customHeight="1">
      <c r="D176" s="232"/>
    </row>
    <row r="177" ht="15.75" customHeight="1">
      <c r="D177" s="232"/>
    </row>
    <row r="178" ht="15.75" customHeight="1">
      <c r="D178" s="232"/>
    </row>
    <row r="179" ht="15.75" customHeight="1">
      <c r="D179" s="232"/>
    </row>
    <row r="180" ht="15.75" customHeight="1">
      <c r="D180" s="232"/>
    </row>
    <row r="181" ht="15.75" customHeight="1">
      <c r="D181" s="232"/>
    </row>
    <row r="182" ht="15.75" customHeight="1">
      <c r="D182" s="232"/>
    </row>
    <row r="183" ht="15.75" customHeight="1">
      <c r="D183" s="232"/>
    </row>
    <row r="184" ht="15.75" customHeight="1">
      <c r="D184" s="232"/>
    </row>
    <row r="185" ht="15.75" customHeight="1">
      <c r="D185" s="232"/>
    </row>
    <row r="186" ht="15.75" customHeight="1">
      <c r="D186" s="232"/>
    </row>
    <row r="187" ht="15.75" customHeight="1">
      <c r="D187" s="232"/>
    </row>
    <row r="188" ht="15.75" customHeight="1">
      <c r="D188" s="232"/>
    </row>
    <row r="189" ht="15.75" customHeight="1">
      <c r="D189" s="232"/>
    </row>
    <row r="190" ht="15.75" customHeight="1">
      <c r="D190" s="232"/>
    </row>
    <row r="191" ht="15.75" customHeight="1">
      <c r="D191" s="232"/>
    </row>
    <row r="192" ht="15.75" customHeight="1">
      <c r="D192" s="232"/>
    </row>
    <row r="193" ht="15.75" customHeight="1">
      <c r="D193" s="232"/>
    </row>
    <row r="194" ht="15.75" customHeight="1">
      <c r="D194" s="232"/>
    </row>
    <row r="195" ht="15.75" customHeight="1">
      <c r="D195" s="232"/>
    </row>
    <row r="196" ht="15.75" customHeight="1">
      <c r="D196" s="232"/>
    </row>
    <row r="197" ht="15.75" customHeight="1">
      <c r="D197" s="232"/>
    </row>
    <row r="198" ht="15.75" customHeight="1">
      <c r="D198" s="232"/>
    </row>
    <row r="199" ht="15.75" customHeight="1">
      <c r="D199" s="232"/>
    </row>
    <row r="200" ht="15.75" customHeight="1">
      <c r="D200" s="232"/>
    </row>
    <row r="201" ht="15.75" customHeight="1">
      <c r="D201" s="232"/>
    </row>
    <row r="202" ht="15.75" customHeight="1">
      <c r="D202" s="232"/>
    </row>
    <row r="203" ht="15.75" customHeight="1">
      <c r="D203" s="232"/>
    </row>
    <row r="204" ht="15.75" customHeight="1">
      <c r="D204" s="232"/>
    </row>
    <row r="205" ht="15.75" customHeight="1">
      <c r="D205" s="232"/>
    </row>
    <row r="206" ht="15.75" customHeight="1">
      <c r="D206" s="232"/>
    </row>
    <row r="207" ht="15.75" customHeight="1">
      <c r="D207" s="232"/>
    </row>
    <row r="208" ht="15.75" customHeight="1">
      <c r="D208" s="232"/>
    </row>
    <row r="209" ht="15.75" customHeight="1">
      <c r="D209" s="232"/>
    </row>
    <row r="210" ht="15.75" customHeight="1">
      <c r="D210" s="232"/>
    </row>
    <row r="211" ht="15.75" customHeight="1">
      <c r="D211" s="232"/>
    </row>
    <row r="212" ht="15.75" customHeight="1">
      <c r="D212" s="232"/>
    </row>
    <row r="213" ht="15.75" customHeight="1">
      <c r="D213" s="232"/>
    </row>
    <row r="214" ht="15.75" customHeight="1">
      <c r="D214" s="232"/>
    </row>
    <row r="215" ht="15.75" customHeight="1">
      <c r="D215" s="232"/>
    </row>
    <row r="216" ht="15.75" customHeight="1">
      <c r="D216" s="232"/>
    </row>
    <row r="217" ht="15.75" customHeight="1">
      <c r="D217" s="232"/>
    </row>
    <row r="218" ht="15.75" customHeight="1">
      <c r="D218" s="232"/>
    </row>
    <row r="219" ht="15.75" customHeight="1">
      <c r="D219" s="232"/>
    </row>
    <row r="220" ht="15.75" customHeight="1">
      <c r="D220" s="232"/>
    </row>
    <row r="221" ht="15.75" customHeight="1">
      <c r="D221" s="232"/>
    </row>
    <row r="222" ht="15.75" customHeight="1">
      <c r="D222" s="232"/>
    </row>
    <row r="223" ht="15.75" customHeight="1">
      <c r="D223" s="232"/>
    </row>
    <row r="224" ht="15.75" customHeight="1">
      <c r="D224" s="232"/>
    </row>
    <row r="225" ht="15.75" customHeight="1">
      <c r="D225" s="232"/>
    </row>
    <row r="226" ht="15.75" customHeight="1">
      <c r="D226" s="232"/>
    </row>
    <row r="227" ht="15.75" customHeight="1">
      <c r="D227" s="232"/>
    </row>
    <row r="228" ht="15.75" customHeight="1">
      <c r="D228" s="232"/>
    </row>
    <row r="229" ht="15.75" customHeight="1">
      <c r="D229" s="232"/>
    </row>
    <row r="230" ht="15.75" customHeight="1">
      <c r="D230" s="232"/>
    </row>
    <row r="231" ht="15.75" customHeight="1">
      <c r="D231" s="232"/>
    </row>
    <row r="232" ht="15.75" customHeight="1">
      <c r="D232" s="232"/>
    </row>
    <row r="233" ht="15.75" customHeight="1">
      <c r="D233" s="232"/>
    </row>
    <row r="234" ht="15.75" customHeight="1">
      <c r="D234" s="232"/>
    </row>
    <row r="235" ht="15.75" customHeight="1">
      <c r="D235" s="232"/>
    </row>
    <row r="236" ht="15.75" customHeight="1">
      <c r="D236" s="232"/>
    </row>
    <row r="237" ht="15.75" customHeight="1">
      <c r="D237" s="232"/>
    </row>
    <row r="238" ht="15.75" customHeight="1">
      <c r="D238" s="232"/>
    </row>
    <row r="239" ht="15.75" customHeight="1">
      <c r="D239" s="232"/>
    </row>
    <row r="240" ht="15.75" customHeight="1">
      <c r="D240" s="232"/>
    </row>
    <row r="241" ht="15.75" customHeight="1">
      <c r="D241" s="232"/>
    </row>
    <row r="242" ht="15.75" customHeight="1">
      <c r="D242" s="232"/>
    </row>
    <row r="243" ht="15.75" customHeight="1">
      <c r="D243" s="232"/>
    </row>
    <row r="244" ht="15.75" customHeight="1">
      <c r="D244" s="232"/>
    </row>
    <row r="245" ht="15.75" customHeight="1">
      <c r="D245" s="232"/>
    </row>
    <row r="246" ht="15.75" customHeight="1">
      <c r="D246" s="232"/>
    </row>
    <row r="247" ht="15.75" customHeight="1">
      <c r="D247" s="232"/>
    </row>
    <row r="248" ht="15.75" customHeight="1">
      <c r="D248" s="232"/>
    </row>
    <row r="249" ht="15.75" customHeight="1">
      <c r="D249" s="232"/>
    </row>
    <row r="250" ht="15.75" customHeight="1">
      <c r="D250" s="232"/>
    </row>
    <row r="251" ht="15.75" customHeight="1">
      <c r="D251" s="232"/>
    </row>
    <row r="252" ht="15.75" customHeight="1">
      <c r="D252" s="232"/>
    </row>
    <row r="253" ht="15.75" customHeight="1">
      <c r="D253" s="232"/>
    </row>
    <row r="254" ht="15.75" customHeight="1">
      <c r="D254" s="232"/>
    </row>
    <row r="255" ht="15.75" customHeight="1">
      <c r="D255" s="232"/>
    </row>
    <row r="256" ht="15.75" customHeight="1">
      <c r="D256" s="232"/>
    </row>
    <row r="257" ht="15.75" customHeight="1">
      <c r="D257" s="232"/>
    </row>
    <row r="258" ht="15.75" customHeight="1">
      <c r="D258" s="232"/>
    </row>
    <row r="259" ht="15.75" customHeight="1">
      <c r="D259" s="232"/>
    </row>
    <row r="260" ht="15.75" customHeight="1">
      <c r="D260" s="232"/>
    </row>
    <row r="261" ht="15.75" customHeight="1">
      <c r="D261" s="232"/>
    </row>
    <row r="262" ht="15.75" customHeight="1">
      <c r="D262" s="232"/>
    </row>
    <row r="263" ht="15.75" customHeight="1">
      <c r="D263" s="232"/>
    </row>
    <row r="264" ht="15.75" customHeight="1">
      <c r="D264" s="232"/>
    </row>
    <row r="265" ht="15.75" customHeight="1">
      <c r="D265" s="232"/>
    </row>
    <row r="266" ht="15.75" customHeight="1">
      <c r="D266" s="232"/>
    </row>
    <row r="267" ht="15.75" customHeight="1">
      <c r="D267" s="232"/>
    </row>
    <row r="268" ht="15.75" customHeight="1">
      <c r="D268" s="232"/>
    </row>
    <row r="269" ht="15.75" customHeight="1">
      <c r="D269" s="232"/>
    </row>
    <row r="270" ht="15.75" customHeight="1">
      <c r="D270" s="232"/>
    </row>
    <row r="271" ht="15.75" customHeight="1">
      <c r="D271" s="232"/>
    </row>
    <row r="272" ht="15.75" customHeight="1">
      <c r="D272" s="232"/>
    </row>
    <row r="273" ht="15.75" customHeight="1">
      <c r="D273" s="232"/>
    </row>
    <row r="274" ht="15.75" customHeight="1">
      <c r="D274" s="232"/>
    </row>
    <row r="275" ht="15.75" customHeight="1">
      <c r="D275" s="232"/>
    </row>
    <row r="276" ht="15.75" customHeight="1">
      <c r="D276" s="232"/>
    </row>
    <row r="277" ht="15.75" customHeight="1">
      <c r="D277" s="232"/>
    </row>
    <row r="278" ht="15.75" customHeight="1">
      <c r="D278" s="232"/>
    </row>
    <row r="279" ht="15.75" customHeight="1">
      <c r="D279" s="232"/>
    </row>
    <row r="280" ht="15.75" customHeight="1">
      <c r="D280" s="232"/>
    </row>
    <row r="281" ht="15.75" customHeight="1">
      <c r="D281" s="232"/>
    </row>
    <row r="282" ht="15.75" customHeight="1">
      <c r="D282" s="232"/>
    </row>
    <row r="283" ht="15.75" customHeight="1">
      <c r="D283" s="232"/>
    </row>
    <row r="284" ht="15.75" customHeight="1">
      <c r="D284" s="232"/>
    </row>
    <row r="285" ht="15.75" customHeight="1">
      <c r="D285" s="232"/>
    </row>
    <row r="286" ht="15.75" customHeight="1">
      <c r="D286" s="232"/>
    </row>
    <row r="287" ht="15.75" customHeight="1">
      <c r="D287" s="232"/>
    </row>
    <row r="288" ht="15.75" customHeight="1">
      <c r="D288" s="232"/>
    </row>
    <row r="289" ht="15.75" customHeight="1">
      <c r="D289" s="232"/>
    </row>
    <row r="290" ht="15.75" customHeight="1">
      <c r="D290" s="232"/>
    </row>
    <row r="291" ht="15.75" customHeight="1">
      <c r="D291" s="232"/>
    </row>
    <row r="292" ht="15.75" customHeight="1">
      <c r="D292" s="23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