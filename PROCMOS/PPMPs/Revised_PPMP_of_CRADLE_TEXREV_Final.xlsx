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TRI\Desktop\CRADLE TEXREV\"/>
    </mc:Choice>
  </mc:AlternateContent>
  <xr:revisionPtr revIDLastSave="0" documentId="8_{4BF01F1D-AB90-4453-9AB4-86C311872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MP CRA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xwRJgDWTpvyYLGRaVfEP6yNb5CRAh7TMOFuLMf5iQI="/>
    </ext>
  </extLst>
</workbook>
</file>

<file path=xl/calcChain.xml><?xml version="1.0" encoding="utf-8"?>
<calcChain xmlns="http://schemas.openxmlformats.org/spreadsheetml/2006/main">
  <c r="D89" i="1" l="1"/>
  <c r="D90" i="1" s="1"/>
  <c r="D88" i="1"/>
  <c r="E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4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ID#AAAA92Y-chc
upmnih    (2021-04-08 04:25:07)
Prepared by: Project Staff/ Research Associate</t>
        </r>
      </text>
    </comment>
    <comment ref="D94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ID#AAAA92Y-chY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hDvTIz6fidLc5r4MQSZI3W3OmA=="/>
    </ext>
  </extLst>
</comments>
</file>

<file path=xl/sharedStrings.xml><?xml version="1.0" encoding="utf-8"?>
<sst xmlns="http://schemas.openxmlformats.org/spreadsheetml/2006/main" count="296" uniqueCount="222">
  <si>
    <t xml:space="preserve">  PROJECT PROCUREMENT MANAGEMENT PLAN (PPMP) 2024</t>
  </si>
  <si>
    <t>For 1st Quarter of CY 2024</t>
  </si>
  <si>
    <t>END-USER/UNIT: RDD-CDABUS</t>
  </si>
  <si>
    <t>Charged to: Sustainable Material Solution from Post-Industrial Textile Wastes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</si>
  <si>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</si>
  <si>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</si>
  <si>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</si>
  <si>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</si>
  <si>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</si>
  <si>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</si>
  <si>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</si>
  <si>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</si>
  <si>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</si>
  <si>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</si>
  <si>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</si>
  <si>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</si>
  <si>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</si>
  <si>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</si>
  <si>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</si>
  <si>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</si>
  <si>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</si>
  <si>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</si>
  <si>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</si>
  <si>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</si>
  <si>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</si>
  <si>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</si>
  <si>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</si>
  <si>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</si>
  <si>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</si>
  <si>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</si>
  <si>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</si>
  <si>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</si>
  <si>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</si>
  <si>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</si>
  <si>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</si>
  <si>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</si>
  <si>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</si>
  <si>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</si>
  <si>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</si>
  <si>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</si>
  <si>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</si>
  <si>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</si>
  <si>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</si>
  <si>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</si>
  <si>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</si>
  <si>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</si>
  <si>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</si>
  <si>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</si>
  <si>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</si>
  <si>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</si>
  <si>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</si>
  <si>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</si>
  <si>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</si>
  <si>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</si>
  <si>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</si>
  <si>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</si>
  <si>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</si>
  <si>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</si>
  <si>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</si>
  <si>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</si>
  <si>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</si>
  <si>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</si>
  <si>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</si>
  <si>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</si>
  <si>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</si>
  <si>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</si>
  <si>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</si>
  <si>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</si>
  <si>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</si>
  <si>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</si>
  <si>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</si>
  <si>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</si>
  <si>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</si>
  <si>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</si>
  <si>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</si>
  <si>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</si>
  <si>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</si>
  <si>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</si>
  <si>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 - Direct Cost</t>
  </si>
  <si>
    <t>20 packs Binder Clips 15 mm, 12 pcs per pack</t>
  </si>
  <si>
    <t>1 lot</t>
  </si>
  <si>
    <t>11, 450.00</t>
  </si>
  <si>
    <t>Shopping</t>
  </si>
  <si>
    <t>15-30 working days</t>
  </si>
  <si>
    <t>15 packs Binder Clips 19mm, 12 pcs per pack</t>
  </si>
  <si>
    <t>OS-043</t>
  </si>
  <si>
    <t>5 packs Paper clip vinyl coated assorted 100s</t>
  </si>
  <si>
    <t>OS-280</t>
  </si>
  <si>
    <t>10 packs Envelope document 5/pack</t>
  </si>
  <si>
    <t>OS-176</t>
  </si>
  <si>
    <t>30 pcs Envelope expanding with elastic, legal</t>
  </si>
  <si>
    <t>OS-177</t>
  </si>
  <si>
    <t>20 packs Sticky flags</t>
  </si>
  <si>
    <t>OS-195</t>
  </si>
  <si>
    <t>5 pieces Highlighter (yellow)</t>
  </si>
  <si>
    <t>10 pcs Glue stick</t>
  </si>
  <si>
    <t>OS-155</t>
  </si>
  <si>
    <t>50 pcs Long brown envelope</t>
  </si>
  <si>
    <t>OS-130</t>
  </si>
  <si>
    <t>15 pieces Clearbook, long</t>
  </si>
  <si>
    <t>OS-121</t>
  </si>
  <si>
    <t>10 pieces Data Box</t>
  </si>
  <si>
    <t>100 pieces Certificate paper</t>
  </si>
  <si>
    <t>OS-122</t>
  </si>
  <si>
    <t>10 packs Sign Pen Blue, Liquid or Gel</t>
  </si>
  <si>
    <t>50 pieces Manila paper</t>
  </si>
  <si>
    <t>OS-286</t>
  </si>
  <si>
    <t>2 boxes PENCIL, lead/graphite, with eraser</t>
  </si>
  <si>
    <t>OS-295</t>
  </si>
  <si>
    <t>10 pieces PENCIL SHARPENER, manual, single cutter head</t>
  </si>
  <si>
    <t>OS-026</t>
  </si>
  <si>
    <t>30 reams A4 paper/500 pcs/ream</t>
  </si>
  <si>
    <t>1 piece Paper shredder</t>
  </si>
  <si>
    <t>OS-033</t>
  </si>
  <si>
    <t>3 packs Metal fasteners</t>
  </si>
  <si>
    <t>USB Flashdrive 32 GB</t>
  </si>
  <si>
    <t>2 pcs</t>
  </si>
  <si>
    <t>Wireless Smart Keyboard</t>
  </si>
  <si>
    <t>1 pc</t>
  </si>
  <si>
    <t>OS-067</t>
  </si>
  <si>
    <t>10 packs Folder for A4 size documents, 5 pcs per pack</t>
  </si>
  <si>
    <t>3 pieces Metal Desk Organizer</t>
  </si>
  <si>
    <t>OS-173</t>
  </si>
  <si>
    <t>30 pieces Permanent markers</t>
  </si>
  <si>
    <t>OS-233</t>
  </si>
  <si>
    <t>10 pieces Transparent tape</t>
  </si>
  <si>
    <t>OS-097</t>
  </si>
  <si>
    <t>3 pieces Stapler</t>
  </si>
  <si>
    <t>OS-041</t>
  </si>
  <si>
    <t>10 boxes Staple wires</t>
  </si>
  <si>
    <t>10 pieces Correction tape</t>
  </si>
  <si>
    <t>OS-132</t>
  </si>
  <si>
    <t>10 pieces Scissors</t>
  </si>
  <si>
    <t>OS-304</t>
  </si>
  <si>
    <t>10 pieces Heavy Duty Cutter</t>
  </si>
  <si>
    <t>2 carts Black ink for printer</t>
  </si>
  <si>
    <t>2 carts Colored ink for printer</t>
  </si>
  <si>
    <t>16 bottles of colored ink  (4 cyan, 4 magenta, 4 yellow, 4 black)</t>
  </si>
  <si>
    <t>OS-138</t>
  </si>
  <si>
    <t>3 pieces Wireless mouse</t>
  </si>
  <si>
    <t>50203990 00</t>
  </si>
  <si>
    <t>Other Supplies Expenses - Direct Cost</t>
  </si>
  <si>
    <t>Workstation Cubicle</t>
  </si>
  <si>
    <t>4 units</t>
  </si>
  <si>
    <t>All in one laser printer</t>
  </si>
  <si>
    <t>2 units</t>
  </si>
  <si>
    <t>30-45 working days</t>
  </si>
  <si>
    <t>Lateral Steel Office Cabinet</t>
  </si>
  <si>
    <t>2 pieces</t>
  </si>
  <si>
    <t>50203080 00</t>
  </si>
  <si>
    <t>Medical, Dental  Laboratory Supplies Expenses</t>
  </si>
  <si>
    <t>MDL-054</t>
  </si>
  <si>
    <t>30 pieces 70% Isopropyl alcohol 500 ml</t>
  </si>
  <si>
    <t>OSMI-019</t>
  </si>
  <si>
    <t xml:space="preserve">20 packs 2 Ply Interfolded Paper Towels </t>
  </si>
  <si>
    <t>5 boxes Kimwipes Fiber Cleaning Tool</t>
  </si>
  <si>
    <t>3 Reasealable Bags 100 pcs per pack, size 4 x 6</t>
  </si>
  <si>
    <t xml:space="preserve"> 3 packs</t>
  </si>
  <si>
    <t>3 Reasealable Bags 100 pcs per pack, size 5 x 7</t>
  </si>
  <si>
    <t>3 packs</t>
  </si>
  <si>
    <t>3 Reasealable Bags 100 pcs per pack, size 7 x 10</t>
  </si>
  <si>
    <t>3 Reasealable Bags 100 pcs per pack, size 8 x 12</t>
  </si>
  <si>
    <t>3 Reasealable Bags 100 pcs per pack, size 10 x 15</t>
  </si>
  <si>
    <t>500 pcs of paper cones</t>
  </si>
  <si>
    <t xml:space="preserve">500 pcs </t>
  </si>
  <si>
    <t>Negotiated Procurement</t>
  </si>
  <si>
    <t>30 boxes of Nitrile Gloves 100 pcs per box (10 small, 10 medium, 10 large)</t>
  </si>
  <si>
    <t>30 boxes</t>
  </si>
  <si>
    <t>500 Spinning Tubes</t>
  </si>
  <si>
    <t>100 pcs Polyethylene Bag 30 x 50</t>
  </si>
  <si>
    <t>100 pcs</t>
  </si>
  <si>
    <t>Alcohol swab</t>
  </si>
  <si>
    <t>3 boxes</t>
  </si>
  <si>
    <t>30 meters 100% cotton (10 m knitted, 10 m twill, 10 m woven)
30 meters 100% polyster (10 m knitted,10 m twill, 10 m woven)
30 meters cotton/polyster blends (10 knitted, 10 twill, 10 woven)</t>
  </si>
  <si>
    <t>90 meters</t>
  </si>
  <si>
    <t>Negotiated Procurement - Small Value Procurement</t>
  </si>
  <si>
    <t>50604050 14</t>
  </si>
  <si>
    <t>Technical &amp; Scientific Equipment - Capital Outlay</t>
  </si>
  <si>
    <t>One (1) lot LABORATORY DRAWING FRAME</t>
  </si>
  <si>
    <t>Public Bidding</t>
  </si>
  <si>
    <t>60-90 working days</t>
  </si>
  <si>
    <t>50211990 00</t>
  </si>
  <si>
    <t>Testing - Other Professional Services</t>
  </si>
  <si>
    <t>Scanning Electron Microscopy</t>
  </si>
  <si>
    <t>6 samples</t>
  </si>
  <si>
    <t>Agency-to-Agency/Negotiated Procurement-Small Value Procurement</t>
  </si>
  <si>
    <t>per schedule</t>
  </si>
  <si>
    <t>Fiber Length Assessment</t>
  </si>
  <si>
    <t>Breaking Strength and Elongation</t>
  </si>
  <si>
    <t>Tensile Strength</t>
  </si>
  <si>
    <t>Abrasion Resistance</t>
  </si>
  <si>
    <t>Pilling Resistance</t>
  </si>
  <si>
    <t>Yarn Count (Warp and Weft Count)</t>
  </si>
  <si>
    <t>Twists in Yarns</t>
  </si>
  <si>
    <t>Fiber Length</t>
  </si>
  <si>
    <t>Yarn Evenness</t>
  </si>
  <si>
    <t>Yarn Faults</t>
  </si>
  <si>
    <t>Fabric Composition (AATCC TM 20A)</t>
  </si>
  <si>
    <t>8 samples</t>
  </si>
  <si>
    <t>50299040 00</t>
  </si>
  <si>
    <t>Transportation and Delivery Expense - Direct Cost</t>
  </si>
  <si>
    <t>Delivery of Fabrics</t>
  </si>
  <si>
    <t>Shopping / Cash Advance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</si>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</sst>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18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sz val="11"/>
      <color theme="1"/>
      <name val="Arial"/>
      <scheme val="minor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0" borderId="10" xfId="0" quotePrefix="1" applyFont="1" applyBorder="1" applyAlignment="1">
      <alignment horizontal="center" wrapText="1"/>
    </xf>
    <xf numFmtId="0" fontId="6" fillId="0" borderId="7" xfId="0" quotePrefix="1" applyFont="1" applyBorder="1" applyAlignment="1">
      <alignment horizontal="center" wrapText="1"/>
    </xf>
    <xf numFmtId="4" fontId="6" fillId="0" borderId="7" xfId="0" quotePrefix="1" applyNumberFormat="1" applyFont="1" applyBorder="1" applyAlignment="1">
      <alignment horizontal="center" wrapText="1"/>
    </xf>
    <xf numFmtId="164" fontId="6" fillId="0" borderId="7" xfId="0" quotePrefix="1" applyNumberFormat="1" applyFont="1" applyBorder="1" applyAlignment="1">
      <alignment horizontal="center" wrapText="1"/>
    </xf>
    <xf numFmtId="0" fontId="6" fillId="0" borderId="8" xfId="0" quotePrefix="1" applyFont="1" applyBorder="1" applyAlignment="1">
      <alignment horizontal="center" wrapText="1"/>
    </xf>
    <xf numFmtId="0" fontId="8" fillId="0" borderId="0" xfId="0" applyFont="1"/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164" fontId="6" fillId="2" borderId="13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/>
    </xf>
    <xf numFmtId="49" fontId="8" fillId="3" borderId="18" xfId="0" applyNumberFormat="1" applyFont="1" applyFill="1" applyBorder="1"/>
    <xf numFmtId="0" fontId="8" fillId="0" borderId="13" xfId="0" applyFont="1" applyBorder="1" applyAlignment="1">
      <alignment horizontal="center" vertical="center" wrapText="1"/>
    </xf>
    <xf numFmtId="4" fontId="8" fillId="3" borderId="14" xfId="0" applyNumberFormat="1" applyFont="1" applyFill="1" applyBorder="1" applyAlignment="1">
      <alignment horizontal="right" vertical="center" wrapText="1"/>
    </xf>
    <xf numFmtId="0" fontId="8" fillId="0" borderId="17" xfId="0" applyFont="1" applyBorder="1" applyAlignment="1">
      <alignment horizontal="center"/>
    </xf>
    <xf numFmtId="0" fontId="8" fillId="0" borderId="17" xfId="0" applyFont="1" applyBorder="1"/>
    <xf numFmtId="0" fontId="8" fillId="0" borderId="19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/>
    </xf>
    <xf numFmtId="49" fontId="8" fillId="3" borderId="18" xfId="0" applyNumberFormat="1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right" vertical="center" wrapText="1"/>
    </xf>
    <xf numFmtId="49" fontId="8" fillId="0" borderId="18" xfId="0" applyNumberFormat="1" applyFont="1" applyBorder="1" applyAlignment="1">
      <alignment horizontal="left" vertical="center" wrapText="1"/>
    </xf>
    <xf numFmtId="4" fontId="8" fillId="0" borderId="13" xfId="0" applyNumberFormat="1" applyFont="1" applyBorder="1" applyAlignment="1">
      <alignment horizontal="right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wrapText="1"/>
    </xf>
    <xf numFmtId="0" fontId="6" fillId="3" borderId="16" xfId="0" applyFont="1" applyFill="1" applyBorder="1" applyAlignment="1">
      <alignment horizontal="center" vertical="center" wrapText="1"/>
    </xf>
    <xf numFmtId="49" fontId="8" fillId="3" borderId="17" xfId="0" applyNumberFormat="1" applyFont="1" applyFill="1" applyBorder="1" applyAlignment="1">
      <alignment horizontal="center"/>
    </xf>
    <xf numFmtId="49" fontId="8" fillId="3" borderId="18" xfId="0" applyNumberFormat="1" applyFont="1" applyFill="1" applyBorder="1" applyAlignment="1">
      <alignment wrapText="1"/>
    </xf>
    <xf numFmtId="0" fontId="8" fillId="3" borderId="13" xfId="0" applyFont="1" applyFill="1" applyBorder="1" applyAlignment="1">
      <alignment horizontal="center"/>
    </xf>
    <xf numFmtId="4" fontId="8" fillId="3" borderId="13" xfId="0" applyNumberFormat="1" applyFont="1" applyFill="1" applyBorder="1" applyAlignment="1">
      <alignment horizontal="right" vertical="center" wrapText="1"/>
    </xf>
    <xf numFmtId="0" fontId="8" fillId="4" borderId="17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4" borderId="17" xfId="0" applyFont="1" applyFill="1" applyBorder="1"/>
    <xf numFmtId="0" fontId="8" fillId="4" borderId="0" xfId="0" applyFont="1" applyFill="1"/>
    <xf numFmtId="0" fontId="6" fillId="3" borderId="20" xfId="0" applyFont="1" applyFill="1" applyBorder="1" applyAlignment="1">
      <alignment horizontal="center" vertical="center" wrapText="1"/>
    </xf>
    <xf numFmtId="49" fontId="8" fillId="3" borderId="11" xfId="0" applyNumberFormat="1" applyFont="1" applyFill="1" applyBorder="1" applyAlignment="1">
      <alignment wrapText="1"/>
    </xf>
    <xf numFmtId="0" fontId="8" fillId="4" borderId="21" xfId="0" applyFont="1" applyFill="1" applyBorder="1"/>
    <xf numFmtId="49" fontId="8" fillId="0" borderId="18" xfId="0" applyNumberFormat="1" applyFont="1" applyBorder="1"/>
    <xf numFmtId="0" fontId="6" fillId="2" borderId="17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8" fillId="2" borderId="17" xfId="0" applyFont="1" applyFill="1" applyBorder="1"/>
    <xf numFmtId="4" fontId="8" fillId="2" borderId="17" xfId="0" applyNumberFormat="1" applyFont="1" applyFill="1" applyBorder="1" applyAlignment="1">
      <alignment horizontal="right"/>
    </xf>
    <xf numFmtId="0" fontId="8" fillId="2" borderId="17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 vertical="center" wrapText="1"/>
    </xf>
    <xf numFmtId="49" fontId="8" fillId="0" borderId="17" xfId="0" applyNumberFormat="1" applyFont="1" applyBorder="1"/>
    <xf numFmtId="0" fontId="8" fillId="0" borderId="17" xfId="0" applyFont="1" applyBorder="1" applyAlignment="1">
      <alignment horizontal="center" vertical="center" wrapText="1"/>
    </xf>
    <xf numFmtId="0" fontId="8" fillId="2" borderId="14" xfId="0" applyFont="1" applyFill="1" applyBorder="1"/>
    <xf numFmtId="4" fontId="8" fillId="2" borderId="14" xfId="0" applyNumberFormat="1" applyFont="1" applyFill="1" applyBorder="1" applyAlignment="1">
      <alignment horizontal="right"/>
    </xf>
    <xf numFmtId="0" fontId="8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4" fontId="8" fillId="0" borderId="17" xfId="0" applyNumberFormat="1" applyFont="1" applyBorder="1" applyAlignment="1">
      <alignment horizontal="right" vertical="center" wrapText="1"/>
    </xf>
    <xf numFmtId="0" fontId="8" fillId="0" borderId="23" xfId="0" applyFont="1" applyBorder="1" applyAlignment="1">
      <alignment horizontal="center"/>
    </xf>
    <xf numFmtId="0" fontId="8" fillId="0" borderId="17" xfId="0" applyFont="1" applyBorder="1" applyAlignment="1">
      <alignment horizontal="left" vertical="center"/>
    </xf>
    <xf numFmtId="0" fontId="9" fillId="4" borderId="0" xfId="0" applyFont="1" applyFill="1"/>
    <xf numFmtId="0" fontId="8" fillId="3" borderId="17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center" vertical="center" wrapText="1"/>
    </xf>
    <xf numFmtId="4" fontId="8" fillId="3" borderId="17" xfId="0" applyNumberFormat="1" applyFont="1" applyFill="1" applyBorder="1" applyAlignment="1">
      <alignment horizontal="right" vertical="center" wrapText="1"/>
    </xf>
    <xf numFmtId="164" fontId="8" fillId="3" borderId="17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/>
    </xf>
    <xf numFmtId="0" fontId="8" fillId="3" borderId="17" xfId="0" applyFont="1" applyFill="1" applyBorder="1"/>
    <xf numFmtId="0" fontId="2" fillId="4" borderId="21" xfId="0" applyFont="1" applyFill="1" applyBorder="1"/>
    <xf numFmtId="164" fontId="8" fillId="0" borderId="17" xfId="0" applyNumberFormat="1" applyFont="1" applyBorder="1" applyAlignment="1">
      <alignment horizontal="center" vertical="center" wrapText="1"/>
    </xf>
    <xf numFmtId="0" fontId="8" fillId="2" borderId="11" xfId="0" applyFont="1" applyFill="1" applyBorder="1"/>
    <xf numFmtId="4" fontId="8" fillId="2" borderId="11" xfId="0" applyNumberFormat="1" applyFont="1" applyFill="1" applyBorder="1" applyAlignment="1">
      <alignment horizontal="right"/>
    </xf>
    <xf numFmtId="0" fontId="8" fillId="2" borderId="1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 wrapText="1"/>
    </xf>
    <xf numFmtId="164" fontId="8" fillId="3" borderId="14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left" vertical="center"/>
    </xf>
    <xf numFmtId="49" fontId="8" fillId="0" borderId="18" xfId="0" applyNumberFormat="1" applyFont="1" applyBorder="1" applyAlignment="1">
      <alignment horizontal="left" vertical="center"/>
    </xf>
    <xf numFmtId="0" fontId="8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4" fontId="2" fillId="0" borderId="0" xfId="0" applyNumberFormat="1" applyFont="1"/>
    <xf numFmtId="4" fontId="17" fillId="0" borderId="0" xfId="0" applyNumberFormat="1" applyFont="1" applyAlignment="1">
      <alignment horizontal="right"/>
    </xf>
    <xf numFmtId="0" fontId="8" fillId="0" borderId="13" xfId="0" applyFont="1" applyBorder="1" applyAlignment="1">
      <alignment horizontal="center" vertical="center" wrapText="1"/>
    </xf>
    <xf numFmtId="0" fontId="7" fillId="0" borderId="19" xfId="0" applyFont="1" applyBorder="1"/>
    <xf numFmtId="0" fontId="7" fillId="0" borderId="18" xfId="0" applyFont="1" applyBorder="1"/>
    <xf numFmtId="0" fontId="8" fillId="0" borderId="13" xfId="0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 wrapText="1"/>
    </xf>
    <xf numFmtId="4" fontId="8" fillId="3" borderId="13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8" fillId="3" borderId="13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65" fontId="1" fillId="0" borderId="26" xfId="0" applyNumberFormat="1" applyFont="1" applyBorder="1" applyAlignment="1">
      <alignment horizontal="right"/>
    </xf>
    <xf numFmtId="0" fontId="7" fillId="0" borderId="26" xfId="0" applyFont="1" applyBorder="1"/>
    <xf numFmtId="164" fontId="1" fillId="0" borderId="22" xfId="0" applyNumberFormat="1" applyFont="1" applyBorder="1" applyAlignment="1">
      <alignment horizontal="center"/>
    </xf>
    <xf numFmtId="0" fontId="7" fillId="0" borderId="27" xfId="0" applyFont="1" applyBorder="1"/>
    <xf numFmtId="0" fontId="7" fillId="0" borderId="28" xfId="0" applyFont="1" applyBorder="1"/>
    <xf numFmtId="164" fontId="1" fillId="0" borderId="29" xfId="0" applyNumberFormat="1" applyFont="1" applyBorder="1" applyAlignment="1">
      <alignment horizontal="center"/>
    </xf>
    <xf numFmtId="0" fontId="7" fillId="0" borderId="30" xfId="0" applyFont="1" applyBorder="1"/>
    <xf numFmtId="0" fontId="7" fillId="0" borderId="23" xfId="0" applyFont="1" applyBorder="1"/>
    <xf numFmtId="0" fontId="8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7"/>
  <sheetViews>
    <sheetView tabSelected="1" topLeftCell="C7" workbookViewId="0">
      <selection sqref="A1:AI1"/>
    </sheetView>
  </sheetViews>
  <sheetFormatPr defaultColWidth="12.59765625" defaultRowHeight="15" customHeight="1" x14ac:dyDescent="0.25"/>
  <cols>
    <col min="1" max="1" width="12.19921875" customWidth="1"/>
    <col min="2" max="2" width="13.69921875" customWidth="1"/>
    <col min="3" max="3" width="68.69921875" customWidth="1"/>
    <col min="4" max="4" width="11.59765625" customWidth="1"/>
    <col min="5" max="5" width="11.3984375" customWidth="1"/>
    <col min="6" max="6" width="12.3984375" customWidth="1"/>
    <col min="7" max="7" width="28.3984375" customWidth="1"/>
    <col min="8" max="8" width="10.3984375" customWidth="1"/>
    <col min="9" max="12" width="7.59765625" customWidth="1"/>
    <col min="13" max="13" width="9.19921875" customWidth="1"/>
    <col min="14" max="34" width="0.3984375" customWidth="1"/>
    <col min="35" max="35" width="22.59765625" customWidth="1"/>
    <col min="36" max="37" width="7.59765625" customWidth="1"/>
  </cols>
  <sheetData>
    <row r="1" spans="1:39" ht="15.6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"/>
      <c r="AK1" s="1"/>
    </row>
    <row r="2" spans="1:39" ht="13.8" x14ac:dyDescent="0.25">
      <c r="A2" s="126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"/>
      <c r="AK2" s="1"/>
    </row>
    <row r="3" spans="1:39" ht="13.8" x14ac:dyDescent="0.25">
      <c r="A3" s="127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"/>
      <c r="AK3" s="1"/>
    </row>
    <row r="4" spans="1:39" ht="15.6" x14ac:dyDescent="0.25">
      <c r="A4" s="2" t="s">
        <v>2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9" ht="15.6" x14ac:dyDescent="0.25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6" x14ac:dyDescent="0.25">
      <c r="A6" s="2" t="s">
        <v>3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5.6" x14ac:dyDescent="0.25">
      <c r="A7" s="5" t="s">
        <v>4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5">
      <c r="A8" s="128" t="s">
        <v>5</v>
      </c>
      <c r="B8" s="119" t="s">
        <v>6</v>
      </c>
      <c r="C8" s="119" t="s">
        <v>7</v>
      </c>
      <c r="D8" s="9" t="s">
        <v>8</v>
      </c>
      <c r="E8" s="130" t="s">
        <v>9</v>
      </c>
      <c r="F8" s="131" t="s">
        <v>10</v>
      </c>
      <c r="G8" s="119" t="s">
        <v>11</v>
      </c>
      <c r="H8" s="119" t="s">
        <v>12</v>
      </c>
      <c r="I8" s="121" t="s">
        <v>13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3"/>
      <c r="AJ8" s="10"/>
      <c r="AK8" s="10"/>
      <c r="AL8" s="3"/>
      <c r="AM8" s="3"/>
    </row>
    <row r="9" spans="1:39" ht="24" x14ac:dyDescent="0.25">
      <c r="A9" s="129"/>
      <c r="B9" s="120"/>
      <c r="C9" s="120"/>
      <c r="D9" s="11" t="s">
        <v>14</v>
      </c>
      <c r="E9" s="120"/>
      <c r="F9" s="120"/>
      <c r="G9" s="120"/>
      <c r="H9" s="120"/>
      <c r="I9" s="11" t="s">
        <v>15</v>
      </c>
      <c r="J9" s="11" t="s">
        <v>16</v>
      </c>
      <c r="K9" s="11" t="s">
        <v>17</v>
      </c>
      <c r="L9" s="12" t="s">
        <v>18</v>
      </c>
      <c r="M9" s="12" t="s">
        <v>19</v>
      </c>
      <c r="N9" s="11" t="s">
        <v>20</v>
      </c>
      <c r="O9" s="11" t="s">
        <v>21</v>
      </c>
      <c r="P9" s="11" t="s">
        <v>22</v>
      </c>
      <c r="Q9" s="11" t="s">
        <v>23</v>
      </c>
      <c r="R9" s="11" t="s">
        <v>24</v>
      </c>
      <c r="S9" s="11" t="s">
        <v>25</v>
      </c>
      <c r="T9" s="11" t="s">
        <v>26</v>
      </c>
      <c r="U9" s="11" t="s">
        <v>27</v>
      </c>
      <c r="V9" s="11" t="s">
        <v>28</v>
      </c>
      <c r="W9" s="11" t="s">
        <v>29</v>
      </c>
      <c r="X9" s="11" t="s">
        <v>30</v>
      </c>
      <c r="Y9" s="11" t="s">
        <v>31</v>
      </c>
      <c r="Z9" s="11" t="s">
        <v>32</v>
      </c>
      <c r="AA9" s="11" t="s">
        <v>33</v>
      </c>
      <c r="AB9" s="11" t="s">
        <v>34</v>
      </c>
      <c r="AC9" s="11" t="s">
        <v>35</v>
      </c>
      <c r="AD9" s="11" t="s">
        <v>36</v>
      </c>
      <c r="AE9" s="11" t="s">
        <v>37</v>
      </c>
      <c r="AF9" s="11" t="s">
        <v>38</v>
      </c>
      <c r="AG9" s="11" t="s">
        <v>39</v>
      </c>
      <c r="AH9" s="11" t="s">
        <v>40</v>
      </c>
      <c r="AI9" s="13" t="s">
        <v>41</v>
      </c>
      <c r="AJ9" s="14"/>
      <c r="AK9" s="10"/>
      <c r="AL9" s="3"/>
      <c r="AM9" s="3"/>
    </row>
    <row r="10" spans="1:39" ht="48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17" t="s">
        <v>46</v>
      </c>
      <c r="F10" s="18" t="s">
        <v>47</v>
      </c>
      <c r="G10" s="16" t="s">
        <v>48</v>
      </c>
      <c r="H10" s="16" t="s">
        <v>49</v>
      </c>
      <c r="I10" s="16" t="s">
        <v>50</v>
      </c>
      <c r="J10" s="16" t="s">
        <v>51</v>
      </c>
      <c r="K10" s="16" t="s">
        <v>52</v>
      </c>
      <c r="L10" s="16" t="s">
        <v>53</v>
      </c>
      <c r="M10" s="16" t="s">
        <v>54</v>
      </c>
      <c r="N10" s="16" t="s">
        <v>55</v>
      </c>
      <c r="O10" s="16" t="s">
        <v>56</v>
      </c>
      <c r="P10" s="16" t="s">
        <v>57</v>
      </c>
      <c r="Q10" s="16" t="s">
        <v>58</v>
      </c>
      <c r="R10" s="16" t="s">
        <v>59</v>
      </c>
      <c r="S10" s="16" t="s">
        <v>60</v>
      </c>
      <c r="T10" s="16" t="s">
        <v>61</v>
      </c>
      <c r="U10" s="16" t="s">
        <v>62</v>
      </c>
      <c r="V10" s="16" t="s">
        <v>63</v>
      </c>
      <c r="W10" s="16" t="s">
        <v>64</v>
      </c>
      <c r="X10" s="16" t="s">
        <v>65</v>
      </c>
      <c r="Y10" s="16" t="s">
        <v>66</v>
      </c>
      <c r="Z10" s="16" t="s">
        <v>67</v>
      </c>
      <c r="AA10" s="16" t="s">
        <v>68</v>
      </c>
      <c r="AB10" s="16" t="s">
        <v>69</v>
      </c>
      <c r="AC10" s="16" t="s">
        <v>70</v>
      </c>
      <c r="AD10" s="16" t="s">
        <v>71</v>
      </c>
      <c r="AE10" s="16" t="s">
        <v>72</v>
      </c>
      <c r="AF10" s="16" t="s">
        <v>73</v>
      </c>
      <c r="AG10" s="16" t="s">
        <v>74</v>
      </c>
      <c r="AH10" s="16" t="s">
        <v>75</v>
      </c>
      <c r="AI10" s="19" t="s">
        <v>76</v>
      </c>
      <c r="AJ10" s="20"/>
      <c r="AK10" s="20"/>
    </row>
    <row r="11" spans="1:39" ht="13.8" x14ac:dyDescent="0.25">
      <c r="A11" s="21" t="s">
        <v>77</v>
      </c>
      <c r="B11" s="21"/>
      <c r="C11" s="22" t="s">
        <v>78</v>
      </c>
      <c r="D11" s="23"/>
      <c r="E11" s="24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7"/>
      <c r="AI11" s="28"/>
      <c r="AJ11" s="20"/>
      <c r="AK11" s="20"/>
    </row>
    <row r="12" spans="1:39" ht="13.8" x14ac:dyDescent="0.25">
      <c r="A12" s="29"/>
      <c r="B12" s="30"/>
      <c r="C12" s="31" t="s">
        <v>79</v>
      </c>
      <c r="D12" s="32" t="s">
        <v>80</v>
      </c>
      <c r="E12" s="33">
        <v>50</v>
      </c>
      <c r="F12" s="132" t="s">
        <v>81</v>
      </c>
      <c r="G12" s="115" t="s">
        <v>82</v>
      </c>
      <c r="H12" s="112" t="s">
        <v>83</v>
      </c>
      <c r="I12" s="34">
        <v>20</v>
      </c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20"/>
      <c r="AK12" s="20"/>
    </row>
    <row r="13" spans="1:39" ht="13.8" x14ac:dyDescent="0.25">
      <c r="A13" s="29"/>
      <c r="B13" s="30"/>
      <c r="C13" s="31" t="s">
        <v>84</v>
      </c>
      <c r="D13" s="36"/>
      <c r="E13" s="33">
        <v>60</v>
      </c>
      <c r="F13" s="113"/>
      <c r="G13" s="113"/>
      <c r="H13" s="113"/>
      <c r="I13" s="34">
        <v>15</v>
      </c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20"/>
      <c r="AK13" s="20"/>
    </row>
    <row r="14" spans="1:39" ht="13.8" x14ac:dyDescent="0.25">
      <c r="A14" s="29"/>
      <c r="B14" s="30" t="s">
        <v>85</v>
      </c>
      <c r="C14" s="31" t="s">
        <v>86</v>
      </c>
      <c r="D14" s="36"/>
      <c r="E14" s="33">
        <v>50</v>
      </c>
      <c r="F14" s="113"/>
      <c r="G14" s="113"/>
      <c r="H14" s="113"/>
      <c r="I14" s="34">
        <v>5</v>
      </c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20"/>
      <c r="AK14" s="20"/>
    </row>
    <row r="15" spans="1:39" ht="13.8" x14ac:dyDescent="0.25">
      <c r="A15" s="29"/>
      <c r="B15" s="37" t="s">
        <v>87</v>
      </c>
      <c r="C15" s="38" t="s">
        <v>88</v>
      </c>
      <c r="D15" s="36"/>
      <c r="E15" s="33">
        <v>100</v>
      </c>
      <c r="F15" s="113"/>
      <c r="G15" s="113"/>
      <c r="H15" s="113"/>
      <c r="I15" s="34">
        <v>10</v>
      </c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20"/>
      <c r="AK15" s="20"/>
    </row>
    <row r="16" spans="1:39" ht="13.8" x14ac:dyDescent="0.25">
      <c r="A16" s="29"/>
      <c r="B16" s="30" t="s">
        <v>89</v>
      </c>
      <c r="C16" s="31" t="s">
        <v>90</v>
      </c>
      <c r="D16" s="36"/>
      <c r="E16" s="33">
        <v>45</v>
      </c>
      <c r="F16" s="113"/>
      <c r="G16" s="113"/>
      <c r="H16" s="113"/>
      <c r="I16" s="34">
        <v>30</v>
      </c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20"/>
      <c r="AK16" s="20"/>
    </row>
    <row r="17" spans="1:39" ht="13.8" x14ac:dyDescent="0.25">
      <c r="A17" s="29"/>
      <c r="B17" s="30" t="s">
        <v>91</v>
      </c>
      <c r="C17" s="31" t="s">
        <v>92</v>
      </c>
      <c r="D17" s="36"/>
      <c r="E17" s="39">
        <v>100</v>
      </c>
      <c r="F17" s="113"/>
      <c r="G17" s="113"/>
      <c r="H17" s="113"/>
      <c r="I17" s="34">
        <v>20</v>
      </c>
      <c r="J17" s="34"/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20"/>
      <c r="AK17" s="20"/>
    </row>
    <row r="18" spans="1:39" ht="15.75" customHeight="1" x14ac:dyDescent="0.25">
      <c r="A18" s="29"/>
      <c r="B18" s="37" t="s">
        <v>93</v>
      </c>
      <c r="C18" s="38" t="s">
        <v>94</v>
      </c>
      <c r="D18" s="36"/>
      <c r="E18" s="33">
        <v>25</v>
      </c>
      <c r="F18" s="113"/>
      <c r="G18" s="113"/>
      <c r="H18" s="113"/>
      <c r="I18" s="34">
        <v>5</v>
      </c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20"/>
      <c r="AK18" s="20"/>
    </row>
    <row r="19" spans="1:39" ht="15.75" customHeight="1" x14ac:dyDescent="0.25">
      <c r="A19" s="29"/>
      <c r="B19" s="37"/>
      <c r="C19" s="38" t="s">
        <v>95</v>
      </c>
      <c r="D19" s="36"/>
      <c r="E19" s="33">
        <v>30</v>
      </c>
      <c r="F19" s="113"/>
      <c r="G19" s="113"/>
      <c r="H19" s="113"/>
      <c r="I19" s="34">
        <v>10</v>
      </c>
      <c r="J19" s="34"/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20"/>
      <c r="AK19" s="20"/>
    </row>
    <row r="20" spans="1:39" ht="15.75" customHeight="1" x14ac:dyDescent="0.25">
      <c r="A20" s="29"/>
      <c r="B20" s="30" t="s">
        <v>96</v>
      </c>
      <c r="C20" s="31" t="s">
        <v>97</v>
      </c>
      <c r="D20" s="36"/>
      <c r="E20" s="33">
        <v>20</v>
      </c>
      <c r="F20" s="113"/>
      <c r="G20" s="113"/>
      <c r="H20" s="113"/>
      <c r="I20" s="34">
        <v>50</v>
      </c>
      <c r="J20" s="34"/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20"/>
      <c r="AK20" s="20"/>
    </row>
    <row r="21" spans="1:39" ht="15.75" customHeight="1" x14ac:dyDescent="0.25">
      <c r="A21" s="29"/>
      <c r="B21" s="30" t="s">
        <v>98</v>
      </c>
      <c r="C21" s="31" t="s">
        <v>99</v>
      </c>
      <c r="D21" s="36"/>
      <c r="E21" s="33">
        <v>135</v>
      </c>
      <c r="F21" s="113"/>
      <c r="G21" s="113"/>
      <c r="H21" s="113"/>
      <c r="I21" s="34">
        <v>15</v>
      </c>
      <c r="J21" s="34"/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20"/>
      <c r="AK21" s="20"/>
    </row>
    <row r="22" spans="1:39" ht="19.5" customHeight="1" x14ac:dyDescent="0.25">
      <c r="A22" s="29"/>
      <c r="B22" s="30" t="s">
        <v>100</v>
      </c>
      <c r="C22" s="31" t="s">
        <v>101</v>
      </c>
      <c r="D22" s="36"/>
      <c r="E22" s="33">
        <v>1500</v>
      </c>
      <c r="F22" s="113"/>
      <c r="G22" s="114"/>
      <c r="H22" s="114"/>
      <c r="I22" s="34">
        <v>10</v>
      </c>
      <c r="J22" s="34"/>
      <c r="K22" s="3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20"/>
      <c r="AK22" s="20"/>
    </row>
    <row r="23" spans="1:39" ht="15.75" customHeight="1" x14ac:dyDescent="0.25">
      <c r="A23" s="29"/>
      <c r="B23" s="37"/>
      <c r="C23" s="40" t="s">
        <v>102</v>
      </c>
      <c r="D23" s="112" t="s">
        <v>80</v>
      </c>
      <c r="E23" s="41">
        <v>10</v>
      </c>
      <c r="F23" s="116">
        <v>20491</v>
      </c>
      <c r="G23" s="115" t="s">
        <v>82</v>
      </c>
      <c r="H23" s="112" t="s">
        <v>83</v>
      </c>
      <c r="I23" s="34"/>
      <c r="J23" s="34">
        <v>100</v>
      </c>
      <c r="K23" s="3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20"/>
      <c r="AK23" s="20"/>
    </row>
    <row r="24" spans="1:39" ht="15.75" customHeight="1" x14ac:dyDescent="0.25">
      <c r="A24" s="29"/>
      <c r="B24" s="37" t="s">
        <v>103</v>
      </c>
      <c r="C24" s="40" t="s">
        <v>104</v>
      </c>
      <c r="D24" s="113"/>
      <c r="E24" s="41">
        <v>200</v>
      </c>
      <c r="F24" s="113"/>
      <c r="G24" s="113"/>
      <c r="H24" s="113"/>
      <c r="I24" s="34"/>
      <c r="J24" s="34">
        <v>10</v>
      </c>
      <c r="K24" s="3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20"/>
      <c r="AK24" s="20"/>
    </row>
    <row r="25" spans="1:39" ht="15.75" customHeight="1" x14ac:dyDescent="0.25">
      <c r="A25" s="29"/>
      <c r="B25" s="30"/>
      <c r="C25" s="43" t="s">
        <v>105</v>
      </c>
      <c r="D25" s="113"/>
      <c r="E25" s="41">
        <v>10</v>
      </c>
      <c r="F25" s="113"/>
      <c r="G25" s="113"/>
      <c r="H25" s="113"/>
      <c r="I25" s="34"/>
      <c r="J25" s="34">
        <v>50</v>
      </c>
      <c r="K25" s="34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20"/>
      <c r="AK25" s="20"/>
    </row>
    <row r="26" spans="1:39" ht="15.75" customHeight="1" x14ac:dyDescent="0.25">
      <c r="A26" s="29"/>
      <c r="B26" s="30" t="s">
        <v>106</v>
      </c>
      <c r="C26" s="43" t="s">
        <v>107</v>
      </c>
      <c r="D26" s="113"/>
      <c r="E26" s="41">
        <v>120</v>
      </c>
      <c r="F26" s="113"/>
      <c r="G26" s="113"/>
      <c r="H26" s="113"/>
      <c r="I26" s="34"/>
      <c r="J26" s="34">
        <v>2</v>
      </c>
      <c r="K26" s="34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20"/>
      <c r="AK26" s="20"/>
    </row>
    <row r="27" spans="1:39" ht="31.5" customHeight="1" x14ac:dyDescent="0.25">
      <c r="A27" s="29"/>
      <c r="B27" s="30" t="s">
        <v>108</v>
      </c>
      <c r="C27" s="43" t="s">
        <v>109</v>
      </c>
      <c r="D27" s="113"/>
      <c r="E27" s="41">
        <v>85</v>
      </c>
      <c r="F27" s="113"/>
      <c r="G27" s="113"/>
      <c r="H27" s="113"/>
      <c r="I27" s="34"/>
      <c r="J27" s="34">
        <v>10</v>
      </c>
      <c r="K27" s="34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20"/>
      <c r="AK27" s="20"/>
    </row>
    <row r="28" spans="1:39" ht="15.75" customHeight="1" x14ac:dyDescent="0.25">
      <c r="A28" s="29"/>
      <c r="B28" s="30" t="s">
        <v>110</v>
      </c>
      <c r="C28" s="43" t="s">
        <v>111</v>
      </c>
      <c r="D28" s="113"/>
      <c r="E28" s="41">
        <v>220</v>
      </c>
      <c r="F28" s="113"/>
      <c r="G28" s="113"/>
      <c r="H28" s="113"/>
      <c r="I28" s="34"/>
      <c r="J28" s="34">
        <v>30</v>
      </c>
      <c r="K28" s="34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20"/>
      <c r="AK28" s="20"/>
    </row>
    <row r="29" spans="1:39" ht="15.75" customHeight="1" x14ac:dyDescent="0.25">
      <c r="A29" s="29"/>
      <c r="B29" s="30"/>
      <c r="C29" s="43" t="s">
        <v>112</v>
      </c>
      <c r="D29" s="113"/>
      <c r="E29" s="41">
        <v>5000</v>
      </c>
      <c r="F29" s="113"/>
      <c r="G29" s="113"/>
      <c r="H29" s="113"/>
      <c r="I29" s="34"/>
      <c r="J29" s="34">
        <v>1</v>
      </c>
      <c r="K29" s="34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20"/>
      <c r="AK29" s="20"/>
    </row>
    <row r="30" spans="1:39" ht="15.75" customHeight="1" x14ac:dyDescent="0.25">
      <c r="A30" s="29"/>
      <c r="B30" s="30" t="s">
        <v>113</v>
      </c>
      <c r="C30" s="43" t="s">
        <v>114</v>
      </c>
      <c r="D30" s="113"/>
      <c r="E30" s="41">
        <v>67</v>
      </c>
      <c r="F30" s="113"/>
      <c r="G30" s="113"/>
      <c r="H30" s="113"/>
      <c r="I30" s="34"/>
      <c r="J30" s="34">
        <v>3</v>
      </c>
      <c r="K30" s="34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20"/>
      <c r="AK30" s="20"/>
    </row>
    <row r="31" spans="1:39" ht="15.75" customHeight="1" x14ac:dyDescent="0.25">
      <c r="A31" s="44"/>
      <c r="B31" s="45"/>
      <c r="C31" s="46" t="s">
        <v>115</v>
      </c>
      <c r="D31" s="47" t="s">
        <v>116</v>
      </c>
      <c r="E31" s="48">
        <v>800</v>
      </c>
      <c r="F31" s="113"/>
      <c r="G31" s="113"/>
      <c r="H31" s="113"/>
      <c r="I31" s="49"/>
      <c r="J31" s="50">
        <v>2</v>
      </c>
      <c r="K31" s="49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2"/>
      <c r="AK31" s="52"/>
      <c r="AL31" s="52"/>
      <c r="AM31" s="52"/>
    </row>
    <row r="32" spans="1:39" ht="15.75" customHeight="1" x14ac:dyDescent="0.25">
      <c r="A32" s="53"/>
      <c r="B32" s="45"/>
      <c r="C32" s="54" t="s">
        <v>117</v>
      </c>
      <c r="D32" s="50" t="s">
        <v>118</v>
      </c>
      <c r="E32" s="33">
        <v>2500</v>
      </c>
      <c r="F32" s="114"/>
      <c r="G32" s="114"/>
      <c r="H32" s="113"/>
      <c r="I32" s="49"/>
      <c r="J32" s="50">
        <v>1</v>
      </c>
      <c r="K32" s="49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5"/>
      <c r="AK32" s="55"/>
      <c r="AL32" s="55"/>
      <c r="AM32" s="55"/>
    </row>
    <row r="33" spans="1:37" ht="27.75" customHeight="1" x14ac:dyDescent="0.25">
      <c r="A33" s="29"/>
      <c r="B33" s="30" t="s">
        <v>119</v>
      </c>
      <c r="C33" s="43" t="s">
        <v>120</v>
      </c>
      <c r="D33" s="112" t="s">
        <v>80</v>
      </c>
      <c r="E33" s="41">
        <v>50</v>
      </c>
      <c r="F33" s="116">
        <v>6150</v>
      </c>
      <c r="G33" s="115" t="s">
        <v>82</v>
      </c>
      <c r="H33" s="112" t="s">
        <v>83</v>
      </c>
      <c r="I33" s="34"/>
      <c r="J33" s="34"/>
      <c r="K33" s="34">
        <v>10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20"/>
      <c r="AK33" s="20"/>
    </row>
    <row r="34" spans="1:37" ht="15.75" customHeight="1" x14ac:dyDescent="0.25">
      <c r="A34" s="29"/>
      <c r="B34" s="30"/>
      <c r="C34" s="56" t="s">
        <v>121</v>
      </c>
      <c r="D34" s="113"/>
      <c r="E34" s="41">
        <v>400</v>
      </c>
      <c r="F34" s="113"/>
      <c r="G34" s="113"/>
      <c r="H34" s="113"/>
      <c r="I34" s="34"/>
      <c r="J34" s="34"/>
      <c r="K34" s="34">
        <v>3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20"/>
      <c r="AK34" s="20"/>
    </row>
    <row r="35" spans="1:37" ht="15.75" customHeight="1" x14ac:dyDescent="0.25">
      <c r="A35" s="29"/>
      <c r="B35" s="30" t="s">
        <v>122</v>
      </c>
      <c r="C35" s="56" t="s">
        <v>123</v>
      </c>
      <c r="D35" s="113"/>
      <c r="E35" s="41">
        <v>20</v>
      </c>
      <c r="F35" s="113"/>
      <c r="G35" s="113"/>
      <c r="H35" s="113"/>
      <c r="I35" s="34"/>
      <c r="J35" s="34"/>
      <c r="K35" s="34">
        <v>30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20"/>
      <c r="AK35" s="20"/>
    </row>
    <row r="36" spans="1:37" ht="15.75" customHeight="1" x14ac:dyDescent="0.25">
      <c r="A36" s="29"/>
      <c r="B36" s="30" t="s">
        <v>124</v>
      </c>
      <c r="C36" s="56" t="s">
        <v>125</v>
      </c>
      <c r="D36" s="113"/>
      <c r="E36" s="41">
        <v>45</v>
      </c>
      <c r="F36" s="113"/>
      <c r="G36" s="113"/>
      <c r="H36" s="113"/>
      <c r="I36" s="34"/>
      <c r="J36" s="34"/>
      <c r="K36" s="34">
        <v>10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20"/>
      <c r="AK36" s="20"/>
    </row>
    <row r="37" spans="1:37" ht="15.75" customHeight="1" x14ac:dyDescent="0.25">
      <c r="A37" s="29"/>
      <c r="B37" s="30" t="s">
        <v>126</v>
      </c>
      <c r="C37" s="56" t="s">
        <v>127</v>
      </c>
      <c r="D37" s="113"/>
      <c r="E37" s="41">
        <v>150</v>
      </c>
      <c r="F37" s="113"/>
      <c r="G37" s="113"/>
      <c r="H37" s="113"/>
      <c r="I37" s="34"/>
      <c r="J37" s="34"/>
      <c r="K37" s="34">
        <v>3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20"/>
      <c r="AK37" s="20"/>
    </row>
    <row r="38" spans="1:37" ht="15.75" customHeight="1" x14ac:dyDescent="0.25">
      <c r="A38" s="29"/>
      <c r="B38" s="30" t="s">
        <v>128</v>
      </c>
      <c r="C38" s="56" t="s">
        <v>129</v>
      </c>
      <c r="D38" s="113"/>
      <c r="E38" s="41">
        <v>65</v>
      </c>
      <c r="F38" s="113"/>
      <c r="G38" s="113"/>
      <c r="H38" s="113"/>
      <c r="I38" s="34"/>
      <c r="J38" s="34"/>
      <c r="K38" s="34">
        <v>10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20"/>
      <c r="AK38" s="20"/>
    </row>
    <row r="39" spans="1:37" ht="15.75" customHeight="1" x14ac:dyDescent="0.25">
      <c r="A39" s="29"/>
      <c r="B39" s="30"/>
      <c r="C39" s="56" t="s">
        <v>130</v>
      </c>
      <c r="D39" s="113"/>
      <c r="E39" s="41">
        <v>50</v>
      </c>
      <c r="F39" s="113"/>
      <c r="G39" s="113"/>
      <c r="H39" s="113"/>
      <c r="I39" s="34"/>
      <c r="J39" s="34"/>
      <c r="K39" s="34">
        <v>10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20"/>
      <c r="AK39" s="20"/>
    </row>
    <row r="40" spans="1:37" ht="15.75" customHeight="1" x14ac:dyDescent="0.25">
      <c r="A40" s="29"/>
      <c r="B40" s="30" t="s">
        <v>131</v>
      </c>
      <c r="C40" s="56" t="s">
        <v>132</v>
      </c>
      <c r="D40" s="113"/>
      <c r="E40" s="41">
        <v>70</v>
      </c>
      <c r="F40" s="113"/>
      <c r="G40" s="113"/>
      <c r="H40" s="113"/>
      <c r="I40" s="34"/>
      <c r="J40" s="34"/>
      <c r="K40" s="34">
        <v>10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20"/>
      <c r="AK40" s="20"/>
    </row>
    <row r="41" spans="1:37" ht="15.75" customHeight="1" x14ac:dyDescent="0.25">
      <c r="A41" s="29"/>
      <c r="B41" s="30" t="s">
        <v>133</v>
      </c>
      <c r="C41" s="56" t="s">
        <v>134</v>
      </c>
      <c r="D41" s="113"/>
      <c r="E41" s="41">
        <v>110</v>
      </c>
      <c r="F41" s="113"/>
      <c r="G41" s="114"/>
      <c r="H41" s="114"/>
      <c r="I41" s="34"/>
      <c r="J41" s="34"/>
      <c r="K41" s="34">
        <v>10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20"/>
      <c r="AK41" s="20"/>
    </row>
    <row r="42" spans="1:37" ht="15.75" customHeight="1" x14ac:dyDescent="0.25">
      <c r="A42" s="29"/>
      <c r="B42" s="30"/>
      <c r="C42" s="31" t="s">
        <v>135</v>
      </c>
      <c r="D42" s="145" t="s">
        <v>80</v>
      </c>
      <c r="E42" s="48">
        <v>600</v>
      </c>
      <c r="F42" s="117">
        <v>14100</v>
      </c>
      <c r="G42" s="115" t="s">
        <v>82</v>
      </c>
      <c r="H42" s="118" t="s">
        <v>83</v>
      </c>
      <c r="I42" s="34"/>
      <c r="J42" s="34">
        <v>2</v>
      </c>
      <c r="K42" s="34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20"/>
      <c r="AK42" s="20"/>
    </row>
    <row r="43" spans="1:37" ht="15.75" customHeight="1" x14ac:dyDescent="0.25">
      <c r="A43" s="29"/>
      <c r="B43" s="30"/>
      <c r="C43" s="31" t="s">
        <v>136</v>
      </c>
      <c r="D43" s="113"/>
      <c r="E43" s="48">
        <v>600</v>
      </c>
      <c r="F43" s="113"/>
      <c r="G43" s="113"/>
      <c r="H43" s="113"/>
      <c r="I43" s="34"/>
      <c r="J43" s="34">
        <v>2</v>
      </c>
      <c r="K43" s="34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20"/>
      <c r="AK43" s="20"/>
    </row>
    <row r="44" spans="1:37" ht="15.75" customHeight="1" x14ac:dyDescent="0.25">
      <c r="A44" s="29"/>
      <c r="B44" s="30"/>
      <c r="C44" s="31" t="s">
        <v>137</v>
      </c>
      <c r="D44" s="113"/>
      <c r="E44" s="48">
        <v>600</v>
      </c>
      <c r="F44" s="113"/>
      <c r="G44" s="113"/>
      <c r="H44" s="113"/>
      <c r="I44" s="34"/>
      <c r="J44" s="34">
        <v>16</v>
      </c>
      <c r="K44" s="34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20"/>
      <c r="AK44" s="20"/>
    </row>
    <row r="45" spans="1:37" ht="15.75" customHeight="1" x14ac:dyDescent="0.25">
      <c r="A45" s="29"/>
      <c r="B45" s="37" t="s">
        <v>138</v>
      </c>
      <c r="C45" s="38" t="s">
        <v>139</v>
      </c>
      <c r="D45" s="113"/>
      <c r="E45" s="48">
        <v>700</v>
      </c>
      <c r="F45" s="113"/>
      <c r="G45" s="114"/>
      <c r="H45" s="114"/>
      <c r="I45" s="34"/>
      <c r="J45" s="34">
        <v>3</v>
      </c>
      <c r="K45" s="34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20"/>
      <c r="AK45" s="20"/>
    </row>
    <row r="46" spans="1:37" ht="15.75" customHeight="1" x14ac:dyDescent="0.25">
      <c r="A46" s="57" t="s">
        <v>140</v>
      </c>
      <c r="B46" s="57"/>
      <c r="C46" s="58" t="s">
        <v>141</v>
      </c>
      <c r="D46" s="59"/>
      <c r="E46" s="60"/>
      <c r="F46" s="59"/>
      <c r="G46" s="61"/>
      <c r="H46" s="62"/>
      <c r="I46" s="61"/>
      <c r="J46" s="61"/>
      <c r="K46" s="61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20"/>
      <c r="AK46" s="20"/>
    </row>
    <row r="47" spans="1:37" ht="23.25" customHeight="1" x14ac:dyDescent="0.25">
      <c r="A47" s="29"/>
      <c r="B47" s="63"/>
      <c r="C47" s="56" t="s">
        <v>142</v>
      </c>
      <c r="D47" s="32" t="s">
        <v>143</v>
      </c>
      <c r="E47" s="41">
        <v>23000</v>
      </c>
      <c r="F47" s="42">
        <v>92000</v>
      </c>
      <c r="G47" s="34" t="s">
        <v>82</v>
      </c>
      <c r="H47" s="64" t="s">
        <v>83</v>
      </c>
      <c r="I47" s="34">
        <v>4</v>
      </c>
      <c r="J47" s="34"/>
      <c r="K47" s="34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20"/>
      <c r="AK47" s="20"/>
    </row>
    <row r="48" spans="1:37" ht="23.25" customHeight="1" x14ac:dyDescent="0.25">
      <c r="A48" s="29"/>
      <c r="B48" s="63"/>
      <c r="C48" s="56" t="s">
        <v>144</v>
      </c>
      <c r="D48" s="32" t="s">
        <v>145</v>
      </c>
      <c r="E48" s="41">
        <v>20000</v>
      </c>
      <c r="F48" s="42">
        <v>40000</v>
      </c>
      <c r="G48" s="34" t="s">
        <v>82</v>
      </c>
      <c r="H48" s="64" t="s">
        <v>146</v>
      </c>
      <c r="I48" s="34"/>
      <c r="J48" s="34">
        <v>2</v>
      </c>
      <c r="K48" s="34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20"/>
      <c r="AK48" s="20"/>
    </row>
    <row r="49" spans="1:39" ht="24.75" customHeight="1" x14ac:dyDescent="0.25">
      <c r="A49" s="29"/>
      <c r="B49" s="63"/>
      <c r="C49" s="56" t="s">
        <v>147</v>
      </c>
      <c r="D49" s="32" t="s">
        <v>148</v>
      </c>
      <c r="E49" s="41">
        <v>13000</v>
      </c>
      <c r="F49" s="42">
        <v>26000</v>
      </c>
      <c r="G49" s="34" t="s">
        <v>82</v>
      </c>
      <c r="H49" s="64" t="s">
        <v>83</v>
      </c>
      <c r="I49" s="34"/>
      <c r="J49" s="34"/>
      <c r="K49" s="34">
        <v>2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20"/>
      <c r="AK49" s="20"/>
    </row>
    <row r="50" spans="1:39" ht="15.75" customHeight="1" x14ac:dyDescent="0.25">
      <c r="A50" s="57" t="s">
        <v>149</v>
      </c>
      <c r="B50" s="57"/>
      <c r="C50" s="58" t="s">
        <v>150</v>
      </c>
      <c r="D50" s="65"/>
      <c r="E50" s="66"/>
      <c r="F50" s="65"/>
      <c r="G50" s="67"/>
      <c r="H50" s="68"/>
      <c r="I50" s="61"/>
      <c r="J50" s="61"/>
      <c r="K50" s="61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20"/>
      <c r="AK50" s="20"/>
    </row>
    <row r="51" spans="1:39" ht="15.75" customHeight="1" x14ac:dyDescent="0.25">
      <c r="A51" s="29"/>
      <c r="B51" s="69" t="s">
        <v>151</v>
      </c>
      <c r="C51" s="70" t="s">
        <v>152</v>
      </c>
      <c r="D51" s="112" t="s">
        <v>80</v>
      </c>
      <c r="E51" s="71">
        <v>90</v>
      </c>
      <c r="F51" s="116">
        <v>6325</v>
      </c>
      <c r="G51" s="115" t="s">
        <v>82</v>
      </c>
      <c r="H51" s="112" t="s">
        <v>83</v>
      </c>
      <c r="I51" s="72"/>
      <c r="J51" s="34">
        <v>30</v>
      </c>
      <c r="K51" s="34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20"/>
      <c r="AK51" s="20"/>
    </row>
    <row r="52" spans="1:39" ht="15.75" customHeight="1" x14ac:dyDescent="0.25">
      <c r="A52" s="29"/>
      <c r="B52" s="69" t="s">
        <v>153</v>
      </c>
      <c r="C52" s="70" t="s">
        <v>154</v>
      </c>
      <c r="D52" s="113"/>
      <c r="E52" s="71">
        <v>85</v>
      </c>
      <c r="F52" s="113"/>
      <c r="G52" s="113"/>
      <c r="H52" s="113"/>
      <c r="I52" s="72"/>
      <c r="J52" s="34">
        <v>20</v>
      </c>
      <c r="K52" s="34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20"/>
      <c r="AK52" s="20"/>
    </row>
    <row r="53" spans="1:39" ht="15.75" customHeight="1" x14ac:dyDescent="0.25">
      <c r="A53" s="29"/>
      <c r="B53" s="73"/>
      <c r="C53" s="70" t="s">
        <v>155</v>
      </c>
      <c r="D53" s="114"/>
      <c r="E53" s="71">
        <v>385</v>
      </c>
      <c r="F53" s="114"/>
      <c r="G53" s="114"/>
      <c r="H53" s="114"/>
      <c r="I53" s="72"/>
      <c r="J53" s="34">
        <v>5</v>
      </c>
      <c r="K53" s="34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52"/>
      <c r="AK53" s="52"/>
      <c r="AL53" s="74"/>
      <c r="AM53" s="74"/>
    </row>
    <row r="54" spans="1:39" ht="21.75" customHeight="1" x14ac:dyDescent="0.25">
      <c r="A54" s="53"/>
      <c r="B54" s="75"/>
      <c r="C54" s="76" t="s">
        <v>156</v>
      </c>
      <c r="D54" s="77" t="s">
        <v>157</v>
      </c>
      <c r="E54" s="78">
        <v>200</v>
      </c>
      <c r="F54" s="79">
        <v>600</v>
      </c>
      <c r="G54" s="80" t="s">
        <v>82</v>
      </c>
      <c r="H54" s="77"/>
      <c r="I54" s="81"/>
      <c r="J54" s="50">
        <v>3</v>
      </c>
      <c r="K54" s="50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55"/>
      <c r="AK54" s="55"/>
      <c r="AL54" s="83"/>
      <c r="AM54" s="83"/>
    </row>
    <row r="55" spans="1:39" ht="21.75" customHeight="1" x14ac:dyDescent="0.25">
      <c r="A55" s="53"/>
      <c r="B55" s="75"/>
      <c r="C55" s="76" t="s">
        <v>158</v>
      </c>
      <c r="D55" s="77" t="s">
        <v>159</v>
      </c>
      <c r="E55" s="78">
        <v>300</v>
      </c>
      <c r="F55" s="79">
        <v>900</v>
      </c>
      <c r="G55" s="80" t="s">
        <v>82</v>
      </c>
      <c r="H55" s="77"/>
      <c r="I55" s="81"/>
      <c r="J55" s="50">
        <v>3</v>
      </c>
      <c r="K55" s="50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55"/>
      <c r="AK55" s="55"/>
      <c r="AL55" s="83"/>
      <c r="AM55" s="83"/>
    </row>
    <row r="56" spans="1:39" ht="21.75" customHeight="1" x14ac:dyDescent="0.25">
      <c r="A56" s="53"/>
      <c r="B56" s="75"/>
      <c r="C56" s="76" t="s">
        <v>160</v>
      </c>
      <c r="D56" s="77" t="s">
        <v>159</v>
      </c>
      <c r="E56" s="78">
        <v>400</v>
      </c>
      <c r="F56" s="79">
        <v>1200</v>
      </c>
      <c r="G56" s="80" t="s">
        <v>82</v>
      </c>
      <c r="H56" s="77"/>
      <c r="I56" s="81"/>
      <c r="J56" s="50">
        <v>3</v>
      </c>
      <c r="K56" s="50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55"/>
      <c r="AK56" s="55"/>
      <c r="AL56" s="83"/>
      <c r="AM56" s="83"/>
    </row>
    <row r="57" spans="1:39" ht="21.75" customHeight="1" x14ac:dyDescent="0.25">
      <c r="A57" s="53"/>
      <c r="B57" s="75"/>
      <c r="C57" s="76" t="s">
        <v>161</v>
      </c>
      <c r="D57" s="77" t="s">
        <v>159</v>
      </c>
      <c r="E57" s="78">
        <v>400</v>
      </c>
      <c r="F57" s="79">
        <v>1200</v>
      </c>
      <c r="G57" s="80" t="s">
        <v>82</v>
      </c>
      <c r="H57" s="77"/>
      <c r="I57" s="81"/>
      <c r="J57" s="50">
        <v>3</v>
      </c>
      <c r="K57" s="50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55"/>
      <c r="AK57" s="55"/>
      <c r="AL57" s="83"/>
      <c r="AM57" s="83"/>
    </row>
    <row r="58" spans="1:39" ht="21.75" customHeight="1" x14ac:dyDescent="0.25">
      <c r="A58" s="53"/>
      <c r="B58" s="75"/>
      <c r="C58" s="76" t="s">
        <v>162</v>
      </c>
      <c r="D58" s="77" t="s">
        <v>159</v>
      </c>
      <c r="E58" s="78">
        <v>450</v>
      </c>
      <c r="F58" s="79">
        <v>1350</v>
      </c>
      <c r="G58" s="80" t="s">
        <v>82</v>
      </c>
      <c r="H58" s="77"/>
      <c r="I58" s="81"/>
      <c r="J58" s="50">
        <v>3</v>
      </c>
      <c r="K58" s="50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55"/>
      <c r="AK58" s="55"/>
      <c r="AL58" s="83"/>
      <c r="AM58" s="83"/>
    </row>
    <row r="59" spans="1:39" ht="21.75" customHeight="1" x14ac:dyDescent="0.25">
      <c r="A59" s="53"/>
      <c r="B59" s="75"/>
      <c r="C59" s="76" t="s">
        <v>163</v>
      </c>
      <c r="D59" s="77" t="s">
        <v>164</v>
      </c>
      <c r="E59" s="78">
        <v>90</v>
      </c>
      <c r="F59" s="79">
        <v>45000</v>
      </c>
      <c r="G59" s="80" t="s">
        <v>165</v>
      </c>
      <c r="H59" s="77"/>
      <c r="I59" s="81"/>
      <c r="J59" s="50">
        <v>500</v>
      </c>
      <c r="K59" s="50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55"/>
      <c r="AK59" s="55"/>
      <c r="AL59" s="83"/>
      <c r="AM59" s="83"/>
    </row>
    <row r="60" spans="1:39" ht="21.75" customHeight="1" x14ac:dyDescent="0.25">
      <c r="A60" s="53"/>
      <c r="B60" s="75"/>
      <c r="C60" s="76" t="s">
        <v>166</v>
      </c>
      <c r="D60" s="77" t="s">
        <v>167</v>
      </c>
      <c r="E60" s="78">
        <v>350</v>
      </c>
      <c r="F60" s="79">
        <v>10500</v>
      </c>
      <c r="G60" s="80" t="s">
        <v>82</v>
      </c>
      <c r="H60" s="77"/>
      <c r="I60" s="81"/>
      <c r="J60" s="50">
        <v>30</v>
      </c>
      <c r="K60" s="50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55"/>
      <c r="AK60" s="55"/>
      <c r="AL60" s="83"/>
      <c r="AM60" s="83"/>
    </row>
    <row r="61" spans="1:39" ht="21.75" customHeight="1" x14ac:dyDescent="0.25">
      <c r="A61" s="53"/>
      <c r="B61" s="75"/>
      <c r="C61" s="76" t="s">
        <v>168</v>
      </c>
      <c r="D61" s="77" t="s">
        <v>164</v>
      </c>
      <c r="E61" s="78">
        <v>90</v>
      </c>
      <c r="F61" s="79">
        <v>45000</v>
      </c>
      <c r="G61" s="80" t="s">
        <v>165</v>
      </c>
      <c r="H61" s="77"/>
      <c r="I61" s="81"/>
      <c r="J61" s="50">
        <v>500</v>
      </c>
      <c r="K61" s="50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55"/>
      <c r="AK61" s="55"/>
      <c r="AL61" s="83"/>
      <c r="AM61" s="83"/>
    </row>
    <row r="62" spans="1:39" ht="21.75" customHeight="1" x14ac:dyDescent="0.25">
      <c r="A62" s="53"/>
      <c r="B62" s="75"/>
      <c r="C62" s="76" t="s">
        <v>169</v>
      </c>
      <c r="D62" s="77" t="s">
        <v>170</v>
      </c>
      <c r="E62" s="78">
        <v>60</v>
      </c>
      <c r="F62" s="79">
        <v>6000</v>
      </c>
      <c r="G62" s="80" t="s">
        <v>82</v>
      </c>
      <c r="H62" s="77"/>
      <c r="I62" s="81"/>
      <c r="J62" s="50">
        <v>100</v>
      </c>
      <c r="K62" s="50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55"/>
      <c r="AK62" s="55"/>
      <c r="AL62" s="83"/>
      <c r="AM62" s="83"/>
    </row>
    <row r="63" spans="1:39" ht="21.75" customHeight="1" x14ac:dyDescent="0.25">
      <c r="A63" s="53"/>
      <c r="B63" s="75"/>
      <c r="C63" s="76" t="s">
        <v>169</v>
      </c>
      <c r="D63" s="77" t="s">
        <v>170</v>
      </c>
      <c r="E63" s="78">
        <v>60</v>
      </c>
      <c r="F63" s="79">
        <v>6000</v>
      </c>
      <c r="G63" s="80" t="s">
        <v>82</v>
      </c>
      <c r="H63" s="77"/>
      <c r="I63" s="81"/>
      <c r="J63" s="50">
        <v>100</v>
      </c>
      <c r="K63" s="50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55"/>
      <c r="AK63" s="55"/>
      <c r="AL63" s="83"/>
      <c r="AM63" s="83"/>
    </row>
    <row r="64" spans="1:39" ht="27" customHeight="1" x14ac:dyDescent="0.25">
      <c r="A64" s="29"/>
      <c r="B64" s="73"/>
      <c r="C64" s="70" t="s">
        <v>171</v>
      </c>
      <c r="D64" s="64" t="s">
        <v>172</v>
      </c>
      <c r="E64" s="71">
        <f>2400/6</f>
        <v>400</v>
      </c>
      <c r="F64" s="84">
        <v>2400</v>
      </c>
      <c r="G64" s="69" t="s">
        <v>82</v>
      </c>
      <c r="H64" s="64" t="s">
        <v>83</v>
      </c>
      <c r="I64" s="72"/>
      <c r="J64" s="34"/>
      <c r="K64" s="34">
        <v>6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52"/>
      <c r="AK64" s="52"/>
      <c r="AL64" s="74"/>
      <c r="AM64" s="74"/>
    </row>
    <row r="65" spans="1:39" ht="15.75" customHeight="1" x14ac:dyDescent="0.25">
      <c r="A65" s="57" t="s">
        <v>140</v>
      </c>
      <c r="B65" s="57"/>
      <c r="C65" s="58" t="s">
        <v>141</v>
      </c>
      <c r="D65" s="85"/>
      <c r="E65" s="86"/>
      <c r="F65" s="85"/>
      <c r="G65" s="87"/>
      <c r="H65" s="88"/>
      <c r="I65" s="61"/>
      <c r="J65" s="61"/>
      <c r="K65" s="61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2"/>
      <c r="AK65" s="52"/>
      <c r="AL65" s="74"/>
      <c r="AM65" s="74"/>
    </row>
    <row r="66" spans="1:39" ht="51.75" customHeight="1" x14ac:dyDescent="0.25">
      <c r="A66" s="53"/>
      <c r="B66" s="75"/>
      <c r="C66" s="89" t="s">
        <v>173</v>
      </c>
      <c r="D66" s="90" t="s">
        <v>174</v>
      </c>
      <c r="E66" s="33">
        <v>400</v>
      </c>
      <c r="F66" s="91">
        <v>36000</v>
      </c>
      <c r="G66" s="77" t="s">
        <v>175</v>
      </c>
      <c r="H66" s="77" t="s">
        <v>146</v>
      </c>
      <c r="I66" s="50"/>
      <c r="J66" s="80">
        <v>90</v>
      </c>
      <c r="K66" s="50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55"/>
      <c r="AK66" s="55"/>
      <c r="AL66" s="83"/>
      <c r="AM66" s="83"/>
    </row>
    <row r="67" spans="1:39" ht="15.75" customHeight="1" x14ac:dyDescent="0.25">
      <c r="A67" s="57" t="s">
        <v>176</v>
      </c>
      <c r="B67" s="57"/>
      <c r="C67" s="58" t="s">
        <v>177</v>
      </c>
      <c r="D67" s="59"/>
      <c r="E67" s="60"/>
      <c r="F67" s="59"/>
      <c r="G67" s="61"/>
      <c r="H67" s="62"/>
      <c r="I67" s="61"/>
      <c r="J67" s="61"/>
      <c r="K67" s="61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2"/>
      <c r="AK67" s="52"/>
      <c r="AL67" s="74"/>
      <c r="AM67" s="74"/>
    </row>
    <row r="68" spans="1:39" ht="26.25" customHeight="1" x14ac:dyDescent="0.25">
      <c r="A68" s="29"/>
      <c r="B68" s="92"/>
      <c r="C68" s="93" t="s">
        <v>178</v>
      </c>
      <c r="D68" s="32" t="s">
        <v>80</v>
      </c>
      <c r="E68" s="41">
        <v>1600000</v>
      </c>
      <c r="F68" s="42">
        <v>1600000</v>
      </c>
      <c r="G68" s="69" t="s">
        <v>179</v>
      </c>
      <c r="H68" s="64" t="s">
        <v>180</v>
      </c>
      <c r="I68" s="34">
        <v>1</v>
      </c>
      <c r="J68" s="34"/>
      <c r="K68" s="34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52"/>
      <c r="AK68" s="52"/>
      <c r="AL68" s="74"/>
      <c r="AM68" s="74"/>
    </row>
    <row r="69" spans="1:39" ht="15" customHeight="1" x14ac:dyDescent="0.25">
      <c r="A69" s="29"/>
      <c r="B69" s="92"/>
      <c r="C69" s="93"/>
      <c r="D69" s="32"/>
      <c r="E69" s="41"/>
      <c r="F69" s="42"/>
      <c r="G69" s="34"/>
      <c r="H69" s="64"/>
      <c r="I69" s="34"/>
      <c r="J69" s="34"/>
      <c r="K69" s="34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20"/>
      <c r="AK69" s="20"/>
    </row>
    <row r="70" spans="1:39" ht="15.75" customHeight="1" x14ac:dyDescent="0.25">
      <c r="A70" s="57" t="s">
        <v>181</v>
      </c>
      <c r="B70" s="57"/>
      <c r="C70" s="58" t="s">
        <v>182</v>
      </c>
      <c r="D70" s="59"/>
      <c r="E70" s="60"/>
      <c r="F70" s="59"/>
      <c r="G70" s="61"/>
      <c r="H70" s="62"/>
      <c r="I70" s="61"/>
      <c r="J70" s="61"/>
      <c r="K70" s="61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20"/>
      <c r="AK70" s="20"/>
    </row>
    <row r="71" spans="1:39" ht="23.4" x14ac:dyDescent="0.25">
      <c r="A71" s="29"/>
      <c r="B71" s="92"/>
      <c r="C71" s="93" t="s">
        <v>183</v>
      </c>
      <c r="D71" s="32" t="s">
        <v>184</v>
      </c>
      <c r="E71" s="41">
        <v>2000</v>
      </c>
      <c r="F71" s="42">
        <v>12000</v>
      </c>
      <c r="G71" s="94" t="s">
        <v>185</v>
      </c>
      <c r="H71" s="64" t="s">
        <v>186</v>
      </c>
      <c r="I71" s="34"/>
      <c r="J71" s="34"/>
      <c r="K71" s="34">
        <v>6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20"/>
      <c r="AK71" s="20"/>
    </row>
    <row r="72" spans="1:39" ht="23.4" x14ac:dyDescent="0.25">
      <c r="A72" s="29"/>
      <c r="B72" s="92"/>
      <c r="C72" s="93" t="s">
        <v>187</v>
      </c>
      <c r="D72" s="32" t="s">
        <v>184</v>
      </c>
      <c r="E72" s="41">
        <v>2000</v>
      </c>
      <c r="F72" s="42">
        <v>12000</v>
      </c>
      <c r="G72" s="94" t="s">
        <v>185</v>
      </c>
      <c r="H72" s="64" t="s">
        <v>186</v>
      </c>
      <c r="I72" s="34"/>
      <c r="J72" s="34"/>
      <c r="K72" s="34">
        <v>6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20"/>
      <c r="AK72" s="20"/>
    </row>
    <row r="73" spans="1:39" ht="23.4" x14ac:dyDescent="0.25">
      <c r="A73" s="29"/>
      <c r="B73" s="92"/>
      <c r="C73" s="93" t="s">
        <v>188</v>
      </c>
      <c r="D73" s="32" t="s">
        <v>184</v>
      </c>
      <c r="E73" s="41">
        <v>2000</v>
      </c>
      <c r="F73" s="42">
        <v>12000</v>
      </c>
      <c r="G73" s="94" t="s">
        <v>185</v>
      </c>
      <c r="H73" s="64" t="s">
        <v>186</v>
      </c>
      <c r="I73" s="34"/>
      <c r="J73" s="34"/>
      <c r="K73" s="34">
        <v>6</v>
      </c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20"/>
      <c r="AK73" s="20"/>
    </row>
    <row r="74" spans="1:39" ht="23.4" x14ac:dyDescent="0.25">
      <c r="A74" s="29"/>
      <c r="B74" s="92"/>
      <c r="C74" s="93" t="s">
        <v>189</v>
      </c>
      <c r="D74" s="32" t="s">
        <v>184</v>
      </c>
      <c r="E74" s="41">
        <v>1700</v>
      </c>
      <c r="F74" s="42">
        <v>10200</v>
      </c>
      <c r="G74" s="94" t="s">
        <v>185</v>
      </c>
      <c r="H74" s="64" t="s">
        <v>186</v>
      </c>
      <c r="I74" s="34"/>
      <c r="J74" s="34"/>
      <c r="K74" s="34">
        <v>6</v>
      </c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20"/>
      <c r="AK74" s="20"/>
    </row>
    <row r="75" spans="1:39" ht="23.4" x14ac:dyDescent="0.25">
      <c r="A75" s="29"/>
      <c r="B75" s="92"/>
      <c r="C75" s="93" t="s">
        <v>190</v>
      </c>
      <c r="D75" s="32" t="s">
        <v>184</v>
      </c>
      <c r="E75" s="41">
        <v>900</v>
      </c>
      <c r="F75" s="42">
        <v>5400</v>
      </c>
      <c r="G75" s="94" t="s">
        <v>185</v>
      </c>
      <c r="H75" s="64" t="s">
        <v>186</v>
      </c>
      <c r="I75" s="34"/>
      <c r="J75" s="34"/>
      <c r="K75" s="34">
        <v>6</v>
      </c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20"/>
      <c r="AK75" s="20"/>
    </row>
    <row r="76" spans="1:39" ht="23.4" x14ac:dyDescent="0.25">
      <c r="A76" s="29"/>
      <c r="B76" s="92"/>
      <c r="C76" s="93" t="s">
        <v>191</v>
      </c>
      <c r="D76" s="32" t="s">
        <v>184</v>
      </c>
      <c r="E76" s="41">
        <v>2000</v>
      </c>
      <c r="F76" s="42">
        <v>12000</v>
      </c>
      <c r="G76" s="94" t="s">
        <v>185</v>
      </c>
      <c r="H76" s="64" t="s">
        <v>186</v>
      </c>
      <c r="I76" s="34"/>
      <c r="J76" s="34"/>
      <c r="K76" s="34">
        <v>6</v>
      </c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20"/>
      <c r="AK76" s="20"/>
    </row>
    <row r="77" spans="1:39" ht="23.4" x14ac:dyDescent="0.25">
      <c r="A77" s="29"/>
      <c r="B77" s="92"/>
      <c r="C77" s="93" t="s">
        <v>192</v>
      </c>
      <c r="D77" s="32" t="s">
        <v>184</v>
      </c>
      <c r="E77" s="41">
        <v>2000</v>
      </c>
      <c r="F77" s="42">
        <v>12000</v>
      </c>
      <c r="G77" s="94" t="s">
        <v>185</v>
      </c>
      <c r="H77" s="64" t="s">
        <v>186</v>
      </c>
      <c r="I77" s="34"/>
      <c r="J77" s="34"/>
      <c r="K77" s="34">
        <v>6</v>
      </c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20"/>
      <c r="AK77" s="20"/>
    </row>
    <row r="78" spans="1:39" ht="23.4" x14ac:dyDescent="0.25">
      <c r="A78" s="29"/>
      <c r="B78" s="92"/>
      <c r="C78" s="93" t="s">
        <v>193</v>
      </c>
      <c r="D78" s="32" t="s">
        <v>184</v>
      </c>
      <c r="E78" s="41">
        <v>2000</v>
      </c>
      <c r="F78" s="42">
        <v>12000</v>
      </c>
      <c r="G78" s="94" t="s">
        <v>185</v>
      </c>
      <c r="H78" s="64" t="s">
        <v>186</v>
      </c>
      <c r="I78" s="34"/>
      <c r="J78" s="34"/>
      <c r="K78" s="34">
        <v>6</v>
      </c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20"/>
      <c r="AK78" s="20"/>
    </row>
    <row r="79" spans="1:39" ht="23.4" x14ac:dyDescent="0.25">
      <c r="A79" s="29"/>
      <c r="B79" s="92"/>
      <c r="C79" s="93" t="s">
        <v>194</v>
      </c>
      <c r="D79" s="32" t="s">
        <v>184</v>
      </c>
      <c r="E79" s="41">
        <v>2000</v>
      </c>
      <c r="F79" s="42">
        <v>12000</v>
      </c>
      <c r="G79" s="94" t="s">
        <v>185</v>
      </c>
      <c r="H79" s="64" t="s">
        <v>186</v>
      </c>
      <c r="I79" s="34"/>
      <c r="J79" s="34"/>
      <c r="K79" s="34">
        <v>6</v>
      </c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20"/>
      <c r="AK79" s="20"/>
    </row>
    <row r="80" spans="1:39" ht="23.4" x14ac:dyDescent="0.25">
      <c r="A80" s="29"/>
      <c r="B80" s="92"/>
      <c r="C80" s="93" t="s">
        <v>195</v>
      </c>
      <c r="D80" s="32" t="s">
        <v>184</v>
      </c>
      <c r="E80" s="41">
        <v>2000</v>
      </c>
      <c r="F80" s="42">
        <v>12000</v>
      </c>
      <c r="G80" s="94" t="s">
        <v>185</v>
      </c>
      <c r="H80" s="64" t="s">
        <v>186</v>
      </c>
      <c r="I80" s="34"/>
      <c r="J80" s="34"/>
      <c r="K80" s="34">
        <v>6</v>
      </c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20"/>
      <c r="AK80" s="20"/>
    </row>
    <row r="81" spans="1:37" ht="23.4" x14ac:dyDescent="0.25">
      <c r="A81" s="29"/>
      <c r="B81" s="92"/>
      <c r="C81" s="93" t="s">
        <v>196</v>
      </c>
      <c r="D81" s="32" t="s">
        <v>184</v>
      </c>
      <c r="E81" s="41">
        <v>2000</v>
      </c>
      <c r="F81" s="42">
        <v>12000</v>
      </c>
      <c r="G81" s="94" t="s">
        <v>185</v>
      </c>
      <c r="H81" s="64" t="s">
        <v>186</v>
      </c>
      <c r="I81" s="34"/>
      <c r="J81" s="34"/>
      <c r="K81" s="34">
        <v>6</v>
      </c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20"/>
      <c r="AK81" s="20"/>
    </row>
    <row r="82" spans="1:37" ht="23.4" x14ac:dyDescent="0.25">
      <c r="A82" s="29"/>
      <c r="B82" s="92"/>
      <c r="C82" s="93" t="s">
        <v>197</v>
      </c>
      <c r="D82" s="32" t="s">
        <v>198</v>
      </c>
      <c r="E82" s="41">
        <v>5000</v>
      </c>
      <c r="F82" s="42">
        <v>40000</v>
      </c>
      <c r="G82" s="94" t="s">
        <v>185</v>
      </c>
      <c r="H82" s="64" t="s">
        <v>186</v>
      </c>
      <c r="I82" s="34"/>
      <c r="J82" s="34"/>
      <c r="K82" s="34">
        <v>8</v>
      </c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20"/>
      <c r="AK82" s="20"/>
    </row>
    <row r="83" spans="1:37" ht="15" customHeight="1" x14ac:dyDescent="0.25">
      <c r="A83" s="29"/>
      <c r="B83" s="92"/>
      <c r="C83" s="93"/>
      <c r="D83" s="32"/>
      <c r="E83" s="41"/>
      <c r="F83" s="42"/>
      <c r="G83" s="34"/>
      <c r="H83" s="64"/>
      <c r="I83" s="34"/>
      <c r="J83" s="34"/>
      <c r="K83" s="34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20"/>
      <c r="AK83" s="20"/>
    </row>
    <row r="84" spans="1:37" ht="15.75" customHeight="1" x14ac:dyDescent="0.25">
      <c r="A84" s="57" t="s">
        <v>199</v>
      </c>
      <c r="B84" s="57"/>
      <c r="C84" s="58" t="s">
        <v>200</v>
      </c>
      <c r="D84" s="59"/>
      <c r="E84" s="60"/>
      <c r="F84" s="59"/>
      <c r="G84" s="61"/>
      <c r="H84" s="62"/>
      <c r="I84" s="61"/>
      <c r="J84" s="61"/>
      <c r="K84" s="61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20"/>
      <c r="AK84" s="20"/>
    </row>
    <row r="85" spans="1:37" ht="16.5" customHeight="1" x14ac:dyDescent="0.25">
      <c r="A85" s="95"/>
      <c r="B85" s="73"/>
      <c r="C85" s="73" t="s">
        <v>201</v>
      </c>
      <c r="D85" s="64" t="s">
        <v>80</v>
      </c>
      <c r="E85" s="71">
        <v>5000</v>
      </c>
      <c r="F85" s="84">
        <v>5000</v>
      </c>
      <c r="G85" s="69" t="s">
        <v>202</v>
      </c>
      <c r="H85" s="64" t="s">
        <v>186</v>
      </c>
      <c r="I85" s="34"/>
      <c r="J85" s="34"/>
      <c r="K85" s="34">
        <v>1</v>
      </c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20"/>
      <c r="AK85" s="20"/>
    </row>
    <row r="86" spans="1:37" ht="15.75" customHeight="1" x14ac:dyDescent="0.25">
      <c r="A86" s="96"/>
      <c r="B86" s="97"/>
      <c r="C86" s="97"/>
      <c r="D86" s="1"/>
      <c r="E86" s="6"/>
      <c r="F86" s="7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 x14ac:dyDescent="0.3">
      <c r="A87" s="98" t="s">
        <v>203</v>
      </c>
      <c r="B87" s="3"/>
      <c r="C87" s="3"/>
      <c r="D87" s="137">
        <v>2141266</v>
      </c>
      <c r="E87" s="138"/>
      <c r="F87" s="13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.75" hidden="1" customHeight="1" x14ac:dyDescent="0.3">
      <c r="A88" s="99" t="s">
        <v>204</v>
      </c>
      <c r="B88" s="100"/>
      <c r="C88" s="100"/>
      <c r="D88" s="139">
        <f>PRODUCT(D87,0.1)</f>
        <v>214126.6</v>
      </c>
      <c r="E88" s="140"/>
      <c r="F88" s="141"/>
      <c r="G88" s="8"/>
      <c r="H88" s="8"/>
      <c r="I88" s="136"/>
      <c r="J88" s="125"/>
      <c r="K88" s="136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01"/>
      <c r="AI88" s="1"/>
      <c r="AJ88" s="1"/>
      <c r="AK88" s="1"/>
    </row>
    <row r="89" spans="1:37" ht="15.75" hidden="1" customHeight="1" x14ac:dyDescent="0.3">
      <c r="A89" s="102" t="s">
        <v>205</v>
      </c>
      <c r="B89" s="103"/>
      <c r="C89" s="103"/>
      <c r="D89" s="142">
        <f>PRODUCT(D87,0.1)</f>
        <v>214126.6</v>
      </c>
      <c r="E89" s="143"/>
      <c r="F89" s="144"/>
      <c r="G89" s="8"/>
      <c r="H89" s="8"/>
      <c r="I89" s="104"/>
      <c r="J89" s="104"/>
      <c r="K89" s="133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05"/>
      <c r="AI89" s="1"/>
      <c r="AJ89" s="1"/>
      <c r="AK89" s="1"/>
    </row>
    <row r="90" spans="1:37" ht="15.75" hidden="1" customHeight="1" x14ac:dyDescent="0.3">
      <c r="A90" s="102" t="s">
        <v>206</v>
      </c>
      <c r="B90" s="103"/>
      <c r="C90" s="103"/>
      <c r="D90" s="142">
        <f>SUM(D87:F89)</f>
        <v>2569519.2000000002</v>
      </c>
      <c r="E90" s="143"/>
      <c r="F90" s="144"/>
      <c r="G90" s="8"/>
      <c r="H90" s="8"/>
      <c r="I90" s="104"/>
      <c r="J90" s="104"/>
      <c r="K90" s="133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05"/>
      <c r="AI90" s="1"/>
      <c r="AJ90" s="1"/>
      <c r="AK90" s="1"/>
    </row>
    <row r="91" spans="1:37" ht="15.75" customHeight="1" x14ac:dyDescent="0.25">
      <c r="A91" s="106"/>
      <c r="B91" s="3"/>
      <c r="C91" s="3"/>
      <c r="D91" s="1"/>
      <c r="E91" s="6"/>
      <c r="F91" s="7"/>
      <c r="G91" s="8"/>
      <c r="H91" s="8"/>
      <c r="I91" s="104"/>
      <c r="J91" s="104"/>
      <c r="K91" s="133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05"/>
      <c r="AI91" s="1"/>
      <c r="AJ91" s="1"/>
      <c r="AK91" s="1"/>
    </row>
    <row r="92" spans="1:37" ht="15.75" customHeight="1" x14ac:dyDescent="0.25">
      <c r="A92" s="107" t="s">
        <v>207</v>
      </c>
      <c r="B92" s="3"/>
      <c r="C92" s="3"/>
      <c r="D92" s="1"/>
      <c r="E92" s="6"/>
      <c r="F92" s="7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 x14ac:dyDescent="0.25">
      <c r="A93" s="10"/>
      <c r="B93" s="3"/>
      <c r="C93" s="3"/>
      <c r="D93" s="1"/>
      <c r="E93" s="6"/>
      <c r="F93" s="7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5">
      <c r="A94" s="108" t="s">
        <v>208</v>
      </c>
      <c r="B94" s="97"/>
      <c r="C94" s="97"/>
      <c r="D94" s="109" t="s">
        <v>209</v>
      </c>
      <c r="E94" s="110"/>
      <c r="F94" s="7"/>
      <c r="G94" s="109" t="s">
        <v>210</v>
      </c>
      <c r="H94" s="1"/>
      <c r="I94" s="1"/>
      <c r="J94" s="109" t="s">
        <v>211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04"/>
    </row>
    <row r="95" spans="1:37" ht="15.75" customHeight="1" x14ac:dyDescent="0.25">
      <c r="A95" s="108"/>
      <c r="B95" s="97"/>
      <c r="C95" s="97"/>
      <c r="D95" s="1"/>
      <c r="E95" s="110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04"/>
      <c r="AK95" s="104"/>
    </row>
    <row r="96" spans="1:37" ht="15.75" customHeight="1" x14ac:dyDescent="0.25">
      <c r="A96" s="97"/>
      <c r="B96" s="97"/>
      <c r="C96" s="97"/>
      <c r="D96" s="1"/>
      <c r="E96" s="110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04"/>
      <c r="AK96" s="104"/>
    </row>
    <row r="97" spans="1:37" ht="15.75" customHeight="1" x14ac:dyDescent="0.25">
      <c r="A97" s="134" t="s">
        <v>212</v>
      </c>
      <c r="B97" s="125"/>
      <c r="C97" s="125"/>
      <c r="D97" s="109" t="s">
        <v>213</v>
      </c>
      <c r="E97" s="110"/>
      <c r="F97" s="7"/>
      <c r="G97" s="109" t="s">
        <v>214</v>
      </c>
      <c r="H97" s="1"/>
      <c r="I97" s="1"/>
      <c r="J97" s="109" t="s">
        <v>215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" customHeight="1" x14ac:dyDescent="0.25">
      <c r="A98" s="135" t="s">
        <v>216</v>
      </c>
      <c r="B98" s="125"/>
      <c r="C98" s="125"/>
      <c r="D98" s="1" t="s">
        <v>217</v>
      </c>
      <c r="E98" s="110"/>
      <c r="F98" s="7"/>
      <c r="G98" s="1" t="s">
        <v>218</v>
      </c>
      <c r="H98" s="1"/>
      <c r="I98" s="1"/>
      <c r="J98" s="1" t="s">
        <v>219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04"/>
      <c r="AK98" s="104"/>
    </row>
    <row r="99" spans="1:37" ht="15.75" customHeight="1" x14ac:dyDescent="0.25">
      <c r="A99" s="1"/>
      <c r="B99" s="1"/>
      <c r="C99" s="1"/>
      <c r="D99" s="1"/>
      <c r="E99" s="110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 x14ac:dyDescent="0.25">
      <c r="A100" s="1" t="s">
        <v>220</v>
      </c>
      <c r="B100" s="1"/>
      <c r="C100" s="1"/>
      <c r="D100" s="1" t="s">
        <v>221</v>
      </c>
      <c r="E100" s="110"/>
      <c r="F100" s="7"/>
      <c r="G100" s="1" t="s">
        <v>221</v>
      </c>
      <c r="H100" s="1"/>
      <c r="I100" s="1"/>
      <c r="J100" s="1" t="s">
        <v>221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 x14ac:dyDescent="0.25">
      <c r="D101" s="1"/>
      <c r="E101" s="6"/>
      <c r="F101" s="7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7" ht="15.75" customHeight="1" x14ac:dyDescent="0.25">
      <c r="D102" s="1"/>
      <c r="E102" s="6"/>
      <c r="F102" s="7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7" ht="15.75" customHeight="1" x14ac:dyDescent="0.25">
      <c r="D103" s="1"/>
      <c r="E103" s="6"/>
      <c r="F103" s="7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7" ht="15.75" customHeight="1" x14ac:dyDescent="0.25">
      <c r="D104" s="1"/>
      <c r="E104" s="6"/>
      <c r="F104" s="7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7" ht="15.75" customHeight="1" x14ac:dyDescent="0.25">
      <c r="D105" s="1"/>
      <c r="E105" s="6"/>
      <c r="F105" s="7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7" ht="15.75" customHeight="1" x14ac:dyDescent="0.25">
      <c r="D106" s="1"/>
      <c r="E106" s="6"/>
      <c r="F106" s="7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7" ht="15.75" customHeight="1" x14ac:dyDescent="0.25">
      <c r="D107" s="1"/>
      <c r="E107" s="6"/>
      <c r="F107" s="7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7" ht="15.75" customHeight="1" x14ac:dyDescent="0.25">
      <c r="D108" s="1"/>
      <c r="E108" s="6"/>
      <c r="F108" s="7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7" ht="15.75" customHeight="1" x14ac:dyDescent="0.25">
      <c r="D109" s="1"/>
      <c r="E109" s="6"/>
      <c r="F109" s="7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7" ht="15.75" customHeight="1" x14ac:dyDescent="0.25">
      <c r="D110" s="1"/>
      <c r="E110" s="6"/>
      <c r="F110" s="7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7" ht="15.75" customHeight="1" x14ac:dyDescent="0.25">
      <c r="D111" s="1"/>
      <c r="E111" s="6"/>
      <c r="F111" s="7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7" ht="15.75" customHeight="1" x14ac:dyDescent="0.25">
      <c r="D112" s="1"/>
      <c r="E112" s="6"/>
      <c r="F112" s="7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4:35" ht="15.75" customHeight="1" x14ac:dyDescent="0.25">
      <c r="D113" s="1"/>
      <c r="E113" s="6"/>
      <c r="F113" s="7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4:35" ht="15.75" customHeight="1" x14ac:dyDescent="0.3">
      <c r="E114" s="111"/>
    </row>
    <row r="115" spans="4:35" ht="15.75" customHeight="1" x14ac:dyDescent="0.3">
      <c r="E115" s="111"/>
    </row>
    <row r="116" spans="4:35" ht="15.75" customHeight="1" x14ac:dyDescent="0.3">
      <c r="E116" s="111"/>
    </row>
    <row r="117" spans="4:35" ht="15.75" customHeight="1" x14ac:dyDescent="0.3">
      <c r="E117" s="111"/>
    </row>
    <row r="118" spans="4:35" ht="15.75" customHeight="1" x14ac:dyDescent="0.3">
      <c r="E118" s="111"/>
    </row>
    <row r="119" spans="4:35" ht="15.75" customHeight="1" x14ac:dyDescent="0.3">
      <c r="E119" s="111"/>
    </row>
    <row r="120" spans="4:35" ht="15.75" customHeight="1" x14ac:dyDescent="0.3">
      <c r="E120" s="111"/>
    </row>
    <row r="121" spans="4:35" ht="15.75" customHeight="1" x14ac:dyDescent="0.3">
      <c r="E121" s="111"/>
    </row>
    <row r="122" spans="4:35" ht="15.75" customHeight="1" x14ac:dyDescent="0.3">
      <c r="E122" s="111"/>
    </row>
    <row r="123" spans="4:35" ht="15.75" customHeight="1" x14ac:dyDescent="0.3">
      <c r="E123" s="111"/>
    </row>
    <row r="124" spans="4:35" ht="15.75" customHeight="1" x14ac:dyDescent="0.3">
      <c r="E124" s="111"/>
    </row>
    <row r="125" spans="4:35" ht="15.75" customHeight="1" x14ac:dyDescent="0.3">
      <c r="E125" s="111"/>
    </row>
    <row r="126" spans="4:35" ht="15.75" customHeight="1" x14ac:dyDescent="0.3">
      <c r="E126" s="111"/>
    </row>
    <row r="127" spans="4:35" ht="15.75" customHeight="1" x14ac:dyDescent="0.3">
      <c r="E127" s="111"/>
    </row>
    <row r="128" spans="4:35" ht="15.75" customHeight="1" x14ac:dyDescent="0.3">
      <c r="E128" s="111"/>
    </row>
    <row r="129" spans="5:5" ht="15.75" customHeight="1" x14ac:dyDescent="0.3">
      <c r="E129" s="111"/>
    </row>
    <row r="130" spans="5:5" ht="15.75" customHeight="1" x14ac:dyDescent="0.3">
      <c r="E130" s="111"/>
    </row>
    <row r="131" spans="5:5" ht="15.75" customHeight="1" x14ac:dyDescent="0.3">
      <c r="E131" s="111"/>
    </row>
    <row r="132" spans="5:5" ht="15.75" customHeight="1" x14ac:dyDescent="0.3">
      <c r="E132" s="111"/>
    </row>
    <row r="133" spans="5:5" ht="15.75" customHeight="1" x14ac:dyDescent="0.3">
      <c r="E133" s="111"/>
    </row>
    <row r="134" spans="5:5" ht="15.75" customHeight="1" x14ac:dyDescent="0.3">
      <c r="E134" s="111"/>
    </row>
    <row r="135" spans="5:5" ht="15.75" customHeight="1" x14ac:dyDescent="0.3">
      <c r="E135" s="111"/>
    </row>
    <row r="136" spans="5:5" ht="15.75" customHeight="1" x14ac:dyDescent="0.3">
      <c r="E136" s="111"/>
    </row>
    <row r="137" spans="5:5" ht="15.75" customHeight="1" x14ac:dyDescent="0.3">
      <c r="E137" s="111"/>
    </row>
    <row r="138" spans="5:5" ht="15.75" customHeight="1" x14ac:dyDescent="0.3">
      <c r="E138" s="111"/>
    </row>
    <row r="139" spans="5:5" ht="15.75" customHeight="1" x14ac:dyDescent="0.3">
      <c r="E139" s="111"/>
    </row>
    <row r="140" spans="5:5" ht="15.75" customHeight="1" x14ac:dyDescent="0.3">
      <c r="E140" s="111"/>
    </row>
    <row r="141" spans="5:5" ht="15.75" customHeight="1" x14ac:dyDescent="0.3">
      <c r="E141" s="111"/>
    </row>
    <row r="142" spans="5:5" ht="15.75" customHeight="1" x14ac:dyDescent="0.3">
      <c r="E142" s="111"/>
    </row>
    <row r="143" spans="5:5" ht="15.75" customHeight="1" x14ac:dyDescent="0.3">
      <c r="E143" s="111"/>
    </row>
    <row r="144" spans="5:5" ht="15.75" customHeight="1" x14ac:dyDescent="0.3">
      <c r="E144" s="111"/>
    </row>
    <row r="145" spans="5:5" ht="15.75" customHeight="1" x14ac:dyDescent="0.3">
      <c r="E145" s="111"/>
    </row>
    <row r="146" spans="5:5" ht="15.75" customHeight="1" x14ac:dyDescent="0.3">
      <c r="E146" s="111"/>
    </row>
    <row r="147" spans="5:5" ht="15.75" customHeight="1" x14ac:dyDescent="0.3">
      <c r="E147" s="111"/>
    </row>
    <row r="148" spans="5:5" ht="15.75" customHeight="1" x14ac:dyDescent="0.3">
      <c r="E148" s="111"/>
    </row>
    <row r="149" spans="5:5" ht="15.75" customHeight="1" x14ac:dyDescent="0.3">
      <c r="E149" s="111"/>
    </row>
    <row r="150" spans="5:5" ht="15.75" customHeight="1" x14ac:dyDescent="0.3">
      <c r="E150" s="111"/>
    </row>
    <row r="151" spans="5:5" ht="15.75" customHeight="1" x14ac:dyDescent="0.3">
      <c r="E151" s="111"/>
    </row>
    <row r="152" spans="5:5" ht="15.75" customHeight="1" x14ac:dyDescent="0.3">
      <c r="E152" s="111"/>
    </row>
    <row r="153" spans="5:5" ht="15.75" customHeight="1" x14ac:dyDescent="0.3">
      <c r="E153" s="111"/>
    </row>
    <row r="154" spans="5:5" ht="15.75" customHeight="1" x14ac:dyDescent="0.3">
      <c r="E154" s="111"/>
    </row>
    <row r="155" spans="5:5" ht="15.75" customHeight="1" x14ac:dyDescent="0.3">
      <c r="E155" s="111"/>
    </row>
    <row r="156" spans="5:5" ht="15.75" customHeight="1" x14ac:dyDescent="0.3">
      <c r="E156" s="111"/>
    </row>
    <row r="157" spans="5:5" ht="15.75" customHeight="1" x14ac:dyDescent="0.3">
      <c r="E157" s="111"/>
    </row>
    <row r="158" spans="5:5" ht="15.75" customHeight="1" x14ac:dyDescent="0.3">
      <c r="E158" s="111"/>
    </row>
    <row r="159" spans="5:5" ht="15.75" customHeight="1" x14ac:dyDescent="0.3">
      <c r="E159" s="111"/>
    </row>
    <row r="160" spans="5:5" ht="15.75" customHeight="1" x14ac:dyDescent="0.3">
      <c r="E160" s="111"/>
    </row>
    <row r="161" spans="5:5" ht="15.75" customHeight="1" x14ac:dyDescent="0.3">
      <c r="E161" s="111"/>
    </row>
    <row r="162" spans="5:5" ht="15.75" customHeight="1" x14ac:dyDescent="0.3">
      <c r="E162" s="111"/>
    </row>
    <row r="163" spans="5:5" ht="15.75" customHeight="1" x14ac:dyDescent="0.3">
      <c r="E163" s="111"/>
    </row>
    <row r="164" spans="5:5" ht="15.75" customHeight="1" x14ac:dyDescent="0.3">
      <c r="E164" s="111"/>
    </row>
    <row r="165" spans="5:5" ht="15.75" customHeight="1" x14ac:dyDescent="0.3">
      <c r="E165" s="111"/>
    </row>
    <row r="166" spans="5:5" ht="15.75" customHeight="1" x14ac:dyDescent="0.3">
      <c r="E166" s="111"/>
    </row>
    <row r="167" spans="5:5" ht="15.75" customHeight="1" x14ac:dyDescent="0.3">
      <c r="E167" s="111"/>
    </row>
    <row r="168" spans="5:5" ht="15.75" customHeight="1" x14ac:dyDescent="0.3">
      <c r="E168" s="111"/>
    </row>
    <row r="169" spans="5:5" ht="15.75" customHeight="1" x14ac:dyDescent="0.3">
      <c r="E169" s="111"/>
    </row>
    <row r="170" spans="5:5" ht="15.75" customHeight="1" x14ac:dyDescent="0.3">
      <c r="E170" s="111"/>
    </row>
    <row r="171" spans="5:5" ht="15.75" customHeight="1" x14ac:dyDescent="0.3">
      <c r="E171" s="111"/>
    </row>
    <row r="172" spans="5:5" ht="15.75" customHeight="1" x14ac:dyDescent="0.3">
      <c r="E172" s="111"/>
    </row>
    <row r="173" spans="5:5" ht="15.75" customHeight="1" x14ac:dyDescent="0.3">
      <c r="E173" s="111"/>
    </row>
    <row r="174" spans="5:5" ht="15.75" customHeight="1" x14ac:dyDescent="0.3">
      <c r="E174" s="111"/>
    </row>
    <row r="175" spans="5:5" ht="15.75" customHeight="1" x14ac:dyDescent="0.3">
      <c r="E175" s="111"/>
    </row>
    <row r="176" spans="5:5" ht="15.75" customHeight="1" x14ac:dyDescent="0.3">
      <c r="E176" s="111"/>
    </row>
    <row r="177" spans="5:5" ht="15.75" customHeight="1" x14ac:dyDescent="0.3">
      <c r="E177" s="111"/>
    </row>
    <row r="178" spans="5:5" ht="15.75" customHeight="1" x14ac:dyDescent="0.3">
      <c r="E178" s="111"/>
    </row>
    <row r="179" spans="5:5" ht="15.75" customHeight="1" x14ac:dyDescent="0.3">
      <c r="E179" s="111"/>
    </row>
    <row r="180" spans="5:5" ht="15.75" customHeight="1" x14ac:dyDescent="0.3">
      <c r="E180" s="111"/>
    </row>
    <row r="181" spans="5:5" ht="15.75" customHeight="1" x14ac:dyDescent="0.3">
      <c r="E181" s="111"/>
    </row>
    <row r="182" spans="5:5" ht="15.75" customHeight="1" x14ac:dyDescent="0.3">
      <c r="E182" s="111"/>
    </row>
    <row r="183" spans="5:5" ht="15.75" customHeight="1" x14ac:dyDescent="0.3">
      <c r="E183" s="111"/>
    </row>
    <row r="184" spans="5:5" ht="15.75" customHeight="1" x14ac:dyDescent="0.3">
      <c r="E184" s="111"/>
    </row>
    <row r="185" spans="5:5" ht="15.75" customHeight="1" x14ac:dyDescent="0.3">
      <c r="E185" s="111"/>
    </row>
    <row r="186" spans="5:5" ht="15.75" customHeight="1" x14ac:dyDescent="0.3">
      <c r="E186" s="111"/>
    </row>
    <row r="187" spans="5:5" ht="15.75" customHeight="1" x14ac:dyDescent="0.3">
      <c r="E187" s="111"/>
    </row>
    <row r="188" spans="5:5" ht="15.75" customHeight="1" x14ac:dyDescent="0.3">
      <c r="E188" s="111"/>
    </row>
    <row r="189" spans="5:5" ht="15.75" customHeight="1" x14ac:dyDescent="0.3">
      <c r="E189" s="111"/>
    </row>
    <row r="190" spans="5:5" ht="15.75" customHeight="1" x14ac:dyDescent="0.3">
      <c r="E190" s="111"/>
    </row>
    <row r="191" spans="5:5" ht="15.75" customHeight="1" x14ac:dyDescent="0.3">
      <c r="E191" s="111"/>
    </row>
    <row r="192" spans="5:5" ht="15.75" customHeight="1" x14ac:dyDescent="0.3">
      <c r="E192" s="111"/>
    </row>
    <row r="193" spans="5:5" ht="15.75" customHeight="1" x14ac:dyDescent="0.3">
      <c r="E193" s="111"/>
    </row>
    <row r="194" spans="5:5" ht="15.75" customHeight="1" x14ac:dyDescent="0.3">
      <c r="E194" s="111"/>
    </row>
    <row r="195" spans="5:5" ht="15.75" customHeight="1" x14ac:dyDescent="0.3">
      <c r="E195" s="111"/>
    </row>
    <row r="196" spans="5:5" ht="15.75" customHeight="1" x14ac:dyDescent="0.3">
      <c r="E196" s="111"/>
    </row>
    <row r="197" spans="5:5" ht="15.75" customHeight="1" x14ac:dyDescent="0.3">
      <c r="E197" s="111"/>
    </row>
    <row r="198" spans="5:5" ht="15.75" customHeight="1" x14ac:dyDescent="0.3">
      <c r="E198" s="111"/>
    </row>
    <row r="199" spans="5:5" ht="15.75" customHeight="1" x14ac:dyDescent="0.3">
      <c r="E199" s="111"/>
    </row>
    <row r="200" spans="5:5" ht="15.75" customHeight="1" x14ac:dyDescent="0.3">
      <c r="E200" s="111"/>
    </row>
    <row r="201" spans="5:5" ht="15.75" customHeight="1" x14ac:dyDescent="0.3">
      <c r="E201" s="111"/>
    </row>
    <row r="202" spans="5:5" ht="15.75" customHeight="1" x14ac:dyDescent="0.3">
      <c r="E202" s="111"/>
    </row>
    <row r="203" spans="5:5" ht="15.75" customHeight="1" x14ac:dyDescent="0.3">
      <c r="E203" s="111"/>
    </row>
    <row r="204" spans="5:5" ht="15.75" customHeight="1" x14ac:dyDescent="0.3">
      <c r="E204" s="111"/>
    </row>
    <row r="205" spans="5:5" ht="15.75" customHeight="1" x14ac:dyDescent="0.3">
      <c r="E205" s="111"/>
    </row>
    <row r="206" spans="5:5" ht="15.75" customHeight="1" x14ac:dyDescent="0.3">
      <c r="E206" s="111"/>
    </row>
    <row r="207" spans="5:5" ht="15.75" customHeight="1" x14ac:dyDescent="0.3">
      <c r="E207" s="111"/>
    </row>
    <row r="208" spans="5:5" ht="15.75" customHeight="1" x14ac:dyDescent="0.3">
      <c r="E208" s="111"/>
    </row>
    <row r="209" spans="5:5" ht="15.75" customHeight="1" x14ac:dyDescent="0.3">
      <c r="E209" s="111"/>
    </row>
    <row r="210" spans="5:5" ht="15.75" customHeight="1" x14ac:dyDescent="0.3">
      <c r="E210" s="111"/>
    </row>
    <row r="211" spans="5:5" ht="15.75" customHeight="1" x14ac:dyDescent="0.3">
      <c r="E211" s="111"/>
    </row>
    <row r="212" spans="5:5" ht="15.75" customHeight="1" x14ac:dyDescent="0.3">
      <c r="E212" s="111"/>
    </row>
    <row r="213" spans="5:5" ht="15.75" customHeight="1" x14ac:dyDescent="0.3">
      <c r="E213" s="111"/>
    </row>
    <row r="214" spans="5:5" ht="15.75" customHeight="1" x14ac:dyDescent="0.3">
      <c r="E214" s="111"/>
    </row>
    <row r="215" spans="5:5" ht="15.75" customHeight="1" x14ac:dyDescent="0.3">
      <c r="E215" s="111"/>
    </row>
    <row r="216" spans="5:5" ht="15.75" customHeight="1" x14ac:dyDescent="0.3">
      <c r="E216" s="111"/>
    </row>
    <row r="217" spans="5:5" ht="15.75" customHeight="1" x14ac:dyDescent="0.3">
      <c r="E217" s="111"/>
    </row>
    <row r="218" spans="5:5" ht="15.75" customHeight="1" x14ac:dyDescent="0.3">
      <c r="E218" s="111"/>
    </row>
    <row r="219" spans="5:5" ht="15.75" customHeight="1" x14ac:dyDescent="0.3">
      <c r="E219" s="111"/>
    </row>
    <row r="220" spans="5:5" ht="15.75" customHeight="1" x14ac:dyDescent="0.3">
      <c r="E220" s="111"/>
    </row>
    <row r="221" spans="5:5" ht="15.75" customHeight="1" x14ac:dyDescent="0.3">
      <c r="E221" s="111"/>
    </row>
    <row r="222" spans="5:5" ht="15.75" customHeight="1" x14ac:dyDescent="0.3">
      <c r="E222" s="111"/>
    </row>
    <row r="223" spans="5:5" ht="15.75" customHeight="1" x14ac:dyDescent="0.3">
      <c r="E223" s="111"/>
    </row>
    <row r="224" spans="5:5" ht="15.75" customHeight="1" x14ac:dyDescent="0.3">
      <c r="E224" s="111"/>
    </row>
    <row r="225" spans="5:5" ht="15.75" customHeight="1" x14ac:dyDescent="0.3">
      <c r="E225" s="111"/>
    </row>
    <row r="226" spans="5:5" ht="15.75" customHeight="1" x14ac:dyDescent="0.3">
      <c r="E226" s="111"/>
    </row>
    <row r="227" spans="5:5" ht="15.75" customHeight="1" x14ac:dyDescent="0.3">
      <c r="E227" s="111"/>
    </row>
    <row r="228" spans="5:5" ht="15.75" customHeight="1" x14ac:dyDescent="0.3">
      <c r="E228" s="111"/>
    </row>
    <row r="229" spans="5:5" ht="15.75" customHeight="1" x14ac:dyDescent="0.3">
      <c r="E229" s="111"/>
    </row>
    <row r="230" spans="5:5" ht="15.75" customHeight="1" x14ac:dyDescent="0.3">
      <c r="E230" s="111"/>
    </row>
    <row r="231" spans="5:5" ht="15.75" customHeight="1" x14ac:dyDescent="0.3">
      <c r="E231" s="111"/>
    </row>
    <row r="232" spans="5:5" ht="15.75" customHeight="1" x14ac:dyDescent="0.3">
      <c r="E232" s="111"/>
    </row>
    <row r="233" spans="5:5" ht="15.75" customHeight="1" x14ac:dyDescent="0.3">
      <c r="E233" s="111"/>
    </row>
    <row r="234" spans="5:5" ht="15.75" customHeight="1" x14ac:dyDescent="0.3">
      <c r="E234" s="111"/>
    </row>
    <row r="235" spans="5:5" ht="15.75" customHeight="1" x14ac:dyDescent="0.3">
      <c r="E235" s="111"/>
    </row>
    <row r="236" spans="5:5" ht="15.75" customHeight="1" x14ac:dyDescent="0.3">
      <c r="E236" s="111"/>
    </row>
    <row r="237" spans="5:5" ht="15.75" customHeight="1" x14ac:dyDescent="0.3">
      <c r="E237" s="111"/>
    </row>
    <row r="238" spans="5:5" ht="15.75" customHeight="1" x14ac:dyDescent="0.3">
      <c r="E238" s="111"/>
    </row>
    <row r="239" spans="5:5" ht="15.75" customHeight="1" x14ac:dyDescent="0.3">
      <c r="E239" s="111"/>
    </row>
    <row r="240" spans="5:5" ht="15.75" customHeight="1" x14ac:dyDescent="0.3">
      <c r="E240" s="111"/>
    </row>
    <row r="241" spans="5:5" ht="15.75" customHeight="1" x14ac:dyDescent="0.3">
      <c r="E241" s="111"/>
    </row>
    <row r="242" spans="5:5" ht="15.75" customHeight="1" x14ac:dyDescent="0.3">
      <c r="E242" s="111"/>
    </row>
    <row r="243" spans="5:5" ht="15.75" customHeight="1" x14ac:dyDescent="0.3">
      <c r="E243" s="111"/>
    </row>
    <row r="244" spans="5:5" ht="15.75" customHeight="1" x14ac:dyDescent="0.3">
      <c r="E244" s="111"/>
    </row>
    <row r="245" spans="5:5" ht="15.75" customHeight="1" x14ac:dyDescent="0.3">
      <c r="E245" s="111"/>
    </row>
    <row r="246" spans="5:5" ht="15.75" customHeight="1" x14ac:dyDescent="0.3">
      <c r="E246" s="111"/>
    </row>
    <row r="247" spans="5:5" ht="15.75" customHeight="1" x14ac:dyDescent="0.3">
      <c r="E247" s="111"/>
    </row>
    <row r="248" spans="5:5" ht="15.75" customHeight="1" x14ac:dyDescent="0.3">
      <c r="E248" s="111"/>
    </row>
    <row r="249" spans="5:5" ht="15.75" customHeight="1" x14ac:dyDescent="0.3">
      <c r="E249" s="111"/>
    </row>
    <row r="250" spans="5:5" ht="15.75" customHeight="1" x14ac:dyDescent="0.3">
      <c r="E250" s="111"/>
    </row>
    <row r="251" spans="5:5" ht="15.75" customHeight="1" x14ac:dyDescent="0.3">
      <c r="E251" s="111"/>
    </row>
    <row r="252" spans="5:5" ht="15.75" customHeight="1" x14ac:dyDescent="0.3">
      <c r="E252" s="111"/>
    </row>
    <row r="253" spans="5:5" ht="15.75" customHeight="1" x14ac:dyDescent="0.3">
      <c r="E253" s="111"/>
    </row>
    <row r="254" spans="5:5" ht="15.75" customHeight="1" x14ac:dyDescent="0.3">
      <c r="E254" s="111"/>
    </row>
    <row r="255" spans="5:5" ht="15.75" customHeight="1" x14ac:dyDescent="0.3">
      <c r="E255" s="111"/>
    </row>
    <row r="256" spans="5:5" ht="15.75" customHeight="1" x14ac:dyDescent="0.3">
      <c r="E256" s="111"/>
    </row>
    <row r="257" spans="5:5" ht="15.75" customHeight="1" x14ac:dyDescent="0.3">
      <c r="E257" s="111"/>
    </row>
    <row r="258" spans="5:5" ht="15.75" customHeight="1" x14ac:dyDescent="0.3">
      <c r="E258" s="111"/>
    </row>
    <row r="259" spans="5:5" ht="15.75" customHeight="1" x14ac:dyDescent="0.3">
      <c r="E259" s="111"/>
    </row>
    <row r="260" spans="5:5" ht="15.75" customHeight="1" x14ac:dyDescent="0.3">
      <c r="E260" s="111"/>
    </row>
    <row r="261" spans="5:5" ht="15.75" customHeight="1" x14ac:dyDescent="0.3">
      <c r="E261" s="111"/>
    </row>
    <row r="262" spans="5:5" ht="15.75" customHeight="1" x14ac:dyDescent="0.3">
      <c r="E262" s="111"/>
    </row>
    <row r="263" spans="5:5" ht="15.75" customHeight="1" x14ac:dyDescent="0.3">
      <c r="E263" s="111"/>
    </row>
    <row r="264" spans="5:5" ht="15.75" customHeight="1" x14ac:dyDescent="0.3">
      <c r="E264" s="111"/>
    </row>
    <row r="265" spans="5:5" ht="15.75" customHeight="1" x14ac:dyDescent="0.3">
      <c r="E265" s="111"/>
    </row>
    <row r="266" spans="5:5" ht="15.75" customHeight="1" x14ac:dyDescent="0.3">
      <c r="E266" s="111"/>
    </row>
    <row r="267" spans="5:5" ht="15.75" customHeight="1" x14ac:dyDescent="0.3">
      <c r="E267" s="111"/>
    </row>
    <row r="268" spans="5:5" ht="15.75" customHeight="1" x14ac:dyDescent="0.3">
      <c r="E268" s="111"/>
    </row>
    <row r="269" spans="5:5" ht="15.75" customHeight="1" x14ac:dyDescent="0.3">
      <c r="E269" s="111"/>
    </row>
    <row r="270" spans="5:5" ht="15.75" customHeight="1" x14ac:dyDescent="0.3">
      <c r="E270" s="111"/>
    </row>
    <row r="271" spans="5:5" ht="15.75" customHeight="1" x14ac:dyDescent="0.3">
      <c r="E271" s="111"/>
    </row>
    <row r="272" spans="5:5" ht="15.75" customHeight="1" x14ac:dyDescent="0.3">
      <c r="E272" s="111"/>
    </row>
    <row r="273" spans="5:5" ht="15.75" customHeight="1" x14ac:dyDescent="0.3">
      <c r="E273" s="111"/>
    </row>
    <row r="274" spans="5:5" ht="15.75" customHeight="1" x14ac:dyDescent="0.3">
      <c r="E274" s="111"/>
    </row>
    <row r="275" spans="5:5" ht="15.75" customHeight="1" x14ac:dyDescent="0.3">
      <c r="E275" s="111"/>
    </row>
    <row r="276" spans="5:5" ht="15.75" customHeight="1" x14ac:dyDescent="0.3">
      <c r="E276" s="111"/>
    </row>
    <row r="277" spans="5:5" ht="15.75" customHeight="1" x14ac:dyDescent="0.3">
      <c r="E277" s="111"/>
    </row>
    <row r="278" spans="5:5" ht="15.75" customHeight="1" x14ac:dyDescent="0.3">
      <c r="E278" s="111"/>
    </row>
    <row r="279" spans="5:5" ht="15.75" customHeight="1" x14ac:dyDescent="0.3">
      <c r="E279" s="111"/>
    </row>
    <row r="280" spans="5:5" ht="15.75" customHeight="1" x14ac:dyDescent="0.3">
      <c r="E280" s="111"/>
    </row>
    <row r="281" spans="5:5" ht="15.75" customHeight="1" x14ac:dyDescent="0.3">
      <c r="E281" s="111"/>
    </row>
    <row r="282" spans="5:5" ht="15.75" customHeight="1" x14ac:dyDescent="0.3">
      <c r="E282" s="111"/>
    </row>
    <row r="283" spans="5:5" ht="15.75" customHeight="1" x14ac:dyDescent="0.3">
      <c r="E283" s="111"/>
    </row>
    <row r="284" spans="5:5" ht="15.75" customHeight="1" x14ac:dyDescent="0.3">
      <c r="E284" s="111"/>
    </row>
    <row r="285" spans="5:5" ht="15.75" customHeight="1" x14ac:dyDescent="0.3">
      <c r="E285" s="111"/>
    </row>
    <row r="286" spans="5:5" ht="15.75" customHeight="1" x14ac:dyDescent="0.3">
      <c r="E286" s="111"/>
    </row>
    <row r="287" spans="5:5" ht="15.75" customHeight="1" x14ac:dyDescent="0.3">
      <c r="E287" s="111"/>
    </row>
    <row r="288" spans="5:5" ht="15.75" customHeight="1" x14ac:dyDescent="0.3">
      <c r="E288" s="111"/>
    </row>
    <row r="289" spans="5:5" ht="15.75" customHeight="1" x14ac:dyDescent="0.3">
      <c r="E289" s="111"/>
    </row>
    <row r="290" spans="5:5" ht="15.75" customHeight="1" x14ac:dyDescent="0.3">
      <c r="E290" s="111"/>
    </row>
    <row r="291" spans="5:5" ht="15.75" customHeight="1" x14ac:dyDescent="0.3">
      <c r="E291" s="111"/>
    </row>
    <row r="292" spans="5:5" ht="15.75" customHeight="1" x14ac:dyDescent="0.3">
      <c r="E292" s="111"/>
    </row>
    <row r="293" spans="5:5" ht="15.75" customHeight="1" x14ac:dyDescent="0.3">
      <c r="E293" s="111"/>
    </row>
    <row r="294" spans="5:5" ht="15.75" customHeight="1" x14ac:dyDescent="0.3">
      <c r="E294" s="111"/>
    </row>
    <row r="295" spans="5:5" ht="15.75" customHeight="1" x14ac:dyDescent="0.3">
      <c r="E295" s="111"/>
    </row>
    <row r="296" spans="5:5" ht="15.75" customHeight="1" x14ac:dyDescent="0.3">
      <c r="E296" s="111"/>
    </row>
    <row r="297" spans="5:5" ht="15.75" customHeight="1" x14ac:dyDescent="0.3">
      <c r="E297" s="111"/>
    </row>
    <row r="298" spans="5:5" ht="15.75" customHeight="1" x14ac:dyDescent="0.3">
      <c r="E298" s="111"/>
    </row>
    <row r="299" spans="5:5" ht="15.75" customHeight="1" x14ac:dyDescent="0.3">
      <c r="E299" s="111"/>
    </row>
    <row r="300" spans="5:5" ht="15.75" customHeight="1" x14ac:dyDescent="0.3">
      <c r="E300" s="111"/>
    </row>
    <row r="301" spans="5:5" ht="15.75" customHeight="1" x14ac:dyDescent="0.25"/>
    <row r="302" spans="5:5" ht="15.75" customHeight="1" x14ac:dyDescent="0.25"/>
    <row r="303" spans="5:5" ht="15.75" customHeight="1" x14ac:dyDescent="0.25"/>
    <row r="304" spans="5:5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41">
    <mergeCell ref="D33:D41"/>
    <mergeCell ref="D42:D45"/>
    <mergeCell ref="D23:D30"/>
    <mergeCell ref="A97:C97"/>
    <mergeCell ref="A98:C98"/>
    <mergeCell ref="F51:F53"/>
    <mergeCell ref="G51:G53"/>
    <mergeCell ref="H51:H53"/>
    <mergeCell ref="D51:D53"/>
    <mergeCell ref="D87:F87"/>
    <mergeCell ref="D88:F88"/>
    <mergeCell ref="D89:F89"/>
    <mergeCell ref="D90:F90"/>
    <mergeCell ref="G12:G22"/>
    <mergeCell ref="H12:H22"/>
    <mergeCell ref="F12:F22"/>
    <mergeCell ref="K90:AG90"/>
    <mergeCell ref="K91:AG91"/>
    <mergeCell ref="I88:J88"/>
    <mergeCell ref="K88:AG88"/>
    <mergeCell ref="K89:AG89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H23:H32"/>
    <mergeCell ref="H33:H41"/>
    <mergeCell ref="G33:G41"/>
    <mergeCell ref="F33:F41"/>
    <mergeCell ref="F42:F45"/>
    <mergeCell ref="G42:G45"/>
    <mergeCell ref="H42:H45"/>
    <mergeCell ref="F23:F32"/>
    <mergeCell ref="G23:G32"/>
  </mergeCells>
  <pageMargins left="0.40584088620342396" right="0" top="0.19637462235649547" bottom="0.75" header="0" footer="0"/>
  <pageSetup paperSize="14" scale="6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CRADLE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ROSE ANN S. ALCANTARA</cp:lastModifiedBy>
  <dcterms:created xsi:type="dcterms:W3CDTF">2024-01-03T07:55:13Z</dcterms:created>
  <dcterms:modified xsi:type="dcterms:W3CDTF">2024-02-02T03:30:43Z</dcterms:modified>
</cp:coreProperties>
</file>