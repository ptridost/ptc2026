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570"/>
  </bookViews>
  <sheets>
    <sheet name="PPMP Sample 1 (2)" sheetId="1" r:id="rId1"/>
  </sheets>
  <calcPr calcId="124519"/>
  <fileRecoveryPr repairLoad="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" i="1"/>
  <c r="E180" l="1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C182" l="1"/>
  <c r="C181"/>
  <c r="U9"/>
  <c r="C183" l="1"/>
</calcChain>
</file>

<file path=xl/sharedStrings.xml><?xml version="1.0" encoding="utf-8"?>
<sst xmlns="http://schemas.openxmlformats.org/spreadsheetml/2006/main" count="515" uniqueCount="276">
  <si>
    <t xml:space="preserve">  PROJECT PROCUREMENT MANAGEMENT PLAN (PPMP) 2024</t>
  </si>
  <si>
    <t>END-USER/UNIT: RDD-NFUS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</si>
  <si>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</si>
  <si>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</si>
  <si>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</si>
  <si>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</si>
  <si>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</si>
  <si>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</si>
  <si>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</si>
  <si>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</si>
  <si>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</si>
  <si>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</si>
  <si>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</si>
  <si>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</si>
  <si>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</si>
  <si>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</si>
  <si>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</si>
  <si>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</si>
  <si>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</si>
  <si>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</si>
  <si>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</si>
  <si>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</si>
  <si>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</si>
  <si>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Small Value Procurement</t>
  </si>
  <si>
    <t>Shopping</t>
  </si>
  <si>
    <t>10 boxes</t>
  </si>
  <si>
    <t>Laboratory Supplies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</si>
  <si>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</si>
  <si>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</si>
  <si>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</si>
  <si>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</si>
  <si>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</si>
  <si>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</si>
  <si>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</si>
  <si>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</si>
  <si>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</si>
  <si>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</si>
  <si>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</si>
  <si>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</si>
  <si>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</si>
  <si>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</si>
  <si>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</si>
  <si>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</si>
  <si>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</si>
  <si>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CHERYL G. LOPEZ</t>
  </si>
  <si>
    <t>Supplies and Materials</t>
  </si>
  <si>
    <t>Condenser Microphone, USB</t>
  </si>
  <si>
    <t>Steel angle bar, 1x1</t>
  </si>
  <si>
    <t>Steel angle bar, 2x2</t>
  </si>
  <si>
    <t>Steel tube, no. 4</t>
  </si>
  <si>
    <t>Steel tube, no. 2</t>
  </si>
  <si>
    <t>Square tube, 2x2</t>
  </si>
  <si>
    <t>C-purlins, 2x4</t>
  </si>
  <si>
    <t>Corrugated steel bar, no. 12</t>
  </si>
  <si>
    <t>Cutting disc, no. 4</t>
  </si>
  <si>
    <t>Welding rod, E6013</t>
  </si>
  <si>
    <t>Red lead primer paint</t>
  </si>
  <si>
    <t>Transportation &amp; Delivery</t>
  </si>
  <si>
    <t>Advertising</t>
  </si>
  <si>
    <t>Professional/Other Professional</t>
  </si>
  <si>
    <t>EDTA (molecular biology grade), 500g</t>
  </si>
  <si>
    <t>GelRed nucleic acid dye, 10,000X</t>
  </si>
  <si>
    <t>Agarose powder (molecular biology grade), 500g</t>
  </si>
  <si>
    <t>Nuclease-free water, ultrapure, 500mL</t>
  </si>
  <si>
    <t>Microcentrifuge tubes, thin-walled, 0.5mL</t>
  </si>
  <si>
    <t>Kimwipes</t>
  </si>
  <si>
    <t>Nitrile gloves, extra small, powder free</t>
  </si>
  <si>
    <t>Two-ply tissue paper</t>
  </si>
  <si>
    <t>DNA ladder, 100bp</t>
  </si>
  <si>
    <t>2 sets</t>
  </si>
  <si>
    <t>20 pcs</t>
  </si>
  <si>
    <t>8 pcs</t>
  </si>
  <si>
    <t>4 pcs</t>
  </si>
  <si>
    <t>2 pcs</t>
  </si>
  <si>
    <t>3 pcs</t>
  </si>
  <si>
    <t>1 pcs</t>
  </si>
  <si>
    <t>30 pcs</t>
  </si>
  <si>
    <t>1 box</t>
  </si>
  <si>
    <t>2 bags</t>
  </si>
  <si>
    <t>2 gal</t>
  </si>
  <si>
    <t>2 btls</t>
  </si>
  <si>
    <t>5 vials</t>
  </si>
  <si>
    <t>3 btls</t>
  </si>
  <si>
    <t>6 btls</t>
  </si>
  <si>
    <t>5 boxes</t>
  </si>
  <si>
    <t>20 rolls</t>
  </si>
  <si>
    <t>3 vials</t>
  </si>
  <si>
    <t>1 lot</t>
  </si>
  <si>
    <t>Professional fee for the handloom weaving of</t>
  </si>
  <si>
    <t>2-pedal plain weave silk fabric</t>
  </si>
  <si>
    <t>PTRI-TCMO Water Filtration System</t>
  </si>
  <si>
    <t>Digital platform weighing scale, 100kg</t>
  </si>
  <si>
    <t>Knapsack sprayer, manual and battery operation</t>
  </si>
  <si>
    <t>Grass cutter/bush cutter (4 stroke, 35 cc)</t>
  </si>
  <si>
    <t>Heatgun (1,600 watts)</t>
  </si>
  <si>
    <t>Polyethylene screen, 1/2 (3' x 30m)</t>
  </si>
  <si>
    <t>Plastic drum, 200 liters</t>
  </si>
  <si>
    <t>10 rolls</t>
  </si>
  <si>
    <t>Complete fertilizer, 16%P - 16%N - 16%K</t>
  </si>
  <si>
    <t>Systemic herbicide</t>
  </si>
  <si>
    <t>8 sacks</t>
  </si>
  <si>
    <t>24 L</t>
  </si>
  <si>
    <t>Tablet Computer</t>
  </si>
  <si>
    <t>2 lots</t>
  </si>
  <si>
    <t>2-pedal Cordilleran-design silk fabric</t>
  </si>
  <si>
    <t>25 m</t>
  </si>
  <si>
    <t>4M Potassium chloride (KCl) solution, electrode</t>
  </si>
  <si>
    <t>storage solution, 500ml</t>
  </si>
  <si>
    <t>Laboratory timer, digital LCD, 3 channel timer</t>
  </si>
  <si>
    <t>countdown &amp; stopwatch, 99 hours</t>
  </si>
  <si>
    <t>Weighing boat, plastic, 85 x 85 c 24 mm, white</t>
  </si>
  <si>
    <t>Beaker, pyrex, 50 ml</t>
  </si>
  <si>
    <t>Erlenmeyer flask, borosilicate, 50 ml</t>
  </si>
  <si>
    <t>Volumetric flask, borosilicate, 1 L with lid</t>
  </si>
  <si>
    <t>Volumetric flask, borosilicate, 250 ml with lid</t>
  </si>
  <si>
    <t>Volumetric flask, borosilicate, 100 ml with lid</t>
  </si>
  <si>
    <t>Sealing film, clear, 4in width, 125ft length</t>
  </si>
  <si>
    <t>Portable soil multimeter, measures soil moisture,</t>
  </si>
  <si>
    <t>temperature and pH, waterproof, digital display</t>
  </si>
  <si>
    <t>Portable pH and temperature digital meter</t>
  </si>
  <si>
    <t>Centrifuge tube rack, 15 ml, detachable, ≤50 wells</t>
  </si>
  <si>
    <t>Centrifuge tube rack, 50 ml, detachable, ≤25 wells</t>
  </si>
  <si>
    <t>Culture tube w/ screw cap, 70 ml, autoclavable</t>
  </si>
  <si>
    <t>Culture tube w/ screw cap, 15 ml, autoclavable</t>
  </si>
  <si>
    <t>Test tube, 15 ml, glass, autoclavable</t>
  </si>
  <si>
    <t>Test tube, 25 ml, glass, autoclavable</t>
  </si>
  <si>
    <t>Test tube rack, 24 well, ≤25 mm diameter, stainless</t>
  </si>
  <si>
    <t>Petri dish, glass, autoclavable, reusable</t>
  </si>
  <si>
    <t>Test tube holder, metal wire, holds up to 30mm dia.</t>
  </si>
  <si>
    <t>Crucible tong, standard size, stainless steel</t>
  </si>
  <si>
    <t>Magnetic spin bar, Teflon-coated, 2” x 3/8”</t>
  </si>
  <si>
    <t>Magnetic spin bar, Teflon-coated, 1” x 3/8”</t>
  </si>
  <si>
    <t>Magnetic stir bar retriever, 12"</t>
  </si>
  <si>
    <t>Magnetic stir bar retriever, 18"</t>
  </si>
  <si>
    <t>1 btl</t>
  </si>
  <si>
    <t>50 pcs</t>
  </si>
  <si>
    <t>10 pcs</t>
  </si>
  <si>
    <t>5 pcs</t>
  </si>
  <si>
    <t>1 pack</t>
  </si>
  <si>
    <t>1 pc</t>
  </si>
  <si>
    <t>Time Recorder Bundy Clock, Electronic</t>
  </si>
  <si>
    <t>4 sets</t>
  </si>
  <si>
    <t>Fuel/Oil/Lubricants</t>
  </si>
  <si>
    <t>Tarp printing service</t>
  </si>
  <si>
    <t>4 lot</t>
  </si>
  <si>
    <t>80 L</t>
  </si>
  <si>
    <t xml:space="preserve">Courier service (documents/yarns/fabrics) </t>
  </si>
  <si>
    <t>from TCMO to PTRI-Bicutan</t>
  </si>
  <si>
    <t>Fare expenses from TCMO to areas around</t>
  </si>
  <si>
    <t>Mis. Or.</t>
  </si>
  <si>
    <t>3 lot</t>
  </si>
  <si>
    <t>Courier service (documents/yarns/fabrics)</t>
  </si>
  <si>
    <t>from CAR to PTRI-Bicutan</t>
  </si>
  <si>
    <t>from CAR to PTRI-TCMO</t>
  </si>
  <si>
    <t>Steel matting, ≥1"</t>
  </si>
  <si>
    <t>Cement, ≥40kg</t>
  </si>
  <si>
    <r>
      <t xml:space="preserve">Light bulb, </t>
    </r>
    <r>
      <rPr>
        <sz val="11"/>
        <color theme="1"/>
        <rFont val="Calibri"/>
        <family val="2"/>
      </rPr>
      <t>≥</t>
    </r>
    <r>
      <rPr>
        <sz val="11"/>
        <color theme="1"/>
        <rFont val="Arial"/>
        <family val="2"/>
      </rPr>
      <t>7W</t>
    </r>
  </si>
  <si>
    <r>
      <t xml:space="preserve">Flourescent light, </t>
    </r>
    <r>
      <rPr>
        <sz val="11"/>
        <color theme="1"/>
        <rFont val="Calibri"/>
        <family val="2"/>
      </rPr>
      <t>≥</t>
    </r>
    <r>
      <rPr>
        <sz val="11"/>
        <color theme="1"/>
        <rFont val="Arial"/>
        <family val="2"/>
      </rPr>
      <t>10W</t>
    </r>
  </si>
  <si>
    <t>Pieceworks or Pakyaw system hiring of</t>
  </si>
  <si>
    <t xml:space="preserve">Pieceworks or Pakyaw system hiring of labors </t>
  </si>
  <si>
    <t>100 pcs</t>
  </si>
  <si>
    <t>Freon gas (Refrigerant 507), 11.3kg/tank</t>
  </si>
  <si>
    <t>1 tank</t>
  </si>
  <si>
    <t>.</t>
  </si>
  <si>
    <t>Representation</t>
  </si>
  <si>
    <t>Professional studio headphones</t>
  </si>
  <si>
    <t>1 set</t>
  </si>
  <si>
    <t>Gimbal stabilizer for action camera</t>
  </si>
  <si>
    <t>USB flash drive, 64GB</t>
  </si>
  <si>
    <t>External flash disc, 1TB</t>
  </si>
  <si>
    <t>Diesel fuel for Toyata Hilux</t>
  </si>
  <si>
    <t>Gasoline fuel for genset</t>
  </si>
  <si>
    <t>50 L</t>
  </si>
  <si>
    <t>Lamination film, A4</t>
  </si>
  <si>
    <t>Parchment paper, A4</t>
  </si>
  <si>
    <t>Specialized copy paper, A4</t>
  </si>
  <si>
    <t>15 packs</t>
  </si>
  <si>
    <t>Handheld radio</t>
  </si>
  <si>
    <t>Pruning shear (8 inches )</t>
  </si>
  <si>
    <t>Pruning saw (14 inches)</t>
  </si>
  <si>
    <t>7 pcs</t>
  </si>
  <si>
    <t>Rain boots, large, rubberized</t>
  </si>
  <si>
    <t xml:space="preserve">Rain coat, large, rubberized </t>
  </si>
  <si>
    <t>14 pcs</t>
  </si>
  <si>
    <t>Collander, medium</t>
  </si>
  <si>
    <t>1000 pcs</t>
  </si>
  <si>
    <t>Glacine paper, white</t>
  </si>
  <si>
    <t>24 pcs</t>
  </si>
  <si>
    <t>Glue stick, small, 100pcs</t>
  </si>
  <si>
    <t>5 packs</t>
  </si>
  <si>
    <t>Sand and gravel</t>
  </si>
  <si>
    <t>1 cu.m.</t>
  </si>
  <si>
    <t>Iron bars</t>
  </si>
  <si>
    <t>Thread, ticket 30</t>
  </si>
  <si>
    <t>Multi-purpose grease</t>
  </si>
  <si>
    <t>Multi-purpose oil</t>
  </si>
  <si>
    <t>Thread cutter</t>
  </si>
  <si>
    <t>Basin, large</t>
  </si>
  <si>
    <t>Tornado mop</t>
  </si>
  <si>
    <t>Apron, waterproof</t>
  </si>
  <si>
    <t>Forklift, manual operation</t>
  </si>
  <si>
    <t>Detergent soap</t>
  </si>
  <si>
    <t>Silk hank drying rack</t>
  </si>
  <si>
    <t>Manual cast iron stove</t>
  </si>
  <si>
    <t>Wood burning stove with blower</t>
  </si>
  <si>
    <t>Charged to: Integrating the Regional Silk Value Chain to Enable Compliance to the Philippine Tropical Fabrics Law (RA 9242) and Enabling the Local Creative Textile Industry</t>
  </si>
  <si>
    <t>Battery, AA</t>
  </si>
  <si>
    <t>20 packs</t>
  </si>
  <si>
    <t>65 m</t>
  </si>
  <si>
    <t>4-pedal Cordilleran-design silk fabric</t>
  </si>
  <si>
    <t>7 m</t>
  </si>
  <si>
    <t>4 lots</t>
  </si>
  <si>
    <t>For 2nd Quarter of CY 2024</t>
  </si>
  <si>
    <t>Apr</t>
  </si>
  <si>
    <t>May</t>
  </si>
  <si>
    <t>Jun</t>
  </si>
  <si>
    <t>15 pcs</t>
  </si>
  <si>
    <t>Microsoft Office Software 2019 or better</t>
  </si>
  <si>
    <t>6 pcs</t>
  </si>
  <si>
    <t>LAN cable, 200m</t>
  </si>
  <si>
    <t>Ink Cartridges, black 003</t>
  </si>
  <si>
    <t>Ink Cartridges, cyan 003</t>
  </si>
  <si>
    <t>Ink Cartridges, magenta 003</t>
  </si>
  <si>
    <t>Ink Cartridges, yellow 003</t>
  </si>
  <si>
    <t>6 units</t>
  </si>
  <si>
    <t>Load card, P500</t>
  </si>
  <si>
    <t>Cutter knife, refill</t>
  </si>
  <si>
    <t>Engine oil, SAE 20W-50</t>
  </si>
  <si>
    <t>Diesel fuel for boiler machine (TCMO)</t>
  </si>
  <si>
    <t>Diesel fuel for boiler machine (CAR)</t>
  </si>
  <si>
    <t>650 L</t>
  </si>
  <si>
    <t>6 L</t>
  </si>
  <si>
    <t>Bond paper, A4, white, 70 gsm</t>
  </si>
  <si>
    <t>Bond paper, long, yellow, 70 gsm</t>
  </si>
  <si>
    <t>Paper clips, plastic coated, 32mm</t>
  </si>
  <si>
    <t>Stapler, no. 35</t>
  </si>
  <si>
    <t>Ballpen, blue</t>
  </si>
  <si>
    <t>Sign pen, liquid/gel, blue, 0.5mm, needle tip</t>
  </si>
  <si>
    <t>Brown envelope, long</t>
  </si>
  <si>
    <t>Masking tape, white,  1"</t>
  </si>
  <si>
    <t>Packaging tape, brown, 3"</t>
  </si>
  <si>
    <t>Transparent tape, 1"</t>
  </si>
  <si>
    <t>Duct tape, gray, 2"</t>
  </si>
  <si>
    <t>Highlighter, assorted color</t>
  </si>
  <si>
    <t>Clip backfold, all metal, clamping: 25mm</t>
  </si>
  <si>
    <t>Clip backfold, all metal, clamping: 32mm</t>
  </si>
  <si>
    <t>Bond paper, short, pink, 70 gsm</t>
  </si>
  <si>
    <t>Sticky note, 3" x 1",  assorted color</t>
  </si>
  <si>
    <t>Sticky note, 3" x 3", assorted color</t>
  </si>
  <si>
    <t>Sticky note, flaglets, assorted color</t>
  </si>
  <si>
    <t>Folder, long, white</t>
  </si>
  <si>
    <t>Record book, ≥300 pages, small</t>
  </si>
  <si>
    <t>Record book, ≥500 pages, large</t>
  </si>
  <si>
    <t>Ethyl alcohol, 70% solution, 1L</t>
  </si>
  <si>
    <t>Clear book folder, long</t>
  </si>
  <si>
    <t>10 reams</t>
  </si>
  <si>
    <t>30 boxes</t>
  </si>
  <si>
    <t>Staple wire, no. 35</t>
  </si>
  <si>
    <t>20 boxes</t>
  </si>
  <si>
    <t>50 packs</t>
  </si>
  <si>
    <t>Expandable envelope, lone</t>
  </si>
  <si>
    <t>500 pcs</t>
  </si>
  <si>
    <t>Tissue paper, 2-ply sheet, ≥10/pack</t>
  </si>
  <si>
    <t>10 packs</t>
  </si>
  <si>
    <t>Clipboard, long</t>
  </si>
  <si>
    <t>File boxes, large</t>
  </si>
  <si>
    <t>Snacks for meetings</t>
  </si>
  <si>
    <t>Meals for meetings</t>
  </si>
  <si>
    <t>labors for mulberry field works in CAR</t>
  </si>
  <si>
    <t>for silk cocoon reeling works in TCMO</t>
  </si>
  <si>
    <t xml:space="preserve">Service fee for installation/removal and transfer </t>
  </si>
  <si>
    <t>installation of airconditioner in TCMO laboratory</t>
  </si>
  <si>
    <t>labors for mulberry field works in TCMO</t>
  </si>
  <si>
    <t>Fresh cocoons from seri-farmers</t>
  </si>
  <si>
    <t>100 kg</t>
  </si>
  <si>
    <t>Laptop, 64bit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</si>
</sst>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(* #,##0.00_);_(* \(#,##0.00\);_(* &quot;-&quot;??_);_(@_)"/>
  </numFmts>
  <fonts count="27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b/>
      <sz val="11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Arial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21" fillId="0" borderId="0" applyFont="0" applyFill="0" applyBorder="0" applyAlignment="0" applyProtection="0"/>
    <xf numFmtId="0" fontId="22" fillId="0" borderId="0"/>
    <xf numFmtId="0" fontId="25" fillId="0" borderId="0"/>
    <xf numFmtId="43" fontId="22" fillId="0" borderId="0" applyFont="0" applyFill="0" applyBorder="0" applyAlignment="0" applyProtection="0"/>
    <xf numFmtId="0" fontId="25" fillId="0" borderId="0"/>
  </cellStyleXfs>
  <cellXfs count="1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0" fontId="8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2" borderId="5" xfId="0" applyFont="1" applyFill="1" applyBorder="1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164" fontId="2" fillId="0" borderId="0" xfId="0" applyNumberFormat="1" applyFont="1"/>
    <xf numFmtId="0" fontId="3" fillId="0" borderId="2" xfId="0" applyFont="1" applyBorder="1"/>
    <xf numFmtId="0" fontId="10" fillId="0" borderId="14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3" xfId="0" applyFont="1" applyBorder="1" applyAlignment="1">
      <alignment horizontal="left"/>
    </xf>
    <xf numFmtId="4" fontId="3" fillId="0" borderId="15" xfId="0" applyNumberFormat="1" applyFont="1" applyBorder="1" applyAlignment="1">
      <alignment horizontal="right" vertical="center" wrapText="1"/>
    </xf>
    <xf numFmtId="4" fontId="3" fillId="0" borderId="15" xfId="0" applyNumberFormat="1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wrapText="1"/>
    </xf>
    <xf numFmtId="4" fontId="3" fillId="2" borderId="12" xfId="0" applyNumberFormat="1" applyFont="1" applyFill="1" applyBorder="1" applyAlignment="1">
      <alignment horizontal="right"/>
    </xf>
    <xf numFmtId="0" fontId="3" fillId="0" borderId="13" xfId="3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4" fontId="6" fillId="2" borderId="16" xfId="0" applyNumberFormat="1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left" wrapText="1"/>
    </xf>
    <xf numFmtId="0" fontId="10" fillId="2" borderId="18" xfId="0" applyFont="1" applyFill="1" applyBorder="1" applyAlignment="1">
      <alignment horizontal="center" wrapText="1"/>
    </xf>
    <xf numFmtId="0" fontId="10" fillId="2" borderId="13" xfId="0" applyFont="1" applyFill="1" applyBorder="1" applyAlignment="1">
      <alignment horizontal="left"/>
    </xf>
    <xf numFmtId="0" fontId="3" fillId="2" borderId="13" xfId="0" applyFont="1" applyFill="1" applyBorder="1"/>
    <xf numFmtId="0" fontId="24" fillId="0" borderId="13" xfId="3" applyFont="1" applyBorder="1"/>
    <xf numFmtId="0" fontId="9" fillId="0" borderId="13" xfId="4" applyFont="1" applyBorder="1"/>
    <xf numFmtId="0" fontId="3" fillId="0" borderId="13" xfId="4" applyFont="1" applyBorder="1"/>
    <xf numFmtId="43" fontId="3" fillId="0" borderId="0" xfId="2" applyFont="1" applyAlignment="1">
      <alignment vertical="center"/>
    </xf>
    <xf numFmtId="43" fontId="3" fillId="0" borderId="0" xfId="2" applyFont="1"/>
    <xf numFmtId="43" fontId="6" fillId="2" borderId="3" xfId="2" applyFont="1" applyFill="1" applyBorder="1" applyAlignment="1">
      <alignment horizontal="center" vertical="center" wrapText="1"/>
    </xf>
    <xf numFmtId="43" fontId="3" fillId="0" borderId="2" xfId="2" applyFont="1" applyBorder="1" applyAlignment="1">
      <alignment horizontal="center" vertical="center" wrapText="1"/>
    </xf>
    <xf numFmtId="43" fontId="3" fillId="2" borderId="5" xfId="2" applyFont="1" applyFill="1" applyBorder="1"/>
    <xf numFmtId="43" fontId="3" fillId="0" borderId="2" xfId="2" applyFont="1" applyFill="1" applyBorder="1"/>
    <xf numFmtId="43" fontId="3" fillId="0" borderId="6" xfId="2" applyFont="1" applyBorder="1"/>
    <xf numFmtId="43" fontId="2" fillId="0" borderId="0" xfId="2" applyFont="1"/>
    <xf numFmtId="43" fontId="7" fillId="0" borderId="0" xfId="2" applyFont="1" applyAlignment="1">
      <alignment horizontal="left" vertical="center" wrapText="1"/>
    </xf>
    <xf numFmtId="43" fontId="7" fillId="0" borderId="0" xfId="2" applyFont="1" applyAlignment="1">
      <alignment wrapText="1"/>
    </xf>
    <xf numFmtId="43" fontId="0" fillId="0" borderId="0" xfId="2" applyFont="1"/>
    <xf numFmtId="43" fontId="3" fillId="0" borderId="15" xfId="2" applyFont="1" applyBorder="1" applyAlignment="1">
      <alignment horizontal="center" vertical="center" wrapText="1"/>
    </xf>
    <xf numFmtId="4" fontId="3" fillId="0" borderId="16" xfId="0" applyNumberFormat="1" applyFont="1" applyBorder="1" applyAlignment="1">
      <alignment horizontal="right" vertical="center" wrapText="1"/>
    </xf>
    <xf numFmtId="4" fontId="3" fillId="0" borderId="13" xfId="0" applyNumberFormat="1" applyFont="1" applyBorder="1" applyAlignment="1">
      <alignment horizontal="right" vertical="top"/>
    </xf>
    <xf numFmtId="43" fontId="3" fillId="0" borderId="15" xfId="2" applyFont="1" applyFill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right" vertical="top"/>
    </xf>
    <xf numFmtId="0" fontId="23" fillId="0" borderId="13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/>
    </xf>
    <xf numFmtId="0" fontId="24" fillId="0" borderId="13" xfId="0" applyFont="1" applyBorder="1" applyAlignment="1">
      <alignment horizontal="right" vertical="center" wrapText="1"/>
    </xf>
    <xf numFmtId="0" fontId="24" fillId="0" borderId="13" xfId="0" applyFont="1" applyBorder="1" applyAlignment="1">
      <alignment horizontal="right" vertical="center"/>
    </xf>
    <xf numFmtId="0" fontId="3" fillId="0" borderId="30" xfId="0" applyFont="1" applyBorder="1" applyAlignment="1">
      <alignment horizontal="center" wrapText="1"/>
    </xf>
    <xf numFmtId="49" fontId="3" fillId="0" borderId="18" xfId="0" applyNumberFormat="1" applyFont="1" applyBorder="1"/>
    <xf numFmtId="0" fontId="9" fillId="0" borderId="13" xfId="6" applyFont="1" applyBorder="1"/>
    <xf numFmtId="0" fontId="9" fillId="0" borderId="13" xfId="6" applyFont="1" applyBorder="1" applyAlignment="1">
      <alignment wrapText="1"/>
    </xf>
    <xf numFmtId="0" fontId="9" fillId="0" borderId="18" xfId="6" applyFont="1" applyBorder="1" applyAlignment="1">
      <alignment wrapText="1"/>
    </xf>
    <xf numFmtId="0" fontId="9" fillId="0" borderId="18" xfId="6" applyFont="1" applyFill="1" applyBorder="1" applyAlignment="1">
      <alignment wrapText="1"/>
    </xf>
    <xf numFmtId="0" fontId="3" fillId="0" borderId="13" xfId="0" applyFont="1" applyFill="1" applyBorder="1" applyAlignment="1">
      <alignment wrapText="1"/>
    </xf>
    <xf numFmtId="49" fontId="3" fillId="0" borderId="13" xfId="0" applyNumberFormat="1" applyFont="1" applyFill="1" applyBorder="1"/>
    <xf numFmtId="0" fontId="9" fillId="0" borderId="13" xfId="4" applyFont="1" applyFill="1" applyBorder="1"/>
    <xf numFmtId="0" fontId="3" fillId="0" borderId="13" xfId="0" applyFont="1" applyFill="1" applyBorder="1"/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4" fontId="3" fillId="0" borderId="13" xfId="0" applyNumberFormat="1" applyFont="1" applyBorder="1" applyAlignment="1">
      <alignment horizontal="right" vertical="center" wrapText="1"/>
    </xf>
    <xf numFmtId="0" fontId="3" fillId="0" borderId="17" xfId="4" applyFont="1" applyBorder="1"/>
    <xf numFmtId="0" fontId="3" fillId="0" borderId="17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/>
    </xf>
    <xf numFmtId="43" fontId="3" fillId="0" borderId="13" xfId="2" applyFont="1" applyFill="1" applyBorder="1"/>
    <xf numFmtId="0" fontId="3" fillId="0" borderId="17" xfId="0" applyFont="1" applyBorder="1"/>
    <xf numFmtId="0" fontId="3" fillId="0" borderId="0" xfId="0" applyFont="1" applyBorder="1" applyAlignment="1">
      <alignment horizontal="center" wrapText="1"/>
    </xf>
    <xf numFmtId="164" fontId="18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/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164" fontId="2" fillId="0" borderId="10" xfId="0" applyNumberFormat="1" applyFont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/>
    <xf numFmtId="164" fontId="11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164" fontId="2" fillId="0" borderId="7" xfId="0" applyNumberFormat="1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6" fillId="0" borderId="19" xfId="0" applyFont="1" applyBorder="1" applyAlignment="1">
      <alignment horizontal="center" vertical="center" wrapText="1"/>
    </xf>
    <xf numFmtId="0" fontId="9" fillId="0" borderId="25" xfId="0" applyFont="1" applyBorder="1"/>
    <xf numFmtId="0" fontId="6" fillId="0" borderId="20" xfId="0" applyFont="1" applyBorder="1" applyAlignment="1">
      <alignment horizontal="center" vertical="center" wrapText="1"/>
    </xf>
    <xf numFmtId="0" fontId="9" fillId="0" borderId="26" xfId="0" applyFont="1" applyBorder="1"/>
    <xf numFmtId="4" fontId="6" fillId="0" borderId="20" xfId="0" applyNumberFormat="1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9" fillId="0" borderId="26" xfId="2" applyFont="1" applyBorder="1"/>
    <xf numFmtId="0" fontId="7" fillId="0" borderId="2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</cellXfs>
  <cellStyles count="7">
    <cellStyle name="Comma" xfId="2" builtinId="3"/>
    <cellStyle name="Comma 5" xfId="5"/>
    <cellStyle name="Normal" xfId="0" builtinId="0"/>
    <cellStyle name="Normal 10 10 8" xfId="6"/>
    <cellStyle name="Normal 2" xfId="4"/>
    <cellStyle name="Normal 4" xfId="3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26505</xdr:colOff>
      <xdr:row>187</xdr:row>
      <xdr:rowOff>79512</xdr:rowOff>
    </xdr:from>
    <xdr:to>
      <xdr:col>1</xdr:col>
      <xdr:colOff>625866</xdr:colOff>
      <xdr:row>191</xdr:row>
      <xdr:rowOff>51611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55FE019-360C-0A37-FF74-AC42852F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6505" y="41578695"/>
          <a:ext cx="1175831" cy="760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102"/>
  <sheetViews>
    <sheetView tabSelected="1" topLeftCell="A70" zoomScale="115" zoomScaleNormal="115" workbookViewId="0">
      <selection activeCell="C86" sqref="C86"/>
    </sheetView>
  </sheetViews>
  <sheetFormatPr defaultColWidth="12.625" defaultRowHeight="15" customHeight="1"/>
  <cols>
    <col min="1" max="1" width="7.625" customWidth="1"/>
    <col min="2" max="2" width="43.25" customWidth="1"/>
    <col min="3" max="3" width="11.625" customWidth="1"/>
    <col min="4" max="4" width="12.75" customWidth="1"/>
    <col min="5" max="5" width="14.625" style="73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30" width="7.625" customWidth="1"/>
  </cols>
  <sheetData>
    <row r="1" spans="1:24" ht="15.75">
      <c r="A1" s="125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"/>
      <c r="X1" s="1"/>
    </row>
    <row r="2" spans="1:24" ht="14.25">
      <c r="A2" s="126" t="s">
        <v>212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"/>
      <c r="X2" s="1"/>
    </row>
    <row r="3" spans="1:24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"/>
      <c r="X3" s="1"/>
    </row>
    <row r="4" spans="1:24">
      <c r="A4" s="3" t="s">
        <v>1</v>
      </c>
      <c r="B4" s="4"/>
      <c r="C4" s="4"/>
      <c r="D4" s="5"/>
      <c r="E4" s="6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>
      <c r="A5" s="6"/>
      <c r="B5" s="4"/>
      <c r="C5" s="1"/>
      <c r="D5" s="7"/>
      <c r="E5" s="64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3" t="s">
        <v>205</v>
      </c>
      <c r="B6" s="4"/>
      <c r="C6" s="1"/>
      <c r="D6" s="7"/>
      <c r="E6" s="64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thickBot="1">
      <c r="A7" s="6" t="s">
        <v>2</v>
      </c>
      <c r="B7" s="4"/>
      <c r="C7" s="1"/>
      <c r="D7" s="7"/>
      <c r="E7" s="64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>
      <c r="A8" s="128" t="s">
        <v>3</v>
      </c>
      <c r="B8" s="130" t="s">
        <v>4</v>
      </c>
      <c r="C8" s="51" t="s">
        <v>5</v>
      </c>
      <c r="D8" s="132" t="s">
        <v>6</v>
      </c>
      <c r="E8" s="133" t="s">
        <v>7</v>
      </c>
      <c r="F8" s="135" t="s">
        <v>8</v>
      </c>
      <c r="G8" s="130" t="s">
        <v>9</v>
      </c>
      <c r="H8" s="137" t="s">
        <v>10</v>
      </c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9"/>
      <c r="W8" s="8"/>
      <c r="X8" s="8"/>
    </row>
    <row r="9" spans="1:24" ht="39" thickBot="1">
      <c r="A9" s="129"/>
      <c r="B9" s="131"/>
      <c r="C9" s="52" t="s">
        <v>11</v>
      </c>
      <c r="D9" s="131"/>
      <c r="E9" s="134"/>
      <c r="F9" s="131"/>
      <c r="G9" s="136"/>
      <c r="H9" s="53" t="s">
        <v>213</v>
      </c>
      <c r="I9" s="53" t="s">
        <v>214</v>
      </c>
      <c r="J9" s="53" t="s">
        <v>215</v>
      </c>
      <c r="K9" s="53" t="s">
        <v>12</v>
      </c>
      <c r="L9" s="53" t="s">
        <v>13</v>
      </c>
      <c r="M9" s="53" t="s">
        <v>14</v>
      </c>
      <c r="N9" s="53" t="s">
        <v>15</v>
      </c>
      <c r="O9" s="53" t="s">
        <v>16</v>
      </c>
      <c r="P9" s="53" t="s">
        <v>17</v>
      </c>
      <c r="Q9" s="53" t="s">
        <v>18</v>
      </c>
      <c r="R9" s="53" t="s">
        <v>19</v>
      </c>
      <c r="S9" s="53" t="s">
        <v>20</v>
      </c>
      <c r="T9" s="53" t="s">
        <v>21</v>
      </c>
      <c r="U9" s="54" t="str">
        <f>$V$9</f>
        <v>REMARKS</v>
      </c>
      <c r="V9" s="55" t="s">
        <v>22</v>
      </c>
      <c r="W9" s="8"/>
      <c r="X9" s="8"/>
    </row>
    <row r="10" spans="1:24">
      <c r="A10" s="48"/>
      <c r="B10" s="56" t="s">
        <v>45</v>
      </c>
      <c r="C10" s="57"/>
      <c r="D10" s="49"/>
      <c r="E10" s="6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50"/>
      <c r="W10" s="8"/>
      <c r="X10" s="8"/>
    </row>
    <row r="11" spans="1:24">
      <c r="A11" s="38"/>
      <c r="B11" s="39" t="s">
        <v>46</v>
      </c>
      <c r="C11" s="43" t="s">
        <v>69</v>
      </c>
      <c r="D11" s="41">
        <v>15000</v>
      </c>
      <c r="E11" s="66">
        <v>30000</v>
      </c>
      <c r="F11" s="10" t="s">
        <v>24</v>
      </c>
      <c r="G11" s="10"/>
      <c r="H11" s="10">
        <v>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8"/>
      <c r="X11" s="8"/>
    </row>
    <row r="12" spans="1:24">
      <c r="A12" s="38"/>
      <c r="B12" s="40" t="s">
        <v>47</v>
      </c>
      <c r="C12" s="44" t="s">
        <v>70</v>
      </c>
      <c r="D12" s="76">
        <v>800</v>
      </c>
      <c r="E12" s="74">
        <v>16000</v>
      </c>
      <c r="F12" s="10" t="s">
        <v>24</v>
      </c>
      <c r="G12" s="10"/>
      <c r="H12" s="10">
        <v>20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8"/>
      <c r="X12" s="8"/>
    </row>
    <row r="13" spans="1:24">
      <c r="A13" s="38"/>
      <c r="B13" s="40" t="s">
        <v>48</v>
      </c>
      <c r="C13" s="44" t="s">
        <v>71</v>
      </c>
      <c r="D13" s="76">
        <v>800</v>
      </c>
      <c r="E13" s="74">
        <v>6400</v>
      </c>
      <c r="F13" s="10" t="s">
        <v>24</v>
      </c>
      <c r="G13" s="10"/>
      <c r="H13" s="10">
        <v>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8"/>
      <c r="X13" s="8"/>
    </row>
    <row r="14" spans="1:24">
      <c r="A14" s="38"/>
      <c r="B14" s="40" t="s">
        <v>154</v>
      </c>
      <c r="C14" s="44" t="s">
        <v>71</v>
      </c>
      <c r="D14" s="76">
        <v>800</v>
      </c>
      <c r="E14" s="74">
        <v>6400</v>
      </c>
      <c r="F14" s="10" t="s">
        <v>24</v>
      </c>
      <c r="G14" s="10"/>
      <c r="H14" s="10">
        <v>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8"/>
      <c r="X14" s="8"/>
    </row>
    <row r="15" spans="1:24">
      <c r="A15" s="38"/>
      <c r="B15" s="40" t="s">
        <v>49</v>
      </c>
      <c r="C15" s="44" t="s">
        <v>72</v>
      </c>
      <c r="D15" s="76">
        <v>1000</v>
      </c>
      <c r="E15" s="74">
        <v>4000</v>
      </c>
      <c r="F15" s="10" t="s">
        <v>24</v>
      </c>
      <c r="G15" s="10"/>
      <c r="H15" s="10">
        <v>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8"/>
      <c r="X15" s="8"/>
    </row>
    <row r="16" spans="1:24" ht="15.75" customHeight="1">
      <c r="A16" s="38"/>
      <c r="B16" s="40" t="s">
        <v>50</v>
      </c>
      <c r="C16" s="44" t="s">
        <v>73</v>
      </c>
      <c r="D16" s="76">
        <v>900</v>
      </c>
      <c r="E16" s="74">
        <v>1800</v>
      </c>
      <c r="F16" s="10" t="s">
        <v>24</v>
      </c>
      <c r="G16" s="10"/>
      <c r="H16" s="10">
        <v>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8"/>
      <c r="X16" s="8"/>
    </row>
    <row r="17" spans="1:24" ht="15.75" customHeight="1">
      <c r="A17" s="38"/>
      <c r="B17" s="40" t="s">
        <v>51</v>
      </c>
      <c r="C17" s="44" t="s">
        <v>74</v>
      </c>
      <c r="D17" s="76">
        <v>700</v>
      </c>
      <c r="E17" s="74">
        <v>2100</v>
      </c>
      <c r="F17" s="10" t="s">
        <v>24</v>
      </c>
      <c r="G17" s="10"/>
      <c r="H17" s="10">
        <v>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8"/>
      <c r="X17" s="8"/>
    </row>
    <row r="18" spans="1:24" ht="15.75" customHeight="1">
      <c r="A18" s="38"/>
      <c r="B18" s="40" t="s">
        <v>52</v>
      </c>
      <c r="C18" s="44" t="s">
        <v>75</v>
      </c>
      <c r="D18" s="76">
        <v>700</v>
      </c>
      <c r="E18" s="74">
        <v>700</v>
      </c>
      <c r="F18" s="10" t="s">
        <v>24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8"/>
      <c r="X18" s="8"/>
    </row>
    <row r="19" spans="1:24" ht="15.75" customHeight="1">
      <c r="A19" s="38"/>
      <c r="B19" s="40" t="s">
        <v>53</v>
      </c>
      <c r="C19" s="44" t="s">
        <v>75</v>
      </c>
      <c r="D19" s="76">
        <v>500</v>
      </c>
      <c r="E19" s="74">
        <v>500</v>
      </c>
      <c r="F19" s="10" t="s">
        <v>24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8"/>
      <c r="X19" s="8"/>
    </row>
    <row r="20" spans="1:24" ht="15.75" customHeight="1">
      <c r="A20" s="38"/>
      <c r="B20" s="40" t="s">
        <v>54</v>
      </c>
      <c r="C20" s="44" t="s">
        <v>76</v>
      </c>
      <c r="D20" s="76">
        <v>150</v>
      </c>
      <c r="E20" s="74">
        <v>4500</v>
      </c>
      <c r="F20" s="10" t="s">
        <v>24</v>
      </c>
      <c r="G20" s="10"/>
      <c r="H20" s="10">
        <v>30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8"/>
      <c r="X20" s="8"/>
    </row>
    <row r="21" spans="1:24" ht="15.75" customHeight="1">
      <c r="A21" s="38"/>
      <c r="B21" s="40" t="s">
        <v>55</v>
      </c>
      <c r="C21" s="44" t="s">
        <v>77</v>
      </c>
      <c r="D21" s="76">
        <v>1500</v>
      </c>
      <c r="E21" s="74">
        <v>1500</v>
      </c>
      <c r="F21" s="10" t="s">
        <v>24</v>
      </c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8"/>
      <c r="X21" s="8"/>
    </row>
    <row r="22" spans="1:24" ht="15.75" customHeight="1">
      <c r="A22" s="38"/>
      <c r="B22" s="40" t="s">
        <v>155</v>
      </c>
      <c r="C22" s="44" t="s">
        <v>78</v>
      </c>
      <c r="D22" s="76">
        <v>600</v>
      </c>
      <c r="E22" s="74">
        <v>1200</v>
      </c>
      <c r="F22" s="10" t="s">
        <v>24</v>
      </c>
      <c r="G22" s="10"/>
      <c r="H22" s="10">
        <v>2</v>
      </c>
      <c r="I22" s="10">
        <v>2</v>
      </c>
      <c r="J22" s="10">
        <v>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8"/>
      <c r="X22" s="8"/>
    </row>
    <row r="23" spans="1:24" ht="15.75" customHeight="1">
      <c r="A23" s="38"/>
      <c r="B23" s="40" t="s">
        <v>56</v>
      </c>
      <c r="C23" s="44" t="s">
        <v>79</v>
      </c>
      <c r="D23" s="76">
        <v>900</v>
      </c>
      <c r="E23" s="74">
        <v>1800</v>
      </c>
      <c r="F23" s="10" t="s">
        <v>24</v>
      </c>
      <c r="G23" s="10"/>
      <c r="H23" s="10">
        <v>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8"/>
      <c r="X23" s="8"/>
    </row>
    <row r="24" spans="1:24" ht="15.75" customHeight="1">
      <c r="A24" s="38"/>
      <c r="B24" s="45" t="s">
        <v>91</v>
      </c>
      <c r="C24" s="44" t="s">
        <v>72</v>
      </c>
      <c r="D24" s="75">
        <v>10000</v>
      </c>
      <c r="E24" s="66">
        <v>40000</v>
      </c>
      <c r="F24" s="10" t="s">
        <v>24</v>
      </c>
      <c r="G24" s="10"/>
      <c r="H24" s="10">
        <v>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8"/>
      <c r="X24" s="8"/>
    </row>
    <row r="25" spans="1:24" ht="15.75" customHeight="1">
      <c r="A25" s="38"/>
      <c r="B25" s="40" t="s">
        <v>92</v>
      </c>
      <c r="C25" s="44" t="s">
        <v>73</v>
      </c>
      <c r="D25" s="41">
        <v>3500</v>
      </c>
      <c r="E25" s="66">
        <v>7000</v>
      </c>
      <c r="F25" s="10" t="s">
        <v>24</v>
      </c>
      <c r="G25" s="10"/>
      <c r="H25" s="10">
        <v>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8"/>
      <c r="X25" s="8"/>
    </row>
    <row r="26" spans="1:24" ht="15.75" customHeight="1">
      <c r="A26" s="38"/>
      <c r="B26" s="45" t="s">
        <v>93</v>
      </c>
      <c r="C26" s="44" t="s">
        <v>72</v>
      </c>
      <c r="D26" s="41">
        <v>19500</v>
      </c>
      <c r="E26" s="66">
        <v>78000</v>
      </c>
      <c r="F26" s="10" t="s">
        <v>24</v>
      </c>
      <c r="G26" s="10"/>
      <c r="H26" s="10">
        <v>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8"/>
      <c r="X26" s="8"/>
    </row>
    <row r="27" spans="1:24" ht="15.75" customHeight="1">
      <c r="A27" s="38"/>
      <c r="B27" s="45" t="s">
        <v>94</v>
      </c>
      <c r="C27" s="44" t="s">
        <v>74</v>
      </c>
      <c r="D27" s="41">
        <v>2000</v>
      </c>
      <c r="E27" s="66">
        <v>6000</v>
      </c>
      <c r="F27" s="10" t="s">
        <v>24</v>
      </c>
      <c r="G27" s="10"/>
      <c r="H27" s="10">
        <v>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8"/>
      <c r="X27" s="8"/>
    </row>
    <row r="28" spans="1:24" ht="15.75" customHeight="1">
      <c r="A28" s="38"/>
      <c r="B28" s="45" t="s">
        <v>95</v>
      </c>
      <c r="C28" s="44" t="s">
        <v>97</v>
      </c>
      <c r="D28" s="41">
        <v>4000</v>
      </c>
      <c r="E28" s="66">
        <v>40000</v>
      </c>
      <c r="F28" s="10" t="s">
        <v>24</v>
      </c>
      <c r="G28" s="10"/>
      <c r="H28" s="10">
        <v>10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8"/>
      <c r="X28" s="8"/>
    </row>
    <row r="29" spans="1:24" ht="15.75" customHeight="1">
      <c r="A29" s="38"/>
      <c r="B29" s="45" t="s">
        <v>96</v>
      </c>
      <c r="C29" s="44" t="s">
        <v>74</v>
      </c>
      <c r="D29" s="41">
        <v>3000</v>
      </c>
      <c r="E29" s="66">
        <v>9000</v>
      </c>
      <c r="F29" s="10" t="s">
        <v>24</v>
      </c>
      <c r="G29" s="10"/>
      <c r="H29" s="10">
        <v>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8"/>
      <c r="X29" s="8"/>
    </row>
    <row r="30" spans="1:24" ht="15.75" customHeight="1">
      <c r="A30" s="38"/>
      <c r="B30" s="45" t="s">
        <v>98</v>
      </c>
      <c r="C30" s="44" t="s">
        <v>100</v>
      </c>
      <c r="D30" s="41">
        <v>3500</v>
      </c>
      <c r="E30" s="66">
        <v>28000</v>
      </c>
      <c r="F30" s="10" t="s">
        <v>24</v>
      </c>
      <c r="G30" s="10"/>
      <c r="H30" s="10">
        <v>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8"/>
      <c r="X30" s="8"/>
    </row>
    <row r="31" spans="1:24" ht="15.75" customHeight="1">
      <c r="A31" s="38"/>
      <c r="B31" s="45" t="s">
        <v>99</v>
      </c>
      <c r="C31" s="44" t="s">
        <v>101</v>
      </c>
      <c r="D31" s="41">
        <v>900</v>
      </c>
      <c r="E31" s="66">
        <v>21600</v>
      </c>
      <c r="F31" s="10" t="s">
        <v>24</v>
      </c>
      <c r="G31" s="10"/>
      <c r="H31" s="10">
        <v>24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8"/>
      <c r="X31" s="8"/>
    </row>
    <row r="32" spans="1:24" ht="15.75" customHeight="1">
      <c r="A32" s="38"/>
      <c r="B32" s="45" t="s">
        <v>102</v>
      </c>
      <c r="C32" s="44" t="s">
        <v>103</v>
      </c>
      <c r="D32" s="41">
        <v>24999</v>
      </c>
      <c r="E32" s="66">
        <v>49998</v>
      </c>
      <c r="F32" s="10" t="s">
        <v>24</v>
      </c>
      <c r="G32" s="10"/>
      <c r="H32" s="10">
        <v>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8"/>
      <c r="X32" s="8"/>
    </row>
    <row r="33" spans="1:24" ht="15.75" customHeight="1">
      <c r="A33" s="38"/>
      <c r="B33" s="45" t="s">
        <v>275</v>
      </c>
      <c r="C33" s="44" t="s">
        <v>211</v>
      </c>
      <c r="D33" s="41">
        <v>49999</v>
      </c>
      <c r="E33" s="66">
        <v>199996</v>
      </c>
      <c r="F33" s="10" t="s">
        <v>24</v>
      </c>
      <c r="G33" s="10"/>
      <c r="H33" s="10">
        <v>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8"/>
      <c r="X33" s="8"/>
    </row>
    <row r="34" spans="1:24" ht="15.75" customHeight="1">
      <c r="A34" s="38"/>
      <c r="B34" s="91" t="s">
        <v>206</v>
      </c>
      <c r="C34" s="44" t="s">
        <v>207</v>
      </c>
      <c r="D34" s="41">
        <v>250</v>
      </c>
      <c r="E34" s="66">
        <v>5000</v>
      </c>
      <c r="F34" s="10" t="s">
        <v>23</v>
      </c>
      <c r="G34" s="10"/>
      <c r="H34" s="10">
        <v>10</v>
      </c>
      <c r="I34" s="10">
        <v>5</v>
      </c>
      <c r="J34" s="10">
        <v>5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8"/>
      <c r="X34" s="8"/>
    </row>
    <row r="35" spans="1:24" ht="15.75" customHeight="1">
      <c r="A35" s="38"/>
      <c r="B35" s="92" t="s">
        <v>156</v>
      </c>
      <c r="C35" s="44" t="s">
        <v>160</v>
      </c>
      <c r="D35" s="41">
        <v>250</v>
      </c>
      <c r="E35" s="66">
        <v>25000</v>
      </c>
      <c r="F35" s="10" t="s">
        <v>24</v>
      </c>
      <c r="G35" s="10"/>
      <c r="H35" s="10"/>
      <c r="I35" s="10">
        <v>100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8"/>
      <c r="X35" s="8"/>
    </row>
    <row r="36" spans="1:24" ht="15.75" customHeight="1">
      <c r="A36" s="38"/>
      <c r="B36" s="92" t="s">
        <v>157</v>
      </c>
      <c r="C36" s="44" t="s">
        <v>135</v>
      </c>
      <c r="D36" s="41">
        <v>400</v>
      </c>
      <c r="E36" s="66">
        <v>20000</v>
      </c>
      <c r="F36" s="10" t="s">
        <v>24</v>
      </c>
      <c r="G36" s="10"/>
      <c r="H36" s="10"/>
      <c r="I36" s="10">
        <v>50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8"/>
      <c r="X36" s="8"/>
    </row>
    <row r="37" spans="1:24" ht="15.75" customHeight="1">
      <c r="A37" s="38"/>
      <c r="B37" s="91" t="s">
        <v>140</v>
      </c>
      <c r="C37" s="44" t="s">
        <v>141</v>
      </c>
      <c r="D37" s="42">
        <v>10000</v>
      </c>
      <c r="E37" s="68">
        <v>40000</v>
      </c>
      <c r="F37" s="10" t="s">
        <v>24</v>
      </c>
      <c r="G37" s="10"/>
      <c r="H37" s="10">
        <v>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8"/>
      <c r="X37" s="8"/>
    </row>
    <row r="38" spans="1:24" ht="15.75" customHeight="1">
      <c r="A38" s="38"/>
      <c r="B38" s="93" t="s">
        <v>161</v>
      </c>
      <c r="C38" s="44" t="s">
        <v>162</v>
      </c>
      <c r="D38" s="41">
        <v>9000</v>
      </c>
      <c r="E38" s="66">
        <v>9000</v>
      </c>
      <c r="F38" s="10" t="s">
        <v>24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8"/>
      <c r="X38" s="8"/>
    </row>
    <row r="39" spans="1:24" ht="15.75" customHeight="1">
      <c r="A39" s="38"/>
      <c r="B39" s="91" t="s">
        <v>165</v>
      </c>
      <c r="C39" s="85" t="s">
        <v>166</v>
      </c>
      <c r="D39" s="41">
        <v>8000</v>
      </c>
      <c r="E39" s="66">
        <v>8000</v>
      </c>
      <c r="F39" s="10" t="s">
        <v>24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8"/>
      <c r="X39" s="8"/>
    </row>
    <row r="40" spans="1:24" ht="15.75" customHeight="1">
      <c r="A40" s="38"/>
      <c r="B40" s="91" t="s">
        <v>167</v>
      </c>
      <c r="C40" s="85" t="s">
        <v>166</v>
      </c>
      <c r="D40" s="41">
        <v>8000</v>
      </c>
      <c r="E40" s="66">
        <v>8000</v>
      </c>
      <c r="F40" s="10" t="s">
        <v>24</v>
      </c>
      <c r="G40" s="10"/>
      <c r="H40" s="10"/>
      <c r="I40" s="10">
        <v>1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8"/>
      <c r="X40" s="8"/>
    </row>
    <row r="41" spans="1:24" ht="15.75" customHeight="1">
      <c r="A41" s="38"/>
      <c r="B41" s="91" t="s">
        <v>168</v>
      </c>
      <c r="C41" s="85" t="s">
        <v>216</v>
      </c>
      <c r="D41" s="41">
        <v>800</v>
      </c>
      <c r="E41" s="66">
        <v>12000</v>
      </c>
      <c r="F41" s="10" t="s">
        <v>24</v>
      </c>
      <c r="G41" s="10"/>
      <c r="H41" s="10">
        <v>5</v>
      </c>
      <c r="I41" s="10">
        <v>5</v>
      </c>
      <c r="J41" s="10">
        <v>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8"/>
      <c r="X41" s="8"/>
    </row>
    <row r="42" spans="1:24" ht="15.75" customHeight="1">
      <c r="A42" s="38"/>
      <c r="B42" s="91" t="s">
        <v>169</v>
      </c>
      <c r="C42" s="85" t="s">
        <v>218</v>
      </c>
      <c r="D42" s="41">
        <v>6000</v>
      </c>
      <c r="E42" s="66">
        <v>6000</v>
      </c>
      <c r="F42" s="10" t="s">
        <v>24</v>
      </c>
      <c r="G42" s="10"/>
      <c r="H42" s="10">
        <v>2</v>
      </c>
      <c r="I42" s="10">
        <v>2</v>
      </c>
      <c r="J42" s="10">
        <v>2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8"/>
      <c r="X42" s="8"/>
    </row>
    <row r="43" spans="1:24" ht="15.75" customHeight="1">
      <c r="A43" s="38"/>
      <c r="B43" s="91" t="s">
        <v>217</v>
      </c>
      <c r="C43" s="85" t="s">
        <v>218</v>
      </c>
      <c r="D43" s="41">
        <v>7000</v>
      </c>
      <c r="E43" s="66">
        <v>42000</v>
      </c>
      <c r="F43" s="10" t="s">
        <v>24</v>
      </c>
      <c r="G43" s="10"/>
      <c r="H43" s="10">
        <v>2</v>
      </c>
      <c r="I43" s="10">
        <v>2</v>
      </c>
      <c r="J43" s="10">
        <v>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8"/>
      <c r="X43" s="8"/>
    </row>
    <row r="44" spans="1:24" ht="15.75" customHeight="1">
      <c r="A44" s="38"/>
      <c r="B44" s="91" t="s">
        <v>219</v>
      </c>
      <c r="C44" s="85" t="s">
        <v>87</v>
      </c>
      <c r="D44" s="41">
        <v>10000</v>
      </c>
      <c r="E44" s="66">
        <v>10000</v>
      </c>
      <c r="F44" s="10" t="s">
        <v>24</v>
      </c>
      <c r="G44" s="10"/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8"/>
      <c r="X44" s="8"/>
    </row>
    <row r="45" spans="1:24" ht="15.75" customHeight="1">
      <c r="A45" s="38"/>
      <c r="B45" s="94" t="s">
        <v>174</v>
      </c>
      <c r="C45" s="85" t="s">
        <v>176</v>
      </c>
      <c r="D45" s="41">
        <v>60</v>
      </c>
      <c r="E45" s="66">
        <v>900</v>
      </c>
      <c r="F45" s="10" t="s">
        <v>23</v>
      </c>
      <c r="G45" s="10"/>
      <c r="H45" s="10"/>
      <c r="I45" s="10">
        <v>15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8"/>
      <c r="X45" s="8"/>
    </row>
    <row r="46" spans="1:24" ht="15.75" customHeight="1">
      <c r="A46" s="38"/>
      <c r="B46" s="94" t="s">
        <v>173</v>
      </c>
      <c r="C46" s="85" t="s">
        <v>176</v>
      </c>
      <c r="D46" s="41">
        <v>200</v>
      </c>
      <c r="E46" s="66">
        <v>3000</v>
      </c>
      <c r="F46" s="10" t="s">
        <v>23</v>
      </c>
      <c r="G46" s="10"/>
      <c r="H46" s="10"/>
      <c r="I46" s="10">
        <v>15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8"/>
      <c r="X46" s="8"/>
    </row>
    <row r="47" spans="1:24" ht="15.75" customHeight="1">
      <c r="A47" s="38"/>
      <c r="B47" s="94" t="s">
        <v>175</v>
      </c>
      <c r="C47" s="85" t="s">
        <v>176</v>
      </c>
      <c r="D47" s="41">
        <v>100</v>
      </c>
      <c r="E47" s="66">
        <v>1500</v>
      </c>
      <c r="F47" s="10" t="s">
        <v>23</v>
      </c>
      <c r="G47" s="10"/>
      <c r="H47" s="10"/>
      <c r="I47" s="10">
        <v>15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8"/>
      <c r="X47" s="8"/>
    </row>
    <row r="48" spans="1:24" ht="15.75" customHeight="1">
      <c r="A48" s="38"/>
      <c r="B48" s="39" t="s">
        <v>220</v>
      </c>
      <c r="C48" s="85" t="s">
        <v>137</v>
      </c>
      <c r="D48" s="41">
        <v>1000</v>
      </c>
      <c r="E48" s="66">
        <v>5000</v>
      </c>
      <c r="F48" s="10" t="s">
        <v>24</v>
      </c>
      <c r="G48" s="10"/>
      <c r="H48" s="10">
        <v>5</v>
      </c>
      <c r="I48" s="10">
        <v>5</v>
      </c>
      <c r="J48" s="10">
        <v>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8"/>
      <c r="X48" s="8"/>
    </row>
    <row r="49" spans="1:24" ht="15.75" customHeight="1">
      <c r="A49" s="38"/>
      <c r="B49" s="39" t="s">
        <v>221</v>
      </c>
      <c r="C49" s="85" t="s">
        <v>137</v>
      </c>
      <c r="D49" s="41">
        <v>1000</v>
      </c>
      <c r="E49" s="66">
        <v>5000</v>
      </c>
      <c r="F49" s="10" t="s">
        <v>24</v>
      </c>
      <c r="G49" s="10"/>
      <c r="H49" s="10">
        <v>5</v>
      </c>
      <c r="I49" s="10">
        <v>5</v>
      </c>
      <c r="J49" s="10">
        <v>5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8"/>
      <c r="X49" s="8"/>
    </row>
    <row r="50" spans="1:24" ht="15.75" customHeight="1">
      <c r="A50" s="38"/>
      <c r="B50" s="39" t="s">
        <v>222</v>
      </c>
      <c r="C50" s="85" t="s">
        <v>137</v>
      </c>
      <c r="D50" s="41">
        <v>1000</v>
      </c>
      <c r="E50" s="66">
        <v>5000</v>
      </c>
      <c r="F50" s="10" t="s">
        <v>24</v>
      </c>
      <c r="G50" s="10"/>
      <c r="H50" s="10">
        <v>5</v>
      </c>
      <c r="I50" s="10">
        <v>5</v>
      </c>
      <c r="J50" s="10">
        <v>5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8"/>
      <c r="X50" s="8"/>
    </row>
    <row r="51" spans="1:24" ht="15.75" customHeight="1">
      <c r="A51" s="38"/>
      <c r="B51" s="39" t="s">
        <v>223</v>
      </c>
      <c r="C51" s="85" t="s">
        <v>137</v>
      </c>
      <c r="D51" s="41">
        <v>1000</v>
      </c>
      <c r="E51" s="66">
        <v>5000</v>
      </c>
      <c r="F51" s="10" t="s">
        <v>24</v>
      </c>
      <c r="G51" s="10"/>
      <c r="H51" s="10">
        <v>5</v>
      </c>
      <c r="I51" s="10">
        <v>5</v>
      </c>
      <c r="J51" s="10">
        <v>5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8"/>
      <c r="X51" s="8"/>
    </row>
    <row r="52" spans="1:24" ht="15.75" customHeight="1">
      <c r="A52" s="38"/>
      <c r="B52" s="86" t="s">
        <v>177</v>
      </c>
      <c r="C52" s="44" t="s">
        <v>224</v>
      </c>
      <c r="D52" s="41">
        <v>8000</v>
      </c>
      <c r="E52" s="66">
        <v>48000</v>
      </c>
      <c r="F52" s="10" t="s">
        <v>24</v>
      </c>
      <c r="G52" s="10"/>
      <c r="H52" s="10"/>
      <c r="I52" s="10">
        <v>6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8"/>
      <c r="X52" s="8"/>
    </row>
    <row r="53" spans="1:24" ht="15.75" customHeight="1">
      <c r="A53" s="38"/>
      <c r="B53" s="87" t="s">
        <v>178</v>
      </c>
      <c r="C53" s="44" t="s">
        <v>183</v>
      </c>
      <c r="D53" s="41">
        <v>2000</v>
      </c>
      <c r="E53" s="66">
        <v>28000</v>
      </c>
      <c r="F53" s="10" t="s">
        <v>24</v>
      </c>
      <c r="G53" s="10"/>
      <c r="H53" s="10">
        <v>14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8"/>
      <c r="X53" s="8"/>
    </row>
    <row r="54" spans="1:24" ht="15.75" customHeight="1">
      <c r="A54" s="38"/>
      <c r="B54" s="87" t="s">
        <v>179</v>
      </c>
      <c r="C54" s="44" t="s">
        <v>180</v>
      </c>
      <c r="D54" s="41">
        <v>2000</v>
      </c>
      <c r="E54" s="66">
        <v>14000</v>
      </c>
      <c r="F54" s="10" t="s">
        <v>24</v>
      </c>
      <c r="G54" s="10"/>
      <c r="H54" s="10">
        <v>7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8"/>
      <c r="X54" s="8"/>
    </row>
    <row r="55" spans="1:24" ht="15.75" customHeight="1">
      <c r="A55" s="38"/>
      <c r="B55" s="87" t="s">
        <v>181</v>
      </c>
      <c r="C55" s="44" t="s">
        <v>180</v>
      </c>
      <c r="D55" s="41">
        <v>1500</v>
      </c>
      <c r="E55" s="66">
        <v>10500</v>
      </c>
      <c r="F55" s="10" t="s">
        <v>24</v>
      </c>
      <c r="G55" s="10"/>
      <c r="H55" s="10">
        <v>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8"/>
      <c r="X55" s="8"/>
    </row>
    <row r="56" spans="1:24" ht="15.75" customHeight="1">
      <c r="A56" s="38"/>
      <c r="B56" s="88" t="s">
        <v>182</v>
      </c>
      <c r="C56" s="44" t="s">
        <v>180</v>
      </c>
      <c r="D56" s="41">
        <v>1500</v>
      </c>
      <c r="E56" s="66">
        <v>10500</v>
      </c>
      <c r="F56" s="10" t="s">
        <v>24</v>
      </c>
      <c r="G56" s="10"/>
      <c r="H56" s="10">
        <v>7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8"/>
      <c r="X56" s="8"/>
    </row>
    <row r="57" spans="1:24" ht="15.75" customHeight="1">
      <c r="A57" s="38"/>
      <c r="B57" s="39" t="s">
        <v>225</v>
      </c>
      <c r="C57" s="43" t="s">
        <v>218</v>
      </c>
      <c r="D57" s="42">
        <v>500</v>
      </c>
      <c r="E57" s="68">
        <v>3000</v>
      </c>
      <c r="F57" s="10" t="s">
        <v>23</v>
      </c>
      <c r="G57" s="10"/>
      <c r="H57" s="10">
        <v>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8"/>
      <c r="X57" s="8"/>
    </row>
    <row r="58" spans="1:24" ht="15.75" customHeight="1">
      <c r="A58" s="38"/>
      <c r="B58" s="90" t="s">
        <v>186</v>
      </c>
      <c r="C58" s="44" t="s">
        <v>185</v>
      </c>
      <c r="D58" s="41">
        <v>2</v>
      </c>
      <c r="E58" s="66">
        <v>2000</v>
      </c>
      <c r="F58" s="10" t="s">
        <v>23</v>
      </c>
      <c r="G58" s="10"/>
      <c r="H58" s="10">
        <v>1000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8"/>
      <c r="X58" s="8"/>
    </row>
    <row r="59" spans="1:24" ht="15.75" customHeight="1">
      <c r="A59" s="38"/>
      <c r="B59" s="90" t="s">
        <v>184</v>
      </c>
      <c r="C59" s="44" t="s">
        <v>187</v>
      </c>
      <c r="D59" s="41">
        <v>100</v>
      </c>
      <c r="E59" s="66">
        <v>2400</v>
      </c>
      <c r="F59" s="10" t="s">
        <v>23</v>
      </c>
      <c r="G59" s="10"/>
      <c r="H59" s="10">
        <v>24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8"/>
      <c r="X59" s="8"/>
    </row>
    <row r="60" spans="1:24" ht="15.75" customHeight="1">
      <c r="A60" s="38"/>
      <c r="B60" s="90" t="s">
        <v>188</v>
      </c>
      <c r="C60" s="44" t="s">
        <v>189</v>
      </c>
      <c r="D60" s="41">
        <v>200</v>
      </c>
      <c r="E60" s="66">
        <v>1000</v>
      </c>
      <c r="F60" s="10" t="s">
        <v>23</v>
      </c>
      <c r="G60" s="10"/>
      <c r="H60" s="10">
        <v>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8"/>
      <c r="X60" s="8"/>
    </row>
    <row r="61" spans="1:24" ht="15.75" customHeight="1">
      <c r="A61" s="38"/>
      <c r="B61" s="90" t="s">
        <v>226</v>
      </c>
      <c r="C61" s="44" t="s">
        <v>25</v>
      </c>
      <c r="D61" s="41">
        <v>300</v>
      </c>
      <c r="E61" s="66">
        <v>3000</v>
      </c>
      <c r="F61" s="10" t="s">
        <v>23</v>
      </c>
      <c r="G61" s="10"/>
      <c r="H61" s="10"/>
      <c r="I61" s="10"/>
      <c r="J61" s="10">
        <v>10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8"/>
      <c r="X61" s="8"/>
    </row>
    <row r="62" spans="1:24" ht="15.75" customHeight="1">
      <c r="A62" s="38"/>
      <c r="B62" s="89" t="s">
        <v>190</v>
      </c>
      <c r="C62" s="44" t="s">
        <v>191</v>
      </c>
      <c r="D62" s="41">
        <v>2500</v>
      </c>
      <c r="E62" s="66">
        <v>2500</v>
      </c>
      <c r="F62" s="10" t="s">
        <v>23</v>
      </c>
      <c r="G62" s="10"/>
      <c r="H62" s="10">
        <v>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8"/>
      <c r="X62" s="8"/>
    </row>
    <row r="63" spans="1:24" ht="15.75" customHeight="1">
      <c r="A63" s="38"/>
      <c r="B63" s="86" t="s">
        <v>192</v>
      </c>
      <c r="C63" s="44" t="s">
        <v>70</v>
      </c>
      <c r="D63" s="41">
        <v>300</v>
      </c>
      <c r="E63" s="66">
        <v>6000</v>
      </c>
      <c r="F63" s="10" t="s">
        <v>23</v>
      </c>
      <c r="G63" s="10"/>
      <c r="H63" s="10">
        <v>20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8"/>
      <c r="X63" s="8"/>
    </row>
    <row r="64" spans="1:24" ht="15.75" customHeight="1">
      <c r="A64" s="38"/>
      <c r="B64" s="86" t="s">
        <v>193</v>
      </c>
      <c r="C64" s="44" t="s">
        <v>70</v>
      </c>
      <c r="D64" s="41">
        <v>150</v>
      </c>
      <c r="E64" s="66">
        <v>3000</v>
      </c>
      <c r="F64" s="10" t="s">
        <v>23</v>
      </c>
      <c r="G64" s="10"/>
      <c r="H64" s="10"/>
      <c r="I64" s="10">
        <v>20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8"/>
      <c r="X64" s="8"/>
    </row>
    <row r="65" spans="1:24" ht="15.75" customHeight="1">
      <c r="A65" s="38"/>
      <c r="B65" s="86" t="s">
        <v>194</v>
      </c>
      <c r="C65" s="44" t="s">
        <v>136</v>
      </c>
      <c r="D65" s="41">
        <v>500</v>
      </c>
      <c r="E65" s="66">
        <v>5000</v>
      </c>
      <c r="F65" s="10" t="s">
        <v>23</v>
      </c>
      <c r="G65" s="10"/>
      <c r="H65" s="10"/>
      <c r="I65" s="10">
        <v>10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8"/>
      <c r="X65" s="8"/>
    </row>
    <row r="66" spans="1:24" ht="15.75" customHeight="1">
      <c r="A66" s="38"/>
      <c r="B66" s="86" t="s">
        <v>195</v>
      </c>
      <c r="C66" s="44" t="s">
        <v>82</v>
      </c>
      <c r="D66" s="41">
        <v>400</v>
      </c>
      <c r="E66" s="66">
        <v>1200</v>
      </c>
      <c r="F66" s="10" t="s">
        <v>23</v>
      </c>
      <c r="G66" s="10"/>
      <c r="H66" s="10"/>
      <c r="I66" s="10">
        <v>3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8"/>
      <c r="X66" s="8"/>
    </row>
    <row r="67" spans="1:24" ht="15.75" customHeight="1">
      <c r="A67" s="38"/>
      <c r="B67" s="86" t="s">
        <v>227</v>
      </c>
      <c r="C67" s="44" t="s">
        <v>231</v>
      </c>
      <c r="D67" s="41">
        <v>600</v>
      </c>
      <c r="E67" s="66">
        <v>600</v>
      </c>
      <c r="F67" s="10" t="s">
        <v>23</v>
      </c>
      <c r="G67" s="10"/>
      <c r="H67" s="10">
        <v>2</v>
      </c>
      <c r="I67" s="10">
        <v>2</v>
      </c>
      <c r="J67" s="10">
        <v>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8"/>
      <c r="X67" s="8"/>
    </row>
    <row r="68" spans="1:24" ht="15.75" customHeight="1">
      <c r="A68" s="38"/>
      <c r="B68" s="86" t="s">
        <v>196</v>
      </c>
      <c r="C68" s="44" t="s">
        <v>70</v>
      </c>
      <c r="D68" s="41">
        <v>120</v>
      </c>
      <c r="E68" s="66">
        <v>2400</v>
      </c>
      <c r="F68" s="10" t="s">
        <v>23</v>
      </c>
      <c r="G68" s="10"/>
      <c r="H68" s="10"/>
      <c r="I68" s="10">
        <v>20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8"/>
      <c r="X68" s="8"/>
    </row>
    <row r="69" spans="1:24" ht="15.75" customHeight="1">
      <c r="A69" s="38"/>
      <c r="B69" s="86" t="s">
        <v>197</v>
      </c>
      <c r="C69" s="44" t="s">
        <v>137</v>
      </c>
      <c r="D69" s="41">
        <v>500</v>
      </c>
      <c r="E69" s="66">
        <v>2500</v>
      </c>
      <c r="F69" s="10" t="s">
        <v>23</v>
      </c>
      <c r="G69" s="10"/>
      <c r="H69" s="10"/>
      <c r="I69" s="10">
        <v>5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8"/>
      <c r="X69" s="8"/>
    </row>
    <row r="70" spans="1:24" ht="15.75" customHeight="1">
      <c r="A70" s="38"/>
      <c r="B70" s="86" t="s">
        <v>201</v>
      </c>
      <c r="C70" s="44" t="s">
        <v>189</v>
      </c>
      <c r="D70" s="41">
        <v>300</v>
      </c>
      <c r="E70" s="66">
        <v>1500</v>
      </c>
      <c r="F70" s="10" t="s">
        <v>23</v>
      </c>
      <c r="G70" s="10"/>
      <c r="H70" s="10"/>
      <c r="I70" s="10">
        <v>24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8"/>
      <c r="X70" s="8"/>
    </row>
    <row r="71" spans="1:24" ht="15.75" customHeight="1">
      <c r="A71" s="38"/>
      <c r="B71" s="86" t="s">
        <v>198</v>
      </c>
      <c r="C71" s="44" t="s">
        <v>166</v>
      </c>
      <c r="D71" s="41">
        <v>5000</v>
      </c>
      <c r="E71" s="66">
        <v>5000</v>
      </c>
      <c r="F71" s="10" t="s">
        <v>24</v>
      </c>
      <c r="G71" s="10"/>
      <c r="H71" s="10"/>
      <c r="I71" s="10">
        <v>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8"/>
      <c r="X71" s="8"/>
    </row>
    <row r="72" spans="1:24" ht="15.75" customHeight="1">
      <c r="A72" s="38"/>
      <c r="B72" s="86" t="s">
        <v>199</v>
      </c>
      <c r="C72" s="44" t="s">
        <v>136</v>
      </c>
      <c r="D72" s="41">
        <v>200</v>
      </c>
      <c r="E72" s="66">
        <v>2000</v>
      </c>
      <c r="F72" s="10" t="s">
        <v>23</v>
      </c>
      <c r="G72" s="10"/>
      <c r="H72" s="10"/>
      <c r="I72" s="10">
        <v>10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8"/>
      <c r="X72" s="8"/>
    </row>
    <row r="73" spans="1:24" ht="15.75" customHeight="1">
      <c r="A73" s="38"/>
      <c r="B73" s="86" t="s">
        <v>202</v>
      </c>
      <c r="C73" s="44" t="s">
        <v>166</v>
      </c>
      <c r="D73" s="41">
        <v>20000</v>
      </c>
      <c r="E73" s="66">
        <v>20000</v>
      </c>
      <c r="F73" s="10" t="s">
        <v>24</v>
      </c>
      <c r="G73" s="10"/>
      <c r="H73" s="10"/>
      <c r="I73" s="10">
        <v>1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8"/>
      <c r="X73" s="8"/>
    </row>
    <row r="74" spans="1:24" ht="15.75" customHeight="1">
      <c r="A74" s="38"/>
      <c r="B74" s="86" t="s">
        <v>200</v>
      </c>
      <c r="C74" s="44" t="s">
        <v>166</v>
      </c>
      <c r="D74" s="41">
        <v>20000</v>
      </c>
      <c r="E74" s="66">
        <v>20000</v>
      </c>
      <c r="F74" s="10" t="s">
        <v>24</v>
      </c>
      <c r="G74" s="10"/>
      <c r="H74" s="10"/>
      <c r="I74" s="10">
        <v>1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8"/>
      <c r="X74" s="8"/>
    </row>
    <row r="75" spans="1:24" ht="15.75" customHeight="1">
      <c r="A75" s="38"/>
      <c r="B75" s="86" t="s">
        <v>203</v>
      </c>
      <c r="C75" s="44" t="s">
        <v>69</v>
      </c>
      <c r="D75" s="41">
        <v>3000</v>
      </c>
      <c r="E75" s="66">
        <v>6000</v>
      </c>
      <c r="F75" s="10" t="s">
        <v>24</v>
      </c>
      <c r="G75" s="10"/>
      <c r="H75" s="10"/>
      <c r="I75" s="10">
        <v>2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8"/>
      <c r="X75" s="8"/>
    </row>
    <row r="76" spans="1:24" ht="15.75" customHeight="1">
      <c r="A76" s="38"/>
      <c r="B76" s="86" t="s">
        <v>204</v>
      </c>
      <c r="C76" s="44" t="s">
        <v>69</v>
      </c>
      <c r="D76" s="41">
        <v>3000</v>
      </c>
      <c r="E76" s="66">
        <v>6000</v>
      </c>
      <c r="F76" s="10" t="s">
        <v>24</v>
      </c>
      <c r="G76" s="10"/>
      <c r="H76" s="10"/>
      <c r="I76" s="10">
        <v>2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8"/>
      <c r="X76" s="8"/>
    </row>
    <row r="77" spans="1:24" ht="15.75" customHeight="1">
      <c r="A77" s="38"/>
      <c r="B77" s="95" t="s">
        <v>232</v>
      </c>
      <c r="C77" s="44" t="s">
        <v>256</v>
      </c>
      <c r="D77" s="41">
        <v>1500</v>
      </c>
      <c r="E77" s="66">
        <f>H77*D77</f>
        <v>45000</v>
      </c>
      <c r="F77" s="10" t="s">
        <v>24</v>
      </c>
      <c r="G77" s="10"/>
      <c r="H77" s="44">
        <v>30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8"/>
      <c r="X77" s="8"/>
    </row>
    <row r="78" spans="1:24" ht="15.75" customHeight="1">
      <c r="A78" s="38"/>
      <c r="B78" s="95" t="s">
        <v>233</v>
      </c>
      <c r="C78" s="44" t="s">
        <v>255</v>
      </c>
      <c r="D78" s="41">
        <v>300</v>
      </c>
      <c r="E78" s="66">
        <f t="shared" ref="E78:E104" si="0">H78*D78</f>
        <v>3000</v>
      </c>
      <c r="F78" s="10" t="s">
        <v>24</v>
      </c>
      <c r="G78" s="10"/>
      <c r="H78" s="44">
        <v>10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8"/>
      <c r="X78" s="8"/>
    </row>
    <row r="79" spans="1:24" ht="15.75" customHeight="1">
      <c r="A79" s="38"/>
      <c r="B79" s="95" t="s">
        <v>246</v>
      </c>
      <c r="C79" s="44" t="s">
        <v>255</v>
      </c>
      <c r="D79" s="41">
        <v>300</v>
      </c>
      <c r="E79" s="66">
        <f t="shared" si="0"/>
        <v>3000</v>
      </c>
      <c r="F79" s="10" t="s">
        <v>24</v>
      </c>
      <c r="G79" s="10"/>
      <c r="H79" s="44">
        <v>10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8"/>
      <c r="X79" s="8"/>
    </row>
    <row r="80" spans="1:24" ht="15.75" customHeight="1">
      <c r="A80" s="38"/>
      <c r="B80" s="95" t="s">
        <v>234</v>
      </c>
      <c r="C80" s="44" t="s">
        <v>256</v>
      </c>
      <c r="D80" s="41">
        <v>50</v>
      </c>
      <c r="E80" s="66">
        <f t="shared" si="0"/>
        <v>1500</v>
      </c>
      <c r="F80" s="10" t="s">
        <v>24</v>
      </c>
      <c r="G80" s="10"/>
      <c r="H80" s="44">
        <v>30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8"/>
      <c r="X80" s="8"/>
    </row>
    <row r="81" spans="1:24" ht="15.75" customHeight="1">
      <c r="A81" s="38"/>
      <c r="B81" s="95" t="s">
        <v>235</v>
      </c>
      <c r="C81" s="44" t="s">
        <v>136</v>
      </c>
      <c r="D81" s="41">
        <v>150</v>
      </c>
      <c r="E81" s="66">
        <f t="shared" si="0"/>
        <v>1500</v>
      </c>
      <c r="F81" s="10" t="s">
        <v>24</v>
      </c>
      <c r="G81" s="10"/>
      <c r="H81" s="44">
        <v>10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8"/>
      <c r="X81" s="8"/>
    </row>
    <row r="82" spans="1:24" ht="15.75" customHeight="1">
      <c r="A82" s="38"/>
      <c r="B82" s="96" t="s">
        <v>257</v>
      </c>
      <c r="C82" s="44" t="s">
        <v>258</v>
      </c>
      <c r="D82" s="41">
        <v>100</v>
      </c>
      <c r="E82" s="66">
        <f t="shared" si="0"/>
        <v>2000</v>
      </c>
      <c r="F82" s="10" t="s">
        <v>24</v>
      </c>
      <c r="G82" s="10"/>
      <c r="H82" s="44">
        <v>20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8"/>
      <c r="X82" s="8"/>
    </row>
    <row r="83" spans="1:24" ht="15.75" customHeight="1">
      <c r="A83" s="38"/>
      <c r="B83" s="95" t="s">
        <v>247</v>
      </c>
      <c r="C83" s="44" t="s">
        <v>207</v>
      </c>
      <c r="D83" s="41">
        <v>100</v>
      </c>
      <c r="E83" s="66">
        <f t="shared" si="0"/>
        <v>2000</v>
      </c>
      <c r="F83" s="10" t="s">
        <v>24</v>
      </c>
      <c r="G83" s="10"/>
      <c r="H83" s="44">
        <v>20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8"/>
      <c r="X83" s="8"/>
    </row>
    <row r="84" spans="1:24" ht="15.75" customHeight="1">
      <c r="A84" s="38"/>
      <c r="B84" s="96" t="s">
        <v>248</v>
      </c>
      <c r="C84" s="44" t="s">
        <v>259</v>
      </c>
      <c r="D84" s="41">
        <v>100</v>
      </c>
      <c r="E84" s="66">
        <f t="shared" si="0"/>
        <v>5000</v>
      </c>
      <c r="F84" s="10" t="s">
        <v>24</v>
      </c>
      <c r="G84" s="10"/>
      <c r="H84" s="44">
        <v>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8"/>
      <c r="X84" s="8"/>
    </row>
    <row r="85" spans="1:24" ht="15.75" customHeight="1">
      <c r="A85" s="38"/>
      <c r="B85" s="96" t="s">
        <v>249</v>
      </c>
      <c r="C85" s="44" t="s">
        <v>259</v>
      </c>
      <c r="D85" s="41">
        <v>100</v>
      </c>
      <c r="E85" s="66">
        <f t="shared" si="0"/>
        <v>5000</v>
      </c>
      <c r="F85" s="10" t="s">
        <v>24</v>
      </c>
      <c r="G85" s="10"/>
      <c r="H85" s="44">
        <v>50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8"/>
      <c r="X85" s="8"/>
    </row>
    <row r="86" spans="1:24" ht="15.75" customHeight="1">
      <c r="A86" s="38"/>
      <c r="B86" s="95" t="s">
        <v>236</v>
      </c>
      <c r="C86" s="44" t="s">
        <v>25</v>
      </c>
      <c r="D86" s="41">
        <v>300</v>
      </c>
      <c r="E86" s="66">
        <f t="shared" si="0"/>
        <v>3000</v>
      </c>
      <c r="F86" s="10" t="s">
        <v>24</v>
      </c>
      <c r="G86" s="10"/>
      <c r="H86" s="44">
        <v>10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8"/>
      <c r="X86" s="8"/>
    </row>
    <row r="87" spans="1:24" ht="15.75" customHeight="1">
      <c r="A87" s="38"/>
      <c r="B87" s="95" t="s">
        <v>237</v>
      </c>
      <c r="C87" s="44" t="s">
        <v>25</v>
      </c>
      <c r="D87" s="41">
        <v>300</v>
      </c>
      <c r="E87" s="66">
        <f t="shared" si="0"/>
        <v>3000</v>
      </c>
      <c r="F87" s="10" t="s">
        <v>24</v>
      </c>
      <c r="G87" s="10"/>
      <c r="H87" s="44">
        <v>10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</row>
    <row r="88" spans="1:24" ht="15.75" customHeight="1">
      <c r="A88" s="38"/>
      <c r="B88" s="95" t="s">
        <v>238</v>
      </c>
      <c r="C88" s="44" t="s">
        <v>160</v>
      </c>
      <c r="D88" s="41">
        <v>5</v>
      </c>
      <c r="E88" s="66">
        <f t="shared" si="0"/>
        <v>500</v>
      </c>
      <c r="F88" s="10" t="s">
        <v>24</v>
      </c>
      <c r="G88" s="10"/>
      <c r="H88" s="44">
        <v>100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8"/>
      <c r="X88" s="8"/>
    </row>
    <row r="89" spans="1:24" ht="15.75" customHeight="1">
      <c r="A89" s="38"/>
      <c r="B89" s="95" t="s">
        <v>260</v>
      </c>
      <c r="C89" s="44" t="s">
        <v>160</v>
      </c>
      <c r="D89" s="41">
        <v>30</v>
      </c>
      <c r="E89" s="66">
        <f t="shared" si="0"/>
        <v>3000</v>
      </c>
      <c r="F89" s="10" t="s">
        <v>24</v>
      </c>
      <c r="G89" s="10"/>
      <c r="H89" s="44">
        <v>100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8"/>
      <c r="X89" s="8"/>
    </row>
    <row r="90" spans="1:24" ht="15.75" customHeight="1">
      <c r="A90" s="38"/>
      <c r="B90" s="96" t="s">
        <v>250</v>
      </c>
      <c r="C90" s="44" t="s">
        <v>261</v>
      </c>
      <c r="D90" s="41">
        <v>5</v>
      </c>
      <c r="E90" s="66">
        <f t="shared" si="0"/>
        <v>2500</v>
      </c>
      <c r="F90" s="10" t="s">
        <v>24</v>
      </c>
      <c r="G90" s="10"/>
      <c r="H90" s="44">
        <v>500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8"/>
      <c r="X90" s="8"/>
    </row>
    <row r="91" spans="1:24" ht="15.75" customHeight="1">
      <c r="A91" s="38"/>
      <c r="B91" s="95" t="s">
        <v>251</v>
      </c>
      <c r="C91" s="44" t="s">
        <v>135</v>
      </c>
      <c r="D91" s="41">
        <v>350</v>
      </c>
      <c r="E91" s="66">
        <f t="shared" si="0"/>
        <v>17500</v>
      </c>
      <c r="F91" s="10" t="s">
        <v>24</v>
      </c>
      <c r="G91" s="10"/>
      <c r="H91" s="44">
        <v>50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8"/>
      <c r="X91" s="8"/>
    </row>
    <row r="92" spans="1:24" ht="15.75" customHeight="1">
      <c r="A92" s="38"/>
      <c r="B92" s="95" t="s">
        <v>252</v>
      </c>
      <c r="C92" s="44" t="s">
        <v>135</v>
      </c>
      <c r="D92" s="41">
        <v>350</v>
      </c>
      <c r="E92" s="66">
        <f t="shared" si="0"/>
        <v>17500</v>
      </c>
      <c r="F92" s="10" t="s">
        <v>24</v>
      </c>
      <c r="G92" s="10"/>
      <c r="H92" s="44">
        <v>50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8"/>
      <c r="X92" s="8"/>
    </row>
    <row r="93" spans="1:24" ht="15.75" customHeight="1">
      <c r="A93" s="38"/>
      <c r="B93" s="95" t="s">
        <v>239</v>
      </c>
      <c r="C93" s="44" t="s">
        <v>160</v>
      </c>
      <c r="D93" s="41">
        <v>100</v>
      </c>
      <c r="E93" s="66">
        <f t="shared" si="0"/>
        <v>10000</v>
      </c>
      <c r="F93" s="10" t="s">
        <v>24</v>
      </c>
      <c r="G93" s="10"/>
      <c r="H93" s="44">
        <v>100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8"/>
      <c r="X93" s="8"/>
    </row>
    <row r="94" spans="1:24" ht="15.75" customHeight="1">
      <c r="A94" s="38"/>
      <c r="B94" s="96" t="s">
        <v>240</v>
      </c>
      <c r="C94" s="44" t="s">
        <v>135</v>
      </c>
      <c r="D94" s="41">
        <v>100</v>
      </c>
      <c r="E94" s="66">
        <f t="shared" si="0"/>
        <v>5000</v>
      </c>
      <c r="F94" s="10" t="s">
        <v>24</v>
      </c>
      <c r="G94" s="10"/>
      <c r="H94" s="44">
        <v>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8"/>
      <c r="X94" s="8"/>
    </row>
    <row r="95" spans="1:24" ht="15.75" customHeight="1">
      <c r="A95" s="38"/>
      <c r="B95" s="96" t="s">
        <v>241</v>
      </c>
      <c r="C95" s="44" t="s">
        <v>135</v>
      </c>
      <c r="D95" s="41">
        <v>100</v>
      </c>
      <c r="E95" s="66">
        <f t="shared" si="0"/>
        <v>5000</v>
      </c>
      <c r="F95" s="10" t="s">
        <v>24</v>
      </c>
      <c r="G95" s="10"/>
      <c r="H95" s="44">
        <v>50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8"/>
      <c r="X95" s="8"/>
    </row>
    <row r="96" spans="1:24" ht="15.75" customHeight="1">
      <c r="A96" s="38"/>
      <c r="B96" s="95" t="s">
        <v>242</v>
      </c>
      <c r="C96" s="44" t="s">
        <v>135</v>
      </c>
      <c r="D96" s="41">
        <v>100</v>
      </c>
      <c r="E96" s="66">
        <f t="shared" si="0"/>
        <v>5000</v>
      </c>
      <c r="F96" s="10" t="s">
        <v>24</v>
      </c>
      <c r="G96" s="10"/>
      <c r="H96" s="44">
        <v>50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8"/>
      <c r="X96" s="8"/>
    </row>
    <row r="97" spans="1:24" ht="15.75" customHeight="1">
      <c r="A97" s="38"/>
      <c r="B97" s="95" t="s">
        <v>243</v>
      </c>
      <c r="C97" s="44" t="s">
        <v>70</v>
      </c>
      <c r="D97" s="41">
        <v>250</v>
      </c>
      <c r="E97" s="66">
        <f t="shared" si="0"/>
        <v>5000</v>
      </c>
      <c r="F97" s="10" t="s">
        <v>24</v>
      </c>
      <c r="G97" s="10"/>
      <c r="H97" s="44">
        <v>20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8"/>
      <c r="X97" s="8"/>
    </row>
    <row r="98" spans="1:24" ht="15.75" customHeight="1">
      <c r="A98" s="38"/>
      <c r="B98" s="95" t="s">
        <v>244</v>
      </c>
      <c r="C98" s="44" t="s">
        <v>256</v>
      </c>
      <c r="D98" s="41">
        <v>100</v>
      </c>
      <c r="E98" s="66">
        <f t="shared" si="0"/>
        <v>3000</v>
      </c>
      <c r="F98" s="10" t="s">
        <v>24</v>
      </c>
      <c r="G98" s="10"/>
      <c r="H98" s="44">
        <v>30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8"/>
      <c r="X98" s="8"/>
    </row>
    <row r="99" spans="1:24" ht="15.75" customHeight="1">
      <c r="A99" s="38"/>
      <c r="B99" s="95" t="s">
        <v>245</v>
      </c>
      <c r="C99" s="44" t="s">
        <v>256</v>
      </c>
      <c r="D99" s="41">
        <v>100</v>
      </c>
      <c r="E99" s="66">
        <f t="shared" si="0"/>
        <v>3000</v>
      </c>
      <c r="F99" s="10" t="s">
        <v>24</v>
      </c>
      <c r="G99" s="10"/>
      <c r="H99" s="44">
        <v>30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8"/>
      <c r="X99" s="8"/>
    </row>
    <row r="100" spans="1:24" ht="15.75" customHeight="1">
      <c r="A100" s="38"/>
      <c r="B100" s="95" t="s">
        <v>262</v>
      </c>
      <c r="C100" s="44" t="s">
        <v>263</v>
      </c>
      <c r="D100" s="41">
        <v>400</v>
      </c>
      <c r="E100" s="66">
        <f t="shared" si="0"/>
        <v>4000</v>
      </c>
      <c r="F100" s="10" t="s">
        <v>24</v>
      </c>
      <c r="G100" s="10"/>
      <c r="H100" s="44">
        <v>10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8"/>
      <c r="X100" s="8"/>
    </row>
    <row r="101" spans="1:24" ht="15.75" customHeight="1">
      <c r="A101" s="38"/>
      <c r="B101" s="95" t="s">
        <v>253</v>
      </c>
      <c r="C101" s="44" t="s">
        <v>136</v>
      </c>
      <c r="D101" s="41">
        <v>700</v>
      </c>
      <c r="E101" s="66">
        <f t="shared" si="0"/>
        <v>7000</v>
      </c>
      <c r="F101" s="10" t="s">
        <v>24</v>
      </c>
      <c r="G101" s="10"/>
      <c r="H101" s="44">
        <v>10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8"/>
      <c r="X101" s="8"/>
    </row>
    <row r="102" spans="1:24" ht="15.75" customHeight="1">
      <c r="A102" s="38"/>
      <c r="B102" s="86" t="s">
        <v>254</v>
      </c>
      <c r="C102" s="44" t="s">
        <v>136</v>
      </c>
      <c r="D102" s="41">
        <v>400</v>
      </c>
      <c r="E102" s="66">
        <f t="shared" si="0"/>
        <v>4000</v>
      </c>
      <c r="F102" s="10" t="s">
        <v>24</v>
      </c>
      <c r="G102" s="10"/>
      <c r="H102" s="44">
        <v>10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8"/>
      <c r="X102" s="8"/>
    </row>
    <row r="103" spans="1:24" ht="15.75" customHeight="1">
      <c r="A103" s="38"/>
      <c r="B103" s="86" t="s">
        <v>265</v>
      </c>
      <c r="C103" s="44" t="s">
        <v>76</v>
      </c>
      <c r="D103" s="41">
        <v>600</v>
      </c>
      <c r="E103" s="66">
        <f t="shared" si="0"/>
        <v>18000</v>
      </c>
      <c r="F103" s="10" t="s">
        <v>24</v>
      </c>
      <c r="G103" s="10"/>
      <c r="H103" s="44">
        <v>30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8"/>
      <c r="X103" s="8"/>
    </row>
    <row r="104" spans="1:24" ht="15.75" customHeight="1">
      <c r="A104" s="38"/>
      <c r="B104" s="86" t="s">
        <v>264</v>
      </c>
      <c r="C104" s="44" t="s">
        <v>136</v>
      </c>
      <c r="D104" s="41">
        <v>200</v>
      </c>
      <c r="E104" s="66">
        <f t="shared" si="0"/>
        <v>2000</v>
      </c>
      <c r="F104" s="10" t="s">
        <v>24</v>
      </c>
      <c r="G104" s="10"/>
      <c r="H104" s="44">
        <v>10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8"/>
      <c r="X104" s="8"/>
    </row>
    <row r="105" spans="1:24" ht="15.75" customHeight="1">
      <c r="A105" s="38"/>
      <c r="B105" s="86" t="s">
        <v>273</v>
      </c>
      <c r="C105" s="44" t="s">
        <v>274</v>
      </c>
      <c r="D105" s="41">
        <v>400</v>
      </c>
      <c r="E105" s="66">
        <v>40000</v>
      </c>
      <c r="F105" s="10" t="s">
        <v>23</v>
      </c>
      <c r="G105" s="10"/>
      <c r="H105" s="104">
        <v>100</v>
      </c>
      <c r="I105" s="10">
        <v>100</v>
      </c>
      <c r="J105" s="10">
        <v>100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8"/>
      <c r="X105" s="8"/>
    </row>
    <row r="106" spans="1:24" ht="15.75" customHeight="1">
      <c r="A106" s="38"/>
      <c r="B106" s="58" t="s">
        <v>26</v>
      </c>
      <c r="C106" s="59"/>
      <c r="D106" s="46"/>
      <c r="E106" s="6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8"/>
      <c r="X106" s="8"/>
    </row>
    <row r="107" spans="1:24" ht="15.75" customHeight="1">
      <c r="A107" s="38"/>
      <c r="B107" s="47" t="s">
        <v>60</v>
      </c>
      <c r="C107" s="44" t="s">
        <v>80</v>
      </c>
      <c r="D107" s="42">
        <v>10000</v>
      </c>
      <c r="E107" s="68">
        <v>20000</v>
      </c>
      <c r="F107" s="10" t="s">
        <v>24</v>
      </c>
      <c r="G107" s="10"/>
      <c r="H107" s="10">
        <v>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8"/>
      <c r="X107" s="8"/>
    </row>
    <row r="108" spans="1:24" ht="15.75" customHeight="1">
      <c r="A108" s="38"/>
      <c r="B108" s="47" t="s">
        <v>61</v>
      </c>
      <c r="C108" s="44" t="s">
        <v>81</v>
      </c>
      <c r="D108" s="42">
        <v>10000</v>
      </c>
      <c r="E108" s="68">
        <v>50000</v>
      </c>
      <c r="F108" s="10" t="s">
        <v>24</v>
      </c>
      <c r="G108" s="10"/>
      <c r="H108" s="10">
        <v>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8"/>
      <c r="X108" s="8"/>
    </row>
    <row r="109" spans="1:24" ht="15.75" customHeight="1">
      <c r="A109" s="38"/>
      <c r="B109" s="60" t="s">
        <v>62</v>
      </c>
      <c r="C109" s="44" t="s">
        <v>82</v>
      </c>
      <c r="D109" s="42">
        <v>45000</v>
      </c>
      <c r="E109" s="68">
        <v>135000</v>
      </c>
      <c r="F109" s="10" t="s">
        <v>24</v>
      </c>
      <c r="G109" s="10"/>
      <c r="H109" s="10">
        <v>3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8"/>
      <c r="X109" s="8"/>
    </row>
    <row r="110" spans="1:24" ht="15.75" customHeight="1">
      <c r="A110" s="38"/>
      <c r="B110" s="60" t="s">
        <v>63</v>
      </c>
      <c r="C110" s="44" t="s">
        <v>83</v>
      </c>
      <c r="D110" s="42">
        <v>8000</v>
      </c>
      <c r="E110" s="68">
        <v>48000</v>
      </c>
      <c r="F110" s="10" t="s">
        <v>24</v>
      </c>
      <c r="G110" s="10"/>
      <c r="H110" s="10">
        <v>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8"/>
      <c r="X110" s="8"/>
    </row>
    <row r="111" spans="1:24" ht="15.75" customHeight="1">
      <c r="A111" s="38"/>
      <c r="B111" s="60" t="s">
        <v>64</v>
      </c>
      <c r="C111" s="44" t="s">
        <v>84</v>
      </c>
      <c r="D111" s="42">
        <v>2000</v>
      </c>
      <c r="E111" s="68">
        <v>10000</v>
      </c>
      <c r="F111" s="10" t="s">
        <v>24</v>
      </c>
      <c r="G111" s="10"/>
      <c r="H111" s="10">
        <v>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8"/>
      <c r="X111" s="8"/>
    </row>
    <row r="112" spans="1:24" ht="15.75" customHeight="1">
      <c r="A112" s="38"/>
      <c r="B112" s="60" t="s">
        <v>65</v>
      </c>
      <c r="C112" s="44" t="s">
        <v>25</v>
      </c>
      <c r="D112" s="42">
        <v>500</v>
      </c>
      <c r="E112" s="68">
        <v>5000</v>
      </c>
      <c r="F112" s="10" t="s">
        <v>24</v>
      </c>
      <c r="G112" s="10"/>
      <c r="H112" s="10">
        <v>10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8"/>
      <c r="X112" s="8"/>
    </row>
    <row r="113" spans="1:24" ht="15.75" customHeight="1">
      <c r="A113" s="38"/>
      <c r="B113" s="60" t="s">
        <v>66</v>
      </c>
      <c r="C113" s="44" t="s">
        <v>25</v>
      </c>
      <c r="D113" s="42">
        <v>800</v>
      </c>
      <c r="E113" s="68">
        <v>8000</v>
      </c>
      <c r="F113" s="10" t="s">
        <v>24</v>
      </c>
      <c r="G113" s="10"/>
      <c r="H113" s="10">
        <v>10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8"/>
      <c r="X113" s="8"/>
    </row>
    <row r="114" spans="1:24" ht="15.75" customHeight="1">
      <c r="A114" s="38"/>
      <c r="B114" s="60" t="s">
        <v>67</v>
      </c>
      <c r="C114" s="44" t="s">
        <v>85</v>
      </c>
      <c r="D114" s="42">
        <v>200</v>
      </c>
      <c r="E114" s="68">
        <v>4000</v>
      </c>
      <c r="F114" s="10" t="s">
        <v>24</v>
      </c>
      <c r="G114" s="10"/>
      <c r="H114" s="10">
        <v>20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8"/>
      <c r="X114" s="8"/>
    </row>
    <row r="115" spans="1:24" ht="15.75" customHeight="1">
      <c r="A115" s="38"/>
      <c r="B115" s="47" t="s">
        <v>68</v>
      </c>
      <c r="C115" s="44" t="s">
        <v>86</v>
      </c>
      <c r="D115" s="42">
        <v>10000</v>
      </c>
      <c r="E115" s="68">
        <v>30000</v>
      </c>
      <c r="F115" s="10" t="s">
        <v>24</v>
      </c>
      <c r="G115" s="10"/>
      <c r="H115" s="10">
        <v>3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8"/>
      <c r="X115" s="8"/>
    </row>
    <row r="116" spans="1:24" ht="15.75" customHeight="1">
      <c r="A116" s="38"/>
      <c r="B116" s="45" t="s">
        <v>90</v>
      </c>
      <c r="C116" s="44" t="s">
        <v>87</v>
      </c>
      <c r="D116" s="42">
        <v>30000</v>
      </c>
      <c r="E116" s="68">
        <v>30000</v>
      </c>
      <c r="F116" s="10" t="s">
        <v>24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8"/>
      <c r="X116" s="8"/>
    </row>
    <row r="117" spans="1:24" ht="15.75" customHeight="1">
      <c r="A117" s="38"/>
      <c r="B117" s="45" t="s">
        <v>106</v>
      </c>
      <c r="C117" s="44" t="s">
        <v>134</v>
      </c>
      <c r="D117" s="76">
        <v>1100</v>
      </c>
      <c r="E117" s="77">
        <v>1100</v>
      </c>
      <c r="F117" s="10" t="s">
        <v>24</v>
      </c>
      <c r="G117" s="10"/>
      <c r="H117" s="10">
        <v>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8"/>
      <c r="X117" s="8"/>
    </row>
    <row r="118" spans="1:24" ht="15.75" customHeight="1">
      <c r="A118" s="38"/>
      <c r="B118" s="45" t="s">
        <v>107</v>
      </c>
      <c r="C118" s="45"/>
      <c r="D118" s="76"/>
      <c r="E118" s="77"/>
      <c r="F118" s="10"/>
      <c r="G118" s="10"/>
      <c r="H118" s="37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8"/>
      <c r="X118" s="8"/>
    </row>
    <row r="119" spans="1:24" ht="15.75" customHeight="1">
      <c r="A119" s="38"/>
      <c r="B119" s="45" t="s">
        <v>108</v>
      </c>
      <c r="C119" s="44" t="s">
        <v>73</v>
      </c>
      <c r="D119" s="76">
        <v>1000</v>
      </c>
      <c r="E119" s="77">
        <v>2000</v>
      </c>
      <c r="F119" s="10" t="s">
        <v>24</v>
      </c>
      <c r="G119" s="78"/>
      <c r="H119" s="80">
        <v>2</v>
      </c>
      <c r="I119" s="7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8"/>
      <c r="X119" s="8"/>
    </row>
    <row r="120" spans="1:24" ht="15.75" customHeight="1">
      <c r="A120" s="38"/>
      <c r="B120" s="45" t="s">
        <v>109</v>
      </c>
      <c r="C120" s="45"/>
      <c r="D120" s="76" t="s">
        <v>163</v>
      </c>
      <c r="E120" s="77"/>
      <c r="F120" s="10"/>
      <c r="G120" s="78"/>
      <c r="H120" s="80"/>
      <c r="I120" s="7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8"/>
      <c r="X120" s="8"/>
    </row>
    <row r="121" spans="1:24" ht="15.75" customHeight="1">
      <c r="A121" s="38"/>
      <c r="B121" s="45" t="s">
        <v>110</v>
      </c>
      <c r="C121" s="44" t="s">
        <v>135</v>
      </c>
      <c r="D121" s="76">
        <v>50</v>
      </c>
      <c r="E121" s="77">
        <v>2500</v>
      </c>
      <c r="F121" s="10" t="s">
        <v>24</v>
      </c>
      <c r="G121" s="78"/>
      <c r="H121" s="80">
        <v>50</v>
      </c>
      <c r="I121" s="7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8"/>
      <c r="X121" s="8"/>
    </row>
    <row r="122" spans="1:24" ht="15.75" customHeight="1">
      <c r="A122" s="38"/>
      <c r="B122" s="45" t="s">
        <v>111</v>
      </c>
      <c r="C122" s="44" t="s">
        <v>136</v>
      </c>
      <c r="D122" s="76">
        <v>250</v>
      </c>
      <c r="E122" s="77">
        <v>2500</v>
      </c>
      <c r="F122" s="10" t="s">
        <v>24</v>
      </c>
      <c r="G122" s="78"/>
      <c r="H122" s="80">
        <v>10</v>
      </c>
      <c r="I122" s="7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8"/>
      <c r="X122" s="8"/>
    </row>
    <row r="123" spans="1:24" ht="15.75" customHeight="1">
      <c r="A123" s="38"/>
      <c r="B123" s="45" t="s">
        <v>112</v>
      </c>
      <c r="C123" s="44" t="s">
        <v>137</v>
      </c>
      <c r="D123" s="76">
        <v>300</v>
      </c>
      <c r="E123" s="77">
        <v>1500</v>
      </c>
      <c r="F123" s="10" t="s">
        <v>24</v>
      </c>
      <c r="G123" s="78"/>
      <c r="H123" s="80">
        <v>5</v>
      </c>
      <c r="I123" s="7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8"/>
      <c r="X123" s="8"/>
    </row>
    <row r="124" spans="1:24" ht="15.75" customHeight="1">
      <c r="A124" s="38"/>
      <c r="B124" s="45" t="s">
        <v>113</v>
      </c>
      <c r="C124" s="44" t="s">
        <v>73</v>
      </c>
      <c r="D124" s="76">
        <v>1650</v>
      </c>
      <c r="E124" s="77">
        <v>3300</v>
      </c>
      <c r="F124" s="10" t="s">
        <v>24</v>
      </c>
      <c r="G124" s="78"/>
      <c r="H124" s="80">
        <v>2</v>
      </c>
      <c r="I124" s="7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8"/>
      <c r="X124" s="8"/>
    </row>
    <row r="125" spans="1:24" ht="15.75" customHeight="1">
      <c r="A125" s="38"/>
      <c r="B125" s="45" t="s">
        <v>114</v>
      </c>
      <c r="C125" s="44" t="s">
        <v>73</v>
      </c>
      <c r="D125" s="76">
        <v>1000</v>
      </c>
      <c r="E125" s="77">
        <v>2000</v>
      </c>
      <c r="F125" s="10" t="s">
        <v>24</v>
      </c>
      <c r="G125" s="78"/>
      <c r="H125" s="80">
        <v>2</v>
      </c>
      <c r="I125" s="7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8"/>
      <c r="X125" s="8"/>
    </row>
    <row r="126" spans="1:24" ht="15.75" customHeight="1">
      <c r="A126" s="38"/>
      <c r="B126" s="45" t="s">
        <v>115</v>
      </c>
      <c r="C126" s="44" t="s">
        <v>73</v>
      </c>
      <c r="D126" s="76">
        <v>600</v>
      </c>
      <c r="E126" s="77">
        <v>1200</v>
      </c>
      <c r="F126" s="10" t="s">
        <v>24</v>
      </c>
      <c r="G126" s="78"/>
      <c r="H126" s="80">
        <v>2</v>
      </c>
      <c r="I126" s="7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8"/>
      <c r="X126" s="8"/>
    </row>
    <row r="127" spans="1:24" ht="15.75" customHeight="1">
      <c r="A127" s="38"/>
      <c r="B127" s="45" t="s">
        <v>116</v>
      </c>
      <c r="C127" s="44" t="s">
        <v>138</v>
      </c>
      <c r="D127" s="76">
        <v>3800</v>
      </c>
      <c r="E127" s="77">
        <v>3800</v>
      </c>
      <c r="F127" s="10" t="s">
        <v>24</v>
      </c>
      <c r="G127" s="78"/>
      <c r="H127" s="80">
        <v>1</v>
      </c>
      <c r="I127" s="7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8"/>
      <c r="X127" s="8"/>
    </row>
    <row r="128" spans="1:24" ht="15.75" customHeight="1">
      <c r="A128" s="38"/>
      <c r="B128" s="39" t="s">
        <v>117</v>
      </c>
      <c r="C128" s="44" t="s">
        <v>73</v>
      </c>
      <c r="D128" s="76">
        <v>1000</v>
      </c>
      <c r="E128" s="77">
        <v>2000</v>
      </c>
      <c r="F128" s="10" t="s">
        <v>24</v>
      </c>
      <c r="G128" s="78"/>
      <c r="H128" s="83">
        <v>2</v>
      </c>
      <c r="I128" s="7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8"/>
      <c r="X128" s="8"/>
    </row>
    <row r="129" spans="1:24" ht="15.75" customHeight="1">
      <c r="A129" s="38"/>
      <c r="B129" s="39" t="s">
        <v>118</v>
      </c>
      <c r="C129" s="45"/>
      <c r="D129" s="97">
        <v>300</v>
      </c>
      <c r="E129" s="77"/>
      <c r="F129" s="10"/>
      <c r="G129" s="78"/>
      <c r="H129" s="81"/>
      <c r="I129" s="7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8"/>
      <c r="X129" s="8"/>
    </row>
    <row r="130" spans="1:24" ht="15.75" customHeight="1">
      <c r="A130" s="38"/>
      <c r="B130" s="45" t="s">
        <v>119</v>
      </c>
      <c r="C130" s="44" t="s">
        <v>75</v>
      </c>
      <c r="D130" s="76">
        <v>4150</v>
      </c>
      <c r="E130" s="77">
        <v>4150</v>
      </c>
      <c r="F130" s="10" t="s">
        <v>24</v>
      </c>
      <c r="G130" s="78"/>
      <c r="H130" s="80">
        <v>1</v>
      </c>
      <c r="I130" s="7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8"/>
      <c r="X130" s="8"/>
    </row>
    <row r="131" spans="1:24" ht="15.75" customHeight="1">
      <c r="A131" s="38"/>
      <c r="B131" s="39" t="s">
        <v>120</v>
      </c>
      <c r="C131" s="44" t="s">
        <v>73</v>
      </c>
      <c r="D131" s="76">
        <v>500</v>
      </c>
      <c r="E131" s="77">
        <v>1000</v>
      </c>
      <c r="F131" s="10" t="s">
        <v>24</v>
      </c>
      <c r="G131" s="78"/>
      <c r="H131" s="80">
        <v>2</v>
      </c>
      <c r="I131" s="7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8"/>
      <c r="X131" s="8"/>
    </row>
    <row r="132" spans="1:24" ht="15.75" customHeight="1">
      <c r="A132" s="38"/>
      <c r="B132" s="39" t="s">
        <v>121</v>
      </c>
      <c r="C132" s="44" t="s">
        <v>73</v>
      </c>
      <c r="D132" s="76">
        <v>550</v>
      </c>
      <c r="E132" s="77">
        <v>1100</v>
      </c>
      <c r="F132" s="10" t="s">
        <v>24</v>
      </c>
      <c r="G132" s="78"/>
      <c r="H132" s="80">
        <v>2</v>
      </c>
      <c r="I132" s="7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8"/>
      <c r="X132" s="8"/>
    </row>
    <row r="133" spans="1:24" ht="15.75" customHeight="1">
      <c r="A133" s="38"/>
      <c r="B133" s="45" t="s">
        <v>122</v>
      </c>
      <c r="C133" s="44" t="s">
        <v>70</v>
      </c>
      <c r="D133" s="76">
        <v>300</v>
      </c>
      <c r="E133" s="77">
        <v>6000</v>
      </c>
      <c r="F133" s="10" t="s">
        <v>24</v>
      </c>
      <c r="G133" s="78"/>
      <c r="H133" s="80">
        <v>20</v>
      </c>
      <c r="I133" s="7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8"/>
      <c r="X133" s="8"/>
    </row>
    <row r="134" spans="1:24" ht="15.75" customHeight="1">
      <c r="A134" s="38"/>
      <c r="B134" s="45" t="s">
        <v>123</v>
      </c>
      <c r="C134" s="44" t="s">
        <v>70</v>
      </c>
      <c r="D134" s="76">
        <v>200</v>
      </c>
      <c r="E134" s="77">
        <v>4000</v>
      </c>
      <c r="F134" s="10" t="s">
        <v>24</v>
      </c>
      <c r="G134" s="78"/>
      <c r="H134" s="80">
        <v>20</v>
      </c>
      <c r="I134" s="7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8"/>
      <c r="X134" s="8"/>
    </row>
    <row r="135" spans="1:24" ht="15.75" customHeight="1">
      <c r="A135" s="38"/>
      <c r="B135" s="45" t="s">
        <v>124</v>
      </c>
      <c r="C135" s="44" t="s">
        <v>136</v>
      </c>
      <c r="D135" s="76">
        <v>60</v>
      </c>
      <c r="E135" s="77">
        <v>600</v>
      </c>
      <c r="F135" s="10" t="s">
        <v>24</v>
      </c>
      <c r="G135" s="78"/>
      <c r="H135" s="80">
        <v>10</v>
      </c>
      <c r="I135" s="7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8"/>
      <c r="X135" s="8"/>
    </row>
    <row r="136" spans="1:24" ht="15.75" customHeight="1">
      <c r="A136" s="38"/>
      <c r="B136" s="45" t="s">
        <v>125</v>
      </c>
      <c r="C136" s="44" t="s">
        <v>136</v>
      </c>
      <c r="D136" s="76">
        <v>70</v>
      </c>
      <c r="E136" s="77">
        <v>700</v>
      </c>
      <c r="F136" s="10" t="s">
        <v>24</v>
      </c>
      <c r="G136" s="78"/>
      <c r="H136" s="80">
        <v>10</v>
      </c>
      <c r="I136" s="7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8"/>
      <c r="X136" s="8"/>
    </row>
    <row r="137" spans="1:24" ht="15.75" customHeight="1">
      <c r="A137" s="38"/>
      <c r="B137" s="39" t="s">
        <v>126</v>
      </c>
      <c r="C137" s="44" t="s">
        <v>73</v>
      </c>
      <c r="D137" s="76">
        <v>1000</v>
      </c>
      <c r="E137" s="77">
        <v>2000</v>
      </c>
      <c r="F137" s="10" t="s">
        <v>24</v>
      </c>
      <c r="G137" s="78"/>
      <c r="H137" s="80">
        <v>2</v>
      </c>
      <c r="I137" s="7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8"/>
      <c r="X137" s="8"/>
    </row>
    <row r="138" spans="1:24" ht="15.75" customHeight="1">
      <c r="A138" s="38"/>
      <c r="B138" s="45" t="s">
        <v>127</v>
      </c>
      <c r="C138" s="44" t="s">
        <v>136</v>
      </c>
      <c r="D138" s="76">
        <v>250</v>
      </c>
      <c r="E138" s="77">
        <v>2500</v>
      </c>
      <c r="F138" s="10" t="s">
        <v>24</v>
      </c>
      <c r="G138" s="78"/>
      <c r="H138" s="80">
        <v>10</v>
      </c>
      <c r="I138" s="7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8"/>
      <c r="X138" s="8"/>
    </row>
    <row r="139" spans="1:24" ht="15.75" customHeight="1">
      <c r="A139" s="38"/>
      <c r="B139" s="39" t="s">
        <v>128</v>
      </c>
      <c r="C139" s="44" t="s">
        <v>73</v>
      </c>
      <c r="D139" s="76">
        <v>100</v>
      </c>
      <c r="E139" s="77">
        <v>200</v>
      </c>
      <c r="F139" s="10" t="s">
        <v>24</v>
      </c>
      <c r="G139" s="78"/>
      <c r="H139" s="82">
        <v>2</v>
      </c>
      <c r="I139" s="7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8"/>
      <c r="X139" s="8"/>
    </row>
    <row r="140" spans="1:24" ht="15.75" customHeight="1">
      <c r="A140" s="38"/>
      <c r="B140" s="45" t="s">
        <v>129</v>
      </c>
      <c r="C140" s="44" t="s">
        <v>139</v>
      </c>
      <c r="D140" s="76">
        <v>590</v>
      </c>
      <c r="E140" s="77">
        <v>590</v>
      </c>
      <c r="F140" s="10" t="s">
        <v>24</v>
      </c>
      <c r="G140" s="78"/>
      <c r="H140" s="82">
        <v>1</v>
      </c>
      <c r="I140" s="7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8"/>
      <c r="X140" s="8"/>
    </row>
    <row r="141" spans="1:24" ht="15.75" customHeight="1">
      <c r="A141" s="38"/>
      <c r="B141" s="45" t="s">
        <v>130</v>
      </c>
      <c r="C141" s="44" t="s">
        <v>73</v>
      </c>
      <c r="D141" s="76">
        <v>700</v>
      </c>
      <c r="E141" s="77">
        <v>1400</v>
      </c>
      <c r="F141" s="10" t="s">
        <v>24</v>
      </c>
      <c r="G141" s="78"/>
      <c r="H141" s="83">
        <v>2</v>
      </c>
      <c r="I141" s="7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8"/>
      <c r="X141" s="8"/>
    </row>
    <row r="142" spans="1:24" ht="15.75" customHeight="1">
      <c r="A142" s="38"/>
      <c r="B142" s="45" t="s">
        <v>131</v>
      </c>
      <c r="C142" s="44" t="s">
        <v>73</v>
      </c>
      <c r="D142" s="76">
        <v>500</v>
      </c>
      <c r="E142" s="77">
        <v>1000</v>
      </c>
      <c r="F142" s="10" t="s">
        <v>24</v>
      </c>
      <c r="G142" s="78"/>
      <c r="H142" s="83">
        <v>2</v>
      </c>
      <c r="I142" s="7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8"/>
      <c r="X142" s="8"/>
    </row>
    <row r="143" spans="1:24" ht="15.75" customHeight="1">
      <c r="A143" s="38"/>
      <c r="B143" s="45" t="s">
        <v>132</v>
      </c>
      <c r="C143" s="44" t="s">
        <v>139</v>
      </c>
      <c r="D143" s="76">
        <v>1400</v>
      </c>
      <c r="E143" s="77">
        <v>1400</v>
      </c>
      <c r="F143" s="10" t="s">
        <v>24</v>
      </c>
      <c r="G143" s="78"/>
      <c r="H143" s="84">
        <v>1</v>
      </c>
      <c r="I143" s="7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8"/>
      <c r="X143" s="8"/>
    </row>
    <row r="144" spans="1:24" ht="15.75" customHeight="1">
      <c r="A144" s="38"/>
      <c r="B144" s="45" t="s">
        <v>133</v>
      </c>
      <c r="C144" s="44" t="s">
        <v>139</v>
      </c>
      <c r="D144" s="76">
        <v>1450</v>
      </c>
      <c r="E144" s="77">
        <v>1450</v>
      </c>
      <c r="F144" s="10" t="s">
        <v>24</v>
      </c>
      <c r="G144" s="78"/>
      <c r="H144" s="84">
        <v>1</v>
      </c>
      <c r="I144" s="7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8"/>
      <c r="X144" s="8"/>
    </row>
    <row r="145" spans="1:24" ht="15.75" customHeight="1">
      <c r="A145" s="38"/>
      <c r="B145" s="58" t="s">
        <v>164</v>
      </c>
      <c r="C145" s="59"/>
      <c r="D145" s="59"/>
      <c r="E145" s="67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8"/>
      <c r="X145" s="8"/>
    </row>
    <row r="146" spans="1:24" ht="15.75" customHeight="1">
      <c r="A146" s="38"/>
      <c r="B146" s="40" t="s">
        <v>266</v>
      </c>
      <c r="C146" s="43" t="s">
        <v>87</v>
      </c>
      <c r="D146" s="42">
        <v>2000</v>
      </c>
      <c r="E146" s="68">
        <v>2000</v>
      </c>
      <c r="F146" s="10" t="s">
        <v>24</v>
      </c>
      <c r="G146" s="10"/>
      <c r="H146" s="10">
        <v>1</v>
      </c>
      <c r="I146" s="10">
        <v>1</v>
      </c>
      <c r="J146" s="10">
        <v>1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8"/>
      <c r="X146" s="8"/>
    </row>
    <row r="147" spans="1:24" ht="15.75" customHeight="1">
      <c r="A147" s="38"/>
      <c r="B147" s="40" t="s">
        <v>267</v>
      </c>
      <c r="C147" s="43" t="s">
        <v>87</v>
      </c>
      <c r="D147" s="42">
        <v>5000</v>
      </c>
      <c r="E147" s="68">
        <v>5000</v>
      </c>
      <c r="F147" s="10" t="s">
        <v>24</v>
      </c>
      <c r="G147" s="10"/>
      <c r="H147" s="10">
        <v>1</v>
      </c>
      <c r="I147" s="10">
        <v>1</v>
      </c>
      <c r="J147" s="10">
        <v>1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8"/>
      <c r="X147" s="8"/>
    </row>
    <row r="148" spans="1:24" ht="15.75" customHeight="1">
      <c r="A148" s="38"/>
      <c r="B148" s="58" t="s">
        <v>142</v>
      </c>
      <c r="C148" s="59"/>
      <c r="D148" s="46"/>
      <c r="E148" s="67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8"/>
      <c r="X148" s="8"/>
    </row>
    <row r="149" spans="1:24" ht="15.75" customHeight="1">
      <c r="A149" s="38"/>
      <c r="B149" s="45" t="s">
        <v>170</v>
      </c>
      <c r="C149" s="44" t="s">
        <v>145</v>
      </c>
      <c r="D149" s="42">
        <v>75</v>
      </c>
      <c r="E149" s="68">
        <v>6000</v>
      </c>
      <c r="F149" s="10" t="s">
        <v>23</v>
      </c>
      <c r="G149" s="10"/>
      <c r="H149" s="10"/>
      <c r="I149" s="10"/>
      <c r="J149" s="10">
        <v>80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8"/>
      <c r="X149" s="8"/>
    </row>
    <row r="150" spans="1:24" ht="15.75" customHeight="1">
      <c r="A150" s="38"/>
      <c r="B150" s="45" t="s">
        <v>228</v>
      </c>
      <c r="C150" s="44" t="s">
        <v>230</v>
      </c>
      <c r="D150" s="42">
        <v>75</v>
      </c>
      <c r="E150" s="68">
        <v>48750</v>
      </c>
      <c r="F150" s="10" t="s">
        <v>24</v>
      </c>
      <c r="G150" s="10"/>
      <c r="H150" s="10"/>
      <c r="I150" s="10">
        <v>650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8"/>
      <c r="X150" s="8"/>
    </row>
    <row r="151" spans="1:24" ht="15.75" customHeight="1">
      <c r="A151" s="38"/>
      <c r="B151" s="45" t="s">
        <v>229</v>
      </c>
      <c r="C151" s="44" t="s">
        <v>230</v>
      </c>
      <c r="D151" s="42">
        <v>75</v>
      </c>
      <c r="E151" s="68">
        <v>48750</v>
      </c>
      <c r="F151" s="10" t="s">
        <v>24</v>
      </c>
      <c r="G151" s="10"/>
      <c r="H151" s="10"/>
      <c r="I151" s="10">
        <v>650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8"/>
      <c r="X151" s="8"/>
    </row>
    <row r="152" spans="1:24" ht="15.75" customHeight="1">
      <c r="A152" s="38"/>
      <c r="B152" s="40" t="s">
        <v>171</v>
      </c>
      <c r="C152" s="43" t="s">
        <v>172</v>
      </c>
      <c r="D152" s="42">
        <v>75</v>
      </c>
      <c r="E152" s="68">
        <v>3750</v>
      </c>
      <c r="F152" s="10" t="s">
        <v>23</v>
      </c>
      <c r="G152" s="10"/>
      <c r="H152" s="10">
        <v>50</v>
      </c>
      <c r="I152" s="10">
        <v>50</v>
      </c>
      <c r="J152" s="10">
        <v>50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8"/>
      <c r="X152" s="8"/>
    </row>
    <row r="153" spans="1:24" ht="15.75" customHeight="1">
      <c r="A153" s="38"/>
      <c r="B153" s="58" t="s">
        <v>57</v>
      </c>
      <c r="C153" s="59"/>
      <c r="D153" s="46"/>
      <c r="E153" s="67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8"/>
      <c r="X153" s="8"/>
    </row>
    <row r="154" spans="1:24" ht="15.75" customHeight="1">
      <c r="A154" s="38"/>
      <c r="B154" s="39" t="s">
        <v>146</v>
      </c>
      <c r="C154" s="43" t="s">
        <v>144</v>
      </c>
      <c r="D154" s="42">
        <v>500</v>
      </c>
      <c r="E154" s="68">
        <v>2000</v>
      </c>
      <c r="F154" s="10" t="s">
        <v>23</v>
      </c>
      <c r="G154" s="10"/>
      <c r="H154" s="10">
        <v>4</v>
      </c>
      <c r="I154" s="10">
        <v>4</v>
      </c>
      <c r="J154" s="10">
        <v>4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8"/>
      <c r="X154" s="8"/>
    </row>
    <row r="155" spans="1:24" ht="15.75" customHeight="1">
      <c r="A155" s="38"/>
      <c r="B155" s="39" t="s">
        <v>147</v>
      </c>
      <c r="C155" s="43"/>
      <c r="D155" s="42"/>
      <c r="E155" s="68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8"/>
      <c r="X155" s="8"/>
    </row>
    <row r="156" spans="1:24" ht="15.75" customHeight="1">
      <c r="A156" s="38"/>
      <c r="B156" s="40" t="s">
        <v>148</v>
      </c>
      <c r="C156" s="43" t="s">
        <v>150</v>
      </c>
      <c r="D156" s="42">
        <v>300</v>
      </c>
      <c r="E156" s="68">
        <v>900</v>
      </c>
      <c r="F156" s="10" t="s">
        <v>23</v>
      </c>
      <c r="G156" s="10"/>
      <c r="H156" s="10">
        <v>3</v>
      </c>
      <c r="I156" s="10">
        <v>3</v>
      </c>
      <c r="J156" s="10">
        <v>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8"/>
      <c r="X156" s="8"/>
    </row>
    <row r="157" spans="1:24" ht="15.75" customHeight="1">
      <c r="A157" s="38"/>
      <c r="B157" s="40" t="s">
        <v>149</v>
      </c>
      <c r="C157" s="39"/>
      <c r="D157" s="42"/>
      <c r="E157" s="68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8"/>
      <c r="X157" s="8"/>
    </row>
    <row r="158" spans="1:24" ht="15.75" customHeight="1">
      <c r="A158" s="38"/>
      <c r="B158" s="39" t="s">
        <v>151</v>
      </c>
      <c r="C158" s="43" t="s">
        <v>144</v>
      </c>
      <c r="D158" s="42">
        <v>500</v>
      </c>
      <c r="E158" s="68">
        <v>2000</v>
      </c>
      <c r="F158" s="10" t="s">
        <v>23</v>
      </c>
      <c r="G158" s="10"/>
      <c r="H158" s="10">
        <v>4</v>
      </c>
      <c r="I158" s="10">
        <v>4</v>
      </c>
      <c r="J158" s="10">
        <v>4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8"/>
      <c r="X158" s="8"/>
    </row>
    <row r="159" spans="1:24" ht="15.75" customHeight="1">
      <c r="A159" s="38"/>
      <c r="B159" s="39" t="s">
        <v>152</v>
      </c>
      <c r="C159" s="43"/>
      <c r="D159" s="42"/>
      <c r="E159" s="68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8"/>
      <c r="X159" s="8"/>
    </row>
    <row r="160" spans="1:24" ht="15.75" customHeight="1">
      <c r="A160" s="38"/>
      <c r="B160" s="39" t="s">
        <v>146</v>
      </c>
      <c r="C160" s="43" t="s">
        <v>150</v>
      </c>
      <c r="D160" s="42">
        <v>500</v>
      </c>
      <c r="E160" s="68">
        <v>1500</v>
      </c>
      <c r="F160" s="10" t="s">
        <v>23</v>
      </c>
      <c r="G160" s="10"/>
      <c r="H160" s="10">
        <v>4</v>
      </c>
      <c r="I160" s="10">
        <v>4</v>
      </c>
      <c r="J160" s="10">
        <v>4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8"/>
      <c r="X160" s="8"/>
    </row>
    <row r="161" spans="1:24" ht="15.75" customHeight="1">
      <c r="A161" s="38"/>
      <c r="B161" s="39" t="s">
        <v>153</v>
      </c>
      <c r="C161" s="39"/>
      <c r="D161" s="42"/>
      <c r="E161" s="68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8"/>
      <c r="X161" s="8"/>
    </row>
    <row r="162" spans="1:24" ht="15.75" customHeight="1">
      <c r="A162" s="38"/>
      <c r="B162" s="58" t="s">
        <v>58</v>
      </c>
      <c r="C162" s="59"/>
      <c r="D162" s="59"/>
      <c r="E162" s="67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8"/>
      <c r="X162" s="8"/>
    </row>
    <row r="163" spans="1:24" ht="15.75" customHeight="1">
      <c r="A163" s="38"/>
      <c r="B163" s="45" t="s">
        <v>143</v>
      </c>
      <c r="C163" s="44" t="s">
        <v>87</v>
      </c>
      <c r="D163" s="42">
        <v>990</v>
      </c>
      <c r="E163" s="68">
        <v>990</v>
      </c>
      <c r="F163" s="10" t="s">
        <v>23</v>
      </c>
      <c r="G163" s="10"/>
      <c r="H163" s="10">
        <v>1</v>
      </c>
      <c r="I163" s="10">
        <v>1</v>
      </c>
      <c r="J163" s="10">
        <v>1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8"/>
      <c r="X163" s="8"/>
    </row>
    <row r="164" spans="1:24" ht="15.75" customHeight="1">
      <c r="A164" s="38"/>
      <c r="B164" s="58" t="s">
        <v>59</v>
      </c>
      <c r="C164" s="59"/>
      <c r="D164" s="46"/>
      <c r="E164" s="67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8"/>
      <c r="X164" s="8"/>
    </row>
    <row r="165" spans="1:24" ht="15.75" customHeight="1">
      <c r="A165" s="38"/>
      <c r="B165" s="39" t="s">
        <v>88</v>
      </c>
      <c r="C165" s="43" t="s">
        <v>208</v>
      </c>
      <c r="D165" s="42">
        <v>600</v>
      </c>
      <c r="E165" s="68">
        <v>39000</v>
      </c>
      <c r="F165" s="10" t="s">
        <v>24</v>
      </c>
      <c r="G165" s="10"/>
      <c r="H165" s="10">
        <v>35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8"/>
      <c r="X165" s="8"/>
    </row>
    <row r="166" spans="1:24" ht="15.75" customHeight="1">
      <c r="A166" s="38"/>
      <c r="B166" s="39" t="s">
        <v>89</v>
      </c>
      <c r="C166" s="45"/>
      <c r="D166" s="42"/>
      <c r="E166" s="68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8"/>
      <c r="X166" s="8"/>
    </row>
    <row r="167" spans="1:24" ht="15.75" customHeight="1">
      <c r="A167" s="38"/>
      <c r="B167" s="39" t="s">
        <v>88</v>
      </c>
      <c r="C167" s="44" t="s">
        <v>105</v>
      </c>
      <c r="D167" s="42">
        <v>600</v>
      </c>
      <c r="E167" s="68">
        <v>15000</v>
      </c>
      <c r="F167" s="10" t="s">
        <v>24</v>
      </c>
      <c r="G167" s="10"/>
      <c r="H167" s="10">
        <v>25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8"/>
      <c r="X167" s="8"/>
    </row>
    <row r="168" spans="1:24" ht="15.75" customHeight="1">
      <c r="A168" s="38"/>
      <c r="B168" s="39" t="s">
        <v>104</v>
      </c>
      <c r="C168" s="45"/>
      <c r="D168" s="41"/>
      <c r="E168" s="68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8"/>
      <c r="X168" s="8"/>
    </row>
    <row r="169" spans="1:24" ht="15.75" customHeight="1">
      <c r="A169" s="38"/>
      <c r="B169" s="39" t="s">
        <v>88</v>
      </c>
      <c r="C169" s="44" t="s">
        <v>210</v>
      </c>
      <c r="D169" s="42">
        <v>500</v>
      </c>
      <c r="E169" s="68">
        <v>3500</v>
      </c>
      <c r="F169" s="10" t="s">
        <v>23</v>
      </c>
      <c r="G169" s="10"/>
      <c r="H169" s="10">
        <v>7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8"/>
      <c r="X169" s="8"/>
    </row>
    <row r="170" spans="1:24" ht="15.75" customHeight="1">
      <c r="A170" s="38"/>
      <c r="B170" s="39" t="s">
        <v>209</v>
      </c>
      <c r="C170" s="45"/>
      <c r="D170" s="41"/>
      <c r="E170" s="68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8"/>
      <c r="X170" s="8"/>
    </row>
    <row r="171" spans="1:24" ht="15.75" customHeight="1">
      <c r="A171" s="38"/>
      <c r="B171" s="61" t="s">
        <v>158</v>
      </c>
      <c r="C171" s="43" t="s">
        <v>87</v>
      </c>
      <c r="D171" s="42">
        <v>60000</v>
      </c>
      <c r="E171" s="68">
        <v>60000</v>
      </c>
      <c r="F171" s="10" t="s">
        <v>23</v>
      </c>
      <c r="G171" s="10"/>
      <c r="H171" s="10">
        <v>1</v>
      </c>
      <c r="I171" s="10"/>
      <c r="J171" s="10">
        <v>1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8"/>
      <c r="X171" s="8"/>
    </row>
    <row r="172" spans="1:24" ht="15.75" customHeight="1">
      <c r="A172" s="38"/>
      <c r="B172" s="61" t="s">
        <v>268</v>
      </c>
      <c r="C172" s="43"/>
      <c r="D172" s="42"/>
      <c r="E172" s="68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8"/>
      <c r="X172" s="8"/>
    </row>
    <row r="173" spans="1:24" ht="15.75" customHeight="1">
      <c r="A173" s="38"/>
      <c r="B173" s="61" t="s">
        <v>158</v>
      </c>
      <c r="C173" s="99" t="s">
        <v>87</v>
      </c>
      <c r="D173" s="42">
        <v>30000</v>
      </c>
      <c r="E173" s="68">
        <v>30000</v>
      </c>
      <c r="F173" s="37" t="s">
        <v>23</v>
      </c>
      <c r="G173" s="37"/>
      <c r="H173" s="37">
        <v>1</v>
      </c>
      <c r="I173" s="37"/>
      <c r="J173" s="37">
        <v>1</v>
      </c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8"/>
      <c r="X173" s="8"/>
    </row>
    <row r="174" spans="1:24" ht="15.75" customHeight="1">
      <c r="A174" s="38"/>
      <c r="B174" s="61" t="s">
        <v>272</v>
      </c>
      <c r="C174" s="103"/>
      <c r="D174" s="41"/>
      <c r="E174" s="68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8"/>
      <c r="X174" s="8"/>
    </row>
    <row r="175" spans="1:24" ht="15.75" customHeight="1">
      <c r="A175" s="38"/>
      <c r="B175" s="62" t="s">
        <v>159</v>
      </c>
      <c r="C175" s="43" t="s">
        <v>87</v>
      </c>
      <c r="D175" s="42">
        <v>20000</v>
      </c>
      <c r="E175" s="68">
        <v>20000</v>
      </c>
      <c r="F175" s="10" t="s">
        <v>23</v>
      </c>
      <c r="G175" s="10"/>
      <c r="H175" s="10">
        <v>1</v>
      </c>
      <c r="I175" s="10"/>
      <c r="J175" s="10">
        <v>1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8"/>
      <c r="X175" s="8"/>
    </row>
    <row r="176" spans="1:24" ht="15.75" customHeight="1">
      <c r="A176" s="38"/>
      <c r="B176" s="61" t="s">
        <v>269</v>
      </c>
      <c r="C176" s="39"/>
      <c r="D176" s="41"/>
      <c r="E176" s="68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8"/>
      <c r="X176" s="8"/>
    </row>
    <row r="177" spans="1:24" ht="15.75" customHeight="1">
      <c r="A177" s="38"/>
      <c r="B177" s="98" t="s">
        <v>270</v>
      </c>
      <c r="C177" s="99" t="s">
        <v>87</v>
      </c>
      <c r="D177" s="42">
        <v>25000</v>
      </c>
      <c r="E177" s="68">
        <v>25000</v>
      </c>
      <c r="F177" s="37" t="s">
        <v>23</v>
      </c>
      <c r="G177" s="37"/>
      <c r="H177" s="37">
        <v>1</v>
      </c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8"/>
      <c r="X177" s="8"/>
    </row>
    <row r="178" spans="1:24" ht="15.75" customHeight="1">
      <c r="A178" s="100"/>
      <c r="B178" s="62" t="s">
        <v>271</v>
      </c>
      <c r="C178" s="43"/>
      <c r="D178" s="101"/>
      <c r="E178" s="102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8"/>
      <c r="X178" s="8"/>
    </row>
    <row r="179" spans="1:24" ht="15.75" customHeight="1" thickBot="1">
      <c r="A179" s="12"/>
      <c r="B179" s="13"/>
      <c r="C179" s="1"/>
      <c r="D179" s="7"/>
      <c r="E179" s="69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thickTop="1">
      <c r="A180" s="14" t="s">
        <v>27</v>
      </c>
      <c r="B180" s="4"/>
      <c r="C180" s="36"/>
      <c r="D180" s="1"/>
      <c r="E180" s="70">
        <f>SUM(E11:E178)</f>
        <v>1903124</v>
      </c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hidden="1" customHeight="1" thickTop="1">
      <c r="A181" s="15" t="s">
        <v>28</v>
      </c>
      <c r="B181" s="16"/>
      <c r="C181" s="122">
        <f>PRODUCT(C180,0.1)</f>
        <v>0.1</v>
      </c>
      <c r="D181" s="123"/>
      <c r="E181" s="124"/>
      <c r="F181" s="2"/>
      <c r="G181" s="2"/>
      <c r="H181" s="116"/>
      <c r="I181" s="111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7"/>
      <c r="V181" s="1"/>
      <c r="W181" s="1"/>
      <c r="X181" s="1"/>
    </row>
    <row r="182" spans="1:24" ht="15.75" hidden="1" customHeight="1">
      <c r="A182" s="18" t="s">
        <v>29</v>
      </c>
      <c r="B182" s="19"/>
      <c r="C182" s="117">
        <f>PRODUCT(C180,0.1)</f>
        <v>0.1</v>
      </c>
      <c r="D182" s="118"/>
      <c r="E182" s="119"/>
      <c r="F182" s="2"/>
      <c r="G182" s="2"/>
      <c r="H182" s="20"/>
      <c r="I182" s="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21"/>
      <c r="V182" s="1"/>
      <c r="W182" s="1"/>
      <c r="X182" s="1"/>
    </row>
    <row r="183" spans="1:24" ht="15.75" hidden="1" customHeight="1">
      <c r="A183" s="18" t="s">
        <v>30</v>
      </c>
      <c r="B183" s="19"/>
      <c r="C183" s="117">
        <f>SUM(C180:E182)</f>
        <v>1903124.2000000002</v>
      </c>
      <c r="D183" s="118"/>
      <c r="E183" s="119"/>
      <c r="F183" s="2"/>
      <c r="G183" s="2"/>
      <c r="H183" s="20"/>
      <c r="I183" s="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21"/>
      <c r="V183" s="1"/>
      <c r="W183" s="1"/>
      <c r="X183" s="1"/>
    </row>
    <row r="184" spans="1:24" ht="15.75" customHeight="1">
      <c r="A184" s="22"/>
      <c r="B184" s="4"/>
      <c r="C184" s="1"/>
      <c r="D184" s="7"/>
      <c r="E184" s="64"/>
      <c r="F184" s="2"/>
      <c r="G184" s="2"/>
      <c r="H184" s="20"/>
      <c r="I184" s="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21"/>
      <c r="V184" s="1"/>
      <c r="W184" s="1"/>
      <c r="X184" s="1"/>
    </row>
    <row r="185" spans="1:24" ht="15.75" customHeight="1">
      <c r="A185" s="23" t="s">
        <v>31</v>
      </c>
      <c r="B185" s="4"/>
      <c r="C185" s="1"/>
      <c r="D185" s="7"/>
      <c r="E185" s="64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24"/>
      <c r="B186" s="4"/>
      <c r="C186" s="1"/>
      <c r="D186" s="7"/>
      <c r="E186" s="64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25" t="s">
        <v>32</v>
      </c>
      <c r="B187" s="13"/>
      <c r="C187" s="121" t="s">
        <v>33</v>
      </c>
      <c r="D187" s="111"/>
      <c r="E187" s="111"/>
      <c r="F187" s="20"/>
      <c r="G187" s="20"/>
      <c r="H187" s="1"/>
      <c r="I187" s="121" t="s">
        <v>34</v>
      </c>
      <c r="J187" s="121"/>
      <c r="K187" s="121"/>
      <c r="L187" s="121"/>
      <c r="M187" s="121"/>
      <c r="N187" s="121"/>
      <c r="O187" s="1"/>
      <c r="P187" s="1"/>
      <c r="Q187" s="121" t="s">
        <v>35</v>
      </c>
      <c r="R187" s="111"/>
      <c r="S187" s="111"/>
      <c r="T187" s="111"/>
      <c r="U187" s="1"/>
      <c r="V187" s="111"/>
      <c r="W187" s="111"/>
      <c r="X187" s="20"/>
    </row>
    <row r="188" spans="1:24" ht="15.75" customHeight="1">
      <c r="A188" s="25"/>
      <c r="B188" s="13"/>
      <c r="C188" s="26"/>
      <c r="D188" s="27"/>
      <c r="E188" s="71"/>
      <c r="F188" s="20"/>
      <c r="G188" s="20"/>
      <c r="H188" s="1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0"/>
      <c r="X188" s="20"/>
    </row>
    <row r="189" spans="1:24" ht="15.75" customHeight="1">
      <c r="A189" s="13"/>
      <c r="B189" s="13"/>
      <c r="C189" s="20"/>
      <c r="D189" s="28"/>
      <c r="E189" s="72"/>
      <c r="F189" s="20"/>
      <c r="G189" s="20"/>
      <c r="H189" s="1"/>
      <c r="I189" s="20"/>
      <c r="J189" s="29"/>
      <c r="K189" s="29"/>
      <c r="L189" s="29"/>
      <c r="M189" s="29"/>
      <c r="N189" s="29"/>
      <c r="O189" s="29"/>
      <c r="P189" s="29"/>
      <c r="Q189" s="20"/>
      <c r="R189" s="29"/>
      <c r="S189" s="20"/>
      <c r="T189" s="20"/>
      <c r="U189" s="20"/>
      <c r="V189" s="20"/>
      <c r="W189" s="20"/>
      <c r="X189" s="20"/>
    </row>
    <row r="190" spans="1:24" ht="15.75" customHeight="1">
      <c r="A190" s="114" t="s">
        <v>44</v>
      </c>
      <c r="B190" s="108"/>
      <c r="C190" s="115" t="s">
        <v>36</v>
      </c>
      <c r="D190" s="111"/>
      <c r="E190" s="111"/>
      <c r="F190" s="111"/>
      <c r="G190" s="1"/>
      <c r="H190" s="1"/>
      <c r="I190" s="115" t="s">
        <v>37</v>
      </c>
      <c r="J190" s="115"/>
      <c r="K190" s="115"/>
      <c r="L190" s="115"/>
      <c r="M190" s="115"/>
      <c r="N190" s="115"/>
      <c r="O190" s="1"/>
      <c r="P190" s="1"/>
      <c r="Q190" s="115" t="s">
        <v>38</v>
      </c>
      <c r="R190" s="111"/>
      <c r="S190" s="111"/>
      <c r="T190" s="111"/>
      <c r="U190" s="1"/>
      <c r="V190" s="111"/>
      <c r="W190" s="111"/>
      <c r="X190" s="111"/>
    </row>
    <row r="191" spans="1:24" ht="15" customHeight="1">
      <c r="A191" s="107" t="s">
        <v>39</v>
      </c>
      <c r="B191" s="108"/>
      <c r="C191" s="109" t="s">
        <v>40</v>
      </c>
      <c r="D191" s="108"/>
      <c r="E191" s="108"/>
      <c r="F191" s="108"/>
      <c r="G191" s="30"/>
      <c r="H191" s="1"/>
      <c r="I191" s="110" t="s">
        <v>41</v>
      </c>
      <c r="J191" s="110"/>
      <c r="K191" s="110"/>
      <c r="L191" s="110"/>
      <c r="M191" s="110"/>
      <c r="N191" s="110"/>
      <c r="O191" s="1"/>
      <c r="P191" s="1"/>
      <c r="Q191" s="109" t="s">
        <v>42</v>
      </c>
      <c r="R191" s="111"/>
      <c r="S191" s="111"/>
      <c r="T191" s="111"/>
      <c r="U191" s="1"/>
      <c r="V191" s="1"/>
      <c r="W191" s="20"/>
      <c r="X191" s="20"/>
    </row>
    <row r="192" spans="1:24" ht="15.75" customHeight="1">
      <c r="A192" s="1"/>
      <c r="B192" s="1"/>
      <c r="C192" s="1"/>
      <c r="D192" s="7"/>
      <c r="E192" s="6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 t="s">
        <v>43</v>
      </c>
      <c r="B193" s="1"/>
      <c r="C193" s="1" t="s">
        <v>43</v>
      </c>
      <c r="D193" s="7"/>
      <c r="E193" s="64"/>
      <c r="F193" s="1"/>
      <c r="G193" s="1"/>
      <c r="H193" s="1"/>
      <c r="I193" s="1" t="s">
        <v>43</v>
      </c>
      <c r="J193" s="1"/>
      <c r="K193" s="1"/>
      <c r="L193" s="1"/>
      <c r="M193" s="1"/>
      <c r="N193" s="1"/>
      <c r="O193" s="1"/>
      <c r="P193" s="1"/>
      <c r="Q193" s="1" t="s">
        <v>43</v>
      </c>
      <c r="R193" s="1"/>
      <c r="S193" s="1"/>
      <c r="T193" s="1"/>
      <c r="U193" s="1"/>
      <c r="V193" s="1"/>
      <c r="W193" s="1"/>
      <c r="X193" s="1"/>
    </row>
    <row r="194" spans="1:24" ht="15.75" customHeight="1">
      <c r="D194" s="31"/>
      <c r="H194" s="112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</row>
    <row r="195" spans="1:24" ht="15.75" customHeight="1">
      <c r="D195" s="31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  <row r="196" spans="1:24" ht="15.75" customHeight="1">
      <c r="D196" s="31"/>
      <c r="H196" s="33"/>
      <c r="I196" s="34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</row>
    <row r="197" spans="1:24" ht="15.75" customHeight="1">
      <c r="D197" s="31"/>
      <c r="H197" s="113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1:24" ht="15.75" customHeight="1">
      <c r="D198" s="31"/>
      <c r="H198" s="105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</row>
    <row r="199" spans="1:24" ht="15.75" customHeight="1">
      <c r="D199" s="31"/>
    </row>
    <row r="200" spans="1:24" ht="15.75" customHeight="1">
      <c r="D200" s="31"/>
    </row>
    <row r="201" spans="1:24" ht="15.75" customHeight="1">
      <c r="D201" s="31"/>
    </row>
    <row r="202" spans="1:24" ht="15.75" customHeight="1">
      <c r="D202" s="31"/>
    </row>
    <row r="203" spans="1:24" ht="15.75" customHeight="1">
      <c r="D203" s="31"/>
    </row>
    <row r="204" spans="1:24" ht="15.75" customHeight="1">
      <c r="D204" s="31"/>
    </row>
    <row r="205" spans="1:24" ht="15.75" customHeight="1">
      <c r="D205" s="31"/>
    </row>
    <row r="206" spans="1:24" ht="15.75" customHeight="1">
      <c r="D206" s="31"/>
    </row>
    <row r="207" spans="1:24" ht="15.75" customHeight="1">
      <c r="D207" s="31"/>
    </row>
    <row r="208" spans="1:24" ht="15.75" customHeight="1">
      <c r="D208" s="31"/>
    </row>
    <row r="209" spans="4:4" ht="15.75" customHeight="1">
      <c r="D209" s="31"/>
    </row>
    <row r="210" spans="4:4" ht="15.75" customHeight="1">
      <c r="D210" s="31"/>
    </row>
    <row r="211" spans="4:4" ht="15.75" customHeight="1">
      <c r="D211" s="31"/>
    </row>
    <row r="212" spans="4:4" ht="15.75" customHeight="1">
      <c r="D212" s="31"/>
    </row>
    <row r="213" spans="4:4" ht="15.75" customHeight="1">
      <c r="D213" s="31"/>
    </row>
    <row r="214" spans="4:4" ht="15.75" customHeight="1">
      <c r="D214" s="31"/>
    </row>
    <row r="215" spans="4:4" ht="15.75" customHeight="1">
      <c r="D215" s="31"/>
    </row>
    <row r="216" spans="4:4" ht="15.75" customHeight="1">
      <c r="D216" s="31"/>
    </row>
    <row r="217" spans="4:4" ht="15.75" customHeight="1">
      <c r="D217" s="31"/>
    </row>
    <row r="218" spans="4:4" ht="15.75" customHeight="1">
      <c r="D218" s="31"/>
    </row>
    <row r="219" spans="4:4" ht="15.75" customHeight="1">
      <c r="D219" s="31"/>
    </row>
    <row r="220" spans="4:4" ht="15.75" customHeight="1">
      <c r="D220" s="31"/>
    </row>
    <row r="221" spans="4:4" ht="15.75" customHeight="1">
      <c r="D221" s="31"/>
    </row>
    <row r="222" spans="4:4" ht="15.75" customHeight="1">
      <c r="D222" s="31"/>
    </row>
    <row r="223" spans="4:4" ht="15.75" customHeight="1">
      <c r="D223" s="31"/>
    </row>
    <row r="224" spans="4:4" ht="15.75" customHeight="1">
      <c r="D224" s="31"/>
    </row>
    <row r="225" spans="4:4" ht="15.75" customHeight="1">
      <c r="D225" s="31"/>
    </row>
    <row r="226" spans="4:4" ht="15.75" customHeight="1">
      <c r="D226" s="31"/>
    </row>
    <row r="227" spans="4:4" ht="15.75" customHeight="1">
      <c r="D227" s="31"/>
    </row>
    <row r="228" spans="4:4" ht="15.75" customHeight="1">
      <c r="D228" s="31"/>
    </row>
    <row r="229" spans="4:4" ht="15.75" customHeight="1">
      <c r="D229" s="31"/>
    </row>
    <row r="230" spans="4:4" ht="15.75" customHeight="1">
      <c r="D230" s="31"/>
    </row>
    <row r="231" spans="4:4" ht="15.75" customHeight="1">
      <c r="D231" s="31"/>
    </row>
    <row r="232" spans="4:4" ht="15.75" customHeight="1">
      <c r="D232" s="31"/>
    </row>
    <row r="233" spans="4:4" ht="15.75" customHeight="1">
      <c r="D233" s="31"/>
    </row>
    <row r="234" spans="4:4" ht="15.75" customHeight="1">
      <c r="D234" s="31"/>
    </row>
    <row r="235" spans="4:4" ht="15.75" customHeight="1">
      <c r="D235" s="31"/>
    </row>
    <row r="236" spans="4:4" ht="15.75" customHeight="1">
      <c r="D236" s="31"/>
    </row>
    <row r="237" spans="4:4" ht="15.75" customHeight="1">
      <c r="D237" s="31"/>
    </row>
    <row r="238" spans="4:4" ht="15.75" customHeight="1">
      <c r="D238" s="31"/>
    </row>
    <row r="239" spans="4:4" ht="15.75" customHeight="1">
      <c r="D239" s="31"/>
    </row>
    <row r="240" spans="4:4" ht="15.75" customHeight="1">
      <c r="D240" s="31"/>
    </row>
    <row r="241" spans="4:4" ht="15.75" customHeight="1">
      <c r="D241" s="31"/>
    </row>
    <row r="242" spans="4:4" ht="15.75" customHeight="1">
      <c r="D242" s="31"/>
    </row>
    <row r="243" spans="4:4" ht="15.75" customHeight="1">
      <c r="D243" s="31"/>
    </row>
    <row r="244" spans="4:4" ht="15.75" customHeight="1">
      <c r="D244" s="31"/>
    </row>
    <row r="245" spans="4:4" ht="15.75" customHeight="1">
      <c r="D245" s="31"/>
    </row>
    <row r="246" spans="4:4" ht="15.75" customHeight="1">
      <c r="D246" s="31"/>
    </row>
    <row r="247" spans="4:4" ht="15.75" customHeight="1">
      <c r="D247" s="31"/>
    </row>
    <row r="248" spans="4:4" ht="15.75" customHeight="1">
      <c r="D248" s="31"/>
    </row>
    <row r="249" spans="4:4" ht="15.75" customHeight="1">
      <c r="D249" s="31"/>
    </row>
    <row r="250" spans="4:4" ht="15.75" customHeight="1">
      <c r="D250" s="31"/>
    </row>
    <row r="251" spans="4:4" ht="15.75" customHeight="1">
      <c r="D251" s="31"/>
    </row>
    <row r="252" spans="4:4" ht="15.75" customHeight="1">
      <c r="D252" s="31"/>
    </row>
    <row r="253" spans="4:4" ht="15.75" customHeight="1">
      <c r="D253" s="31"/>
    </row>
    <row r="254" spans="4:4" ht="15.75" customHeight="1">
      <c r="D254" s="31"/>
    </row>
    <row r="255" spans="4:4" ht="15.75" customHeight="1">
      <c r="D255" s="31"/>
    </row>
    <row r="256" spans="4:4" ht="15.75" customHeight="1">
      <c r="D256" s="31"/>
    </row>
    <row r="257" spans="4:4" ht="15.75" customHeight="1">
      <c r="D257" s="31"/>
    </row>
    <row r="258" spans="4:4" ht="15.75" customHeight="1">
      <c r="D258" s="31"/>
    </row>
    <row r="259" spans="4:4" ht="15.75" customHeight="1">
      <c r="D259" s="31"/>
    </row>
    <row r="260" spans="4:4" ht="15.75" customHeight="1">
      <c r="D260" s="31"/>
    </row>
    <row r="261" spans="4:4" ht="15.75" customHeight="1">
      <c r="D261" s="31"/>
    </row>
    <row r="262" spans="4:4" ht="15.75" customHeight="1">
      <c r="D262" s="31"/>
    </row>
    <row r="263" spans="4:4" ht="15.75" customHeight="1">
      <c r="D263" s="31"/>
    </row>
    <row r="264" spans="4:4" ht="15.75" customHeight="1">
      <c r="D264" s="31"/>
    </row>
    <row r="265" spans="4:4" ht="15.75" customHeight="1">
      <c r="D265" s="31"/>
    </row>
    <row r="266" spans="4:4" ht="15.75" customHeight="1">
      <c r="D266" s="31"/>
    </row>
    <row r="267" spans="4:4" ht="15.75" customHeight="1">
      <c r="D267" s="31"/>
    </row>
    <row r="268" spans="4:4" ht="15.75" customHeight="1">
      <c r="D268" s="31"/>
    </row>
    <row r="269" spans="4:4" ht="15.75" customHeight="1">
      <c r="D269" s="31"/>
    </row>
    <row r="270" spans="4:4" ht="15.75" customHeight="1">
      <c r="D270" s="31"/>
    </row>
    <row r="271" spans="4:4" ht="15.75" customHeight="1">
      <c r="D271" s="31"/>
    </row>
    <row r="272" spans="4:4" ht="15.75" customHeight="1">
      <c r="D272" s="31"/>
    </row>
    <row r="273" spans="4:4" ht="15.75" customHeight="1">
      <c r="D273" s="31"/>
    </row>
    <row r="274" spans="4:4" ht="15.75" customHeight="1">
      <c r="D274" s="31"/>
    </row>
    <row r="275" spans="4:4" ht="15.75" customHeight="1">
      <c r="D275" s="31"/>
    </row>
    <row r="276" spans="4:4" ht="15.75" customHeight="1">
      <c r="D276" s="31"/>
    </row>
    <row r="277" spans="4:4" ht="15.75" customHeight="1">
      <c r="D277" s="31"/>
    </row>
    <row r="278" spans="4:4" ht="15.75" customHeight="1">
      <c r="D278" s="31"/>
    </row>
    <row r="279" spans="4:4" ht="15.75" customHeight="1">
      <c r="D279" s="31"/>
    </row>
    <row r="280" spans="4:4" ht="15.75" customHeight="1">
      <c r="D280" s="31"/>
    </row>
    <row r="281" spans="4:4" ht="15.75" customHeight="1">
      <c r="D281" s="31"/>
    </row>
    <row r="282" spans="4:4" ht="15.75" customHeight="1">
      <c r="D282" s="31"/>
    </row>
    <row r="283" spans="4:4" ht="15.75" customHeight="1">
      <c r="D283" s="31"/>
    </row>
    <row r="284" spans="4:4" ht="15.75" customHeight="1">
      <c r="D284" s="31"/>
    </row>
    <row r="285" spans="4:4" ht="15.75" customHeight="1">
      <c r="D285" s="31"/>
    </row>
    <row r="286" spans="4:4" ht="15.75" customHeight="1">
      <c r="D286" s="31"/>
    </row>
    <row r="287" spans="4:4" ht="15.75" customHeight="1">
      <c r="D287" s="31"/>
    </row>
    <row r="288" spans="4:4" ht="15.75" customHeight="1">
      <c r="D288" s="31"/>
    </row>
    <row r="289" spans="4:4" ht="15.75" customHeight="1">
      <c r="D289" s="31"/>
    </row>
    <row r="290" spans="4:4" ht="15.75" customHeight="1">
      <c r="D290" s="31"/>
    </row>
    <row r="291" spans="4:4" ht="15.75" customHeight="1">
      <c r="D291" s="31"/>
    </row>
    <row r="292" spans="4:4" ht="15.75" customHeight="1">
      <c r="D292" s="31"/>
    </row>
    <row r="293" spans="4:4" ht="15.75" customHeight="1">
      <c r="D293" s="31"/>
    </row>
    <row r="294" spans="4:4" ht="15.75" customHeight="1">
      <c r="D294" s="31"/>
    </row>
    <row r="295" spans="4:4" ht="15.75" customHeight="1">
      <c r="D295" s="31"/>
    </row>
    <row r="296" spans="4:4" ht="15.75" customHeight="1">
      <c r="D296" s="31"/>
    </row>
    <row r="297" spans="4:4" ht="15.75" customHeight="1">
      <c r="D297" s="31"/>
    </row>
    <row r="298" spans="4:4" ht="15.75" customHeight="1">
      <c r="D298" s="31"/>
    </row>
    <row r="299" spans="4:4" ht="15.75" customHeight="1">
      <c r="D299" s="31"/>
    </row>
    <row r="300" spans="4:4" ht="15.75" customHeight="1">
      <c r="D300" s="31"/>
    </row>
    <row r="301" spans="4:4" ht="15.75" customHeight="1">
      <c r="D301" s="31"/>
    </row>
    <row r="302" spans="4:4" ht="15.75" customHeight="1">
      <c r="D302" s="31"/>
    </row>
    <row r="303" spans="4:4" ht="15.75" customHeight="1">
      <c r="D303" s="31"/>
    </row>
    <row r="304" spans="4:4" ht="15.75" customHeight="1">
      <c r="D304" s="31"/>
    </row>
    <row r="305" spans="4:4" ht="15.75" customHeight="1">
      <c r="D305" s="31"/>
    </row>
    <row r="306" spans="4:4" ht="15.75" customHeight="1">
      <c r="D306" s="31"/>
    </row>
    <row r="307" spans="4:4" ht="15.75" customHeight="1">
      <c r="D307" s="31"/>
    </row>
    <row r="308" spans="4:4" ht="15.75" customHeight="1">
      <c r="D308" s="31"/>
    </row>
    <row r="309" spans="4:4" ht="15.75" customHeight="1">
      <c r="D309" s="31"/>
    </row>
    <row r="310" spans="4:4" ht="15.75" customHeight="1">
      <c r="D310" s="31"/>
    </row>
    <row r="311" spans="4:4" ht="15.75" customHeight="1">
      <c r="D311" s="31"/>
    </row>
    <row r="312" spans="4:4" ht="15.75" customHeight="1">
      <c r="D312" s="31"/>
    </row>
    <row r="313" spans="4:4" ht="15.75" customHeight="1">
      <c r="D313" s="31"/>
    </row>
    <row r="314" spans="4:4" ht="15.75" customHeight="1">
      <c r="D314" s="31"/>
    </row>
    <row r="315" spans="4:4" ht="15.75" customHeight="1">
      <c r="D315" s="31"/>
    </row>
    <row r="316" spans="4:4" ht="15.75" customHeight="1">
      <c r="D316" s="31"/>
    </row>
    <row r="317" spans="4:4" ht="15.75" customHeight="1">
      <c r="D317" s="31"/>
    </row>
    <row r="318" spans="4:4" ht="15.75" customHeight="1">
      <c r="D318" s="31"/>
    </row>
    <row r="319" spans="4:4" ht="15.75" customHeight="1">
      <c r="D319" s="31"/>
    </row>
    <row r="320" spans="4:4" ht="15.75" customHeight="1">
      <c r="D320" s="31"/>
    </row>
    <row r="321" spans="4:4" ht="15.75" customHeight="1">
      <c r="D321" s="31"/>
    </row>
    <row r="322" spans="4:4" ht="15.75" customHeight="1">
      <c r="D322" s="31"/>
    </row>
    <row r="323" spans="4:4" ht="15.75" customHeight="1">
      <c r="D323" s="31"/>
    </row>
    <row r="324" spans="4:4" ht="15.75" customHeight="1">
      <c r="D324" s="31"/>
    </row>
    <row r="325" spans="4:4" ht="15.75" customHeight="1">
      <c r="D325" s="31"/>
    </row>
    <row r="326" spans="4:4" ht="15.75" customHeight="1">
      <c r="D326" s="31"/>
    </row>
    <row r="327" spans="4:4" ht="15.75" customHeight="1">
      <c r="D327" s="31"/>
    </row>
    <row r="328" spans="4:4" ht="15.75" customHeight="1">
      <c r="D328" s="31"/>
    </row>
    <row r="329" spans="4:4" ht="15.75" customHeight="1">
      <c r="D329" s="31"/>
    </row>
    <row r="330" spans="4:4" ht="15.75" customHeight="1">
      <c r="D330" s="31"/>
    </row>
    <row r="331" spans="4:4" ht="15.75" customHeight="1">
      <c r="D331" s="31"/>
    </row>
    <row r="332" spans="4:4" ht="15.75" customHeight="1">
      <c r="D332" s="31"/>
    </row>
    <row r="333" spans="4:4" ht="15.75" customHeight="1">
      <c r="D333" s="31"/>
    </row>
    <row r="334" spans="4:4" ht="15.75" customHeight="1">
      <c r="D334" s="31"/>
    </row>
    <row r="335" spans="4:4" ht="15.75" customHeight="1">
      <c r="D335" s="31"/>
    </row>
    <row r="336" spans="4:4" ht="15.75" customHeight="1">
      <c r="D336" s="31"/>
    </row>
    <row r="337" spans="4:4" ht="15.75" customHeight="1">
      <c r="D337" s="31"/>
    </row>
    <row r="338" spans="4:4" ht="15.75" customHeight="1">
      <c r="D338" s="31"/>
    </row>
    <row r="339" spans="4:4" ht="15.75" customHeight="1">
      <c r="D339" s="31"/>
    </row>
    <row r="340" spans="4:4" ht="15.75" customHeight="1">
      <c r="D340" s="31"/>
    </row>
    <row r="341" spans="4:4" ht="15.75" customHeight="1">
      <c r="D341" s="31"/>
    </row>
    <row r="342" spans="4:4" ht="15.75" customHeight="1">
      <c r="D342" s="31"/>
    </row>
    <row r="343" spans="4:4" ht="15.75" customHeight="1">
      <c r="D343" s="31"/>
    </row>
    <row r="344" spans="4:4" ht="15.75" customHeight="1">
      <c r="D344" s="31"/>
    </row>
    <row r="345" spans="4:4" ht="15.75" customHeight="1">
      <c r="D345" s="31"/>
    </row>
    <row r="346" spans="4:4" ht="15.75" customHeight="1">
      <c r="D346" s="31"/>
    </row>
    <row r="347" spans="4:4" ht="15.75" customHeight="1">
      <c r="D347" s="31"/>
    </row>
    <row r="348" spans="4:4" ht="15.75" customHeight="1">
      <c r="D348" s="31"/>
    </row>
    <row r="349" spans="4:4" ht="15.75" customHeight="1">
      <c r="D349" s="31"/>
    </row>
    <row r="350" spans="4:4" ht="15.75" customHeight="1">
      <c r="D350" s="31"/>
    </row>
    <row r="351" spans="4:4" ht="15.75" customHeight="1">
      <c r="D351" s="31"/>
    </row>
    <row r="352" spans="4:4" ht="15.75" customHeight="1">
      <c r="D352" s="31"/>
    </row>
    <row r="353" spans="4:4" ht="15.75" customHeight="1">
      <c r="D353" s="31"/>
    </row>
    <row r="354" spans="4:4" ht="15.75" customHeight="1">
      <c r="D354" s="31"/>
    </row>
    <row r="355" spans="4:4" ht="15.75" customHeight="1">
      <c r="D355" s="31"/>
    </row>
    <row r="356" spans="4:4" ht="15.75" customHeight="1">
      <c r="D356" s="31"/>
    </row>
    <row r="357" spans="4:4" ht="15.75" customHeight="1">
      <c r="D357" s="31"/>
    </row>
    <row r="358" spans="4:4" ht="15.75" customHeight="1">
      <c r="D358" s="31"/>
    </row>
    <row r="359" spans="4:4" ht="15.75" customHeight="1">
      <c r="D359" s="31"/>
    </row>
    <row r="360" spans="4:4" ht="15.75" customHeight="1">
      <c r="D360" s="31"/>
    </row>
    <row r="361" spans="4:4" ht="15.75" customHeight="1">
      <c r="D361" s="31"/>
    </row>
    <row r="362" spans="4:4" ht="15.75" customHeight="1">
      <c r="D362" s="31"/>
    </row>
    <row r="363" spans="4:4" ht="15.75" customHeight="1">
      <c r="D363" s="31"/>
    </row>
    <row r="364" spans="4:4" ht="15.75" customHeight="1">
      <c r="D364" s="31"/>
    </row>
    <row r="365" spans="4:4" ht="15.75" customHeight="1">
      <c r="D365" s="31"/>
    </row>
    <row r="366" spans="4:4" ht="15.75" customHeight="1">
      <c r="D366" s="31"/>
    </row>
    <row r="367" spans="4:4" ht="15.75" customHeight="1">
      <c r="D367" s="31"/>
    </row>
    <row r="368" spans="4:4" ht="15.75" customHeight="1">
      <c r="D368" s="31"/>
    </row>
    <row r="369" spans="4:4" ht="15.75" customHeight="1">
      <c r="D369" s="31"/>
    </row>
    <row r="370" spans="4:4" ht="15.75" customHeight="1">
      <c r="D370" s="31"/>
    </row>
    <row r="371" spans="4:4" ht="15.75" customHeight="1">
      <c r="D371" s="31"/>
    </row>
    <row r="372" spans="4:4" ht="15.75" customHeight="1">
      <c r="D372" s="31"/>
    </row>
    <row r="373" spans="4:4" ht="15.75" customHeight="1">
      <c r="D373" s="31"/>
    </row>
    <row r="374" spans="4:4" ht="15.75" customHeight="1">
      <c r="D374" s="31"/>
    </row>
    <row r="375" spans="4:4" ht="15.75" customHeight="1">
      <c r="D375" s="31"/>
    </row>
    <row r="376" spans="4:4" ht="15.75" customHeight="1">
      <c r="D376" s="31"/>
    </row>
    <row r="377" spans="4:4" ht="15.75" customHeight="1">
      <c r="D377" s="31"/>
    </row>
    <row r="378" spans="4:4" ht="15.75" customHeight="1">
      <c r="D378" s="31"/>
    </row>
    <row r="379" spans="4:4" ht="15.75" customHeight="1">
      <c r="D379" s="31"/>
    </row>
    <row r="380" spans="4:4" ht="15.75" customHeight="1">
      <c r="D380" s="31"/>
    </row>
    <row r="381" spans="4:4" ht="15.75" customHeight="1">
      <c r="D381" s="31"/>
    </row>
    <row r="382" spans="4:4" ht="15.75" customHeight="1">
      <c r="D382" s="31"/>
    </row>
    <row r="383" spans="4:4" ht="15.75" customHeight="1">
      <c r="D383" s="31"/>
    </row>
    <row r="384" spans="4:4" ht="15.75" customHeight="1">
      <c r="D384" s="31"/>
    </row>
    <row r="385" spans="4:4" ht="15.75" customHeight="1">
      <c r="D385" s="31"/>
    </row>
    <row r="386" spans="4:4" ht="15.75" customHeight="1">
      <c r="D386" s="31"/>
    </row>
    <row r="387" spans="4:4" ht="15.75" customHeight="1">
      <c r="D387" s="31"/>
    </row>
    <row r="388" spans="4:4" ht="15.75" customHeight="1">
      <c r="D388" s="31"/>
    </row>
    <row r="389" spans="4:4" ht="15.75" customHeight="1">
      <c r="D389" s="31"/>
    </row>
    <row r="390" spans="4:4" ht="15.75" customHeight="1">
      <c r="D390" s="31"/>
    </row>
    <row r="391" spans="4:4" ht="15.75" customHeight="1">
      <c r="D391" s="31"/>
    </row>
    <row r="392" spans="4:4" ht="15.75" customHeight="1">
      <c r="D392" s="31"/>
    </row>
    <row r="393" spans="4:4" ht="15.75" customHeight="1">
      <c r="D393" s="31"/>
    </row>
    <row r="394" spans="4:4" ht="15.75" customHeight="1">
      <c r="D394" s="31"/>
    </row>
    <row r="395" spans="4:4" ht="15.75" customHeight="1">
      <c r="D395" s="31"/>
    </row>
    <row r="396" spans="4:4" ht="15.75" customHeight="1">
      <c r="D396" s="31"/>
    </row>
    <row r="397" spans="4:4" ht="15.75" customHeight="1">
      <c r="D397" s="31"/>
    </row>
    <row r="398" spans="4:4" ht="15.75" customHeight="1">
      <c r="D398" s="31"/>
    </row>
    <row r="399" spans="4:4" ht="15.75" customHeight="1">
      <c r="D399" s="31"/>
    </row>
    <row r="400" spans="4:4" ht="15.75" customHeight="1">
      <c r="D400" s="31"/>
    </row>
    <row r="401" spans="4:4" ht="15.75" customHeight="1">
      <c r="D401" s="31"/>
    </row>
    <row r="402" spans="4:4" ht="15.75" customHeight="1">
      <c r="D402" s="31"/>
    </row>
    <row r="403" spans="4:4" ht="15.75" customHeight="1">
      <c r="D403" s="31"/>
    </row>
    <row r="404" spans="4:4" ht="15.75" customHeight="1">
      <c r="D404" s="31"/>
    </row>
    <row r="405" spans="4:4" ht="15.75" customHeight="1">
      <c r="D405" s="31"/>
    </row>
    <row r="406" spans="4:4" ht="15.75" customHeight="1">
      <c r="D406" s="31"/>
    </row>
    <row r="407" spans="4:4" ht="15.75" customHeight="1">
      <c r="D407" s="31"/>
    </row>
    <row r="408" spans="4:4" ht="15.75" customHeight="1">
      <c r="D408" s="31"/>
    </row>
    <row r="409" spans="4:4" ht="15.75" customHeight="1">
      <c r="D409" s="31"/>
    </row>
    <row r="410" spans="4:4" ht="15.75" customHeight="1">
      <c r="D410" s="31"/>
    </row>
    <row r="411" spans="4:4" ht="15.75" customHeight="1">
      <c r="D411" s="31"/>
    </row>
    <row r="412" spans="4:4" ht="15.75" customHeight="1">
      <c r="D412" s="31"/>
    </row>
    <row r="413" spans="4:4" ht="15.75" customHeight="1">
      <c r="D413" s="31"/>
    </row>
    <row r="414" spans="4:4" ht="15.75" customHeight="1">
      <c r="D414" s="31"/>
    </row>
    <row r="415" spans="4:4" ht="15.75" customHeight="1">
      <c r="D415" s="31"/>
    </row>
    <row r="416" spans="4:4" ht="15.75" customHeight="1">
      <c r="D416" s="31"/>
    </row>
    <row r="417" spans="4:4" ht="15.75" customHeight="1">
      <c r="D417" s="31"/>
    </row>
    <row r="418" spans="4:4" ht="15.75" customHeight="1">
      <c r="D418" s="31"/>
    </row>
    <row r="419" spans="4:4" ht="15.75" customHeight="1">
      <c r="D419" s="31"/>
    </row>
    <row r="420" spans="4:4" ht="15.75" customHeight="1">
      <c r="D420" s="31"/>
    </row>
    <row r="421" spans="4:4" ht="15.75" customHeight="1">
      <c r="D421" s="31"/>
    </row>
    <row r="422" spans="4:4" ht="15.75" customHeight="1">
      <c r="D422" s="31"/>
    </row>
    <row r="423" spans="4:4" ht="15.75" customHeight="1">
      <c r="D423" s="31"/>
    </row>
    <row r="424" spans="4:4" ht="15.75" customHeight="1">
      <c r="D424" s="31"/>
    </row>
    <row r="425" spans="4:4" ht="15.75" customHeight="1">
      <c r="D425" s="31"/>
    </row>
    <row r="426" spans="4:4" ht="15.75" customHeight="1">
      <c r="D426" s="31"/>
    </row>
    <row r="427" spans="4:4" ht="15.75" customHeight="1">
      <c r="D427" s="31"/>
    </row>
    <row r="428" spans="4:4" ht="15.75" customHeight="1">
      <c r="D428" s="31"/>
    </row>
    <row r="429" spans="4:4" ht="15.75" customHeight="1">
      <c r="D429" s="31"/>
    </row>
    <row r="430" spans="4:4" ht="15.75" customHeight="1">
      <c r="D430" s="31"/>
    </row>
    <row r="431" spans="4:4" ht="15.75" customHeight="1">
      <c r="D431" s="31"/>
    </row>
    <row r="432" spans="4:4" ht="15.75" customHeight="1">
      <c r="D432" s="31"/>
    </row>
    <row r="433" spans="4:4" ht="15.75" customHeight="1">
      <c r="D433" s="31"/>
    </row>
    <row r="434" spans="4:4" ht="15.75" customHeight="1">
      <c r="D434" s="31"/>
    </row>
    <row r="435" spans="4:4" ht="15.75" customHeight="1">
      <c r="D435" s="31"/>
    </row>
    <row r="436" spans="4:4" ht="15.75" customHeight="1">
      <c r="D436" s="31"/>
    </row>
    <row r="437" spans="4:4" ht="15.75" customHeight="1">
      <c r="D437" s="31"/>
    </row>
    <row r="438" spans="4:4" ht="15.75" customHeight="1">
      <c r="D438" s="31"/>
    </row>
    <row r="439" spans="4:4" ht="15.75" customHeight="1">
      <c r="D439" s="31"/>
    </row>
    <row r="440" spans="4:4" ht="15.75" customHeight="1">
      <c r="D440" s="31"/>
    </row>
    <row r="441" spans="4:4" ht="15.75" customHeight="1">
      <c r="D441" s="31"/>
    </row>
    <row r="442" spans="4:4" ht="15.75" customHeight="1">
      <c r="D442" s="31"/>
    </row>
    <row r="443" spans="4:4" ht="15.75" customHeight="1">
      <c r="D443" s="31"/>
    </row>
    <row r="444" spans="4:4" ht="15.75" customHeight="1">
      <c r="D444" s="31"/>
    </row>
    <row r="445" spans="4:4" ht="15.75" customHeight="1">
      <c r="D445" s="31"/>
    </row>
    <row r="446" spans="4:4" ht="15.75" customHeight="1">
      <c r="D446" s="31"/>
    </row>
    <row r="447" spans="4:4" ht="15.75" customHeight="1">
      <c r="D447" s="31"/>
    </row>
    <row r="448" spans="4:4" ht="15.75" customHeight="1">
      <c r="D448" s="31"/>
    </row>
    <row r="449" spans="4:4" ht="15.75" customHeight="1">
      <c r="D449" s="31"/>
    </row>
    <row r="450" spans="4:4" ht="15.75" customHeight="1">
      <c r="D450" s="31"/>
    </row>
    <row r="451" spans="4:4" ht="15.75" customHeight="1">
      <c r="D451" s="31"/>
    </row>
    <row r="452" spans="4:4" ht="15.75" customHeight="1">
      <c r="D452" s="31"/>
    </row>
    <row r="453" spans="4:4" ht="15.75" customHeight="1">
      <c r="D453" s="31"/>
    </row>
    <row r="454" spans="4:4" ht="15.75" customHeight="1">
      <c r="D454" s="31"/>
    </row>
    <row r="455" spans="4:4" ht="15.75" customHeight="1">
      <c r="D455" s="31"/>
    </row>
    <row r="456" spans="4:4" ht="15.75" customHeight="1">
      <c r="D456" s="31"/>
    </row>
    <row r="457" spans="4:4" ht="15.75" customHeight="1">
      <c r="D457" s="31"/>
    </row>
    <row r="458" spans="4:4" ht="15.75" customHeight="1">
      <c r="D458" s="31"/>
    </row>
    <row r="459" spans="4:4" ht="15.75" customHeight="1">
      <c r="D459" s="31"/>
    </row>
    <row r="460" spans="4:4" ht="15.75" customHeight="1">
      <c r="D460" s="31"/>
    </row>
    <row r="461" spans="4:4" ht="15.75" customHeight="1">
      <c r="D461" s="31"/>
    </row>
    <row r="462" spans="4:4" ht="15.75" customHeight="1">
      <c r="D462" s="31"/>
    </row>
    <row r="463" spans="4:4" ht="15.75" customHeight="1">
      <c r="D463" s="31"/>
    </row>
    <row r="464" spans="4:4" ht="15.75" customHeight="1">
      <c r="D464" s="31"/>
    </row>
    <row r="465" spans="4:4" ht="15.75" customHeight="1">
      <c r="D465" s="31"/>
    </row>
    <row r="466" spans="4:4" ht="15.75" customHeight="1">
      <c r="D466" s="31"/>
    </row>
    <row r="467" spans="4:4" ht="15.75" customHeight="1">
      <c r="D467" s="31"/>
    </row>
    <row r="468" spans="4:4" ht="15.75" customHeight="1">
      <c r="D468" s="31"/>
    </row>
    <row r="469" spans="4:4" ht="15.75" customHeight="1">
      <c r="D469" s="31"/>
    </row>
    <row r="470" spans="4:4" ht="15.75" customHeight="1">
      <c r="D470" s="31"/>
    </row>
    <row r="471" spans="4:4" ht="15.75" customHeight="1">
      <c r="D471" s="31"/>
    </row>
    <row r="472" spans="4:4" ht="15.75" customHeight="1">
      <c r="D472" s="31"/>
    </row>
    <row r="473" spans="4:4" ht="15.75" customHeight="1">
      <c r="D473" s="31"/>
    </row>
    <row r="474" spans="4:4" ht="15.75" customHeight="1">
      <c r="D474" s="31"/>
    </row>
    <row r="475" spans="4:4" ht="15.75" customHeight="1">
      <c r="D475" s="31"/>
    </row>
    <row r="476" spans="4:4" ht="15.75" customHeight="1">
      <c r="D476" s="31"/>
    </row>
    <row r="477" spans="4:4" ht="15.75" customHeight="1">
      <c r="D477" s="31"/>
    </row>
    <row r="478" spans="4:4" ht="15.75" customHeight="1">
      <c r="D478" s="31"/>
    </row>
    <row r="479" spans="4:4" ht="15.75" customHeight="1">
      <c r="D479" s="31"/>
    </row>
    <row r="480" spans="4:4" ht="15.75" customHeight="1">
      <c r="D480" s="31"/>
    </row>
    <row r="481" spans="4:4" ht="15.75" customHeight="1">
      <c r="D481" s="31"/>
    </row>
    <row r="482" spans="4:4" ht="15.75" customHeight="1">
      <c r="D482" s="31"/>
    </row>
    <row r="483" spans="4:4" ht="15.75" customHeight="1">
      <c r="D483" s="31"/>
    </row>
    <row r="484" spans="4:4" ht="15.75" customHeight="1">
      <c r="D484" s="31"/>
    </row>
    <row r="485" spans="4:4" ht="15.75" customHeight="1">
      <c r="D485" s="31"/>
    </row>
    <row r="486" spans="4:4" ht="15.75" customHeight="1">
      <c r="D486" s="31"/>
    </row>
    <row r="487" spans="4:4" ht="15.75" customHeight="1">
      <c r="D487" s="31"/>
    </row>
    <row r="488" spans="4:4" ht="15.75" customHeight="1">
      <c r="D488" s="31"/>
    </row>
    <row r="489" spans="4:4" ht="15.75" customHeight="1">
      <c r="D489" s="31"/>
    </row>
    <row r="490" spans="4:4" ht="15.75" customHeight="1">
      <c r="D490" s="31"/>
    </row>
    <row r="491" spans="4:4" ht="15.75" customHeight="1">
      <c r="D491" s="31"/>
    </row>
    <row r="492" spans="4:4" ht="15.75" customHeight="1">
      <c r="D492" s="31"/>
    </row>
    <row r="493" spans="4:4" ht="15.75" customHeight="1">
      <c r="D493" s="31"/>
    </row>
    <row r="494" spans="4:4" ht="15.75" customHeight="1">
      <c r="D494" s="31"/>
    </row>
    <row r="495" spans="4:4" ht="15.75" customHeight="1">
      <c r="D495" s="31"/>
    </row>
    <row r="496" spans="4:4" ht="15.75" customHeight="1">
      <c r="D496" s="31"/>
    </row>
    <row r="497" spans="4:4" ht="15.75" customHeight="1">
      <c r="D497" s="31"/>
    </row>
    <row r="498" spans="4:4" ht="15.75" customHeight="1">
      <c r="D498" s="31"/>
    </row>
    <row r="499" spans="4:4" ht="15.75" customHeight="1">
      <c r="D499" s="31"/>
    </row>
    <row r="500" spans="4:4" ht="15.75" customHeight="1">
      <c r="D500" s="31"/>
    </row>
    <row r="501" spans="4:4" ht="15.75" customHeight="1">
      <c r="D501" s="31"/>
    </row>
    <row r="502" spans="4:4" ht="15.75" customHeight="1">
      <c r="D502" s="31"/>
    </row>
    <row r="503" spans="4:4" ht="15.75" customHeight="1">
      <c r="D503" s="31"/>
    </row>
    <row r="504" spans="4:4" ht="15.75" customHeight="1">
      <c r="D504" s="31"/>
    </row>
    <row r="505" spans="4:4" ht="15.75" customHeight="1">
      <c r="D505" s="31"/>
    </row>
    <row r="506" spans="4:4" ht="15.75" customHeight="1">
      <c r="D506" s="31"/>
    </row>
    <row r="507" spans="4:4" ht="15.75" customHeight="1">
      <c r="D507" s="31"/>
    </row>
    <row r="508" spans="4:4" ht="15.75" customHeight="1">
      <c r="D508" s="31"/>
    </row>
    <row r="509" spans="4:4" ht="15.75" customHeight="1">
      <c r="D509" s="31"/>
    </row>
    <row r="510" spans="4:4" ht="15.75" customHeight="1">
      <c r="D510" s="31"/>
    </row>
    <row r="511" spans="4:4" ht="15.75" customHeight="1">
      <c r="D511" s="31"/>
    </row>
    <row r="512" spans="4:4" ht="15.75" customHeight="1">
      <c r="D512" s="31"/>
    </row>
    <row r="513" spans="4:4" ht="15.75" customHeight="1">
      <c r="D513" s="31"/>
    </row>
    <row r="514" spans="4:4" ht="15.75" customHeight="1">
      <c r="D514" s="31"/>
    </row>
    <row r="515" spans="4:4" ht="15.75" customHeight="1">
      <c r="D515" s="31"/>
    </row>
    <row r="516" spans="4:4" ht="15.75" customHeight="1">
      <c r="D516" s="31"/>
    </row>
    <row r="517" spans="4:4" ht="15.75" customHeight="1">
      <c r="D517" s="31"/>
    </row>
    <row r="518" spans="4:4" ht="15.75" customHeight="1">
      <c r="D518" s="31"/>
    </row>
    <row r="519" spans="4:4" ht="15.75" customHeight="1">
      <c r="D519" s="31"/>
    </row>
    <row r="520" spans="4:4" ht="15.75" customHeight="1">
      <c r="D520" s="31"/>
    </row>
    <row r="521" spans="4:4" ht="15.75" customHeight="1">
      <c r="D521" s="31"/>
    </row>
    <row r="522" spans="4:4" ht="15.75" customHeight="1">
      <c r="D522" s="31"/>
    </row>
    <row r="523" spans="4:4" ht="15.75" customHeight="1">
      <c r="D523" s="31"/>
    </row>
    <row r="524" spans="4:4" ht="15.75" customHeight="1">
      <c r="D524" s="31"/>
    </row>
    <row r="525" spans="4:4" ht="15.75" customHeight="1">
      <c r="D525" s="31"/>
    </row>
    <row r="526" spans="4:4" ht="15.75" customHeight="1">
      <c r="D526" s="31"/>
    </row>
    <row r="527" spans="4:4" ht="15.75" customHeight="1">
      <c r="D527" s="31"/>
    </row>
    <row r="528" spans="4:4" ht="15.75" customHeight="1">
      <c r="D528" s="31"/>
    </row>
    <row r="529" spans="4:4" ht="15.75" customHeight="1">
      <c r="D529" s="31"/>
    </row>
    <row r="530" spans="4:4" ht="15.75" customHeight="1">
      <c r="D530" s="31"/>
    </row>
    <row r="531" spans="4:4" ht="15.75" customHeight="1">
      <c r="D531" s="31"/>
    </row>
    <row r="532" spans="4:4" ht="15.75" customHeight="1">
      <c r="D532" s="31"/>
    </row>
    <row r="533" spans="4:4" ht="15.75" customHeight="1">
      <c r="D533" s="31"/>
    </row>
    <row r="534" spans="4:4" ht="15.75" customHeight="1">
      <c r="D534" s="31"/>
    </row>
    <row r="535" spans="4:4" ht="15.75" customHeight="1">
      <c r="D535" s="31"/>
    </row>
    <row r="536" spans="4:4" ht="15.75" customHeight="1">
      <c r="D536" s="31"/>
    </row>
    <row r="537" spans="4:4" ht="15.75" customHeight="1">
      <c r="D537" s="31"/>
    </row>
    <row r="538" spans="4:4" ht="15.75" customHeight="1">
      <c r="D538" s="31"/>
    </row>
    <row r="539" spans="4:4" ht="15.75" customHeight="1">
      <c r="D539" s="31"/>
    </row>
    <row r="540" spans="4:4" ht="15.75" customHeight="1">
      <c r="D540" s="31"/>
    </row>
    <row r="541" spans="4:4" ht="15.75" customHeight="1">
      <c r="D541" s="31"/>
    </row>
    <row r="542" spans="4:4" ht="15.75" customHeight="1">
      <c r="D542" s="31"/>
    </row>
    <row r="543" spans="4:4" ht="15.75" customHeight="1">
      <c r="D543" s="31"/>
    </row>
    <row r="544" spans="4:4" ht="15.75" customHeight="1">
      <c r="D544" s="31"/>
    </row>
    <row r="545" spans="4:4" ht="15.75" customHeight="1">
      <c r="D545" s="31"/>
    </row>
    <row r="546" spans="4:4" ht="15.75" customHeight="1">
      <c r="D546" s="31"/>
    </row>
    <row r="547" spans="4:4" ht="15.75" customHeight="1">
      <c r="D547" s="31"/>
    </row>
    <row r="548" spans="4:4" ht="15.75" customHeight="1">
      <c r="D548" s="31"/>
    </row>
    <row r="549" spans="4:4" ht="15.75" customHeight="1">
      <c r="D549" s="31"/>
    </row>
    <row r="550" spans="4:4" ht="15.75" customHeight="1">
      <c r="D550" s="31"/>
    </row>
    <row r="551" spans="4:4" ht="15.75" customHeight="1">
      <c r="D551" s="31"/>
    </row>
    <row r="552" spans="4:4" ht="15.75" customHeight="1">
      <c r="D552" s="31"/>
    </row>
    <row r="553" spans="4:4" ht="15.75" customHeight="1">
      <c r="D553" s="31"/>
    </row>
    <row r="554" spans="4:4" ht="15.75" customHeight="1">
      <c r="D554" s="31"/>
    </row>
    <row r="555" spans="4:4" ht="15.75" customHeight="1">
      <c r="D555" s="31"/>
    </row>
    <row r="556" spans="4:4" ht="15.75" customHeight="1">
      <c r="D556" s="31"/>
    </row>
    <row r="557" spans="4:4" ht="15.75" customHeight="1">
      <c r="D557" s="31"/>
    </row>
    <row r="558" spans="4:4" ht="15.75" customHeight="1">
      <c r="D558" s="31"/>
    </row>
    <row r="559" spans="4:4" ht="15.75" customHeight="1">
      <c r="D559" s="31"/>
    </row>
    <row r="560" spans="4:4" ht="15.75" customHeight="1">
      <c r="D560" s="31"/>
    </row>
    <row r="561" spans="4:4" ht="15.75" customHeight="1">
      <c r="D561" s="31"/>
    </row>
    <row r="562" spans="4:4" ht="15.75" customHeight="1">
      <c r="D562" s="31"/>
    </row>
    <row r="563" spans="4:4" ht="15.75" customHeight="1">
      <c r="D563" s="31"/>
    </row>
    <row r="564" spans="4:4" ht="15.75" customHeight="1">
      <c r="D564" s="31"/>
    </row>
    <row r="565" spans="4:4" ht="15.75" customHeight="1">
      <c r="D565" s="31"/>
    </row>
    <row r="566" spans="4:4" ht="15.75" customHeight="1">
      <c r="D566" s="31"/>
    </row>
    <row r="567" spans="4:4" ht="15.75" customHeight="1">
      <c r="D567" s="31"/>
    </row>
    <row r="568" spans="4:4" ht="15.75" customHeight="1">
      <c r="D568" s="31"/>
    </row>
    <row r="569" spans="4:4" ht="15.75" customHeight="1">
      <c r="D569" s="31"/>
    </row>
    <row r="570" spans="4:4" ht="15.75" customHeight="1">
      <c r="D570" s="31"/>
    </row>
    <row r="571" spans="4:4" ht="15.75" customHeight="1">
      <c r="D571" s="31"/>
    </row>
    <row r="572" spans="4:4" ht="15.75" customHeight="1">
      <c r="D572" s="31"/>
    </row>
    <row r="573" spans="4:4" ht="15.75" customHeight="1">
      <c r="D573" s="31"/>
    </row>
    <row r="574" spans="4:4" ht="15.75" customHeight="1">
      <c r="D574" s="31"/>
    </row>
    <row r="575" spans="4:4" ht="15.75" customHeight="1">
      <c r="D575" s="31"/>
    </row>
    <row r="576" spans="4:4" ht="15.75" customHeight="1">
      <c r="D576" s="31"/>
    </row>
    <row r="577" spans="4:4" ht="15.75" customHeight="1">
      <c r="D577" s="31"/>
    </row>
    <row r="578" spans="4:4" ht="15.75" customHeight="1">
      <c r="D578" s="31"/>
    </row>
    <row r="579" spans="4:4" ht="15.75" customHeight="1">
      <c r="D579" s="31"/>
    </row>
    <row r="580" spans="4:4" ht="15.75" customHeight="1">
      <c r="D580" s="31"/>
    </row>
    <row r="581" spans="4:4" ht="15.75" customHeight="1">
      <c r="D581" s="31"/>
    </row>
    <row r="582" spans="4:4" ht="15.75" customHeight="1">
      <c r="D582" s="31"/>
    </row>
    <row r="583" spans="4:4" ht="15.75" customHeight="1">
      <c r="D583" s="31"/>
    </row>
    <row r="584" spans="4:4" ht="15.75" customHeight="1">
      <c r="D584" s="31"/>
    </row>
    <row r="585" spans="4:4" ht="15.75" customHeight="1">
      <c r="D585" s="31"/>
    </row>
    <row r="586" spans="4:4" ht="15.75" customHeight="1">
      <c r="D586" s="31"/>
    </row>
    <row r="587" spans="4:4" ht="15.75" customHeight="1">
      <c r="D587" s="31"/>
    </row>
    <row r="588" spans="4:4" ht="15.75" customHeight="1">
      <c r="D588" s="31"/>
    </row>
    <row r="589" spans="4:4" ht="15.75" customHeight="1">
      <c r="D589" s="31"/>
    </row>
    <row r="590" spans="4:4" ht="15.75" customHeight="1">
      <c r="D590" s="31"/>
    </row>
    <row r="591" spans="4:4" ht="15.75" customHeight="1">
      <c r="D591" s="31"/>
    </row>
    <row r="592" spans="4:4" ht="15.75" customHeight="1">
      <c r="D592" s="31"/>
    </row>
    <row r="593" spans="4:4" ht="15.75" customHeight="1">
      <c r="D593" s="31"/>
    </row>
    <row r="594" spans="4:4" ht="15.75" customHeight="1">
      <c r="D594" s="31"/>
    </row>
    <row r="595" spans="4:4" ht="15.75" customHeight="1">
      <c r="D595" s="31"/>
    </row>
    <row r="596" spans="4:4" ht="15.75" customHeight="1">
      <c r="D596" s="31"/>
    </row>
    <row r="597" spans="4:4" ht="15.75" customHeight="1">
      <c r="D597" s="31"/>
    </row>
    <row r="598" spans="4:4" ht="15.75" customHeight="1">
      <c r="D598" s="31"/>
    </row>
    <row r="599" spans="4:4" ht="15.75" customHeight="1">
      <c r="D599" s="31"/>
    </row>
    <row r="600" spans="4:4" ht="15.75" customHeight="1">
      <c r="D600" s="31"/>
    </row>
    <row r="601" spans="4:4" ht="15.75" customHeight="1">
      <c r="D601" s="31"/>
    </row>
    <row r="602" spans="4:4" ht="15.75" customHeight="1">
      <c r="D602" s="31"/>
    </row>
    <row r="603" spans="4:4" ht="15.75" customHeight="1">
      <c r="D603" s="31"/>
    </row>
    <row r="604" spans="4:4" ht="15.75" customHeight="1">
      <c r="D604" s="31"/>
    </row>
    <row r="605" spans="4:4" ht="15.75" customHeight="1">
      <c r="D605" s="31"/>
    </row>
    <row r="606" spans="4:4" ht="15.75" customHeight="1">
      <c r="D606" s="31"/>
    </row>
    <row r="607" spans="4:4" ht="15.75" customHeight="1">
      <c r="D607" s="31"/>
    </row>
    <row r="608" spans="4:4" ht="15.75" customHeight="1">
      <c r="D608" s="31"/>
    </row>
    <row r="609" spans="4:4" ht="15.75" customHeight="1">
      <c r="D609" s="31"/>
    </row>
    <row r="610" spans="4:4" ht="15.75" customHeight="1">
      <c r="D610" s="31"/>
    </row>
    <row r="611" spans="4:4" ht="15.75" customHeight="1">
      <c r="D611" s="31"/>
    </row>
    <row r="612" spans="4:4" ht="15.75" customHeight="1">
      <c r="D612" s="31"/>
    </row>
    <row r="613" spans="4:4" ht="15.75" customHeight="1">
      <c r="D613" s="31"/>
    </row>
    <row r="614" spans="4:4" ht="15.75" customHeight="1">
      <c r="D614" s="31"/>
    </row>
    <row r="615" spans="4:4" ht="15.75" customHeight="1">
      <c r="D615" s="31"/>
    </row>
    <row r="616" spans="4:4" ht="15.75" customHeight="1">
      <c r="D616" s="31"/>
    </row>
    <row r="617" spans="4:4" ht="15.75" customHeight="1">
      <c r="D617" s="31"/>
    </row>
    <row r="618" spans="4:4" ht="15.75" customHeight="1">
      <c r="D618" s="31"/>
    </row>
    <row r="619" spans="4:4" ht="15.75" customHeight="1">
      <c r="D619" s="31"/>
    </row>
    <row r="620" spans="4:4" ht="15.75" customHeight="1">
      <c r="D620" s="31"/>
    </row>
    <row r="621" spans="4:4" ht="15.75" customHeight="1">
      <c r="D621" s="31"/>
    </row>
    <row r="622" spans="4:4" ht="15.75" customHeight="1">
      <c r="D622" s="31"/>
    </row>
    <row r="623" spans="4:4" ht="15.75" customHeight="1">
      <c r="D623" s="31"/>
    </row>
    <row r="624" spans="4:4" ht="15.75" customHeight="1">
      <c r="D624" s="31"/>
    </row>
    <row r="625" spans="4:4" ht="15.75" customHeight="1">
      <c r="D625" s="31"/>
    </row>
    <row r="626" spans="4:4" ht="15.75" customHeight="1">
      <c r="D626" s="31"/>
    </row>
    <row r="627" spans="4:4" ht="15.75" customHeight="1">
      <c r="D627" s="31"/>
    </row>
    <row r="628" spans="4:4" ht="15.75" customHeight="1">
      <c r="D628" s="31"/>
    </row>
    <row r="629" spans="4:4" ht="15.75" customHeight="1">
      <c r="D629" s="31"/>
    </row>
    <row r="630" spans="4:4" ht="15.75" customHeight="1">
      <c r="D630" s="31"/>
    </row>
    <row r="631" spans="4:4" ht="15.75" customHeight="1">
      <c r="D631" s="31"/>
    </row>
    <row r="632" spans="4:4" ht="15.75" customHeight="1">
      <c r="D632" s="31"/>
    </row>
    <row r="633" spans="4:4" ht="15.75" customHeight="1">
      <c r="D633" s="31"/>
    </row>
    <row r="634" spans="4:4" ht="15.75" customHeight="1">
      <c r="D634" s="31"/>
    </row>
    <row r="635" spans="4:4" ht="15.75" customHeight="1">
      <c r="D635" s="31"/>
    </row>
    <row r="636" spans="4:4" ht="15.75" customHeight="1">
      <c r="D636" s="31"/>
    </row>
    <row r="637" spans="4:4" ht="15.75" customHeight="1">
      <c r="D637" s="31"/>
    </row>
    <row r="638" spans="4:4" ht="15.75" customHeight="1">
      <c r="D638" s="31"/>
    </row>
    <row r="639" spans="4:4" ht="15.75" customHeight="1">
      <c r="D639" s="31"/>
    </row>
    <row r="640" spans="4:4" ht="15.75" customHeight="1">
      <c r="D640" s="31"/>
    </row>
    <row r="641" spans="4:4" ht="15.75" customHeight="1">
      <c r="D641" s="31"/>
    </row>
    <row r="642" spans="4:4" ht="15.75" customHeight="1">
      <c r="D642" s="31"/>
    </row>
    <row r="643" spans="4:4" ht="15.75" customHeight="1">
      <c r="D643" s="31"/>
    </row>
    <row r="644" spans="4:4" ht="15.75" customHeight="1">
      <c r="D644" s="31"/>
    </row>
    <row r="645" spans="4:4" ht="15.75" customHeight="1">
      <c r="D645" s="31"/>
    </row>
    <row r="646" spans="4:4" ht="15.75" customHeight="1">
      <c r="D646" s="31"/>
    </row>
    <row r="647" spans="4:4" ht="15.75" customHeight="1">
      <c r="D647" s="31"/>
    </row>
    <row r="648" spans="4:4" ht="15.75" customHeight="1">
      <c r="D648" s="31"/>
    </row>
    <row r="649" spans="4:4" ht="15.75" customHeight="1">
      <c r="D649" s="31"/>
    </row>
    <row r="650" spans="4:4" ht="15.75" customHeight="1">
      <c r="D650" s="31"/>
    </row>
    <row r="651" spans="4:4" ht="15.75" customHeight="1">
      <c r="D651" s="31"/>
    </row>
    <row r="652" spans="4:4" ht="15.75" customHeight="1">
      <c r="D652" s="31"/>
    </row>
    <row r="653" spans="4:4" ht="15.75" customHeight="1">
      <c r="D653" s="31"/>
    </row>
    <row r="654" spans="4:4" ht="15.75" customHeight="1">
      <c r="D654" s="31"/>
    </row>
    <row r="655" spans="4:4" ht="15.75" customHeight="1">
      <c r="D655" s="31"/>
    </row>
    <row r="656" spans="4:4" ht="15.75" customHeight="1">
      <c r="D656" s="31"/>
    </row>
    <row r="657" spans="4:4" ht="15.75" customHeight="1">
      <c r="D657" s="31"/>
    </row>
    <row r="658" spans="4:4" ht="15.75" customHeight="1">
      <c r="D658" s="31"/>
    </row>
    <row r="659" spans="4:4" ht="15.75" customHeight="1">
      <c r="D659" s="31"/>
    </row>
    <row r="660" spans="4:4" ht="15.75" customHeight="1">
      <c r="D660" s="31"/>
    </row>
    <row r="661" spans="4:4" ht="15.75" customHeight="1">
      <c r="D661" s="31"/>
    </row>
    <row r="662" spans="4:4" ht="15.75" customHeight="1">
      <c r="D662" s="31"/>
    </row>
    <row r="663" spans="4:4" ht="15.75" customHeight="1">
      <c r="D663" s="31"/>
    </row>
    <row r="664" spans="4:4" ht="15.75" customHeight="1">
      <c r="D664" s="31"/>
    </row>
    <row r="665" spans="4:4" ht="15.75" customHeight="1">
      <c r="D665" s="31"/>
    </row>
    <row r="666" spans="4:4" ht="15.75" customHeight="1">
      <c r="D666" s="31"/>
    </row>
    <row r="667" spans="4:4" ht="15.75" customHeight="1">
      <c r="D667" s="31"/>
    </row>
    <row r="668" spans="4:4" ht="15.75" customHeight="1">
      <c r="D668" s="31"/>
    </row>
    <row r="669" spans="4:4" ht="15.75" customHeight="1">
      <c r="D669" s="31"/>
    </row>
    <row r="670" spans="4:4" ht="15.75" customHeight="1">
      <c r="D670" s="31"/>
    </row>
    <row r="671" spans="4:4" ht="15.75" customHeight="1">
      <c r="D671" s="31"/>
    </row>
    <row r="672" spans="4:4" ht="15.75" customHeight="1">
      <c r="D672" s="31"/>
    </row>
    <row r="673" spans="4:4" ht="15.75" customHeight="1">
      <c r="D673" s="31"/>
    </row>
    <row r="674" spans="4:4" ht="15.75" customHeight="1">
      <c r="D674" s="31"/>
    </row>
    <row r="675" spans="4:4" ht="15.75" customHeight="1">
      <c r="D675" s="31"/>
    </row>
    <row r="676" spans="4:4" ht="15.75" customHeight="1">
      <c r="D676" s="31"/>
    </row>
    <row r="677" spans="4:4" ht="15.75" customHeight="1">
      <c r="D677" s="31"/>
    </row>
    <row r="678" spans="4:4" ht="15.75" customHeight="1">
      <c r="D678" s="31"/>
    </row>
    <row r="679" spans="4:4" ht="15.75" customHeight="1">
      <c r="D679" s="31"/>
    </row>
    <row r="680" spans="4:4" ht="15.75" customHeight="1">
      <c r="D680" s="31"/>
    </row>
    <row r="681" spans="4:4" ht="15.75" customHeight="1">
      <c r="D681" s="31"/>
    </row>
    <row r="682" spans="4:4" ht="15.75" customHeight="1">
      <c r="D682" s="31"/>
    </row>
    <row r="683" spans="4:4" ht="15.75" customHeight="1">
      <c r="D683" s="31"/>
    </row>
    <row r="684" spans="4:4" ht="15.75" customHeight="1">
      <c r="D684" s="31"/>
    </row>
    <row r="685" spans="4:4" ht="15.75" customHeight="1">
      <c r="D685" s="31"/>
    </row>
    <row r="686" spans="4:4" ht="15.75" customHeight="1">
      <c r="D686" s="31"/>
    </row>
    <row r="687" spans="4:4" ht="15.75" customHeight="1">
      <c r="D687" s="31"/>
    </row>
    <row r="688" spans="4:4" ht="15.75" customHeight="1">
      <c r="D688" s="31"/>
    </row>
    <row r="689" spans="4:4" ht="15.75" customHeight="1">
      <c r="D689" s="31"/>
    </row>
    <row r="690" spans="4:4" ht="15.75" customHeight="1">
      <c r="D690" s="31"/>
    </row>
    <row r="691" spans="4:4" ht="15.75" customHeight="1">
      <c r="D691" s="31"/>
    </row>
    <row r="692" spans="4:4" ht="15.75" customHeight="1">
      <c r="D692" s="31"/>
    </row>
    <row r="693" spans="4:4" ht="15.75" customHeight="1">
      <c r="D693" s="31"/>
    </row>
    <row r="694" spans="4:4" ht="15.75" customHeight="1">
      <c r="D694" s="31"/>
    </row>
    <row r="695" spans="4:4" ht="15.75" customHeight="1">
      <c r="D695" s="31"/>
    </row>
    <row r="696" spans="4:4" ht="15.75" customHeight="1">
      <c r="D696" s="31"/>
    </row>
    <row r="697" spans="4:4" ht="15.75" customHeight="1">
      <c r="D697" s="31"/>
    </row>
    <row r="698" spans="4:4" ht="15.75" customHeight="1">
      <c r="D698" s="31"/>
    </row>
    <row r="699" spans="4:4" ht="15.75" customHeight="1">
      <c r="D699" s="31"/>
    </row>
    <row r="700" spans="4:4" ht="15.75" customHeight="1">
      <c r="D700" s="31"/>
    </row>
    <row r="701" spans="4:4" ht="15.75" customHeight="1">
      <c r="D701" s="31"/>
    </row>
    <row r="702" spans="4:4" ht="15.75" customHeight="1">
      <c r="D702" s="31"/>
    </row>
    <row r="703" spans="4:4" ht="15.75" customHeight="1">
      <c r="D703" s="31"/>
    </row>
    <row r="704" spans="4:4" ht="15.75" customHeight="1">
      <c r="D704" s="31"/>
    </row>
    <row r="705" spans="4:4" ht="15.75" customHeight="1">
      <c r="D705" s="31"/>
    </row>
    <row r="706" spans="4:4" ht="15.75" customHeight="1">
      <c r="D706" s="31"/>
    </row>
    <row r="707" spans="4:4" ht="15.75" customHeight="1">
      <c r="D707" s="31"/>
    </row>
    <row r="708" spans="4:4" ht="15.75" customHeight="1">
      <c r="D708" s="31"/>
    </row>
    <row r="709" spans="4:4" ht="15.75" customHeight="1">
      <c r="D709" s="31"/>
    </row>
    <row r="710" spans="4:4" ht="15.75" customHeight="1">
      <c r="D710" s="31"/>
    </row>
    <row r="711" spans="4:4" ht="15.75" customHeight="1">
      <c r="D711" s="31"/>
    </row>
    <row r="712" spans="4:4" ht="15.75" customHeight="1">
      <c r="D712" s="31"/>
    </row>
    <row r="713" spans="4:4" ht="15.75" customHeight="1">
      <c r="D713" s="31"/>
    </row>
    <row r="714" spans="4:4" ht="15.75" customHeight="1">
      <c r="D714" s="31"/>
    </row>
    <row r="715" spans="4:4" ht="15.75" customHeight="1">
      <c r="D715" s="31"/>
    </row>
    <row r="716" spans="4:4" ht="15.75" customHeight="1">
      <c r="D716" s="31"/>
    </row>
    <row r="717" spans="4:4" ht="15.75" customHeight="1">
      <c r="D717" s="31"/>
    </row>
    <row r="718" spans="4:4" ht="15.75" customHeight="1">
      <c r="D718" s="31"/>
    </row>
    <row r="719" spans="4:4" ht="15.75" customHeight="1">
      <c r="D719" s="31"/>
    </row>
    <row r="720" spans="4:4" ht="15.75" customHeight="1">
      <c r="D720" s="31"/>
    </row>
    <row r="721" spans="4:4" ht="15.75" customHeight="1">
      <c r="D721" s="31"/>
    </row>
    <row r="722" spans="4:4" ht="15.75" customHeight="1">
      <c r="D722" s="31"/>
    </row>
    <row r="723" spans="4:4" ht="15.75" customHeight="1">
      <c r="D723" s="31"/>
    </row>
    <row r="724" spans="4:4" ht="15.75" customHeight="1">
      <c r="D724" s="31"/>
    </row>
    <row r="725" spans="4:4" ht="15.75" customHeight="1">
      <c r="D725" s="31"/>
    </row>
    <row r="726" spans="4:4" ht="15.75" customHeight="1">
      <c r="D726" s="31"/>
    </row>
    <row r="727" spans="4:4" ht="15.75" customHeight="1">
      <c r="D727" s="31"/>
    </row>
    <row r="728" spans="4:4" ht="15.75" customHeight="1">
      <c r="D728" s="31"/>
    </row>
    <row r="729" spans="4:4" ht="15.75" customHeight="1">
      <c r="D729" s="31"/>
    </row>
    <row r="730" spans="4:4" ht="15.75" customHeight="1">
      <c r="D730" s="31"/>
    </row>
    <row r="731" spans="4:4" ht="15.75" customHeight="1">
      <c r="D731" s="31"/>
    </row>
    <row r="732" spans="4:4" ht="15.75" customHeight="1">
      <c r="D732" s="31"/>
    </row>
    <row r="733" spans="4:4" ht="15.75" customHeight="1">
      <c r="D733" s="31"/>
    </row>
    <row r="734" spans="4:4" ht="15.75" customHeight="1">
      <c r="D734" s="31"/>
    </row>
    <row r="735" spans="4:4" ht="15.75" customHeight="1">
      <c r="D735" s="31"/>
    </row>
    <row r="736" spans="4:4" ht="15.75" customHeight="1">
      <c r="D736" s="31"/>
    </row>
    <row r="737" spans="4:4" ht="15.75" customHeight="1">
      <c r="D737" s="31"/>
    </row>
    <row r="738" spans="4:4" ht="15.75" customHeight="1">
      <c r="D738" s="31"/>
    </row>
    <row r="739" spans="4:4" ht="15.75" customHeight="1">
      <c r="D739" s="31"/>
    </row>
    <row r="740" spans="4:4" ht="15.75" customHeight="1">
      <c r="D740" s="31"/>
    </row>
    <row r="741" spans="4:4" ht="15.75" customHeight="1">
      <c r="D741" s="31"/>
    </row>
    <row r="742" spans="4:4" ht="15.75" customHeight="1">
      <c r="D742" s="31"/>
    </row>
    <row r="743" spans="4:4" ht="15.75" customHeight="1">
      <c r="D743" s="31"/>
    </row>
    <row r="744" spans="4:4" ht="15.75" customHeight="1">
      <c r="D744" s="31"/>
    </row>
    <row r="745" spans="4:4" ht="15.75" customHeight="1">
      <c r="D745" s="31"/>
    </row>
    <row r="746" spans="4:4" ht="15.75" customHeight="1">
      <c r="D746" s="31"/>
    </row>
    <row r="747" spans="4:4" ht="15.75" customHeight="1">
      <c r="D747" s="31"/>
    </row>
    <row r="748" spans="4:4" ht="15.75" customHeight="1">
      <c r="D748" s="31"/>
    </row>
    <row r="749" spans="4:4" ht="15.75" customHeight="1">
      <c r="D749" s="31"/>
    </row>
    <row r="750" spans="4:4" ht="15.75" customHeight="1">
      <c r="D750" s="31"/>
    </row>
    <row r="751" spans="4:4" ht="15.75" customHeight="1">
      <c r="D751" s="31"/>
    </row>
    <row r="752" spans="4:4" ht="15.75" customHeight="1">
      <c r="D752" s="31"/>
    </row>
    <row r="753" spans="4:4" ht="15.75" customHeight="1">
      <c r="D753" s="31"/>
    </row>
    <row r="754" spans="4:4" ht="15.75" customHeight="1">
      <c r="D754" s="31"/>
    </row>
    <row r="755" spans="4:4" ht="15.75" customHeight="1">
      <c r="D755" s="31"/>
    </row>
    <row r="756" spans="4:4" ht="15.75" customHeight="1">
      <c r="D756" s="31"/>
    </row>
    <row r="757" spans="4:4" ht="15.75" customHeight="1">
      <c r="D757" s="31"/>
    </row>
    <row r="758" spans="4:4" ht="15.75" customHeight="1">
      <c r="D758" s="31"/>
    </row>
    <row r="759" spans="4:4" ht="15.75" customHeight="1">
      <c r="D759" s="31"/>
    </row>
    <row r="760" spans="4:4" ht="15.75" customHeight="1">
      <c r="D760" s="31"/>
    </row>
    <row r="761" spans="4:4" ht="15.75" customHeight="1">
      <c r="D761" s="31"/>
    </row>
    <row r="762" spans="4:4" ht="15.75" customHeight="1">
      <c r="D762" s="31"/>
    </row>
    <row r="763" spans="4:4" ht="15.75" customHeight="1">
      <c r="D763" s="31"/>
    </row>
    <row r="764" spans="4:4" ht="15.75" customHeight="1">
      <c r="D764" s="31"/>
    </row>
    <row r="765" spans="4:4" ht="15.75" customHeight="1">
      <c r="D765" s="31"/>
    </row>
    <row r="766" spans="4:4" ht="15.75" customHeight="1">
      <c r="D766" s="31"/>
    </row>
    <row r="767" spans="4:4" ht="15.75" customHeight="1">
      <c r="D767" s="31"/>
    </row>
    <row r="768" spans="4:4" ht="15.75" customHeight="1">
      <c r="D768" s="31"/>
    </row>
    <row r="769" spans="4:4" ht="15.75" customHeight="1">
      <c r="D769" s="31"/>
    </row>
    <row r="770" spans="4:4" ht="15.75" customHeight="1">
      <c r="D770" s="31"/>
    </row>
    <row r="771" spans="4:4" ht="15.75" customHeight="1">
      <c r="D771" s="31"/>
    </row>
    <row r="772" spans="4:4" ht="15.75" customHeight="1">
      <c r="D772" s="31"/>
    </row>
    <row r="773" spans="4:4" ht="15.75" customHeight="1">
      <c r="D773" s="31"/>
    </row>
    <row r="774" spans="4:4" ht="15.75" customHeight="1">
      <c r="D774" s="31"/>
    </row>
    <row r="775" spans="4:4" ht="15.75" customHeight="1">
      <c r="D775" s="31"/>
    </row>
    <row r="776" spans="4:4" ht="15.75" customHeight="1">
      <c r="D776" s="31"/>
    </row>
    <row r="777" spans="4:4" ht="15.75" customHeight="1">
      <c r="D777" s="31"/>
    </row>
    <row r="778" spans="4:4" ht="15.75" customHeight="1">
      <c r="D778" s="31"/>
    </row>
    <row r="779" spans="4:4" ht="15.75" customHeight="1">
      <c r="D779" s="31"/>
    </row>
    <row r="780" spans="4:4" ht="15.75" customHeight="1">
      <c r="D780" s="31"/>
    </row>
    <row r="781" spans="4:4" ht="15.75" customHeight="1">
      <c r="D781" s="31"/>
    </row>
    <row r="782" spans="4:4" ht="15.75" customHeight="1">
      <c r="D782" s="31"/>
    </row>
    <row r="783" spans="4:4" ht="15.75" customHeight="1">
      <c r="D783" s="31"/>
    </row>
    <row r="784" spans="4:4" ht="15.75" customHeight="1">
      <c r="D784" s="31"/>
    </row>
    <row r="785" spans="4:4" ht="15.75" customHeight="1">
      <c r="D785" s="31"/>
    </row>
    <row r="786" spans="4:4" ht="15.75" customHeight="1">
      <c r="D786" s="31"/>
    </row>
    <row r="787" spans="4:4" ht="15.75" customHeight="1">
      <c r="D787" s="31"/>
    </row>
    <row r="788" spans="4:4" ht="15.75" customHeight="1">
      <c r="D788" s="31"/>
    </row>
    <row r="789" spans="4:4" ht="15.75" customHeight="1">
      <c r="D789" s="31"/>
    </row>
    <row r="790" spans="4:4" ht="15.75" customHeight="1">
      <c r="D790" s="31"/>
    </row>
    <row r="791" spans="4:4" ht="15.75" customHeight="1">
      <c r="D791" s="31"/>
    </row>
    <row r="792" spans="4:4" ht="15.75" customHeight="1">
      <c r="D792" s="31"/>
    </row>
    <row r="793" spans="4:4" ht="15.75" customHeight="1">
      <c r="D793" s="31"/>
    </row>
    <row r="794" spans="4:4" ht="15.75" customHeight="1">
      <c r="D794" s="31"/>
    </row>
    <row r="795" spans="4:4" ht="15.75" customHeight="1">
      <c r="D795" s="31"/>
    </row>
    <row r="796" spans="4:4" ht="15.75" customHeight="1">
      <c r="D796" s="31"/>
    </row>
    <row r="797" spans="4:4" ht="15.75" customHeight="1">
      <c r="D797" s="31"/>
    </row>
    <row r="798" spans="4:4" ht="15.75" customHeight="1">
      <c r="D798" s="31"/>
    </row>
    <row r="799" spans="4:4" ht="15.75" customHeight="1">
      <c r="D799" s="31"/>
    </row>
    <row r="800" spans="4:4" ht="15.75" customHeight="1">
      <c r="D800" s="31"/>
    </row>
    <row r="801" spans="4:4" ht="15.75" customHeight="1">
      <c r="D801" s="31"/>
    </row>
    <row r="802" spans="4:4" ht="15.75" customHeight="1">
      <c r="D802" s="31"/>
    </row>
    <row r="803" spans="4:4" ht="15.75" customHeight="1">
      <c r="D803" s="31"/>
    </row>
    <row r="804" spans="4:4" ht="15.75" customHeight="1">
      <c r="D804" s="31"/>
    </row>
    <row r="805" spans="4:4" ht="15.75" customHeight="1">
      <c r="D805" s="31"/>
    </row>
    <row r="806" spans="4:4" ht="15.75" customHeight="1">
      <c r="D806" s="31"/>
    </row>
    <row r="807" spans="4:4" ht="15.75" customHeight="1">
      <c r="D807" s="31"/>
    </row>
    <row r="808" spans="4:4" ht="15.75" customHeight="1">
      <c r="D808" s="31"/>
    </row>
    <row r="809" spans="4:4" ht="15.75" customHeight="1">
      <c r="D809" s="31"/>
    </row>
    <row r="810" spans="4:4" ht="15.75" customHeight="1">
      <c r="D810" s="31"/>
    </row>
    <row r="811" spans="4:4" ht="15.75" customHeight="1">
      <c r="D811" s="31"/>
    </row>
    <row r="812" spans="4:4" ht="15.75" customHeight="1">
      <c r="D812" s="31"/>
    </row>
    <row r="813" spans="4:4" ht="15.75" customHeight="1">
      <c r="D813" s="31"/>
    </row>
    <row r="814" spans="4:4" ht="15.75" customHeight="1">
      <c r="D814" s="31"/>
    </row>
    <row r="815" spans="4:4" ht="15.75" customHeight="1">
      <c r="D815" s="31"/>
    </row>
    <row r="816" spans="4:4" ht="15.75" customHeight="1">
      <c r="D816" s="31"/>
    </row>
    <row r="817" spans="4:4" ht="15.75" customHeight="1">
      <c r="D817" s="31"/>
    </row>
    <row r="818" spans="4:4" ht="15.75" customHeight="1">
      <c r="D818" s="31"/>
    </row>
    <row r="819" spans="4:4" ht="15.75" customHeight="1">
      <c r="D819" s="31"/>
    </row>
    <row r="820" spans="4:4" ht="15.75" customHeight="1">
      <c r="D820" s="31"/>
    </row>
    <row r="821" spans="4:4" ht="15.75" customHeight="1">
      <c r="D821" s="31"/>
    </row>
    <row r="822" spans="4:4" ht="15.75" customHeight="1">
      <c r="D822" s="31"/>
    </row>
    <row r="823" spans="4:4" ht="15.75" customHeight="1">
      <c r="D823" s="31"/>
    </row>
    <row r="824" spans="4:4" ht="15.75" customHeight="1">
      <c r="D824" s="31"/>
    </row>
    <row r="825" spans="4:4" ht="15.75" customHeight="1">
      <c r="D825" s="31"/>
    </row>
    <row r="826" spans="4:4" ht="15.75" customHeight="1">
      <c r="D826" s="31"/>
    </row>
    <row r="827" spans="4:4" ht="15.75" customHeight="1">
      <c r="D827" s="31"/>
    </row>
    <row r="828" spans="4:4" ht="15.75" customHeight="1">
      <c r="D828" s="31"/>
    </row>
    <row r="829" spans="4:4" ht="15.75" customHeight="1">
      <c r="D829" s="31"/>
    </row>
    <row r="830" spans="4:4" ht="15.75" customHeight="1">
      <c r="D830" s="31"/>
    </row>
    <row r="831" spans="4:4" ht="15.75" customHeight="1">
      <c r="D831" s="31"/>
    </row>
    <row r="832" spans="4:4" ht="15.75" customHeight="1">
      <c r="D832" s="31"/>
    </row>
    <row r="833" spans="4:4" ht="15.75" customHeight="1">
      <c r="D833" s="31"/>
    </row>
    <row r="834" spans="4:4" ht="15.75" customHeight="1">
      <c r="D834" s="31"/>
    </row>
    <row r="835" spans="4:4" ht="15.75" customHeight="1">
      <c r="D835" s="31"/>
    </row>
    <row r="836" spans="4:4" ht="15.75" customHeight="1">
      <c r="D836" s="31"/>
    </row>
    <row r="837" spans="4:4" ht="15.75" customHeight="1">
      <c r="D837" s="31"/>
    </row>
    <row r="838" spans="4:4" ht="15.75" customHeight="1">
      <c r="D838" s="31"/>
    </row>
    <row r="839" spans="4:4" ht="15.75" customHeight="1">
      <c r="D839" s="31"/>
    </row>
    <row r="840" spans="4:4" ht="15.75" customHeight="1">
      <c r="D840" s="31"/>
    </row>
    <row r="841" spans="4:4" ht="15.75" customHeight="1">
      <c r="D841" s="31"/>
    </row>
    <row r="842" spans="4:4" ht="15.75" customHeight="1">
      <c r="D842" s="31"/>
    </row>
    <row r="843" spans="4:4" ht="15.75" customHeight="1">
      <c r="D843" s="31"/>
    </row>
    <row r="844" spans="4:4" ht="15.75" customHeight="1">
      <c r="D844" s="31"/>
    </row>
    <row r="845" spans="4:4" ht="15.75" customHeight="1">
      <c r="D845" s="31"/>
    </row>
    <row r="846" spans="4:4" ht="15.75" customHeight="1">
      <c r="D846" s="31"/>
    </row>
    <row r="847" spans="4:4" ht="15.75" customHeight="1">
      <c r="D847" s="31"/>
    </row>
    <row r="848" spans="4:4" ht="15.75" customHeight="1">
      <c r="D848" s="31"/>
    </row>
    <row r="849" spans="4:4" ht="15.75" customHeight="1">
      <c r="D849" s="31"/>
    </row>
    <row r="850" spans="4:4" ht="15.75" customHeight="1">
      <c r="D850" s="31"/>
    </row>
    <row r="851" spans="4:4" ht="15.75" customHeight="1">
      <c r="D851" s="31"/>
    </row>
    <row r="852" spans="4:4" ht="15.75" customHeight="1">
      <c r="D852" s="31"/>
    </row>
    <row r="853" spans="4:4" ht="15.75" customHeight="1">
      <c r="D853" s="31"/>
    </row>
    <row r="854" spans="4:4" ht="15.75" customHeight="1">
      <c r="D854" s="31"/>
    </row>
    <row r="855" spans="4:4" ht="15.75" customHeight="1">
      <c r="D855" s="31"/>
    </row>
    <row r="856" spans="4:4" ht="15.75" customHeight="1">
      <c r="D856" s="31"/>
    </row>
    <row r="857" spans="4:4" ht="15.75" customHeight="1">
      <c r="D857" s="31"/>
    </row>
    <row r="858" spans="4:4" ht="15.75" customHeight="1">
      <c r="D858" s="31"/>
    </row>
    <row r="859" spans="4:4" ht="15.75" customHeight="1">
      <c r="D859" s="31"/>
    </row>
    <row r="860" spans="4:4" ht="15.75" customHeight="1">
      <c r="D860" s="31"/>
    </row>
    <row r="861" spans="4:4" ht="15.75" customHeight="1">
      <c r="D861" s="31"/>
    </row>
    <row r="862" spans="4:4" ht="15.75" customHeight="1">
      <c r="D862" s="31"/>
    </row>
    <row r="863" spans="4:4" ht="15.75" customHeight="1">
      <c r="D863" s="31"/>
    </row>
    <row r="864" spans="4:4" ht="15.75" customHeight="1">
      <c r="D864" s="31"/>
    </row>
    <row r="865" spans="4:4" ht="15.75" customHeight="1">
      <c r="D865" s="31"/>
    </row>
    <row r="866" spans="4:4" ht="15.75" customHeight="1">
      <c r="D866" s="31"/>
    </row>
    <row r="867" spans="4:4" ht="15.75" customHeight="1">
      <c r="D867" s="31"/>
    </row>
    <row r="868" spans="4:4" ht="15.75" customHeight="1">
      <c r="D868" s="31"/>
    </row>
    <row r="869" spans="4:4" ht="15.75" customHeight="1">
      <c r="D869" s="31"/>
    </row>
    <row r="870" spans="4:4" ht="15.75" customHeight="1">
      <c r="D870" s="31"/>
    </row>
    <row r="871" spans="4:4" ht="15.75" customHeight="1">
      <c r="D871" s="31"/>
    </row>
    <row r="872" spans="4:4" ht="15.75" customHeight="1">
      <c r="D872" s="31"/>
    </row>
    <row r="873" spans="4:4" ht="15.75" customHeight="1">
      <c r="D873" s="31"/>
    </row>
    <row r="874" spans="4:4" ht="15.75" customHeight="1">
      <c r="D874" s="31"/>
    </row>
    <row r="875" spans="4:4" ht="15.75" customHeight="1">
      <c r="D875" s="31"/>
    </row>
    <row r="876" spans="4:4" ht="15.75" customHeight="1">
      <c r="D876" s="31"/>
    </row>
    <row r="877" spans="4:4" ht="15.75" customHeight="1">
      <c r="D877" s="31"/>
    </row>
    <row r="878" spans="4:4" ht="15.75" customHeight="1">
      <c r="D878" s="31"/>
    </row>
    <row r="879" spans="4:4" ht="15.75" customHeight="1">
      <c r="D879" s="31"/>
    </row>
    <row r="880" spans="4:4" ht="15.75" customHeight="1">
      <c r="D880" s="31"/>
    </row>
    <row r="881" spans="4:4" ht="15.75" customHeight="1">
      <c r="D881" s="31"/>
    </row>
    <row r="882" spans="4:4" ht="15.75" customHeight="1">
      <c r="D882" s="31"/>
    </row>
    <row r="883" spans="4:4" ht="15.75" customHeight="1">
      <c r="D883" s="31"/>
    </row>
    <row r="884" spans="4:4" ht="15.75" customHeight="1">
      <c r="D884" s="31"/>
    </row>
    <row r="885" spans="4:4" ht="15.75" customHeight="1">
      <c r="D885" s="31"/>
    </row>
    <row r="886" spans="4:4" ht="15.75" customHeight="1">
      <c r="D886" s="31"/>
    </row>
    <row r="887" spans="4:4" ht="15.75" customHeight="1">
      <c r="D887" s="31"/>
    </row>
    <row r="888" spans="4:4" ht="15.75" customHeight="1">
      <c r="D888" s="31"/>
    </row>
    <row r="889" spans="4:4" ht="15.75" customHeight="1">
      <c r="D889" s="31"/>
    </row>
    <row r="890" spans="4:4" ht="15.75" customHeight="1">
      <c r="D890" s="31"/>
    </row>
    <row r="891" spans="4:4" ht="15.75" customHeight="1">
      <c r="D891" s="31"/>
    </row>
    <row r="892" spans="4:4" ht="15.75" customHeight="1">
      <c r="D892" s="31"/>
    </row>
    <row r="893" spans="4:4" ht="15.75" customHeight="1">
      <c r="D893" s="31"/>
    </row>
    <row r="894" spans="4:4" ht="15.75" customHeight="1">
      <c r="D894" s="31"/>
    </row>
    <row r="895" spans="4:4" ht="15.75" customHeight="1">
      <c r="D895" s="31"/>
    </row>
    <row r="896" spans="4:4" ht="15.75" customHeight="1">
      <c r="D896" s="31"/>
    </row>
    <row r="897" spans="4:4" ht="15.75" customHeight="1">
      <c r="D897" s="31"/>
    </row>
    <row r="898" spans="4:4" ht="15.75" customHeight="1">
      <c r="D898" s="31"/>
    </row>
    <row r="899" spans="4:4" ht="15.75" customHeight="1">
      <c r="D899" s="31"/>
    </row>
    <row r="900" spans="4:4" ht="15.75" customHeight="1">
      <c r="D900" s="31"/>
    </row>
    <row r="901" spans="4:4" ht="15.75" customHeight="1">
      <c r="D901" s="31"/>
    </row>
    <row r="902" spans="4:4" ht="15.75" customHeight="1">
      <c r="D902" s="31"/>
    </row>
    <row r="903" spans="4:4" ht="15.75" customHeight="1">
      <c r="D903" s="31"/>
    </row>
    <row r="904" spans="4:4" ht="15.75" customHeight="1">
      <c r="D904" s="31"/>
    </row>
    <row r="905" spans="4:4" ht="15.75" customHeight="1">
      <c r="D905" s="31"/>
    </row>
    <row r="906" spans="4:4" ht="15.75" customHeight="1">
      <c r="D906" s="31"/>
    </row>
    <row r="907" spans="4:4" ht="15.75" customHeight="1">
      <c r="D907" s="31"/>
    </row>
    <row r="908" spans="4:4" ht="15.75" customHeight="1">
      <c r="D908" s="31"/>
    </row>
    <row r="909" spans="4:4" ht="15.75" customHeight="1">
      <c r="D909" s="31"/>
    </row>
    <row r="910" spans="4:4" ht="15.75" customHeight="1">
      <c r="D910" s="31"/>
    </row>
    <row r="911" spans="4:4" ht="15.75" customHeight="1">
      <c r="D911" s="31"/>
    </row>
    <row r="912" spans="4:4" ht="15.75" customHeight="1">
      <c r="D912" s="31"/>
    </row>
    <row r="913" spans="4:4" ht="15.75" customHeight="1">
      <c r="D913" s="31"/>
    </row>
    <row r="914" spans="4:4" ht="15.75" customHeight="1">
      <c r="D914" s="31"/>
    </row>
    <row r="915" spans="4:4" ht="15.75" customHeight="1">
      <c r="D915" s="31"/>
    </row>
    <row r="916" spans="4:4" ht="15.75" customHeight="1">
      <c r="D916" s="31"/>
    </row>
    <row r="917" spans="4:4" ht="15.75" customHeight="1">
      <c r="D917" s="31"/>
    </row>
    <row r="918" spans="4:4" ht="15.75" customHeight="1">
      <c r="D918" s="31"/>
    </row>
    <row r="919" spans="4:4" ht="15.75" customHeight="1">
      <c r="D919" s="31"/>
    </row>
    <row r="920" spans="4:4" ht="15.75" customHeight="1">
      <c r="D920" s="31"/>
    </row>
    <row r="921" spans="4:4" ht="15.75" customHeight="1">
      <c r="D921" s="31"/>
    </row>
    <row r="922" spans="4:4" ht="15.75" customHeight="1">
      <c r="D922" s="31"/>
    </row>
    <row r="923" spans="4:4" ht="15.75" customHeight="1">
      <c r="D923" s="31"/>
    </row>
    <row r="924" spans="4:4" ht="15.75" customHeight="1">
      <c r="D924" s="31"/>
    </row>
    <row r="925" spans="4:4" ht="15.75" customHeight="1">
      <c r="D925" s="31"/>
    </row>
    <row r="926" spans="4:4" ht="15.75" customHeight="1">
      <c r="D926" s="31"/>
    </row>
    <row r="927" spans="4:4" ht="15.75" customHeight="1">
      <c r="D927" s="31"/>
    </row>
    <row r="928" spans="4:4" ht="15.75" customHeight="1">
      <c r="D928" s="31"/>
    </row>
    <row r="929" spans="4:4" ht="15.75" customHeight="1">
      <c r="D929" s="31"/>
    </row>
    <row r="930" spans="4:4" ht="15.75" customHeight="1">
      <c r="D930" s="31"/>
    </row>
    <row r="931" spans="4:4" ht="15.75" customHeight="1">
      <c r="D931" s="31"/>
    </row>
    <row r="932" spans="4:4" ht="15.75" customHeight="1">
      <c r="D932" s="31"/>
    </row>
    <row r="933" spans="4:4" ht="15.75" customHeight="1">
      <c r="D933" s="31"/>
    </row>
    <row r="934" spans="4:4" ht="15.75" customHeight="1">
      <c r="D934" s="31"/>
    </row>
    <row r="935" spans="4:4" ht="15.75" customHeight="1">
      <c r="D935" s="31"/>
    </row>
    <row r="936" spans="4:4" ht="15.75" customHeight="1">
      <c r="D936" s="31"/>
    </row>
    <row r="937" spans="4:4" ht="15.75" customHeight="1">
      <c r="D937" s="31"/>
    </row>
    <row r="938" spans="4:4" ht="15.75" customHeight="1">
      <c r="D938" s="31"/>
    </row>
    <row r="939" spans="4:4" ht="15.75" customHeight="1">
      <c r="D939" s="31"/>
    </row>
    <row r="940" spans="4:4" ht="15.75" customHeight="1">
      <c r="D940" s="31"/>
    </row>
    <row r="941" spans="4:4" ht="15.75" customHeight="1">
      <c r="D941" s="31"/>
    </row>
    <row r="942" spans="4:4" ht="15.75" customHeight="1">
      <c r="D942" s="31"/>
    </row>
    <row r="943" spans="4:4" ht="15.75" customHeight="1">
      <c r="D943" s="31"/>
    </row>
    <row r="944" spans="4:4" ht="15.75" customHeight="1">
      <c r="D944" s="31"/>
    </row>
    <row r="945" spans="4:4" ht="15.75" customHeight="1">
      <c r="D945" s="31"/>
    </row>
    <row r="946" spans="4:4" ht="15.75" customHeight="1">
      <c r="D946" s="31"/>
    </row>
    <row r="947" spans="4:4" ht="15.75" customHeight="1">
      <c r="D947" s="31"/>
    </row>
    <row r="948" spans="4:4" ht="15.75" customHeight="1">
      <c r="D948" s="31"/>
    </row>
    <row r="949" spans="4:4" ht="15.75" customHeight="1">
      <c r="D949" s="31"/>
    </row>
    <row r="950" spans="4:4" ht="15.75" customHeight="1">
      <c r="D950" s="31"/>
    </row>
    <row r="951" spans="4:4" ht="15.75" customHeight="1">
      <c r="D951" s="31"/>
    </row>
    <row r="952" spans="4:4" ht="15.75" customHeight="1">
      <c r="D952" s="31"/>
    </row>
    <row r="953" spans="4:4" ht="15.75" customHeight="1">
      <c r="D953" s="31"/>
    </row>
    <row r="954" spans="4:4" ht="15.75" customHeight="1">
      <c r="D954" s="31"/>
    </row>
    <row r="955" spans="4:4" ht="15.75" customHeight="1">
      <c r="D955" s="31"/>
    </row>
    <row r="956" spans="4:4" ht="15.75" customHeight="1">
      <c r="D956" s="31"/>
    </row>
    <row r="957" spans="4:4" ht="15.75" customHeight="1">
      <c r="D957" s="31"/>
    </row>
    <row r="958" spans="4:4" ht="15.75" customHeight="1">
      <c r="D958" s="31"/>
    </row>
    <row r="959" spans="4:4" ht="15.75" customHeight="1">
      <c r="D959" s="31"/>
    </row>
    <row r="960" spans="4:4" ht="15.75" customHeight="1">
      <c r="D960" s="31"/>
    </row>
    <row r="961" spans="4:4" ht="15.75" customHeight="1">
      <c r="D961" s="31"/>
    </row>
    <row r="962" spans="4:4" ht="15.75" customHeight="1">
      <c r="D962" s="31"/>
    </row>
    <row r="963" spans="4:4" ht="15.75" customHeight="1">
      <c r="D963" s="31"/>
    </row>
    <row r="964" spans="4:4" ht="15.75" customHeight="1">
      <c r="D964" s="31"/>
    </row>
    <row r="965" spans="4:4" ht="15.75" customHeight="1">
      <c r="D965" s="31"/>
    </row>
    <row r="966" spans="4:4" ht="15.75" customHeight="1">
      <c r="D966" s="31"/>
    </row>
    <row r="967" spans="4:4" ht="15.75" customHeight="1">
      <c r="D967" s="31"/>
    </row>
    <row r="968" spans="4:4" ht="15.75" customHeight="1">
      <c r="D968" s="31"/>
    </row>
    <row r="969" spans="4:4" ht="15.75" customHeight="1">
      <c r="D969" s="31"/>
    </row>
    <row r="970" spans="4:4" ht="15.75" customHeight="1">
      <c r="D970" s="31"/>
    </row>
    <row r="971" spans="4:4" ht="15.75" customHeight="1">
      <c r="D971" s="31"/>
    </row>
    <row r="972" spans="4:4" ht="15.75" customHeight="1">
      <c r="D972" s="31"/>
    </row>
    <row r="973" spans="4:4" ht="15.75" customHeight="1">
      <c r="D973" s="31"/>
    </row>
    <row r="974" spans="4:4" ht="15.75" customHeight="1">
      <c r="D974" s="31"/>
    </row>
    <row r="975" spans="4:4" ht="15.75" customHeight="1">
      <c r="D975" s="31"/>
    </row>
    <row r="976" spans="4:4" ht="15.75" customHeight="1">
      <c r="D976" s="31"/>
    </row>
    <row r="977" spans="4:4" ht="15.75" customHeight="1">
      <c r="D977" s="31"/>
    </row>
    <row r="978" spans="4:4" ht="15.75" customHeight="1">
      <c r="D978" s="31"/>
    </row>
    <row r="979" spans="4:4" ht="15.75" customHeight="1">
      <c r="D979" s="31"/>
    </row>
    <row r="980" spans="4:4" ht="15.75" customHeight="1">
      <c r="D980" s="31"/>
    </row>
    <row r="981" spans="4:4" ht="15.75" customHeight="1">
      <c r="D981" s="31"/>
    </row>
    <row r="982" spans="4:4" ht="15.75" customHeight="1">
      <c r="D982" s="31"/>
    </row>
    <row r="983" spans="4:4" ht="15.75" customHeight="1">
      <c r="D983" s="31"/>
    </row>
    <row r="984" spans="4:4" ht="15.75" customHeight="1">
      <c r="D984" s="31"/>
    </row>
    <row r="985" spans="4:4" ht="15.75" customHeight="1">
      <c r="D985" s="31"/>
    </row>
    <row r="986" spans="4:4" ht="15.75" customHeight="1">
      <c r="D986" s="31"/>
    </row>
    <row r="987" spans="4:4" ht="15.75" customHeight="1">
      <c r="D987" s="31"/>
    </row>
    <row r="988" spans="4:4" ht="15.75" customHeight="1">
      <c r="D988" s="31"/>
    </row>
    <row r="989" spans="4:4" ht="15.75" customHeight="1">
      <c r="D989" s="31"/>
    </row>
    <row r="990" spans="4:4" ht="15.75" customHeight="1">
      <c r="D990" s="31"/>
    </row>
    <row r="991" spans="4:4" ht="15.75" customHeight="1">
      <c r="D991" s="31"/>
    </row>
    <row r="992" spans="4:4" ht="15.75" customHeight="1">
      <c r="D992" s="31"/>
    </row>
    <row r="993" spans="4:4" ht="15.75" customHeight="1">
      <c r="D993" s="31"/>
    </row>
    <row r="994" spans="4:4" ht="15.75" customHeight="1">
      <c r="D994" s="31"/>
    </row>
    <row r="995" spans="4:4" ht="15.75" customHeight="1">
      <c r="D995" s="31"/>
    </row>
    <row r="996" spans="4:4" ht="15.75" customHeight="1">
      <c r="D996" s="31"/>
    </row>
    <row r="997" spans="4:4" ht="15.75" customHeight="1">
      <c r="D997" s="31"/>
    </row>
    <row r="998" spans="4:4" ht="15.75" customHeight="1">
      <c r="D998" s="31"/>
    </row>
    <row r="999" spans="4:4" ht="15.75" customHeight="1">
      <c r="D999" s="31"/>
    </row>
    <row r="1000" spans="4:4" ht="15.75" customHeight="1">
      <c r="D1000" s="31"/>
    </row>
    <row r="1001" spans="4:4" ht="15.75" customHeight="1">
      <c r="D1001" s="31"/>
    </row>
    <row r="1002" spans="4:4" ht="15.75" customHeight="1">
      <c r="D1002" s="31"/>
    </row>
    <row r="1003" spans="4:4" ht="15.75" customHeight="1">
      <c r="D1003" s="31"/>
    </row>
    <row r="1004" spans="4:4" ht="15.75" customHeight="1">
      <c r="D1004" s="31"/>
    </row>
    <row r="1005" spans="4:4" ht="15.75" customHeight="1">
      <c r="D1005" s="31"/>
    </row>
    <row r="1006" spans="4:4" ht="15.75" customHeight="1">
      <c r="D1006" s="31"/>
    </row>
    <row r="1007" spans="4:4" ht="15.75" customHeight="1">
      <c r="D1007" s="31"/>
    </row>
    <row r="1008" spans="4:4" ht="15.75" customHeight="1">
      <c r="D1008" s="31"/>
    </row>
    <row r="1009" spans="4:4" ht="15.75" customHeight="1">
      <c r="D1009" s="31"/>
    </row>
    <row r="1010" spans="4:4" ht="15.75" customHeight="1">
      <c r="D1010" s="31"/>
    </row>
    <row r="1011" spans="4:4" ht="15.75" customHeight="1">
      <c r="D1011" s="31"/>
    </row>
    <row r="1012" spans="4:4" ht="15.75" customHeight="1">
      <c r="D1012" s="31"/>
    </row>
    <row r="1013" spans="4:4" ht="15.75" customHeight="1">
      <c r="D1013" s="31"/>
    </row>
    <row r="1014" spans="4:4" ht="15.75" customHeight="1">
      <c r="D1014" s="31"/>
    </row>
    <row r="1015" spans="4:4" ht="15.75" customHeight="1">
      <c r="D1015" s="31"/>
    </row>
    <row r="1016" spans="4:4" ht="15.75" customHeight="1">
      <c r="D1016" s="31"/>
    </row>
    <row r="1017" spans="4:4" ht="15.75" customHeight="1">
      <c r="D1017" s="31"/>
    </row>
    <row r="1018" spans="4:4" ht="15.75" customHeight="1">
      <c r="D1018" s="31"/>
    </row>
    <row r="1019" spans="4:4" ht="15.75" customHeight="1">
      <c r="D1019" s="31"/>
    </row>
    <row r="1020" spans="4:4" ht="15.75" customHeight="1">
      <c r="D1020" s="31"/>
    </row>
    <row r="1021" spans="4:4" ht="15.75" customHeight="1">
      <c r="D1021" s="31"/>
    </row>
    <row r="1022" spans="4:4" ht="15.75" customHeight="1">
      <c r="D1022" s="31"/>
    </row>
    <row r="1023" spans="4:4" ht="15.75" customHeight="1">
      <c r="D1023" s="31"/>
    </row>
    <row r="1024" spans="4:4" ht="15.75" customHeight="1">
      <c r="D1024" s="31"/>
    </row>
    <row r="1025" spans="4:4" ht="15.75" customHeight="1">
      <c r="D1025" s="31"/>
    </row>
    <row r="1026" spans="4:4" ht="15.75" customHeight="1">
      <c r="D1026" s="31"/>
    </row>
    <row r="1027" spans="4:4" ht="15.75" customHeight="1">
      <c r="D1027" s="31"/>
    </row>
    <row r="1028" spans="4:4" ht="15.75" customHeight="1">
      <c r="D1028" s="31"/>
    </row>
    <row r="1029" spans="4:4" ht="15.75" customHeight="1">
      <c r="D1029" s="31"/>
    </row>
    <row r="1030" spans="4:4" ht="15.75" customHeight="1">
      <c r="D1030" s="31"/>
    </row>
    <row r="1031" spans="4:4" ht="15.75" customHeight="1">
      <c r="D1031" s="31"/>
    </row>
    <row r="1032" spans="4:4" ht="15.75" customHeight="1">
      <c r="D1032" s="31"/>
    </row>
    <row r="1033" spans="4:4" ht="15.75" customHeight="1">
      <c r="D1033" s="31"/>
    </row>
    <row r="1034" spans="4:4" ht="15.75" customHeight="1">
      <c r="D1034" s="31"/>
    </row>
    <row r="1035" spans="4:4" ht="15.75" customHeight="1">
      <c r="D1035" s="31"/>
    </row>
    <row r="1036" spans="4:4" ht="15.75" customHeight="1">
      <c r="D1036" s="31"/>
    </row>
    <row r="1037" spans="4:4" ht="15.75" customHeight="1">
      <c r="D1037" s="31"/>
    </row>
    <row r="1038" spans="4:4" ht="15.75" customHeight="1">
      <c r="D1038" s="31"/>
    </row>
    <row r="1039" spans="4:4" ht="15.75" customHeight="1">
      <c r="D1039" s="31"/>
    </row>
    <row r="1040" spans="4:4" ht="15.75" customHeight="1">
      <c r="D1040" s="31"/>
    </row>
    <row r="1041" spans="4:4" ht="15.75" customHeight="1">
      <c r="D1041" s="31"/>
    </row>
    <row r="1042" spans="4:4" ht="15.75" customHeight="1">
      <c r="D1042" s="31"/>
    </row>
    <row r="1043" spans="4:4" ht="15.75" customHeight="1">
      <c r="D1043" s="31"/>
    </row>
    <row r="1044" spans="4:4" ht="15.75" customHeight="1">
      <c r="D1044" s="31"/>
    </row>
    <row r="1045" spans="4:4" ht="15.75" customHeight="1">
      <c r="D1045" s="31"/>
    </row>
    <row r="1046" spans="4:4" ht="15.75" customHeight="1">
      <c r="D1046" s="31"/>
    </row>
    <row r="1047" spans="4:4" ht="15.75" customHeight="1">
      <c r="D1047" s="31"/>
    </row>
    <row r="1048" spans="4:4" ht="15.75" customHeight="1">
      <c r="D1048" s="31"/>
    </row>
    <row r="1049" spans="4:4" ht="15.75" customHeight="1">
      <c r="D1049" s="31"/>
    </row>
    <row r="1050" spans="4:4" ht="15.75" customHeight="1">
      <c r="D1050" s="31"/>
    </row>
    <row r="1051" spans="4:4" ht="15.75" customHeight="1">
      <c r="D1051" s="31"/>
    </row>
    <row r="1052" spans="4:4" ht="15.75" customHeight="1">
      <c r="D1052" s="31"/>
    </row>
    <row r="1053" spans="4:4" ht="15.75" customHeight="1">
      <c r="D1053" s="31"/>
    </row>
    <row r="1054" spans="4:4" ht="15.75" customHeight="1">
      <c r="D1054" s="31"/>
    </row>
    <row r="1055" spans="4:4" ht="15.75" customHeight="1">
      <c r="D1055" s="31"/>
    </row>
    <row r="1056" spans="4:4" ht="15.75" customHeight="1">
      <c r="D1056" s="31"/>
    </row>
    <row r="1057" spans="4:4" ht="15.75" customHeight="1">
      <c r="D1057" s="31"/>
    </row>
    <row r="1058" spans="4:4" ht="15.75" customHeight="1">
      <c r="D1058" s="31"/>
    </row>
    <row r="1059" spans="4:4" ht="15.75" customHeight="1">
      <c r="D1059" s="31"/>
    </row>
    <row r="1060" spans="4:4" ht="15.75" customHeight="1">
      <c r="D1060" s="31"/>
    </row>
    <row r="1061" spans="4:4" ht="15.75" customHeight="1">
      <c r="D1061" s="31"/>
    </row>
    <row r="1062" spans="4:4" ht="15.75" customHeight="1">
      <c r="D1062" s="31"/>
    </row>
    <row r="1063" spans="4:4" ht="15.75" customHeight="1">
      <c r="D1063" s="31"/>
    </row>
    <row r="1064" spans="4:4" ht="15.75" customHeight="1">
      <c r="D1064" s="31"/>
    </row>
    <row r="1065" spans="4:4" ht="15.75" customHeight="1">
      <c r="D1065" s="31"/>
    </row>
    <row r="1066" spans="4:4" ht="15.75" customHeight="1">
      <c r="D1066" s="31"/>
    </row>
    <row r="1067" spans="4:4" ht="15.75" customHeight="1">
      <c r="D1067" s="31"/>
    </row>
    <row r="1068" spans="4:4" ht="15.75" customHeight="1">
      <c r="D1068" s="31"/>
    </row>
    <row r="1069" spans="4:4" ht="15.75" customHeight="1">
      <c r="D1069" s="31"/>
    </row>
    <row r="1070" spans="4:4" ht="15.75" customHeight="1">
      <c r="D1070" s="31"/>
    </row>
    <row r="1071" spans="4:4" ht="15.75" customHeight="1">
      <c r="D1071" s="31"/>
    </row>
    <row r="1072" spans="4:4" ht="15.75" customHeight="1">
      <c r="D1072" s="31"/>
    </row>
    <row r="1073" spans="4:4" ht="15.75" customHeight="1">
      <c r="D1073" s="31"/>
    </row>
    <row r="1074" spans="4:4" ht="15.75" customHeight="1">
      <c r="D1074" s="31"/>
    </row>
    <row r="1075" spans="4:4" ht="15.75" customHeight="1">
      <c r="D1075" s="31"/>
    </row>
    <row r="1076" spans="4:4" ht="15.75" customHeight="1">
      <c r="D1076" s="31"/>
    </row>
    <row r="1077" spans="4:4" ht="15.75" customHeight="1">
      <c r="D1077" s="31"/>
    </row>
    <row r="1078" spans="4:4" ht="15.75" customHeight="1">
      <c r="D1078" s="31"/>
    </row>
    <row r="1079" spans="4:4" ht="15.75" customHeight="1">
      <c r="D1079" s="31"/>
    </row>
    <row r="1080" spans="4:4" ht="15.75" customHeight="1">
      <c r="D1080" s="31"/>
    </row>
    <row r="1081" spans="4:4" ht="15.75" customHeight="1">
      <c r="D1081" s="31"/>
    </row>
    <row r="1082" spans="4:4" ht="15.75" customHeight="1">
      <c r="D1082" s="31"/>
    </row>
    <row r="1083" spans="4:4" ht="15.75" customHeight="1">
      <c r="D1083" s="31"/>
    </row>
    <row r="1084" spans="4:4" ht="15.75" customHeight="1">
      <c r="D1084" s="31"/>
    </row>
    <row r="1085" spans="4:4" ht="15.75" customHeight="1">
      <c r="D1085" s="31"/>
    </row>
    <row r="1086" spans="4:4" ht="15.75" customHeight="1">
      <c r="D1086" s="31"/>
    </row>
    <row r="1087" spans="4:4" ht="15.75" customHeight="1">
      <c r="D1087" s="31"/>
    </row>
    <row r="1088" spans="4:4" ht="15.75" customHeight="1">
      <c r="D1088" s="31"/>
    </row>
    <row r="1089" spans="4:4" ht="15.75" customHeight="1">
      <c r="D1089" s="31"/>
    </row>
    <row r="1090" spans="4:4" ht="15.75" customHeight="1">
      <c r="D1090" s="31"/>
    </row>
    <row r="1091" spans="4:4" ht="15.75" customHeight="1">
      <c r="D1091" s="31"/>
    </row>
    <row r="1092" spans="4:4" ht="15.75" customHeight="1">
      <c r="D1092" s="31"/>
    </row>
    <row r="1093" spans="4:4" ht="15.75" customHeight="1">
      <c r="D1093" s="31"/>
    </row>
    <row r="1094" spans="4:4" ht="15.75" customHeight="1">
      <c r="D1094" s="31"/>
    </row>
    <row r="1095" spans="4:4" ht="15.75" customHeight="1">
      <c r="D1095" s="31"/>
    </row>
    <row r="1096" spans="4:4" ht="15.75" customHeight="1">
      <c r="D1096" s="31"/>
    </row>
    <row r="1097" spans="4:4" ht="15.75" customHeight="1">
      <c r="D1097" s="31"/>
    </row>
    <row r="1098" spans="4:4" ht="15.75" customHeight="1">
      <c r="D1098" s="31"/>
    </row>
    <row r="1099" spans="4:4" ht="15.75" customHeight="1">
      <c r="D1099" s="31"/>
    </row>
    <row r="1100" spans="4:4" ht="15.75" customHeight="1">
      <c r="D1100" s="31"/>
    </row>
    <row r="1101" spans="4:4" ht="15.75" customHeight="1">
      <c r="D1101" s="31"/>
    </row>
    <row r="1102" spans="4:4" ht="15.75" customHeight="1">
      <c r="D1102" s="31"/>
    </row>
  </sheetData>
  <mergeCells count="34"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H8:V8"/>
    <mergeCell ref="J181:T181"/>
    <mergeCell ref="C183:E183"/>
    <mergeCell ref="J183:T183"/>
    <mergeCell ref="J184:T184"/>
    <mergeCell ref="C187:E187"/>
    <mergeCell ref="I187:N187"/>
    <mergeCell ref="Q187:T187"/>
    <mergeCell ref="C182:E182"/>
    <mergeCell ref="J182:T182"/>
    <mergeCell ref="C181:E181"/>
    <mergeCell ref="H181:I181"/>
    <mergeCell ref="V187:W187"/>
    <mergeCell ref="A190:B190"/>
    <mergeCell ref="C190:F190"/>
    <mergeCell ref="I190:N190"/>
    <mergeCell ref="Q190:T190"/>
    <mergeCell ref="V190:X190"/>
    <mergeCell ref="H198:T198"/>
    <mergeCell ref="A191:B191"/>
    <mergeCell ref="C191:F191"/>
    <mergeCell ref="I191:N191"/>
    <mergeCell ref="Q191:T191"/>
    <mergeCell ref="H194:T194"/>
    <mergeCell ref="H197:T197"/>
  </mergeCells>
  <phoneticPr fontId="26" type="noConversion"/>
  <pageMargins left="0.7" right="0.7" top="0.75" bottom="0.75" header="0" footer="0"/>
  <pageSetup paperSize="9"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Sample 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cp:lastPrinted>2024-01-12T03:48:46Z</cp:lastPrinted>
  <dcterms:created xsi:type="dcterms:W3CDTF">2024-01-03T07:55:13Z</dcterms:created>
  <dcterms:modified xsi:type="dcterms:W3CDTF">2024-04-03T05:42:37Z</dcterms:modified>
</cp:coreProperties>
</file>