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Copy of TSD-ICYT 2nd Quarter" sheetId="2" r:id="rId1"/>
    <sheet name="TSD-ICY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75" authorId="0">
      <text>
        <r>
          <rPr>
            <sz val="11"/>
            <color rgb="FF000000"/>
            <rFont val="Arial"/>
            <scheme val="minor"/>
            <charset val="1"/>
          </rPr>
          <t>======
ID#AAABEIV_FJA
upmnih    (2021-04-08 04:25:07)
Prepared by: Project Staff/ Research Associate</t>
        </r>
      </text>
    </comment>
    <comment ref="C175" authorId="0">
      <text>
        <r>
          <rPr>
            <sz val="11"/>
            <color rgb="FF000000"/>
            <rFont val="Arial"/>
            <scheme val="minor"/>
            <charset val="1"/>
          </rPr>
          <t>======
ID#AAABEIV_FI4
upmnih    (2021-04-08 04:25:07)
Submitted by: Project Leader</t>
        </r>
      </text>
    </comment>
  </commentList>
</comments>
</file>

<file path=xl/sharedStrings.xml><?xml version="1.0" encoding="utf-8"?>
<sst xmlns="http://schemas.openxmlformats.org/spreadsheetml/2006/main" count="465" uniqueCount="202">
  <si>
    <t xml:space="preserve">  PROJECT PROCUREMENT MANAGEMENT PLAN (PPMP) 2024</t>
  </si>
  <si>
    <t>For 2nd Quarter of CY 2024</t>
  </si>
  <si>
    <t>END-USER/UNIT: TSD-Mechanical and Chemical Processing Section</t>
  </si>
  <si>
    <t>Charged to: Textile Processing Technology Services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</si>
  <si>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</si>
  <si>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</si>
  <si>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</si>
  <si>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</si>
  <si>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</si>
  <si>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</si>
  <si>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</si>
  <si>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</si>
  <si>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</si>
  <si>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</si>
  <si>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</si>
  <si>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June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</si>
  <si>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</si>
  <si>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</si>
  <si>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</si>
  <si>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</si>
  <si>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</si>
  <si>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</si>
  <si>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</si>
  <si>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</si>
  <si>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</si>
  <si>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</si>
  <si>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</si>
  <si>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Other Supplies</t>
  </si>
  <si>
    <t>Alcohol, Isoprophyl 1 Gallon</t>
  </si>
  <si>
    <t>Shopping</t>
  </si>
  <si>
    <t>Liquid Handsoap, 500ml</t>
  </si>
  <si>
    <t>Paper towel, interfold 150 pulls per pack</t>
  </si>
  <si>
    <t>Insecticide 600ml</t>
  </si>
  <si>
    <t>Instant glue high strenght adhesive (mighty bond)</t>
  </si>
  <si>
    <t>Fabric trimmer, pc</t>
  </si>
  <si>
    <t>Paper cone, pc</t>
  </si>
  <si>
    <t>Shuttle with spindle, pieces</t>
  </si>
  <si>
    <t>Heddle wires, pieces</t>
  </si>
  <si>
    <t>Reed 25dpi width 30in; hg: 4.5in pc</t>
  </si>
  <si>
    <t>Reed 25dpi width 59in; hg: 4.5in pc</t>
  </si>
  <si>
    <t xml:space="preserve">Flat bars length 60.5in; thickness 3mm </t>
  </si>
  <si>
    <t>Interfolded Tissue paper, box</t>
  </si>
  <si>
    <t>Stainless fabric shears (Bicol asero),pc</t>
  </si>
  <si>
    <t>Tape measure,pc</t>
  </si>
  <si>
    <t>Dressmaker pins, box</t>
  </si>
  <si>
    <t>Cotton cords/rope, 2mm diameter, 100 meter per roll</t>
  </si>
  <si>
    <t>Weaviing hook</t>
  </si>
  <si>
    <t>Manila Paper, 100pcs per box</t>
  </si>
  <si>
    <t>Laboratory Supplies</t>
  </si>
  <si>
    <t>Nitrile gloves-medium, box</t>
  </si>
  <si>
    <t>Nitrile gloves-large, box</t>
  </si>
  <si>
    <t>Acid dye, red kg</t>
  </si>
  <si>
    <t>Acid dye, blue kg</t>
  </si>
  <si>
    <t>Acid dye, yellow kg</t>
  </si>
  <si>
    <t>Acid dye, black kg</t>
  </si>
  <si>
    <t>Disperse dye, Yellow, kg</t>
  </si>
  <si>
    <t>Disperse dye, brown, kg</t>
  </si>
  <si>
    <t>Disperse dye, red, kg</t>
  </si>
  <si>
    <t>Disperse dye, blue, kg</t>
  </si>
  <si>
    <t>Reactive dye, blue, kg</t>
  </si>
  <si>
    <t>Reactive dye, red, kg</t>
  </si>
  <si>
    <t>Reactive dye, yellow, kg</t>
  </si>
  <si>
    <t>Reactive dye, black, kg</t>
  </si>
  <si>
    <t>Reactive dye, brown, kg</t>
  </si>
  <si>
    <t>Soda Ash, technical grade, sack</t>
  </si>
  <si>
    <t>Glauber salt (sodium sulfate) , tehnical grade, sack</t>
  </si>
  <si>
    <t>`</t>
  </si>
  <si>
    <t>Polyescar, carrying agent for polyester dyeing, kg</t>
  </si>
  <si>
    <t>Machine Cleaning Agent, kg</t>
  </si>
  <si>
    <t>Versene, Levelling agent for polyester dyeing,</t>
  </si>
  <si>
    <t>Rokafenol NB, fixing agent, kg</t>
  </si>
  <si>
    <t>Detergent, liquid, anionic, gallon</t>
  </si>
  <si>
    <t>Softener, cationic, kg</t>
  </si>
  <si>
    <t xml:space="preserve">Cellulase Enzyme, </t>
  </si>
  <si>
    <t>Sodium Hydroxide, 48 %, liquid, 30kg/cb</t>
  </si>
  <si>
    <t>Hydrogen peroxide, 50 %, technical grade, 20kg/cb</t>
  </si>
  <si>
    <t>Sodium Hydrosulfite technical grade /kg</t>
  </si>
  <si>
    <t>Copper Sulfate technical grade</t>
  </si>
  <si>
    <t>Laboratory Shoes, radom sizes, pair</t>
  </si>
  <si>
    <t>Rags, pc</t>
  </si>
  <si>
    <t>Laboratory apron, Polyester fabric, black color, pc</t>
  </si>
  <si>
    <t>Pipette, 0.01 capacity</t>
  </si>
  <si>
    <t xml:space="preserve">Dyeing vat, material: 304 stainless steel, pc
Thickness: 1.5mm
Diameter: 50 cm
Capacity: 80 
</t>
  </si>
  <si>
    <t>Stainless steel pitcher, Capacity: 5L
Material:304 Stainless Steel
Thickness: 1.5mm</t>
  </si>
  <si>
    <t xml:space="preserve">Laboratory spatula, Stainless steel laboratory sampling spoon, 20 cm length </t>
  </si>
  <si>
    <t>Plastic bottles, Plastic bottle
Laboratory chemicals/reagent storage bottle, 2000 ml capacity, wide mouth</t>
  </si>
  <si>
    <t>Re-usable Rubber gloves, Acid and Chemical resistance, mid arm length,  length:12 inches /pair</t>
  </si>
  <si>
    <t>Beaker brush</t>
  </si>
  <si>
    <t>Sponge with scrub, pcs</t>
  </si>
  <si>
    <t>Heavy duty scrub, pcs</t>
  </si>
  <si>
    <t>Weighing Balance Adaptor (Sartorious Entris 323)</t>
  </si>
  <si>
    <t>Weighing Balance Adaptor (Shimadzu volts: 100-240V, voltage: 12V@500mA)</t>
  </si>
  <si>
    <t>Ginned Cotton fiber, kg</t>
  </si>
  <si>
    <t>Pineapple fiber, kg</t>
  </si>
  <si>
    <t>Repair, Fabrication and Maintenance</t>
  </si>
  <si>
    <t>Repair, Fabrication and Maintenance, lot</t>
  </si>
  <si>
    <t>Transportation and Delivery Cost</t>
  </si>
  <si>
    <t>Courier Services</t>
  </si>
  <si>
    <t>Other MOOE</t>
  </si>
  <si>
    <t>Processing of Documents for UM and ID</t>
  </si>
  <si>
    <t>RYPIC Cotabato Trademark</t>
  </si>
  <si>
    <t>PDEA , notarization, renewal</t>
  </si>
  <si>
    <t>Other Supplies, lot</t>
  </si>
  <si>
    <t>Training and Conference fees</t>
  </si>
  <si>
    <t>Travel Expenses</t>
  </si>
  <si>
    <t>Travel expense, lot</t>
  </si>
  <si>
    <t>Other Professional Services</t>
  </si>
  <si>
    <t>Calibration (digital  timer, thermometer, balance)</t>
  </si>
  <si>
    <t>Direct contracting</t>
  </si>
  <si>
    <t>Embroidery Professional services, lot</t>
  </si>
  <si>
    <t>Utility Expenses</t>
  </si>
  <si>
    <t>Electricity, lot</t>
  </si>
  <si>
    <t>Office Equipment</t>
  </si>
  <si>
    <t>Laboratory Equipment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</si>
  <si>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</si>
  <si>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</si>
  <si>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</si>
  <si>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</si>
  <si>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</si>
  <si>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</si>
  <si>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</si>
  <si>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</si>
  <si>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</si>
  <si>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</si>
  <si>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ENGR. JOANNA TESS M. MANUEL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</si>
  <si>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</si>
  <si>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</si>
  <si>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</si>
  <si>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</si>
  <si>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</si>
  <si>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</si>
  <si>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</si>
  <si>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</si>
  <si>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>For 1st Quarter of CY 2024</t>
  </si>
  <si>
    <t>Jan</t>
  </si>
  <si>
    <t>Feb</t>
  </si>
  <si>
    <t>Mar</t>
  </si>
  <si>
    <t>Office Supplies</t>
  </si>
  <si>
    <t>Sign pen, Blue, liquid or gel, pieces</t>
  </si>
  <si>
    <t>Ballpen, Blue, pieces</t>
  </si>
  <si>
    <t>Tape, electrical 50m, roll</t>
  </si>
  <si>
    <t>Tape, masking 1 inch width 50m, roll</t>
  </si>
  <si>
    <t>Tape, packaging 2inches width 50m, roll</t>
  </si>
  <si>
    <t>Tape, transparent 1 inch width 50m, roll</t>
  </si>
  <si>
    <t>Clip backfold small , box</t>
  </si>
  <si>
    <t>Clip backfold medium, box</t>
  </si>
  <si>
    <t>Data file box, pieces</t>
  </si>
  <si>
    <t>Data folder, pieces</t>
  </si>
  <si>
    <t>Paper Fastener, box</t>
  </si>
  <si>
    <t>Rubber band No 18, box</t>
  </si>
  <si>
    <t>Paper clip small, box</t>
  </si>
  <si>
    <t>Scissors, pieces</t>
  </si>
  <si>
    <t>Stapler standard, pieces</t>
  </si>
  <si>
    <t>Staple wire standard, box</t>
  </si>
  <si>
    <t>Note pad stick on 3x3', 100 sheets, pieces</t>
  </si>
  <si>
    <t>Paper multipurpose A4 500 sheets per ream</t>
  </si>
  <si>
    <t>Paper multipurpose Folio 500 sheets per ream</t>
  </si>
  <si>
    <t>Pink paper A4 500 sheets per ream</t>
  </si>
  <si>
    <t>Parchment paper A4 500 sheets per ream</t>
  </si>
  <si>
    <t>Record book with pages 500 per page, book</t>
  </si>
  <si>
    <t>Toner Cart., HP CF400A 201A Black Laser Jet</t>
  </si>
  <si>
    <r>
      <rPr>
        <sz val="11"/>
        <color theme="1"/>
        <rFont val="Arial"/>
        <charset val="134"/>
      </rPr>
      <t>To</t>
    </r>
    <r>
      <rPr>
        <sz val="11"/>
        <color theme="1"/>
        <rFont val="Arial"/>
        <charset val="134"/>
      </rPr>
      <t>ner Cart., HP CF401A 201A Cyan Laser Jet</t>
    </r>
  </si>
  <si>
    <r>
      <rPr>
        <sz val="11"/>
        <color theme="1"/>
        <rFont val="Arial"/>
        <charset val="134"/>
      </rPr>
      <t>To</t>
    </r>
    <r>
      <rPr>
        <sz val="11"/>
        <color theme="1"/>
        <rFont val="Arial"/>
        <charset val="134"/>
      </rPr>
      <t>ner Cart., HP CF402A 201A Yellow Laser Jet</t>
    </r>
  </si>
  <si>
    <t>Toner Cart., HP CF403A 201A Magenta Laser Jet</t>
  </si>
  <si>
    <t>Ink HP 680 black pc</t>
  </si>
  <si>
    <t>Ink HP 680 colored pc</t>
  </si>
  <si>
    <t>Toner Kyocera TK-1124 for Ecosys FS1060DN</t>
  </si>
  <si>
    <t>Ink cart. HPDJ ink adv 2545 black</t>
  </si>
  <si>
    <t>Ink cart. HPDJ ink adv 2545 tri-color</t>
  </si>
  <si>
    <t>Toner cart. HP CE28SAC laserjet pro P1102 black</t>
  </si>
  <si>
    <t xml:space="preserve">Battery, dry cell size AA </t>
  </si>
  <si>
    <t>Battery, dry cell size AAA</t>
  </si>
  <si>
    <t>Disinfectant Spray</t>
  </si>
  <si>
    <t>Paper cone</t>
  </si>
  <si>
    <t>Thread cotton black ticket 120@5,000m, cone</t>
  </si>
  <si>
    <t>Thread cotton white ticket 120@5,000m, cone</t>
  </si>
  <si>
    <t>Thread cotton black ticket 50@5,000m, cone</t>
  </si>
  <si>
    <t>Thread cotton white ticket 50@5,000m, cone</t>
  </si>
  <si>
    <t>NTF yarns</t>
  </si>
  <si>
    <t>Facemask KF94, box</t>
  </si>
  <si>
    <t>Cotton fibers, kg</t>
  </si>
  <si>
    <t>Pineapple fibers, kg</t>
  </si>
  <si>
    <t>Gasoline oil, lubricant, lot</t>
  </si>
  <si>
    <t>Cooking gas,  50kg, tank</t>
  </si>
  <si>
    <t>Diesel, drum</t>
  </si>
  <si>
    <t>Disperse dye, Navy Blue, kg</t>
  </si>
  <si>
    <t>Disperse dye, royal blue, kg</t>
  </si>
  <si>
    <t>Reactive dye, royal blue, kg</t>
  </si>
  <si>
    <t>Sodium Hydroxide flakes, or Caustic Soda, Technical grade, sack, 25 kg  per/Sack</t>
  </si>
  <si>
    <t>Sodium hexame taphosphate</t>
  </si>
  <si>
    <t>Optical brightener, for cellulosic fabric, kg</t>
  </si>
  <si>
    <t>Detergent, liquid, anionic, Liters</t>
  </si>
  <si>
    <t>Sodium Metabisulfite, technical grade, sack</t>
  </si>
  <si>
    <t>Glacial Acetic Acid, technical grade, 20 kg/Cb</t>
  </si>
  <si>
    <t>Stirring rod, 12 '' long, pc</t>
  </si>
  <si>
    <t>Portable sink, Aluminum rack with sink, lot</t>
  </si>
  <si>
    <t>pH paper strips indicator, box</t>
  </si>
  <si>
    <t xml:space="preserve">Dyeing Vats, Material:304 Stainless Steel, pc
Thickness: 1.5mm
Diameter: 50 cm
Capacity: 80 
</t>
  </si>
  <si>
    <t>Stainless steel pitcher, Capacity- 5  L
Material:304 Stainless Steel
Thickness: 1.5mm</t>
  </si>
  <si>
    <t>Stainless Beakers: 
•        Capacity:2000mL
•        Material:304 Stainless Steel
•        Diameter of Mouth:140mm
•        Diameter of bottom:110mm
•        Height:170mm                                                                                                                                                •        Classification: Beaker</t>
  </si>
  <si>
    <t>Other Repairs, lot</t>
  </si>
  <si>
    <t>Other Professional fees lot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</si>
</sst>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_(* #,##0.00_);_(* \(#,##0.00\);_(* &quot;-&quot;??_);_(@_)"/>
  </numFmts>
  <fonts count="42">
    <font>
      <sz val="11"/>
      <color theme="1"/>
      <name val="Arial"/>
      <charset val="134"/>
      <scheme val="minor"/>
    </font>
    <font>
      <b/>
      <sz val="12"/>
      <color theme="1"/>
      <name val="Arial"/>
      <charset val="134"/>
    </font>
    <font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i/>
      <sz val="12"/>
      <color theme="1"/>
      <name val="Arial"/>
      <charset val="134"/>
    </font>
    <font>
      <i/>
      <sz val="12"/>
      <color theme="1"/>
      <name val="Arial"/>
      <charset val="134"/>
    </font>
    <font>
      <b/>
      <sz val="9"/>
      <color theme="1"/>
      <name val="Arial"/>
      <charset val="134"/>
    </font>
    <font>
      <b/>
      <sz val="10"/>
      <color theme="1"/>
      <name val="Arial"/>
      <charset val="134"/>
    </font>
    <font>
      <sz val="11"/>
      <name val="Arial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b/>
      <u/>
      <sz val="9"/>
      <color theme="1"/>
      <name val="Arial"/>
      <charset val="134"/>
    </font>
    <font>
      <sz val="9"/>
      <color theme="1"/>
      <name val="Arial"/>
      <charset val="134"/>
    </font>
    <font>
      <b/>
      <sz val="8"/>
      <color theme="1"/>
      <name val="Arial"/>
      <charset val="134"/>
    </font>
    <font>
      <u/>
      <sz val="8"/>
      <color theme="1"/>
      <name val="Arial"/>
      <charset val="134"/>
    </font>
    <font>
      <b/>
      <u/>
      <sz val="10"/>
      <color theme="1"/>
      <name val="Arial"/>
      <charset val="134"/>
    </font>
    <font>
      <sz val="11"/>
      <color theme="1"/>
      <name val="Calibri"/>
      <charset val="134"/>
    </font>
    <font>
      <b/>
      <sz val="10"/>
      <color theme="1"/>
      <name val="Verdana"/>
      <charset val="134"/>
    </font>
    <font>
      <sz val="10"/>
      <color theme="1"/>
      <name val="Calibri"/>
      <charset val="134"/>
    </font>
    <font>
      <sz val="10"/>
      <color theme="1"/>
      <name val="Verdana"/>
      <charset val="134"/>
    </font>
    <font>
      <sz val="11"/>
      <color theme="1"/>
      <name val="Arial"/>
      <charset val="134"/>
    </font>
    <font>
      <sz val="12"/>
      <color theme="1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000000"/>
      <name val="Arial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3" borderId="2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0" borderId="27" applyNumberFormat="0" applyFill="0" applyAlignment="0" applyProtection="0">
      <alignment vertical="center"/>
    </xf>
    <xf numFmtId="0" fontId="29" fillId="0" borderId="2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4" borderId="29" applyNumberFormat="0" applyAlignment="0" applyProtection="0">
      <alignment vertical="center"/>
    </xf>
    <xf numFmtId="0" fontId="31" fillId="5" borderId="30" applyNumberFormat="0" applyAlignment="0" applyProtection="0">
      <alignment vertical="center"/>
    </xf>
    <xf numFmtId="0" fontId="32" fillId="5" borderId="29" applyNumberFormat="0" applyAlignment="0" applyProtection="0">
      <alignment vertical="center"/>
    </xf>
    <xf numFmtId="0" fontId="33" fillId="6" borderId="31" applyNumberFormat="0" applyAlignment="0" applyProtection="0">
      <alignment vertical="center"/>
    </xf>
    <xf numFmtId="0" fontId="34" fillId="0" borderId="32" applyNumberFormat="0" applyFill="0" applyAlignment="0" applyProtection="0">
      <alignment vertical="center"/>
    </xf>
    <xf numFmtId="0" fontId="35" fillId="0" borderId="33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</cellStyleXfs>
  <cellXfs count="1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/>
    <xf numFmtId="4" fontId="2" fillId="0" borderId="0" xfId="0" applyNumberFormat="1" applyFont="1" applyAlignment="1">
      <alignment horizontal="right"/>
    </xf>
    <xf numFmtId="4" fontId="2" fillId="0" borderId="0" xfId="0" applyNumberFormat="1" applyFont="1"/>
    <xf numFmtId="0" fontId="2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4" fontId="6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4" fontId="6" fillId="2" borderId="10" xfId="0" applyNumberFormat="1" applyFont="1" applyFill="1" applyBorder="1" applyAlignment="1">
      <alignment horizontal="right" vertical="center" wrapText="1"/>
    </xf>
    <xf numFmtId="4" fontId="6" fillId="2" borderId="10" xfId="0" applyNumberFormat="1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/>
    </xf>
    <xf numFmtId="0" fontId="2" fillId="0" borderId="12" xfId="0" applyFont="1" applyBorder="1" applyAlignment="1">
      <alignment horizontal="center"/>
    </xf>
    <xf numFmtId="4" fontId="2" fillId="0" borderId="12" xfId="0" applyNumberFormat="1" applyFont="1" applyBorder="1" applyAlignment="1">
      <alignment horizontal="right"/>
    </xf>
    <xf numFmtId="4" fontId="2" fillId="0" borderId="12" xfId="0" applyNumberFormat="1" applyFont="1" applyBorder="1"/>
    <xf numFmtId="0" fontId="2" fillId="0" borderId="12" xfId="0" applyFont="1" applyBorder="1"/>
    <xf numFmtId="0" fontId="2" fillId="0" borderId="10" xfId="0" applyFont="1" applyBorder="1" applyAlignment="1">
      <alignment horizontal="left" vertical="center"/>
    </xf>
    <xf numFmtId="0" fontId="2" fillId="0" borderId="13" xfId="0" applyFont="1" applyBorder="1" applyAlignment="1">
      <alignment horizontal="center"/>
    </xf>
    <xf numFmtId="4" fontId="2" fillId="0" borderId="13" xfId="0" applyNumberFormat="1" applyFont="1" applyBorder="1" applyAlignment="1">
      <alignment horizontal="right"/>
    </xf>
    <xf numFmtId="4" fontId="2" fillId="0" borderId="13" xfId="0" applyNumberFormat="1" applyFont="1" applyBorder="1"/>
    <xf numFmtId="0" fontId="2" fillId="0" borderId="13" xfId="0" applyFont="1" applyBorder="1"/>
    <xf numFmtId="0" fontId="9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center" vertical="center" wrapText="1"/>
    </xf>
    <xf numFmtId="4" fontId="6" fillId="2" borderId="12" xfId="0" applyNumberFormat="1" applyFont="1" applyFill="1" applyBorder="1" applyAlignment="1">
      <alignment horizontal="right" vertical="center" wrapText="1"/>
    </xf>
    <xf numFmtId="4" fontId="6" fillId="2" borderId="12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49" fontId="2" fillId="0" borderId="9" xfId="0" applyNumberFormat="1" applyFont="1" applyBorder="1"/>
    <xf numFmtId="0" fontId="2" fillId="0" borderId="13" xfId="0" applyFont="1" applyBorder="1" applyAlignment="1">
      <alignment horizontal="center" vertical="center" wrapText="1"/>
    </xf>
    <xf numFmtId="4" fontId="2" fillId="0" borderId="13" xfId="0" applyNumberFormat="1" applyFont="1" applyBorder="1" applyAlignment="1">
      <alignment horizontal="right" vertical="center" wrapText="1"/>
    </xf>
    <xf numFmtId="4" fontId="2" fillId="0" borderId="13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/>
    <xf numFmtId="0" fontId="2" fillId="0" borderId="0" xfId="0" applyFont="1" applyAlignment="1">
      <alignment horizontal="center" vertical="center"/>
    </xf>
    <xf numFmtId="0" fontId="8" fillId="0" borderId="14" xfId="0" applyFont="1" applyBorder="1"/>
    <xf numFmtId="0" fontId="7" fillId="0" borderId="12" xfId="0" applyFont="1" applyBorder="1" applyAlignment="1">
      <alignment horizontal="center" vertical="center" wrapText="1"/>
    </xf>
    <xf numFmtId="0" fontId="2" fillId="0" borderId="9" xfId="0" applyFont="1" applyBorder="1"/>
    <xf numFmtId="0" fontId="8" fillId="0" borderId="15" xfId="0" applyFont="1" applyBorder="1"/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left" vertical="center"/>
    </xf>
    <xf numFmtId="0" fontId="2" fillId="2" borderId="12" xfId="0" applyFont="1" applyFill="1" applyBorder="1"/>
    <xf numFmtId="4" fontId="2" fillId="2" borderId="12" xfId="0" applyNumberFormat="1" applyFont="1" applyFill="1" applyBorder="1" applyAlignment="1">
      <alignment horizontal="right"/>
    </xf>
    <xf numFmtId="4" fontId="2" fillId="2" borderId="12" xfId="0" applyNumberFormat="1" applyFont="1" applyFill="1" applyBorder="1"/>
    <xf numFmtId="4" fontId="2" fillId="0" borderId="12" xfId="0" applyNumberFormat="1" applyFont="1" applyBorder="1" applyAlignment="1">
      <alignment horizontal="right" vertical="center" wrapText="1"/>
    </xf>
    <xf numFmtId="0" fontId="2" fillId="0" borderId="12" xfId="0" applyFont="1" applyBorder="1" applyAlignment="1">
      <alignment vertical="center" wrapText="1"/>
    </xf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wrapText="1"/>
    </xf>
    <xf numFmtId="0" fontId="2" fillId="2" borderId="12" xfId="0" applyFont="1" applyFill="1" applyBorder="1" applyAlignment="1">
      <alignment horizontal="center"/>
    </xf>
    <xf numFmtId="0" fontId="9" fillId="2" borderId="12" xfId="0" applyFont="1" applyFill="1" applyBorder="1"/>
    <xf numFmtId="0" fontId="2" fillId="0" borderId="12" xfId="0" applyFont="1" applyBorder="1" applyAlignment="1">
      <alignment horizontal="center" vertical="center" wrapText="1"/>
    </xf>
    <xf numFmtId="4" fontId="2" fillId="0" borderId="12" xfId="0" applyNumberFormat="1" applyFont="1" applyBorder="1" applyAlignment="1">
      <alignment horizontal="right" wrapText="1"/>
    </xf>
    <xf numFmtId="4" fontId="2" fillId="0" borderId="18" xfId="0" applyNumberFormat="1" applyFont="1" applyBorder="1" applyAlignment="1">
      <alignment horizontal="right"/>
    </xf>
    <xf numFmtId="49" fontId="2" fillId="0" borderId="18" xfId="0" applyNumberFormat="1" applyFont="1" applyBorder="1"/>
    <xf numFmtId="4" fontId="2" fillId="0" borderId="18" xfId="0" applyNumberFormat="1" applyFont="1" applyBorder="1" applyAlignment="1">
      <alignment horizontal="center" vertical="center" wrapText="1"/>
    </xf>
    <xf numFmtId="4" fontId="2" fillId="0" borderId="12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/>
    </xf>
    <xf numFmtId="0" fontId="9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/>
    </xf>
    <xf numFmtId="0" fontId="8" fillId="0" borderId="21" xfId="0" applyFont="1" applyBorder="1"/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" fontId="2" fillId="0" borderId="22" xfId="0" applyNumberFormat="1" applyFont="1" applyBorder="1"/>
    <xf numFmtId="0" fontId="11" fillId="0" borderId="0" xfId="0" applyFont="1" applyAlignment="1">
      <alignment vertical="center"/>
    </xf>
    <xf numFmtId="176" fontId="1" fillId="0" borderId="0" xfId="0" applyNumberFormat="1" applyFont="1" applyAlignment="1">
      <alignment horizontal="center"/>
    </xf>
    <xf numFmtId="0" fontId="6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176" fontId="1" fillId="0" borderId="23" xfId="0" applyNumberFormat="1" applyFont="1" applyBorder="1" applyAlignment="1">
      <alignment horizontal="center"/>
    </xf>
    <xf numFmtId="0" fontId="8" fillId="0" borderId="24" xfId="0" applyFont="1" applyBorder="1"/>
    <xf numFmtId="0" fontId="8" fillId="0" borderId="18" xfId="0" applyFont="1" applyBorder="1"/>
    <xf numFmtId="0" fontId="12" fillId="0" borderId="0" xfId="0" applyFont="1" applyAlignment="1">
      <alignment horizontal="left"/>
    </xf>
    <xf numFmtId="0" fontId="6" fillId="0" borderId="12" xfId="0" applyFont="1" applyBorder="1" applyAlignment="1">
      <alignment vertical="center"/>
    </xf>
    <xf numFmtId="176" fontId="1" fillId="0" borderId="20" xfId="0" applyNumberFormat="1" applyFont="1" applyBorder="1" applyAlignment="1">
      <alignment horizontal="center"/>
    </xf>
    <xf numFmtId="0" fontId="8" fillId="0" borderId="25" xfId="0" applyFont="1" applyBorder="1"/>
    <xf numFmtId="0" fontId="10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4" fontId="7" fillId="0" borderId="0" xfId="0" applyNumberFormat="1" applyFont="1" applyAlignment="1">
      <alignment horizontal="right" vertical="center" wrapText="1"/>
    </xf>
    <xf numFmtId="4" fontId="7" fillId="0" borderId="0" xfId="0" applyNumberFormat="1" applyFont="1" applyAlignment="1">
      <alignment horizontal="left" vertical="center" wrapText="1"/>
    </xf>
    <xf numFmtId="4" fontId="10" fillId="0" borderId="0" xfId="0" applyNumberFormat="1" applyFont="1" applyAlignment="1">
      <alignment horizontal="right"/>
    </xf>
    <xf numFmtId="4" fontId="7" fillId="0" borderId="0" xfId="0" applyNumberFormat="1" applyFont="1" applyAlignment="1">
      <alignment wrapText="1"/>
    </xf>
    <xf numFmtId="0" fontId="15" fillId="0" borderId="0" xfId="0" applyFont="1" applyAlignment="1">
      <alignment horizontal="left" vertical="center"/>
    </xf>
    <xf numFmtId="0" fontId="7" fillId="0" borderId="0" xfId="0" applyFont="1" applyAlignment="1">
      <alignment horizontal="left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4" fontId="16" fillId="0" borderId="0" xfId="0" applyNumberFormat="1" applyFont="1" applyAlignment="1">
      <alignment horizontal="right"/>
    </xf>
    <xf numFmtId="0" fontId="17" fillId="0" borderId="0" xfId="0" applyFont="1" applyAlignment="1">
      <alignment horizontal="left" vertical="center" wrapText="1"/>
    </xf>
    <xf numFmtId="0" fontId="18" fillId="0" borderId="0" xfId="0" applyFont="1"/>
    <xf numFmtId="0" fontId="17" fillId="0" borderId="0" xfId="0" applyFont="1" applyAlignment="1">
      <alignment horizontal="left" wrapText="1"/>
    </xf>
    <xf numFmtId="176" fontId="19" fillId="0" borderId="0" xfId="0" applyNumberFormat="1" applyFont="1" applyAlignment="1">
      <alignment horizontal="left" vertical="center" wrapText="1"/>
    </xf>
    <xf numFmtId="176" fontId="10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wrapText="1"/>
    </xf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12" xfId="0" applyFont="1" applyBorder="1"/>
    <xf numFmtId="0" fontId="21" fillId="0" borderId="9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85"/>
  <sheetViews>
    <sheetView tabSelected="1" zoomScale="86" zoomScaleNormal="86" topLeftCell="A60" workbookViewId="0">
      <selection activeCell="A71" sqref="$A71:$XFD71"/>
    </sheetView>
  </sheetViews>
  <sheetFormatPr defaultColWidth="12.625" defaultRowHeight="15" customHeight="1"/>
  <cols>
    <col min="1" max="1" width="8.625" customWidth="1"/>
    <col min="2" max="2" width="68.375" customWidth="1"/>
    <col min="3" max="3" width="11.625" customWidth="1"/>
    <col min="4" max="4" width="11.75" customWidth="1"/>
    <col min="5" max="5" width="11.625" customWidth="1"/>
    <col min="6" max="6" width="23.25" customWidth="1"/>
    <col min="7" max="7" width="10.375" customWidth="1"/>
    <col min="8" max="12" width="7.625" customWidth="1"/>
    <col min="13" max="13" width="11.375" customWidth="1"/>
    <col min="14" max="15" width="7.625" customWidth="1"/>
    <col min="16" max="16" width="10.25" customWidth="1"/>
    <col min="17" max="17" width="9.25" customWidth="1"/>
    <col min="18" max="18" width="7.625" customWidth="1"/>
    <col min="19" max="19" width="9.5" customWidth="1"/>
    <col min="20" max="21" width="9.875" customWidth="1"/>
    <col min="22" max="22" width="22.625" customWidth="1"/>
  </cols>
  <sheetData>
    <row r="1" ht="15.75" spans="1:1">
      <c r="A1" s="1" t="s">
        <v>0</v>
      </c>
    </row>
    <row r="2" ht="14.25" spans="1:1">
      <c r="A2" s="2" t="s">
        <v>1</v>
      </c>
    </row>
    <row r="3" spans="1:1">
      <c r="A3" s="3"/>
    </row>
    <row r="4" ht="15.75" spans="1:22">
      <c r="A4" s="4" t="s">
        <v>2</v>
      </c>
      <c r="B4" s="5"/>
      <c r="C4" s="5"/>
      <c r="D4" s="6"/>
      <c r="E4" s="7"/>
      <c r="F4" s="5"/>
      <c r="G4" s="5"/>
      <c r="H4" s="5"/>
      <c r="I4" s="5"/>
      <c r="J4" s="5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9"/>
    </row>
    <row r="5" spans="1:22">
      <c r="A5" s="8"/>
      <c r="B5" s="5"/>
      <c r="C5" s="9"/>
      <c r="D5" s="10"/>
      <c r="E5" s="11"/>
      <c r="F5" s="12"/>
      <c r="G5" s="12"/>
      <c r="H5" s="9"/>
      <c r="I5" s="9"/>
      <c r="J5" s="2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ht="15.75" spans="1:22">
      <c r="A6" s="4" t="s">
        <v>3</v>
      </c>
      <c r="B6" s="5"/>
      <c r="C6" s="9"/>
      <c r="D6" s="10"/>
      <c r="E6" s="11"/>
      <c r="F6" s="12"/>
      <c r="G6" s="12"/>
      <c r="H6" s="9"/>
      <c r="I6" s="9"/>
      <c r="J6" s="2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ht="15.75" spans="1:22">
      <c r="A7" s="8"/>
      <c r="B7" s="5"/>
      <c r="C7" s="9"/>
      <c r="D7" s="10"/>
      <c r="E7" s="11"/>
      <c r="F7" s="12"/>
      <c r="G7" s="12"/>
      <c r="H7" s="9"/>
      <c r="I7" s="9"/>
      <c r="J7" s="2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ht="22.5" customHeight="1" spans="1:22">
      <c r="A8" s="13" t="s">
        <v>4</v>
      </c>
      <c r="B8" s="14" t="s">
        <v>5</v>
      </c>
      <c r="C8" s="15" t="s">
        <v>6</v>
      </c>
      <c r="D8" s="16" t="s">
        <v>7</v>
      </c>
      <c r="E8" s="16" t="s">
        <v>8</v>
      </c>
      <c r="F8" s="17" t="s">
        <v>9</v>
      </c>
      <c r="G8" s="14" t="s">
        <v>10</v>
      </c>
      <c r="H8" s="18" t="s">
        <v>11</v>
      </c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8"/>
    </row>
    <row r="9" ht="39" spans="1:22">
      <c r="A9" s="19"/>
      <c r="B9" s="20"/>
      <c r="C9" s="21" t="s">
        <v>12</v>
      </c>
      <c r="D9" s="20"/>
      <c r="E9" s="20"/>
      <c r="F9" s="20"/>
      <c r="G9" s="20"/>
      <c r="H9" s="22" t="s">
        <v>13</v>
      </c>
      <c r="I9" s="22" t="s">
        <v>14</v>
      </c>
      <c r="J9" s="22" t="s">
        <v>15</v>
      </c>
      <c r="K9" s="22" t="s">
        <v>16</v>
      </c>
      <c r="L9" s="22" t="s">
        <v>17</v>
      </c>
      <c r="M9" s="22" t="s">
        <v>18</v>
      </c>
      <c r="N9" s="22" t="s">
        <v>19</v>
      </c>
      <c r="O9" s="22" t="s">
        <v>20</v>
      </c>
      <c r="P9" s="22" t="s">
        <v>21</v>
      </c>
      <c r="Q9" s="22" t="s">
        <v>22</v>
      </c>
      <c r="R9" s="22" t="s">
        <v>23</v>
      </c>
      <c r="S9" s="22" t="s">
        <v>24</v>
      </c>
      <c r="T9" s="22" t="s">
        <v>25</v>
      </c>
      <c r="U9" s="59" t="str">
        <f>$V$9</f>
        <v>REMARKS</v>
      </c>
      <c r="V9" s="60" t="s">
        <v>26</v>
      </c>
    </row>
    <row r="10" ht="15.75" customHeight="1" spans="1:22">
      <c r="A10" s="42"/>
      <c r="B10" s="43" t="s">
        <v>27</v>
      </c>
      <c r="C10" s="44"/>
      <c r="D10" s="45"/>
      <c r="E10" s="46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</row>
    <row r="11" ht="15.75" customHeight="1" spans="1:22">
      <c r="A11" s="34"/>
      <c r="B11" s="34" t="s">
        <v>28</v>
      </c>
      <c r="C11" s="31">
        <v>40</v>
      </c>
      <c r="D11" s="33">
        <v>600</v>
      </c>
      <c r="E11" s="33">
        <f t="shared" ref="E11:E29" si="0">D11*C11</f>
        <v>24000</v>
      </c>
      <c r="F11" s="34" t="s">
        <v>29</v>
      </c>
      <c r="G11" s="42"/>
      <c r="H11" s="31"/>
      <c r="I11" s="31">
        <v>20</v>
      </c>
      <c r="J11" s="31">
        <v>20</v>
      </c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</row>
    <row r="12" ht="15.75" customHeight="1" spans="1:22">
      <c r="A12" s="40"/>
      <c r="B12" s="41" t="s">
        <v>30</v>
      </c>
      <c r="C12" s="31">
        <v>10</v>
      </c>
      <c r="D12" s="32">
        <v>100</v>
      </c>
      <c r="E12" s="33">
        <f t="shared" si="0"/>
        <v>1000</v>
      </c>
      <c r="F12" s="34" t="s">
        <v>29</v>
      </c>
      <c r="G12" s="34"/>
      <c r="H12" s="34"/>
      <c r="I12" s="31">
        <v>10</v>
      </c>
      <c r="J12" s="31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</row>
    <row r="13" ht="15.75" customHeight="1" spans="1:22">
      <c r="A13" s="40"/>
      <c r="B13" s="41" t="s">
        <v>31</v>
      </c>
      <c r="C13" s="31">
        <v>50</v>
      </c>
      <c r="D13" s="32">
        <v>80</v>
      </c>
      <c r="E13" s="33">
        <f t="shared" si="0"/>
        <v>4000</v>
      </c>
      <c r="F13" s="34" t="s">
        <v>29</v>
      </c>
      <c r="G13" s="34"/>
      <c r="H13" s="34"/>
      <c r="I13" s="31">
        <v>50</v>
      </c>
      <c r="J13" s="31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</row>
    <row r="14" ht="15.75" customHeight="1" spans="1:22">
      <c r="A14" s="40"/>
      <c r="B14" s="41" t="s">
        <v>32</v>
      </c>
      <c r="C14" s="31">
        <v>10</v>
      </c>
      <c r="D14" s="32">
        <v>300</v>
      </c>
      <c r="E14" s="33">
        <f t="shared" si="0"/>
        <v>3000</v>
      </c>
      <c r="F14" s="34" t="s">
        <v>29</v>
      </c>
      <c r="G14" s="34"/>
      <c r="H14" s="34"/>
      <c r="I14" s="31">
        <v>10</v>
      </c>
      <c r="J14" s="31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</row>
    <row r="15" ht="15.75" customHeight="1" spans="1:22">
      <c r="A15" s="40"/>
      <c r="B15" s="41" t="s">
        <v>33</v>
      </c>
      <c r="C15" s="31">
        <v>50</v>
      </c>
      <c r="D15" s="32">
        <v>100</v>
      </c>
      <c r="E15" s="33">
        <f t="shared" si="0"/>
        <v>5000</v>
      </c>
      <c r="F15" s="34" t="s">
        <v>29</v>
      </c>
      <c r="G15" s="34"/>
      <c r="H15" s="34"/>
      <c r="I15" s="31">
        <v>50</v>
      </c>
      <c r="J15" s="31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</row>
    <row r="16" ht="15.75" customHeight="1" spans="1:22">
      <c r="A16" s="40"/>
      <c r="B16" s="41" t="s">
        <v>34</v>
      </c>
      <c r="C16" s="31">
        <v>50</v>
      </c>
      <c r="D16" s="32">
        <v>75</v>
      </c>
      <c r="E16" s="33">
        <f t="shared" si="0"/>
        <v>3750</v>
      </c>
      <c r="F16" s="34" t="s">
        <v>29</v>
      </c>
      <c r="G16" s="34"/>
      <c r="H16" s="34"/>
      <c r="I16" s="31">
        <v>50</v>
      </c>
      <c r="J16" s="31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</row>
    <row r="17" ht="15.75" customHeight="1" spans="1:22">
      <c r="A17" s="40"/>
      <c r="B17" s="41" t="s">
        <v>35</v>
      </c>
      <c r="C17" s="31">
        <v>200</v>
      </c>
      <c r="D17" s="32">
        <v>150</v>
      </c>
      <c r="E17" s="33">
        <f t="shared" si="0"/>
        <v>30000</v>
      </c>
      <c r="F17" s="34" t="s">
        <v>29</v>
      </c>
      <c r="G17" s="34"/>
      <c r="H17" s="34"/>
      <c r="I17" s="31">
        <v>200</v>
      </c>
      <c r="J17" s="31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</row>
    <row r="18" ht="15.75" customHeight="1" spans="1:22">
      <c r="A18" s="29"/>
      <c r="B18" s="49" t="s">
        <v>36</v>
      </c>
      <c r="C18" s="50">
        <v>10</v>
      </c>
      <c r="D18" s="51">
        <v>500</v>
      </c>
      <c r="E18" s="52">
        <f t="shared" si="0"/>
        <v>5000</v>
      </c>
      <c r="F18" s="34" t="s">
        <v>29</v>
      </c>
      <c r="G18" s="34"/>
      <c r="H18" s="34"/>
      <c r="I18" s="50">
        <v>10</v>
      </c>
      <c r="J18" s="50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</row>
    <row r="19" ht="15.75" customHeight="1" spans="1:22">
      <c r="A19" s="29"/>
      <c r="B19" s="49" t="s">
        <v>37</v>
      </c>
      <c r="C19" s="50">
        <v>1000</v>
      </c>
      <c r="D19" s="51">
        <v>4</v>
      </c>
      <c r="E19" s="52">
        <f t="shared" si="0"/>
        <v>4000</v>
      </c>
      <c r="F19" s="34" t="s">
        <v>29</v>
      </c>
      <c r="G19" s="34"/>
      <c r="H19" s="34"/>
      <c r="I19" s="50">
        <v>1000</v>
      </c>
      <c r="J19" s="50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</row>
    <row r="20" ht="15.75" customHeight="1" spans="1:22">
      <c r="A20" s="29"/>
      <c r="B20" s="49" t="s">
        <v>38</v>
      </c>
      <c r="C20" s="50">
        <v>4</v>
      </c>
      <c r="D20" s="51">
        <v>2000</v>
      </c>
      <c r="E20" s="52">
        <f t="shared" si="0"/>
        <v>8000</v>
      </c>
      <c r="F20" s="34" t="s">
        <v>29</v>
      </c>
      <c r="G20" s="34"/>
      <c r="H20" s="34"/>
      <c r="I20" s="50">
        <v>4</v>
      </c>
      <c r="J20" s="50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</row>
    <row r="21" ht="15.75" customHeight="1" spans="1:22">
      <c r="A21" s="29"/>
      <c r="B21" s="49" t="s">
        <v>39</v>
      </c>
      <c r="C21" s="50">
        <v>1</v>
      </c>
      <c r="D21" s="51">
        <v>300</v>
      </c>
      <c r="E21" s="52">
        <f t="shared" si="0"/>
        <v>300</v>
      </c>
      <c r="F21" s="34" t="s">
        <v>29</v>
      </c>
      <c r="G21" s="34"/>
      <c r="H21" s="34"/>
      <c r="I21" s="50">
        <v>1</v>
      </c>
      <c r="J21" s="50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</row>
    <row r="22" ht="15.75" customHeight="1" spans="1:22">
      <c r="A22" s="29"/>
      <c r="B22" s="53" t="s">
        <v>40</v>
      </c>
      <c r="C22" s="50">
        <v>4</v>
      </c>
      <c r="D22" s="51">
        <v>800</v>
      </c>
      <c r="E22" s="52">
        <f t="shared" si="0"/>
        <v>3200</v>
      </c>
      <c r="F22" s="34" t="s">
        <v>29</v>
      </c>
      <c r="G22" s="34"/>
      <c r="H22" s="34"/>
      <c r="I22" s="50">
        <v>4</v>
      </c>
      <c r="J22" s="50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</row>
    <row r="23" ht="15.75" customHeight="1" spans="1:22">
      <c r="A23" s="29"/>
      <c r="B23" s="53" t="s">
        <v>41</v>
      </c>
      <c r="C23" s="50">
        <v>50</v>
      </c>
      <c r="D23" s="51">
        <v>100</v>
      </c>
      <c r="E23" s="52">
        <f t="shared" si="0"/>
        <v>5000</v>
      </c>
      <c r="F23" s="34" t="s">
        <v>29</v>
      </c>
      <c r="G23" s="34"/>
      <c r="H23" s="34"/>
      <c r="I23" s="50">
        <v>50</v>
      </c>
      <c r="J23" s="50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</row>
    <row r="24" ht="15.75" customHeight="1" spans="1:22">
      <c r="A24" s="29"/>
      <c r="B24" s="49" t="s">
        <v>42</v>
      </c>
      <c r="C24" s="50">
        <v>10</v>
      </c>
      <c r="D24" s="51">
        <v>1000</v>
      </c>
      <c r="E24" s="52">
        <f t="shared" si="0"/>
        <v>10000</v>
      </c>
      <c r="F24" s="34"/>
      <c r="G24" s="34"/>
      <c r="H24" s="34"/>
      <c r="I24" s="50">
        <v>10</v>
      </c>
      <c r="J24" s="50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</row>
    <row r="25" ht="15.75" customHeight="1" spans="1:22">
      <c r="A25" s="29"/>
      <c r="B25" s="49" t="s">
        <v>43</v>
      </c>
      <c r="C25" s="50">
        <v>20</v>
      </c>
      <c r="D25" s="51">
        <v>100</v>
      </c>
      <c r="E25" s="52">
        <f t="shared" si="0"/>
        <v>2000</v>
      </c>
      <c r="F25" s="34"/>
      <c r="G25" s="34"/>
      <c r="H25" s="34"/>
      <c r="I25" s="50">
        <v>20</v>
      </c>
      <c r="J25" s="50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</row>
    <row r="26" ht="15.75" customHeight="1" spans="1:22">
      <c r="A26" s="29"/>
      <c r="B26" s="49" t="s">
        <v>44</v>
      </c>
      <c r="C26" s="50">
        <v>2</v>
      </c>
      <c r="D26" s="51">
        <v>300</v>
      </c>
      <c r="E26" s="52">
        <f t="shared" si="0"/>
        <v>600</v>
      </c>
      <c r="F26" s="34"/>
      <c r="G26" s="34"/>
      <c r="H26" s="34"/>
      <c r="I26" s="50">
        <v>2</v>
      </c>
      <c r="J26" s="50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</row>
    <row r="27" ht="15.75" customHeight="1" spans="1:22">
      <c r="A27" s="29"/>
      <c r="B27" s="49" t="s">
        <v>45</v>
      </c>
      <c r="C27" s="50">
        <v>2</v>
      </c>
      <c r="D27" s="51">
        <v>300</v>
      </c>
      <c r="E27" s="52">
        <f t="shared" si="0"/>
        <v>600</v>
      </c>
      <c r="F27" s="34"/>
      <c r="G27" s="34"/>
      <c r="H27" s="34"/>
      <c r="I27" s="50">
        <v>2</v>
      </c>
      <c r="J27" s="50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</row>
    <row r="28" ht="15.75" customHeight="1" spans="1:22">
      <c r="A28" s="29"/>
      <c r="B28" s="49" t="s">
        <v>46</v>
      </c>
      <c r="C28" s="50">
        <v>20</v>
      </c>
      <c r="D28" s="51">
        <v>200</v>
      </c>
      <c r="E28" s="52">
        <f t="shared" si="0"/>
        <v>4000</v>
      </c>
      <c r="F28" s="34"/>
      <c r="G28" s="34"/>
      <c r="H28" s="34"/>
      <c r="I28" s="50">
        <v>20</v>
      </c>
      <c r="J28" s="50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</row>
    <row r="29" ht="15.75" customHeight="1" spans="1:22">
      <c r="A29" s="29"/>
      <c r="B29" s="49" t="s">
        <v>47</v>
      </c>
      <c r="C29" s="50">
        <v>2</v>
      </c>
      <c r="D29" s="51">
        <v>1500</v>
      </c>
      <c r="E29" s="52">
        <f t="shared" si="0"/>
        <v>3000</v>
      </c>
      <c r="F29" s="34"/>
      <c r="G29" s="34"/>
      <c r="H29" s="34"/>
      <c r="I29" s="50">
        <v>2</v>
      </c>
      <c r="J29" s="50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</row>
    <row r="30" spans="1:22">
      <c r="A30" s="29"/>
      <c r="B30" s="62" t="s">
        <v>48</v>
      </c>
      <c r="C30" s="63"/>
      <c r="D30" s="64"/>
      <c r="E30" s="65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</row>
    <row r="31" ht="15.75" customHeight="1" spans="1:22">
      <c r="A31" s="29"/>
      <c r="B31" s="30" t="s">
        <v>49</v>
      </c>
      <c r="C31" s="50">
        <v>30</v>
      </c>
      <c r="D31" s="51">
        <v>2000</v>
      </c>
      <c r="E31" s="52">
        <f t="shared" ref="E31:E47" si="1">D31*C31</f>
        <v>60000</v>
      </c>
      <c r="F31" s="34" t="s">
        <v>29</v>
      </c>
      <c r="G31" s="34"/>
      <c r="H31" s="34"/>
      <c r="I31" s="50">
        <v>30</v>
      </c>
      <c r="J31" s="50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</row>
    <row r="32" ht="15.75" customHeight="1" spans="1:22">
      <c r="A32" s="29"/>
      <c r="B32" s="30" t="s">
        <v>50</v>
      </c>
      <c r="C32" s="50">
        <v>30</v>
      </c>
      <c r="D32" s="51">
        <v>2000</v>
      </c>
      <c r="E32" s="52">
        <f t="shared" si="1"/>
        <v>60000</v>
      </c>
      <c r="F32" s="34" t="s">
        <v>29</v>
      </c>
      <c r="G32" s="34"/>
      <c r="H32" s="34"/>
      <c r="I32" s="50">
        <v>30</v>
      </c>
      <c r="J32" s="50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</row>
    <row r="33" ht="15.75" customHeight="1" spans="1:22">
      <c r="A33" s="29"/>
      <c r="B33" s="30" t="s">
        <v>51</v>
      </c>
      <c r="C33" s="50">
        <v>10</v>
      </c>
      <c r="D33" s="51">
        <v>3500</v>
      </c>
      <c r="E33" s="52">
        <f t="shared" si="1"/>
        <v>35000</v>
      </c>
      <c r="F33" s="34" t="s">
        <v>29</v>
      </c>
      <c r="G33" s="34"/>
      <c r="H33" s="34"/>
      <c r="I33" s="50">
        <v>10</v>
      </c>
      <c r="J33" s="50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</row>
    <row r="34" ht="15.75" customHeight="1" spans="1:22">
      <c r="A34" s="29"/>
      <c r="B34" s="30" t="s">
        <v>52</v>
      </c>
      <c r="C34" s="50">
        <v>10</v>
      </c>
      <c r="D34" s="51">
        <v>3500</v>
      </c>
      <c r="E34" s="52">
        <f t="shared" si="1"/>
        <v>35000</v>
      </c>
      <c r="F34" s="34" t="s">
        <v>29</v>
      </c>
      <c r="G34" s="34"/>
      <c r="H34" s="34"/>
      <c r="I34" s="50">
        <v>10</v>
      </c>
      <c r="J34" s="50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</row>
    <row r="35" ht="15.75" customHeight="1" spans="1:22">
      <c r="A35" s="29"/>
      <c r="B35" s="30" t="s">
        <v>53</v>
      </c>
      <c r="C35" s="50">
        <v>10</v>
      </c>
      <c r="D35" s="51">
        <v>3500</v>
      </c>
      <c r="E35" s="52">
        <f t="shared" si="1"/>
        <v>35000</v>
      </c>
      <c r="F35" s="34" t="s">
        <v>29</v>
      </c>
      <c r="G35" s="34"/>
      <c r="H35" s="34"/>
      <c r="I35" s="50">
        <v>10</v>
      </c>
      <c r="J35" s="50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</row>
    <row r="36" ht="15.75" customHeight="1" spans="1:22">
      <c r="A36" s="29"/>
      <c r="B36" s="30" t="s">
        <v>54</v>
      </c>
      <c r="C36" s="50">
        <v>10</v>
      </c>
      <c r="D36" s="51">
        <v>3500</v>
      </c>
      <c r="E36" s="52">
        <f t="shared" si="1"/>
        <v>35000</v>
      </c>
      <c r="F36" s="34" t="s">
        <v>29</v>
      </c>
      <c r="G36" s="34"/>
      <c r="H36" s="34"/>
      <c r="I36" s="50">
        <v>10</v>
      </c>
      <c r="J36" s="50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</row>
    <row r="37" ht="15.75" customHeight="1" spans="1:22">
      <c r="A37" s="29"/>
      <c r="B37" s="30" t="s">
        <v>55</v>
      </c>
      <c r="C37" s="50">
        <v>10</v>
      </c>
      <c r="D37" s="51">
        <v>3500</v>
      </c>
      <c r="E37" s="52">
        <f t="shared" si="1"/>
        <v>35000</v>
      </c>
      <c r="F37" s="34" t="s">
        <v>29</v>
      </c>
      <c r="G37" s="34"/>
      <c r="H37" s="34"/>
      <c r="I37" s="50">
        <v>10</v>
      </c>
      <c r="J37" s="50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</row>
    <row r="38" ht="15.75" customHeight="1" spans="1:22">
      <c r="A38" s="29"/>
      <c r="B38" s="30" t="s">
        <v>56</v>
      </c>
      <c r="C38" s="50">
        <v>10</v>
      </c>
      <c r="D38" s="51">
        <v>3500</v>
      </c>
      <c r="E38" s="52">
        <f t="shared" si="1"/>
        <v>35000</v>
      </c>
      <c r="F38" s="34" t="s">
        <v>29</v>
      </c>
      <c r="G38" s="34"/>
      <c r="H38" s="34"/>
      <c r="I38" s="50">
        <v>10</v>
      </c>
      <c r="J38" s="50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</row>
    <row r="39" ht="15.75" customHeight="1" spans="1:22">
      <c r="A39" s="29"/>
      <c r="B39" s="30" t="s">
        <v>57</v>
      </c>
      <c r="C39" s="50">
        <v>10</v>
      </c>
      <c r="D39" s="51">
        <v>3500</v>
      </c>
      <c r="E39" s="52">
        <f t="shared" si="1"/>
        <v>35000</v>
      </c>
      <c r="F39" s="34" t="s">
        <v>29</v>
      </c>
      <c r="G39" s="34"/>
      <c r="H39" s="34"/>
      <c r="I39" s="50">
        <v>10</v>
      </c>
      <c r="J39" s="50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</row>
    <row r="40" ht="15.75" customHeight="1" spans="1:22">
      <c r="A40" s="29"/>
      <c r="B40" s="30" t="s">
        <v>58</v>
      </c>
      <c r="C40" s="50">
        <v>10</v>
      </c>
      <c r="D40" s="51">
        <v>3500</v>
      </c>
      <c r="E40" s="52">
        <f t="shared" si="1"/>
        <v>35000</v>
      </c>
      <c r="F40" s="34" t="s">
        <v>29</v>
      </c>
      <c r="G40" s="34"/>
      <c r="H40" s="34"/>
      <c r="I40" s="50">
        <v>10</v>
      </c>
      <c r="J40" s="50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</row>
    <row r="41" ht="15.75" customHeight="1" spans="1:22">
      <c r="A41" s="29"/>
      <c r="B41" s="30" t="s">
        <v>59</v>
      </c>
      <c r="C41" s="50">
        <v>10</v>
      </c>
      <c r="D41" s="51">
        <v>3500</v>
      </c>
      <c r="E41" s="52">
        <f t="shared" si="1"/>
        <v>35000</v>
      </c>
      <c r="F41" s="34" t="s">
        <v>29</v>
      </c>
      <c r="G41" s="34"/>
      <c r="H41" s="34"/>
      <c r="I41" s="50">
        <v>10</v>
      </c>
      <c r="J41" s="50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</row>
    <row r="42" ht="15.75" customHeight="1" spans="1:22">
      <c r="A42" s="29"/>
      <c r="B42" s="30" t="s">
        <v>60</v>
      </c>
      <c r="C42" s="50">
        <v>10</v>
      </c>
      <c r="D42" s="51">
        <v>3500</v>
      </c>
      <c r="E42" s="52">
        <f t="shared" ref="E42" si="2">D42*C42</f>
        <v>35000</v>
      </c>
      <c r="F42" s="34" t="s">
        <v>29</v>
      </c>
      <c r="G42" s="34"/>
      <c r="H42" s="34"/>
      <c r="I42" s="50">
        <v>10</v>
      </c>
      <c r="J42" s="50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</row>
    <row r="43" ht="15.75" customHeight="1" spans="1:22">
      <c r="A43" s="29"/>
      <c r="B43" s="30" t="s">
        <v>61</v>
      </c>
      <c r="C43" s="50">
        <v>10</v>
      </c>
      <c r="D43" s="51">
        <v>3500</v>
      </c>
      <c r="E43" s="52">
        <f t="shared" ref="E43" si="3">D43*C43</f>
        <v>35000</v>
      </c>
      <c r="F43" s="34" t="s">
        <v>29</v>
      </c>
      <c r="G43" s="34"/>
      <c r="H43" s="34"/>
      <c r="I43" s="50">
        <v>10</v>
      </c>
      <c r="J43" s="50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</row>
    <row r="44" ht="15.75" customHeight="1" spans="1:22">
      <c r="A44" s="29"/>
      <c r="B44" s="30" t="s">
        <v>62</v>
      </c>
      <c r="C44" s="50">
        <v>10</v>
      </c>
      <c r="D44" s="51">
        <v>3500</v>
      </c>
      <c r="E44" s="52">
        <f t="shared" si="1"/>
        <v>35000</v>
      </c>
      <c r="F44" s="34" t="s">
        <v>29</v>
      </c>
      <c r="G44" s="34"/>
      <c r="H44" s="34"/>
      <c r="I44" s="50">
        <v>10</v>
      </c>
      <c r="J44" s="50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</row>
    <row r="45" ht="15.75" customHeight="1" spans="1:22">
      <c r="A45" s="29"/>
      <c r="B45" s="30" t="s">
        <v>63</v>
      </c>
      <c r="C45" s="50">
        <v>10</v>
      </c>
      <c r="D45" s="51">
        <v>3500</v>
      </c>
      <c r="E45" s="52">
        <f t="shared" si="1"/>
        <v>35000</v>
      </c>
      <c r="F45" s="34" t="s">
        <v>29</v>
      </c>
      <c r="G45" s="34"/>
      <c r="H45" s="34"/>
      <c r="I45" s="50">
        <v>10</v>
      </c>
      <c r="J45" s="50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</row>
    <row r="46" ht="15.75" customHeight="1" spans="1:22">
      <c r="A46" s="29"/>
      <c r="B46" s="30" t="s">
        <v>64</v>
      </c>
      <c r="C46" s="50">
        <v>10</v>
      </c>
      <c r="D46" s="51">
        <v>500</v>
      </c>
      <c r="E46" s="52">
        <f t="shared" si="1"/>
        <v>5000</v>
      </c>
      <c r="F46" s="34" t="s">
        <v>29</v>
      </c>
      <c r="G46" s="34"/>
      <c r="H46" s="34"/>
      <c r="I46" s="50">
        <v>10</v>
      </c>
      <c r="J46" s="50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</row>
    <row r="47" ht="15.75" customHeight="1" spans="1:22">
      <c r="A47" s="29"/>
      <c r="B47" s="30" t="s">
        <v>65</v>
      </c>
      <c r="C47" s="50">
        <v>13</v>
      </c>
      <c r="D47" s="51">
        <v>900</v>
      </c>
      <c r="E47" s="52">
        <f t="shared" si="1"/>
        <v>11700</v>
      </c>
      <c r="F47" s="34" t="s">
        <v>29</v>
      </c>
      <c r="G47" s="34"/>
      <c r="H47" s="34"/>
      <c r="I47" s="50">
        <v>13</v>
      </c>
      <c r="J47" s="50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</row>
    <row r="48" ht="15.75" customHeight="1" spans="1:22">
      <c r="A48" s="29" t="s">
        <v>66</v>
      </c>
      <c r="B48" s="34" t="s">
        <v>67</v>
      </c>
      <c r="C48" s="50">
        <v>60</v>
      </c>
      <c r="D48" s="51">
        <v>500</v>
      </c>
      <c r="E48" s="52">
        <f t="shared" ref="E48:E50" si="4">D48*C48</f>
        <v>30000</v>
      </c>
      <c r="F48" s="34" t="s">
        <v>29</v>
      </c>
      <c r="G48" s="34"/>
      <c r="H48" s="34"/>
      <c r="I48" s="50">
        <v>60</v>
      </c>
      <c r="J48" s="50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</row>
    <row r="49" ht="15.75" customHeight="1" spans="1:22">
      <c r="A49" s="29"/>
      <c r="B49" s="34" t="s">
        <v>68</v>
      </c>
      <c r="C49" s="50">
        <v>50</v>
      </c>
      <c r="D49" s="51">
        <v>500</v>
      </c>
      <c r="E49" s="52">
        <f t="shared" ref="E49" si="5">D49*C49</f>
        <v>25000</v>
      </c>
      <c r="F49" s="34" t="s">
        <v>29</v>
      </c>
      <c r="G49" s="34"/>
      <c r="H49" s="34"/>
      <c r="I49" s="50">
        <v>50</v>
      </c>
      <c r="J49" s="50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</row>
    <row r="50" ht="15.75" customHeight="1" spans="1:22">
      <c r="A50" s="29"/>
      <c r="B50" s="34" t="s">
        <v>69</v>
      </c>
      <c r="C50" s="50">
        <v>20</v>
      </c>
      <c r="D50" s="51">
        <v>400</v>
      </c>
      <c r="E50" s="52">
        <f t="shared" si="4"/>
        <v>8000</v>
      </c>
      <c r="F50" s="34" t="s">
        <v>29</v>
      </c>
      <c r="G50" s="34"/>
      <c r="H50" s="34"/>
      <c r="I50" s="50">
        <v>20</v>
      </c>
      <c r="J50" s="50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</row>
    <row r="51" ht="15.75" customHeight="1" spans="1:22">
      <c r="A51" s="29"/>
      <c r="B51" s="34" t="s">
        <v>70</v>
      </c>
      <c r="C51" s="50">
        <v>5</v>
      </c>
      <c r="D51" s="51">
        <v>500</v>
      </c>
      <c r="E51" s="52">
        <f t="shared" ref="E51:E61" si="6">D51*C51</f>
        <v>2500</v>
      </c>
      <c r="F51" s="34" t="s">
        <v>29</v>
      </c>
      <c r="G51" s="34"/>
      <c r="H51" s="34"/>
      <c r="I51" s="50">
        <v>5</v>
      </c>
      <c r="J51" s="50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</row>
    <row r="52" ht="15.75" customHeight="1" spans="1:22">
      <c r="A52" s="29"/>
      <c r="B52" s="34" t="s">
        <v>71</v>
      </c>
      <c r="C52" s="50">
        <v>20</v>
      </c>
      <c r="D52" s="51">
        <v>600</v>
      </c>
      <c r="E52" s="52">
        <f t="shared" si="6"/>
        <v>12000</v>
      </c>
      <c r="F52" s="34" t="s">
        <v>29</v>
      </c>
      <c r="G52" s="34"/>
      <c r="H52" s="34"/>
      <c r="I52" s="50">
        <v>100</v>
      </c>
      <c r="J52" s="50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</row>
    <row r="53" ht="15.75" customHeight="1" spans="1:22">
      <c r="A53" s="29"/>
      <c r="B53" s="34" t="s">
        <v>72</v>
      </c>
      <c r="C53" s="50">
        <v>100</v>
      </c>
      <c r="D53" s="51">
        <v>200</v>
      </c>
      <c r="E53" s="52">
        <f t="shared" si="6"/>
        <v>20000</v>
      </c>
      <c r="F53" s="34" t="s">
        <v>29</v>
      </c>
      <c r="G53" s="34"/>
      <c r="H53" s="34"/>
      <c r="I53" s="50">
        <v>100</v>
      </c>
      <c r="J53" s="50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</row>
    <row r="54" ht="15.75" customHeight="1" spans="1:22">
      <c r="A54" s="29"/>
      <c r="B54" s="34" t="s">
        <v>73</v>
      </c>
      <c r="C54" s="50">
        <v>100</v>
      </c>
      <c r="D54" s="51">
        <v>1000</v>
      </c>
      <c r="E54" s="52">
        <f t="shared" si="6"/>
        <v>100000</v>
      </c>
      <c r="F54" s="34" t="s">
        <v>29</v>
      </c>
      <c r="G54" s="34"/>
      <c r="H54" s="34"/>
      <c r="I54" s="50">
        <v>100</v>
      </c>
      <c r="J54" s="50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</row>
    <row r="55" ht="15.75" customHeight="1" spans="1:22">
      <c r="A55" s="29"/>
      <c r="B55" s="34" t="s">
        <v>74</v>
      </c>
      <c r="C55" s="50">
        <v>100</v>
      </c>
      <c r="D55" s="51">
        <v>4500</v>
      </c>
      <c r="E55" s="52">
        <f t="shared" si="6"/>
        <v>450000</v>
      </c>
      <c r="F55" s="34" t="s">
        <v>29</v>
      </c>
      <c r="G55" s="34"/>
      <c r="H55" s="34"/>
      <c r="I55" s="50">
        <v>100</v>
      </c>
      <c r="J55" s="50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</row>
    <row r="56" ht="15.75" customHeight="1" spans="1:22">
      <c r="A56" s="29"/>
      <c r="B56" s="34" t="s">
        <v>75</v>
      </c>
      <c r="C56" s="50">
        <v>20</v>
      </c>
      <c r="D56" s="51">
        <v>10000</v>
      </c>
      <c r="E56" s="52">
        <f t="shared" si="6"/>
        <v>200000</v>
      </c>
      <c r="F56" s="34" t="s">
        <v>29</v>
      </c>
      <c r="G56" s="34"/>
      <c r="H56" s="34"/>
      <c r="I56" s="50">
        <v>20</v>
      </c>
      <c r="J56" s="50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</row>
    <row r="57" ht="15.75" customHeight="1" spans="1:22">
      <c r="A57" s="29"/>
      <c r="B57" s="34" t="s">
        <v>76</v>
      </c>
      <c r="C57" s="50">
        <v>20</v>
      </c>
      <c r="D57" s="51">
        <v>500</v>
      </c>
      <c r="E57" s="52">
        <f t="shared" si="6"/>
        <v>10000</v>
      </c>
      <c r="F57" s="34" t="s">
        <v>29</v>
      </c>
      <c r="G57" s="34"/>
      <c r="H57" s="34"/>
      <c r="I57" s="50">
        <v>20</v>
      </c>
      <c r="J57" s="50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</row>
    <row r="58" ht="15.75" customHeight="1" spans="1:22">
      <c r="A58" s="29"/>
      <c r="B58" s="34" t="s">
        <v>77</v>
      </c>
      <c r="C58" s="50">
        <v>20</v>
      </c>
      <c r="D58" s="51">
        <v>500</v>
      </c>
      <c r="E58" s="52">
        <f t="shared" si="6"/>
        <v>10000</v>
      </c>
      <c r="F58" s="34" t="s">
        <v>29</v>
      </c>
      <c r="G58" s="34"/>
      <c r="H58" s="34"/>
      <c r="I58" s="50">
        <v>20</v>
      </c>
      <c r="J58" s="50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</row>
    <row r="59" ht="15.75" customHeight="1" spans="1:22">
      <c r="A59" s="29"/>
      <c r="B59" s="34" t="s">
        <v>78</v>
      </c>
      <c r="C59" s="50">
        <v>10</v>
      </c>
      <c r="D59" s="51">
        <v>300</v>
      </c>
      <c r="E59" s="52">
        <f t="shared" si="6"/>
        <v>3000</v>
      </c>
      <c r="F59" s="34" t="s">
        <v>29</v>
      </c>
      <c r="G59" s="34"/>
      <c r="H59" s="34"/>
      <c r="I59" s="50">
        <v>10</v>
      </c>
      <c r="J59" s="50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</row>
    <row r="60" ht="15.75" customHeight="1" spans="1:22">
      <c r="A60" s="29"/>
      <c r="B60" s="41" t="s">
        <v>79</v>
      </c>
      <c r="C60" s="50">
        <v>500</v>
      </c>
      <c r="D60" s="51">
        <v>10</v>
      </c>
      <c r="E60" s="52">
        <f t="shared" si="6"/>
        <v>5000</v>
      </c>
      <c r="F60" s="34" t="s">
        <v>29</v>
      </c>
      <c r="G60" s="34"/>
      <c r="H60" s="34"/>
      <c r="I60" s="50">
        <v>500</v>
      </c>
      <c r="J60" s="50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</row>
    <row r="61" ht="15.75" customHeight="1" spans="1:22">
      <c r="A61" s="29"/>
      <c r="B61" s="34" t="s">
        <v>80</v>
      </c>
      <c r="C61" s="50">
        <v>20</v>
      </c>
      <c r="D61" s="51">
        <v>100</v>
      </c>
      <c r="E61" s="52">
        <f t="shared" si="6"/>
        <v>2000</v>
      </c>
      <c r="F61" s="34" t="s">
        <v>29</v>
      </c>
      <c r="G61" s="34"/>
      <c r="H61" s="34"/>
      <c r="I61" s="50">
        <v>20</v>
      </c>
      <c r="J61" s="50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</row>
    <row r="62" ht="15.75" customHeight="1" spans="1:22">
      <c r="A62" s="29"/>
      <c r="B62" s="34" t="s">
        <v>81</v>
      </c>
      <c r="C62" s="50">
        <v>20</v>
      </c>
      <c r="D62" s="51">
        <v>400</v>
      </c>
      <c r="E62" s="52">
        <f>C62*D62</f>
        <v>8000</v>
      </c>
      <c r="F62" s="34" t="s">
        <v>29</v>
      </c>
      <c r="G62" s="34"/>
      <c r="H62" s="34"/>
      <c r="I62" s="50">
        <v>20</v>
      </c>
      <c r="J62" s="50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</row>
    <row r="63" ht="53.25" customHeight="1" spans="1:26">
      <c r="A63" s="29"/>
      <c r="B63" s="67" t="s">
        <v>82</v>
      </c>
      <c r="C63" s="50">
        <v>2</v>
      </c>
      <c r="D63" s="51">
        <v>7500</v>
      </c>
      <c r="E63" s="52">
        <f t="shared" ref="E63:E72" si="7">D63*C63</f>
        <v>15000</v>
      </c>
      <c r="F63" s="68" t="s">
        <v>29</v>
      </c>
      <c r="G63" s="68"/>
      <c r="H63" s="68"/>
      <c r="I63" s="50">
        <v>2</v>
      </c>
      <c r="J63" s="50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5"/>
      <c r="X63" s="5"/>
      <c r="Y63" s="5"/>
      <c r="Z63" s="5"/>
    </row>
    <row r="64" ht="42.75" spans="1:22">
      <c r="A64" s="29"/>
      <c r="B64" s="69" t="s">
        <v>83</v>
      </c>
      <c r="C64" s="50">
        <v>3</v>
      </c>
      <c r="D64" s="51">
        <v>1500</v>
      </c>
      <c r="E64" s="52">
        <f t="shared" si="7"/>
        <v>4500</v>
      </c>
      <c r="F64" s="68" t="s">
        <v>29</v>
      </c>
      <c r="G64" s="34"/>
      <c r="H64" s="34"/>
      <c r="I64" s="50">
        <v>3</v>
      </c>
      <c r="J64" s="50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</row>
    <row r="65" ht="15.75" customHeight="1" spans="1:22">
      <c r="A65" s="29"/>
      <c r="B65" s="34" t="s">
        <v>84</v>
      </c>
      <c r="C65" s="50">
        <v>10</v>
      </c>
      <c r="D65" s="51">
        <v>100</v>
      </c>
      <c r="E65" s="52">
        <f t="shared" si="7"/>
        <v>1000</v>
      </c>
      <c r="F65" s="34" t="s">
        <v>29</v>
      </c>
      <c r="G65" s="34"/>
      <c r="H65" s="34"/>
      <c r="I65" s="50">
        <v>10</v>
      </c>
      <c r="J65" s="50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</row>
    <row r="66" ht="28.5" spans="1:22">
      <c r="A66" s="29"/>
      <c r="B66" s="69" t="s">
        <v>85</v>
      </c>
      <c r="C66" s="50">
        <v>10</v>
      </c>
      <c r="D66" s="51">
        <v>300</v>
      </c>
      <c r="E66" s="52">
        <f t="shared" si="7"/>
        <v>3000</v>
      </c>
      <c r="F66" s="68" t="s">
        <v>29</v>
      </c>
      <c r="G66" s="34"/>
      <c r="H66" s="34"/>
      <c r="I66" s="50">
        <v>10</v>
      </c>
      <c r="J66" s="50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</row>
    <row r="67" spans="1:22">
      <c r="A67" s="29"/>
      <c r="B67" s="34" t="s">
        <v>86</v>
      </c>
      <c r="C67" s="50">
        <v>5</v>
      </c>
      <c r="D67" s="51">
        <v>500</v>
      </c>
      <c r="E67" s="52">
        <f t="shared" si="7"/>
        <v>2500</v>
      </c>
      <c r="F67" s="34" t="s">
        <v>29</v>
      </c>
      <c r="G67" s="34"/>
      <c r="H67" s="34"/>
      <c r="I67" s="50">
        <v>5</v>
      </c>
      <c r="J67" s="50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</row>
    <row r="68" ht="15.75" customHeight="1" spans="1:22">
      <c r="A68" s="29"/>
      <c r="B68" s="41" t="s">
        <v>87</v>
      </c>
      <c r="C68" s="50">
        <v>10</v>
      </c>
      <c r="D68" s="51">
        <v>100</v>
      </c>
      <c r="E68" s="52">
        <f t="shared" si="7"/>
        <v>1000</v>
      </c>
      <c r="F68" s="34" t="s">
        <v>29</v>
      </c>
      <c r="G68" s="34"/>
      <c r="H68" s="34"/>
      <c r="I68" s="50">
        <v>10</v>
      </c>
      <c r="J68" s="50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</row>
    <row r="69" ht="15.75" customHeight="1" spans="1:22">
      <c r="A69" s="29"/>
      <c r="B69" s="41" t="s">
        <v>88</v>
      </c>
      <c r="C69" s="50">
        <v>30</v>
      </c>
      <c r="D69" s="51">
        <v>80</v>
      </c>
      <c r="E69" s="52">
        <f t="shared" si="7"/>
        <v>2400</v>
      </c>
      <c r="F69" s="34" t="s">
        <v>29</v>
      </c>
      <c r="G69" s="34"/>
      <c r="H69" s="34"/>
      <c r="I69" s="50">
        <v>30</v>
      </c>
      <c r="J69" s="50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</row>
    <row r="70" ht="15.75" customHeight="1" spans="1:22">
      <c r="A70" s="29"/>
      <c r="B70" s="41" t="s">
        <v>89</v>
      </c>
      <c r="C70" s="50">
        <v>20</v>
      </c>
      <c r="D70" s="51">
        <v>100</v>
      </c>
      <c r="E70" s="52">
        <f t="shared" si="7"/>
        <v>2000</v>
      </c>
      <c r="F70" s="34" t="s">
        <v>29</v>
      </c>
      <c r="G70" s="34"/>
      <c r="H70" s="34"/>
      <c r="I70" s="50">
        <v>20</v>
      </c>
      <c r="J70" s="50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</row>
    <row r="71" ht="15.75" customHeight="1" spans="1:22">
      <c r="A71" s="29"/>
      <c r="B71" s="41" t="s">
        <v>90</v>
      </c>
      <c r="C71" s="50">
        <v>1</v>
      </c>
      <c r="D71" s="51">
        <v>10000</v>
      </c>
      <c r="E71" s="52">
        <f>D71*C71</f>
        <v>10000</v>
      </c>
      <c r="F71" s="34" t="s">
        <v>29</v>
      </c>
      <c r="G71" s="34"/>
      <c r="H71" s="34"/>
      <c r="I71" s="50">
        <v>1</v>
      </c>
      <c r="J71" s="36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</row>
    <row r="72" ht="15.75" customHeight="1" spans="1:22">
      <c r="A72" s="29"/>
      <c r="B72" s="41" t="s">
        <v>91</v>
      </c>
      <c r="C72" s="50">
        <v>1</v>
      </c>
      <c r="D72" s="51">
        <v>10000</v>
      </c>
      <c r="E72" s="52">
        <f t="shared" ref="E72:E76" si="8">D72*C72</f>
        <v>10000</v>
      </c>
      <c r="F72" s="34" t="s">
        <v>29</v>
      </c>
      <c r="G72" s="34"/>
      <c r="H72" s="34"/>
      <c r="I72" s="50">
        <v>1</v>
      </c>
      <c r="J72" s="36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</row>
    <row r="73" ht="15.75" customHeight="1" spans="1:22">
      <c r="A73" s="29"/>
      <c r="B73" s="41" t="s">
        <v>92</v>
      </c>
      <c r="C73" s="50">
        <v>7000</v>
      </c>
      <c r="D73" s="51">
        <v>150</v>
      </c>
      <c r="E73" s="52">
        <f t="shared" si="8"/>
        <v>1050000</v>
      </c>
      <c r="F73" s="34"/>
      <c r="G73" s="34"/>
      <c r="H73" s="34"/>
      <c r="I73" s="50">
        <v>7000</v>
      </c>
      <c r="J73" s="36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</row>
    <row r="74" ht="15.75" customHeight="1" spans="1:22">
      <c r="A74" s="29"/>
      <c r="B74" s="41" t="s">
        <v>93</v>
      </c>
      <c r="C74" s="50">
        <v>4000</v>
      </c>
      <c r="D74" s="51">
        <v>150</v>
      </c>
      <c r="E74" s="52">
        <f t="shared" si="8"/>
        <v>600000</v>
      </c>
      <c r="F74" s="34"/>
      <c r="G74" s="34"/>
      <c r="H74" s="34"/>
      <c r="I74" s="50">
        <v>4000</v>
      </c>
      <c r="J74" s="36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</row>
    <row r="75" ht="15.75" customHeight="1" spans="1:22">
      <c r="A75" s="29"/>
      <c r="B75" s="71" t="s">
        <v>94</v>
      </c>
      <c r="C75" s="50"/>
      <c r="D75" s="51"/>
      <c r="E75" s="52"/>
      <c r="F75" s="34"/>
      <c r="G75" s="34"/>
      <c r="H75" s="34"/>
      <c r="I75" s="50"/>
      <c r="J75" s="36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</row>
    <row r="76" ht="15.75" customHeight="1" spans="1:22">
      <c r="A76" s="29"/>
      <c r="B76" s="125" t="s">
        <v>95</v>
      </c>
      <c r="C76" s="50">
        <v>1</v>
      </c>
      <c r="D76" s="51">
        <v>150000</v>
      </c>
      <c r="E76" s="52">
        <f t="shared" si="8"/>
        <v>150000</v>
      </c>
      <c r="F76" s="34"/>
      <c r="G76" s="34"/>
      <c r="H76" s="34"/>
      <c r="I76" s="50"/>
      <c r="J76" s="36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</row>
    <row r="77" ht="15.75" customHeight="1" spans="1:22">
      <c r="A77" s="29"/>
      <c r="B77" s="71" t="s">
        <v>96</v>
      </c>
      <c r="C77" s="34"/>
      <c r="D77" s="34"/>
      <c r="E77" s="34"/>
      <c r="F77" s="34"/>
      <c r="G77" s="34"/>
      <c r="H77" s="34"/>
      <c r="I77" s="34"/>
      <c r="J77" s="31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</row>
    <row r="78" ht="15.75" customHeight="1" spans="1:22">
      <c r="A78" s="29"/>
      <c r="B78" s="30" t="s">
        <v>97</v>
      </c>
      <c r="C78" s="50">
        <v>2</v>
      </c>
      <c r="D78" s="51">
        <v>2500</v>
      </c>
      <c r="E78" s="52">
        <f>D78*C78</f>
        <v>5000</v>
      </c>
      <c r="F78" s="34"/>
      <c r="G78" s="34"/>
      <c r="H78" s="34"/>
      <c r="I78" s="31">
        <v>2</v>
      </c>
      <c r="J78" s="31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</row>
    <row r="79" ht="15.75" customHeight="1" spans="1:22">
      <c r="A79" s="29"/>
      <c r="B79" s="71" t="s">
        <v>98</v>
      </c>
      <c r="C79" s="50"/>
      <c r="D79" s="51"/>
      <c r="E79" s="52"/>
      <c r="F79" s="34"/>
      <c r="G79" s="34"/>
      <c r="H79" s="34"/>
      <c r="I79" s="31"/>
      <c r="J79" s="31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</row>
    <row r="80" ht="15.75" customHeight="1" spans="1:22">
      <c r="A80" s="29"/>
      <c r="B80" s="30" t="s">
        <v>99</v>
      </c>
      <c r="C80" s="72">
        <v>2</v>
      </c>
      <c r="D80" s="66">
        <v>13000</v>
      </c>
      <c r="E80" s="32">
        <f t="shared" ref="E80:E83" si="9">D80*C80</f>
        <v>26000</v>
      </c>
      <c r="F80" s="34"/>
      <c r="G80" s="34"/>
      <c r="H80" s="34"/>
      <c r="I80" s="31">
        <v>2</v>
      </c>
      <c r="J80" s="31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</row>
    <row r="81" ht="15.75" customHeight="1" spans="1:22">
      <c r="A81" s="29"/>
      <c r="B81" s="49" t="s">
        <v>100</v>
      </c>
      <c r="C81" s="31">
        <v>1</v>
      </c>
      <c r="D81" s="73">
        <v>1550</v>
      </c>
      <c r="E81" s="74">
        <f t="shared" si="9"/>
        <v>1550</v>
      </c>
      <c r="F81" s="75"/>
      <c r="G81" s="34"/>
      <c r="H81" s="34"/>
      <c r="I81" s="31">
        <v>1</v>
      </c>
      <c r="J81" s="31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</row>
    <row r="82" ht="15.75" customHeight="1" spans="1:22">
      <c r="A82" s="29"/>
      <c r="B82" s="30" t="s">
        <v>101</v>
      </c>
      <c r="C82" s="50">
        <v>1</v>
      </c>
      <c r="D82" s="51">
        <v>500</v>
      </c>
      <c r="E82" s="74">
        <f t="shared" si="9"/>
        <v>500</v>
      </c>
      <c r="F82" s="34"/>
      <c r="G82" s="34"/>
      <c r="H82" s="34"/>
      <c r="I82" s="31">
        <v>1</v>
      </c>
      <c r="J82" s="31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</row>
    <row r="83" ht="15.75" customHeight="1" spans="1:22">
      <c r="A83" s="29"/>
      <c r="B83" s="49" t="s">
        <v>102</v>
      </c>
      <c r="C83" s="50">
        <v>1</v>
      </c>
      <c r="D83" s="51">
        <v>120000</v>
      </c>
      <c r="E83" s="51">
        <f t="shared" si="9"/>
        <v>120000</v>
      </c>
      <c r="F83" s="34"/>
      <c r="G83" s="34"/>
      <c r="H83" s="34"/>
      <c r="I83" s="34"/>
      <c r="J83" s="31">
        <v>1</v>
      </c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</row>
    <row r="84" ht="15.75" customHeight="1" spans="1:22">
      <c r="A84" s="29"/>
      <c r="B84" s="49" t="s">
        <v>103</v>
      </c>
      <c r="C84" s="50">
        <v>3</v>
      </c>
      <c r="D84" s="51">
        <v>60000</v>
      </c>
      <c r="E84" s="66">
        <v>60000</v>
      </c>
      <c r="F84" s="34"/>
      <c r="G84" s="34"/>
      <c r="H84" s="34"/>
      <c r="I84" s="31">
        <v>1</v>
      </c>
      <c r="J84" s="31">
        <v>2</v>
      </c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</row>
    <row r="85" ht="15.75" customHeight="1" spans="1:22">
      <c r="A85" s="29"/>
      <c r="B85" s="71" t="s">
        <v>104</v>
      </c>
      <c r="C85" s="50"/>
      <c r="D85" s="51"/>
      <c r="E85" s="76"/>
      <c r="F85" s="34"/>
      <c r="G85" s="34"/>
      <c r="H85" s="34"/>
      <c r="I85" s="31"/>
      <c r="J85" s="50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</row>
    <row r="86" ht="15.75" customHeight="1" spans="1:22">
      <c r="A86" s="29"/>
      <c r="B86" s="49" t="s">
        <v>105</v>
      </c>
      <c r="C86" s="50">
        <v>1</v>
      </c>
      <c r="D86" s="51">
        <v>50000</v>
      </c>
      <c r="E86" s="51">
        <v>50000</v>
      </c>
      <c r="F86" s="34"/>
      <c r="G86" s="34"/>
      <c r="H86" s="34"/>
      <c r="I86" s="31">
        <v>1</v>
      </c>
      <c r="J86" s="50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</row>
    <row r="87" ht="15.75" customHeight="1" spans="1:22">
      <c r="A87" s="29"/>
      <c r="B87" s="71" t="s">
        <v>106</v>
      </c>
      <c r="C87" s="50"/>
      <c r="D87" s="51"/>
      <c r="E87" s="77"/>
      <c r="F87" s="34"/>
      <c r="G87" s="34"/>
      <c r="H87" s="34"/>
      <c r="I87" s="31"/>
      <c r="J87" s="31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</row>
    <row r="88" ht="15.75" customHeight="1" spans="1:22">
      <c r="A88" s="29"/>
      <c r="B88" s="126" t="s">
        <v>107</v>
      </c>
      <c r="C88" s="50">
        <v>1</v>
      </c>
      <c r="D88" s="51">
        <v>50000</v>
      </c>
      <c r="E88" s="52">
        <f>D88*C88</f>
        <v>50000</v>
      </c>
      <c r="F88" s="34" t="s">
        <v>108</v>
      </c>
      <c r="G88" s="34"/>
      <c r="H88" s="34"/>
      <c r="I88" s="31">
        <v>1</v>
      </c>
      <c r="J88" s="31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</row>
    <row r="89" ht="15.75" customHeight="1" spans="1:22">
      <c r="A89" s="29"/>
      <c r="B89" s="49" t="s">
        <v>109</v>
      </c>
      <c r="C89" s="50">
        <v>1</v>
      </c>
      <c r="D89" s="51">
        <v>581300</v>
      </c>
      <c r="E89" s="52">
        <v>581300</v>
      </c>
      <c r="F89" s="34"/>
      <c r="G89" s="34"/>
      <c r="H89" s="34"/>
      <c r="I89" s="31">
        <v>1</v>
      </c>
      <c r="J89" s="50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</row>
    <row r="90" ht="15.75" customHeight="1" spans="1:22">
      <c r="A90" s="29"/>
      <c r="B90" s="71" t="s">
        <v>110</v>
      </c>
      <c r="C90" s="50"/>
      <c r="D90" s="51"/>
      <c r="E90" s="52"/>
      <c r="F90" s="34"/>
      <c r="G90" s="34"/>
      <c r="H90" s="34"/>
      <c r="I90" s="34"/>
      <c r="J90" s="31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</row>
    <row r="91" ht="15.75" customHeight="1" spans="1:22">
      <c r="A91" s="29"/>
      <c r="B91" s="49" t="s">
        <v>111</v>
      </c>
      <c r="C91" s="50">
        <v>1</v>
      </c>
      <c r="D91" s="51">
        <v>135000</v>
      </c>
      <c r="E91" s="52">
        <f>D91*C91</f>
        <v>135000</v>
      </c>
      <c r="F91" s="34"/>
      <c r="G91" s="34"/>
      <c r="H91" s="34"/>
      <c r="I91" s="34"/>
      <c r="J91" s="31">
        <v>1</v>
      </c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</row>
    <row r="92" ht="15.75" customHeight="1" spans="1:22">
      <c r="A92" s="29"/>
      <c r="B92" s="30"/>
      <c r="C92" s="50"/>
      <c r="D92" s="51"/>
      <c r="E92" s="52"/>
      <c r="F92" s="34"/>
      <c r="G92" s="34"/>
      <c r="H92" s="34"/>
      <c r="I92" s="34"/>
      <c r="J92" s="31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</row>
    <row r="93" ht="15.75" customHeight="1" spans="1:22">
      <c r="A93" s="29"/>
      <c r="B93" s="30"/>
      <c r="C93" s="50"/>
      <c r="D93" s="51"/>
      <c r="E93" s="52"/>
      <c r="F93" s="34"/>
      <c r="G93" s="34"/>
      <c r="H93" s="34"/>
      <c r="I93" s="34"/>
      <c r="J93" s="31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</row>
    <row r="94" ht="15.75" hidden="1" customHeight="1" spans="1:22">
      <c r="A94" s="29"/>
      <c r="B94" s="30"/>
      <c r="C94" s="50"/>
      <c r="D94" s="51"/>
      <c r="E94" s="52"/>
      <c r="F94" s="34"/>
      <c r="G94" s="34"/>
      <c r="H94" s="34"/>
      <c r="I94" s="34"/>
      <c r="J94" s="31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</row>
    <row r="95" ht="15.75" hidden="1" customHeight="1" spans="1:22">
      <c r="A95" s="29"/>
      <c r="B95" s="30"/>
      <c r="C95" s="50"/>
      <c r="D95" s="51"/>
      <c r="E95" s="52"/>
      <c r="F95" s="34"/>
      <c r="G95" s="34"/>
      <c r="H95" s="34"/>
      <c r="I95" s="34"/>
      <c r="J95" s="31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</row>
    <row r="96" ht="15.75" hidden="1" customHeight="1" spans="1:22">
      <c r="A96" s="29"/>
      <c r="B96" s="30"/>
      <c r="C96" s="50"/>
      <c r="D96" s="51"/>
      <c r="E96" s="52"/>
      <c r="F96" s="34"/>
      <c r="G96" s="34"/>
      <c r="H96" s="34"/>
      <c r="I96" s="34"/>
      <c r="J96" s="31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</row>
    <row r="97" ht="15.75" hidden="1" customHeight="1" spans="1:22">
      <c r="A97" s="29"/>
      <c r="B97" s="30"/>
      <c r="C97" s="50"/>
      <c r="D97" s="51"/>
      <c r="E97" s="52"/>
      <c r="F97" s="34"/>
      <c r="G97" s="34"/>
      <c r="H97" s="34"/>
      <c r="I97" s="34"/>
      <c r="J97" s="31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</row>
    <row r="98" ht="15.75" hidden="1" customHeight="1" spans="1:22">
      <c r="A98" s="29"/>
      <c r="B98" s="30"/>
      <c r="C98" s="50"/>
      <c r="D98" s="51"/>
      <c r="E98" s="52"/>
      <c r="F98" s="34"/>
      <c r="G98" s="34"/>
      <c r="H98" s="34"/>
      <c r="I98" s="34"/>
      <c r="J98" s="31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</row>
    <row r="99" ht="15.75" hidden="1" customHeight="1" spans="1:22">
      <c r="A99" s="29"/>
      <c r="B99" s="30"/>
      <c r="C99" s="50"/>
      <c r="D99" s="51"/>
      <c r="E99" s="52"/>
      <c r="F99" s="34"/>
      <c r="G99" s="34"/>
      <c r="H99" s="34"/>
      <c r="I99" s="34"/>
      <c r="J99" s="31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</row>
    <row r="100" ht="15.75" hidden="1" customHeight="1" spans="1:22">
      <c r="A100" s="79"/>
      <c r="B100" s="41"/>
      <c r="C100" s="72"/>
      <c r="D100" s="66"/>
      <c r="E100" s="77"/>
      <c r="F100" s="34"/>
      <c r="G100" s="34"/>
      <c r="H100" s="34"/>
      <c r="I100" s="34"/>
      <c r="J100" s="31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</row>
    <row r="101" ht="15.75" hidden="1" customHeight="1" spans="1:22">
      <c r="A101" s="29"/>
      <c r="B101" s="62" t="s">
        <v>112</v>
      </c>
      <c r="C101" s="63"/>
      <c r="D101" s="64"/>
      <c r="E101" s="65"/>
      <c r="F101" s="63"/>
      <c r="G101" s="63"/>
      <c r="H101" s="63"/>
      <c r="I101" s="63"/>
      <c r="J101" s="70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</row>
    <row r="102" ht="15.75" hidden="1" customHeight="1" spans="1:22">
      <c r="A102" s="29"/>
      <c r="B102" s="30"/>
      <c r="C102" s="50"/>
      <c r="D102" s="51"/>
      <c r="E102" s="52"/>
      <c r="F102" s="34"/>
      <c r="G102" s="34"/>
      <c r="H102" s="34"/>
      <c r="I102" s="34"/>
      <c r="J102" s="31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</row>
    <row r="103" ht="15.75" hidden="1" customHeight="1" spans="1:22">
      <c r="A103" s="29"/>
      <c r="B103" s="30"/>
      <c r="C103" s="50"/>
      <c r="D103" s="51"/>
      <c r="E103" s="52"/>
      <c r="F103" s="34"/>
      <c r="G103" s="34"/>
      <c r="H103" s="34"/>
      <c r="I103" s="34"/>
      <c r="J103" s="31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</row>
    <row r="104" ht="15.75" hidden="1" customHeight="1" spans="1:22">
      <c r="A104" s="29"/>
      <c r="B104" s="30"/>
      <c r="C104" s="50"/>
      <c r="D104" s="51"/>
      <c r="E104" s="52"/>
      <c r="F104" s="34"/>
      <c r="G104" s="34"/>
      <c r="H104" s="34"/>
      <c r="I104" s="34"/>
      <c r="J104" s="31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</row>
    <row r="105" ht="15.75" hidden="1" customHeight="1" spans="1:22">
      <c r="A105" s="29"/>
      <c r="B105" s="30"/>
      <c r="C105" s="50"/>
      <c r="D105" s="51"/>
      <c r="E105" s="52"/>
      <c r="F105" s="34"/>
      <c r="G105" s="34"/>
      <c r="H105" s="34"/>
      <c r="I105" s="34"/>
      <c r="J105" s="31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</row>
    <row r="106" ht="15.75" hidden="1" customHeight="1" spans="1:22">
      <c r="A106" s="29"/>
      <c r="B106" s="62" t="s">
        <v>113</v>
      </c>
      <c r="C106" s="63"/>
      <c r="D106" s="64"/>
      <c r="E106" s="65"/>
      <c r="F106" s="63"/>
      <c r="G106" s="63"/>
      <c r="H106" s="63"/>
      <c r="I106" s="63"/>
      <c r="J106" s="70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</row>
    <row r="107" ht="15.75" hidden="1" customHeight="1" spans="1:22">
      <c r="A107" s="29"/>
      <c r="B107" s="30"/>
      <c r="C107" s="50"/>
      <c r="D107" s="51"/>
      <c r="E107" s="52"/>
      <c r="F107" s="34"/>
      <c r="G107" s="34"/>
      <c r="H107" s="34"/>
      <c r="I107" s="34"/>
      <c r="J107" s="31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</row>
    <row r="108" ht="15.75" hidden="1" customHeight="1" spans="1:22">
      <c r="A108" s="29"/>
      <c r="B108" s="30"/>
      <c r="C108" s="50"/>
      <c r="D108" s="51"/>
      <c r="E108" s="52"/>
      <c r="F108" s="34"/>
      <c r="G108" s="34"/>
      <c r="H108" s="34"/>
      <c r="I108" s="34"/>
      <c r="J108" s="31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</row>
    <row r="109" ht="15.75" hidden="1" customHeight="1" spans="1:22">
      <c r="A109" s="29"/>
      <c r="B109" s="30"/>
      <c r="C109" s="50"/>
      <c r="D109" s="51"/>
      <c r="E109" s="52"/>
      <c r="F109" s="34"/>
      <c r="G109" s="34"/>
      <c r="H109" s="34"/>
      <c r="I109" s="34"/>
      <c r="J109" s="31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</row>
    <row r="110" ht="15.75" customHeight="1" spans="1:22">
      <c r="A110" s="79"/>
      <c r="B110" s="80" t="s">
        <v>114</v>
      </c>
      <c r="C110" s="81"/>
      <c r="D110" s="81"/>
      <c r="E110" s="81"/>
      <c r="F110" s="81"/>
      <c r="G110" s="81"/>
      <c r="H110" s="81"/>
      <c r="I110" s="95"/>
      <c r="J110" s="31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</row>
    <row r="111" ht="15.75" customHeight="1" spans="1:22">
      <c r="A111" s="82"/>
      <c r="B111" s="83"/>
      <c r="C111" s="9"/>
      <c r="D111" s="10"/>
      <c r="E111" s="84"/>
      <c r="F111" s="12"/>
      <c r="G111" s="12"/>
      <c r="H111" s="9"/>
      <c r="I111" s="9"/>
      <c r="J111" s="2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ht="15.75" customHeight="1" spans="1:22">
      <c r="A112" s="85" t="s">
        <v>115</v>
      </c>
      <c r="B112" s="5"/>
      <c r="C112" s="86">
        <f>SUM(E10:E93)</f>
        <v>4474400</v>
      </c>
      <c r="F112" s="12"/>
      <c r="G112" s="12"/>
      <c r="H112" s="9"/>
      <c r="I112" s="9"/>
      <c r="J112" s="2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ht="15.75" hidden="1" customHeight="1" spans="1:22">
      <c r="A113" s="87" t="s">
        <v>116</v>
      </c>
      <c r="B113" s="88"/>
      <c r="C113" s="89">
        <f>PRODUCT(C112,0.1)</f>
        <v>447440</v>
      </c>
      <c r="D113" s="90"/>
      <c r="E113" s="91"/>
      <c r="F113" s="12"/>
      <c r="G113" s="12"/>
      <c r="H113" s="92"/>
      <c r="J113" s="92"/>
      <c r="U113" s="92"/>
      <c r="V113" s="9"/>
    </row>
    <row r="114" ht="15.75" hidden="1" customHeight="1" spans="1:22">
      <c r="A114" s="93" t="s">
        <v>117</v>
      </c>
      <c r="B114" s="68"/>
      <c r="C114" s="94">
        <f>PRODUCT(C112,0.1)</f>
        <v>447440</v>
      </c>
      <c r="D114" s="81"/>
      <c r="E114" s="95"/>
      <c r="F114" s="12"/>
      <c r="G114" s="12"/>
      <c r="H114" s="96"/>
      <c r="I114" s="96"/>
      <c r="J114" s="116"/>
      <c r="U114" s="116"/>
      <c r="V114" s="9"/>
    </row>
    <row r="115" ht="15.75" hidden="1" customHeight="1" spans="1:22">
      <c r="A115" s="93" t="s">
        <v>118</v>
      </c>
      <c r="B115" s="68"/>
      <c r="C115" s="94">
        <f>SUM(C112:E114)</f>
        <v>5369280</v>
      </c>
      <c r="D115" s="81"/>
      <c r="E115" s="95"/>
      <c r="F115" s="12"/>
      <c r="G115" s="12"/>
      <c r="H115" s="96"/>
      <c r="I115" s="96"/>
      <c r="J115" s="116"/>
      <c r="U115" s="116"/>
      <c r="V115" s="9"/>
    </row>
    <row r="116" ht="15.75" customHeight="1" spans="1:22">
      <c r="A116" s="97"/>
      <c r="B116" s="5"/>
      <c r="C116" s="9"/>
      <c r="D116" s="10"/>
      <c r="E116" s="11"/>
      <c r="F116" s="12"/>
      <c r="G116" s="12"/>
      <c r="H116" s="96"/>
      <c r="I116" s="96"/>
      <c r="J116" s="116"/>
      <c r="U116" s="116"/>
      <c r="V116" s="9"/>
    </row>
    <row r="117" ht="15.75" customHeight="1" spans="1:22">
      <c r="A117" s="98" t="s">
        <v>119</v>
      </c>
      <c r="B117" s="5"/>
      <c r="C117" s="9"/>
      <c r="D117" s="10"/>
      <c r="E117" s="11"/>
      <c r="F117" s="12"/>
      <c r="G117" s="12"/>
      <c r="H117" s="9"/>
      <c r="I117" s="9"/>
      <c r="J117" s="2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ht="15.75" customHeight="1" spans="1:22">
      <c r="A118" s="99"/>
      <c r="B118" s="5"/>
      <c r="C118" s="9"/>
      <c r="D118" s="10"/>
      <c r="E118" s="11"/>
      <c r="F118" s="12"/>
      <c r="G118" s="12"/>
      <c r="H118" s="9"/>
      <c r="I118" s="9"/>
      <c r="J118" s="2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ht="15.75" customHeight="1" spans="1:22">
      <c r="A119" s="100" t="s">
        <v>120</v>
      </c>
      <c r="B119" s="83"/>
      <c r="C119" s="101" t="s">
        <v>121</v>
      </c>
      <c r="F119" s="96"/>
      <c r="G119" s="96"/>
      <c r="H119" s="9"/>
      <c r="I119" s="101" t="s">
        <v>122</v>
      </c>
      <c r="O119" s="9"/>
      <c r="P119" s="9"/>
      <c r="Q119" s="101" t="s">
        <v>123</v>
      </c>
      <c r="U119" s="9"/>
      <c r="V119" s="9"/>
    </row>
    <row r="120" ht="15.75" customHeight="1" spans="1:22">
      <c r="A120" s="100"/>
      <c r="B120" s="83"/>
      <c r="C120" s="101"/>
      <c r="D120" s="102"/>
      <c r="E120" s="103"/>
      <c r="F120" s="96"/>
      <c r="G120" s="96"/>
      <c r="H120" s="9"/>
      <c r="I120" s="101"/>
      <c r="J120" s="117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</row>
    <row r="121" ht="15.75" customHeight="1" spans="1:22">
      <c r="A121" s="83"/>
      <c r="B121" s="83"/>
      <c r="C121" s="96"/>
      <c r="D121" s="104"/>
      <c r="E121" s="105"/>
      <c r="F121" s="96"/>
      <c r="G121" s="96"/>
      <c r="H121" s="9"/>
      <c r="I121" s="96"/>
      <c r="J121" s="118"/>
      <c r="K121" s="119"/>
      <c r="L121" s="119"/>
      <c r="M121" s="119"/>
      <c r="N121" s="119"/>
      <c r="O121" s="119"/>
      <c r="P121" s="119"/>
      <c r="Q121" s="96"/>
      <c r="R121" s="119"/>
      <c r="S121" s="96"/>
      <c r="T121" s="96"/>
      <c r="U121" s="96"/>
      <c r="V121" s="96"/>
    </row>
    <row r="122" ht="15.75" customHeight="1" spans="1:22">
      <c r="A122" s="106" t="s">
        <v>124</v>
      </c>
      <c r="C122" s="107" t="s">
        <v>125</v>
      </c>
      <c r="G122" s="9"/>
      <c r="H122" s="9"/>
      <c r="I122" s="107" t="s">
        <v>126</v>
      </c>
      <c r="O122" s="9"/>
      <c r="P122" s="9"/>
      <c r="Q122" s="107" t="s">
        <v>127</v>
      </c>
      <c r="U122" s="9"/>
      <c r="V122" s="9"/>
    </row>
    <row r="123" customHeight="1" spans="1:22">
      <c r="A123" s="108" t="s">
        <v>128</v>
      </c>
      <c r="C123" s="109" t="s">
        <v>129</v>
      </c>
      <c r="G123" s="110"/>
      <c r="H123" s="9"/>
      <c r="I123" s="120" t="s">
        <v>130</v>
      </c>
      <c r="O123" s="9"/>
      <c r="P123" s="9"/>
      <c r="Q123" s="109" t="s">
        <v>131</v>
      </c>
      <c r="U123" s="9"/>
      <c r="V123" s="9"/>
    </row>
    <row r="124" ht="15.75" customHeight="1" spans="1:22">
      <c r="A124" s="9"/>
      <c r="B124" s="9"/>
      <c r="C124" s="9"/>
      <c r="D124" s="10"/>
      <c r="E124" s="11"/>
      <c r="F124" s="9"/>
      <c r="G124" s="9"/>
      <c r="H124" s="9"/>
      <c r="I124" s="9"/>
      <c r="J124" s="2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ht="15.75" customHeight="1" spans="1:22">
      <c r="A125" s="9" t="s">
        <v>132</v>
      </c>
      <c r="B125" s="9"/>
      <c r="C125" s="9" t="s">
        <v>132</v>
      </c>
      <c r="D125" s="10"/>
      <c r="E125" s="11"/>
      <c r="F125" s="9"/>
      <c r="G125" s="9"/>
      <c r="H125" s="9"/>
      <c r="I125" s="9" t="s">
        <v>132</v>
      </c>
      <c r="J125" s="2"/>
      <c r="K125" s="9"/>
      <c r="L125" s="9"/>
      <c r="M125" s="9"/>
      <c r="N125" s="9"/>
      <c r="O125" s="9"/>
      <c r="P125" s="9"/>
      <c r="Q125" s="9" t="s">
        <v>132</v>
      </c>
      <c r="R125" s="9"/>
      <c r="S125" s="9"/>
      <c r="T125" s="9"/>
      <c r="U125" s="9"/>
      <c r="V125" s="9"/>
    </row>
    <row r="126" ht="15.75" customHeight="1" spans="4:8">
      <c r="D126" s="111"/>
      <c r="E126" s="11"/>
      <c r="H126" s="112"/>
    </row>
    <row r="127" ht="15.75" customHeight="1" spans="4:21">
      <c r="D127" s="111"/>
      <c r="E127" s="11"/>
      <c r="H127" s="112"/>
      <c r="I127" s="112"/>
      <c r="J127" s="121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</row>
    <row r="128" ht="15.75" customHeight="1" spans="4:21">
      <c r="D128" s="111"/>
      <c r="E128" s="11"/>
      <c r="H128" s="113"/>
      <c r="I128" s="122"/>
      <c r="J128" s="123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</row>
    <row r="129" ht="15.75" customHeight="1" spans="4:8">
      <c r="D129" s="111"/>
      <c r="E129" s="11"/>
      <c r="H129" s="114"/>
    </row>
    <row r="130" ht="15.75" customHeight="1" spans="4:8">
      <c r="D130" s="111"/>
      <c r="E130" s="11"/>
      <c r="H130" s="115"/>
    </row>
    <row r="131" ht="15.75" customHeight="1" spans="4:10">
      <c r="D131" s="111"/>
      <c r="E131" s="11"/>
      <c r="J131" s="2"/>
    </row>
    <row r="132" ht="15.75" customHeight="1" spans="4:10">
      <c r="D132" s="111"/>
      <c r="E132" s="11"/>
      <c r="J132" s="2"/>
    </row>
    <row r="133" ht="15.75" customHeight="1" spans="4:10">
      <c r="D133" s="111"/>
      <c r="E133" s="11"/>
      <c r="J133" s="2"/>
    </row>
    <row r="134" ht="15.75" customHeight="1" spans="4:10">
      <c r="D134" s="111"/>
      <c r="E134" s="11"/>
      <c r="J134" s="2"/>
    </row>
    <row r="135" ht="15.75" customHeight="1" spans="4:10">
      <c r="D135" s="111"/>
      <c r="E135" s="11"/>
      <c r="J135" s="2"/>
    </row>
    <row r="136" ht="15.75" customHeight="1" spans="4:10">
      <c r="D136" s="111"/>
      <c r="E136" s="11"/>
      <c r="J136" s="2"/>
    </row>
    <row r="137" ht="15.75" customHeight="1" spans="4:10">
      <c r="D137" s="111"/>
      <c r="E137" s="11"/>
      <c r="J137" s="2"/>
    </row>
    <row r="138" ht="15.75" customHeight="1" spans="4:10">
      <c r="D138" s="111"/>
      <c r="E138" s="11"/>
      <c r="J138" s="2"/>
    </row>
    <row r="139" ht="15.75" customHeight="1" spans="4:10">
      <c r="D139" s="111"/>
      <c r="E139" s="11"/>
      <c r="J139" s="2"/>
    </row>
    <row r="140" ht="15.75" customHeight="1" spans="4:10">
      <c r="D140" s="111"/>
      <c r="E140" s="11"/>
      <c r="J140" s="2"/>
    </row>
    <row r="141" ht="15.75" customHeight="1" spans="4:10">
      <c r="D141" s="111"/>
      <c r="E141" s="11"/>
      <c r="J141" s="2"/>
    </row>
    <row r="142" ht="15.75" customHeight="1" spans="4:10">
      <c r="D142" s="111"/>
      <c r="E142" s="11"/>
      <c r="J142" s="2"/>
    </row>
    <row r="143" ht="15.75" customHeight="1" spans="4:10">
      <c r="D143" s="111"/>
      <c r="E143" s="11"/>
      <c r="J143" s="2"/>
    </row>
    <row r="144" ht="15.75" customHeight="1" spans="4:10">
      <c r="D144" s="111"/>
      <c r="E144" s="11"/>
      <c r="J144" s="2"/>
    </row>
    <row r="145" ht="15.75" customHeight="1" spans="4:10">
      <c r="D145" s="111"/>
      <c r="E145" s="11"/>
      <c r="J145" s="2"/>
    </row>
    <row r="146" ht="15.75" customHeight="1" spans="4:10">
      <c r="D146" s="111"/>
      <c r="E146" s="11"/>
      <c r="J146" s="2"/>
    </row>
    <row r="147" ht="15.75" customHeight="1" spans="4:10">
      <c r="D147" s="111"/>
      <c r="E147" s="11"/>
      <c r="J147" s="2"/>
    </row>
    <row r="148" ht="15.75" customHeight="1" spans="4:10">
      <c r="D148" s="111"/>
      <c r="E148" s="11"/>
      <c r="J148" s="2"/>
    </row>
    <row r="149" ht="15.75" customHeight="1" spans="4:10">
      <c r="D149" s="111"/>
      <c r="E149" s="11"/>
      <c r="J149" s="2"/>
    </row>
    <row r="150" ht="15.75" customHeight="1" spans="4:10">
      <c r="D150" s="111"/>
      <c r="E150" s="11"/>
      <c r="J150" s="2"/>
    </row>
    <row r="151" ht="15.75" customHeight="1" spans="4:10">
      <c r="D151" s="111"/>
      <c r="E151" s="11"/>
      <c r="J151" s="2"/>
    </row>
    <row r="152" ht="15.75" customHeight="1" spans="4:10">
      <c r="D152" s="111"/>
      <c r="E152" s="11"/>
      <c r="J152" s="2"/>
    </row>
    <row r="153" ht="15.75" customHeight="1" spans="4:10">
      <c r="D153" s="111"/>
      <c r="E153" s="11"/>
      <c r="J153" s="2"/>
    </row>
    <row r="154" ht="15.75" customHeight="1" spans="4:10">
      <c r="D154" s="111"/>
      <c r="E154" s="11"/>
      <c r="J154" s="2"/>
    </row>
    <row r="155" ht="15.75" customHeight="1" spans="4:10">
      <c r="D155" s="111"/>
      <c r="E155" s="11"/>
      <c r="J155" s="2"/>
    </row>
    <row r="156" ht="15.75" customHeight="1" spans="4:10">
      <c r="D156" s="111"/>
      <c r="E156" s="11"/>
      <c r="J156" s="2"/>
    </row>
    <row r="157" ht="15.75" customHeight="1" spans="4:10">
      <c r="D157" s="111"/>
      <c r="E157" s="11"/>
      <c r="J157" s="2"/>
    </row>
    <row r="158" ht="15.75" customHeight="1" spans="4:10">
      <c r="D158" s="111"/>
      <c r="E158" s="11"/>
      <c r="J158" s="2"/>
    </row>
    <row r="159" ht="15.75" customHeight="1" spans="4:10">
      <c r="D159" s="111"/>
      <c r="E159" s="11"/>
      <c r="J159" s="2"/>
    </row>
    <row r="160" ht="15.75" customHeight="1" spans="4:10">
      <c r="D160" s="111"/>
      <c r="E160" s="11"/>
      <c r="J160" s="2"/>
    </row>
    <row r="161" ht="15.75" customHeight="1" spans="4:10">
      <c r="D161" s="111"/>
      <c r="E161" s="11"/>
      <c r="J161" s="2"/>
    </row>
    <row r="162" ht="15.75" customHeight="1" spans="4:10">
      <c r="D162" s="111"/>
      <c r="E162" s="11"/>
      <c r="J162" s="2"/>
    </row>
    <row r="163" ht="15.75" customHeight="1" spans="4:10">
      <c r="D163" s="111"/>
      <c r="E163" s="11"/>
      <c r="J163" s="2"/>
    </row>
    <row r="164" ht="15.75" customHeight="1" spans="4:10">
      <c r="D164" s="111"/>
      <c r="E164" s="11"/>
      <c r="J164" s="2"/>
    </row>
    <row r="165" ht="15.75" customHeight="1" spans="4:10">
      <c r="D165" s="111"/>
      <c r="E165" s="11"/>
      <c r="J165" s="2"/>
    </row>
    <row r="166" ht="15.75" customHeight="1" spans="4:10">
      <c r="D166" s="111"/>
      <c r="E166" s="11"/>
      <c r="J166" s="2"/>
    </row>
    <row r="167" ht="15.75" customHeight="1" spans="4:10">
      <c r="D167" s="111"/>
      <c r="E167" s="11"/>
      <c r="J167" s="2"/>
    </row>
    <row r="168" ht="15.75" customHeight="1" spans="4:10">
      <c r="D168" s="111"/>
      <c r="E168" s="11"/>
      <c r="J168" s="2"/>
    </row>
    <row r="169" ht="15.75" customHeight="1" spans="4:10">
      <c r="D169" s="111"/>
      <c r="E169" s="11"/>
      <c r="J169" s="2"/>
    </row>
    <row r="170" ht="15.75" customHeight="1" spans="4:10">
      <c r="D170" s="111"/>
      <c r="E170" s="11"/>
      <c r="J170" s="2"/>
    </row>
    <row r="171" ht="15.75" customHeight="1" spans="4:10">
      <c r="D171" s="111"/>
      <c r="E171" s="11"/>
      <c r="J171" s="2"/>
    </row>
    <row r="172" ht="15.75" customHeight="1" spans="4:10">
      <c r="D172" s="111"/>
      <c r="E172" s="11"/>
      <c r="J172" s="2"/>
    </row>
    <row r="173" ht="15.75" customHeight="1" spans="4:10">
      <c r="D173" s="111"/>
      <c r="E173" s="11"/>
      <c r="J173" s="2"/>
    </row>
    <row r="174" ht="15.75" customHeight="1" spans="4:10">
      <c r="D174" s="111"/>
      <c r="E174" s="11"/>
      <c r="J174" s="2"/>
    </row>
    <row r="175" ht="15.75" customHeight="1" spans="4:10">
      <c r="D175" s="111"/>
      <c r="E175" s="11"/>
      <c r="J175" s="2"/>
    </row>
    <row r="176" ht="15.75" customHeight="1" spans="4:10">
      <c r="D176" s="111"/>
      <c r="E176" s="11"/>
      <c r="J176" s="2"/>
    </row>
    <row r="177" ht="15.75" customHeight="1" spans="4:10">
      <c r="D177" s="111"/>
      <c r="E177" s="11"/>
      <c r="J177" s="2"/>
    </row>
    <row r="178" ht="15.75" customHeight="1" spans="4:10">
      <c r="D178" s="111"/>
      <c r="E178" s="11"/>
      <c r="J178" s="2"/>
    </row>
    <row r="179" ht="15.75" customHeight="1" spans="4:10">
      <c r="D179" s="111"/>
      <c r="E179" s="11"/>
      <c r="J179" s="2"/>
    </row>
    <row r="180" ht="15.75" customHeight="1" spans="4:10">
      <c r="D180" s="111"/>
      <c r="E180" s="11"/>
      <c r="J180" s="2"/>
    </row>
    <row r="181" ht="15.75" customHeight="1" spans="4:10">
      <c r="D181" s="111"/>
      <c r="E181" s="11"/>
      <c r="J181" s="2"/>
    </row>
    <row r="182" ht="15.75" customHeight="1" spans="4:10">
      <c r="D182" s="111"/>
      <c r="E182" s="11"/>
      <c r="J182" s="2"/>
    </row>
    <row r="183" ht="15.75" customHeight="1" spans="4:10">
      <c r="D183" s="111"/>
      <c r="E183" s="11"/>
      <c r="J183" s="2"/>
    </row>
    <row r="184" ht="15.75" customHeight="1" spans="4:10">
      <c r="D184" s="111"/>
      <c r="E184" s="11"/>
      <c r="J184" s="2"/>
    </row>
    <row r="185" ht="15.75" customHeight="1" spans="4:10">
      <c r="D185" s="111"/>
      <c r="E185" s="11"/>
      <c r="J185" s="2"/>
    </row>
    <row r="186" ht="15.75" customHeight="1" spans="4:10">
      <c r="D186" s="111"/>
      <c r="E186" s="11"/>
      <c r="J186" s="2"/>
    </row>
    <row r="187" ht="15.75" customHeight="1" spans="4:10">
      <c r="D187" s="111"/>
      <c r="E187" s="11"/>
      <c r="J187" s="2"/>
    </row>
    <row r="188" ht="15.75" customHeight="1" spans="4:10">
      <c r="D188" s="111"/>
      <c r="E188" s="11"/>
      <c r="J188" s="2"/>
    </row>
    <row r="189" ht="15.75" customHeight="1" spans="4:10">
      <c r="D189" s="111"/>
      <c r="E189" s="11"/>
      <c r="J189" s="2"/>
    </row>
    <row r="190" ht="15.75" customHeight="1" spans="4:10">
      <c r="D190" s="111"/>
      <c r="E190" s="11"/>
      <c r="J190" s="2"/>
    </row>
    <row r="191" ht="15.75" customHeight="1" spans="4:10">
      <c r="D191" s="111"/>
      <c r="E191" s="11"/>
      <c r="J191" s="2"/>
    </row>
    <row r="192" ht="15.75" customHeight="1" spans="4:10">
      <c r="D192" s="111"/>
      <c r="E192" s="11"/>
      <c r="J192" s="2"/>
    </row>
    <row r="193" ht="15.75" customHeight="1" spans="4:10">
      <c r="D193" s="111"/>
      <c r="E193" s="11"/>
      <c r="J193" s="2"/>
    </row>
    <row r="194" ht="15.75" customHeight="1" spans="4:10">
      <c r="D194" s="111"/>
      <c r="E194" s="11"/>
      <c r="J194" s="2"/>
    </row>
    <row r="195" ht="15.75" customHeight="1" spans="4:10">
      <c r="D195" s="111"/>
      <c r="E195" s="11"/>
      <c r="J195" s="2"/>
    </row>
    <row r="196" ht="15.75" customHeight="1" spans="4:10">
      <c r="D196" s="111"/>
      <c r="E196" s="11"/>
      <c r="J196" s="2"/>
    </row>
    <row r="197" ht="15.75" customHeight="1" spans="4:10">
      <c r="D197" s="111"/>
      <c r="E197" s="11"/>
      <c r="J197" s="2"/>
    </row>
    <row r="198" ht="15.75" customHeight="1" spans="4:10">
      <c r="D198" s="111"/>
      <c r="E198" s="11"/>
      <c r="J198" s="2"/>
    </row>
    <row r="199" ht="15.75" customHeight="1" spans="4:10">
      <c r="D199" s="111"/>
      <c r="E199" s="11"/>
      <c r="J199" s="2"/>
    </row>
    <row r="200" ht="15.75" customHeight="1" spans="4:10">
      <c r="D200" s="111"/>
      <c r="E200" s="11"/>
      <c r="J200" s="2"/>
    </row>
    <row r="201" ht="15.75" customHeight="1" spans="4:10">
      <c r="D201" s="111"/>
      <c r="E201" s="11"/>
      <c r="J201" s="2"/>
    </row>
    <row r="202" ht="15.75" customHeight="1" spans="4:10">
      <c r="D202" s="111"/>
      <c r="E202" s="11"/>
      <c r="J202" s="2"/>
    </row>
    <row r="203" ht="15.75" customHeight="1" spans="4:10">
      <c r="D203" s="111"/>
      <c r="E203" s="11"/>
      <c r="J203" s="2"/>
    </row>
    <row r="204" ht="15.75" customHeight="1" spans="4:10">
      <c r="D204" s="111"/>
      <c r="E204" s="11"/>
      <c r="J204" s="2"/>
    </row>
    <row r="205" ht="15.75" customHeight="1" spans="4:10">
      <c r="D205" s="111"/>
      <c r="E205" s="11"/>
      <c r="J205" s="2"/>
    </row>
    <row r="206" ht="15.75" customHeight="1" spans="4:10">
      <c r="D206" s="111"/>
      <c r="E206" s="11"/>
      <c r="J206" s="2"/>
    </row>
    <row r="207" ht="15.75" customHeight="1" spans="4:10">
      <c r="D207" s="111"/>
      <c r="E207" s="11"/>
      <c r="J207" s="2"/>
    </row>
    <row r="208" ht="15.75" customHeight="1" spans="4:10">
      <c r="D208" s="111"/>
      <c r="E208" s="11"/>
      <c r="J208" s="2"/>
    </row>
    <row r="209" ht="15.75" customHeight="1" spans="4:10">
      <c r="D209" s="111"/>
      <c r="E209" s="11"/>
      <c r="J209" s="2"/>
    </row>
    <row r="210" ht="15.75" customHeight="1" spans="4:10">
      <c r="D210" s="111"/>
      <c r="E210" s="11"/>
      <c r="J210" s="2"/>
    </row>
    <row r="211" ht="15.75" customHeight="1" spans="4:10">
      <c r="D211" s="111"/>
      <c r="E211" s="11"/>
      <c r="J211" s="2"/>
    </row>
    <row r="212" ht="15.75" customHeight="1" spans="4:10">
      <c r="D212" s="111"/>
      <c r="E212" s="11"/>
      <c r="J212" s="2"/>
    </row>
    <row r="213" ht="15.75" customHeight="1" spans="4:10">
      <c r="D213" s="111"/>
      <c r="E213" s="11"/>
      <c r="J213" s="2"/>
    </row>
    <row r="214" ht="15.75" customHeight="1" spans="4:10">
      <c r="D214" s="111"/>
      <c r="E214" s="11"/>
      <c r="J214" s="2"/>
    </row>
    <row r="215" ht="15.75" customHeight="1" spans="4:10">
      <c r="D215" s="111"/>
      <c r="E215" s="11"/>
      <c r="J215" s="2"/>
    </row>
    <row r="216" ht="15.75" customHeight="1" spans="4:10">
      <c r="D216" s="111"/>
      <c r="E216" s="11"/>
      <c r="J216" s="2"/>
    </row>
    <row r="217" ht="15.75" customHeight="1" spans="4:10">
      <c r="D217" s="111"/>
      <c r="E217" s="11"/>
      <c r="J217" s="2"/>
    </row>
    <row r="218" ht="15.75" customHeight="1" spans="4:10">
      <c r="D218" s="111"/>
      <c r="E218" s="11"/>
      <c r="J218" s="2"/>
    </row>
    <row r="219" ht="15.75" customHeight="1" spans="4:10">
      <c r="D219" s="111"/>
      <c r="E219" s="11"/>
      <c r="J219" s="2"/>
    </row>
    <row r="220" ht="15.75" customHeight="1" spans="4:10">
      <c r="D220" s="111"/>
      <c r="E220" s="11"/>
      <c r="J220" s="2"/>
    </row>
    <row r="221" ht="15.75" customHeight="1" spans="4:10">
      <c r="D221" s="111"/>
      <c r="E221" s="11"/>
      <c r="J221" s="2"/>
    </row>
    <row r="222" ht="15.75" customHeight="1" spans="4:10">
      <c r="D222" s="111"/>
      <c r="E222" s="11"/>
      <c r="J222" s="2"/>
    </row>
    <row r="223" ht="15.75" customHeight="1" spans="4:10">
      <c r="D223" s="111"/>
      <c r="E223" s="11"/>
      <c r="J223" s="2"/>
    </row>
    <row r="224" ht="15.75" customHeight="1" spans="4:10">
      <c r="D224" s="111"/>
      <c r="E224" s="11"/>
      <c r="J224" s="2"/>
    </row>
    <row r="225" ht="15.75" customHeight="1" spans="4:10">
      <c r="D225" s="111"/>
      <c r="E225" s="11"/>
      <c r="J225" s="2"/>
    </row>
    <row r="226" ht="15.75" customHeight="1" spans="4:10">
      <c r="D226" s="111"/>
      <c r="E226" s="11"/>
      <c r="J226" s="2"/>
    </row>
    <row r="227" ht="15.75" customHeight="1" spans="4:10">
      <c r="D227" s="111"/>
      <c r="E227" s="11"/>
      <c r="J227" s="2"/>
    </row>
    <row r="228" ht="15.75" customHeight="1" spans="4:10">
      <c r="D228" s="111"/>
      <c r="E228" s="11"/>
      <c r="J228" s="2"/>
    </row>
    <row r="229" ht="15.75" customHeight="1" spans="4:10">
      <c r="D229" s="111"/>
      <c r="E229" s="11"/>
      <c r="J229" s="2"/>
    </row>
    <row r="230" ht="15.75" customHeight="1" spans="4:10">
      <c r="D230" s="111"/>
      <c r="E230" s="11"/>
      <c r="J230" s="2"/>
    </row>
    <row r="231" ht="15.75" customHeight="1" spans="4:10">
      <c r="D231" s="111"/>
      <c r="E231" s="11"/>
      <c r="J231" s="2"/>
    </row>
    <row r="232" ht="15.75" customHeight="1" spans="4:10">
      <c r="D232" s="111"/>
      <c r="E232" s="11"/>
      <c r="J232" s="2"/>
    </row>
    <row r="233" ht="15.75" customHeight="1" spans="4:10">
      <c r="D233" s="111"/>
      <c r="E233" s="11"/>
      <c r="J233" s="2"/>
    </row>
    <row r="234" ht="15.75" customHeight="1" spans="4:10">
      <c r="D234" s="111"/>
      <c r="E234" s="11"/>
      <c r="J234" s="2"/>
    </row>
    <row r="235" ht="15.75" customHeight="1" spans="4:10">
      <c r="D235" s="111"/>
      <c r="E235" s="11"/>
      <c r="J235" s="2"/>
    </row>
    <row r="236" ht="15.75" customHeight="1" spans="4:10">
      <c r="D236" s="111"/>
      <c r="E236" s="11"/>
      <c r="J236" s="2"/>
    </row>
    <row r="237" ht="15.75" customHeight="1" spans="4:10">
      <c r="D237" s="111"/>
      <c r="E237" s="11"/>
      <c r="J237" s="2"/>
    </row>
    <row r="238" ht="15.75" customHeight="1" spans="4:10">
      <c r="D238" s="111"/>
      <c r="E238" s="11"/>
      <c r="J238" s="2"/>
    </row>
    <row r="239" ht="15.75" customHeight="1" spans="4:10">
      <c r="D239" s="111"/>
      <c r="E239" s="11"/>
      <c r="J239" s="2"/>
    </row>
    <row r="240" ht="15.75" customHeight="1" spans="4:10">
      <c r="D240" s="111"/>
      <c r="E240" s="11"/>
      <c r="J240" s="2"/>
    </row>
    <row r="241" ht="15.75" customHeight="1" spans="4:10">
      <c r="D241" s="111"/>
      <c r="E241" s="11"/>
      <c r="J241" s="2"/>
    </row>
    <row r="242" ht="15.75" customHeight="1" spans="4:10">
      <c r="D242" s="111"/>
      <c r="E242" s="11"/>
      <c r="J242" s="2"/>
    </row>
    <row r="243" ht="15.75" customHeight="1" spans="4:10">
      <c r="D243" s="111"/>
      <c r="E243" s="11"/>
      <c r="J243" s="2"/>
    </row>
    <row r="244" ht="15.75" customHeight="1" spans="4:10">
      <c r="D244" s="111"/>
      <c r="E244" s="11"/>
      <c r="J244" s="2"/>
    </row>
    <row r="245" ht="15.75" customHeight="1" spans="4:10">
      <c r="D245" s="111"/>
      <c r="E245" s="11"/>
      <c r="J245" s="2"/>
    </row>
    <row r="246" ht="15.75" customHeight="1" spans="4:10">
      <c r="D246" s="111"/>
      <c r="E246" s="11"/>
      <c r="J246" s="2"/>
    </row>
    <row r="247" ht="15.75" customHeight="1" spans="4:10">
      <c r="D247" s="111"/>
      <c r="E247" s="11"/>
      <c r="J247" s="2"/>
    </row>
    <row r="248" ht="15.75" customHeight="1" spans="4:10">
      <c r="D248" s="111"/>
      <c r="E248" s="11"/>
      <c r="J248" s="2"/>
    </row>
    <row r="249" ht="15.75" customHeight="1" spans="4:10">
      <c r="D249" s="111"/>
      <c r="E249" s="11"/>
      <c r="J249" s="2"/>
    </row>
    <row r="250" ht="15.75" customHeight="1" spans="4:10">
      <c r="D250" s="111"/>
      <c r="E250" s="11"/>
      <c r="J250" s="2"/>
    </row>
    <row r="251" ht="15.75" customHeight="1" spans="4:10">
      <c r="D251" s="111"/>
      <c r="E251" s="11"/>
      <c r="J251" s="2"/>
    </row>
    <row r="252" ht="15.75" customHeight="1" spans="4:10">
      <c r="D252" s="111"/>
      <c r="E252" s="11"/>
      <c r="J252" s="2"/>
    </row>
    <row r="253" ht="15.75" customHeight="1" spans="4:10">
      <c r="D253" s="111"/>
      <c r="E253" s="11"/>
      <c r="J253" s="2"/>
    </row>
    <row r="254" ht="15.75" customHeight="1" spans="4:10">
      <c r="D254" s="111"/>
      <c r="E254" s="11"/>
      <c r="J254" s="2"/>
    </row>
    <row r="255" ht="15.75" customHeight="1" spans="4:10">
      <c r="D255" s="111"/>
      <c r="E255" s="11"/>
      <c r="J255" s="2"/>
    </row>
    <row r="256" ht="15.75" customHeight="1" spans="4:10">
      <c r="D256" s="111"/>
      <c r="E256" s="11"/>
      <c r="J256" s="2"/>
    </row>
    <row r="257" ht="15.75" customHeight="1" spans="4:10">
      <c r="D257" s="111"/>
      <c r="E257" s="11"/>
      <c r="J257" s="2"/>
    </row>
    <row r="258" ht="15.75" customHeight="1" spans="4:10">
      <c r="D258" s="111"/>
      <c r="E258" s="11"/>
      <c r="J258" s="2"/>
    </row>
    <row r="259" ht="15.75" customHeight="1" spans="4:10">
      <c r="D259" s="111"/>
      <c r="E259" s="11"/>
      <c r="J259" s="2"/>
    </row>
    <row r="260" ht="15.75" customHeight="1" spans="4:10">
      <c r="D260" s="111"/>
      <c r="E260" s="11"/>
      <c r="J260" s="2"/>
    </row>
    <row r="261" ht="15.75" customHeight="1" spans="4:10">
      <c r="D261" s="111"/>
      <c r="E261" s="11"/>
      <c r="J261" s="2"/>
    </row>
    <row r="262" ht="15.75" customHeight="1" spans="4:10">
      <c r="D262" s="111"/>
      <c r="E262" s="11"/>
      <c r="J262" s="2"/>
    </row>
    <row r="263" ht="15.75" customHeight="1" spans="4:10">
      <c r="D263" s="111"/>
      <c r="E263" s="11"/>
      <c r="J263" s="2"/>
    </row>
    <row r="264" ht="15.75" customHeight="1" spans="4:10">
      <c r="D264" s="111"/>
      <c r="E264" s="11"/>
      <c r="J264" s="2"/>
    </row>
    <row r="265" ht="15.75" customHeight="1" spans="4:10">
      <c r="D265" s="111"/>
      <c r="E265" s="11"/>
      <c r="J265" s="2"/>
    </row>
    <row r="266" ht="15.75" customHeight="1" spans="4:10">
      <c r="D266" s="111"/>
      <c r="E266" s="11"/>
      <c r="J266" s="2"/>
    </row>
    <row r="267" ht="15.75" customHeight="1" spans="4:10">
      <c r="D267" s="111"/>
      <c r="E267" s="11"/>
      <c r="J267" s="2"/>
    </row>
    <row r="268" ht="15.75" customHeight="1" spans="4:10">
      <c r="D268" s="111"/>
      <c r="E268" s="11"/>
      <c r="J268" s="2"/>
    </row>
    <row r="269" ht="15.75" customHeight="1" spans="4:10">
      <c r="D269" s="111"/>
      <c r="E269" s="11"/>
      <c r="J269" s="2"/>
    </row>
    <row r="270" ht="15.75" customHeight="1" spans="4:10">
      <c r="D270" s="111"/>
      <c r="E270" s="11"/>
      <c r="J270" s="2"/>
    </row>
    <row r="271" ht="15.75" customHeight="1" spans="4:10">
      <c r="D271" s="111"/>
      <c r="E271" s="11"/>
      <c r="J271" s="2"/>
    </row>
    <row r="272" ht="15.75" customHeight="1" spans="4:10">
      <c r="D272" s="111"/>
      <c r="E272" s="11"/>
      <c r="J272" s="2"/>
    </row>
    <row r="273" ht="15.75" customHeight="1" spans="4:10">
      <c r="D273" s="111"/>
      <c r="E273" s="11"/>
      <c r="J273" s="2"/>
    </row>
    <row r="274" ht="15.75" customHeight="1" spans="4:10">
      <c r="D274" s="111"/>
      <c r="E274" s="11"/>
      <c r="J274" s="2"/>
    </row>
    <row r="275" ht="15.75" customHeight="1" spans="4:10">
      <c r="D275" s="111"/>
      <c r="E275" s="11"/>
      <c r="J275" s="2"/>
    </row>
    <row r="276" ht="15.75" customHeight="1" spans="4:10">
      <c r="D276" s="111"/>
      <c r="E276" s="11"/>
      <c r="J276" s="2"/>
    </row>
    <row r="277" ht="15.75" customHeight="1" spans="4:10">
      <c r="D277" s="111"/>
      <c r="E277" s="11"/>
      <c r="J277" s="2"/>
    </row>
    <row r="278" ht="15.75" customHeight="1" spans="4:10">
      <c r="D278" s="111"/>
      <c r="E278" s="11"/>
      <c r="J278" s="2"/>
    </row>
    <row r="279" ht="15.75" customHeight="1" spans="4:10">
      <c r="D279" s="111"/>
      <c r="E279" s="11"/>
      <c r="J279" s="2"/>
    </row>
    <row r="280" ht="15.75" customHeight="1" spans="4:10">
      <c r="D280" s="111"/>
      <c r="E280" s="11"/>
      <c r="J280" s="2"/>
    </row>
    <row r="281" ht="15.75" customHeight="1" spans="4:10">
      <c r="D281" s="111"/>
      <c r="E281" s="11"/>
      <c r="J281" s="2"/>
    </row>
    <row r="282" ht="15.75" customHeight="1" spans="4:10">
      <c r="D282" s="111"/>
      <c r="E282" s="11"/>
      <c r="J282" s="2"/>
    </row>
    <row r="283" ht="15.75" customHeight="1" spans="4:10">
      <c r="D283" s="111"/>
      <c r="E283" s="11"/>
      <c r="J283" s="2"/>
    </row>
    <row r="284" ht="15.75" customHeight="1" spans="4:10">
      <c r="D284" s="111"/>
      <c r="E284" s="11"/>
      <c r="J284" s="2"/>
    </row>
    <row r="285" ht="15.75" customHeight="1" spans="4:10">
      <c r="D285" s="111"/>
      <c r="E285" s="11"/>
      <c r="J285" s="2"/>
    </row>
    <row r="286" ht="15.75" customHeight="1" spans="4:10">
      <c r="D286" s="111"/>
      <c r="E286" s="11"/>
      <c r="J286" s="2"/>
    </row>
    <row r="287" ht="15.75" customHeight="1" spans="4:10">
      <c r="D287" s="111"/>
      <c r="E287" s="11"/>
      <c r="J287" s="2"/>
    </row>
    <row r="288" ht="15.75" customHeight="1" spans="4:10">
      <c r="D288" s="111"/>
      <c r="E288" s="11"/>
      <c r="J288" s="2"/>
    </row>
    <row r="289" ht="15.75" customHeight="1" spans="4:10">
      <c r="D289" s="111"/>
      <c r="E289" s="11"/>
      <c r="J289" s="2"/>
    </row>
    <row r="290" ht="15.75" customHeight="1" spans="4:10">
      <c r="D290" s="111"/>
      <c r="E290" s="11"/>
      <c r="J290" s="2"/>
    </row>
    <row r="291" ht="15.75" customHeight="1" spans="4:10">
      <c r="D291" s="111"/>
      <c r="E291" s="11"/>
      <c r="J291" s="2"/>
    </row>
    <row r="292" ht="15.75" customHeight="1" spans="4:10">
      <c r="D292" s="111"/>
      <c r="E292" s="11"/>
      <c r="J292" s="2"/>
    </row>
    <row r="293" ht="15.75" customHeight="1" spans="4:10">
      <c r="D293" s="111"/>
      <c r="E293" s="11"/>
      <c r="J293" s="2"/>
    </row>
    <row r="294" ht="15.75" customHeight="1" spans="4:10">
      <c r="D294" s="111"/>
      <c r="E294" s="11"/>
      <c r="J294" s="2"/>
    </row>
    <row r="295" ht="15.75" customHeight="1" spans="4:10">
      <c r="D295" s="111"/>
      <c r="E295" s="11"/>
      <c r="J295" s="2"/>
    </row>
    <row r="296" ht="15.75" customHeight="1" spans="4:10">
      <c r="D296" s="111"/>
      <c r="E296" s="11"/>
      <c r="J296" s="2"/>
    </row>
    <row r="297" ht="15.75" customHeight="1" spans="4:10">
      <c r="D297" s="111"/>
      <c r="E297" s="11"/>
      <c r="J297" s="2"/>
    </row>
    <row r="298" ht="15.75" customHeight="1" spans="4:10">
      <c r="D298" s="111"/>
      <c r="E298" s="11"/>
      <c r="J298" s="2"/>
    </row>
    <row r="299" ht="15.75" customHeight="1" spans="4:10">
      <c r="D299" s="111"/>
      <c r="E299" s="11"/>
      <c r="J299" s="2"/>
    </row>
    <row r="300" ht="15.75" customHeight="1" spans="4:10">
      <c r="D300" s="111"/>
      <c r="E300" s="11"/>
      <c r="J300" s="2"/>
    </row>
    <row r="301" ht="15.75" customHeight="1" spans="4:10">
      <c r="D301" s="111"/>
      <c r="E301" s="11"/>
      <c r="J301" s="2"/>
    </row>
    <row r="302" ht="15.75" customHeight="1" spans="4:10">
      <c r="D302" s="111"/>
      <c r="E302" s="11"/>
      <c r="J302" s="2"/>
    </row>
    <row r="303" ht="15.75" customHeight="1" spans="4:10">
      <c r="D303" s="111"/>
      <c r="E303" s="11"/>
      <c r="J303" s="2"/>
    </row>
    <row r="304" ht="15.75" customHeight="1" spans="4:10">
      <c r="D304" s="111"/>
      <c r="E304" s="11"/>
      <c r="J304" s="2"/>
    </row>
    <row r="305" ht="15.75" customHeight="1" spans="4:10">
      <c r="D305" s="111"/>
      <c r="E305" s="11"/>
      <c r="J305" s="2"/>
    </row>
    <row r="306" ht="15.75" customHeight="1" spans="4:10">
      <c r="D306" s="111"/>
      <c r="E306" s="11"/>
      <c r="J306" s="2"/>
    </row>
    <row r="307" ht="15.75" customHeight="1" spans="4:10">
      <c r="D307" s="111"/>
      <c r="E307" s="11"/>
      <c r="J307" s="2"/>
    </row>
    <row r="308" ht="15.75" customHeight="1" spans="4:10">
      <c r="D308" s="111"/>
      <c r="E308" s="11"/>
      <c r="J308" s="2"/>
    </row>
    <row r="309" ht="15.75" customHeight="1" spans="4:10">
      <c r="D309" s="111"/>
      <c r="E309" s="11"/>
      <c r="J309" s="2"/>
    </row>
    <row r="310" ht="15.75" customHeight="1" spans="4:10">
      <c r="D310" s="111"/>
      <c r="E310" s="11"/>
      <c r="J310" s="2"/>
    </row>
    <row r="311" ht="15.75" customHeight="1" spans="4:10">
      <c r="D311" s="111"/>
      <c r="E311" s="11"/>
      <c r="J311" s="2"/>
    </row>
    <row r="312" ht="15.75" customHeight="1" spans="4:10">
      <c r="D312" s="111"/>
      <c r="E312" s="11"/>
      <c r="J312" s="2"/>
    </row>
    <row r="313" ht="15.75" customHeight="1" spans="4:10">
      <c r="D313" s="111"/>
      <c r="E313" s="11"/>
      <c r="J313" s="2"/>
    </row>
    <row r="314" ht="15.75" customHeight="1" spans="4:10">
      <c r="D314" s="111"/>
      <c r="E314" s="11"/>
      <c r="J314" s="2"/>
    </row>
    <row r="315" ht="15.75" customHeight="1" spans="4:10">
      <c r="D315" s="111"/>
      <c r="E315" s="11"/>
      <c r="J315" s="2"/>
    </row>
    <row r="316" ht="15.75" customHeight="1" spans="4:10">
      <c r="D316" s="111"/>
      <c r="E316" s="11"/>
      <c r="J316" s="2"/>
    </row>
    <row r="317" ht="15.75" customHeight="1" spans="4:10">
      <c r="D317" s="111"/>
      <c r="E317" s="11"/>
      <c r="J317" s="2"/>
    </row>
    <row r="318" ht="15.75" customHeight="1" spans="4:10">
      <c r="D318" s="111"/>
      <c r="E318" s="11"/>
      <c r="J318" s="2"/>
    </row>
    <row r="319" ht="15.75" customHeight="1" spans="4:10">
      <c r="D319" s="111"/>
      <c r="E319" s="11"/>
      <c r="J319" s="2"/>
    </row>
    <row r="320" ht="15.75" customHeight="1" spans="4:10">
      <c r="D320" s="111"/>
      <c r="E320" s="11"/>
      <c r="J320" s="2"/>
    </row>
    <row r="321" ht="15.75" customHeight="1" spans="4:10">
      <c r="D321" s="111"/>
      <c r="E321" s="11"/>
      <c r="J321" s="2"/>
    </row>
    <row r="322" ht="15.75" customHeight="1" spans="4:10">
      <c r="D322" s="111"/>
      <c r="E322" s="11"/>
      <c r="J322" s="2"/>
    </row>
    <row r="323" ht="15.75" customHeight="1" spans="4:10">
      <c r="D323" s="111"/>
      <c r="E323" s="11"/>
      <c r="J323" s="2"/>
    </row>
    <row r="324" ht="15.75" customHeight="1" spans="4:10">
      <c r="D324" s="111"/>
      <c r="E324" s="11"/>
      <c r="J324" s="2"/>
    </row>
    <row r="325" ht="15.75" customHeight="1" spans="4:10">
      <c r="D325" s="111"/>
      <c r="E325" s="11"/>
      <c r="J325" s="2"/>
    </row>
    <row r="326" ht="15.75" customHeight="1" spans="4:10">
      <c r="D326" s="11"/>
      <c r="E326" s="11"/>
      <c r="J326" s="2"/>
    </row>
    <row r="327" ht="15.75" customHeight="1" spans="4:10">
      <c r="D327" s="11"/>
      <c r="E327" s="11"/>
      <c r="J327" s="2"/>
    </row>
    <row r="328" ht="15.75" customHeight="1" spans="4:10">
      <c r="D328" s="11"/>
      <c r="E328" s="11"/>
      <c r="J328" s="2"/>
    </row>
    <row r="329" ht="15.75" customHeight="1" spans="4:10">
      <c r="D329" s="11"/>
      <c r="E329" s="11"/>
      <c r="J329" s="2"/>
    </row>
    <row r="330" ht="15.75" customHeight="1" spans="4:10">
      <c r="D330" s="11"/>
      <c r="E330" s="11"/>
      <c r="J330" s="2"/>
    </row>
    <row r="331" ht="15.75" customHeight="1" spans="4:10">
      <c r="D331" s="11"/>
      <c r="E331" s="11"/>
      <c r="J331" s="2"/>
    </row>
    <row r="332" ht="15.75" customHeight="1" spans="4:10">
      <c r="D332" s="11"/>
      <c r="E332" s="11"/>
      <c r="J332" s="2"/>
    </row>
    <row r="333" ht="15.75" customHeight="1" spans="4:10">
      <c r="D333" s="11"/>
      <c r="E333" s="11"/>
      <c r="J333" s="2"/>
    </row>
    <row r="334" ht="15.75" customHeight="1" spans="4:10">
      <c r="D334" s="11"/>
      <c r="E334" s="11"/>
      <c r="J334" s="2"/>
    </row>
    <row r="335" ht="15.75" customHeight="1" spans="4:10">
      <c r="D335" s="11"/>
      <c r="E335" s="11"/>
      <c r="J335" s="2"/>
    </row>
    <row r="336" ht="15.75" customHeight="1" spans="4:10">
      <c r="D336" s="11"/>
      <c r="E336" s="11"/>
      <c r="J336" s="2"/>
    </row>
    <row r="337" ht="15.75" customHeight="1" spans="4:10">
      <c r="D337" s="11"/>
      <c r="E337" s="11"/>
      <c r="J337" s="2"/>
    </row>
    <row r="338" ht="15.75" customHeight="1" spans="4:10">
      <c r="D338" s="11"/>
      <c r="E338" s="11"/>
      <c r="J338" s="2"/>
    </row>
    <row r="339" ht="15.75" customHeight="1" spans="4:10">
      <c r="D339" s="11"/>
      <c r="E339" s="11"/>
      <c r="J339" s="2"/>
    </row>
    <row r="340" ht="15.75" customHeight="1" spans="4:10">
      <c r="D340" s="11"/>
      <c r="E340" s="11"/>
      <c r="J340" s="2"/>
    </row>
    <row r="341" ht="15.75" customHeight="1" spans="4:10">
      <c r="D341" s="11"/>
      <c r="E341" s="11"/>
      <c r="J341" s="2"/>
    </row>
    <row r="342" ht="15.75" customHeight="1" spans="4:10">
      <c r="D342" s="11"/>
      <c r="E342" s="11"/>
      <c r="J342" s="2"/>
    </row>
    <row r="343" ht="15.75" customHeight="1" spans="4:10">
      <c r="D343" s="11"/>
      <c r="E343" s="11"/>
      <c r="J343" s="2"/>
    </row>
    <row r="344" ht="15.75" customHeight="1" spans="4:10">
      <c r="D344" s="11"/>
      <c r="E344" s="11"/>
      <c r="J344" s="2"/>
    </row>
    <row r="345" ht="15.75" customHeight="1" spans="4:10">
      <c r="D345" s="11"/>
      <c r="E345" s="11"/>
      <c r="J345" s="2"/>
    </row>
    <row r="346" ht="15.75" customHeight="1" spans="4:10">
      <c r="D346" s="11"/>
      <c r="E346" s="11"/>
      <c r="J346" s="2"/>
    </row>
    <row r="347" ht="15.75" customHeight="1" spans="4:10">
      <c r="D347" s="11"/>
      <c r="E347" s="11"/>
      <c r="J347" s="2"/>
    </row>
    <row r="348" ht="15.75" customHeight="1" spans="4:10">
      <c r="D348" s="11"/>
      <c r="E348" s="11"/>
      <c r="J348" s="2"/>
    </row>
    <row r="349" ht="15.75" customHeight="1" spans="4:10">
      <c r="D349" s="11"/>
      <c r="E349" s="11"/>
      <c r="J349" s="2"/>
    </row>
    <row r="350" ht="15.75" customHeight="1" spans="4:10">
      <c r="D350" s="11"/>
      <c r="E350" s="11"/>
      <c r="J350" s="2"/>
    </row>
    <row r="351" ht="15.75" customHeight="1" spans="4:10">
      <c r="D351" s="11"/>
      <c r="E351" s="11"/>
      <c r="J351" s="2"/>
    </row>
    <row r="352" ht="15.75" customHeight="1" spans="4:10">
      <c r="D352" s="11"/>
      <c r="E352" s="11"/>
      <c r="J352" s="2"/>
    </row>
    <row r="353" ht="15.75" customHeight="1" spans="4:10">
      <c r="D353" s="11"/>
      <c r="E353" s="11"/>
      <c r="J353" s="2"/>
    </row>
    <row r="354" ht="15.75" customHeight="1" spans="4:10">
      <c r="D354" s="11"/>
      <c r="E354" s="11"/>
      <c r="J354" s="2"/>
    </row>
    <row r="355" ht="15.75" customHeight="1" spans="4:10">
      <c r="D355" s="11"/>
      <c r="E355" s="11"/>
      <c r="J355" s="2"/>
    </row>
    <row r="356" ht="15.75" customHeight="1" spans="4:10">
      <c r="D356" s="11"/>
      <c r="E356" s="11"/>
      <c r="J356" s="2"/>
    </row>
    <row r="357" ht="15.75" customHeight="1" spans="4:10">
      <c r="D357" s="11"/>
      <c r="E357" s="11"/>
      <c r="J357" s="2"/>
    </row>
    <row r="358" ht="15.75" customHeight="1" spans="4:10">
      <c r="D358" s="11"/>
      <c r="E358" s="11"/>
      <c r="J358" s="2"/>
    </row>
    <row r="359" ht="15.75" customHeight="1" spans="4:10">
      <c r="D359" s="11"/>
      <c r="E359" s="11"/>
      <c r="J359" s="2"/>
    </row>
    <row r="360" ht="15.75" customHeight="1" spans="4:10">
      <c r="D360" s="11"/>
      <c r="E360" s="11"/>
      <c r="J360" s="2"/>
    </row>
    <row r="361" ht="15.75" customHeight="1" spans="4:10">
      <c r="D361" s="11"/>
      <c r="E361" s="11"/>
      <c r="J361" s="2"/>
    </row>
    <row r="362" ht="15.75" customHeight="1" spans="4:10">
      <c r="D362" s="11"/>
      <c r="E362" s="11"/>
      <c r="J362" s="2"/>
    </row>
    <row r="363" ht="15.75" customHeight="1" spans="4:10">
      <c r="D363" s="11"/>
      <c r="E363" s="11"/>
      <c r="J363" s="2"/>
    </row>
    <row r="364" ht="15.75" customHeight="1" spans="4:10">
      <c r="D364" s="11"/>
      <c r="E364" s="11"/>
      <c r="J364" s="2"/>
    </row>
    <row r="365" ht="15.75" customHeight="1" spans="4:10">
      <c r="D365" s="11"/>
      <c r="E365" s="11"/>
      <c r="J365" s="2"/>
    </row>
    <row r="366" ht="15.75" customHeight="1" spans="4:10">
      <c r="D366" s="11"/>
      <c r="E366" s="11"/>
      <c r="J366" s="2"/>
    </row>
    <row r="367" ht="15.75" customHeight="1" spans="4:10">
      <c r="D367" s="11"/>
      <c r="E367" s="11"/>
      <c r="J367" s="2"/>
    </row>
    <row r="368" ht="15.75" customHeight="1" spans="4:10">
      <c r="D368" s="11"/>
      <c r="E368" s="11"/>
      <c r="J368" s="2"/>
    </row>
    <row r="369" ht="15.75" customHeight="1" spans="4:10">
      <c r="D369" s="11"/>
      <c r="E369" s="11"/>
      <c r="J369" s="2"/>
    </row>
    <row r="370" ht="15.75" customHeight="1" spans="4:10">
      <c r="D370" s="11"/>
      <c r="E370" s="11"/>
      <c r="J370" s="2"/>
    </row>
    <row r="371" ht="15.75" customHeight="1" spans="4:10">
      <c r="D371" s="11"/>
      <c r="E371" s="11"/>
      <c r="J371" s="2"/>
    </row>
    <row r="372" ht="15.75" customHeight="1" spans="4:10">
      <c r="D372" s="11"/>
      <c r="E372" s="11"/>
      <c r="J372" s="2"/>
    </row>
    <row r="373" ht="15.75" customHeight="1" spans="4:10">
      <c r="D373" s="11"/>
      <c r="E373" s="11"/>
      <c r="J373" s="2"/>
    </row>
    <row r="374" ht="15.75" customHeight="1" spans="4:10">
      <c r="D374" s="11"/>
      <c r="E374" s="11"/>
      <c r="J374" s="2"/>
    </row>
    <row r="375" ht="15.75" customHeight="1" spans="4:10">
      <c r="D375" s="11"/>
      <c r="E375" s="11"/>
      <c r="J375" s="2"/>
    </row>
    <row r="376" ht="15.75" customHeight="1" spans="4:10">
      <c r="D376" s="11"/>
      <c r="E376" s="11"/>
      <c r="J376" s="2"/>
    </row>
    <row r="377" ht="15.75" customHeight="1" spans="4:10">
      <c r="D377" s="11"/>
      <c r="E377" s="11"/>
      <c r="J377" s="2"/>
    </row>
    <row r="378" ht="15.75" customHeight="1" spans="4:10">
      <c r="D378" s="11"/>
      <c r="E378" s="11"/>
      <c r="J378" s="2"/>
    </row>
    <row r="379" ht="15.75" customHeight="1" spans="4:10">
      <c r="D379" s="11"/>
      <c r="E379" s="11"/>
      <c r="J379" s="2"/>
    </row>
    <row r="380" ht="15.75" customHeight="1" spans="4:10">
      <c r="D380" s="11"/>
      <c r="E380" s="11"/>
      <c r="J380" s="2"/>
    </row>
    <row r="381" ht="15.75" customHeight="1" spans="4:10">
      <c r="D381" s="11"/>
      <c r="E381" s="11"/>
      <c r="J381" s="2"/>
    </row>
    <row r="382" ht="15.75" customHeight="1" spans="4:10">
      <c r="D382" s="11"/>
      <c r="E382" s="11"/>
      <c r="J382" s="2"/>
    </row>
    <row r="383" ht="15.75" customHeight="1" spans="4:10">
      <c r="D383" s="11"/>
      <c r="E383" s="11"/>
      <c r="J383" s="2"/>
    </row>
    <row r="384" ht="15.75" customHeight="1" spans="4:10">
      <c r="D384" s="11"/>
      <c r="E384" s="11"/>
      <c r="J384" s="2"/>
    </row>
    <row r="385" ht="15.75" customHeight="1" spans="4:10">
      <c r="D385" s="11"/>
      <c r="E385" s="11"/>
      <c r="J385" s="2"/>
    </row>
    <row r="386" ht="15.75" customHeight="1" spans="4:10">
      <c r="D386" s="11"/>
      <c r="E386" s="11"/>
      <c r="J386" s="2"/>
    </row>
    <row r="387" ht="15.75" customHeight="1" spans="4:10">
      <c r="D387" s="11"/>
      <c r="E387" s="11"/>
      <c r="J387" s="2"/>
    </row>
    <row r="388" ht="15.75" customHeight="1" spans="4:10">
      <c r="D388" s="11"/>
      <c r="E388" s="11"/>
      <c r="J388" s="2"/>
    </row>
    <row r="389" ht="15.75" customHeight="1" spans="4:10">
      <c r="D389" s="11"/>
      <c r="E389" s="11"/>
      <c r="J389" s="2"/>
    </row>
    <row r="390" ht="15.75" customHeight="1" spans="4:10">
      <c r="D390" s="11"/>
      <c r="E390" s="11"/>
      <c r="J390" s="2"/>
    </row>
    <row r="391" ht="15.75" customHeight="1" spans="4:10">
      <c r="D391" s="11"/>
      <c r="E391" s="11"/>
      <c r="J391" s="2"/>
    </row>
    <row r="392" ht="15.75" customHeight="1" spans="4:10">
      <c r="D392" s="11"/>
      <c r="E392" s="11"/>
      <c r="J392" s="2"/>
    </row>
    <row r="393" ht="15.75" customHeight="1" spans="4:10">
      <c r="D393" s="11"/>
      <c r="E393" s="11"/>
      <c r="J393" s="2"/>
    </row>
    <row r="394" ht="15.75" customHeight="1" spans="4:10">
      <c r="D394" s="11"/>
      <c r="E394" s="11"/>
      <c r="J394" s="2"/>
    </row>
    <row r="395" ht="15.75" customHeight="1" spans="4:10">
      <c r="D395" s="11"/>
      <c r="E395" s="11"/>
      <c r="J395" s="2"/>
    </row>
    <row r="396" ht="15.75" customHeight="1" spans="4:10">
      <c r="D396" s="11"/>
      <c r="E396" s="11"/>
      <c r="J396" s="2"/>
    </row>
    <row r="397" ht="15.75" customHeight="1" spans="4:10">
      <c r="D397" s="11"/>
      <c r="E397" s="11"/>
      <c r="J397" s="2"/>
    </row>
    <row r="398" ht="15.75" customHeight="1" spans="4:10">
      <c r="D398" s="11"/>
      <c r="E398" s="11"/>
      <c r="J398" s="2"/>
    </row>
    <row r="399" ht="15.75" customHeight="1" spans="4:10">
      <c r="D399" s="11"/>
      <c r="E399" s="11"/>
      <c r="J399" s="2"/>
    </row>
    <row r="400" ht="15.75" customHeight="1" spans="4:10">
      <c r="D400" s="11"/>
      <c r="E400" s="11"/>
      <c r="J400" s="2"/>
    </row>
    <row r="401" ht="15.75" customHeight="1" spans="4:10">
      <c r="D401" s="11"/>
      <c r="E401" s="11"/>
      <c r="J401" s="2"/>
    </row>
    <row r="402" ht="15.75" customHeight="1" spans="4:10">
      <c r="D402" s="11"/>
      <c r="E402" s="11"/>
      <c r="J402" s="2"/>
    </row>
    <row r="403" ht="15.75" customHeight="1" spans="4:10">
      <c r="D403" s="11"/>
      <c r="E403" s="11"/>
      <c r="J403" s="2"/>
    </row>
    <row r="404" ht="15.75" customHeight="1" spans="4:10">
      <c r="D404" s="11"/>
      <c r="E404" s="11"/>
      <c r="J404" s="2"/>
    </row>
    <row r="405" ht="15.75" customHeight="1" spans="4:10">
      <c r="D405" s="11"/>
      <c r="E405" s="11"/>
      <c r="J405" s="2"/>
    </row>
    <row r="406" ht="15.75" customHeight="1" spans="4:10">
      <c r="D406" s="11"/>
      <c r="E406" s="11"/>
      <c r="J406" s="2"/>
    </row>
    <row r="407" ht="15.75" customHeight="1" spans="4:10">
      <c r="D407" s="11"/>
      <c r="E407" s="11"/>
      <c r="J407" s="2"/>
    </row>
    <row r="408" ht="15.75" customHeight="1" spans="4:10">
      <c r="D408" s="11"/>
      <c r="E408" s="11"/>
      <c r="J408" s="2"/>
    </row>
    <row r="409" ht="15.75" customHeight="1" spans="4:10">
      <c r="D409" s="11"/>
      <c r="E409" s="11"/>
      <c r="J409" s="2"/>
    </row>
    <row r="410" ht="15.75" customHeight="1" spans="4:10">
      <c r="D410" s="11"/>
      <c r="E410" s="11"/>
      <c r="J410" s="2"/>
    </row>
    <row r="411" ht="15.75" customHeight="1" spans="4:10">
      <c r="D411" s="11"/>
      <c r="E411" s="11"/>
      <c r="J411" s="2"/>
    </row>
    <row r="412" ht="15.75" customHeight="1" spans="4:10">
      <c r="D412" s="11"/>
      <c r="E412" s="11"/>
      <c r="J412" s="2"/>
    </row>
    <row r="413" ht="15.75" customHeight="1" spans="4:10">
      <c r="D413" s="11"/>
      <c r="E413" s="11"/>
      <c r="J413" s="2"/>
    </row>
    <row r="414" ht="15.75" customHeight="1" spans="4:10">
      <c r="D414" s="11"/>
      <c r="E414" s="11"/>
      <c r="J414" s="2"/>
    </row>
    <row r="415" ht="15.75" customHeight="1" spans="4:10">
      <c r="D415" s="11"/>
      <c r="E415" s="11"/>
      <c r="J415" s="2"/>
    </row>
    <row r="416" ht="15.75" customHeight="1" spans="4:10">
      <c r="D416" s="11"/>
      <c r="E416" s="11"/>
      <c r="J416" s="2"/>
    </row>
    <row r="417" ht="15.75" customHeight="1" spans="4:10">
      <c r="D417" s="11"/>
      <c r="E417" s="11"/>
      <c r="J417" s="2"/>
    </row>
    <row r="418" ht="15.75" customHeight="1" spans="4:10">
      <c r="D418" s="11"/>
      <c r="E418" s="11"/>
      <c r="J418" s="2"/>
    </row>
    <row r="419" ht="15.75" customHeight="1" spans="4:10">
      <c r="D419" s="11"/>
      <c r="E419" s="11"/>
      <c r="J419" s="2"/>
    </row>
    <row r="420" ht="15.75" customHeight="1" spans="4:10">
      <c r="D420" s="11"/>
      <c r="E420" s="11"/>
      <c r="J420" s="2"/>
    </row>
    <row r="421" ht="15.75" customHeight="1" spans="4:10">
      <c r="D421" s="11"/>
      <c r="E421" s="11"/>
      <c r="J421" s="2"/>
    </row>
    <row r="422" ht="15.75" customHeight="1" spans="4:10">
      <c r="D422" s="11"/>
      <c r="E422" s="11"/>
      <c r="J422" s="2"/>
    </row>
    <row r="423" ht="15.75" customHeight="1" spans="4:10">
      <c r="D423" s="11"/>
      <c r="E423" s="11"/>
      <c r="J423" s="2"/>
    </row>
    <row r="424" ht="15.75" customHeight="1" spans="4:10">
      <c r="D424" s="11"/>
      <c r="E424" s="11"/>
      <c r="J424" s="2"/>
    </row>
    <row r="425" ht="15.75" customHeight="1" spans="4:10">
      <c r="D425" s="11"/>
      <c r="E425" s="11"/>
      <c r="J425" s="2"/>
    </row>
    <row r="426" ht="15.75" customHeight="1" spans="4:10">
      <c r="D426" s="11"/>
      <c r="E426" s="11"/>
      <c r="J426" s="2"/>
    </row>
    <row r="427" ht="15.75" customHeight="1" spans="4:10">
      <c r="D427" s="11"/>
      <c r="E427" s="11"/>
      <c r="J427" s="2"/>
    </row>
    <row r="428" ht="15.75" customHeight="1" spans="4:10">
      <c r="D428" s="11"/>
      <c r="E428" s="11"/>
      <c r="J428" s="2"/>
    </row>
    <row r="429" ht="15.75" customHeight="1" spans="4:10">
      <c r="D429" s="11"/>
      <c r="E429" s="11"/>
      <c r="J429" s="2"/>
    </row>
    <row r="430" ht="15.75" customHeight="1" spans="4:10">
      <c r="D430" s="11"/>
      <c r="E430" s="11"/>
      <c r="J430" s="2"/>
    </row>
    <row r="431" ht="15.75" customHeight="1" spans="4:10">
      <c r="D431" s="11"/>
      <c r="E431" s="11"/>
      <c r="J431" s="2"/>
    </row>
    <row r="432" ht="15.75" customHeight="1" spans="4:10">
      <c r="D432" s="11"/>
      <c r="E432" s="11"/>
      <c r="J432" s="2"/>
    </row>
    <row r="433" ht="15.75" customHeight="1" spans="4:10">
      <c r="D433" s="11"/>
      <c r="E433" s="11"/>
      <c r="J433" s="2"/>
    </row>
    <row r="434" ht="15.75" customHeight="1" spans="4:10">
      <c r="D434" s="11"/>
      <c r="E434" s="11"/>
      <c r="J434" s="2"/>
    </row>
    <row r="435" ht="15.75" customHeight="1" spans="4:10">
      <c r="D435" s="11"/>
      <c r="E435" s="11"/>
      <c r="J435" s="2"/>
    </row>
    <row r="436" ht="15.75" customHeight="1" spans="4:10">
      <c r="D436" s="11"/>
      <c r="E436" s="11"/>
      <c r="J436" s="2"/>
    </row>
    <row r="437" ht="15.75" customHeight="1" spans="4:10">
      <c r="D437" s="11"/>
      <c r="E437" s="11"/>
      <c r="J437" s="2"/>
    </row>
    <row r="438" ht="15.75" customHeight="1" spans="4:10">
      <c r="D438" s="11"/>
      <c r="E438" s="11"/>
      <c r="J438" s="2"/>
    </row>
    <row r="439" ht="15.75" customHeight="1" spans="4:10">
      <c r="D439" s="11"/>
      <c r="E439" s="11"/>
      <c r="J439" s="2"/>
    </row>
    <row r="440" ht="15.75" customHeight="1" spans="4:10">
      <c r="D440" s="11"/>
      <c r="E440" s="11"/>
      <c r="J440" s="2"/>
    </row>
    <row r="441" ht="15.75" customHeight="1" spans="4:10">
      <c r="D441" s="11"/>
      <c r="E441" s="11"/>
      <c r="J441" s="2"/>
    </row>
    <row r="442" ht="15.75" customHeight="1" spans="4:10">
      <c r="D442" s="11"/>
      <c r="E442" s="11"/>
      <c r="J442" s="2"/>
    </row>
    <row r="443" ht="15.75" customHeight="1" spans="4:10">
      <c r="D443" s="11"/>
      <c r="E443" s="11"/>
      <c r="J443" s="2"/>
    </row>
    <row r="444" ht="15.75" customHeight="1" spans="4:10">
      <c r="D444" s="11"/>
      <c r="E444" s="11"/>
      <c r="J444" s="2"/>
    </row>
    <row r="445" ht="15.75" customHeight="1" spans="4:10">
      <c r="D445" s="11"/>
      <c r="E445" s="11"/>
      <c r="J445" s="2"/>
    </row>
    <row r="446" ht="15.75" customHeight="1" spans="4:10">
      <c r="D446" s="11"/>
      <c r="E446" s="11"/>
      <c r="J446" s="2"/>
    </row>
    <row r="447" ht="15.75" customHeight="1" spans="4:10">
      <c r="D447" s="11"/>
      <c r="E447" s="11"/>
      <c r="J447" s="2"/>
    </row>
    <row r="448" ht="15.75" customHeight="1" spans="4:10">
      <c r="D448" s="11"/>
      <c r="E448" s="11"/>
      <c r="J448" s="2"/>
    </row>
    <row r="449" ht="15.75" customHeight="1" spans="4:10">
      <c r="D449" s="11"/>
      <c r="E449" s="11"/>
      <c r="J449" s="2"/>
    </row>
    <row r="450" ht="15.75" customHeight="1" spans="4:10">
      <c r="D450" s="11"/>
      <c r="E450" s="11"/>
      <c r="J450" s="2"/>
    </row>
    <row r="451" ht="15.75" customHeight="1" spans="4:10">
      <c r="D451" s="11"/>
      <c r="E451" s="11"/>
      <c r="J451" s="2"/>
    </row>
    <row r="452" ht="15.75" customHeight="1" spans="4:10">
      <c r="D452" s="11"/>
      <c r="E452" s="11"/>
      <c r="J452" s="2"/>
    </row>
    <row r="453" ht="15.75" customHeight="1" spans="4:10">
      <c r="D453" s="11"/>
      <c r="E453" s="11"/>
      <c r="J453" s="2"/>
    </row>
    <row r="454" ht="15.75" customHeight="1" spans="4:10">
      <c r="D454" s="11"/>
      <c r="E454" s="11"/>
      <c r="J454" s="2"/>
    </row>
    <row r="455" ht="15.75" customHeight="1" spans="4:10">
      <c r="D455" s="11"/>
      <c r="E455" s="11"/>
      <c r="J455" s="2"/>
    </row>
    <row r="456" ht="15.75" customHeight="1" spans="4:10">
      <c r="D456" s="11"/>
      <c r="E456" s="11"/>
      <c r="J456" s="2"/>
    </row>
    <row r="457" ht="15.75" customHeight="1" spans="4:10">
      <c r="D457" s="11"/>
      <c r="E457" s="11"/>
      <c r="J457" s="2"/>
    </row>
    <row r="458" ht="15.75" customHeight="1" spans="4:10">
      <c r="D458" s="11"/>
      <c r="E458" s="11"/>
      <c r="J458" s="2"/>
    </row>
    <row r="459" ht="15.75" customHeight="1" spans="4:10">
      <c r="D459" s="11"/>
      <c r="E459" s="11"/>
      <c r="J459" s="2"/>
    </row>
    <row r="460" ht="15.75" customHeight="1" spans="4:10">
      <c r="D460" s="11"/>
      <c r="E460" s="11"/>
      <c r="J460" s="2"/>
    </row>
    <row r="461" ht="15.75" customHeight="1" spans="4:10">
      <c r="D461" s="11"/>
      <c r="E461" s="11"/>
      <c r="J461" s="2"/>
    </row>
    <row r="462" ht="15.75" customHeight="1" spans="4:10">
      <c r="D462" s="11"/>
      <c r="E462" s="11"/>
      <c r="J462" s="2"/>
    </row>
    <row r="463" ht="15.75" customHeight="1" spans="4:10">
      <c r="D463" s="11"/>
      <c r="E463" s="11"/>
      <c r="J463" s="2"/>
    </row>
    <row r="464" ht="15.75" customHeight="1" spans="4:10">
      <c r="D464" s="11"/>
      <c r="E464" s="11"/>
      <c r="J464" s="2"/>
    </row>
    <row r="465" ht="15.75" customHeight="1" spans="4:10">
      <c r="D465" s="11"/>
      <c r="E465" s="11"/>
      <c r="J465" s="2"/>
    </row>
    <row r="466" ht="15.75" customHeight="1" spans="4:10">
      <c r="D466" s="11"/>
      <c r="E466" s="11"/>
      <c r="J466" s="2"/>
    </row>
    <row r="467" ht="15.75" customHeight="1" spans="4:10">
      <c r="D467" s="11"/>
      <c r="E467" s="11"/>
      <c r="J467" s="2"/>
    </row>
    <row r="468" ht="15.75" customHeight="1" spans="4:10">
      <c r="D468" s="11"/>
      <c r="E468" s="11"/>
      <c r="J468" s="2"/>
    </row>
    <row r="469" ht="15.75" customHeight="1" spans="4:10">
      <c r="D469" s="11"/>
      <c r="E469" s="11"/>
      <c r="J469" s="2"/>
    </row>
    <row r="470" ht="15.75" customHeight="1" spans="4:10">
      <c r="D470" s="11"/>
      <c r="E470" s="11"/>
      <c r="J470" s="2"/>
    </row>
    <row r="471" ht="15.75" customHeight="1" spans="4:10">
      <c r="D471" s="11"/>
      <c r="E471" s="11"/>
      <c r="J471" s="2"/>
    </row>
    <row r="472" ht="15.75" customHeight="1" spans="4:10">
      <c r="D472" s="11"/>
      <c r="E472" s="11"/>
      <c r="J472" s="2"/>
    </row>
    <row r="473" ht="15.75" customHeight="1" spans="4:10">
      <c r="D473" s="11"/>
      <c r="E473" s="11"/>
      <c r="J473" s="2"/>
    </row>
    <row r="474" ht="15.75" customHeight="1" spans="4:10">
      <c r="D474" s="11"/>
      <c r="E474" s="11"/>
      <c r="J474" s="2"/>
    </row>
    <row r="475" ht="15.75" customHeight="1" spans="4:10">
      <c r="D475" s="11"/>
      <c r="E475" s="11"/>
      <c r="J475" s="2"/>
    </row>
    <row r="476" ht="15.75" customHeight="1" spans="4:10">
      <c r="D476" s="11"/>
      <c r="E476" s="11"/>
      <c r="J476" s="2"/>
    </row>
    <row r="477" ht="15.75" customHeight="1" spans="4:10">
      <c r="D477" s="11"/>
      <c r="E477" s="11"/>
      <c r="J477" s="2"/>
    </row>
    <row r="478" ht="15.75" customHeight="1" spans="4:10">
      <c r="D478" s="11"/>
      <c r="E478" s="11"/>
      <c r="J478" s="2"/>
    </row>
    <row r="479" ht="15.75" customHeight="1" spans="4:10">
      <c r="D479" s="11"/>
      <c r="E479" s="11"/>
      <c r="J479" s="2"/>
    </row>
    <row r="480" ht="15.75" customHeight="1" spans="4:10">
      <c r="D480" s="11"/>
      <c r="E480" s="11"/>
      <c r="J480" s="2"/>
    </row>
    <row r="481" ht="15.75" customHeight="1" spans="4:10">
      <c r="D481" s="11"/>
      <c r="E481" s="11"/>
      <c r="J481" s="2"/>
    </row>
    <row r="482" ht="15.75" customHeight="1" spans="4:10">
      <c r="D482" s="11"/>
      <c r="E482" s="11"/>
      <c r="J482" s="2"/>
    </row>
    <row r="483" ht="15.75" customHeight="1" spans="4:10">
      <c r="D483" s="11"/>
      <c r="E483" s="11"/>
      <c r="J483" s="2"/>
    </row>
    <row r="484" ht="15.75" customHeight="1" spans="4:10">
      <c r="D484" s="11"/>
      <c r="E484" s="11"/>
      <c r="J484" s="2"/>
    </row>
    <row r="485" ht="15.75" customHeight="1" spans="4:10">
      <c r="D485" s="11"/>
      <c r="E485" s="11"/>
      <c r="J485" s="2"/>
    </row>
    <row r="486" ht="15.75" customHeight="1" spans="4:10">
      <c r="D486" s="11"/>
      <c r="E486" s="11"/>
      <c r="J486" s="2"/>
    </row>
    <row r="487" ht="15.75" customHeight="1" spans="4:10">
      <c r="D487" s="11"/>
      <c r="E487" s="11"/>
      <c r="J487" s="2"/>
    </row>
    <row r="488" ht="15.75" customHeight="1" spans="4:10">
      <c r="D488" s="11"/>
      <c r="E488" s="11"/>
      <c r="J488" s="2"/>
    </row>
    <row r="489" ht="15.75" customHeight="1" spans="4:10">
      <c r="D489" s="11"/>
      <c r="E489" s="11"/>
      <c r="J489" s="2"/>
    </row>
    <row r="490" ht="15.75" customHeight="1" spans="4:10">
      <c r="D490" s="11"/>
      <c r="E490" s="11"/>
      <c r="J490" s="2"/>
    </row>
    <row r="491" ht="15.75" customHeight="1" spans="4:10">
      <c r="D491" s="11"/>
      <c r="E491" s="11"/>
      <c r="J491" s="2"/>
    </row>
    <row r="492" ht="15.75" customHeight="1" spans="4:10">
      <c r="D492" s="11"/>
      <c r="E492" s="11"/>
      <c r="J492" s="2"/>
    </row>
    <row r="493" ht="15.75" customHeight="1" spans="4:10">
      <c r="D493" s="11"/>
      <c r="E493" s="11"/>
      <c r="J493" s="2"/>
    </row>
    <row r="494" ht="15.75" customHeight="1" spans="4:10">
      <c r="D494" s="11"/>
      <c r="E494" s="11"/>
      <c r="J494" s="2"/>
    </row>
    <row r="495" ht="15.75" customHeight="1" spans="4:10">
      <c r="D495" s="11"/>
      <c r="E495" s="11"/>
      <c r="J495" s="2"/>
    </row>
    <row r="496" ht="15.75" customHeight="1" spans="4:10">
      <c r="D496" s="11"/>
      <c r="E496" s="11"/>
      <c r="J496" s="2"/>
    </row>
    <row r="497" ht="15.75" customHeight="1" spans="4:10">
      <c r="D497" s="11"/>
      <c r="E497" s="11"/>
      <c r="J497" s="2"/>
    </row>
    <row r="498" ht="15.75" customHeight="1" spans="4:10">
      <c r="D498" s="11"/>
      <c r="E498" s="11"/>
      <c r="J498" s="2"/>
    </row>
    <row r="499" ht="15.75" customHeight="1" spans="4:10">
      <c r="D499" s="11"/>
      <c r="E499" s="11"/>
      <c r="J499" s="2"/>
    </row>
    <row r="500" ht="15.75" customHeight="1" spans="4:10">
      <c r="D500" s="11"/>
      <c r="E500" s="11"/>
      <c r="J500" s="2"/>
    </row>
    <row r="501" ht="15.75" customHeight="1" spans="4:10">
      <c r="D501" s="11"/>
      <c r="E501" s="11"/>
      <c r="J501" s="2"/>
    </row>
    <row r="502" ht="15.75" customHeight="1" spans="4:10">
      <c r="D502" s="11"/>
      <c r="E502" s="11"/>
      <c r="J502" s="2"/>
    </row>
    <row r="503" ht="15.75" customHeight="1" spans="4:10">
      <c r="D503" s="11"/>
      <c r="E503" s="11"/>
      <c r="J503" s="2"/>
    </row>
    <row r="504" ht="15.75" customHeight="1" spans="4:10">
      <c r="D504" s="11"/>
      <c r="E504" s="11"/>
      <c r="J504" s="2"/>
    </row>
    <row r="505" ht="15.75" customHeight="1" spans="4:10">
      <c r="D505" s="11"/>
      <c r="E505" s="11"/>
      <c r="J505" s="2"/>
    </row>
    <row r="506" ht="15.75" customHeight="1" spans="4:10">
      <c r="D506" s="11"/>
      <c r="E506" s="11"/>
      <c r="J506" s="2"/>
    </row>
    <row r="507" ht="15.75" customHeight="1" spans="4:10">
      <c r="D507" s="11"/>
      <c r="E507" s="11"/>
      <c r="J507" s="2"/>
    </row>
    <row r="508" ht="15.75" customHeight="1" spans="4:10">
      <c r="D508" s="11"/>
      <c r="E508" s="11"/>
      <c r="J508" s="2"/>
    </row>
    <row r="509" ht="15.75" customHeight="1" spans="4:10">
      <c r="D509" s="11"/>
      <c r="E509" s="11"/>
      <c r="J509" s="2"/>
    </row>
    <row r="510" ht="15.75" customHeight="1" spans="4:10">
      <c r="D510" s="11"/>
      <c r="E510" s="11"/>
      <c r="J510" s="2"/>
    </row>
    <row r="511" ht="15.75" customHeight="1" spans="4:10">
      <c r="D511" s="11"/>
      <c r="E511" s="11"/>
      <c r="J511" s="2"/>
    </row>
    <row r="512" ht="15.75" customHeight="1" spans="4:10">
      <c r="D512" s="11"/>
      <c r="E512" s="11"/>
      <c r="J512" s="2"/>
    </row>
    <row r="513" ht="15.75" customHeight="1" spans="4:10">
      <c r="D513" s="11"/>
      <c r="E513" s="11"/>
      <c r="J513" s="2"/>
    </row>
    <row r="514" ht="15.75" customHeight="1" spans="4:10">
      <c r="D514" s="11"/>
      <c r="E514" s="11"/>
      <c r="J514" s="2"/>
    </row>
    <row r="515" ht="15.75" customHeight="1" spans="4:10">
      <c r="D515" s="11"/>
      <c r="E515" s="11"/>
      <c r="J515" s="2"/>
    </row>
    <row r="516" ht="15.75" customHeight="1" spans="4:10">
      <c r="D516" s="11"/>
      <c r="E516" s="11"/>
      <c r="J516" s="2"/>
    </row>
    <row r="517" ht="15.75" customHeight="1" spans="4:10">
      <c r="D517" s="11"/>
      <c r="E517" s="11"/>
      <c r="J517" s="2"/>
    </row>
    <row r="518" ht="15.75" customHeight="1" spans="4:10">
      <c r="D518" s="11"/>
      <c r="E518" s="11"/>
      <c r="J518" s="2"/>
    </row>
    <row r="519" ht="15.75" customHeight="1" spans="4:10">
      <c r="D519" s="11"/>
      <c r="E519" s="11"/>
      <c r="J519" s="2"/>
    </row>
    <row r="520" ht="15.75" customHeight="1" spans="4:10">
      <c r="D520" s="11"/>
      <c r="E520" s="11"/>
      <c r="J520" s="2"/>
    </row>
    <row r="521" ht="15.75" customHeight="1" spans="4:10">
      <c r="D521" s="11"/>
      <c r="E521" s="11"/>
      <c r="J521" s="2"/>
    </row>
    <row r="522" ht="15.75" customHeight="1" spans="4:10">
      <c r="D522" s="11"/>
      <c r="E522" s="11"/>
      <c r="J522" s="2"/>
    </row>
    <row r="523" ht="15.75" customHeight="1" spans="4:10">
      <c r="D523" s="11"/>
      <c r="E523" s="11"/>
      <c r="J523" s="2"/>
    </row>
    <row r="524" ht="15.75" customHeight="1" spans="4:10">
      <c r="D524" s="11"/>
      <c r="E524" s="11"/>
      <c r="J524" s="2"/>
    </row>
    <row r="525" ht="15.75" customHeight="1" spans="4:10">
      <c r="D525" s="11"/>
      <c r="E525" s="11"/>
      <c r="J525" s="2"/>
    </row>
    <row r="526" ht="15.75" customHeight="1" spans="4:10">
      <c r="D526" s="11"/>
      <c r="E526" s="11"/>
      <c r="J526" s="2"/>
    </row>
    <row r="527" ht="15.75" customHeight="1" spans="4:10">
      <c r="D527" s="11"/>
      <c r="E527" s="11"/>
      <c r="J527" s="2"/>
    </row>
    <row r="528" ht="15.75" customHeight="1" spans="4:10">
      <c r="D528" s="11"/>
      <c r="E528" s="11"/>
      <c r="J528" s="2"/>
    </row>
    <row r="529" ht="15.75" customHeight="1" spans="4:10">
      <c r="D529" s="11"/>
      <c r="E529" s="11"/>
      <c r="J529" s="2"/>
    </row>
    <row r="530" ht="15.75" customHeight="1" spans="4:10">
      <c r="D530" s="11"/>
      <c r="E530" s="11"/>
      <c r="J530" s="2"/>
    </row>
    <row r="531" ht="15.75" customHeight="1" spans="4:10">
      <c r="D531" s="11"/>
      <c r="E531" s="11"/>
      <c r="J531" s="2"/>
    </row>
    <row r="532" ht="15.75" customHeight="1" spans="4:10">
      <c r="D532" s="11"/>
      <c r="E532" s="11"/>
      <c r="J532" s="2"/>
    </row>
    <row r="533" ht="15.75" customHeight="1" spans="4:10">
      <c r="D533" s="11"/>
      <c r="E533" s="11"/>
      <c r="J533" s="2"/>
    </row>
    <row r="534" ht="15.75" customHeight="1" spans="4:10">
      <c r="D534" s="11"/>
      <c r="E534" s="11"/>
      <c r="J534" s="2"/>
    </row>
    <row r="535" ht="15.75" customHeight="1" spans="4:10">
      <c r="D535" s="11"/>
      <c r="E535" s="11"/>
      <c r="J535" s="2"/>
    </row>
    <row r="536" ht="15.75" customHeight="1" spans="4:10">
      <c r="D536" s="11"/>
      <c r="E536" s="11"/>
      <c r="J536" s="2"/>
    </row>
    <row r="537" ht="15.75" customHeight="1" spans="4:10">
      <c r="D537" s="11"/>
      <c r="E537" s="11"/>
      <c r="J537" s="2"/>
    </row>
    <row r="538" ht="15.75" customHeight="1" spans="4:10">
      <c r="D538" s="11"/>
      <c r="E538" s="11"/>
      <c r="J538" s="2"/>
    </row>
    <row r="539" ht="15.75" customHeight="1" spans="4:10">
      <c r="D539" s="11"/>
      <c r="E539" s="11"/>
      <c r="J539" s="2"/>
    </row>
    <row r="540" ht="15.75" customHeight="1" spans="4:10">
      <c r="D540" s="11"/>
      <c r="E540" s="11"/>
      <c r="J540" s="2"/>
    </row>
    <row r="541" ht="15.75" customHeight="1" spans="4:10">
      <c r="D541" s="11"/>
      <c r="E541" s="11"/>
      <c r="J541" s="2"/>
    </row>
    <row r="542" ht="15.75" customHeight="1" spans="4:10">
      <c r="D542" s="11"/>
      <c r="E542" s="11"/>
      <c r="J542" s="2"/>
    </row>
    <row r="543" ht="15.75" customHeight="1" spans="4:10">
      <c r="D543" s="11"/>
      <c r="E543" s="11"/>
      <c r="J543" s="2"/>
    </row>
    <row r="544" ht="15.75" customHeight="1" spans="4:10">
      <c r="D544" s="11"/>
      <c r="E544" s="11"/>
      <c r="J544" s="2"/>
    </row>
    <row r="545" ht="15.75" customHeight="1" spans="4:10">
      <c r="D545" s="11"/>
      <c r="E545" s="11"/>
      <c r="J545" s="2"/>
    </row>
    <row r="546" ht="15.75" customHeight="1" spans="4:10">
      <c r="D546" s="11"/>
      <c r="E546" s="11"/>
      <c r="J546" s="2"/>
    </row>
    <row r="547" ht="15.75" customHeight="1" spans="4:10">
      <c r="D547" s="11"/>
      <c r="E547" s="11"/>
      <c r="J547" s="2"/>
    </row>
    <row r="548" ht="15.75" customHeight="1" spans="4:10">
      <c r="D548" s="11"/>
      <c r="E548" s="11"/>
      <c r="J548" s="2"/>
    </row>
    <row r="549" ht="15.75" customHeight="1" spans="4:10">
      <c r="D549" s="11"/>
      <c r="E549" s="11"/>
      <c r="J549" s="2"/>
    </row>
    <row r="550" ht="15.75" customHeight="1" spans="4:10">
      <c r="D550" s="11"/>
      <c r="E550" s="11"/>
      <c r="J550" s="2"/>
    </row>
    <row r="551" ht="15.75" customHeight="1" spans="4:10">
      <c r="D551" s="11"/>
      <c r="E551" s="11"/>
      <c r="J551" s="2"/>
    </row>
    <row r="552" ht="15.75" customHeight="1" spans="4:10">
      <c r="D552" s="11"/>
      <c r="E552" s="11"/>
      <c r="J552" s="2"/>
    </row>
    <row r="553" ht="15.75" customHeight="1" spans="4:10">
      <c r="D553" s="11"/>
      <c r="E553" s="11"/>
      <c r="J553" s="2"/>
    </row>
    <row r="554" ht="15.75" customHeight="1" spans="4:10">
      <c r="D554" s="11"/>
      <c r="E554" s="11"/>
      <c r="J554" s="2"/>
    </row>
    <row r="555" ht="15.75" customHeight="1" spans="4:10">
      <c r="D555" s="11"/>
      <c r="E555" s="11"/>
      <c r="J555" s="2"/>
    </row>
    <row r="556" ht="15.75" customHeight="1" spans="4:10">
      <c r="D556" s="11"/>
      <c r="E556" s="11"/>
      <c r="J556" s="2"/>
    </row>
    <row r="557" ht="15.75" customHeight="1" spans="4:10">
      <c r="D557" s="11"/>
      <c r="E557" s="11"/>
      <c r="J557" s="2"/>
    </row>
    <row r="558" ht="15.75" customHeight="1" spans="4:10">
      <c r="D558" s="11"/>
      <c r="E558" s="11"/>
      <c r="J558" s="2"/>
    </row>
    <row r="559" ht="15.75" customHeight="1" spans="4:10">
      <c r="D559" s="11"/>
      <c r="E559" s="11"/>
      <c r="J559" s="2"/>
    </row>
    <row r="560" ht="15.75" customHeight="1" spans="4:10">
      <c r="D560" s="11"/>
      <c r="E560" s="11"/>
      <c r="J560" s="2"/>
    </row>
    <row r="561" ht="15.75" customHeight="1" spans="4:10">
      <c r="D561" s="11"/>
      <c r="E561" s="11"/>
      <c r="J561" s="2"/>
    </row>
    <row r="562" ht="15.75" customHeight="1" spans="4:10">
      <c r="D562" s="11"/>
      <c r="E562" s="11"/>
      <c r="J562" s="2"/>
    </row>
    <row r="563" ht="15.75" customHeight="1" spans="4:10">
      <c r="D563" s="11"/>
      <c r="E563" s="11"/>
      <c r="J563" s="2"/>
    </row>
    <row r="564" ht="15.75" customHeight="1" spans="4:10">
      <c r="D564" s="11"/>
      <c r="E564" s="11"/>
      <c r="J564" s="2"/>
    </row>
    <row r="565" ht="15.75" customHeight="1" spans="4:10">
      <c r="D565" s="11"/>
      <c r="E565" s="11"/>
      <c r="J565" s="2"/>
    </row>
    <row r="566" ht="15.75" customHeight="1" spans="4:10">
      <c r="D566" s="11"/>
      <c r="E566" s="11"/>
      <c r="J566" s="2"/>
    </row>
    <row r="567" ht="15.75" customHeight="1" spans="4:10">
      <c r="D567" s="11"/>
      <c r="E567" s="11"/>
      <c r="J567" s="2"/>
    </row>
    <row r="568" ht="15.75" customHeight="1" spans="4:10">
      <c r="D568" s="11"/>
      <c r="E568" s="11"/>
      <c r="J568" s="2"/>
    </row>
    <row r="569" ht="15.75" customHeight="1" spans="4:10">
      <c r="D569" s="11"/>
      <c r="E569" s="11"/>
      <c r="J569" s="2"/>
    </row>
    <row r="570" ht="15.75" customHeight="1" spans="4:10">
      <c r="D570" s="11"/>
      <c r="E570" s="11"/>
      <c r="J570" s="2"/>
    </row>
    <row r="571" ht="15.75" customHeight="1" spans="4:10">
      <c r="D571" s="11"/>
      <c r="E571" s="11"/>
      <c r="J571" s="2"/>
    </row>
    <row r="572" ht="15.75" customHeight="1" spans="4:10">
      <c r="D572" s="11"/>
      <c r="E572" s="11"/>
      <c r="J572" s="2"/>
    </row>
    <row r="573" ht="15.75" customHeight="1" spans="4:10">
      <c r="D573" s="11"/>
      <c r="E573" s="11"/>
      <c r="J573" s="2"/>
    </row>
    <row r="574" ht="15.75" customHeight="1" spans="4:10">
      <c r="D574" s="11"/>
      <c r="E574" s="11"/>
      <c r="J574" s="2"/>
    </row>
    <row r="575" ht="15.75" customHeight="1" spans="4:10">
      <c r="D575" s="11"/>
      <c r="E575" s="11"/>
      <c r="J575" s="2"/>
    </row>
    <row r="576" ht="15.75" customHeight="1" spans="4:10">
      <c r="D576" s="11"/>
      <c r="E576" s="11"/>
      <c r="J576" s="2"/>
    </row>
    <row r="577" ht="15.75" customHeight="1" spans="4:10">
      <c r="D577" s="11"/>
      <c r="E577" s="11"/>
      <c r="J577" s="2"/>
    </row>
    <row r="578" ht="15.75" customHeight="1" spans="4:10">
      <c r="D578" s="11"/>
      <c r="E578" s="11"/>
      <c r="J578" s="2"/>
    </row>
    <row r="579" ht="15.75" customHeight="1" spans="4:10">
      <c r="D579" s="11"/>
      <c r="E579" s="11"/>
      <c r="J579" s="2"/>
    </row>
    <row r="580" ht="15.75" customHeight="1" spans="4:10">
      <c r="D580" s="11"/>
      <c r="E580" s="11"/>
      <c r="J580" s="2"/>
    </row>
    <row r="581" ht="15.75" customHeight="1" spans="4:10">
      <c r="D581" s="11"/>
      <c r="E581" s="11"/>
      <c r="J581" s="2"/>
    </row>
    <row r="582" ht="15.75" customHeight="1" spans="4:10">
      <c r="D582" s="11"/>
      <c r="E582" s="11"/>
      <c r="J582" s="2"/>
    </row>
    <row r="583" ht="15.75" customHeight="1" spans="4:10">
      <c r="D583" s="11"/>
      <c r="E583" s="11"/>
      <c r="J583" s="2"/>
    </row>
    <row r="584" ht="15.75" customHeight="1" spans="4:10">
      <c r="D584" s="11"/>
      <c r="E584" s="11"/>
      <c r="J584" s="2"/>
    </row>
    <row r="585" ht="15.75" customHeight="1" spans="4:10">
      <c r="D585" s="11"/>
      <c r="E585" s="11"/>
      <c r="J585" s="2"/>
    </row>
    <row r="586" ht="15.75" customHeight="1" spans="4:10">
      <c r="D586" s="11"/>
      <c r="E586" s="11"/>
      <c r="J586" s="2"/>
    </row>
    <row r="587" ht="15.75" customHeight="1" spans="4:10">
      <c r="D587" s="11"/>
      <c r="E587" s="11"/>
      <c r="J587" s="2"/>
    </row>
    <row r="588" ht="15.75" customHeight="1" spans="4:10">
      <c r="D588" s="11"/>
      <c r="E588" s="11"/>
      <c r="J588" s="2"/>
    </row>
    <row r="589" ht="15.75" customHeight="1" spans="4:10">
      <c r="D589" s="11"/>
      <c r="E589" s="11"/>
      <c r="J589" s="2"/>
    </row>
    <row r="590" ht="15.75" customHeight="1" spans="4:10">
      <c r="D590" s="11"/>
      <c r="E590" s="11"/>
      <c r="J590" s="2"/>
    </row>
    <row r="591" ht="15.75" customHeight="1" spans="4:10">
      <c r="D591" s="11"/>
      <c r="E591" s="11"/>
      <c r="J591" s="2"/>
    </row>
    <row r="592" ht="15.75" customHeight="1" spans="4:10">
      <c r="D592" s="11"/>
      <c r="E592" s="11"/>
      <c r="J592" s="2"/>
    </row>
    <row r="593" ht="15.75" customHeight="1" spans="4:10">
      <c r="D593" s="11"/>
      <c r="E593" s="11"/>
      <c r="J593" s="2"/>
    </row>
    <row r="594" ht="15.75" customHeight="1" spans="4:10">
      <c r="D594" s="11"/>
      <c r="E594" s="11"/>
      <c r="J594" s="2"/>
    </row>
    <row r="595" ht="15.75" customHeight="1" spans="4:10">
      <c r="D595" s="11"/>
      <c r="E595" s="11"/>
      <c r="J595" s="2"/>
    </row>
    <row r="596" ht="15.75" customHeight="1" spans="4:10">
      <c r="D596" s="11"/>
      <c r="E596" s="11"/>
      <c r="J596" s="2"/>
    </row>
    <row r="597" ht="15.75" customHeight="1" spans="4:10">
      <c r="D597" s="11"/>
      <c r="E597" s="11"/>
      <c r="J597" s="2"/>
    </row>
    <row r="598" ht="15.75" customHeight="1" spans="4:10">
      <c r="D598" s="11"/>
      <c r="E598" s="11"/>
      <c r="J598" s="2"/>
    </row>
    <row r="599" ht="15.75" customHeight="1" spans="4:10">
      <c r="D599" s="11"/>
      <c r="E599" s="11"/>
      <c r="J599" s="2"/>
    </row>
    <row r="600" ht="15.75" customHeight="1" spans="4:10">
      <c r="D600" s="11"/>
      <c r="E600" s="11"/>
      <c r="J600" s="2"/>
    </row>
    <row r="601" ht="15.75" customHeight="1" spans="4:10">
      <c r="D601" s="11"/>
      <c r="E601" s="11"/>
      <c r="J601" s="2"/>
    </row>
    <row r="602" ht="15.75" customHeight="1" spans="4:10">
      <c r="D602" s="11"/>
      <c r="E602" s="11"/>
      <c r="J602" s="2"/>
    </row>
    <row r="603" ht="15.75" customHeight="1" spans="4:10">
      <c r="D603" s="11"/>
      <c r="E603" s="11"/>
      <c r="J603" s="2"/>
    </row>
    <row r="604" ht="15.75" customHeight="1" spans="4:10">
      <c r="D604" s="11"/>
      <c r="E604" s="11"/>
      <c r="J604" s="2"/>
    </row>
    <row r="605" ht="15.75" customHeight="1" spans="4:10">
      <c r="D605" s="11"/>
      <c r="E605" s="11"/>
      <c r="J605" s="2"/>
    </row>
    <row r="606" ht="15.75" customHeight="1" spans="4:10">
      <c r="D606" s="11"/>
      <c r="E606" s="11"/>
      <c r="J606" s="2"/>
    </row>
    <row r="607" ht="15.75" customHeight="1" spans="4:10">
      <c r="D607" s="11"/>
      <c r="E607" s="11"/>
      <c r="J607" s="2"/>
    </row>
    <row r="608" ht="15.75" customHeight="1" spans="4:10">
      <c r="D608" s="11"/>
      <c r="E608" s="11"/>
      <c r="J608" s="2"/>
    </row>
    <row r="609" ht="15.75" customHeight="1" spans="4:10">
      <c r="D609" s="11"/>
      <c r="E609" s="11"/>
      <c r="J609" s="2"/>
    </row>
    <row r="610" ht="15.75" customHeight="1" spans="4:10">
      <c r="D610" s="11"/>
      <c r="E610" s="11"/>
      <c r="J610" s="2"/>
    </row>
    <row r="611" ht="15.75" customHeight="1" spans="4:10">
      <c r="D611" s="11"/>
      <c r="E611" s="11"/>
      <c r="J611" s="2"/>
    </row>
    <row r="612" ht="15.75" customHeight="1" spans="4:10">
      <c r="D612" s="11"/>
      <c r="E612" s="11"/>
      <c r="J612" s="2"/>
    </row>
    <row r="613" ht="15.75" customHeight="1" spans="4:10">
      <c r="D613" s="11"/>
      <c r="E613" s="11"/>
      <c r="J613" s="2"/>
    </row>
    <row r="614" ht="15.75" customHeight="1" spans="4:10">
      <c r="D614" s="11"/>
      <c r="E614" s="11"/>
      <c r="J614" s="2"/>
    </row>
    <row r="615" ht="15.75" customHeight="1" spans="4:10">
      <c r="D615" s="11"/>
      <c r="E615" s="11"/>
      <c r="J615" s="2"/>
    </row>
    <row r="616" ht="15.75" customHeight="1" spans="4:10">
      <c r="D616" s="11"/>
      <c r="E616" s="11"/>
      <c r="J616" s="2"/>
    </row>
    <row r="617" ht="15.75" customHeight="1" spans="4:10">
      <c r="D617" s="11"/>
      <c r="E617" s="11"/>
      <c r="J617" s="2"/>
    </row>
    <row r="618" ht="15.75" customHeight="1" spans="4:10">
      <c r="D618" s="11"/>
      <c r="E618" s="11"/>
      <c r="J618" s="2"/>
    </row>
    <row r="619" ht="15.75" customHeight="1" spans="4:10">
      <c r="D619" s="11"/>
      <c r="E619" s="11"/>
      <c r="J619" s="2"/>
    </row>
    <row r="620" ht="15.75" customHeight="1" spans="4:10">
      <c r="D620" s="11"/>
      <c r="E620" s="11"/>
      <c r="J620" s="2"/>
    </row>
    <row r="621" ht="15.75" customHeight="1" spans="4:10">
      <c r="D621" s="11"/>
      <c r="E621" s="11"/>
      <c r="J621" s="2"/>
    </row>
    <row r="622" ht="15.75" customHeight="1" spans="4:10">
      <c r="D622" s="11"/>
      <c r="E622" s="11"/>
      <c r="J622" s="2"/>
    </row>
    <row r="623" ht="15.75" customHeight="1" spans="4:10">
      <c r="D623" s="11"/>
      <c r="E623" s="11"/>
      <c r="J623" s="2"/>
    </row>
    <row r="624" ht="15.75" customHeight="1" spans="4:10">
      <c r="D624" s="11"/>
      <c r="E624" s="11"/>
      <c r="J624" s="2"/>
    </row>
    <row r="625" ht="15.75" customHeight="1" spans="4:10">
      <c r="D625" s="11"/>
      <c r="E625" s="11"/>
      <c r="J625" s="2"/>
    </row>
    <row r="626" ht="15.75" customHeight="1" spans="4:10">
      <c r="D626" s="11"/>
      <c r="E626" s="11"/>
      <c r="J626" s="2"/>
    </row>
    <row r="627" ht="15.75" customHeight="1" spans="4:10">
      <c r="D627" s="11"/>
      <c r="E627" s="11"/>
      <c r="J627" s="2"/>
    </row>
    <row r="628" ht="15.75" customHeight="1" spans="4:10">
      <c r="D628" s="11"/>
      <c r="E628" s="11"/>
      <c r="J628" s="2"/>
    </row>
    <row r="629" ht="15.75" customHeight="1" spans="4:10">
      <c r="D629" s="11"/>
      <c r="E629" s="11"/>
      <c r="J629" s="2"/>
    </row>
    <row r="630" ht="15.75" customHeight="1" spans="4:10">
      <c r="D630" s="11"/>
      <c r="E630" s="11"/>
      <c r="J630" s="2"/>
    </row>
    <row r="631" ht="15.75" customHeight="1" spans="4:10">
      <c r="D631" s="11"/>
      <c r="E631" s="11"/>
      <c r="J631" s="2"/>
    </row>
    <row r="632" ht="15.75" customHeight="1" spans="4:10">
      <c r="D632" s="11"/>
      <c r="E632" s="11"/>
      <c r="J632" s="2"/>
    </row>
    <row r="633" ht="15.75" customHeight="1" spans="4:10">
      <c r="D633" s="11"/>
      <c r="E633" s="11"/>
      <c r="J633" s="2"/>
    </row>
    <row r="634" ht="15.75" customHeight="1" spans="4:10">
      <c r="D634" s="11"/>
      <c r="E634" s="11"/>
      <c r="J634" s="2"/>
    </row>
    <row r="635" ht="15.75" customHeight="1" spans="4:10">
      <c r="D635" s="11"/>
      <c r="E635" s="11"/>
      <c r="J635" s="2"/>
    </row>
    <row r="636" ht="15.75" customHeight="1" spans="4:10">
      <c r="D636" s="11"/>
      <c r="E636" s="11"/>
      <c r="J636" s="2"/>
    </row>
    <row r="637" ht="15.75" customHeight="1" spans="4:10">
      <c r="D637" s="11"/>
      <c r="E637" s="11"/>
      <c r="J637" s="2"/>
    </row>
    <row r="638" ht="15.75" customHeight="1" spans="4:10">
      <c r="D638" s="11"/>
      <c r="E638" s="11"/>
      <c r="J638" s="2"/>
    </row>
    <row r="639" ht="15.75" customHeight="1" spans="4:10">
      <c r="D639" s="11"/>
      <c r="E639" s="11"/>
      <c r="J639" s="2"/>
    </row>
    <row r="640" ht="15.75" customHeight="1" spans="4:10">
      <c r="D640" s="11"/>
      <c r="E640" s="11"/>
      <c r="J640" s="2"/>
    </row>
    <row r="641" ht="15.75" customHeight="1" spans="4:10">
      <c r="D641" s="11"/>
      <c r="E641" s="11"/>
      <c r="J641" s="2"/>
    </row>
    <row r="642" ht="15.75" customHeight="1" spans="4:10">
      <c r="D642" s="11"/>
      <c r="E642" s="11"/>
      <c r="J642" s="2"/>
    </row>
    <row r="643" ht="15.75" customHeight="1" spans="4:10">
      <c r="D643" s="11"/>
      <c r="E643" s="11"/>
      <c r="J643" s="2"/>
    </row>
    <row r="644" ht="15.75" customHeight="1" spans="4:10">
      <c r="D644" s="11"/>
      <c r="E644" s="11"/>
      <c r="J644" s="2"/>
    </row>
    <row r="645" ht="15.75" customHeight="1" spans="4:10">
      <c r="D645" s="11"/>
      <c r="E645" s="11"/>
      <c r="J645" s="2"/>
    </row>
    <row r="646" ht="15.75" customHeight="1" spans="4:10">
      <c r="D646" s="11"/>
      <c r="E646" s="11"/>
      <c r="J646" s="2"/>
    </row>
    <row r="647" ht="15.75" customHeight="1" spans="4:10">
      <c r="D647" s="11"/>
      <c r="E647" s="11"/>
      <c r="J647" s="2"/>
    </row>
    <row r="648" ht="15.75" customHeight="1" spans="4:10">
      <c r="D648" s="11"/>
      <c r="E648" s="11"/>
      <c r="J648" s="2"/>
    </row>
    <row r="649" ht="15.75" customHeight="1" spans="4:10">
      <c r="D649" s="11"/>
      <c r="E649" s="11"/>
      <c r="J649" s="2"/>
    </row>
    <row r="650" ht="15.75" customHeight="1" spans="4:10">
      <c r="D650" s="11"/>
      <c r="E650" s="11"/>
      <c r="J650" s="2"/>
    </row>
    <row r="651" ht="15.75" customHeight="1" spans="4:10">
      <c r="D651" s="11"/>
      <c r="E651" s="11"/>
      <c r="J651" s="2"/>
    </row>
    <row r="652" ht="15.75" customHeight="1" spans="4:10">
      <c r="D652" s="11"/>
      <c r="E652" s="11"/>
      <c r="J652" s="2"/>
    </row>
    <row r="653" ht="15.75" customHeight="1" spans="4:10">
      <c r="D653" s="11"/>
      <c r="E653" s="11"/>
      <c r="J653" s="2"/>
    </row>
    <row r="654" ht="15.75" customHeight="1" spans="4:10">
      <c r="D654" s="11"/>
      <c r="E654" s="11"/>
      <c r="J654" s="2"/>
    </row>
    <row r="655" ht="15.75" customHeight="1" spans="4:10">
      <c r="D655" s="11"/>
      <c r="E655" s="11"/>
      <c r="J655" s="2"/>
    </row>
    <row r="656" ht="15.75" customHeight="1" spans="4:10">
      <c r="D656" s="11"/>
      <c r="E656" s="11"/>
      <c r="J656" s="2"/>
    </row>
    <row r="657" ht="15.75" customHeight="1" spans="4:10">
      <c r="D657" s="11"/>
      <c r="E657" s="11"/>
      <c r="J657" s="2"/>
    </row>
    <row r="658" ht="15.75" customHeight="1" spans="4:10">
      <c r="D658" s="11"/>
      <c r="E658" s="11"/>
      <c r="J658" s="2"/>
    </row>
    <row r="659" ht="15.75" customHeight="1" spans="4:10">
      <c r="D659" s="11"/>
      <c r="E659" s="11"/>
      <c r="J659" s="2"/>
    </row>
    <row r="660" ht="15.75" customHeight="1" spans="4:10">
      <c r="D660" s="11"/>
      <c r="E660" s="11"/>
      <c r="J660" s="2"/>
    </row>
    <row r="661" ht="15.75" customHeight="1" spans="4:10">
      <c r="D661" s="11"/>
      <c r="E661" s="11"/>
      <c r="J661" s="2"/>
    </row>
    <row r="662" ht="15.75" customHeight="1" spans="4:10">
      <c r="D662" s="11"/>
      <c r="E662" s="11"/>
      <c r="J662" s="2"/>
    </row>
    <row r="663" ht="15.75" customHeight="1" spans="4:10">
      <c r="D663" s="11"/>
      <c r="E663" s="11"/>
      <c r="J663" s="2"/>
    </row>
    <row r="664" ht="15.75" customHeight="1" spans="4:10">
      <c r="D664" s="11"/>
      <c r="E664" s="11"/>
      <c r="J664" s="2"/>
    </row>
    <row r="665" ht="15.75" customHeight="1" spans="4:10">
      <c r="D665" s="11"/>
      <c r="E665" s="11"/>
      <c r="J665" s="2"/>
    </row>
    <row r="666" ht="15.75" customHeight="1" spans="4:10">
      <c r="D666" s="11"/>
      <c r="E666" s="11"/>
      <c r="J666" s="2"/>
    </row>
    <row r="667" ht="15.75" customHeight="1" spans="4:10">
      <c r="D667" s="11"/>
      <c r="E667" s="11"/>
      <c r="J667" s="2"/>
    </row>
    <row r="668" ht="15.75" customHeight="1" spans="4:10">
      <c r="D668" s="11"/>
      <c r="E668" s="11"/>
      <c r="J668" s="2"/>
    </row>
    <row r="669" ht="15.75" customHeight="1" spans="4:10">
      <c r="D669" s="11"/>
      <c r="E669" s="11"/>
      <c r="J669" s="2"/>
    </row>
    <row r="670" ht="15.75" customHeight="1" spans="4:10">
      <c r="D670" s="11"/>
      <c r="E670" s="11"/>
      <c r="J670" s="2"/>
    </row>
    <row r="671" ht="15.75" customHeight="1" spans="4:10">
      <c r="D671" s="11"/>
      <c r="E671" s="11"/>
      <c r="J671" s="2"/>
    </row>
    <row r="672" ht="15.75" customHeight="1" spans="4:10">
      <c r="D672" s="11"/>
      <c r="E672" s="11"/>
      <c r="J672" s="2"/>
    </row>
    <row r="673" ht="15.75" customHeight="1" spans="4:10">
      <c r="D673" s="11"/>
      <c r="E673" s="11"/>
      <c r="J673" s="2"/>
    </row>
    <row r="674" ht="15.75" customHeight="1" spans="4:10">
      <c r="D674" s="11"/>
      <c r="E674" s="11"/>
      <c r="J674" s="2"/>
    </row>
    <row r="675" ht="15.75" customHeight="1" spans="4:10">
      <c r="D675" s="11"/>
      <c r="E675" s="11"/>
      <c r="J675" s="2"/>
    </row>
    <row r="676" ht="15.75" customHeight="1" spans="4:10">
      <c r="D676" s="11"/>
      <c r="E676" s="11"/>
      <c r="J676" s="2"/>
    </row>
    <row r="677" ht="15.75" customHeight="1" spans="4:10">
      <c r="D677" s="11"/>
      <c r="E677" s="11"/>
      <c r="J677" s="2"/>
    </row>
    <row r="678" ht="15.75" customHeight="1" spans="4:10">
      <c r="D678" s="11"/>
      <c r="E678" s="11"/>
      <c r="J678" s="2"/>
    </row>
    <row r="679" ht="15.75" customHeight="1" spans="4:10">
      <c r="D679" s="11"/>
      <c r="E679" s="11"/>
      <c r="J679" s="2"/>
    </row>
    <row r="680" ht="15.75" customHeight="1" spans="4:10">
      <c r="D680" s="11"/>
      <c r="E680" s="11"/>
      <c r="J680" s="2"/>
    </row>
    <row r="681" ht="15.75" customHeight="1" spans="4:10">
      <c r="D681" s="11"/>
      <c r="E681" s="11"/>
      <c r="J681" s="2"/>
    </row>
    <row r="682" ht="15.75" customHeight="1" spans="4:10">
      <c r="D682" s="11"/>
      <c r="E682" s="11"/>
      <c r="J682" s="2"/>
    </row>
    <row r="683" ht="15.75" customHeight="1" spans="4:10">
      <c r="D683" s="11"/>
      <c r="E683" s="11"/>
      <c r="J683" s="2"/>
    </row>
    <row r="684" ht="15.75" customHeight="1" spans="4:10">
      <c r="D684" s="11"/>
      <c r="E684" s="11"/>
      <c r="J684" s="2"/>
    </row>
    <row r="685" ht="15.75" customHeight="1" spans="4:10">
      <c r="D685" s="11"/>
      <c r="E685" s="11"/>
      <c r="J685" s="2"/>
    </row>
    <row r="686" ht="15.75" customHeight="1" spans="4:10">
      <c r="D686" s="11"/>
      <c r="E686" s="11"/>
      <c r="J686" s="2"/>
    </row>
    <row r="687" ht="15.75" customHeight="1" spans="4:10">
      <c r="D687" s="11"/>
      <c r="E687" s="11"/>
      <c r="J687" s="2"/>
    </row>
    <row r="688" ht="15.75" customHeight="1" spans="4:10">
      <c r="D688" s="11"/>
      <c r="E688" s="11"/>
      <c r="J688" s="2"/>
    </row>
    <row r="689" ht="15.75" customHeight="1" spans="4:10">
      <c r="D689" s="11"/>
      <c r="E689" s="11"/>
      <c r="J689" s="2"/>
    </row>
    <row r="690" ht="15.75" customHeight="1" spans="4:10">
      <c r="D690" s="11"/>
      <c r="E690" s="11"/>
      <c r="J690" s="2"/>
    </row>
    <row r="691" ht="15.75" customHeight="1" spans="4:10">
      <c r="D691" s="11"/>
      <c r="E691" s="11"/>
      <c r="J691" s="2"/>
    </row>
    <row r="692" ht="15.75" customHeight="1" spans="4:10">
      <c r="D692" s="11"/>
      <c r="E692" s="11"/>
      <c r="J692" s="2"/>
    </row>
    <row r="693" ht="15.75" customHeight="1" spans="4:10">
      <c r="D693" s="11"/>
      <c r="E693" s="11"/>
      <c r="J693" s="2"/>
    </row>
    <row r="694" ht="15.75" customHeight="1" spans="4:10">
      <c r="D694" s="11"/>
      <c r="E694" s="11"/>
      <c r="J694" s="2"/>
    </row>
    <row r="695" ht="15.75" customHeight="1" spans="4:10">
      <c r="D695" s="11"/>
      <c r="E695" s="11"/>
      <c r="J695" s="2"/>
    </row>
    <row r="696" ht="15.75" customHeight="1" spans="4:10">
      <c r="D696" s="11"/>
      <c r="E696" s="11"/>
      <c r="J696" s="2"/>
    </row>
    <row r="697" ht="15.75" customHeight="1" spans="4:10">
      <c r="D697" s="11"/>
      <c r="E697" s="11"/>
      <c r="J697" s="2"/>
    </row>
    <row r="698" ht="15.75" customHeight="1" spans="4:10">
      <c r="D698" s="11"/>
      <c r="E698" s="11"/>
      <c r="J698" s="2"/>
    </row>
    <row r="699" ht="15.75" customHeight="1" spans="4:10">
      <c r="D699" s="11"/>
      <c r="E699" s="11"/>
      <c r="J699" s="2"/>
    </row>
    <row r="700" ht="15.75" customHeight="1" spans="4:10">
      <c r="D700" s="11"/>
      <c r="E700" s="11"/>
      <c r="J700" s="2"/>
    </row>
    <row r="701" ht="15.75" customHeight="1" spans="4:10">
      <c r="D701" s="11"/>
      <c r="E701" s="11"/>
      <c r="J701" s="2"/>
    </row>
    <row r="702" ht="15.75" customHeight="1" spans="4:10">
      <c r="D702" s="11"/>
      <c r="E702" s="11"/>
      <c r="J702" s="2"/>
    </row>
    <row r="703" ht="15.75" customHeight="1" spans="4:10">
      <c r="D703" s="11"/>
      <c r="E703" s="11"/>
      <c r="J703" s="2"/>
    </row>
    <row r="704" ht="15.75" customHeight="1" spans="4:10">
      <c r="D704" s="11"/>
      <c r="E704" s="11"/>
      <c r="J704" s="2"/>
    </row>
    <row r="705" ht="15.75" customHeight="1" spans="4:10">
      <c r="D705" s="11"/>
      <c r="E705" s="11"/>
      <c r="J705" s="2"/>
    </row>
    <row r="706" ht="15.75" customHeight="1" spans="4:10">
      <c r="D706" s="11"/>
      <c r="E706" s="11"/>
      <c r="J706" s="2"/>
    </row>
    <row r="707" ht="15.75" customHeight="1" spans="4:10">
      <c r="D707" s="11"/>
      <c r="E707" s="11"/>
      <c r="J707" s="2"/>
    </row>
    <row r="708" ht="15.75" customHeight="1" spans="4:10">
      <c r="D708" s="11"/>
      <c r="E708" s="11"/>
      <c r="J708" s="2"/>
    </row>
    <row r="709" ht="15.75" customHeight="1" spans="4:10">
      <c r="D709" s="11"/>
      <c r="E709" s="11"/>
      <c r="J709" s="2"/>
    </row>
    <row r="710" ht="15.75" customHeight="1" spans="4:10">
      <c r="D710" s="11"/>
      <c r="E710" s="11"/>
      <c r="J710" s="2"/>
    </row>
    <row r="711" ht="15.75" customHeight="1" spans="4:10">
      <c r="D711" s="11"/>
      <c r="E711" s="11"/>
      <c r="J711" s="2"/>
    </row>
    <row r="712" ht="15.75" customHeight="1" spans="4:10">
      <c r="D712" s="11"/>
      <c r="E712" s="11"/>
      <c r="J712" s="2"/>
    </row>
    <row r="713" ht="15.75" customHeight="1" spans="4:10">
      <c r="D713" s="11"/>
      <c r="E713" s="11"/>
      <c r="J713" s="2"/>
    </row>
    <row r="714" ht="15.75" customHeight="1" spans="4:10">
      <c r="D714" s="11"/>
      <c r="E714" s="11"/>
      <c r="J714" s="2"/>
    </row>
    <row r="715" ht="15.75" customHeight="1" spans="4:10">
      <c r="D715" s="11"/>
      <c r="E715" s="11"/>
      <c r="J715" s="2"/>
    </row>
    <row r="716" ht="15.75" customHeight="1" spans="4:10">
      <c r="D716" s="11"/>
      <c r="E716" s="11"/>
      <c r="J716" s="2"/>
    </row>
    <row r="717" ht="15.75" customHeight="1" spans="4:10">
      <c r="D717" s="11"/>
      <c r="E717" s="11"/>
      <c r="J717" s="2"/>
    </row>
    <row r="718" ht="15.75" customHeight="1" spans="4:10">
      <c r="D718" s="11"/>
      <c r="E718" s="11"/>
      <c r="J718" s="2"/>
    </row>
    <row r="719" ht="15.75" customHeight="1" spans="4:10">
      <c r="D719" s="11"/>
      <c r="E719" s="11"/>
      <c r="J719" s="2"/>
    </row>
    <row r="720" ht="15.75" customHeight="1" spans="4:10">
      <c r="D720" s="11"/>
      <c r="E720" s="11"/>
      <c r="J720" s="2"/>
    </row>
    <row r="721" ht="15.75" customHeight="1" spans="4:10">
      <c r="D721" s="11"/>
      <c r="E721" s="11"/>
      <c r="J721" s="2"/>
    </row>
    <row r="722" ht="15.75" customHeight="1" spans="4:10">
      <c r="D722" s="11"/>
      <c r="E722" s="11"/>
      <c r="J722" s="2"/>
    </row>
    <row r="723" ht="15.75" customHeight="1" spans="4:10">
      <c r="D723" s="11"/>
      <c r="E723" s="11"/>
      <c r="J723" s="2"/>
    </row>
    <row r="724" ht="15.75" customHeight="1" spans="4:10">
      <c r="D724" s="11"/>
      <c r="E724" s="11"/>
      <c r="J724" s="2"/>
    </row>
    <row r="725" ht="15.75" customHeight="1" spans="4:10">
      <c r="D725" s="11"/>
      <c r="E725" s="11"/>
      <c r="J725" s="2"/>
    </row>
    <row r="726" ht="15.75" customHeight="1" spans="4:10">
      <c r="D726" s="11"/>
      <c r="E726" s="11"/>
      <c r="J726" s="2"/>
    </row>
    <row r="727" ht="15.75" customHeight="1" spans="4:10">
      <c r="D727" s="11"/>
      <c r="E727" s="11"/>
      <c r="J727" s="2"/>
    </row>
    <row r="728" ht="15.75" customHeight="1" spans="4:10">
      <c r="D728" s="11"/>
      <c r="E728" s="11"/>
      <c r="J728" s="2"/>
    </row>
    <row r="729" ht="15.75" customHeight="1" spans="4:10">
      <c r="D729" s="11"/>
      <c r="E729" s="11"/>
      <c r="J729" s="2"/>
    </row>
    <row r="730" ht="15.75" customHeight="1" spans="4:10">
      <c r="D730" s="11"/>
      <c r="E730" s="11"/>
      <c r="J730" s="2"/>
    </row>
    <row r="731" ht="15.75" customHeight="1" spans="4:10">
      <c r="D731" s="11"/>
      <c r="E731" s="11"/>
      <c r="J731" s="2"/>
    </row>
    <row r="732" ht="15.75" customHeight="1" spans="4:10">
      <c r="D732" s="11"/>
      <c r="E732" s="11"/>
      <c r="J732" s="2"/>
    </row>
    <row r="733" ht="15.75" customHeight="1" spans="4:10">
      <c r="D733" s="11"/>
      <c r="E733" s="11"/>
      <c r="J733" s="2"/>
    </row>
    <row r="734" ht="15.75" customHeight="1" spans="4:10">
      <c r="D734" s="11"/>
      <c r="E734" s="11"/>
      <c r="J734" s="2"/>
    </row>
    <row r="735" ht="15.75" customHeight="1" spans="4:10">
      <c r="D735" s="11"/>
      <c r="E735" s="11"/>
      <c r="J735" s="2"/>
    </row>
    <row r="736" ht="15.75" customHeight="1" spans="4:10">
      <c r="D736" s="11"/>
      <c r="E736" s="11"/>
      <c r="J736" s="2"/>
    </row>
    <row r="737" ht="15.75" customHeight="1" spans="4:10">
      <c r="D737" s="11"/>
      <c r="E737" s="11"/>
      <c r="J737" s="2"/>
    </row>
    <row r="738" ht="15.75" customHeight="1" spans="4:10">
      <c r="D738" s="11"/>
      <c r="E738" s="11"/>
      <c r="J738" s="2"/>
    </row>
    <row r="739" ht="15.75" customHeight="1" spans="4:10">
      <c r="D739" s="11"/>
      <c r="E739" s="11"/>
      <c r="J739" s="2"/>
    </row>
    <row r="740" ht="15.75" customHeight="1" spans="4:10">
      <c r="D740" s="11"/>
      <c r="E740" s="11"/>
      <c r="J740" s="2"/>
    </row>
    <row r="741" ht="15.75" customHeight="1" spans="4:10">
      <c r="D741" s="11"/>
      <c r="E741" s="11"/>
      <c r="J741" s="2"/>
    </row>
    <row r="742" ht="15.75" customHeight="1" spans="4:10">
      <c r="D742" s="11"/>
      <c r="E742" s="11"/>
      <c r="J742" s="2"/>
    </row>
    <row r="743" ht="15.75" customHeight="1" spans="4:10">
      <c r="D743" s="11"/>
      <c r="E743" s="11"/>
      <c r="J743" s="2"/>
    </row>
    <row r="744" ht="15.75" customHeight="1" spans="4:10">
      <c r="D744" s="11"/>
      <c r="E744" s="11"/>
      <c r="J744" s="2"/>
    </row>
    <row r="745" ht="15.75" customHeight="1" spans="4:10">
      <c r="D745" s="11"/>
      <c r="E745" s="11"/>
      <c r="J745" s="2"/>
    </row>
    <row r="746" ht="15.75" customHeight="1" spans="4:10">
      <c r="D746" s="11"/>
      <c r="E746" s="11"/>
      <c r="J746" s="2"/>
    </row>
    <row r="747" ht="15.75" customHeight="1" spans="4:10">
      <c r="D747" s="11"/>
      <c r="E747" s="11"/>
      <c r="J747" s="2"/>
    </row>
    <row r="748" ht="15.75" customHeight="1" spans="4:10">
      <c r="D748" s="11"/>
      <c r="E748" s="11"/>
      <c r="J748" s="2"/>
    </row>
    <row r="749" ht="15.75" customHeight="1" spans="4:10">
      <c r="D749" s="11"/>
      <c r="E749" s="11"/>
      <c r="J749" s="2"/>
    </row>
    <row r="750" ht="15.75" customHeight="1" spans="4:10">
      <c r="D750" s="11"/>
      <c r="E750" s="11"/>
      <c r="J750" s="2"/>
    </row>
    <row r="751" ht="15.75" customHeight="1" spans="4:10">
      <c r="D751" s="11"/>
      <c r="E751" s="11"/>
      <c r="J751" s="2"/>
    </row>
    <row r="752" ht="15.75" customHeight="1" spans="4:10">
      <c r="D752" s="11"/>
      <c r="E752" s="11"/>
      <c r="J752" s="2"/>
    </row>
    <row r="753" ht="15.75" customHeight="1" spans="4:10">
      <c r="D753" s="11"/>
      <c r="E753" s="11"/>
      <c r="J753" s="2"/>
    </row>
    <row r="754" ht="15.75" customHeight="1" spans="4:10">
      <c r="D754" s="11"/>
      <c r="E754" s="11"/>
      <c r="J754" s="2"/>
    </row>
    <row r="755" ht="15.75" customHeight="1" spans="4:10">
      <c r="D755" s="11"/>
      <c r="E755" s="11"/>
      <c r="J755" s="2"/>
    </row>
    <row r="756" ht="15.75" customHeight="1" spans="4:10">
      <c r="D756" s="11"/>
      <c r="E756" s="11"/>
      <c r="J756" s="2"/>
    </row>
    <row r="757" ht="15.75" customHeight="1" spans="4:10">
      <c r="D757" s="11"/>
      <c r="E757" s="11"/>
      <c r="J757" s="2"/>
    </row>
    <row r="758" ht="15.75" customHeight="1" spans="4:10">
      <c r="D758" s="11"/>
      <c r="E758" s="11"/>
      <c r="J758" s="2"/>
    </row>
    <row r="759" ht="15.75" customHeight="1" spans="4:10">
      <c r="D759" s="11"/>
      <c r="E759" s="11"/>
      <c r="J759" s="2"/>
    </row>
    <row r="760" ht="15.75" customHeight="1" spans="4:10">
      <c r="D760" s="11"/>
      <c r="E760" s="11"/>
      <c r="J760" s="2"/>
    </row>
    <row r="761" ht="15.75" customHeight="1" spans="4:10">
      <c r="D761" s="11"/>
      <c r="E761" s="11"/>
      <c r="J761" s="2"/>
    </row>
    <row r="762" ht="15.75" customHeight="1" spans="4:10">
      <c r="D762" s="11"/>
      <c r="E762" s="11"/>
      <c r="J762" s="2"/>
    </row>
    <row r="763" ht="15.75" customHeight="1" spans="4:10">
      <c r="D763" s="11"/>
      <c r="E763" s="11"/>
      <c r="J763" s="2"/>
    </row>
    <row r="764" ht="15.75" customHeight="1" spans="4:10">
      <c r="D764" s="11"/>
      <c r="E764" s="11"/>
      <c r="J764" s="2"/>
    </row>
    <row r="765" ht="15.75" customHeight="1" spans="4:10">
      <c r="D765" s="11"/>
      <c r="E765" s="11"/>
      <c r="J765" s="2"/>
    </row>
    <row r="766" ht="15.75" customHeight="1" spans="4:10">
      <c r="D766" s="11"/>
      <c r="E766" s="11"/>
      <c r="J766" s="2"/>
    </row>
    <row r="767" ht="15.75" customHeight="1" spans="4:10">
      <c r="D767" s="11"/>
      <c r="E767" s="11"/>
      <c r="J767" s="2"/>
    </row>
    <row r="768" ht="15.75" customHeight="1" spans="4:10">
      <c r="D768" s="11"/>
      <c r="E768" s="11"/>
      <c r="J768" s="2"/>
    </row>
    <row r="769" ht="15.75" customHeight="1" spans="4:10">
      <c r="D769" s="11"/>
      <c r="E769" s="11"/>
      <c r="J769" s="2"/>
    </row>
    <row r="770" ht="15.75" customHeight="1" spans="4:10">
      <c r="D770" s="11"/>
      <c r="E770" s="11"/>
      <c r="J770" s="2"/>
    </row>
    <row r="771" ht="15.75" customHeight="1" spans="4:10">
      <c r="D771" s="11"/>
      <c r="E771" s="11"/>
      <c r="J771" s="2"/>
    </row>
    <row r="772" ht="15.75" customHeight="1" spans="4:10">
      <c r="D772" s="11"/>
      <c r="E772" s="11"/>
      <c r="J772" s="2"/>
    </row>
    <row r="773" ht="15.75" customHeight="1" spans="4:10">
      <c r="D773" s="11"/>
      <c r="E773" s="11"/>
      <c r="J773" s="2"/>
    </row>
    <row r="774" ht="15.75" customHeight="1" spans="4:10">
      <c r="D774" s="11"/>
      <c r="E774" s="11"/>
      <c r="J774" s="2"/>
    </row>
    <row r="775" ht="15.75" customHeight="1" spans="4:10">
      <c r="D775" s="11"/>
      <c r="E775" s="11"/>
      <c r="J775" s="2"/>
    </row>
    <row r="776" ht="15.75" customHeight="1" spans="4:10">
      <c r="D776" s="11"/>
      <c r="E776" s="11"/>
      <c r="J776" s="2"/>
    </row>
    <row r="777" ht="15.75" customHeight="1" spans="4:10">
      <c r="D777" s="11"/>
      <c r="E777" s="11"/>
      <c r="J777" s="2"/>
    </row>
    <row r="778" ht="15.75" customHeight="1" spans="4:10">
      <c r="D778" s="11"/>
      <c r="E778" s="11"/>
      <c r="J778" s="2"/>
    </row>
    <row r="779" ht="15.75" customHeight="1" spans="4:10">
      <c r="D779" s="11"/>
      <c r="E779" s="11"/>
      <c r="J779" s="2"/>
    </row>
    <row r="780" ht="15.75" customHeight="1" spans="4:10">
      <c r="D780" s="11"/>
      <c r="E780" s="11"/>
      <c r="J780" s="2"/>
    </row>
    <row r="781" ht="15.75" customHeight="1" spans="4:10">
      <c r="D781" s="11"/>
      <c r="E781" s="11"/>
      <c r="J781" s="2"/>
    </row>
    <row r="782" ht="15.75" customHeight="1" spans="4:10">
      <c r="D782" s="11"/>
      <c r="E782" s="11"/>
      <c r="J782" s="2"/>
    </row>
    <row r="783" ht="15.75" customHeight="1" spans="4:10">
      <c r="D783" s="11"/>
      <c r="E783" s="11"/>
      <c r="J783" s="2"/>
    </row>
    <row r="784" ht="15.75" customHeight="1" spans="4:10">
      <c r="D784" s="11"/>
      <c r="E784" s="11"/>
      <c r="J784" s="2"/>
    </row>
    <row r="785" ht="15.75" customHeight="1" spans="4:10">
      <c r="D785" s="11"/>
      <c r="E785" s="11"/>
      <c r="J785" s="2"/>
    </row>
    <row r="786" ht="15.75" customHeight="1" spans="4:10">
      <c r="D786" s="11"/>
      <c r="E786" s="11"/>
      <c r="J786" s="2"/>
    </row>
    <row r="787" ht="15.75" customHeight="1" spans="4:10">
      <c r="D787" s="11"/>
      <c r="E787" s="11"/>
      <c r="J787" s="2"/>
    </row>
    <row r="788" ht="15.75" customHeight="1" spans="4:10">
      <c r="D788" s="11"/>
      <c r="E788" s="11"/>
      <c r="J788" s="2"/>
    </row>
    <row r="789" ht="15.75" customHeight="1" spans="4:10">
      <c r="D789" s="11"/>
      <c r="E789" s="11"/>
      <c r="J789" s="2"/>
    </row>
    <row r="790" ht="15.75" customHeight="1" spans="4:10">
      <c r="D790" s="11"/>
      <c r="E790" s="11"/>
      <c r="J790" s="2"/>
    </row>
    <row r="791" ht="15.75" customHeight="1" spans="4:10">
      <c r="D791" s="11"/>
      <c r="E791" s="11"/>
      <c r="J791" s="2"/>
    </row>
    <row r="792" ht="15.75" customHeight="1" spans="4:10">
      <c r="D792" s="11"/>
      <c r="E792" s="11"/>
      <c r="J792" s="2"/>
    </row>
    <row r="793" ht="15.75" customHeight="1" spans="4:10">
      <c r="D793" s="11"/>
      <c r="E793" s="11"/>
      <c r="J793" s="2"/>
    </row>
    <row r="794" ht="15.75" customHeight="1" spans="4:10">
      <c r="D794" s="11"/>
      <c r="E794" s="11"/>
      <c r="J794" s="2"/>
    </row>
    <row r="795" ht="15.75" customHeight="1" spans="4:10">
      <c r="D795" s="11"/>
      <c r="E795" s="11"/>
      <c r="J795" s="2"/>
    </row>
    <row r="796" ht="15.75" customHeight="1" spans="4:10">
      <c r="D796" s="11"/>
      <c r="E796" s="11"/>
      <c r="J796" s="2"/>
    </row>
    <row r="797" ht="15.75" customHeight="1" spans="4:10">
      <c r="D797" s="11"/>
      <c r="E797" s="11"/>
      <c r="J797" s="2"/>
    </row>
    <row r="798" ht="15.75" customHeight="1" spans="4:10">
      <c r="D798" s="11"/>
      <c r="E798" s="11"/>
      <c r="J798" s="2"/>
    </row>
    <row r="799" ht="15.75" customHeight="1" spans="4:10">
      <c r="D799" s="11"/>
      <c r="E799" s="11"/>
      <c r="J799" s="2"/>
    </row>
    <row r="800" ht="15.75" customHeight="1" spans="4:10">
      <c r="D800" s="11"/>
      <c r="E800" s="11"/>
      <c r="J800" s="2"/>
    </row>
    <row r="801" ht="15.75" customHeight="1" spans="4:10">
      <c r="D801" s="11"/>
      <c r="E801" s="11"/>
      <c r="J801" s="2"/>
    </row>
    <row r="802" ht="15.75" customHeight="1" spans="4:10">
      <c r="D802" s="11"/>
      <c r="E802" s="11"/>
      <c r="J802" s="2"/>
    </row>
    <row r="803" ht="15.75" customHeight="1" spans="4:10">
      <c r="D803" s="11"/>
      <c r="E803" s="11"/>
      <c r="J803" s="2"/>
    </row>
    <row r="804" ht="15.75" customHeight="1" spans="4:10">
      <c r="D804" s="11"/>
      <c r="E804" s="11"/>
      <c r="J804" s="2"/>
    </row>
    <row r="805" ht="15.75" customHeight="1" spans="4:10">
      <c r="D805" s="11"/>
      <c r="E805" s="11"/>
      <c r="J805" s="2"/>
    </row>
    <row r="806" ht="15.75" customHeight="1" spans="4:10">
      <c r="D806" s="11"/>
      <c r="E806" s="11"/>
      <c r="J806" s="2"/>
    </row>
    <row r="807" ht="15.75" customHeight="1" spans="4:10">
      <c r="D807" s="11"/>
      <c r="E807" s="11"/>
      <c r="J807" s="2"/>
    </row>
    <row r="808" ht="15.75" customHeight="1" spans="4:10">
      <c r="D808" s="11"/>
      <c r="E808" s="11"/>
      <c r="J808" s="2"/>
    </row>
    <row r="809" ht="15.75" customHeight="1" spans="4:10">
      <c r="D809" s="11"/>
      <c r="E809" s="11"/>
      <c r="J809" s="2"/>
    </row>
    <row r="810" ht="15.75" customHeight="1" spans="4:10">
      <c r="D810" s="11"/>
      <c r="E810" s="11"/>
      <c r="J810" s="2"/>
    </row>
    <row r="811" ht="15.75" customHeight="1" spans="4:10">
      <c r="D811" s="11"/>
      <c r="E811" s="11"/>
      <c r="J811" s="2"/>
    </row>
    <row r="812" ht="15.75" customHeight="1" spans="4:10">
      <c r="D812" s="11"/>
      <c r="E812" s="11"/>
      <c r="J812" s="2"/>
    </row>
    <row r="813" ht="15.75" customHeight="1" spans="4:10">
      <c r="D813" s="11"/>
      <c r="E813" s="11"/>
      <c r="J813" s="2"/>
    </row>
    <row r="814" ht="15.75" customHeight="1" spans="4:10">
      <c r="D814" s="11"/>
      <c r="E814" s="11"/>
      <c r="J814" s="2"/>
    </row>
    <row r="815" ht="15.75" customHeight="1" spans="4:10">
      <c r="D815" s="11"/>
      <c r="E815" s="11"/>
      <c r="J815" s="2"/>
    </row>
    <row r="816" ht="15.75" customHeight="1" spans="4:10">
      <c r="D816" s="11"/>
      <c r="E816" s="11"/>
      <c r="J816" s="2"/>
    </row>
    <row r="817" ht="15.75" customHeight="1" spans="4:10">
      <c r="D817" s="11"/>
      <c r="E817" s="11"/>
      <c r="J817" s="2"/>
    </row>
    <row r="818" ht="15.75" customHeight="1" spans="4:10">
      <c r="D818" s="11"/>
      <c r="E818" s="11"/>
      <c r="J818" s="2"/>
    </row>
    <row r="819" ht="15.75" customHeight="1" spans="4:10">
      <c r="D819" s="11"/>
      <c r="E819" s="11"/>
      <c r="J819" s="2"/>
    </row>
    <row r="820" ht="15.75" customHeight="1" spans="4:10">
      <c r="D820" s="11"/>
      <c r="E820" s="11"/>
      <c r="J820" s="2"/>
    </row>
    <row r="821" ht="15.75" customHeight="1" spans="4:10">
      <c r="D821" s="11"/>
      <c r="E821" s="11"/>
      <c r="J821" s="2"/>
    </row>
    <row r="822" ht="15.75" customHeight="1" spans="4:10">
      <c r="D822" s="11"/>
      <c r="E822" s="11"/>
      <c r="J822" s="2"/>
    </row>
    <row r="823" ht="15.75" customHeight="1" spans="4:10">
      <c r="D823" s="11"/>
      <c r="E823" s="11"/>
      <c r="J823" s="2"/>
    </row>
    <row r="824" ht="15.75" customHeight="1" spans="4:10">
      <c r="D824" s="11"/>
      <c r="E824" s="11"/>
      <c r="J824" s="2"/>
    </row>
    <row r="825" ht="15.75" customHeight="1" spans="4:10">
      <c r="D825" s="11"/>
      <c r="E825" s="11"/>
      <c r="J825" s="2"/>
    </row>
    <row r="826" ht="15.75" customHeight="1" spans="4:10">
      <c r="D826" s="11"/>
      <c r="E826" s="11"/>
      <c r="J826" s="2"/>
    </row>
    <row r="827" ht="15.75" customHeight="1" spans="4:10">
      <c r="D827" s="11"/>
      <c r="E827" s="11"/>
      <c r="J827" s="2"/>
    </row>
    <row r="828" ht="15.75" customHeight="1" spans="4:10">
      <c r="D828" s="11"/>
      <c r="E828" s="11"/>
      <c r="J828" s="2"/>
    </row>
    <row r="829" ht="15.75" customHeight="1" spans="4:10">
      <c r="D829" s="11"/>
      <c r="E829" s="11"/>
      <c r="J829" s="2"/>
    </row>
    <row r="830" ht="15.75" customHeight="1" spans="4:10">
      <c r="D830" s="11"/>
      <c r="E830" s="11"/>
      <c r="J830" s="2"/>
    </row>
    <row r="831" ht="15.75" customHeight="1" spans="4:10">
      <c r="D831" s="11"/>
      <c r="E831" s="11"/>
      <c r="J831" s="2"/>
    </row>
    <row r="832" ht="15.75" customHeight="1" spans="4:10">
      <c r="D832" s="11"/>
      <c r="E832" s="11"/>
      <c r="J832" s="2"/>
    </row>
    <row r="833" ht="15.75" customHeight="1" spans="4:10">
      <c r="D833" s="11"/>
      <c r="E833" s="11"/>
      <c r="J833" s="2"/>
    </row>
    <row r="834" ht="15.75" customHeight="1" spans="4:10">
      <c r="D834" s="11"/>
      <c r="E834" s="11"/>
      <c r="J834" s="2"/>
    </row>
    <row r="835" ht="15.75" customHeight="1" spans="4:10">
      <c r="D835" s="11"/>
      <c r="E835" s="11"/>
      <c r="J835" s="2"/>
    </row>
    <row r="836" ht="15.75" customHeight="1" spans="4:10">
      <c r="D836" s="11"/>
      <c r="E836" s="11"/>
      <c r="J836" s="2"/>
    </row>
    <row r="837" ht="15.75" customHeight="1" spans="4:10">
      <c r="D837" s="11"/>
      <c r="E837" s="11"/>
      <c r="J837" s="2"/>
    </row>
    <row r="838" ht="15.75" customHeight="1" spans="4:10">
      <c r="D838" s="11"/>
      <c r="E838" s="11"/>
      <c r="J838" s="2"/>
    </row>
    <row r="839" ht="15.75" customHeight="1" spans="4:10">
      <c r="D839" s="11"/>
      <c r="E839" s="11"/>
      <c r="J839" s="2"/>
    </row>
    <row r="840" ht="15.75" customHeight="1" spans="4:10">
      <c r="D840" s="11"/>
      <c r="E840" s="11"/>
      <c r="J840" s="2"/>
    </row>
    <row r="841" ht="15.75" customHeight="1" spans="4:10">
      <c r="D841" s="11"/>
      <c r="E841" s="11"/>
      <c r="J841" s="2"/>
    </row>
    <row r="842" ht="15.75" customHeight="1" spans="4:10">
      <c r="D842" s="11"/>
      <c r="E842" s="11"/>
      <c r="J842" s="2"/>
    </row>
    <row r="843" ht="15.75" customHeight="1" spans="4:10">
      <c r="D843" s="11"/>
      <c r="E843" s="11"/>
      <c r="J843" s="2"/>
    </row>
    <row r="844" ht="15.75" customHeight="1" spans="4:10">
      <c r="D844" s="11"/>
      <c r="E844" s="11"/>
      <c r="J844" s="2"/>
    </row>
    <row r="845" ht="15.75" customHeight="1" spans="4:10">
      <c r="D845" s="11"/>
      <c r="E845" s="11"/>
      <c r="J845" s="2"/>
    </row>
    <row r="846" ht="15.75" customHeight="1" spans="4:10">
      <c r="D846" s="11"/>
      <c r="E846" s="11"/>
      <c r="J846" s="2"/>
    </row>
    <row r="847" ht="15.75" customHeight="1" spans="4:10">
      <c r="D847" s="11"/>
      <c r="E847" s="11"/>
      <c r="J847" s="2"/>
    </row>
    <row r="848" ht="15.75" customHeight="1" spans="4:10">
      <c r="D848" s="11"/>
      <c r="E848" s="11"/>
      <c r="J848" s="2"/>
    </row>
    <row r="849" ht="15.75" customHeight="1" spans="4:10">
      <c r="D849" s="11"/>
      <c r="E849" s="11"/>
      <c r="J849" s="2"/>
    </row>
    <row r="850" ht="15.75" customHeight="1" spans="4:10">
      <c r="D850" s="11"/>
      <c r="E850" s="11"/>
      <c r="J850" s="2"/>
    </row>
    <row r="851" ht="15.75" customHeight="1" spans="4:10">
      <c r="D851" s="11"/>
      <c r="E851" s="11"/>
      <c r="J851" s="2"/>
    </row>
    <row r="852" ht="15.75" customHeight="1" spans="4:10">
      <c r="D852" s="11"/>
      <c r="E852" s="11"/>
      <c r="J852" s="2"/>
    </row>
    <row r="853" ht="15.75" customHeight="1" spans="4:10">
      <c r="D853" s="11"/>
      <c r="E853" s="11"/>
      <c r="J853" s="2"/>
    </row>
    <row r="854" ht="15.75" customHeight="1" spans="4:10">
      <c r="D854" s="11"/>
      <c r="E854" s="11"/>
      <c r="J854" s="2"/>
    </row>
    <row r="855" ht="15.75" customHeight="1" spans="4:10">
      <c r="D855" s="11"/>
      <c r="E855" s="11"/>
      <c r="J855" s="2"/>
    </row>
    <row r="856" ht="15.75" customHeight="1" spans="4:10">
      <c r="D856" s="11"/>
      <c r="E856" s="11"/>
      <c r="J856" s="2"/>
    </row>
    <row r="857" ht="15.75" customHeight="1" spans="4:10">
      <c r="D857" s="11"/>
      <c r="E857" s="11"/>
      <c r="J857" s="2"/>
    </row>
    <row r="858" ht="15.75" customHeight="1" spans="4:10">
      <c r="D858" s="11"/>
      <c r="E858" s="11"/>
      <c r="J858" s="2"/>
    </row>
    <row r="859" ht="15.75" customHeight="1" spans="4:10">
      <c r="D859" s="11"/>
      <c r="E859" s="11"/>
      <c r="J859" s="2"/>
    </row>
    <row r="860" ht="15.75" customHeight="1" spans="4:10">
      <c r="D860" s="11"/>
      <c r="E860" s="11"/>
      <c r="J860" s="2"/>
    </row>
    <row r="861" ht="15.75" customHeight="1" spans="4:10">
      <c r="D861" s="11"/>
      <c r="E861" s="11"/>
      <c r="J861" s="2"/>
    </row>
    <row r="862" ht="15.75" customHeight="1" spans="4:10">
      <c r="D862" s="11"/>
      <c r="E862" s="11"/>
      <c r="J862" s="2"/>
    </row>
    <row r="863" ht="15.75" customHeight="1" spans="4:10">
      <c r="D863" s="11"/>
      <c r="E863" s="11"/>
      <c r="J863" s="2"/>
    </row>
    <row r="864" ht="15.75" customHeight="1" spans="4:10">
      <c r="D864" s="11"/>
      <c r="E864" s="11"/>
      <c r="J864" s="2"/>
    </row>
    <row r="865" ht="15.75" customHeight="1" spans="4:10">
      <c r="D865" s="11"/>
      <c r="E865" s="11"/>
      <c r="J865" s="2"/>
    </row>
    <row r="866" ht="15.75" customHeight="1" spans="4:10">
      <c r="D866" s="11"/>
      <c r="E866" s="11"/>
      <c r="J866" s="2"/>
    </row>
    <row r="867" ht="15.75" customHeight="1" spans="4:10">
      <c r="D867" s="11"/>
      <c r="E867" s="11"/>
      <c r="J867" s="2"/>
    </row>
    <row r="868" ht="15.75" customHeight="1" spans="4:10">
      <c r="D868" s="11"/>
      <c r="E868" s="11"/>
      <c r="J868" s="2"/>
    </row>
    <row r="869" ht="15.75" customHeight="1" spans="4:10">
      <c r="D869" s="11"/>
      <c r="E869" s="11"/>
      <c r="J869" s="2"/>
    </row>
    <row r="870" ht="15.75" customHeight="1" spans="4:10">
      <c r="D870" s="11"/>
      <c r="E870" s="11"/>
      <c r="J870" s="2"/>
    </row>
    <row r="871" ht="15.75" customHeight="1" spans="4:10">
      <c r="D871" s="11"/>
      <c r="E871" s="11"/>
      <c r="J871" s="2"/>
    </row>
    <row r="872" ht="15.75" customHeight="1" spans="4:10">
      <c r="D872" s="11"/>
      <c r="E872" s="11"/>
      <c r="J872" s="2"/>
    </row>
    <row r="873" ht="15.75" customHeight="1" spans="4:10">
      <c r="D873" s="11"/>
      <c r="E873" s="11"/>
      <c r="J873" s="2"/>
    </row>
    <row r="874" ht="15.75" customHeight="1" spans="4:10">
      <c r="D874" s="11"/>
      <c r="E874" s="11"/>
      <c r="J874" s="2"/>
    </row>
    <row r="875" ht="15.75" customHeight="1" spans="4:10">
      <c r="D875" s="11"/>
      <c r="E875" s="11"/>
      <c r="J875" s="2"/>
    </row>
    <row r="876" ht="15.75" customHeight="1" spans="4:10">
      <c r="D876" s="11"/>
      <c r="E876" s="11"/>
      <c r="J876" s="2"/>
    </row>
    <row r="877" ht="15.75" customHeight="1" spans="4:10">
      <c r="D877" s="11"/>
      <c r="E877" s="11"/>
      <c r="J877" s="2"/>
    </row>
    <row r="878" ht="15.75" customHeight="1" spans="4:10">
      <c r="D878" s="11"/>
      <c r="E878" s="11"/>
      <c r="J878" s="2"/>
    </row>
    <row r="879" ht="15.75" customHeight="1" spans="4:10">
      <c r="D879" s="11"/>
      <c r="E879" s="11"/>
      <c r="J879" s="2"/>
    </row>
    <row r="880" ht="15.75" customHeight="1" spans="4:10">
      <c r="D880" s="11"/>
      <c r="E880" s="11"/>
      <c r="J880" s="2"/>
    </row>
    <row r="881" ht="15.75" customHeight="1" spans="4:10">
      <c r="D881" s="11"/>
      <c r="E881" s="11"/>
      <c r="J881" s="2"/>
    </row>
    <row r="882" ht="15.75" customHeight="1" spans="4:10">
      <c r="D882" s="11"/>
      <c r="E882" s="11"/>
      <c r="J882" s="2"/>
    </row>
    <row r="883" ht="15.75" customHeight="1" spans="4:10">
      <c r="D883" s="11"/>
      <c r="E883" s="11"/>
      <c r="J883" s="2"/>
    </row>
    <row r="884" ht="15.75" customHeight="1" spans="4:10">
      <c r="D884" s="11"/>
      <c r="E884" s="11"/>
      <c r="J884" s="2"/>
    </row>
    <row r="885" ht="15.75" customHeight="1" spans="4:10">
      <c r="D885" s="11"/>
      <c r="E885" s="11"/>
      <c r="J885" s="2"/>
    </row>
    <row r="886" ht="15.75" customHeight="1" spans="4:10">
      <c r="D886" s="11"/>
      <c r="E886" s="11"/>
      <c r="J886" s="2"/>
    </row>
    <row r="887" ht="15.75" customHeight="1" spans="4:10">
      <c r="D887" s="11"/>
      <c r="E887" s="11"/>
      <c r="J887" s="2"/>
    </row>
    <row r="888" ht="15.75" customHeight="1" spans="4:10">
      <c r="D888" s="11"/>
      <c r="E888" s="11"/>
      <c r="J888" s="2"/>
    </row>
    <row r="889" ht="15.75" customHeight="1" spans="4:10">
      <c r="D889" s="11"/>
      <c r="E889" s="11"/>
      <c r="J889" s="2"/>
    </row>
    <row r="890" ht="15.75" customHeight="1" spans="4:10">
      <c r="D890" s="11"/>
      <c r="E890" s="11"/>
      <c r="J890" s="2"/>
    </row>
    <row r="891" ht="15.75" customHeight="1" spans="4:10">
      <c r="D891" s="11"/>
      <c r="E891" s="11"/>
      <c r="J891" s="2"/>
    </row>
    <row r="892" ht="15.75" customHeight="1" spans="4:10">
      <c r="D892" s="11"/>
      <c r="E892" s="11"/>
      <c r="J892" s="2"/>
    </row>
    <row r="893" ht="15.75" customHeight="1" spans="4:10">
      <c r="D893" s="11"/>
      <c r="E893" s="11"/>
      <c r="J893" s="2"/>
    </row>
    <row r="894" ht="15.75" customHeight="1" spans="4:10">
      <c r="D894" s="11"/>
      <c r="E894" s="11"/>
      <c r="J894" s="2"/>
    </row>
    <row r="895" ht="15.75" customHeight="1" spans="4:10">
      <c r="D895" s="11"/>
      <c r="E895" s="11"/>
      <c r="J895" s="2"/>
    </row>
    <row r="896" ht="15.75" customHeight="1" spans="4:10">
      <c r="D896" s="11"/>
      <c r="E896" s="11"/>
      <c r="J896" s="2"/>
    </row>
    <row r="897" ht="15.75" customHeight="1" spans="4:10">
      <c r="D897" s="11"/>
      <c r="E897" s="11"/>
      <c r="J897" s="2"/>
    </row>
    <row r="898" ht="15.75" customHeight="1" spans="4:10">
      <c r="D898" s="11"/>
      <c r="E898" s="11"/>
      <c r="J898" s="2"/>
    </row>
    <row r="899" ht="15.75" customHeight="1" spans="4:10">
      <c r="D899" s="11"/>
      <c r="E899" s="11"/>
      <c r="J899" s="2"/>
    </row>
    <row r="900" ht="15.75" customHeight="1" spans="4:10">
      <c r="D900" s="11"/>
      <c r="E900" s="11"/>
      <c r="J900" s="2"/>
    </row>
    <row r="901" ht="15.75" customHeight="1" spans="4:10">
      <c r="D901" s="11"/>
      <c r="E901" s="11"/>
      <c r="J901" s="2"/>
    </row>
    <row r="902" ht="15.75" customHeight="1" spans="4:10">
      <c r="D902" s="11"/>
      <c r="E902" s="11"/>
      <c r="J902" s="2"/>
    </row>
    <row r="903" ht="15.75" customHeight="1" spans="4:10">
      <c r="D903" s="11"/>
      <c r="E903" s="11"/>
      <c r="J903" s="2"/>
    </row>
    <row r="904" ht="15.75" customHeight="1" spans="4:10">
      <c r="D904" s="11"/>
      <c r="E904" s="11"/>
      <c r="J904" s="2"/>
    </row>
    <row r="905" ht="15.75" customHeight="1" spans="4:10">
      <c r="D905" s="11"/>
      <c r="E905" s="11"/>
      <c r="J905" s="2"/>
    </row>
    <row r="906" ht="15.75" customHeight="1" spans="4:10">
      <c r="D906" s="11"/>
      <c r="E906" s="11"/>
      <c r="J906" s="2"/>
    </row>
    <row r="907" ht="15.75" customHeight="1" spans="4:10">
      <c r="D907" s="11"/>
      <c r="E907" s="11"/>
      <c r="J907" s="2"/>
    </row>
    <row r="908" ht="15.75" customHeight="1" spans="4:10">
      <c r="D908" s="11"/>
      <c r="E908" s="11"/>
      <c r="J908" s="2"/>
    </row>
    <row r="909" ht="15.75" customHeight="1" spans="4:10">
      <c r="D909" s="11"/>
      <c r="E909" s="11"/>
      <c r="J909" s="2"/>
    </row>
    <row r="910" ht="15.75" customHeight="1" spans="4:10">
      <c r="D910" s="11"/>
      <c r="E910" s="11"/>
      <c r="J910" s="2"/>
    </row>
    <row r="911" ht="15.75" customHeight="1" spans="4:10">
      <c r="D911" s="11"/>
      <c r="E911" s="11"/>
      <c r="J911" s="2"/>
    </row>
    <row r="912" ht="15.75" customHeight="1" spans="4:10">
      <c r="D912" s="11"/>
      <c r="E912" s="11"/>
      <c r="J912" s="2"/>
    </row>
    <row r="913" ht="15.75" customHeight="1" spans="4:10">
      <c r="D913" s="11"/>
      <c r="E913" s="11"/>
      <c r="J913" s="2"/>
    </row>
    <row r="914" ht="15.75" customHeight="1" spans="4:10">
      <c r="D914" s="11"/>
      <c r="E914" s="11"/>
      <c r="J914" s="2"/>
    </row>
    <row r="915" ht="15.75" customHeight="1" spans="4:10">
      <c r="D915" s="11"/>
      <c r="E915" s="11"/>
      <c r="J915" s="2"/>
    </row>
    <row r="916" ht="15.75" customHeight="1" spans="4:10">
      <c r="D916" s="11"/>
      <c r="E916" s="11"/>
      <c r="J916" s="2"/>
    </row>
    <row r="917" ht="15.75" customHeight="1" spans="4:10">
      <c r="D917" s="11"/>
      <c r="E917" s="11"/>
      <c r="J917" s="2"/>
    </row>
    <row r="918" ht="15.75" customHeight="1" spans="4:10">
      <c r="D918" s="11"/>
      <c r="E918" s="11"/>
      <c r="J918" s="2"/>
    </row>
    <row r="919" ht="15.75" customHeight="1" spans="4:10">
      <c r="D919" s="11"/>
      <c r="E919" s="11"/>
      <c r="J919" s="2"/>
    </row>
    <row r="920" ht="15.75" customHeight="1" spans="4:10">
      <c r="D920" s="11"/>
      <c r="E920" s="11"/>
      <c r="J920" s="2"/>
    </row>
    <row r="921" ht="15.75" customHeight="1" spans="4:10">
      <c r="D921" s="11"/>
      <c r="E921" s="11"/>
      <c r="J921" s="2"/>
    </row>
    <row r="922" ht="15.75" customHeight="1" spans="4:10">
      <c r="D922" s="11"/>
      <c r="E922" s="11"/>
      <c r="J922" s="2"/>
    </row>
    <row r="923" ht="15.75" customHeight="1" spans="4:10">
      <c r="D923" s="11"/>
      <c r="E923" s="11"/>
      <c r="J923" s="2"/>
    </row>
    <row r="924" ht="15.75" customHeight="1" spans="4:10">
      <c r="D924" s="11"/>
      <c r="E924" s="11"/>
      <c r="J924" s="2"/>
    </row>
    <row r="925" ht="15.75" customHeight="1" spans="4:10">
      <c r="D925" s="11"/>
      <c r="E925" s="11"/>
      <c r="J925" s="2"/>
    </row>
    <row r="926" ht="15.75" customHeight="1" spans="4:10">
      <c r="D926" s="11"/>
      <c r="E926" s="11"/>
      <c r="J926" s="2"/>
    </row>
    <row r="927" ht="15.75" customHeight="1" spans="4:10">
      <c r="D927" s="11"/>
      <c r="E927" s="11"/>
      <c r="J927" s="2"/>
    </row>
    <row r="928" ht="15.75" customHeight="1" spans="4:10">
      <c r="D928" s="11"/>
      <c r="E928" s="11"/>
      <c r="J928" s="2"/>
    </row>
    <row r="929" ht="15.75" customHeight="1" spans="4:10">
      <c r="D929" s="11"/>
      <c r="E929" s="11"/>
      <c r="J929" s="2"/>
    </row>
    <row r="930" ht="15.75" customHeight="1" spans="4:10">
      <c r="D930" s="11"/>
      <c r="E930" s="11"/>
      <c r="J930" s="2"/>
    </row>
    <row r="931" ht="15.75" customHeight="1" spans="4:10">
      <c r="D931" s="11"/>
      <c r="E931" s="11"/>
      <c r="J931" s="2"/>
    </row>
    <row r="932" ht="15.75" customHeight="1" spans="4:10">
      <c r="D932" s="11"/>
      <c r="E932" s="11"/>
      <c r="J932" s="2"/>
    </row>
    <row r="933" ht="15.75" customHeight="1" spans="4:10">
      <c r="D933" s="11"/>
      <c r="E933" s="11"/>
      <c r="J933" s="2"/>
    </row>
    <row r="934" ht="15.75" customHeight="1" spans="4:10">
      <c r="D934" s="11"/>
      <c r="E934" s="11"/>
      <c r="J934" s="2"/>
    </row>
    <row r="935" ht="15.75" customHeight="1" spans="4:10">
      <c r="D935" s="11"/>
      <c r="E935" s="11"/>
      <c r="J935" s="2"/>
    </row>
    <row r="936" ht="15.75" customHeight="1" spans="4:10">
      <c r="D936" s="11"/>
      <c r="E936" s="11"/>
      <c r="J936" s="2"/>
    </row>
    <row r="937" ht="15.75" customHeight="1" spans="4:10">
      <c r="D937" s="11"/>
      <c r="E937" s="11"/>
      <c r="J937" s="2"/>
    </row>
    <row r="938" ht="15.75" customHeight="1" spans="4:10">
      <c r="D938" s="11"/>
      <c r="E938" s="11"/>
      <c r="J938" s="2"/>
    </row>
    <row r="939" ht="15.75" customHeight="1" spans="4:10">
      <c r="D939" s="11"/>
      <c r="E939" s="11"/>
      <c r="J939" s="2"/>
    </row>
    <row r="940" ht="15.75" customHeight="1" spans="4:10">
      <c r="D940" s="11"/>
      <c r="E940" s="11"/>
      <c r="J940" s="2"/>
    </row>
    <row r="941" ht="15.75" customHeight="1" spans="4:10">
      <c r="D941" s="11"/>
      <c r="E941" s="11"/>
      <c r="J941" s="2"/>
    </row>
    <row r="942" ht="15.75" customHeight="1" spans="4:10">
      <c r="D942" s="11"/>
      <c r="E942" s="11"/>
      <c r="J942" s="2"/>
    </row>
    <row r="943" ht="15.75" customHeight="1" spans="4:10">
      <c r="D943" s="11"/>
      <c r="E943" s="11"/>
      <c r="J943" s="2"/>
    </row>
    <row r="944" ht="15.75" customHeight="1" spans="4:10">
      <c r="D944" s="11"/>
      <c r="E944" s="11"/>
      <c r="J944" s="2"/>
    </row>
    <row r="945" ht="15.75" customHeight="1" spans="4:10">
      <c r="D945" s="11"/>
      <c r="E945" s="11"/>
      <c r="J945" s="2"/>
    </row>
    <row r="946" ht="15.75" customHeight="1" spans="4:10">
      <c r="D946" s="11"/>
      <c r="E946" s="11"/>
      <c r="J946" s="2"/>
    </row>
    <row r="947" ht="15.75" customHeight="1" spans="4:10">
      <c r="D947" s="11"/>
      <c r="E947" s="11"/>
      <c r="J947" s="2"/>
    </row>
    <row r="948" ht="15.75" customHeight="1" spans="4:10">
      <c r="D948" s="11"/>
      <c r="E948" s="11"/>
      <c r="J948" s="2"/>
    </row>
    <row r="949" ht="15.75" customHeight="1" spans="4:10">
      <c r="D949" s="11"/>
      <c r="E949" s="11"/>
      <c r="J949" s="2"/>
    </row>
    <row r="950" ht="15.75" customHeight="1" spans="4:10">
      <c r="D950" s="11"/>
      <c r="E950" s="11"/>
      <c r="J950" s="2"/>
    </row>
    <row r="951" ht="15.75" customHeight="1" spans="4:10">
      <c r="D951" s="11"/>
      <c r="E951" s="11"/>
      <c r="J951" s="2"/>
    </row>
    <row r="952" ht="15.75" customHeight="1" spans="4:10">
      <c r="D952" s="11"/>
      <c r="E952" s="11"/>
      <c r="J952" s="2"/>
    </row>
    <row r="953" ht="15.75" customHeight="1" spans="4:10">
      <c r="D953" s="11"/>
      <c r="E953" s="11"/>
      <c r="J953" s="2"/>
    </row>
    <row r="954" ht="15.75" customHeight="1" spans="4:10">
      <c r="D954" s="11"/>
      <c r="E954" s="11"/>
      <c r="J954" s="2"/>
    </row>
    <row r="955" ht="15.75" customHeight="1" spans="4:10">
      <c r="D955" s="11"/>
      <c r="E955" s="11"/>
      <c r="J955" s="2"/>
    </row>
    <row r="956" ht="15.75" customHeight="1" spans="4:10">
      <c r="D956" s="11"/>
      <c r="E956" s="11"/>
      <c r="J956" s="2"/>
    </row>
    <row r="957" ht="15.75" customHeight="1" spans="4:10">
      <c r="D957" s="11"/>
      <c r="E957" s="11"/>
      <c r="J957" s="2"/>
    </row>
    <row r="958" ht="15.75" customHeight="1" spans="4:10">
      <c r="D958" s="11"/>
      <c r="E958" s="11"/>
      <c r="J958" s="2"/>
    </row>
    <row r="959" ht="15.75" customHeight="1" spans="4:10">
      <c r="D959" s="11"/>
      <c r="E959" s="11"/>
      <c r="J959" s="2"/>
    </row>
    <row r="960" ht="15.75" customHeight="1" spans="4:10">
      <c r="D960" s="11"/>
      <c r="E960" s="11"/>
      <c r="J960" s="2"/>
    </row>
    <row r="961" ht="15.75" customHeight="1" spans="4:10">
      <c r="D961" s="11"/>
      <c r="E961" s="11"/>
      <c r="J961" s="2"/>
    </row>
    <row r="962" ht="15.75" customHeight="1" spans="4:10">
      <c r="D962" s="11"/>
      <c r="E962" s="11"/>
      <c r="J962" s="2"/>
    </row>
    <row r="963" ht="15.75" customHeight="1" spans="4:10">
      <c r="D963" s="11"/>
      <c r="E963" s="11"/>
      <c r="J963" s="2"/>
    </row>
    <row r="964" ht="15.75" customHeight="1" spans="4:10">
      <c r="D964" s="11"/>
      <c r="E964" s="11"/>
      <c r="J964" s="2"/>
    </row>
    <row r="965" ht="15.75" customHeight="1" spans="4:10">
      <c r="D965" s="11"/>
      <c r="E965" s="11"/>
      <c r="J965" s="2"/>
    </row>
    <row r="966" ht="15.75" customHeight="1" spans="4:10">
      <c r="D966" s="11"/>
      <c r="E966" s="11"/>
      <c r="J966" s="2"/>
    </row>
    <row r="967" ht="15.75" customHeight="1" spans="4:10">
      <c r="D967" s="11"/>
      <c r="E967" s="11"/>
      <c r="J967" s="2"/>
    </row>
    <row r="968" ht="15.75" customHeight="1" spans="4:10">
      <c r="D968" s="11"/>
      <c r="E968" s="11"/>
      <c r="J968" s="2"/>
    </row>
    <row r="969" ht="15.75" customHeight="1" spans="4:10">
      <c r="D969" s="11"/>
      <c r="E969" s="11"/>
      <c r="J969" s="2"/>
    </row>
    <row r="970" ht="15.75" customHeight="1" spans="4:10">
      <c r="D970" s="11"/>
      <c r="E970" s="11"/>
      <c r="J970" s="2"/>
    </row>
    <row r="971" ht="15.75" customHeight="1" spans="4:10">
      <c r="D971" s="11"/>
      <c r="E971" s="11"/>
      <c r="J971" s="2"/>
    </row>
    <row r="972" ht="15.75" customHeight="1" spans="4:10">
      <c r="D972" s="11"/>
      <c r="E972" s="11"/>
      <c r="J972" s="2"/>
    </row>
    <row r="973" ht="15.75" customHeight="1" spans="4:10">
      <c r="D973" s="11"/>
      <c r="E973" s="11"/>
      <c r="J973" s="2"/>
    </row>
    <row r="974" ht="15.75" customHeight="1" spans="4:10">
      <c r="D974" s="11"/>
      <c r="E974" s="11"/>
      <c r="J974" s="2"/>
    </row>
    <row r="975" ht="15.75" customHeight="1" spans="4:10">
      <c r="D975" s="11"/>
      <c r="E975" s="11"/>
      <c r="J975" s="2"/>
    </row>
    <row r="976" ht="15.75" customHeight="1" spans="4:10">
      <c r="D976" s="11"/>
      <c r="E976" s="11"/>
      <c r="J976" s="2"/>
    </row>
    <row r="977" ht="15.75" customHeight="1" spans="4:10">
      <c r="D977" s="11"/>
      <c r="E977" s="11"/>
      <c r="J977" s="2"/>
    </row>
    <row r="978" ht="15.75" customHeight="1" spans="4:10">
      <c r="D978" s="11"/>
      <c r="E978" s="11"/>
      <c r="J978" s="2"/>
    </row>
    <row r="979" ht="15.75" customHeight="1" spans="4:10">
      <c r="D979" s="11"/>
      <c r="E979" s="11"/>
      <c r="J979" s="2"/>
    </row>
    <row r="980" ht="15.75" customHeight="1" spans="4:10">
      <c r="D980" s="11"/>
      <c r="E980" s="11"/>
      <c r="J980" s="2"/>
    </row>
    <row r="981" ht="15.75" customHeight="1" spans="4:10">
      <c r="D981" s="11"/>
      <c r="E981" s="11"/>
      <c r="J981" s="2"/>
    </row>
    <row r="982" ht="15.75" customHeight="1" spans="4:10">
      <c r="D982" s="11"/>
      <c r="E982" s="11"/>
      <c r="J982" s="2"/>
    </row>
    <row r="983" ht="15.75" customHeight="1" spans="4:10">
      <c r="D983" s="11"/>
      <c r="E983" s="11"/>
      <c r="J983" s="2"/>
    </row>
    <row r="984" ht="15.75" customHeight="1" spans="4:10">
      <c r="D984" s="11"/>
      <c r="E984" s="11"/>
      <c r="J984" s="2"/>
    </row>
    <row r="985" ht="15.75" customHeight="1" spans="4:10">
      <c r="D985" s="11"/>
      <c r="E985" s="11"/>
      <c r="J985" s="2"/>
    </row>
  </sheetData>
  <mergeCells count="34">
    <mergeCell ref="A1:V1"/>
    <mergeCell ref="A2:V2"/>
    <mergeCell ref="A3:V3"/>
    <mergeCell ref="H8:V8"/>
    <mergeCell ref="B110:I110"/>
    <mergeCell ref="C112:E112"/>
    <mergeCell ref="C113:E113"/>
    <mergeCell ref="H113:I113"/>
    <mergeCell ref="J113:T113"/>
    <mergeCell ref="C114:E114"/>
    <mergeCell ref="J114:T114"/>
    <mergeCell ref="C115:E115"/>
    <mergeCell ref="J115:T115"/>
    <mergeCell ref="J116:T116"/>
    <mergeCell ref="C119:E119"/>
    <mergeCell ref="I119:N119"/>
    <mergeCell ref="Q119:T119"/>
    <mergeCell ref="A122:B122"/>
    <mergeCell ref="C122:F122"/>
    <mergeCell ref="I122:N122"/>
    <mergeCell ref="Q122:T122"/>
    <mergeCell ref="A123:B123"/>
    <mergeCell ref="C123:F123"/>
    <mergeCell ref="I123:N123"/>
    <mergeCell ref="Q123:T123"/>
    <mergeCell ref="H126:T126"/>
    <mergeCell ref="H129:T129"/>
    <mergeCell ref="H130:T130"/>
    <mergeCell ref="A8:A9"/>
    <mergeCell ref="B8:B9"/>
    <mergeCell ref="D8:D9"/>
    <mergeCell ref="E8:E9"/>
    <mergeCell ref="F8:F9"/>
    <mergeCell ref="G8:G9"/>
  </mergeCells>
  <pageMargins left="0.236220472440945" right="0.236220472440945" top="0.748031496062992" bottom="0.748031496062992" header="0.31496062992126" footer="0.31496062992126"/>
  <pageSetup paperSize="14" scale="85" orientation="landscape"/>
  <headerFooter/>
  <rowBreaks count="2" manualBreakCount="2">
    <brk id="17" max="0" man="1"/>
    <brk id="62" max="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41"/>
  <sheetViews>
    <sheetView topLeftCell="A43" workbookViewId="0">
      <selection activeCell="B65" sqref="B65:D68"/>
    </sheetView>
  </sheetViews>
  <sheetFormatPr defaultColWidth="12.625" defaultRowHeight="15" customHeight="1"/>
  <cols>
    <col min="1" max="1" width="8.625" customWidth="1"/>
    <col min="2" max="2" width="68.375" customWidth="1"/>
    <col min="3" max="3" width="11.625" customWidth="1"/>
    <col min="4" max="4" width="11.75" customWidth="1"/>
    <col min="5" max="5" width="11.625" customWidth="1"/>
    <col min="6" max="6" width="23.25" customWidth="1"/>
    <col min="7" max="7" width="10.375" customWidth="1"/>
    <col min="8" max="12" width="7.625" customWidth="1"/>
    <col min="13" max="13" width="11.375" customWidth="1"/>
    <col min="14" max="15" width="7.625" customWidth="1"/>
    <col min="16" max="16" width="10.25" customWidth="1"/>
    <col min="17" max="17" width="9.25" customWidth="1"/>
    <col min="18" max="18" width="7.625" customWidth="1"/>
    <col min="19" max="19" width="9.5" customWidth="1"/>
    <col min="20" max="21" width="9.875" customWidth="1"/>
    <col min="22" max="22" width="22.625" customWidth="1"/>
  </cols>
  <sheetData>
    <row r="1" ht="15.75" spans="1:1">
      <c r="A1" s="1" t="s">
        <v>0</v>
      </c>
    </row>
    <row r="2" ht="14.25" spans="1:1">
      <c r="A2" s="2" t="s">
        <v>133</v>
      </c>
    </row>
    <row r="3" spans="1:1">
      <c r="A3" s="3"/>
    </row>
    <row r="4" ht="15.75" spans="1:22">
      <c r="A4" s="4" t="s">
        <v>2</v>
      </c>
      <c r="B4" s="5"/>
      <c r="C4" s="5"/>
      <c r="D4" s="6"/>
      <c r="E4" s="7"/>
      <c r="F4" s="5"/>
      <c r="G4" s="5"/>
      <c r="H4" s="5"/>
      <c r="I4" s="5"/>
      <c r="J4" s="5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9"/>
    </row>
    <row r="5" spans="1:22">
      <c r="A5" s="8"/>
      <c r="B5" s="5"/>
      <c r="C5" s="9"/>
      <c r="D5" s="10"/>
      <c r="E5" s="11"/>
      <c r="F5" s="12"/>
      <c r="G5" s="12"/>
      <c r="H5" s="9"/>
      <c r="I5" s="9"/>
      <c r="J5" s="2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ht="15.75" spans="1:22">
      <c r="A6" s="4" t="s">
        <v>3</v>
      </c>
      <c r="B6" s="5"/>
      <c r="C6" s="9"/>
      <c r="D6" s="10"/>
      <c r="E6" s="11"/>
      <c r="F6" s="12"/>
      <c r="G6" s="12"/>
      <c r="H6" s="9"/>
      <c r="I6" s="9"/>
      <c r="J6" s="2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ht="15.75" spans="1:22">
      <c r="A7" s="8"/>
      <c r="B7" s="5"/>
      <c r="C7" s="9"/>
      <c r="D7" s="10"/>
      <c r="E7" s="11"/>
      <c r="F7" s="12"/>
      <c r="G7" s="12"/>
      <c r="H7" s="9"/>
      <c r="I7" s="9"/>
      <c r="J7" s="2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ht="22.5" customHeight="1" spans="1:22">
      <c r="A8" s="13" t="s">
        <v>4</v>
      </c>
      <c r="B8" s="14" t="s">
        <v>5</v>
      </c>
      <c r="C8" s="15" t="s">
        <v>6</v>
      </c>
      <c r="D8" s="16" t="s">
        <v>7</v>
      </c>
      <c r="E8" s="16" t="s">
        <v>8</v>
      </c>
      <c r="F8" s="17" t="s">
        <v>9</v>
      </c>
      <c r="G8" s="14" t="s">
        <v>10</v>
      </c>
      <c r="H8" s="18" t="s">
        <v>11</v>
      </c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8"/>
    </row>
    <row r="9" ht="39" spans="1:22">
      <c r="A9" s="19"/>
      <c r="B9" s="20"/>
      <c r="C9" s="21" t="s">
        <v>12</v>
      </c>
      <c r="D9" s="20"/>
      <c r="E9" s="20"/>
      <c r="F9" s="20"/>
      <c r="G9" s="20"/>
      <c r="H9" s="22" t="s">
        <v>134</v>
      </c>
      <c r="I9" s="22" t="s">
        <v>135</v>
      </c>
      <c r="J9" s="22" t="s">
        <v>136</v>
      </c>
      <c r="K9" s="22" t="s">
        <v>16</v>
      </c>
      <c r="L9" s="22" t="s">
        <v>17</v>
      </c>
      <c r="M9" s="22" t="s">
        <v>18</v>
      </c>
      <c r="N9" s="22" t="s">
        <v>19</v>
      </c>
      <c r="O9" s="22" t="s">
        <v>20</v>
      </c>
      <c r="P9" s="22" t="s">
        <v>21</v>
      </c>
      <c r="Q9" s="22" t="s">
        <v>22</v>
      </c>
      <c r="R9" s="22" t="s">
        <v>23</v>
      </c>
      <c r="S9" s="22" t="s">
        <v>24</v>
      </c>
      <c r="T9" s="22" t="s">
        <v>25</v>
      </c>
      <c r="U9" s="59" t="str">
        <f>$V$9</f>
        <v>REMARKS</v>
      </c>
      <c r="V9" s="60" t="s">
        <v>26</v>
      </c>
    </row>
    <row r="10" ht="14.25" spans="1:22">
      <c r="A10" s="23"/>
      <c r="B10" s="24" t="s">
        <v>137</v>
      </c>
      <c r="C10" s="25"/>
      <c r="D10" s="26"/>
      <c r="E10" s="27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61"/>
    </row>
    <row r="11" spans="1:22">
      <c r="A11" s="29"/>
      <c r="B11" s="30" t="s">
        <v>138</v>
      </c>
      <c r="C11" s="31">
        <v>30</v>
      </c>
      <c r="D11" s="32">
        <v>75</v>
      </c>
      <c r="E11" s="33">
        <f t="shared" ref="E11:E42" si="0">D11*C11</f>
        <v>2250</v>
      </c>
      <c r="F11" s="34" t="s">
        <v>29</v>
      </c>
      <c r="G11" s="34"/>
      <c r="H11" s="31"/>
      <c r="I11" s="31">
        <v>30</v>
      </c>
      <c r="J11" s="31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</row>
    <row r="12" spans="1:22">
      <c r="A12" s="29"/>
      <c r="B12" s="30" t="s">
        <v>139</v>
      </c>
      <c r="C12" s="31">
        <v>30</v>
      </c>
      <c r="D12" s="32">
        <v>50</v>
      </c>
      <c r="E12" s="33">
        <f t="shared" si="0"/>
        <v>1500</v>
      </c>
      <c r="F12" s="34" t="s">
        <v>29</v>
      </c>
      <c r="G12" s="34"/>
      <c r="H12" s="31"/>
      <c r="I12" s="31">
        <v>30</v>
      </c>
      <c r="J12" s="31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</row>
    <row r="13" spans="1:22">
      <c r="A13" s="29"/>
      <c r="B13" s="30" t="s">
        <v>140</v>
      </c>
      <c r="C13" s="31">
        <v>15</v>
      </c>
      <c r="D13" s="32">
        <v>200</v>
      </c>
      <c r="E13" s="33">
        <f t="shared" si="0"/>
        <v>3000</v>
      </c>
      <c r="F13" s="34" t="s">
        <v>29</v>
      </c>
      <c r="G13" s="34"/>
      <c r="H13" s="31"/>
      <c r="I13" s="31">
        <v>15</v>
      </c>
      <c r="J13" s="31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</row>
    <row r="14" spans="1:22">
      <c r="A14" s="29"/>
      <c r="B14" s="30" t="s">
        <v>141</v>
      </c>
      <c r="C14" s="31">
        <v>15</v>
      </c>
      <c r="D14" s="32">
        <v>200</v>
      </c>
      <c r="E14" s="33">
        <f t="shared" si="0"/>
        <v>3000</v>
      </c>
      <c r="F14" s="34" t="s">
        <v>29</v>
      </c>
      <c r="G14" s="34"/>
      <c r="H14" s="31"/>
      <c r="I14" s="31">
        <v>15</v>
      </c>
      <c r="J14" s="31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</row>
    <row r="15" spans="1:22">
      <c r="A15" s="29"/>
      <c r="B15" s="30" t="s">
        <v>142</v>
      </c>
      <c r="C15" s="31">
        <v>15</v>
      </c>
      <c r="D15" s="32">
        <v>250</v>
      </c>
      <c r="E15" s="33">
        <f t="shared" si="0"/>
        <v>3750</v>
      </c>
      <c r="F15" s="34" t="s">
        <v>29</v>
      </c>
      <c r="G15" s="34"/>
      <c r="H15" s="31"/>
      <c r="I15" s="31">
        <v>15</v>
      </c>
      <c r="J15" s="31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</row>
    <row r="16" spans="1:22">
      <c r="A16" s="29"/>
      <c r="B16" s="30" t="s">
        <v>143</v>
      </c>
      <c r="C16" s="31">
        <v>15</v>
      </c>
      <c r="D16" s="32">
        <v>150</v>
      </c>
      <c r="E16" s="33">
        <f t="shared" si="0"/>
        <v>2250</v>
      </c>
      <c r="F16" s="34" t="s">
        <v>29</v>
      </c>
      <c r="G16" s="34"/>
      <c r="H16" s="31"/>
      <c r="I16" s="31">
        <v>15</v>
      </c>
      <c r="J16" s="31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</row>
    <row r="17" spans="1:22">
      <c r="A17" s="29"/>
      <c r="B17" s="30" t="s">
        <v>144</v>
      </c>
      <c r="C17" s="31">
        <v>10</v>
      </c>
      <c r="D17" s="32">
        <v>30</v>
      </c>
      <c r="E17" s="33">
        <f t="shared" si="0"/>
        <v>300</v>
      </c>
      <c r="F17" s="34" t="s">
        <v>29</v>
      </c>
      <c r="G17" s="34"/>
      <c r="H17" s="31"/>
      <c r="I17" s="31">
        <v>10</v>
      </c>
      <c r="J17" s="31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</row>
    <row r="18" spans="1:22">
      <c r="A18" s="29"/>
      <c r="B18" s="30" t="s">
        <v>145</v>
      </c>
      <c r="C18" s="31">
        <v>10</v>
      </c>
      <c r="D18" s="32">
        <v>50</v>
      </c>
      <c r="E18" s="33">
        <f t="shared" si="0"/>
        <v>500</v>
      </c>
      <c r="F18" s="34" t="s">
        <v>29</v>
      </c>
      <c r="G18" s="34"/>
      <c r="H18" s="31"/>
      <c r="I18" s="31">
        <v>10</v>
      </c>
      <c r="J18" s="31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</row>
    <row r="19" spans="1:22">
      <c r="A19" s="29"/>
      <c r="B19" s="30" t="s">
        <v>146</v>
      </c>
      <c r="C19" s="31">
        <v>10</v>
      </c>
      <c r="D19" s="32">
        <v>150</v>
      </c>
      <c r="E19" s="33">
        <f t="shared" si="0"/>
        <v>1500</v>
      </c>
      <c r="F19" s="34" t="s">
        <v>29</v>
      </c>
      <c r="G19" s="34"/>
      <c r="H19" s="31"/>
      <c r="I19" s="31">
        <v>10</v>
      </c>
      <c r="J19" s="31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</row>
    <row r="20" spans="1:22">
      <c r="A20" s="29"/>
      <c r="B20" s="30" t="s">
        <v>147</v>
      </c>
      <c r="C20" s="31">
        <v>10</v>
      </c>
      <c r="D20" s="32">
        <v>200</v>
      </c>
      <c r="E20" s="33">
        <f t="shared" si="0"/>
        <v>2000</v>
      </c>
      <c r="F20" s="34" t="s">
        <v>29</v>
      </c>
      <c r="G20" s="34"/>
      <c r="H20" s="31"/>
      <c r="I20" s="31">
        <v>10</v>
      </c>
      <c r="J20" s="31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</row>
    <row r="21" ht="15.75" customHeight="1" spans="1:22">
      <c r="A21" s="29"/>
      <c r="B21" s="30" t="s">
        <v>148</v>
      </c>
      <c r="C21" s="31">
        <v>10</v>
      </c>
      <c r="D21" s="32">
        <v>50</v>
      </c>
      <c r="E21" s="33">
        <f t="shared" si="0"/>
        <v>500</v>
      </c>
      <c r="F21" s="34" t="s">
        <v>29</v>
      </c>
      <c r="G21" s="34"/>
      <c r="H21" s="31"/>
      <c r="I21" s="31">
        <v>10</v>
      </c>
      <c r="J21" s="31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</row>
    <row r="22" ht="15.75" customHeight="1" spans="1:22">
      <c r="A22" s="29"/>
      <c r="B22" s="30" t="s">
        <v>149</v>
      </c>
      <c r="C22" s="31">
        <v>5</v>
      </c>
      <c r="D22" s="32">
        <v>150</v>
      </c>
      <c r="E22" s="33">
        <f t="shared" si="0"/>
        <v>750</v>
      </c>
      <c r="F22" s="34" t="s">
        <v>29</v>
      </c>
      <c r="G22" s="34"/>
      <c r="H22" s="31"/>
      <c r="I22" s="31">
        <v>5</v>
      </c>
      <c r="J22" s="31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</row>
    <row r="23" ht="15.75" customHeight="1" spans="1:22">
      <c r="A23" s="29"/>
      <c r="B23" s="30" t="s">
        <v>150</v>
      </c>
      <c r="C23" s="31">
        <v>10</v>
      </c>
      <c r="D23" s="32">
        <v>30</v>
      </c>
      <c r="E23" s="33">
        <f t="shared" si="0"/>
        <v>300</v>
      </c>
      <c r="F23" s="34" t="s">
        <v>29</v>
      </c>
      <c r="G23" s="34"/>
      <c r="H23" s="31"/>
      <c r="I23" s="31">
        <v>10</v>
      </c>
      <c r="J23" s="31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</row>
    <row r="24" ht="15.75" customHeight="1" spans="1:22">
      <c r="A24" s="29"/>
      <c r="B24" s="30" t="s">
        <v>151</v>
      </c>
      <c r="C24" s="31">
        <v>10</v>
      </c>
      <c r="D24" s="32">
        <v>100</v>
      </c>
      <c r="E24" s="33">
        <f t="shared" si="0"/>
        <v>1000</v>
      </c>
      <c r="F24" s="34" t="s">
        <v>29</v>
      </c>
      <c r="G24" s="34"/>
      <c r="H24" s="31"/>
      <c r="I24" s="31">
        <v>10</v>
      </c>
      <c r="J24" s="31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</row>
    <row r="25" ht="15.75" customHeight="1" spans="1:22">
      <c r="A25" s="29"/>
      <c r="B25" s="30" t="s">
        <v>152</v>
      </c>
      <c r="C25" s="31">
        <v>10</v>
      </c>
      <c r="D25" s="32">
        <v>200</v>
      </c>
      <c r="E25" s="33">
        <f t="shared" si="0"/>
        <v>2000</v>
      </c>
      <c r="F25" s="34" t="s">
        <v>29</v>
      </c>
      <c r="G25" s="34"/>
      <c r="H25" s="31"/>
      <c r="I25" s="31">
        <v>10</v>
      </c>
      <c r="J25" s="31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</row>
    <row r="26" ht="15.75" customHeight="1" spans="1:22">
      <c r="A26" s="29"/>
      <c r="B26" s="30" t="s">
        <v>153</v>
      </c>
      <c r="C26" s="31">
        <v>10</v>
      </c>
      <c r="D26" s="32">
        <v>200</v>
      </c>
      <c r="E26" s="33">
        <f t="shared" si="0"/>
        <v>2000</v>
      </c>
      <c r="F26" s="34" t="s">
        <v>29</v>
      </c>
      <c r="G26" s="34"/>
      <c r="H26" s="31"/>
      <c r="I26" s="31">
        <v>10</v>
      </c>
      <c r="J26" s="31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</row>
    <row r="27" ht="15.75" customHeight="1" spans="1:22">
      <c r="A27" s="29"/>
      <c r="B27" s="30" t="s">
        <v>154</v>
      </c>
      <c r="C27" s="31">
        <v>20</v>
      </c>
      <c r="D27" s="32">
        <v>50</v>
      </c>
      <c r="E27" s="33">
        <f t="shared" si="0"/>
        <v>1000</v>
      </c>
      <c r="F27" s="34" t="s">
        <v>29</v>
      </c>
      <c r="G27" s="34"/>
      <c r="H27" s="31"/>
      <c r="I27" s="31">
        <v>20</v>
      </c>
      <c r="J27" s="31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</row>
    <row r="28" ht="15.75" customHeight="1" spans="1:22">
      <c r="A28" s="29"/>
      <c r="B28" s="30" t="s">
        <v>155</v>
      </c>
      <c r="C28" s="31">
        <v>50</v>
      </c>
      <c r="D28" s="32">
        <v>250</v>
      </c>
      <c r="E28" s="33">
        <f t="shared" si="0"/>
        <v>12500</v>
      </c>
      <c r="F28" s="34" t="s">
        <v>29</v>
      </c>
      <c r="G28" s="34"/>
      <c r="H28" s="31"/>
      <c r="I28" s="31">
        <v>50</v>
      </c>
      <c r="J28" s="31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</row>
    <row r="29" ht="15.75" customHeight="1" spans="1:22">
      <c r="A29" s="29"/>
      <c r="B29" s="35" t="s">
        <v>156</v>
      </c>
      <c r="C29" s="36">
        <v>25</v>
      </c>
      <c r="D29" s="37">
        <v>300</v>
      </c>
      <c r="E29" s="38">
        <f t="shared" si="0"/>
        <v>7500</v>
      </c>
      <c r="F29" s="39" t="s">
        <v>29</v>
      </c>
      <c r="G29" s="39"/>
      <c r="H29" s="36"/>
      <c r="I29" s="36">
        <v>25</v>
      </c>
      <c r="J29" s="36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</row>
    <row r="30" ht="15.75" customHeight="1" spans="1:22">
      <c r="A30" s="40"/>
      <c r="B30" s="41" t="s">
        <v>157</v>
      </c>
      <c r="C30" s="31">
        <v>10</v>
      </c>
      <c r="D30" s="32">
        <v>250</v>
      </c>
      <c r="E30" s="33">
        <f t="shared" si="0"/>
        <v>2500</v>
      </c>
      <c r="F30" s="34" t="s">
        <v>29</v>
      </c>
      <c r="G30" s="34"/>
      <c r="H30" s="31"/>
      <c r="I30" s="31">
        <v>10</v>
      </c>
      <c r="J30" s="31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</row>
    <row r="31" ht="15.75" customHeight="1" spans="1:22">
      <c r="A31" s="40"/>
      <c r="B31" s="41" t="s">
        <v>158</v>
      </c>
      <c r="C31" s="31">
        <v>10</v>
      </c>
      <c r="D31" s="32">
        <v>500</v>
      </c>
      <c r="E31" s="33">
        <f t="shared" si="0"/>
        <v>5000</v>
      </c>
      <c r="F31" s="34" t="s">
        <v>29</v>
      </c>
      <c r="G31" s="34"/>
      <c r="H31" s="31"/>
      <c r="I31" s="31">
        <v>10</v>
      </c>
      <c r="J31" s="31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</row>
    <row r="32" ht="15.75" customHeight="1" spans="1:22">
      <c r="A32" s="40"/>
      <c r="B32" s="41" t="s">
        <v>159</v>
      </c>
      <c r="C32" s="31">
        <v>20</v>
      </c>
      <c r="D32" s="32">
        <v>300</v>
      </c>
      <c r="E32" s="33">
        <f t="shared" si="0"/>
        <v>6000</v>
      </c>
      <c r="F32" s="34" t="s">
        <v>29</v>
      </c>
      <c r="G32" s="34"/>
      <c r="H32" s="31"/>
      <c r="I32" s="31">
        <v>20</v>
      </c>
      <c r="J32" s="31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</row>
    <row r="33" ht="15.75" customHeight="1" spans="1:22">
      <c r="A33" s="40"/>
      <c r="B33" s="41" t="s">
        <v>160</v>
      </c>
      <c r="C33" s="31">
        <v>10</v>
      </c>
      <c r="D33" s="32">
        <v>3500</v>
      </c>
      <c r="E33" s="33">
        <f t="shared" si="0"/>
        <v>35000</v>
      </c>
      <c r="F33" s="34" t="s">
        <v>29</v>
      </c>
      <c r="G33" s="34"/>
      <c r="H33" s="31"/>
      <c r="I33" s="31">
        <v>10</v>
      </c>
      <c r="J33" s="31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</row>
    <row r="34" ht="15.75" customHeight="1" spans="1:22">
      <c r="A34" s="40"/>
      <c r="B34" s="41" t="s">
        <v>161</v>
      </c>
      <c r="C34" s="31">
        <v>10</v>
      </c>
      <c r="D34" s="32">
        <v>4000</v>
      </c>
      <c r="E34" s="33">
        <f t="shared" si="0"/>
        <v>40000</v>
      </c>
      <c r="F34" s="34" t="s">
        <v>29</v>
      </c>
      <c r="G34" s="34"/>
      <c r="H34" s="31"/>
      <c r="I34" s="31">
        <v>10</v>
      </c>
      <c r="J34" s="31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</row>
    <row r="35" ht="15.75" customHeight="1" spans="1:22">
      <c r="A35" s="40"/>
      <c r="B35" s="41" t="s">
        <v>162</v>
      </c>
      <c r="C35" s="31">
        <v>10</v>
      </c>
      <c r="D35" s="32">
        <v>4000</v>
      </c>
      <c r="E35" s="33">
        <f t="shared" si="0"/>
        <v>40000</v>
      </c>
      <c r="F35" s="34" t="s">
        <v>29</v>
      </c>
      <c r="G35" s="34"/>
      <c r="H35" s="31"/>
      <c r="I35" s="31">
        <v>10</v>
      </c>
      <c r="J35" s="31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</row>
    <row r="36" ht="15.75" customHeight="1" spans="1:22">
      <c r="A36" s="40"/>
      <c r="B36" s="41" t="s">
        <v>163</v>
      </c>
      <c r="C36" s="31">
        <v>10</v>
      </c>
      <c r="D36" s="32">
        <v>4000</v>
      </c>
      <c r="E36" s="33">
        <f t="shared" si="0"/>
        <v>40000</v>
      </c>
      <c r="F36" s="34" t="s">
        <v>29</v>
      </c>
      <c r="G36" s="34"/>
      <c r="H36" s="31"/>
      <c r="I36" s="31">
        <v>10</v>
      </c>
      <c r="J36" s="31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</row>
    <row r="37" ht="15.75" customHeight="1" spans="1:22">
      <c r="A37" s="40"/>
      <c r="B37" s="41" t="s">
        <v>164</v>
      </c>
      <c r="C37" s="31">
        <v>10</v>
      </c>
      <c r="D37" s="32">
        <v>1000</v>
      </c>
      <c r="E37" s="33">
        <f t="shared" si="0"/>
        <v>10000</v>
      </c>
      <c r="F37" s="34" t="s">
        <v>29</v>
      </c>
      <c r="G37" s="34"/>
      <c r="H37" s="31"/>
      <c r="I37" s="31">
        <v>10</v>
      </c>
      <c r="J37" s="31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</row>
    <row r="38" ht="15.75" customHeight="1" spans="1:22">
      <c r="A38" s="40"/>
      <c r="B38" s="41" t="s">
        <v>165</v>
      </c>
      <c r="C38" s="31">
        <v>10</v>
      </c>
      <c r="D38" s="32">
        <v>1000</v>
      </c>
      <c r="E38" s="33">
        <f t="shared" si="0"/>
        <v>10000</v>
      </c>
      <c r="F38" s="34" t="s">
        <v>29</v>
      </c>
      <c r="G38" s="34"/>
      <c r="H38" s="31"/>
      <c r="I38" s="31">
        <v>10</v>
      </c>
      <c r="J38" s="31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</row>
    <row r="39" ht="15.75" customHeight="1" spans="1:22">
      <c r="A39" s="40"/>
      <c r="B39" s="41" t="s">
        <v>166</v>
      </c>
      <c r="C39" s="31">
        <v>10</v>
      </c>
      <c r="D39" s="32">
        <v>3200</v>
      </c>
      <c r="E39" s="33">
        <f t="shared" si="0"/>
        <v>32000</v>
      </c>
      <c r="F39" s="34" t="s">
        <v>29</v>
      </c>
      <c r="G39" s="34"/>
      <c r="H39" s="31"/>
      <c r="I39" s="31">
        <v>10</v>
      </c>
      <c r="J39" s="31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</row>
    <row r="40" ht="15.75" customHeight="1" spans="1:22">
      <c r="A40" s="40"/>
      <c r="B40" s="41" t="s">
        <v>167</v>
      </c>
      <c r="C40" s="31">
        <v>10</v>
      </c>
      <c r="D40" s="32">
        <v>1000</v>
      </c>
      <c r="E40" s="33">
        <f t="shared" si="0"/>
        <v>10000</v>
      </c>
      <c r="F40" s="34" t="s">
        <v>29</v>
      </c>
      <c r="G40" s="34"/>
      <c r="H40" s="31"/>
      <c r="I40" s="31">
        <v>10</v>
      </c>
      <c r="J40" s="31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</row>
    <row r="41" ht="15.75" customHeight="1" spans="1:22">
      <c r="A41" s="40"/>
      <c r="B41" s="41" t="s">
        <v>168</v>
      </c>
      <c r="C41" s="31">
        <v>10</v>
      </c>
      <c r="D41" s="32">
        <v>1000</v>
      </c>
      <c r="E41" s="33">
        <f t="shared" si="0"/>
        <v>10000</v>
      </c>
      <c r="F41" s="34" t="s">
        <v>29</v>
      </c>
      <c r="G41" s="34"/>
      <c r="H41" s="31"/>
      <c r="I41" s="31">
        <v>10</v>
      </c>
      <c r="J41" s="31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</row>
    <row r="42" ht="15.75" customHeight="1" spans="1:22">
      <c r="A42" s="40"/>
      <c r="B42" s="41" t="s">
        <v>169</v>
      </c>
      <c r="C42" s="31">
        <v>10</v>
      </c>
      <c r="D42" s="32">
        <v>3000</v>
      </c>
      <c r="E42" s="33">
        <f t="shared" si="0"/>
        <v>30000</v>
      </c>
      <c r="F42" s="34" t="s">
        <v>29</v>
      </c>
      <c r="G42" s="34"/>
      <c r="H42" s="31"/>
      <c r="I42" s="31">
        <v>10</v>
      </c>
      <c r="J42" s="31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</row>
    <row r="43" ht="15.75" customHeight="1" spans="1:22">
      <c r="A43" s="40"/>
      <c r="B43" s="41"/>
      <c r="C43" s="31"/>
      <c r="D43" s="32"/>
      <c r="E43" s="33"/>
      <c r="F43" s="34"/>
      <c r="G43" s="34"/>
      <c r="H43" s="34"/>
      <c r="I43" s="34"/>
      <c r="J43" s="31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</row>
    <row r="44" ht="15.75" customHeight="1" spans="1:22">
      <c r="A44" s="42"/>
      <c r="B44" s="43" t="s">
        <v>27</v>
      </c>
      <c r="C44" s="44"/>
      <c r="D44" s="45"/>
      <c r="E44" s="46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</row>
    <row r="45" ht="15.75" customHeight="1" spans="1:22">
      <c r="A45" s="34"/>
      <c r="B45" s="34" t="s">
        <v>28</v>
      </c>
      <c r="C45" s="31">
        <v>40</v>
      </c>
      <c r="D45" s="33">
        <v>600</v>
      </c>
      <c r="E45" s="33">
        <f t="shared" ref="E45:E68" si="1">D45*C45</f>
        <v>24000</v>
      </c>
      <c r="F45" s="34" t="s">
        <v>29</v>
      </c>
      <c r="G45" s="42"/>
      <c r="H45" s="31">
        <v>20</v>
      </c>
      <c r="I45" s="31">
        <v>20</v>
      </c>
      <c r="J45" s="31">
        <v>20</v>
      </c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</row>
    <row r="46" ht="15.75" customHeight="1" spans="1:22">
      <c r="A46" s="40"/>
      <c r="B46" s="41" t="s">
        <v>170</v>
      </c>
      <c r="C46" s="31">
        <v>50</v>
      </c>
      <c r="D46" s="32">
        <v>75</v>
      </c>
      <c r="E46" s="33">
        <f t="shared" si="1"/>
        <v>3750</v>
      </c>
      <c r="F46" s="34" t="s">
        <v>29</v>
      </c>
      <c r="G46" s="34"/>
      <c r="H46" s="31"/>
      <c r="I46" s="31">
        <v>50</v>
      </c>
      <c r="J46" s="31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</row>
    <row r="47" ht="15.75" customHeight="1" spans="1:22">
      <c r="A47" s="40"/>
      <c r="B47" s="41" t="s">
        <v>171</v>
      </c>
      <c r="C47" s="31">
        <v>50</v>
      </c>
      <c r="D47" s="32">
        <v>65</v>
      </c>
      <c r="E47" s="33">
        <f t="shared" si="1"/>
        <v>3250</v>
      </c>
      <c r="F47" s="34" t="s">
        <v>29</v>
      </c>
      <c r="G47" s="34"/>
      <c r="H47" s="31"/>
      <c r="I47" s="31">
        <v>50</v>
      </c>
      <c r="J47" s="31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</row>
    <row r="48" ht="15.75" customHeight="1" spans="1:22">
      <c r="A48" s="40"/>
      <c r="B48" s="41" t="s">
        <v>172</v>
      </c>
      <c r="C48" s="31">
        <v>10</v>
      </c>
      <c r="D48" s="32">
        <v>500</v>
      </c>
      <c r="E48" s="33">
        <f t="shared" si="1"/>
        <v>5000</v>
      </c>
      <c r="F48" s="34" t="s">
        <v>29</v>
      </c>
      <c r="G48" s="34"/>
      <c r="H48" s="31"/>
      <c r="I48" s="31">
        <v>10</v>
      </c>
      <c r="J48" s="31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</row>
    <row r="49" ht="15.75" customHeight="1" spans="1:22">
      <c r="A49" s="40"/>
      <c r="B49" s="41" t="s">
        <v>30</v>
      </c>
      <c r="C49" s="31">
        <v>10</v>
      </c>
      <c r="D49" s="32">
        <v>100</v>
      </c>
      <c r="E49" s="33">
        <f t="shared" si="1"/>
        <v>1000</v>
      </c>
      <c r="F49" s="34" t="s">
        <v>29</v>
      </c>
      <c r="G49" s="34"/>
      <c r="H49" s="31"/>
      <c r="I49" s="31">
        <v>10</v>
      </c>
      <c r="J49" s="31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</row>
    <row r="50" ht="15.75" customHeight="1" spans="1:22">
      <c r="A50" s="40"/>
      <c r="B50" s="41" t="s">
        <v>31</v>
      </c>
      <c r="C50" s="31">
        <v>50</v>
      </c>
      <c r="D50" s="32">
        <v>80</v>
      </c>
      <c r="E50" s="33">
        <f t="shared" si="1"/>
        <v>4000</v>
      </c>
      <c r="F50" s="34" t="s">
        <v>29</v>
      </c>
      <c r="G50" s="34"/>
      <c r="H50" s="31"/>
      <c r="I50" s="31">
        <v>50</v>
      </c>
      <c r="J50" s="31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</row>
    <row r="51" ht="15.75" customHeight="1" spans="1:22">
      <c r="A51" s="40"/>
      <c r="B51" s="41" t="s">
        <v>32</v>
      </c>
      <c r="C51" s="31">
        <v>10</v>
      </c>
      <c r="D51" s="32">
        <v>300</v>
      </c>
      <c r="E51" s="33">
        <f t="shared" si="1"/>
        <v>3000</v>
      </c>
      <c r="F51" s="34" t="s">
        <v>29</v>
      </c>
      <c r="G51" s="34"/>
      <c r="H51" s="31"/>
      <c r="I51" s="31">
        <v>10</v>
      </c>
      <c r="J51" s="31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</row>
    <row r="52" ht="15.75" customHeight="1" spans="1:22">
      <c r="A52" s="40"/>
      <c r="B52" s="41" t="s">
        <v>33</v>
      </c>
      <c r="C52" s="31">
        <v>50</v>
      </c>
      <c r="D52" s="32">
        <v>100</v>
      </c>
      <c r="E52" s="33">
        <f t="shared" si="1"/>
        <v>5000</v>
      </c>
      <c r="F52" s="34" t="s">
        <v>29</v>
      </c>
      <c r="G52" s="34"/>
      <c r="H52" s="31"/>
      <c r="I52" s="31">
        <v>50</v>
      </c>
      <c r="J52" s="31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</row>
    <row r="53" ht="15.75" customHeight="1" spans="1:22">
      <c r="A53" s="40"/>
      <c r="B53" s="41" t="s">
        <v>34</v>
      </c>
      <c r="C53" s="31">
        <v>50</v>
      </c>
      <c r="D53" s="32">
        <v>75</v>
      </c>
      <c r="E53" s="33">
        <f t="shared" si="1"/>
        <v>3750</v>
      </c>
      <c r="F53" s="34" t="s">
        <v>29</v>
      </c>
      <c r="G53" s="34"/>
      <c r="H53" s="31"/>
      <c r="I53" s="31">
        <v>50</v>
      </c>
      <c r="J53" s="31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</row>
    <row r="54" ht="15.75" customHeight="1" spans="1:22">
      <c r="A54" s="40"/>
      <c r="B54" s="41" t="s">
        <v>173</v>
      </c>
      <c r="C54" s="31">
        <v>200</v>
      </c>
      <c r="D54" s="32">
        <v>150</v>
      </c>
      <c r="E54" s="33">
        <f t="shared" si="1"/>
        <v>30000</v>
      </c>
      <c r="F54" s="34" t="s">
        <v>29</v>
      </c>
      <c r="G54" s="34"/>
      <c r="H54" s="31"/>
      <c r="I54" s="31">
        <v>200</v>
      </c>
      <c r="J54" s="31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</row>
    <row r="55" ht="15.75" customHeight="1" spans="1:22">
      <c r="A55" s="40"/>
      <c r="B55" s="41" t="s">
        <v>174</v>
      </c>
      <c r="C55" s="31">
        <v>200</v>
      </c>
      <c r="D55" s="32">
        <v>500</v>
      </c>
      <c r="E55" s="33">
        <f t="shared" si="1"/>
        <v>100000</v>
      </c>
      <c r="F55" s="34"/>
      <c r="G55" s="34"/>
      <c r="H55" s="31"/>
      <c r="I55" s="31">
        <v>200</v>
      </c>
      <c r="J55" s="31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</row>
    <row r="56" ht="15.75" customHeight="1" spans="1:22">
      <c r="A56" s="48"/>
      <c r="B56" s="41" t="s">
        <v>175</v>
      </c>
      <c r="C56" s="31">
        <v>200</v>
      </c>
      <c r="D56" s="32">
        <v>500</v>
      </c>
      <c r="E56" s="33">
        <f t="shared" si="1"/>
        <v>100000</v>
      </c>
      <c r="F56" s="34"/>
      <c r="G56" s="34"/>
      <c r="H56" s="31"/>
      <c r="I56" s="31">
        <v>200</v>
      </c>
      <c r="J56" s="31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</row>
    <row r="57" ht="15.75" customHeight="1" spans="1:22">
      <c r="A57" s="29"/>
      <c r="B57" s="41" t="s">
        <v>176</v>
      </c>
      <c r="C57" s="31">
        <v>200</v>
      </c>
      <c r="D57" s="32">
        <v>500</v>
      </c>
      <c r="E57" s="33">
        <f t="shared" si="1"/>
        <v>100000</v>
      </c>
      <c r="F57" s="34"/>
      <c r="G57" s="34"/>
      <c r="H57" s="31"/>
      <c r="I57" s="31">
        <v>200</v>
      </c>
      <c r="J57" s="31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</row>
    <row r="58" ht="15.75" customHeight="1" spans="1:22">
      <c r="A58" s="29"/>
      <c r="B58" s="41" t="s">
        <v>177</v>
      </c>
      <c r="C58" s="31">
        <v>200</v>
      </c>
      <c r="D58" s="32">
        <v>500</v>
      </c>
      <c r="E58" s="33">
        <f t="shared" si="1"/>
        <v>100000</v>
      </c>
      <c r="F58" s="34"/>
      <c r="G58" s="34"/>
      <c r="H58" s="31"/>
      <c r="I58" s="31">
        <v>200</v>
      </c>
      <c r="J58" s="31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</row>
    <row r="59" ht="15.75" customHeight="1" spans="1:22">
      <c r="A59" s="29"/>
      <c r="B59" s="49" t="s">
        <v>36</v>
      </c>
      <c r="C59" s="50">
        <v>10</v>
      </c>
      <c r="D59" s="51">
        <v>500</v>
      </c>
      <c r="E59" s="52">
        <f t="shared" si="1"/>
        <v>5000</v>
      </c>
      <c r="F59" s="34"/>
      <c r="G59" s="34"/>
      <c r="H59" s="50"/>
      <c r="I59" s="50">
        <v>10</v>
      </c>
      <c r="J59" s="50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</row>
    <row r="60" ht="15.75" customHeight="1" spans="1:22">
      <c r="A60" s="29"/>
      <c r="B60" s="49" t="s">
        <v>37</v>
      </c>
      <c r="C60" s="50">
        <v>1000</v>
      </c>
      <c r="D60" s="51">
        <v>4</v>
      </c>
      <c r="E60" s="52">
        <f t="shared" si="1"/>
        <v>4000</v>
      </c>
      <c r="F60" s="34"/>
      <c r="G60" s="34"/>
      <c r="H60" s="50"/>
      <c r="I60" s="50">
        <v>1000</v>
      </c>
      <c r="J60" s="50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</row>
    <row r="61" ht="15.75" customHeight="1" spans="1:22">
      <c r="A61" s="29"/>
      <c r="B61" s="49" t="s">
        <v>38</v>
      </c>
      <c r="C61" s="50">
        <v>4</v>
      </c>
      <c r="D61" s="51">
        <v>2000</v>
      </c>
      <c r="E61" s="52">
        <f t="shared" si="1"/>
        <v>8000</v>
      </c>
      <c r="F61" s="34"/>
      <c r="G61" s="34"/>
      <c r="H61" s="50"/>
      <c r="I61" s="50">
        <v>4</v>
      </c>
      <c r="J61" s="50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</row>
    <row r="62" ht="15.75" customHeight="1" spans="1:22">
      <c r="A62" s="29"/>
      <c r="B62" s="49" t="s">
        <v>39</v>
      </c>
      <c r="C62" s="50">
        <v>1</v>
      </c>
      <c r="D62" s="51">
        <v>300</v>
      </c>
      <c r="E62" s="52">
        <f t="shared" si="1"/>
        <v>300</v>
      </c>
      <c r="F62" s="34"/>
      <c r="G62" s="34"/>
      <c r="H62" s="50"/>
      <c r="I62" s="50">
        <v>1</v>
      </c>
      <c r="J62" s="50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</row>
    <row r="63" ht="15.75" customHeight="1" spans="1:22">
      <c r="A63" s="29"/>
      <c r="B63" s="53" t="s">
        <v>40</v>
      </c>
      <c r="C63" s="50">
        <v>4</v>
      </c>
      <c r="D63" s="51">
        <v>800</v>
      </c>
      <c r="E63" s="52">
        <f t="shared" si="1"/>
        <v>3200</v>
      </c>
      <c r="F63" s="34"/>
      <c r="G63" s="34"/>
      <c r="H63" s="50"/>
      <c r="I63" s="50">
        <v>4</v>
      </c>
      <c r="J63" s="50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</row>
    <row r="64" ht="15.75" customHeight="1" spans="1:22">
      <c r="A64" s="29"/>
      <c r="B64" s="53" t="s">
        <v>41</v>
      </c>
      <c r="C64" s="50">
        <v>50</v>
      </c>
      <c r="D64" s="51">
        <v>100</v>
      </c>
      <c r="E64" s="52">
        <f t="shared" si="1"/>
        <v>5000</v>
      </c>
      <c r="F64" s="34"/>
      <c r="G64" s="34"/>
      <c r="H64" s="50"/>
      <c r="I64" s="50">
        <v>50</v>
      </c>
      <c r="J64" s="50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</row>
    <row r="65" ht="15.75" customHeight="1" spans="1:22">
      <c r="A65" s="29"/>
      <c r="B65" s="49" t="s">
        <v>42</v>
      </c>
      <c r="C65" s="50">
        <v>10</v>
      </c>
      <c r="D65" s="51">
        <v>1000</v>
      </c>
      <c r="E65" s="52">
        <f t="shared" si="1"/>
        <v>10000</v>
      </c>
      <c r="F65" s="34"/>
      <c r="G65" s="34"/>
      <c r="H65" s="34"/>
      <c r="I65" s="31">
        <v>10</v>
      </c>
      <c r="J65" s="31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</row>
    <row r="66" ht="15.75" customHeight="1" spans="1:22">
      <c r="A66" s="29"/>
      <c r="B66" s="49" t="s">
        <v>43</v>
      </c>
      <c r="C66" s="50">
        <v>20</v>
      </c>
      <c r="D66" s="51">
        <v>100</v>
      </c>
      <c r="E66" s="52">
        <f t="shared" si="1"/>
        <v>2000</v>
      </c>
      <c r="F66" s="34"/>
      <c r="G66" s="34"/>
      <c r="H66" s="34"/>
      <c r="I66" s="31">
        <v>20</v>
      </c>
      <c r="J66" s="31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</row>
    <row r="67" ht="15.75" customHeight="1" spans="1:22">
      <c r="A67" s="29"/>
      <c r="B67" s="49" t="s">
        <v>44</v>
      </c>
      <c r="C67" s="50">
        <v>2</v>
      </c>
      <c r="D67" s="51">
        <v>300</v>
      </c>
      <c r="E67" s="52">
        <f t="shared" si="1"/>
        <v>600</v>
      </c>
      <c r="F67" s="34"/>
      <c r="G67" s="34"/>
      <c r="H67" s="34"/>
      <c r="I67" s="31">
        <v>2</v>
      </c>
      <c r="J67" s="31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</row>
    <row r="68" ht="15.75" customHeight="1" spans="1:22">
      <c r="A68" s="29"/>
      <c r="B68" s="49" t="s">
        <v>45</v>
      </c>
      <c r="C68" s="50">
        <v>2</v>
      </c>
      <c r="D68" s="51">
        <v>300</v>
      </c>
      <c r="E68" s="52">
        <f t="shared" si="1"/>
        <v>600</v>
      </c>
      <c r="F68" s="34"/>
      <c r="G68" s="34"/>
      <c r="H68" s="34"/>
      <c r="I68" s="31">
        <v>2</v>
      </c>
      <c r="J68" s="31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</row>
    <row r="69" ht="15.75" customHeight="1" spans="1:22">
      <c r="A69" s="29"/>
      <c r="B69" s="49"/>
      <c r="C69" s="50"/>
      <c r="D69" s="51"/>
      <c r="E69" s="52"/>
      <c r="F69" s="34"/>
      <c r="G69" s="34"/>
      <c r="H69" s="34"/>
      <c r="I69" s="31"/>
      <c r="J69" s="31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</row>
    <row r="70" ht="15.75" customHeight="1" spans="1:22">
      <c r="A70" s="29"/>
      <c r="B70" s="49"/>
      <c r="C70" s="50"/>
      <c r="D70" s="51"/>
      <c r="E70" s="52"/>
      <c r="F70" s="34"/>
      <c r="G70" s="34"/>
      <c r="H70" s="34"/>
      <c r="I70" s="31"/>
      <c r="J70" s="31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</row>
    <row r="71" ht="15.75" customHeight="1" spans="1:22">
      <c r="A71" s="29"/>
      <c r="B71" s="49"/>
      <c r="C71" s="50"/>
      <c r="D71" s="51"/>
      <c r="E71" s="52"/>
      <c r="F71" s="34"/>
      <c r="G71" s="34"/>
      <c r="H71" s="34"/>
      <c r="I71" s="31"/>
      <c r="J71" s="31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</row>
    <row r="72" ht="15.75" customHeight="1" spans="1:22">
      <c r="A72" s="29"/>
      <c r="B72" s="49"/>
      <c r="C72" s="50"/>
      <c r="D72" s="51"/>
      <c r="E72" s="52"/>
      <c r="F72" s="34"/>
      <c r="G72" s="34"/>
      <c r="H72" s="34"/>
      <c r="I72" s="31"/>
      <c r="J72" s="31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</row>
    <row r="73" ht="15.75" customHeight="1" spans="1:22">
      <c r="A73" s="29"/>
      <c r="B73" s="49"/>
      <c r="C73" s="50"/>
      <c r="D73" s="51"/>
      <c r="E73" s="52"/>
      <c r="F73" s="34"/>
      <c r="G73" s="34"/>
      <c r="H73" s="34"/>
      <c r="I73" s="31"/>
      <c r="J73" s="31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</row>
    <row r="74" ht="15.75" customHeight="1" spans="1:22">
      <c r="A74" s="29"/>
      <c r="B74" s="49"/>
      <c r="C74" s="50"/>
      <c r="D74" s="51"/>
      <c r="E74" s="52"/>
      <c r="F74" s="34"/>
      <c r="G74" s="34"/>
      <c r="H74" s="34"/>
      <c r="I74" s="31"/>
      <c r="J74" s="31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</row>
    <row r="75" ht="15.75" customHeight="1" spans="1:22">
      <c r="A75" s="29"/>
      <c r="B75" s="49"/>
      <c r="C75" s="50"/>
      <c r="D75" s="51"/>
      <c r="E75" s="52"/>
      <c r="F75" s="34"/>
      <c r="G75" s="34"/>
      <c r="H75" s="34"/>
      <c r="I75" s="31"/>
      <c r="J75" s="31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</row>
    <row r="76" ht="15.75" customHeight="1" spans="1:22">
      <c r="A76" s="29"/>
      <c r="B76" s="62" t="s">
        <v>48</v>
      </c>
      <c r="C76" s="63"/>
      <c r="D76" s="64"/>
      <c r="E76" s="65"/>
      <c r="F76" s="63"/>
      <c r="G76" s="63"/>
      <c r="H76" s="63"/>
      <c r="I76" s="63"/>
      <c r="J76" s="70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</row>
    <row r="77" ht="15.75" customHeight="1" spans="1:22">
      <c r="A77" s="29"/>
      <c r="B77" s="49" t="s">
        <v>178</v>
      </c>
      <c r="C77" s="31">
        <v>405</v>
      </c>
      <c r="D77" s="66">
        <v>615</v>
      </c>
      <c r="E77" s="33">
        <f t="shared" ref="E77:E119" si="2">D77*C77</f>
        <v>249075</v>
      </c>
      <c r="F77" s="34" t="s">
        <v>29</v>
      </c>
      <c r="G77" s="49"/>
      <c r="H77" s="31"/>
      <c r="I77" s="31">
        <v>405</v>
      </c>
      <c r="J77" s="31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63"/>
    </row>
    <row r="78" ht="15.75" customHeight="1" spans="1:22">
      <c r="A78" s="29"/>
      <c r="B78" s="30" t="s">
        <v>179</v>
      </c>
      <c r="C78" s="31">
        <v>100</v>
      </c>
      <c r="D78" s="51">
        <v>200</v>
      </c>
      <c r="E78" s="33">
        <f t="shared" si="2"/>
        <v>20000</v>
      </c>
      <c r="F78" s="34" t="s">
        <v>29</v>
      </c>
      <c r="G78" s="34"/>
      <c r="H78" s="31"/>
      <c r="I78" s="31">
        <v>100</v>
      </c>
      <c r="J78" s="31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</row>
    <row r="79" ht="15.75" customHeight="1" spans="1:22">
      <c r="A79" s="29"/>
      <c r="B79" s="49" t="s">
        <v>180</v>
      </c>
      <c r="C79" s="50">
        <v>4000</v>
      </c>
      <c r="D79" s="51">
        <v>150</v>
      </c>
      <c r="E79" s="33">
        <f t="shared" si="2"/>
        <v>600000</v>
      </c>
      <c r="F79" s="34" t="s">
        <v>29</v>
      </c>
      <c r="G79" s="34"/>
      <c r="H79" s="50"/>
      <c r="I79" s="50">
        <v>4000</v>
      </c>
      <c r="J79" s="50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</row>
    <row r="80" ht="15.75" customHeight="1" spans="1:22">
      <c r="A80" s="29"/>
      <c r="B80" s="49" t="s">
        <v>181</v>
      </c>
      <c r="C80" s="50">
        <v>600</v>
      </c>
      <c r="D80" s="51">
        <v>660</v>
      </c>
      <c r="E80" s="33">
        <f t="shared" si="2"/>
        <v>396000</v>
      </c>
      <c r="F80" s="34" t="s">
        <v>29</v>
      </c>
      <c r="G80" s="34"/>
      <c r="H80" s="50"/>
      <c r="I80" s="50">
        <v>600</v>
      </c>
      <c r="J80" s="50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</row>
    <row r="81" ht="15.75" customHeight="1" spans="1:22">
      <c r="A81" s="40"/>
      <c r="B81" s="41" t="s">
        <v>182</v>
      </c>
      <c r="C81" s="31">
        <v>1</v>
      </c>
      <c r="D81" s="32">
        <v>8000</v>
      </c>
      <c r="E81" s="33">
        <f t="shared" si="2"/>
        <v>8000</v>
      </c>
      <c r="F81" s="34" t="s">
        <v>29</v>
      </c>
      <c r="G81" s="34"/>
      <c r="H81" s="31"/>
      <c r="I81" s="31">
        <v>1</v>
      </c>
      <c r="J81" s="31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</row>
    <row r="82" ht="15.75" customHeight="1" spans="1:22">
      <c r="A82" s="29"/>
      <c r="B82" s="30" t="s">
        <v>183</v>
      </c>
      <c r="C82" s="50">
        <v>4</v>
      </c>
      <c r="D82" s="51">
        <v>9000</v>
      </c>
      <c r="E82" s="33">
        <f t="shared" si="2"/>
        <v>36000</v>
      </c>
      <c r="F82" s="34" t="s">
        <v>29</v>
      </c>
      <c r="G82" s="34"/>
      <c r="H82" s="50"/>
      <c r="I82" s="50">
        <v>4</v>
      </c>
      <c r="J82" s="50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</row>
    <row r="83" ht="15.75" customHeight="1" spans="1:22">
      <c r="A83" s="29"/>
      <c r="B83" s="30" t="s">
        <v>49</v>
      </c>
      <c r="C83" s="50">
        <v>30</v>
      </c>
      <c r="D83" s="51">
        <v>2000</v>
      </c>
      <c r="E83" s="52">
        <f t="shared" si="2"/>
        <v>60000</v>
      </c>
      <c r="F83" s="34" t="s">
        <v>29</v>
      </c>
      <c r="G83" s="34"/>
      <c r="H83" s="50"/>
      <c r="I83" s="50">
        <v>30</v>
      </c>
      <c r="J83" s="50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</row>
    <row r="84" ht="15.75" customHeight="1" spans="1:22">
      <c r="A84" s="29"/>
      <c r="B84" s="30" t="s">
        <v>50</v>
      </c>
      <c r="C84" s="50">
        <v>30</v>
      </c>
      <c r="D84" s="51">
        <v>2000</v>
      </c>
      <c r="E84" s="52">
        <f t="shared" si="2"/>
        <v>60000</v>
      </c>
      <c r="F84" s="34" t="s">
        <v>29</v>
      </c>
      <c r="G84" s="34"/>
      <c r="H84" s="50"/>
      <c r="I84" s="50">
        <v>30</v>
      </c>
      <c r="J84" s="50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</row>
    <row r="85" ht="15.75" customHeight="1" spans="1:22">
      <c r="A85" s="29"/>
      <c r="B85" s="30" t="s">
        <v>184</v>
      </c>
      <c r="C85" s="50">
        <v>40</v>
      </c>
      <c r="D85" s="51">
        <v>25000</v>
      </c>
      <c r="E85" s="52">
        <f t="shared" si="2"/>
        <v>1000000</v>
      </c>
      <c r="F85" s="34" t="s">
        <v>29</v>
      </c>
      <c r="G85" s="34"/>
      <c r="H85" s="50"/>
      <c r="I85" s="50">
        <v>40</v>
      </c>
      <c r="J85" s="50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</row>
    <row r="86" ht="15.75" customHeight="1" spans="1:22">
      <c r="A86" s="29"/>
      <c r="B86" s="30" t="s">
        <v>51</v>
      </c>
      <c r="C86" s="50">
        <v>2</v>
      </c>
      <c r="D86" s="51">
        <v>500</v>
      </c>
      <c r="E86" s="52">
        <f t="shared" si="2"/>
        <v>1000</v>
      </c>
      <c r="F86" s="34" t="s">
        <v>29</v>
      </c>
      <c r="G86" s="34"/>
      <c r="H86" s="50"/>
      <c r="I86" s="50">
        <v>10</v>
      </c>
      <c r="J86" s="50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</row>
    <row r="87" ht="15.75" customHeight="1" spans="1:22">
      <c r="A87" s="29"/>
      <c r="B87" s="30" t="s">
        <v>52</v>
      </c>
      <c r="C87" s="50">
        <v>2</v>
      </c>
      <c r="D87" s="51">
        <v>500</v>
      </c>
      <c r="E87" s="52">
        <f t="shared" si="2"/>
        <v>1000</v>
      </c>
      <c r="F87" s="34" t="s">
        <v>29</v>
      </c>
      <c r="G87" s="34"/>
      <c r="H87" s="50"/>
      <c r="I87" s="50">
        <v>10</v>
      </c>
      <c r="J87" s="50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</row>
    <row r="88" ht="15.75" customHeight="1" spans="1:22">
      <c r="A88" s="29"/>
      <c r="B88" s="30" t="s">
        <v>53</v>
      </c>
      <c r="C88" s="50">
        <v>2</v>
      </c>
      <c r="D88" s="51">
        <v>500</v>
      </c>
      <c r="E88" s="52">
        <f t="shared" si="2"/>
        <v>1000</v>
      </c>
      <c r="F88" s="34" t="s">
        <v>29</v>
      </c>
      <c r="G88" s="34"/>
      <c r="H88" s="50"/>
      <c r="I88" s="50">
        <v>10</v>
      </c>
      <c r="J88" s="50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</row>
    <row r="89" ht="15.75" customHeight="1" spans="1:22">
      <c r="A89" s="29"/>
      <c r="B89" s="30" t="s">
        <v>54</v>
      </c>
      <c r="C89" s="50">
        <v>2</v>
      </c>
      <c r="D89" s="51">
        <v>500</v>
      </c>
      <c r="E89" s="52">
        <f t="shared" si="2"/>
        <v>1000</v>
      </c>
      <c r="F89" s="34" t="s">
        <v>29</v>
      </c>
      <c r="G89" s="34"/>
      <c r="H89" s="50"/>
      <c r="I89" s="50">
        <v>10</v>
      </c>
      <c r="J89" s="50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</row>
    <row r="90" ht="15.75" customHeight="1" spans="1:22">
      <c r="A90" s="29"/>
      <c r="B90" s="30" t="s">
        <v>185</v>
      </c>
      <c r="C90" s="50">
        <v>2</v>
      </c>
      <c r="D90" s="51">
        <v>700</v>
      </c>
      <c r="E90" s="52">
        <f t="shared" si="2"/>
        <v>1400</v>
      </c>
      <c r="F90" s="34" t="s">
        <v>29</v>
      </c>
      <c r="G90" s="34"/>
      <c r="H90" s="50"/>
      <c r="I90" s="50">
        <v>2</v>
      </c>
      <c r="J90" s="50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</row>
    <row r="91" ht="15.75" customHeight="1" spans="1:22">
      <c r="A91" s="29"/>
      <c r="B91" s="30" t="s">
        <v>56</v>
      </c>
      <c r="C91" s="50">
        <v>2</v>
      </c>
      <c r="D91" s="51">
        <v>700</v>
      </c>
      <c r="E91" s="52">
        <f t="shared" si="2"/>
        <v>1400</v>
      </c>
      <c r="F91" s="34" t="s">
        <v>29</v>
      </c>
      <c r="G91" s="34"/>
      <c r="H91" s="50"/>
      <c r="I91" s="50">
        <v>2</v>
      </c>
      <c r="J91" s="50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</row>
    <row r="92" ht="15.75" customHeight="1" spans="1:22">
      <c r="A92" s="29"/>
      <c r="B92" s="30" t="s">
        <v>57</v>
      </c>
      <c r="C92" s="50">
        <v>2</v>
      </c>
      <c r="D92" s="51">
        <v>700</v>
      </c>
      <c r="E92" s="52">
        <f t="shared" si="2"/>
        <v>1400</v>
      </c>
      <c r="F92" s="34" t="s">
        <v>29</v>
      </c>
      <c r="G92" s="34"/>
      <c r="H92" s="50"/>
      <c r="I92" s="50">
        <v>2</v>
      </c>
      <c r="J92" s="50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</row>
    <row r="93" ht="15.75" customHeight="1" spans="1:22">
      <c r="A93" s="29"/>
      <c r="B93" s="30" t="s">
        <v>186</v>
      </c>
      <c r="C93" s="50">
        <v>2</v>
      </c>
      <c r="D93" s="51">
        <v>700</v>
      </c>
      <c r="E93" s="52">
        <f t="shared" si="2"/>
        <v>1400</v>
      </c>
      <c r="F93" s="34" t="s">
        <v>29</v>
      </c>
      <c r="G93" s="34"/>
      <c r="H93" s="50"/>
      <c r="I93" s="50">
        <v>2</v>
      </c>
      <c r="J93" s="50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</row>
    <row r="94" ht="15.75" customHeight="1" spans="1:22">
      <c r="A94" s="29"/>
      <c r="B94" s="30" t="s">
        <v>187</v>
      </c>
      <c r="C94" s="50">
        <v>2</v>
      </c>
      <c r="D94" s="51">
        <v>700</v>
      </c>
      <c r="E94" s="52">
        <f t="shared" si="2"/>
        <v>1400</v>
      </c>
      <c r="F94" s="34" t="s">
        <v>29</v>
      </c>
      <c r="G94" s="34"/>
      <c r="H94" s="50"/>
      <c r="I94" s="50">
        <v>2</v>
      </c>
      <c r="J94" s="50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</row>
    <row r="95" ht="15.75" customHeight="1" spans="1:22">
      <c r="A95" s="29"/>
      <c r="B95" s="30" t="s">
        <v>62</v>
      </c>
      <c r="C95" s="50">
        <v>2</v>
      </c>
      <c r="D95" s="51">
        <v>700</v>
      </c>
      <c r="E95" s="52">
        <f t="shared" si="2"/>
        <v>1400</v>
      </c>
      <c r="F95" s="34" t="s">
        <v>29</v>
      </c>
      <c r="G95" s="34"/>
      <c r="H95" s="50"/>
      <c r="I95" s="50">
        <v>2</v>
      </c>
      <c r="J95" s="50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</row>
    <row r="96" ht="15.75" customHeight="1" spans="1:22">
      <c r="A96" s="29"/>
      <c r="B96" s="30" t="s">
        <v>63</v>
      </c>
      <c r="C96" s="50">
        <v>2</v>
      </c>
      <c r="D96" s="51">
        <v>700</v>
      </c>
      <c r="E96" s="52">
        <f t="shared" si="2"/>
        <v>1400</v>
      </c>
      <c r="F96" s="34" t="s">
        <v>29</v>
      </c>
      <c r="G96" s="34"/>
      <c r="H96" s="50"/>
      <c r="I96" s="50">
        <v>2</v>
      </c>
      <c r="J96" s="50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</row>
    <row r="97" ht="15.75" customHeight="1" spans="1:22">
      <c r="A97" s="29"/>
      <c r="B97" s="30" t="s">
        <v>64</v>
      </c>
      <c r="C97" s="50">
        <v>10</v>
      </c>
      <c r="D97" s="51">
        <v>500</v>
      </c>
      <c r="E97" s="52">
        <f t="shared" si="2"/>
        <v>5000</v>
      </c>
      <c r="F97" s="34" t="s">
        <v>29</v>
      </c>
      <c r="G97" s="34"/>
      <c r="H97" s="50"/>
      <c r="I97" s="50">
        <v>10</v>
      </c>
      <c r="J97" s="50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</row>
    <row r="98" ht="15.75" customHeight="1" spans="1:22">
      <c r="A98" s="29"/>
      <c r="B98" s="30" t="s">
        <v>65</v>
      </c>
      <c r="C98" s="50">
        <v>13</v>
      </c>
      <c r="D98" s="51">
        <v>900</v>
      </c>
      <c r="E98" s="52">
        <f t="shared" si="2"/>
        <v>11700</v>
      </c>
      <c r="F98" s="34" t="s">
        <v>29</v>
      </c>
      <c r="G98" s="34"/>
      <c r="H98" s="50"/>
      <c r="I98" s="50">
        <v>13</v>
      </c>
      <c r="J98" s="50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</row>
    <row r="99" ht="15.75" customHeight="1" spans="1:22">
      <c r="A99" s="29"/>
      <c r="B99" s="41" t="s">
        <v>188</v>
      </c>
      <c r="C99" s="50">
        <v>2</v>
      </c>
      <c r="D99" s="51">
        <v>5000</v>
      </c>
      <c r="E99" s="52">
        <f t="shared" si="2"/>
        <v>10000</v>
      </c>
      <c r="F99" s="34" t="s">
        <v>29</v>
      </c>
      <c r="G99" s="34"/>
      <c r="H99" s="50"/>
      <c r="I99" s="50">
        <v>2</v>
      </c>
      <c r="J99" s="50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</row>
    <row r="100" ht="15.75" customHeight="1" spans="1:22">
      <c r="A100" s="29"/>
      <c r="B100" s="34" t="s">
        <v>67</v>
      </c>
      <c r="C100" s="50">
        <v>60</v>
      </c>
      <c r="D100" s="51">
        <v>500</v>
      </c>
      <c r="E100" s="52">
        <f t="shared" si="2"/>
        <v>30000</v>
      </c>
      <c r="F100" s="34" t="s">
        <v>29</v>
      </c>
      <c r="G100" s="34"/>
      <c r="H100" s="50"/>
      <c r="I100" s="50">
        <v>60</v>
      </c>
      <c r="J100" s="50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</row>
    <row r="101" ht="15.75" customHeight="1" spans="1:22">
      <c r="A101" s="29"/>
      <c r="B101" s="34" t="s">
        <v>69</v>
      </c>
      <c r="C101" s="50">
        <v>20</v>
      </c>
      <c r="D101" s="51">
        <v>400</v>
      </c>
      <c r="E101" s="52">
        <f t="shared" si="2"/>
        <v>8000</v>
      </c>
      <c r="F101" s="34" t="s">
        <v>29</v>
      </c>
      <c r="G101" s="34"/>
      <c r="H101" s="50"/>
      <c r="I101" s="50">
        <v>20</v>
      </c>
      <c r="J101" s="50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</row>
    <row r="102" ht="15.75" customHeight="1" spans="1:22">
      <c r="A102" s="29"/>
      <c r="B102" s="34" t="s">
        <v>189</v>
      </c>
      <c r="C102" s="50">
        <v>4</v>
      </c>
      <c r="D102" s="51">
        <v>500</v>
      </c>
      <c r="E102" s="52">
        <f t="shared" si="2"/>
        <v>2000</v>
      </c>
      <c r="F102" s="34" t="s">
        <v>29</v>
      </c>
      <c r="G102" s="34"/>
      <c r="H102" s="50"/>
      <c r="I102" s="50">
        <v>4</v>
      </c>
      <c r="J102" s="50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</row>
    <row r="103" ht="15.75" customHeight="1" spans="1:22">
      <c r="A103" s="29"/>
      <c r="B103" s="34" t="s">
        <v>70</v>
      </c>
      <c r="C103" s="50">
        <v>4</v>
      </c>
      <c r="D103" s="51">
        <v>500</v>
      </c>
      <c r="E103" s="52">
        <f t="shared" si="2"/>
        <v>2000</v>
      </c>
      <c r="F103" s="34" t="s">
        <v>29</v>
      </c>
      <c r="G103" s="34"/>
      <c r="H103" s="50"/>
      <c r="I103" s="50">
        <v>4</v>
      </c>
      <c r="J103" s="50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</row>
    <row r="104" ht="15.75" customHeight="1" spans="1:22">
      <c r="A104" s="29"/>
      <c r="B104" s="34" t="s">
        <v>72</v>
      </c>
      <c r="C104" s="50">
        <v>100</v>
      </c>
      <c r="D104" s="51">
        <v>200</v>
      </c>
      <c r="E104" s="52">
        <f t="shared" si="2"/>
        <v>20000</v>
      </c>
      <c r="F104" s="34" t="s">
        <v>29</v>
      </c>
      <c r="G104" s="34"/>
      <c r="H104" s="50"/>
      <c r="I104" s="50">
        <v>100</v>
      </c>
      <c r="J104" s="50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</row>
    <row r="105" ht="15.75" customHeight="1" spans="1:22">
      <c r="A105" s="29"/>
      <c r="B105" s="34" t="s">
        <v>73</v>
      </c>
      <c r="C105" s="50">
        <v>100</v>
      </c>
      <c r="D105" s="51">
        <v>1000</v>
      </c>
      <c r="E105" s="52">
        <f t="shared" si="2"/>
        <v>100000</v>
      </c>
      <c r="F105" s="34" t="s">
        <v>29</v>
      </c>
      <c r="G105" s="34"/>
      <c r="H105" s="50"/>
      <c r="I105" s="50">
        <v>100</v>
      </c>
      <c r="J105" s="50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</row>
    <row r="106" ht="15.75" customHeight="1" spans="1:22">
      <c r="A106" s="29"/>
      <c r="B106" s="34" t="s">
        <v>190</v>
      </c>
      <c r="C106" s="50">
        <v>3</v>
      </c>
      <c r="D106" s="51">
        <v>500</v>
      </c>
      <c r="E106" s="52">
        <f t="shared" si="2"/>
        <v>1500</v>
      </c>
      <c r="F106" s="34" t="s">
        <v>29</v>
      </c>
      <c r="G106" s="34"/>
      <c r="H106" s="50"/>
      <c r="I106" s="50">
        <v>3</v>
      </c>
      <c r="J106" s="50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</row>
    <row r="107" ht="15.75" customHeight="1" spans="1:22">
      <c r="A107" s="29"/>
      <c r="B107" s="34" t="s">
        <v>191</v>
      </c>
      <c r="C107" s="50">
        <v>100</v>
      </c>
      <c r="D107" s="51">
        <v>100</v>
      </c>
      <c r="E107" s="52">
        <f t="shared" si="2"/>
        <v>10000</v>
      </c>
      <c r="F107" s="34" t="s">
        <v>29</v>
      </c>
      <c r="G107" s="34"/>
      <c r="H107" s="50"/>
      <c r="I107" s="50">
        <v>100</v>
      </c>
      <c r="J107" s="50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</row>
    <row r="108" ht="15.75" customHeight="1" spans="1:22">
      <c r="A108" s="29"/>
      <c r="B108" s="34" t="s">
        <v>192</v>
      </c>
      <c r="C108" s="50">
        <v>10</v>
      </c>
      <c r="D108" s="51">
        <v>35000</v>
      </c>
      <c r="E108" s="52">
        <f t="shared" si="2"/>
        <v>350000</v>
      </c>
      <c r="F108" s="34" t="s">
        <v>29</v>
      </c>
      <c r="G108" s="34"/>
      <c r="H108" s="50"/>
      <c r="I108" s="50">
        <v>10</v>
      </c>
      <c r="J108" s="50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</row>
    <row r="109" ht="15.75" customHeight="1" spans="1:22">
      <c r="A109" s="29"/>
      <c r="B109" s="34" t="s">
        <v>74</v>
      </c>
      <c r="C109" s="50">
        <v>100</v>
      </c>
      <c r="D109" s="51">
        <v>4500</v>
      </c>
      <c r="E109" s="52">
        <f t="shared" si="2"/>
        <v>450000</v>
      </c>
      <c r="F109" s="34" t="s">
        <v>29</v>
      </c>
      <c r="G109" s="34"/>
      <c r="H109" s="50"/>
      <c r="I109" s="50">
        <v>100</v>
      </c>
      <c r="J109" s="50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</row>
    <row r="110" ht="15.75" customHeight="1" spans="1:22">
      <c r="A110" s="29"/>
      <c r="B110" s="34" t="s">
        <v>75</v>
      </c>
      <c r="C110" s="50">
        <v>20</v>
      </c>
      <c r="D110" s="51">
        <v>10000</v>
      </c>
      <c r="E110" s="52">
        <f t="shared" si="2"/>
        <v>200000</v>
      </c>
      <c r="F110" s="34" t="s">
        <v>29</v>
      </c>
      <c r="G110" s="34"/>
      <c r="H110" s="50"/>
      <c r="I110" s="50">
        <v>20</v>
      </c>
      <c r="J110" s="50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</row>
    <row r="111" ht="15.75" customHeight="1" spans="1:22">
      <c r="A111" s="29"/>
      <c r="B111" s="34" t="s">
        <v>193</v>
      </c>
      <c r="C111" s="50">
        <v>40</v>
      </c>
      <c r="D111" s="51">
        <v>3500</v>
      </c>
      <c r="E111" s="52">
        <f t="shared" si="2"/>
        <v>140000</v>
      </c>
      <c r="F111" s="34" t="s">
        <v>29</v>
      </c>
      <c r="G111" s="34"/>
      <c r="H111" s="50"/>
      <c r="I111" s="50">
        <v>40</v>
      </c>
      <c r="J111" s="50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</row>
    <row r="112" ht="15.75" customHeight="1" spans="1:22">
      <c r="A112" s="29"/>
      <c r="B112" s="34" t="s">
        <v>76</v>
      </c>
      <c r="C112" s="50">
        <v>20</v>
      </c>
      <c r="D112" s="51">
        <v>500</v>
      </c>
      <c r="E112" s="52">
        <f t="shared" si="2"/>
        <v>10000</v>
      </c>
      <c r="F112" s="34" t="s">
        <v>29</v>
      </c>
      <c r="G112" s="34"/>
      <c r="H112" s="50"/>
      <c r="I112" s="50">
        <v>20</v>
      </c>
      <c r="J112" s="50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</row>
    <row r="113" ht="15.75" customHeight="1" spans="1:22">
      <c r="A113" s="29"/>
      <c r="B113" s="34" t="s">
        <v>77</v>
      </c>
      <c r="C113" s="50">
        <v>20</v>
      </c>
      <c r="D113" s="51">
        <v>500</v>
      </c>
      <c r="E113" s="52">
        <f t="shared" si="2"/>
        <v>10000</v>
      </c>
      <c r="F113" s="34" t="s">
        <v>29</v>
      </c>
      <c r="G113" s="34"/>
      <c r="H113" s="50"/>
      <c r="I113" s="50">
        <v>20</v>
      </c>
      <c r="J113" s="50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</row>
    <row r="114" ht="15.75" customHeight="1" spans="1:22">
      <c r="A114" s="29"/>
      <c r="B114" s="34" t="s">
        <v>78</v>
      </c>
      <c r="C114" s="50">
        <v>10</v>
      </c>
      <c r="D114" s="51">
        <v>300</v>
      </c>
      <c r="E114" s="52">
        <f t="shared" si="2"/>
        <v>3000</v>
      </c>
      <c r="F114" s="34" t="s">
        <v>29</v>
      </c>
      <c r="G114" s="34"/>
      <c r="H114" s="50"/>
      <c r="I114" s="50">
        <v>10</v>
      </c>
      <c r="J114" s="50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</row>
    <row r="115" ht="15.75" customHeight="1" spans="1:22">
      <c r="A115" s="29"/>
      <c r="B115" s="34" t="s">
        <v>194</v>
      </c>
      <c r="C115" s="50">
        <v>20</v>
      </c>
      <c r="D115" s="51">
        <v>150</v>
      </c>
      <c r="E115" s="52">
        <f t="shared" si="2"/>
        <v>3000</v>
      </c>
      <c r="F115" s="34" t="s">
        <v>29</v>
      </c>
      <c r="G115" s="34"/>
      <c r="H115" s="50"/>
      <c r="I115" s="50">
        <v>20</v>
      </c>
      <c r="J115" s="50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</row>
    <row r="116" ht="15.75" customHeight="1" spans="1:22">
      <c r="A116" s="29"/>
      <c r="B116" s="41" t="s">
        <v>79</v>
      </c>
      <c r="C116" s="50">
        <v>500</v>
      </c>
      <c r="D116" s="51">
        <v>10</v>
      </c>
      <c r="E116" s="52">
        <f t="shared" si="2"/>
        <v>5000</v>
      </c>
      <c r="F116" s="34" t="s">
        <v>29</v>
      </c>
      <c r="G116" s="34"/>
      <c r="H116" s="50"/>
      <c r="I116" s="50">
        <v>500</v>
      </c>
      <c r="J116" s="50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</row>
    <row r="117" ht="15.75" customHeight="1" spans="1:22">
      <c r="A117" s="29"/>
      <c r="B117" s="34" t="s">
        <v>195</v>
      </c>
      <c r="C117" s="50">
        <v>1</v>
      </c>
      <c r="D117" s="51">
        <v>7000</v>
      </c>
      <c r="E117" s="52">
        <f t="shared" si="2"/>
        <v>7000</v>
      </c>
      <c r="F117" s="34" t="s">
        <v>29</v>
      </c>
      <c r="G117" s="34"/>
      <c r="H117" s="50"/>
      <c r="I117" s="50">
        <v>1</v>
      </c>
      <c r="J117" s="50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</row>
    <row r="118" ht="15.75" customHeight="1" spans="1:22">
      <c r="A118" s="29"/>
      <c r="B118" s="34" t="s">
        <v>80</v>
      </c>
      <c r="C118" s="50">
        <v>20</v>
      </c>
      <c r="D118" s="51">
        <v>100</v>
      </c>
      <c r="E118" s="52">
        <f t="shared" si="2"/>
        <v>2000</v>
      </c>
      <c r="F118" s="34" t="s">
        <v>29</v>
      </c>
      <c r="G118" s="34"/>
      <c r="H118" s="50"/>
      <c r="I118" s="50">
        <v>20</v>
      </c>
      <c r="J118" s="50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</row>
    <row r="119" ht="15.75" customHeight="1" spans="1:22">
      <c r="A119" s="29"/>
      <c r="B119" s="34" t="s">
        <v>196</v>
      </c>
      <c r="C119" s="50">
        <v>5</v>
      </c>
      <c r="D119" s="51">
        <v>1500</v>
      </c>
      <c r="E119" s="52">
        <f t="shared" si="2"/>
        <v>7500</v>
      </c>
      <c r="F119" s="34" t="s">
        <v>29</v>
      </c>
      <c r="G119" s="34"/>
      <c r="H119" s="50"/>
      <c r="I119" s="50">
        <v>5</v>
      </c>
      <c r="J119" s="50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</row>
    <row r="120" ht="15.75" customHeight="1" spans="1:22">
      <c r="A120" s="29"/>
      <c r="B120" s="34" t="s">
        <v>81</v>
      </c>
      <c r="C120" s="50">
        <v>20</v>
      </c>
      <c r="D120" s="51">
        <v>400</v>
      </c>
      <c r="E120" s="52">
        <f>C120*D120</f>
        <v>8000</v>
      </c>
      <c r="F120" s="34" t="s">
        <v>29</v>
      </c>
      <c r="G120" s="34"/>
      <c r="H120" s="50"/>
      <c r="I120" s="50">
        <v>20</v>
      </c>
      <c r="J120" s="50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</row>
    <row r="121" ht="53.25" customHeight="1" spans="1:26">
      <c r="A121" s="29"/>
      <c r="B121" s="67" t="s">
        <v>197</v>
      </c>
      <c r="C121" s="50">
        <v>2</v>
      </c>
      <c r="D121" s="51">
        <v>7500</v>
      </c>
      <c r="E121" s="52">
        <f t="shared" ref="E121:E129" si="3">D121*C121</f>
        <v>15000</v>
      </c>
      <c r="F121" s="68" t="s">
        <v>29</v>
      </c>
      <c r="G121" s="68"/>
      <c r="H121" s="50"/>
      <c r="I121" s="50">
        <v>2</v>
      </c>
      <c r="J121" s="50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5"/>
      <c r="X121" s="5"/>
      <c r="Y121" s="5"/>
      <c r="Z121" s="5"/>
    </row>
    <row r="122" ht="42.75" spans="1:22">
      <c r="A122" s="29"/>
      <c r="B122" s="69" t="s">
        <v>198</v>
      </c>
      <c r="C122" s="50">
        <v>3</v>
      </c>
      <c r="D122" s="51">
        <v>1500</v>
      </c>
      <c r="E122" s="52">
        <f t="shared" si="3"/>
        <v>4500</v>
      </c>
      <c r="F122" s="68" t="s">
        <v>29</v>
      </c>
      <c r="G122" s="34"/>
      <c r="H122" s="50"/>
      <c r="I122" s="50">
        <v>3</v>
      </c>
      <c r="J122" s="50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</row>
    <row r="123" spans="1:22">
      <c r="A123" s="29"/>
      <c r="B123" s="34" t="s">
        <v>199</v>
      </c>
      <c r="C123" s="50">
        <v>3</v>
      </c>
      <c r="D123" s="51">
        <v>2000</v>
      </c>
      <c r="E123" s="52">
        <f t="shared" si="3"/>
        <v>6000</v>
      </c>
      <c r="F123" s="34" t="s">
        <v>29</v>
      </c>
      <c r="G123" s="34"/>
      <c r="H123" s="50"/>
      <c r="I123" s="50">
        <v>3</v>
      </c>
      <c r="J123" s="50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</row>
    <row r="124" ht="15.75" customHeight="1" spans="1:22">
      <c r="A124" s="29"/>
      <c r="B124" s="34" t="s">
        <v>84</v>
      </c>
      <c r="C124" s="50">
        <v>10</v>
      </c>
      <c r="D124" s="51">
        <v>100</v>
      </c>
      <c r="E124" s="52">
        <f t="shared" si="3"/>
        <v>1000</v>
      </c>
      <c r="F124" s="34" t="s">
        <v>29</v>
      </c>
      <c r="G124" s="34"/>
      <c r="H124" s="50"/>
      <c r="I124" s="50">
        <v>10</v>
      </c>
      <c r="J124" s="50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</row>
    <row r="125" ht="28.5" spans="1:22">
      <c r="A125" s="29"/>
      <c r="B125" s="69" t="s">
        <v>85</v>
      </c>
      <c r="C125" s="50">
        <v>10</v>
      </c>
      <c r="D125" s="51">
        <v>300</v>
      </c>
      <c r="E125" s="52">
        <f t="shared" si="3"/>
        <v>3000</v>
      </c>
      <c r="F125" s="34" t="s">
        <v>29</v>
      </c>
      <c r="G125" s="34"/>
      <c r="H125" s="50"/>
      <c r="I125" s="50">
        <v>10</v>
      </c>
      <c r="J125" s="50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</row>
    <row r="126" spans="1:22">
      <c r="A126" s="29"/>
      <c r="B126" s="34" t="s">
        <v>86</v>
      </c>
      <c r="C126" s="50">
        <v>5</v>
      </c>
      <c r="D126" s="51">
        <v>500</v>
      </c>
      <c r="E126" s="52">
        <f t="shared" si="3"/>
        <v>2500</v>
      </c>
      <c r="F126" s="34" t="s">
        <v>29</v>
      </c>
      <c r="G126" s="34"/>
      <c r="H126" s="50"/>
      <c r="I126" s="50">
        <v>5</v>
      </c>
      <c r="J126" s="50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</row>
    <row r="127" ht="15.75" customHeight="1" spans="1:22">
      <c r="A127" s="29"/>
      <c r="B127" s="41" t="s">
        <v>87</v>
      </c>
      <c r="C127" s="50">
        <v>10</v>
      </c>
      <c r="D127" s="51">
        <v>100</v>
      </c>
      <c r="E127" s="52">
        <f t="shared" si="3"/>
        <v>1000</v>
      </c>
      <c r="F127" s="34" t="s">
        <v>29</v>
      </c>
      <c r="G127" s="34"/>
      <c r="H127" s="50"/>
      <c r="I127" s="50">
        <v>10</v>
      </c>
      <c r="J127" s="50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</row>
    <row r="128" ht="15.75" customHeight="1" spans="1:22">
      <c r="A128" s="29"/>
      <c r="B128" s="41" t="s">
        <v>88</v>
      </c>
      <c r="C128" s="50">
        <v>30</v>
      </c>
      <c r="D128" s="51">
        <v>80</v>
      </c>
      <c r="E128" s="52">
        <f t="shared" si="3"/>
        <v>2400</v>
      </c>
      <c r="F128" s="34" t="s">
        <v>29</v>
      </c>
      <c r="G128" s="34"/>
      <c r="H128" s="50"/>
      <c r="I128" s="50">
        <v>30</v>
      </c>
      <c r="J128" s="50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</row>
    <row r="129" ht="15.75" customHeight="1" spans="1:22">
      <c r="A129" s="29"/>
      <c r="B129" s="41" t="s">
        <v>89</v>
      </c>
      <c r="C129" s="50">
        <v>20</v>
      </c>
      <c r="D129" s="51">
        <v>100</v>
      </c>
      <c r="E129" s="52">
        <f t="shared" si="3"/>
        <v>2000</v>
      </c>
      <c r="F129" s="34" t="s">
        <v>29</v>
      </c>
      <c r="G129" s="34"/>
      <c r="H129" s="50"/>
      <c r="I129" s="50">
        <v>20</v>
      </c>
      <c r="J129" s="50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</row>
    <row r="130" ht="15.75" customHeight="1" spans="1:22">
      <c r="A130" s="29"/>
      <c r="B130" s="30"/>
      <c r="C130" s="50"/>
      <c r="D130" s="51"/>
      <c r="E130" s="52"/>
      <c r="F130" s="34"/>
      <c r="G130" s="34"/>
      <c r="H130" s="34"/>
      <c r="I130" s="34"/>
      <c r="J130" s="31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</row>
    <row r="131" ht="15.75" customHeight="1" spans="1:22">
      <c r="A131" s="29"/>
      <c r="B131" s="71" t="s">
        <v>96</v>
      </c>
      <c r="C131" s="34"/>
      <c r="D131" s="34"/>
      <c r="E131" s="34"/>
      <c r="F131" s="34"/>
      <c r="G131" s="34"/>
      <c r="H131" s="34"/>
      <c r="I131" s="34"/>
      <c r="J131" s="31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</row>
    <row r="132" ht="15.75" customHeight="1" spans="1:22">
      <c r="A132" s="29"/>
      <c r="B132" s="30" t="s">
        <v>97</v>
      </c>
      <c r="C132" s="50">
        <v>2</v>
      </c>
      <c r="D132" s="51">
        <v>2500</v>
      </c>
      <c r="E132" s="52">
        <f>D132*C132</f>
        <v>5000</v>
      </c>
      <c r="F132" s="34"/>
      <c r="G132" s="34"/>
      <c r="H132" s="31"/>
      <c r="I132" s="31">
        <v>2</v>
      </c>
      <c r="J132" s="31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</row>
    <row r="133" ht="15.75" customHeight="1" spans="1:22">
      <c r="A133" s="29"/>
      <c r="B133" s="50"/>
      <c r="C133" s="50"/>
      <c r="D133" s="51"/>
      <c r="E133" s="52"/>
      <c r="F133" s="34"/>
      <c r="G133" s="34"/>
      <c r="H133" s="31"/>
      <c r="I133" s="31"/>
      <c r="J133" s="31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</row>
    <row r="134" ht="15.75" customHeight="1" spans="1:22">
      <c r="A134" s="29"/>
      <c r="B134" s="71" t="s">
        <v>98</v>
      </c>
      <c r="C134" s="50"/>
      <c r="D134" s="51"/>
      <c r="E134" s="52"/>
      <c r="F134" s="34"/>
      <c r="G134" s="34"/>
      <c r="H134" s="31"/>
      <c r="I134" s="31"/>
      <c r="J134" s="31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</row>
    <row r="135" ht="15.75" customHeight="1" spans="1:22">
      <c r="A135" s="29"/>
      <c r="B135" s="30" t="s">
        <v>99</v>
      </c>
      <c r="C135" s="72">
        <v>2</v>
      </c>
      <c r="D135" s="66">
        <v>13000</v>
      </c>
      <c r="E135" s="32">
        <f t="shared" ref="E135:E138" si="4">D135*C135</f>
        <v>26000</v>
      </c>
      <c r="F135" s="34"/>
      <c r="G135" s="34"/>
      <c r="H135" s="31"/>
      <c r="I135" s="31">
        <v>2</v>
      </c>
      <c r="J135" s="31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</row>
    <row r="136" ht="15.75" customHeight="1" spans="1:22">
      <c r="A136" s="29"/>
      <c r="B136" s="49" t="s">
        <v>100</v>
      </c>
      <c r="C136" s="31">
        <v>1</v>
      </c>
      <c r="D136" s="73">
        <v>1550</v>
      </c>
      <c r="E136" s="74">
        <f t="shared" si="4"/>
        <v>1550</v>
      </c>
      <c r="F136" s="75"/>
      <c r="G136" s="34"/>
      <c r="H136" s="31"/>
      <c r="I136" s="31">
        <v>1</v>
      </c>
      <c r="J136" s="31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</row>
    <row r="137" ht="15.75" customHeight="1" spans="1:22">
      <c r="A137" s="29"/>
      <c r="B137" s="30" t="s">
        <v>101</v>
      </c>
      <c r="C137" s="50">
        <v>1</v>
      </c>
      <c r="D137" s="51">
        <v>500</v>
      </c>
      <c r="E137" s="74">
        <f t="shared" si="4"/>
        <v>500</v>
      </c>
      <c r="F137" s="34"/>
      <c r="G137" s="34"/>
      <c r="H137" s="31"/>
      <c r="I137" s="31">
        <v>1</v>
      </c>
      <c r="J137" s="31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</row>
    <row r="138" ht="15.75" customHeight="1" spans="1:22">
      <c r="A138" s="29"/>
      <c r="B138" s="49" t="s">
        <v>200</v>
      </c>
      <c r="C138" s="50">
        <v>1</v>
      </c>
      <c r="D138" s="51">
        <v>120000</v>
      </c>
      <c r="E138" s="52">
        <f t="shared" si="4"/>
        <v>120000</v>
      </c>
      <c r="F138" s="34"/>
      <c r="G138" s="34"/>
      <c r="H138" s="34"/>
      <c r="I138" s="34"/>
      <c r="J138" s="31">
        <v>1</v>
      </c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</row>
    <row r="139" ht="15.75" customHeight="1" spans="1:22">
      <c r="A139" s="29"/>
      <c r="B139" s="49" t="s">
        <v>103</v>
      </c>
      <c r="C139" s="50">
        <v>2</v>
      </c>
      <c r="D139" s="51">
        <v>60000</v>
      </c>
      <c r="E139" s="66">
        <v>60000</v>
      </c>
      <c r="F139" s="34"/>
      <c r="G139" s="34"/>
      <c r="H139" s="34"/>
      <c r="I139" s="34"/>
      <c r="J139" s="31">
        <v>2</v>
      </c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</row>
    <row r="140" ht="15.75" customHeight="1" spans="1:22">
      <c r="A140" s="29"/>
      <c r="B140" s="71" t="s">
        <v>104</v>
      </c>
      <c r="C140" s="50"/>
      <c r="D140" s="51"/>
      <c r="E140" s="76"/>
      <c r="F140" s="34"/>
      <c r="G140" s="34"/>
      <c r="H140" s="34"/>
      <c r="I140" s="31"/>
      <c r="J140" s="50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</row>
    <row r="141" ht="15.75" customHeight="1" spans="1:22">
      <c r="A141" s="29"/>
      <c r="B141" s="49" t="s">
        <v>105</v>
      </c>
      <c r="C141" s="50">
        <v>1</v>
      </c>
      <c r="D141" s="51">
        <v>50000</v>
      </c>
      <c r="E141" s="51">
        <v>50000</v>
      </c>
      <c r="F141" s="34"/>
      <c r="G141" s="34"/>
      <c r="H141" s="34"/>
      <c r="I141" s="31">
        <v>1</v>
      </c>
      <c r="J141" s="50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</row>
    <row r="142" ht="15.75" customHeight="1" spans="1:22">
      <c r="A142" s="29"/>
      <c r="B142" s="71" t="s">
        <v>106</v>
      </c>
      <c r="C142" s="50"/>
      <c r="D142" s="51"/>
      <c r="E142" s="77"/>
      <c r="F142" s="34"/>
      <c r="G142" s="34"/>
      <c r="H142" s="50"/>
      <c r="I142" s="31"/>
      <c r="J142" s="31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</row>
    <row r="143" ht="15.75" customHeight="1" spans="1:22">
      <c r="A143" s="29"/>
      <c r="B143" s="78" t="s">
        <v>107</v>
      </c>
      <c r="C143" s="50">
        <v>1</v>
      </c>
      <c r="D143" s="51">
        <v>50000</v>
      </c>
      <c r="E143" s="52">
        <f>D143*C143</f>
        <v>50000</v>
      </c>
      <c r="F143" s="34" t="s">
        <v>108</v>
      </c>
      <c r="G143" s="34"/>
      <c r="H143" s="50"/>
      <c r="I143" s="31">
        <v>2</v>
      </c>
      <c r="J143" s="31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</row>
    <row r="144" ht="15.75" customHeight="1" spans="1:22">
      <c r="A144" s="29"/>
      <c r="B144" s="49" t="s">
        <v>109</v>
      </c>
      <c r="C144" s="50">
        <v>1</v>
      </c>
      <c r="D144" s="51">
        <v>581300</v>
      </c>
      <c r="E144" s="52">
        <v>581300</v>
      </c>
      <c r="F144" s="34"/>
      <c r="G144" s="34"/>
      <c r="H144" s="36"/>
      <c r="I144" s="34">
        <v>1</v>
      </c>
      <c r="J144" s="50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</row>
    <row r="145" ht="15.75" customHeight="1" spans="1:22">
      <c r="A145" s="29"/>
      <c r="B145" s="49" t="s">
        <v>201</v>
      </c>
      <c r="C145" s="50">
        <v>1</v>
      </c>
      <c r="D145" s="51">
        <v>918700</v>
      </c>
      <c r="E145" s="52">
        <f>D145*C145</f>
        <v>918700</v>
      </c>
      <c r="F145" s="34"/>
      <c r="G145" s="34"/>
      <c r="H145" s="34"/>
      <c r="I145" s="34"/>
      <c r="J145" s="50">
        <v>1</v>
      </c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</row>
    <row r="146" ht="15.75" customHeight="1" spans="1:22">
      <c r="A146" s="29"/>
      <c r="B146" s="71" t="s">
        <v>110</v>
      </c>
      <c r="C146" s="50"/>
      <c r="D146" s="51"/>
      <c r="E146" s="52"/>
      <c r="F146" s="34"/>
      <c r="G146" s="34"/>
      <c r="H146" s="34"/>
      <c r="I146" s="34"/>
      <c r="J146" s="31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</row>
    <row r="147" ht="15.75" customHeight="1" spans="1:22">
      <c r="A147" s="29"/>
      <c r="B147" s="49" t="s">
        <v>111</v>
      </c>
      <c r="C147" s="50">
        <v>1</v>
      </c>
      <c r="D147" s="51">
        <v>135000</v>
      </c>
      <c r="E147" s="52">
        <f>D147*C147</f>
        <v>135000</v>
      </c>
      <c r="F147" s="34"/>
      <c r="G147" s="34"/>
      <c r="H147" s="34"/>
      <c r="I147" s="34"/>
      <c r="J147" s="31">
        <v>1</v>
      </c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</row>
    <row r="148" ht="15.75" customHeight="1" spans="1:22">
      <c r="A148" s="29"/>
      <c r="B148" s="30"/>
      <c r="C148" s="50"/>
      <c r="D148" s="51"/>
      <c r="E148" s="52"/>
      <c r="F148" s="34"/>
      <c r="G148" s="34"/>
      <c r="H148" s="34"/>
      <c r="I148" s="34"/>
      <c r="J148" s="31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</row>
    <row r="149" ht="15.75" customHeight="1" spans="1:22">
      <c r="A149" s="29"/>
      <c r="B149" s="30"/>
      <c r="C149" s="50"/>
      <c r="D149" s="51"/>
      <c r="E149" s="52"/>
      <c r="F149" s="34"/>
      <c r="G149" s="34"/>
      <c r="H149" s="34"/>
      <c r="I149" s="34"/>
      <c r="J149" s="31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</row>
    <row r="150" ht="15.75" hidden="1" customHeight="1" spans="1:22">
      <c r="A150" s="29"/>
      <c r="B150" s="30"/>
      <c r="C150" s="50"/>
      <c r="D150" s="51"/>
      <c r="E150" s="52"/>
      <c r="F150" s="34"/>
      <c r="G150" s="34"/>
      <c r="H150" s="34"/>
      <c r="I150" s="34"/>
      <c r="J150" s="31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</row>
    <row r="151" ht="15.75" hidden="1" customHeight="1" spans="1:22">
      <c r="A151" s="29"/>
      <c r="B151" s="30"/>
      <c r="C151" s="50"/>
      <c r="D151" s="51"/>
      <c r="E151" s="52"/>
      <c r="F151" s="34"/>
      <c r="G151" s="34"/>
      <c r="H151" s="34"/>
      <c r="I151" s="34"/>
      <c r="J151" s="31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</row>
    <row r="152" ht="15.75" hidden="1" customHeight="1" spans="1:22">
      <c r="A152" s="29"/>
      <c r="B152" s="30"/>
      <c r="C152" s="50"/>
      <c r="D152" s="51"/>
      <c r="E152" s="52"/>
      <c r="F152" s="34"/>
      <c r="G152" s="34"/>
      <c r="H152" s="34"/>
      <c r="I152" s="34"/>
      <c r="J152" s="31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</row>
    <row r="153" ht="15.75" hidden="1" customHeight="1" spans="1:22">
      <c r="A153" s="29"/>
      <c r="B153" s="30"/>
      <c r="C153" s="50"/>
      <c r="D153" s="51"/>
      <c r="E153" s="52"/>
      <c r="F153" s="34"/>
      <c r="G153" s="34"/>
      <c r="H153" s="34"/>
      <c r="I153" s="34"/>
      <c r="J153" s="31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</row>
    <row r="154" ht="15.75" hidden="1" customHeight="1" spans="1:22">
      <c r="A154" s="29"/>
      <c r="B154" s="30"/>
      <c r="C154" s="50"/>
      <c r="D154" s="51"/>
      <c r="E154" s="52"/>
      <c r="F154" s="34"/>
      <c r="G154" s="34"/>
      <c r="H154" s="34"/>
      <c r="I154" s="34"/>
      <c r="J154" s="31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</row>
    <row r="155" ht="15.75" hidden="1" customHeight="1" spans="1:22">
      <c r="A155" s="29"/>
      <c r="B155" s="30"/>
      <c r="C155" s="50"/>
      <c r="D155" s="51"/>
      <c r="E155" s="52"/>
      <c r="F155" s="34"/>
      <c r="G155" s="34"/>
      <c r="H155" s="34"/>
      <c r="I155" s="34"/>
      <c r="J155" s="31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</row>
    <row r="156" ht="15.75" hidden="1" customHeight="1" spans="1:22">
      <c r="A156" s="79"/>
      <c r="B156" s="41"/>
      <c r="C156" s="72"/>
      <c r="D156" s="66"/>
      <c r="E156" s="77"/>
      <c r="F156" s="34"/>
      <c r="G156" s="34"/>
      <c r="H156" s="34"/>
      <c r="I156" s="34"/>
      <c r="J156" s="31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</row>
    <row r="157" ht="15.75" hidden="1" customHeight="1" spans="1:22">
      <c r="A157" s="29"/>
      <c r="B157" s="62" t="s">
        <v>112</v>
      </c>
      <c r="C157" s="63"/>
      <c r="D157" s="64"/>
      <c r="E157" s="65"/>
      <c r="F157" s="63"/>
      <c r="G157" s="63"/>
      <c r="H157" s="63"/>
      <c r="I157" s="63"/>
      <c r="J157" s="70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</row>
    <row r="158" ht="15.75" hidden="1" customHeight="1" spans="1:22">
      <c r="A158" s="29"/>
      <c r="B158" s="30"/>
      <c r="C158" s="50"/>
      <c r="D158" s="51"/>
      <c r="E158" s="52"/>
      <c r="F158" s="34"/>
      <c r="G158" s="34"/>
      <c r="H158" s="34"/>
      <c r="I158" s="34"/>
      <c r="J158" s="31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</row>
    <row r="159" ht="15.75" hidden="1" customHeight="1" spans="1:22">
      <c r="A159" s="29"/>
      <c r="B159" s="30"/>
      <c r="C159" s="50"/>
      <c r="D159" s="51"/>
      <c r="E159" s="52"/>
      <c r="F159" s="34"/>
      <c r="G159" s="34"/>
      <c r="H159" s="34"/>
      <c r="I159" s="34"/>
      <c r="J159" s="31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</row>
    <row r="160" ht="15.75" hidden="1" customHeight="1" spans="1:22">
      <c r="A160" s="29"/>
      <c r="B160" s="30"/>
      <c r="C160" s="50"/>
      <c r="D160" s="51"/>
      <c r="E160" s="52"/>
      <c r="F160" s="34"/>
      <c r="G160" s="34"/>
      <c r="H160" s="34"/>
      <c r="I160" s="34"/>
      <c r="J160" s="31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</row>
    <row r="161" ht="15.75" hidden="1" customHeight="1" spans="1:22">
      <c r="A161" s="29"/>
      <c r="B161" s="30"/>
      <c r="C161" s="50"/>
      <c r="D161" s="51"/>
      <c r="E161" s="52"/>
      <c r="F161" s="34"/>
      <c r="G161" s="34"/>
      <c r="H161" s="34"/>
      <c r="I161" s="34"/>
      <c r="J161" s="31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</row>
    <row r="162" ht="15.75" hidden="1" customHeight="1" spans="1:22">
      <c r="A162" s="29"/>
      <c r="B162" s="62" t="s">
        <v>113</v>
      </c>
      <c r="C162" s="63"/>
      <c r="D162" s="64"/>
      <c r="E162" s="65"/>
      <c r="F162" s="63"/>
      <c r="G162" s="63"/>
      <c r="H162" s="63"/>
      <c r="I162" s="63"/>
      <c r="J162" s="70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</row>
    <row r="163" ht="15.75" hidden="1" customHeight="1" spans="1:22">
      <c r="A163" s="29"/>
      <c r="B163" s="30"/>
      <c r="C163" s="50"/>
      <c r="D163" s="51"/>
      <c r="E163" s="52"/>
      <c r="F163" s="34"/>
      <c r="G163" s="34"/>
      <c r="H163" s="34"/>
      <c r="I163" s="34"/>
      <c r="J163" s="31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</row>
    <row r="164" ht="15.75" hidden="1" customHeight="1" spans="1:22">
      <c r="A164" s="29"/>
      <c r="B164" s="30"/>
      <c r="C164" s="50"/>
      <c r="D164" s="51"/>
      <c r="E164" s="52"/>
      <c r="F164" s="34"/>
      <c r="G164" s="34"/>
      <c r="H164" s="34"/>
      <c r="I164" s="34"/>
      <c r="J164" s="31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</row>
    <row r="165" ht="15.75" hidden="1" customHeight="1" spans="1:22">
      <c r="A165" s="29"/>
      <c r="B165" s="30"/>
      <c r="C165" s="50"/>
      <c r="D165" s="51"/>
      <c r="E165" s="52"/>
      <c r="F165" s="34"/>
      <c r="G165" s="34"/>
      <c r="H165" s="34"/>
      <c r="I165" s="34"/>
      <c r="J165" s="31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</row>
    <row r="166" ht="15.75" customHeight="1" spans="1:22">
      <c r="A166" s="79"/>
      <c r="B166" s="80" t="s">
        <v>114</v>
      </c>
      <c r="C166" s="81"/>
      <c r="D166" s="81"/>
      <c r="E166" s="81"/>
      <c r="F166" s="81"/>
      <c r="G166" s="81"/>
      <c r="H166" s="81"/>
      <c r="I166" s="95"/>
      <c r="J166" s="31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</row>
    <row r="167" ht="15.75" customHeight="1" spans="1:22">
      <c r="A167" s="82"/>
      <c r="B167" s="83"/>
      <c r="C167" s="9"/>
      <c r="D167" s="10"/>
      <c r="E167" s="84"/>
      <c r="F167" s="12"/>
      <c r="G167" s="12"/>
      <c r="H167" s="9"/>
      <c r="I167" s="9"/>
      <c r="J167" s="2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ht="15.75" customHeight="1" spans="1:22">
      <c r="A168" s="85" t="s">
        <v>115</v>
      </c>
      <c r="B168" s="5"/>
      <c r="C168" s="86">
        <f>SUM(E10:E149)</f>
        <v>6663575</v>
      </c>
      <c r="F168" s="12"/>
      <c r="G168" s="12"/>
      <c r="H168" s="9"/>
      <c r="I168" s="9"/>
      <c r="J168" s="2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ht="15.75" hidden="1" customHeight="1" spans="1:22">
      <c r="A169" s="87" t="s">
        <v>116</v>
      </c>
      <c r="B169" s="88"/>
      <c r="C169" s="89">
        <f>PRODUCT(C168,0.1)</f>
        <v>666357.5</v>
      </c>
      <c r="D169" s="90"/>
      <c r="E169" s="91"/>
      <c r="F169" s="12"/>
      <c r="G169" s="12"/>
      <c r="H169" s="92"/>
      <c r="J169" s="92"/>
      <c r="U169" s="92"/>
      <c r="V169" s="9"/>
    </row>
    <row r="170" ht="15.75" hidden="1" customHeight="1" spans="1:22">
      <c r="A170" s="93" t="s">
        <v>117</v>
      </c>
      <c r="B170" s="68"/>
      <c r="C170" s="94">
        <f>PRODUCT(C168,0.1)</f>
        <v>666357.5</v>
      </c>
      <c r="D170" s="81"/>
      <c r="E170" s="95"/>
      <c r="F170" s="12"/>
      <c r="G170" s="12"/>
      <c r="H170" s="96"/>
      <c r="I170" s="96"/>
      <c r="J170" s="116"/>
      <c r="U170" s="116"/>
      <c r="V170" s="9"/>
    </row>
    <row r="171" ht="15.75" hidden="1" customHeight="1" spans="1:22">
      <c r="A171" s="93" t="s">
        <v>118</v>
      </c>
      <c r="B171" s="68"/>
      <c r="C171" s="94">
        <f>SUM(C168:E170)</f>
        <v>7996290</v>
      </c>
      <c r="D171" s="81"/>
      <c r="E171" s="95"/>
      <c r="F171" s="12"/>
      <c r="G171" s="12"/>
      <c r="H171" s="96"/>
      <c r="I171" s="96"/>
      <c r="J171" s="116"/>
      <c r="U171" s="116"/>
      <c r="V171" s="9"/>
    </row>
    <row r="172" ht="15.75" customHeight="1" spans="1:22">
      <c r="A172" s="97"/>
      <c r="B172" s="5"/>
      <c r="C172" s="9"/>
      <c r="D172" s="10"/>
      <c r="E172" s="11"/>
      <c r="F172" s="12"/>
      <c r="G172" s="12"/>
      <c r="H172" s="96"/>
      <c r="I172" s="96"/>
      <c r="J172" s="116"/>
      <c r="U172" s="116"/>
      <c r="V172" s="9"/>
    </row>
    <row r="173" ht="15.75" customHeight="1" spans="1:22">
      <c r="A173" s="98" t="s">
        <v>119</v>
      </c>
      <c r="B173" s="5"/>
      <c r="C173" s="9"/>
      <c r="D173" s="10"/>
      <c r="E173" s="11"/>
      <c r="F173" s="12"/>
      <c r="G173" s="12"/>
      <c r="H173" s="9"/>
      <c r="I173" s="9"/>
      <c r="J173" s="2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ht="15.75" customHeight="1" spans="1:22">
      <c r="A174" s="99"/>
      <c r="B174" s="5"/>
      <c r="C174" s="9"/>
      <c r="D174" s="10"/>
      <c r="E174" s="11"/>
      <c r="F174" s="12"/>
      <c r="G174" s="12"/>
      <c r="H174" s="9"/>
      <c r="I174" s="9"/>
      <c r="J174" s="2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ht="15.75" customHeight="1" spans="1:22">
      <c r="A175" s="100" t="s">
        <v>120</v>
      </c>
      <c r="B175" s="83"/>
      <c r="C175" s="101" t="s">
        <v>121</v>
      </c>
      <c r="F175" s="96"/>
      <c r="G175" s="96"/>
      <c r="H175" s="9"/>
      <c r="I175" s="101" t="s">
        <v>122</v>
      </c>
      <c r="O175" s="9"/>
      <c r="P175" s="9"/>
      <c r="Q175" s="101" t="s">
        <v>123</v>
      </c>
      <c r="U175" s="9"/>
      <c r="V175" s="9"/>
    </row>
    <row r="176" ht="15.75" customHeight="1" spans="1:22">
      <c r="A176" s="100"/>
      <c r="B176" s="83"/>
      <c r="C176" s="101"/>
      <c r="D176" s="102"/>
      <c r="E176" s="103"/>
      <c r="F176" s="96"/>
      <c r="G176" s="96"/>
      <c r="H176" s="9"/>
      <c r="I176" s="101"/>
      <c r="J176" s="117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</row>
    <row r="177" ht="15.75" customHeight="1" spans="1:22">
      <c r="A177" s="83"/>
      <c r="B177" s="83"/>
      <c r="C177" s="96"/>
      <c r="D177" s="104"/>
      <c r="E177" s="105"/>
      <c r="F177" s="96"/>
      <c r="G177" s="96"/>
      <c r="H177" s="9"/>
      <c r="I177" s="96"/>
      <c r="J177" s="118"/>
      <c r="K177" s="119"/>
      <c r="L177" s="119"/>
      <c r="M177" s="119"/>
      <c r="N177" s="119"/>
      <c r="O177" s="119"/>
      <c r="P177" s="119"/>
      <c r="Q177" s="96"/>
      <c r="R177" s="119"/>
      <c r="S177" s="96"/>
      <c r="T177" s="96"/>
      <c r="U177" s="96"/>
      <c r="V177" s="96"/>
    </row>
    <row r="178" ht="15.75" customHeight="1" spans="1:22">
      <c r="A178" s="106" t="s">
        <v>124</v>
      </c>
      <c r="C178" s="107" t="s">
        <v>125</v>
      </c>
      <c r="G178" s="9"/>
      <c r="H178" s="9"/>
      <c r="I178" s="107" t="s">
        <v>126</v>
      </c>
      <c r="O178" s="9"/>
      <c r="P178" s="9"/>
      <c r="Q178" s="107" t="s">
        <v>127</v>
      </c>
      <c r="U178" s="9"/>
      <c r="V178" s="9"/>
    </row>
    <row r="179" customHeight="1" spans="1:22">
      <c r="A179" s="108" t="s">
        <v>128</v>
      </c>
      <c r="C179" s="109" t="s">
        <v>129</v>
      </c>
      <c r="G179" s="110"/>
      <c r="H179" s="9"/>
      <c r="I179" s="120" t="s">
        <v>130</v>
      </c>
      <c r="O179" s="9"/>
      <c r="P179" s="9"/>
      <c r="Q179" s="109" t="s">
        <v>131</v>
      </c>
      <c r="U179" s="9"/>
      <c r="V179" s="9"/>
    </row>
    <row r="180" ht="15.75" customHeight="1" spans="1:22">
      <c r="A180" s="9"/>
      <c r="B180" s="9"/>
      <c r="C180" s="9"/>
      <c r="D180" s="10"/>
      <c r="E180" s="11"/>
      <c r="F180" s="9"/>
      <c r="G180" s="9"/>
      <c r="H180" s="9"/>
      <c r="I180" s="9"/>
      <c r="J180" s="2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ht="15.75" customHeight="1" spans="1:22">
      <c r="A181" s="9" t="s">
        <v>132</v>
      </c>
      <c r="B181" s="9"/>
      <c r="C181" s="9" t="s">
        <v>132</v>
      </c>
      <c r="D181" s="10"/>
      <c r="E181" s="11"/>
      <c r="F181" s="9"/>
      <c r="G181" s="9"/>
      <c r="H181" s="9"/>
      <c r="I181" s="9" t="s">
        <v>132</v>
      </c>
      <c r="J181" s="2"/>
      <c r="K181" s="9"/>
      <c r="L181" s="9"/>
      <c r="M181" s="9"/>
      <c r="N181" s="9"/>
      <c r="O181" s="9"/>
      <c r="P181" s="9"/>
      <c r="Q181" s="9" t="s">
        <v>132</v>
      </c>
      <c r="R181" s="9"/>
      <c r="S181" s="9"/>
      <c r="T181" s="9"/>
      <c r="U181" s="9"/>
      <c r="V181" s="9"/>
    </row>
    <row r="182" ht="15.75" customHeight="1" spans="4:8">
      <c r="D182" s="111"/>
      <c r="E182" s="11"/>
      <c r="H182" s="112"/>
    </row>
    <row r="183" ht="15.75" customHeight="1" spans="4:21">
      <c r="D183" s="111"/>
      <c r="E183" s="11"/>
      <c r="H183" s="112"/>
      <c r="I183" s="112"/>
      <c r="J183" s="121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</row>
    <row r="184" ht="15.75" customHeight="1" spans="4:21">
      <c r="D184" s="111"/>
      <c r="E184" s="11"/>
      <c r="H184" s="113"/>
      <c r="I184" s="122"/>
      <c r="J184" s="123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</row>
    <row r="185" ht="15.75" customHeight="1" spans="4:8">
      <c r="D185" s="111"/>
      <c r="E185" s="11"/>
      <c r="H185" s="114"/>
    </row>
    <row r="186" ht="15.75" customHeight="1" spans="4:8">
      <c r="D186" s="111"/>
      <c r="E186" s="11"/>
      <c r="H186" s="115"/>
    </row>
    <row r="187" ht="15.75" customHeight="1" spans="4:10">
      <c r="D187" s="111"/>
      <c r="E187" s="11"/>
      <c r="J187" s="2"/>
    </row>
    <row r="188" ht="15.75" customHeight="1" spans="4:10">
      <c r="D188" s="111"/>
      <c r="E188" s="11"/>
      <c r="J188" s="2"/>
    </row>
    <row r="189" ht="15.75" customHeight="1" spans="4:10">
      <c r="D189" s="111"/>
      <c r="E189" s="11"/>
      <c r="J189" s="2"/>
    </row>
    <row r="190" ht="15.75" customHeight="1" spans="4:10">
      <c r="D190" s="111"/>
      <c r="E190" s="11"/>
      <c r="J190" s="2"/>
    </row>
    <row r="191" ht="15.75" customHeight="1" spans="4:10">
      <c r="D191" s="111"/>
      <c r="E191" s="11"/>
      <c r="J191" s="2"/>
    </row>
    <row r="192" ht="15.75" customHeight="1" spans="4:10">
      <c r="D192" s="111"/>
      <c r="E192" s="11"/>
      <c r="J192" s="2"/>
    </row>
    <row r="193" ht="15.75" customHeight="1" spans="4:10">
      <c r="D193" s="111"/>
      <c r="E193" s="11"/>
      <c r="J193" s="2"/>
    </row>
    <row r="194" ht="15.75" customHeight="1" spans="4:10">
      <c r="D194" s="111"/>
      <c r="E194" s="11"/>
      <c r="J194" s="2"/>
    </row>
    <row r="195" ht="15.75" customHeight="1" spans="4:10">
      <c r="D195" s="111"/>
      <c r="E195" s="11"/>
      <c r="J195" s="2"/>
    </row>
    <row r="196" ht="15.75" customHeight="1" spans="4:10">
      <c r="D196" s="111"/>
      <c r="E196" s="11"/>
      <c r="J196" s="2"/>
    </row>
    <row r="197" ht="15.75" customHeight="1" spans="4:10">
      <c r="D197" s="111"/>
      <c r="E197" s="11"/>
      <c r="J197" s="2"/>
    </row>
    <row r="198" ht="15.75" customHeight="1" spans="4:10">
      <c r="D198" s="111"/>
      <c r="E198" s="11"/>
      <c r="J198" s="2"/>
    </row>
    <row r="199" ht="15.75" customHeight="1" spans="4:10">
      <c r="D199" s="111"/>
      <c r="E199" s="11"/>
      <c r="J199" s="2"/>
    </row>
    <row r="200" ht="15.75" customHeight="1" spans="4:10">
      <c r="D200" s="111"/>
      <c r="E200" s="11"/>
      <c r="J200" s="2"/>
    </row>
    <row r="201" ht="15.75" customHeight="1" spans="4:10">
      <c r="D201" s="111"/>
      <c r="E201" s="11"/>
      <c r="J201" s="2"/>
    </row>
    <row r="202" ht="15.75" customHeight="1" spans="4:10">
      <c r="D202" s="111"/>
      <c r="E202" s="11"/>
      <c r="J202" s="2"/>
    </row>
    <row r="203" ht="15.75" customHeight="1" spans="4:10">
      <c r="D203" s="111"/>
      <c r="E203" s="11"/>
      <c r="J203" s="2"/>
    </row>
    <row r="204" ht="15.75" customHeight="1" spans="4:10">
      <c r="D204" s="111"/>
      <c r="E204" s="11"/>
      <c r="J204" s="2"/>
    </row>
    <row r="205" ht="15.75" customHeight="1" spans="4:10">
      <c r="D205" s="111"/>
      <c r="E205" s="11"/>
      <c r="J205" s="2"/>
    </row>
    <row r="206" ht="15.75" customHeight="1" spans="4:10">
      <c r="D206" s="111"/>
      <c r="E206" s="11"/>
      <c r="J206" s="2"/>
    </row>
    <row r="207" ht="15.75" customHeight="1" spans="4:10">
      <c r="D207" s="111"/>
      <c r="E207" s="11"/>
      <c r="J207" s="2"/>
    </row>
    <row r="208" ht="15.75" customHeight="1" spans="4:10">
      <c r="D208" s="111"/>
      <c r="E208" s="11"/>
      <c r="J208" s="2"/>
    </row>
    <row r="209" ht="15.75" customHeight="1" spans="4:10">
      <c r="D209" s="111"/>
      <c r="E209" s="11"/>
      <c r="J209" s="2"/>
    </row>
    <row r="210" ht="15.75" customHeight="1" spans="4:10">
      <c r="D210" s="111"/>
      <c r="E210" s="11"/>
      <c r="J210" s="2"/>
    </row>
    <row r="211" ht="15.75" customHeight="1" spans="4:10">
      <c r="D211" s="111"/>
      <c r="E211" s="11"/>
      <c r="J211" s="2"/>
    </row>
    <row r="212" ht="15.75" customHeight="1" spans="4:10">
      <c r="D212" s="111"/>
      <c r="E212" s="11"/>
      <c r="J212" s="2"/>
    </row>
    <row r="213" ht="15.75" customHeight="1" spans="4:10">
      <c r="D213" s="111"/>
      <c r="E213" s="11"/>
      <c r="J213" s="2"/>
    </row>
    <row r="214" ht="15.75" customHeight="1" spans="4:10">
      <c r="D214" s="111"/>
      <c r="E214" s="11"/>
      <c r="J214" s="2"/>
    </row>
    <row r="215" ht="15.75" customHeight="1" spans="4:10">
      <c r="D215" s="111"/>
      <c r="E215" s="11"/>
      <c r="J215" s="2"/>
    </row>
    <row r="216" ht="15.75" customHeight="1" spans="4:10">
      <c r="D216" s="111"/>
      <c r="E216" s="11"/>
      <c r="J216" s="2"/>
    </row>
    <row r="217" ht="15.75" customHeight="1" spans="4:10">
      <c r="D217" s="111"/>
      <c r="E217" s="11"/>
      <c r="J217" s="2"/>
    </row>
    <row r="218" ht="15.75" customHeight="1" spans="4:10">
      <c r="D218" s="111"/>
      <c r="E218" s="11"/>
      <c r="J218" s="2"/>
    </row>
    <row r="219" ht="15.75" customHeight="1" spans="4:10">
      <c r="D219" s="111"/>
      <c r="E219" s="11"/>
      <c r="J219" s="2"/>
    </row>
    <row r="220" ht="15.75" customHeight="1" spans="4:10">
      <c r="D220" s="111"/>
      <c r="E220" s="11"/>
      <c r="J220" s="2"/>
    </row>
    <row r="221" ht="15.75" customHeight="1" spans="4:10">
      <c r="D221" s="111"/>
      <c r="E221" s="11"/>
      <c r="J221" s="2"/>
    </row>
    <row r="222" ht="15.75" customHeight="1" spans="4:10">
      <c r="D222" s="111"/>
      <c r="E222" s="11"/>
      <c r="J222" s="2"/>
    </row>
    <row r="223" ht="15.75" customHeight="1" spans="4:10">
      <c r="D223" s="111"/>
      <c r="E223" s="11"/>
      <c r="J223" s="2"/>
    </row>
    <row r="224" ht="15.75" customHeight="1" spans="4:10">
      <c r="D224" s="111"/>
      <c r="E224" s="11"/>
      <c r="J224" s="2"/>
    </row>
    <row r="225" ht="15.75" customHeight="1" spans="4:10">
      <c r="D225" s="111"/>
      <c r="E225" s="11"/>
      <c r="J225" s="2"/>
    </row>
    <row r="226" ht="15.75" customHeight="1" spans="4:10">
      <c r="D226" s="111"/>
      <c r="E226" s="11"/>
      <c r="J226" s="2"/>
    </row>
    <row r="227" ht="15.75" customHeight="1" spans="4:10">
      <c r="D227" s="111"/>
      <c r="E227" s="11"/>
      <c r="J227" s="2"/>
    </row>
    <row r="228" ht="15.75" customHeight="1" spans="4:10">
      <c r="D228" s="111"/>
      <c r="E228" s="11"/>
      <c r="J228" s="2"/>
    </row>
    <row r="229" ht="15.75" customHeight="1" spans="4:10">
      <c r="D229" s="111"/>
      <c r="E229" s="11"/>
      <c r="J229" s="2"/>
    </row>
    <row r="230" ht="15.75" customHeight="1" spans="4:10">
      <c r="D230" s="111"/>
      <c r="E230" s="11"/>
      <c r="J230" s="2"/>
    </row>
    <row r="231" ht="15.75" customHeight="1" spans="4:10">
      <c r="D231" s="111"/>
      <c r="E231" s="11"/>
      <c r="J231" s="2"/>
    </row>
    <row r="232" ht="15.75" customHeight="1" spans="4:10">
      <c r="D232" s="111"/>
      <c r="E232" s="11"/>
      <c r="J232" s="2"/>
    </row>
    <row r="233" ht="15.75" customHeight="1" spans="4:10">
      <c r="D233" s="111"/>
      <c r="E233" s="11"/>
      <c r="J233" s="2"/>
    </row>
    <row r="234" ht="15.75" customHeight="1" spans="4:10">
      <c r="D234" s="111"/>
      <c r="E234" s="11"/>
      <c r="J234" s="2"/>
    </row>
    <row r="235" ht="15.75" customHeight="1" spans="4:10">
      <c r="D235" s="111"/>
      <c r="E235" s="11"/>
      <c r="J235" s="2"/>
    </row>
    <row r="236" ht="15.75" customHeight="1" spans="4:10">
      <c r="D236" s="111"/>
      <c r="E236" s="11"/>
      <c r="J236" s="2"/>
    </row>
    <row r="237" ht="15.75" customHeight="1" spans="4:10">
      <c r="D237" s="111"/>
      <c r="E237" s="11"/>
      <c r="J237" s="2"/>
    </row>
    <row r="238" ht="15.75" customHeight="1" spans="4:10">
      <c r="D238" s="111"/>
      <c r="E238" s="11"/>
      <c r="J238" s="2"/>
    </row>
    <row r="239" ht="15.75" customHeight="1" spans="4:10">
      <c r="D239" s="111"/>
      <c r="E239" s="11"/>
      <c r="J239" s="2"/>
    </row>
    <row r="240" ht="15.75" customHeight="1" spans="4:10">
      <c r="D240" s="111"/>
      <c r="E240" s="11"/>
      <c r="J240" s="2"/>
    </row>
    <row r="241" ht="15.75" customHeight="1" spans="4:10">
      <c r="D241" s="111"/>
      <c r="E241" s="11"/>
      <c r="J241" s="2"/>
    </row>
    <row r="242" ht="15.75" customHeight="1" spans="4:10">
      <c r="D242" s="111"/>
      <c r="E242" s="11"/>
      <c r="J242" s="2"/>
    </row>
    <row r="243" ht="15.75" customHeight="1" spans="4:10">
      <c r="D243" s="111"/>
      <c r="E243" s="11"/>
      <c r="J243" s="2"/>
    </row>
    <row r="244" ht="15.75" customHeight="1" spans="4:10">
      <c r="D244" s="111"/>
      <c r="E244" s="11"/>
      <c r="J244" s="2"/>
    </row>
    <row r="245" ht="15.75" customHeight="1" spans="4:10">
      <c r="D245" s="111"/>
      <c r="E245" s="11"/>
      <c r="J245" s="2"/>
    </row>
    <row r="246" ht="15.75" customHeight="1" spans="4:10">
      <c r="D246" s="111"/>
      <c r="E246" s="11"/>
      <c r="J246" s="2"/>
    </row>
    <row r="247" ht="15.75" customHeight="1" spans="4:10">
      <c r="D247" s="111"/>
      <c r="E247" s="11"/>
      <c r="J247" s="2"/>
    </row>
    <row r="248" ht="15.75" customHeight="1" spans="4:10">
      <c r="D248" s="111"/>
      <c r="E248" s="11"/>
      <c r="J248" s="2"/>
    </row>
    <row r="249" ht="15.75" customHeight="1" spans="4:10">
      <c r="D249" s="111"/>
      <c r="E249" s="11"/>
      <c r="J249" s="2"/>
    </row>
    <row r="250" ht="15.75" customHeight="1" spans="4:10">
      <c r="D250" s="111"/>
      <c r="E250" s="11"/>
      <c r="J250" s="2"/>
    </row>
    <row r="251" ht="15.75" customHeight="1" spans="4:10">
      <c r="D251" s="111"/>
      <c r="E251" s="11"/>
      <c r="J251" s="2"/>
    </row>
    <row r="252" ht="15.75" customHeight="1" spans="4:10">
      <c r="D252" s="111"/>
      <c r="E252" s="11"/>
      <c r="J252" s="2"/>
    </row>
    <row r="253" ht="15.75" customHeight="1" spans="4:10">
      <c r="D253" s="111"/>
      <c r="E253" s="11"/>
      <c r="J253" s="2"/>
    </row>
    <row r="254" ht="15.75" customHeight="1" spans="4:10">
      <c r="D254" s="111"/>
      <c r="E254" s="11"/>
      <c r="J254" s="2"/>
    </row>
    <row r="255" ht="15.75" customHeight="1" spans="4:10">
      <c r="D255" s="111"/>
      <c r="E255" s="11"/>
      <c r="J255" s="2"/>
    </row>
    <row r="256" ht="15.75" customHeight="1" spans="4:10">
      <c r="D256" s="111"/>
      <c r="E256" s="11"/>
      <c r="J256" s="2"/>
    </row>
    <row r="257" ht="15.75" customHeight="1" spans="4:10">
      <c r="D257" s="111"/>
      <c r="E257" s="11"/>
      <c r="J257" s="2"/>
    </row>
    <row r="258" ht="15.75" customHeight="1" spans="4:10">
      <c r="D258" s="111"/>
      <c r="E258" s="11"/>
      <c r="J258" s="2"/>
    </row>
    <row r="259" ht="15.75" customHeight="1" spans="4:10">
      <c r="D259" s="111"/>
      <c r="E259" s="11"/>
      <c r="J259" s="2"/>
    </row>
    <row r="260" ht="15.75" customHeight="1" spans="4:10">
      <c r="D260" s="111"/>
      <c r="E260" s="11"/>
      <c r="J260" s="2"/>
    </row>
    <row r="261" ht="15.75" customHeight="1" spans="4:10">
      <c r="D261" s="111"/>
      <c r="E261" s="11"/>
      <c r="J261" s="2"/>
    </row>
    <row r="262" ht="15.75" customHeight="1" spans="4:10">
      <c r="D262" s="111"/>
      <c r="E262" s="11"/>
      <c r="J262" s="2"/>
    </row>
    <row r="263" ht="15.75" customHeight="1" spans="4:10">
      <c r="D263" s="111"/>
      <c r="E263" s="11"/>
      <c r="J263" s="2"/>
    </row>
    <row r="264" ht="15.75" customHeight="1" spans="4:10">
      <c r="D264" s="111"/>
      <c r="E264" s="11"/>
      <c r="J264" s="2"/>
    </row>
    <row r="265" ht="15.75" customHeight="1" spans="4:10">
      <c r="D265" s="111"/>
      <c r="E265" s="11"/>
      <c r="J265" s="2"/>
    </row>
    <row r="266" ht="15.75" customHeight="1" spans="4:10">
      <c r="D266" s="111"/>
      <c r="E266" s="11"/>
      <c r="J266" s="2"/>
    </row>
    <row r="267" ht="15.75" customHeight="1" spans="4:10">
      <c r="D267" s="111"/>
      <c r="E267" s="11"/>
      <c r="J267" s="2"/>
    </row>
    <row r="268" ht="15.75" customHeight="1" spans="4:10">
      <c r="D268" s="111"/>
      <c r="E268" s="11"/>
      <c r="J268" s="2"/>
    </row>
    <row r="269" ht="15.75" customHeight="1" spans="4:10">
      <c r="D269" s="111"/>
      <c r="E269" s="11"/>
      <c r="J269" s="2"/>
    </row>
    <row r="270" ht="15.75" customHeight="1" spans="4:10">
      <c r="D270" s="111"/>
      <c r="E270" s="11"/>
      <c r="J270" s="2"/>
    </row>
    <row r="271" ht="15.75" customHeight="1" spans="4:10">
      <c r="D271" s="111"/>
      <c r="E271" s="11"/>
      <c r="J271" s="2"/>
    </row>
    <row r="272" ht="15.75" customHeight="1" spans="4:10">
      <c r="D272" s="111"/>
      <c r="E272" s="11"/>
      <c r="J272" s="2"/>
    </row>
    <row r="273" ht="15.75" customHeight="1" spans="4:10">
      <c r="D273" s="111"/>
      <c r="E273" s="11"/>
      <c r="J273" s="2"/>
    </row>
    <row r="274" ht="15.75" customHeight="1" spans="4:10">
      <c r="D274" s="111"/>
      <c r="E274" s="11"/>
      <c r="J274" s="2"/>
    </row>
    <row r="275" ht="15.75" customHeight="1" spans="4:10">
      <c r="D275" s="111"/>
      <c r="E275" s="11"/>
      <c r="J275" s="2"/>
    </row>
    <row r="276" ht="15.75" customHeight="1" spans="4:10">
      <c r="D276" s="111"/>
      <c r="E276" s="11"/>
      <c r="J276" s="2"/>
    </row>
    <row r="277" ht="15.75" customHeight="1" spans="4:10">
      <c r="D277" s="111"/>
      <c r="E277" s="11"/>
      <c r="J277" s="2"/>
    </row>
    <row r="278" ht="15.75" customHeight="1" spans="4:10">
      <c r="D278" s="111"/>
      <c r="E278" s="11"/>
      <c r="J278" s="2"/>
    </row>
    <row r="279" ht="15.75" customHeight="1" spans="4:10">
      <c r="D279" s="111"/>
      <c r="E279" s="11"/>
      <c r="J279" s="2"/>
    </row>
    <row r="280" ht="15.75" customHeight="1" spans="4:10">
      <c r="D280" s="111"/>
      <c r="E280" s="11"/>
      <c r="J280" s="2"/>
    </row>
    <row r="281" ht="15.75" customHeight="1" spans="4:10">
      <c r="D281" s="111"/>
      <c r="E281" s="11"/>
      <c r="J281" s="2"/>
    </row>
    <row r="282" ht="15.75" customHeight="1" spans="4:10">
      <c r="D282" s="111"/>
      <c r="E282" s="11"/>
      <c r="J282" s="2"/>
    </row>
    <row r="283" ht="15.75" customHeight="1" spans="4:10">
      <c r="D283" s="111"/>
      <c r="E283" s="11"/>
      <c r="J283" s="2"/>
    </row>
    <row r="284" ht="15.75" customHeight="1" spans="4:10">
      <c r="D284" s="111"/>
      <c r="E284" s="11"/>
      <c r="J284" s="2"/>
    </row>
    <row r="285" ht="15.75" customHeight="1" spans="4:10">
      <c r="D285" s="111"/>
      <c r="E285" s="11"/>
      <c r="J285" s="2"/>
    </row>
    <row r="286" ht="15.75" customHeight="1" spans="4:10">
      <c r="D286" s="111"/>
      <c r="E286" s="11"/>
      <c r="J286" s="2"/>
    </row>
    <row r="287" ht="15.75" customHeight="1" spans="4:10">
      <c r="D287" s="111"/>
      <c r="E287" s="11"/>
      <c r="J287" s="2"/>
    </row>
    <row r="288" ht="15.75" customHeight="1" spans="4:10">
      <c r="D288" s="111"/>
      <c r="E288" s="11"/>
      <c r="J288" s="2"/>
    </row>
    <row r="289" ht="15.75" customHeight="1" spans="4:10">
      <c r="D289" s="111"/>
      <c r="E289" s="11"/>
      <c r="J289" s="2"/>
    </row>
    <row r="290" ht="15.75" customHeight="1" spans="4:10">
      <c r="D290" s="111"/>
      <c r="E290" s="11"/>
      <c r="J290" s="2"/>
    </row>
    <row r="291" ht="15.75" customHeight="1" spans="4:10">
      <c r="D291" s="111"/>
      <c r="E291" s="11"/>
      <c r="J291" s="2"/>
    </row>
    <row r="292" ht="15.75" customHeight="1" spans="4:10">
      <c r="D292" s="111"/>
      <c r="E292" s="11"/>
      <c r="J292" s="2"/>
    </row>
    <row r="293" ht="15.75" customHeight="1" spans="4:10">
      <c r="D293" s="111"/>
      <c r="E293" s="11"/>
      <c r="J293" s="2"/>
    </row>
    <row r="294" ht="15.75" customHeight="1" spans="4:10">
      <c r="D294" s="111"/>
      <c r="E294" s="11"/>
      <c r="J294" s="2"/>
    </row>
    <row r="295" ht="15.75" customHeight="1" spans="4:10">
      <c r="D295" s="111"/>
      <c r="E295" s="11"/>
      <c r="J295" s="2"/>
    </row>
    <row r="296" ht="15.75" customHeight="1" spans="4:10">
      <c r="D296" s="111"/>
      <c r="E296" s="11"/>
      <c r="J296" s="2"/>
    </row>
    <row r="297" ht="15.75" customHeight="1" spans="4:10">
      <c r="D297" s="111"/>
      <c r="E297" s="11"/>
      <c r="J297" s="2"/>
    </row>
    <row r="298" ht="15.75" customHeight="1" spans="4:10">
      <c r="D298" s="111"/>
      <c r="E298" s="11"/>
      <c r="J298" s="2"/>
    </row>
    <row r="299" ht="15.75" customHeight="1" spans="4:10">
      <c r="D299" s="111"/>
      <c r="E299" s="11"/>
      <c r="J299" s="2"/>
    </row>
    <row r="300" ht="15.75" customHeight="1" spans="4:10">
      <c r="D300" s="111"/>
      <c r="E300" s="11"/>
      <c r="J300" s="2"/>
    </row>
    <row r="301" ht="15.75" customHeight="1" spans="4:10">
      <c r="D301" s="111"/>
      <c r="E301" s="11"/>
      <c r="J301" s="2"/>
    </row>
    <row r="302" ht="15.75" customHeight="1" spans="4:10">
      <c r="D302" s="111"/>
      <c r="E302" s="11"/>
      <c r="J302" s="2"/>
    </row>
    <row r="303" ht="15.75" customHeight="1" spans="4:10">
      <c r="D303" s="111"/>
      <c r="E303" s="11"/>
      <c r="J303" s="2"/>
    </row>
    <row r="304" ht="15.75" customHeight="1" spans="4:10">
      <c r="D304" s="111"/>
      <c r="E304" s="11"/>
      <c r="J304" s="2"/>
    </row>
    <row r="305" ht="15.75" customHeight="1" spans="4:10">
      <c r="D305" s="111"/>
      <c r="E305" s="11"/>
      <c r="J305" s="2"/>
    </row>
    <row r="306" ht="15.75" customHeight="1" spans="4:10">
      <c r="D306" s="111"/>
      <c r="E306" s="11"/>
      <c r="J306" s="2"/>
    </row>
    <row r="307" ht="15.75" customHeight="1" spans="4:10">
      <c r="D307" s="111"/>
      <c r="E307" s="11"/>
      <c r="J307" s="2"/>
    </row>
    <row r="308" ht="15.75" customHeight="1" spans="4:10">
      <c r="D308" s="111"/>
      <c r="E308" s="11"/>
      <c r="J308" s="2"/>
    </row>
    <row r="309" ht="15.75" customHeight="1" spans="4:10">
      <c r="D309" s="111"/>
      <c r="E309" s="11"/>
      <c r="J309" s="2"/>
    </row>
    <row r="310" ht="15.75" customHeight="1" spans="4:10">
      <c r="D310" s="111"/>
      <c r="E310" s="11"/>
      <c r="J310" s="2"/>
    </row>
    <row r="311" ht="15.75" customHeight="1" spans="4:10">
      <c r="D311" s="111"/>
      <c r="E311" s="11"/>
      <c r="J311" s="2"/>
    </row>
    <row r="312" ht="15.75" customHeight="1" spans="4:10">
      <c r="D312" s="111"/>
      <c r="E312" s="11"/>
      <c r="J312" s="2"/>
    </row>
    <row r="313" ht="15.75" customHeight="1" spans="4:10">
      <c r="D313" s="111"/>
      <c r="E313" s="11"/>
      <c r="J313" s="2"/>
    </row>
    <row r="314" ht="15.75" customHeight="1" spans="4:10">
      <c r="D314" s="111"/>
      <c r="E314" s="11"/>
      <c r="J314" s="2"/>
    </row>
    <row r="315" ht="15.75" customHeight="1" spans="4:10">
      <c r="D315" s="111"/>
      <c r="E315" s="11"/>
      <c r="J315" s="2"/>
    </row>
    <row r="316" ht="15.75" customHeight="1" spans="4:10">
      <c r="D316" s="111"/>
      <c r="E316" s="11"/>
      <c r="J316" s="2"/>
    </row>
    <row r="317" ht="15.75" customHeight="1" spans="4:10">
      <c r="D317" s="111"/>
      <c r="E317" s="11"/>
      <c r="J317" s="2"/>
    </row>
    <row r="318" ht="15.75" customHeight="1" spans="4:10">
      <c r="D318" s="111"/>
      <c r="E318" s="11"/>
      <c r="J318" s="2"/>
    </row>
    <row r="319" ht="15.75" customHeight="1" spans="4:10">
      <c r="D319" s="111"/>
      <c r="E319" s="11"/>
      <c r="J319" s="2"/>
    </row>
    <row r="320" ht="15.75" customHeight="1" spans="4:10">
      <c r="D320" s="111"/>
      <c r="E320" s="11"/>
      <c r="J320" s="2"/>
    </row>
    <row r="321" ht="15.75" customHeight="1" spans="4:10">
      <c r="D321" s="111"/>
      <c r="E321" s="11"/>
      <c r="J321" s="2"/>
    </row>
    <row r="322" ht="15.75" customHeight="1" spans="4:10">
      <c r="D322" s="111"/>
      <c r="E322" s="11"/>
      <c r="J322" s="2"/>
    </row>
    <row r="323" ht="15.75" customHeight="1" spans="4:10">
      <c r="D323" s="111"/>
      <c r="E323" s="11"/>
      <c r="J323" s="2"/>
    </row>
    <row r="324" ht="15.75" customHeight="1" spans="4:10">
      <c r="D324" s="111"/>
      <c r="E324" s="11"/>
      <c r="J324" s="2"/>
    </row>
    <row r="325" ht="15.75" customHeight="1" spans="4:10">
      <c r="D325" s="111"/>
      <c r="E325" s="11"/>
      <c r="J325" s="2"/>
    </row>
    <row r="326" ht="15.75" customHeight="1" spans="4:10">
      <c r="D326" s="111"/>
      <c r="E326" s="11"/>
      <c r="J326" s="2"/>
    </row>
    <row r="327" ht="15.75" customHeight="1" spans="4:10">
      <c r="D327" s="111"/>
      <c r="E327" s="11"/>
      <c r="J327" s="2"/>
    </row>
    <row r="328" ht="15.75" customHeight="1" spans="4:10">
      <c r="D328" s="111"/>
      <c r="E328" s="11"/>
      <c r="J328" s="2"/>
    </row>
    <row r="329" ht="15.75" customHeight="1" spans="4:10">
      <c r="D329" s="111"/>
      <c r="E329" s="11"/>
      <c r="J329" s="2"/>
    </row>
    <row r="330" ht="15.75" customHeight="1" spans="4:10">
      <c r="D330" s="111"/>
      <c r="E330" s="11"/>
      <c r="J330" s="2"/>
    </row>
    <row r="331" ht="15.75" customHeight="1" spans="4:10">
      <c r="D331" s="111"/>
      <c r="E331" s="11"/>
      <c r="J331" s="2"/>
    </row>
    <row r="332" ht="15.75" customHeight="1" spans="4:10">
      <c r="D332" s="111"/>
      <c r="E332" s="11"/>
      <c r="J332" s="2"/>
    </row>
    <row r="333" ht="15.75" customHeight="1" spans="4:10">
      <c r="D333" s="111"/>
      <c r="E333" s="11"/>
      <c r="J333" s="2"/>
    </row>
    <row r="334" ht="15.75" customHeight="1" spans="4:10">
      <c r="D334" s="111"/>
      <c r="E334" s="11"/>
      <c r="J334" s="2"/>
    </row>
    <row r="335" ht="15.75" customHeight="1" spans="4:10">
      <c r="D335" s="111"/>
      <c r="E335" s="11"/>
      <c r="J335" s="2"/>
    </row>
    <row r="336" ht="15.75" customHeight="1" spans="4:10">
      <c r="D336" s="111"/>
      <c r="E336" s="11"/>
      <c r="J336" s="2"/>
    </row>
    <row r="337" ht="15.75" customHeight="1" spans="4:10">
      <c r="D337" s="111"/>
      <c r="E337" s="11"/>
      <c r="J337" s="2"/>
    </row>
    <row r="338" ht="15.75" customHeight="1" spans="4:10">
      <c r="D338" s="111"/>
      <c r="E338" s="11"/>
      <c r="J338" s="2"/>
    </row>
    <row r="339" ht="15.75" customHeight="1" spans="4:10">
      <c r="D339" s="111"/>
      <c r="E339" s="11"/>
      <c r="J339" s="2"/>
    </row>
    <row r="340" ht="15.75" customHeight="1" spans="4:10">
      <c r="D340" s="111"/>
      <c r="E340" s="11"/>
      <c r="J340" s="2"/>
    </row>
    <row r="341" ht="15.75" customHeight="1" spans="4:10">
      <c r="D341" s="111"/>
      <c r="E341" s="11"/>
      <c r="J341" s="2"/>
    </row>
    <row r="342" ht="15.75" customHeight="1" spans="4:10">
      <c r="D342" s="111"/>
      <c r="E342" s="11"/>
      <c r="J342" s="2"/>
    </row>
    <row r="343" ht="15.75" customHeight="1" spans="4:10">
      <c r="D343" s="111"/>
      <c r="E343" s="11"/>
      <c r="J343" s="2"/>
    </row>
    <row r="344" ht="15.75" customHeight="1" spans="4:10">
      <c r="D344" s="111"/>
      <c r="E344" s="11"/>
      <c r="J344" s="2"/>
    </row>
    <row r="345" ht="15.75" customHeight="1" spans="4:10">
      <c r="D345" s="111"/>
      <c r="E345" s="11"/>
      <c r="J345" s="2"/>
    </row>
    <row r="346" ht="15.75" customHeight="1" spans="4:10">
      <c r="D346" s="111"/>
      <c r="E346" s="11"/>
      <c r="J346" s="2"/>
    </row>
    <row r="347" ht="15.75" customHeight="1" spans="4:10">
      <c r="D347" s="111"/>
      <c r="E347" s="11"/>
      <c r="J347" s="2"/>
    </row>
    <row r="348" ht="15.75" customHeight="1" spans="4:10">
      <c r="D348" s="111"/>
      <c r="E348" s="11"/>
      <c r="J348" s="2"/>
    </row>
    <row r="349" ht="15.75" customHeight="1" spans="4:10">
      <c r="D349" s="111"/>
      <c r="E349" s="11"/>
      <c r="J349" s="2"/>
    </row>
    <row r="350" ht="15.75" customHeight="1" spans="4:10">
      <c r="D350" s="111"/>
      <c r="E350" s="11"/>
      <c r="J350" s="2"/>
    </row>
    <row r="351" ht="15.75" customHeight="1" spans="4:10">
      <c r="D351" s="111"/>
      <c r="E351" s="11"/>
      <c r="J351" s="2"/>
    </row>
    <row r="352" ht="15.75" customHeight="1" spans="4:10">
      <c r="D352" s="111"/>
      <c r="E352" s="11"/>
      <c r="J352" s="2"/>
    </row>
    <row r="353" ht="15.75" customHeight="1" spans="4:10">
      <c r="D353" s="111"/>
      <c r="E353" s="11"/>
      <c r="J353" s="2"/>
    </row>
    <row r="354" ht="15.75" customHeight="1" spans="4:10">
      <c r="D354" s="111"/>
      <c r="E354" s="11"/>
      <c r="J354" s="2"/>
    </row>
    <row r="355" ht="15.75" customHeight="1" spans="4:10">
      <c r="D355" s="111"/>
      <c r="E355" s="11"/>
      <c r="J355" s="2"/>
    </row>
    <row r="356" ht="15.75" customHeight="1" spans="4:10">
      <c r="D356" s="111"/>
      <c r="E356" s="11"/>
      <c r="J356" s="2"/>
    </row>
    <row r="357" ht="15.75" customHeight="1" spans="4:10">
      <c r="D357" s="111"/>
      <c r="E357" s="11"/>
      <c r="J357" s="2"/>
    </row>
    <row r="358" ht="15.75" customHeight="1" spans="4:10">
      <c r="D358" s="111"/>
      <c r="E358" s="11"/>
      <c r="J358" s="2"/>
    </row>
    <row r="359" ht="15.75" customHeight="1" spans="4:10">
      <c r="D359" s="111"/>
      <c r="E359" s="11"/>
      <c r="J359" s="2"/>
    </row>
    <row r="360" ht="15.75" customHeight="1" spans="4:10">
      <c r="D360" s="111"/>
      <c r="E360" s="11"/>
      <c r="J360" s="2"/>
    </row>
    <row r="361" ht="15.75" customHeight="1" spans="4:10">
      <c r="D361" s="111"/>
      <c r="E361" s="11"/>
      <c r="J361" s="2"/>
    </row>
    <row r="362" ht="15.75" customHeight="1" spans="4:10">
      <c r="D362" s="111"/>
      <c r="E362" s="11"/>
      <c r="J362" s="2"/>
    </row>
    <row r="363" ht="15.75" customHeight="1" spans="4:10">
      <c r="D363" s="111"/>
      <c r="E363" s="11"/>
      <c r="J363" s="2"/>
    </row>
    <row r="364" ht="15.75" customHeight="1" spans="4:10">
      <c r="D364" s="111"/>
      <c r="E364" s="11"/>
      <c r="J364" s="2"/>
    </row>
    <row r="365" ht="15.75" customHeight="1" spans="4:10">
      <c r="D365" s="111"/>
      <c r="E365" s="11"/>
      <c r="J365" s="2"/>
    </row>
    <row r="366" ht="15.75" customHeight="1" spans="4:10">
      <c r="D366" s="111"/>
      <c r="E366" s="11"/>
      <c r="J366" s="2"/>
    </row>
    <row r="367" ht="15.75" customHeight="1" spans="4:10">
      <c r="D367" s="111"/>
      <c r="E367" s="11"/>
      <c r="J367" s="2"/>
    </row>
    <row r="368" ht="15.75" customHeight="1" spans="4:10">
      <c r="D368" s="111"/>
      <c r="E368" s="11"/>
      <c r="J368" s="2"/>
    </row>
    <row r="369" ht="15.75" customHeight="1" spans="4:10">
      <c r="D369" s="111"/>
      <c r="E369" s="11"/>
      <c r="J369" s="2"/>
    </row>
    <row r="370" ht="15.75" customHeight="1" spans="4:10">
      <c r="D370" s="111"/>
      <c r="E370" s="11"/>
      <c r="J370" s="2"/>
    </row>
    <row r="371" ht="15.75" customHeight="1" spans="4:10">
      <c r="D371" s="111"/>
      <c r="E371" s="11"/>
      <c r="J371" s="2"/>
    </row>
    <row r="372" ht="15.75" customHeight="1" spans="4:10">
      <c r="D372" s="111"/>
      <c r="E372" s="11"/>
      <c r="J372" s="2"/>
    </row>
    <row r="373" ht="15.75" customHeight="1" spans="4:10">
      <c r="D373" s="111"/>
      <c r="E373" s="11"/>
      <c r="J373" s="2"/>
    </row>
    <row r="374" ht="15.75" customHeight="1" spans="4:10">
      <c r="D374" s="111"/>
      <c r="E374" s="11"/>
      <c r="J374" s="2"/>
    </row>
    <row r="375" ht="15.75" customHeight="1" spans="4:10">
      <c r="D375" s="111"/>
      <c r="E375" s="11"/>
      <c r="J375" s="2"/>
    </row>
    <row r="376" ht="15.75" customHeight="1" spans="4:10">
      <c r="D376" s="111"/>
      <c r="E376" s="11"/>
      <c r="J376" s="2"/>
    </row>
    <row r="377" ht="15.75" customHeight="1" spans="4:10">
      <c r="D377" s="111"/>
      <c r="E377" s="11"/>
      <c r="J377" s="2"/>
    </row>
    <row r="378" ht="15.75" customHeight="1" spans="4:10">
      <c r="D378" s="111"/>
      <c r="E378" s="11"/>
      <c r="J378" s="2"/>
    </row>
    <row r="379" ht="15.75" customHeight="1" spans="4:10">
      <c r="D379" s="111"/>
      <c r="E379" s="11"/>
      <c r="J379" s="2"/>
    </row>
    <row r="380" ht="15.75" customHeight="1" spans="4:10">
      <c r="D380" s="111"/>
      <c r="E380" s="11"/>
      <c r="J380" s="2"/>
    </row>
    <row r="381" ht="15.75" customHeight="1" spans="4:10">
      <c r="D381" s="111"/>
      <c r="E381" s="11"/>
      <c r="J381" s="2"/>
    </row>
    <row r="382" ht="15.75" customHeight="1" spans="4:10">
      <c r="D382" s="11"/>
      <c r="E382" s="11"/>
      <c r="J382" s="2"/>
    </row>
    <row r="383" ht="15.75" customHeight="1" spans="4:10">
      <c r="D383" s="11"/>
      <c r="E383" s="11"/>
      <c r="J383" s="2"/>
    </row>
    <row r="384" ht="15.75" customHeight="1" spans="4:10">
      <c r="D384" s="11"/>
      <c r="E384" s="11"/>
      <c r="J384" s="2"/>
    </row>
    <row r="385" ht="15.75" customHeight="1" spans="4:10">
      <c r="D385" s="11"/>
      <c r="E385" s="11"/>
      <c r="J385" s="2"/>
    </row>
    <row r="386" ht="15.75" customHeight="1" spans="4:10">
      <c r="D386" s="11"/>
      <c r="E386" s="11"/>
      <c r="J386" s="2"/>
    </row>
    <row r="387" ht="15.75" customHeight="1" spans="4:10">
      <c r="D387" s="11"/>
      <c r="E387" s="11"/>
      <c r="J387" s="2"/>
    </row>
    <row r="388" ht="15.75" customHeight="1" spans="4:10">
      <c r="D388" s="11"/>
      <c r="E388" s="11"/>
      <c r="J388" s="2"/>
    </row>
    <row r="389" ht="15.75" customHeight="1" spans="4:10">
      <c r="D389" s="11"/>
      <c r="E389" s="11"/>
      <c r="J389" s="2"/>
    </row>
    <row r="390" ht="15.75" customHeight="1" spans="4:10">
      <c r="D390" s="11"/>
      <c r="E390" s="11"/>
      <c r="J390" s="2"/>
    </row>
    <row r="391" ht="15.75" customHeight="1" spans="4:10">
      <c r="D391" s="11"/>
      <c r="E391" s="11"/>
      <c r="J391" s="2"/>
    </row>
    <row r="392" ht="15.75" customHeight="1" spans="4:10">
      <c r="D392" s="11"/>
      <c r="E392" s="11"/>
      <c r="J392" s="2"/>
    </row>
    <row r="393" ht="15.75" customHeight="1" spans="4:10">
      <c r="D393" s="11"/>
      <c r="E393" s="11"/>
      <c r="J393" s="2"/>
    </row>
    <row r="394" ht="15.75" customHeight="1" spans="4:10">
      <c r="D394" s="11"/>
      <c r="E394" s="11"/>
      <c r="J394" s="2"/>
    </row>
    <row r="395" ht="15.75" customHeight="1" spans="4:10">
      <c r="D395" s="11"/>
      <c r="E395" s="11"/>
      <c r="J395" s="2"/>
    </row>
    <row r="396" ht="15.75" customHeight="1" spans="4:10">
      <c r="D396" s="11"/>
      <c r="E396" s="11"/>
      <c r="J396" s="2"/>
    </row>
    <row r="397" ht="15.75" customHeight="1" spans="4:10">
      <c r="D397" s="11"/>
      <c r="E397" s="11"/>
      <c r="J397" s="2"/>
    </row>
    <row r="398" ht="15.75" customHeight="1" spans="4:10">
      <c r="D398" s="11"/>
      <c r="E398" s="11"/>
      <c r="J398" s="2"/>
    </row>
    <row r="399" ht="15.75" customHeight="1" spans="4:10">
      <c r="D399" s="11"/>
      <c r="E399" s="11"/>
      <c r="J399" s="2"/>
    </row>
    <row r="400" ht="15.75" customHeight="1" spans="4:10">
      <c r="D400" s="11"/>
      <c r="E400" s="11"/>
      <c r="J400" s="2"/>
    </row>
    <row r="401" ht="15.75" customHeight="1" spans="4:10">
      <c r="D401" s="11"/>
      <c r="E401" s="11"/>
      <c r="J401" s="2"/>
    </row>
    <row r="402" ht="15.75" customHeight="1" spans="4:10">
      <c r="D402" s="11"/>
      <c r="E402" s="11"/>
      <c r="J402" s="2"/>
    </row>
    <row r="403" ht="15.75" customHeight="1" spans="4:10">
      <c r="D403" s="11"/>
      <c r="E403" s="11"/>
      <c r="J403" s="2"/>
    </row>
    <row r="404" ht="15.75" customHeight="1" spans="4:10">
      <c r="D404" s="11"/>
      <c r="E404" s="11"/>
      <c r="J404" s="2"/>
    </row>
    <row r="405" ht="15.75" customHeight="1" spans="4:10">
      <c r="D405" s="11"/>
      <c r="E405" s="11"/>
      <c r="J405" s="2"/>
    </row>
    <row r="406" ht="15.75" customHeight="1" spans="4:10">
      <c r="D406" s="11"/>
      <c r="E406" s="11"/>
      <c r="J406" s="2"/>
    </row>
    <row r="407" ht="15.75" customHeight="1" spans="4:10">
      <c r="D407" s="11"/>
      <c r="E407" s="11"/>
      <c r="J407" s="2"/>
    </row>
    <row r="408" ht="15.75" customHeight="1" spans="4:10">
      <c r="D408" s="11"/>
      <c r="E408" s="11"/>
      <c r="J408" s="2"/>
    </row>
    <row r="409" ht="15.75" customHeight="1" spans="4:10">
      <c r="D409" s="11"/>
      <c r="E409" s="11"/>
      <c r="J409" s="2"/>
    </row>
    <row r="410" ht="15.75" customHeight="1" spans="4:10">
      <c r="D410" s="11"/>
      <c r="E410" s="11"/>
      <c r="J410" s="2"/>
    </row>
    <row r="411" ht="15.75" customHeight="1" spans="4:10">
      <c r="D411" s="11"/>
      <c r="E411" s="11"/>
      <c r="J411" s="2"/>
    </row>
    <row r="412" ht="15.75" customHeight="1" spans="4:10">
      <c r="D412" s="11"/>
      <c r="E412" s="11"/>
      <c r="J412" s="2"/>
    </row>
    <row r="413" ht="15.75" customHeight="1" spans="4:10">
      <c r="D413" s="11"/>
      <c r="E413" s="11"/>
      <c r="J413" s="2"/>
    </row>
    <row r="414" ht="15.75" customHeight="1" spans="4:10">
      <c r="D414" s="11"/>
      <c r="E414" s="11"/>
      <c r="J414" s="2"/>
    </row>
    <row r="415" ht="15.75" customHeight="1" spans="4:10">
      <c r="D415" s="11"/>
      <c r="E415" s="11"/>
      <c r="J415" s="2"/>
    </row>
    <row r="416" ht="15.75" customHeight="1" spans="4:10">
      <c r="D416" s="11"/>
      <c r="E416" s="11"/>
      <c r="J416" s="2"/>
    </row>
    <row r="417" ht="15.75" customHeight="1" spans="4:10">
      <c r="D417" s="11"/>
      <c r="E417" s="11"/>
      <c r="J417" s="2"/>
    </row>
    <row r="418" ht="15.75" customHeight="1" spans="4:10">
      <c r="D418" s="11"/>
      <c r="E418" s="11"/>
      <c r="J418" s="2"/>
    </row>
    <row r="419" ht="15.75" customHeight="1" spans="4:10">
      <c r="D419" s="11"/>
      <c r="E419" s="11"/>
      <c r="J419" s="2"/>
    </row>
    <row r="420" ht="15.75" customHeight="1" spans="4:10">
      <c r="D420" s="11"/>
      <c r="E420" s="11"/>
      <c r="J420" s="2"/>
    </row>
    <row r="421" ht="15.75" customHeight="1" spans="4:10">
      <c r="D421" s="11"/>
      <c r="E421" s="11"/>
      <c r="J421" s="2"/>
    </row>
    <row r="422" ht="15.75" customHeight="1" spans="4:10">
      <c r="D422" s="11"/>
      <c r="E422" s="11"/>
      <c r="J422" s="2"/>
    </row>
    <row r="423" ht="15.75" customHeight="1" spans="4:10">
      <c r="D423" s="11"/>
      <c r="E423" s="11"/>
      <c r="J423" s="2"/>
    </row>
    <row r="424" ht="15.75" customHeight="1" spans="4:10">
      <c r="D424" s="11"/>
      <c r="E424" s="11"/>
      <c r="J424" s="2"/>
    </row>
    <row r="425" ht="15.75" customHeight="1" spans="4:10">
      <c r="D425" s="11"/>
      <c r="E425" s="11"/>
      <c r="J425" s="2"/>
    </row>
    <row r="426" ht="15.75" customHeight="1" spans="4:10">
      <c r="D426" s="11"/>
      <c r="E426" s="11"/>
      <c r="J426" s="2"/>
    </row>
    <row r="427" ht="15.75" customHeight="1" spans="4:10">
      <c r="D427" s="11"/>
      <c r="E427" s="11"/>
      <c r="J427" s="2"/>
    </row>
    <row r="428" ht="15.75" customHeight="1" spans="4:10">
      <c r="D428" s="11"/>
      <c r="E428" s="11"/>
      <c r="J428" s="2"/>
    </row>
    <row r="429" ht="15.75" customHeight="1" spans="4:10">
      <c r="D429" s="11"/>
      <c r="E429" s="11"/>
      <c r="J429" s="2"/>
    </row>
    <row r="430" ht="15.75" customHeight="1" spans="4:10">
      <c r="D430" s="11"/>
      <c r="E430" s="11"/>
      <c r="J430" s="2"/>
    </row>
    <row r="431" ht="15.75" customHeight="1" spans="4:10">
      <c r="D431" s="11"/>
      <c r="E431" s="11"/>
      <c r="J431" s="2"/>
    </row>
    <row r="432" ht="15.75" customHeight="1" spans="4:10">
      <c r="D432" s="11"/>
      <c r="E432" s="11"/>
      <c r="J432" s="2"/>
    </row>
    <row r="433" ht="15.75" customHeight="1" spans="4:10">
      <c r="D433" s="11"/>
      <c r="E433" s="11"/>
      <c r="J433" s="2"/>
    </row>
    <row r="434" ht="15.75" customHeight="1" spans="4:10">
      <c r="D434" s="11"/>
      <c r="E434" s="11"/>
      <c r="J434" s="2"/>
    </row>
    <row r="435" ht="15.75" customHeight="1" spans="4:10">
      <c r="D435" s="11"/>
      <c r="E435" s="11"/>
      <c r="J435" s="2"/>
    </row>
    <row r="436" ht="15.75" customHeight="1" spans="4:10">
      <c r="D436" s="11"/>
      <c r="E436" s="11"/>
      <c r="J436" s="2"/>
    </row>
    <row r="437" ht="15.75" customHeight="1" spans="4:10">
      <c r="D437" s="11"/>
      <c r="E437" s="11"/>
      <c r="J437" s="2"/>
    </row>
    <row r="438" ht="15.75" customHeight="1" spans="4:10">
      <c r="D438" s="11"/>
      <c r="E438" s="11"/>
      <c r="J438" s="2"/>
    </row>
    <row r="439" ht="15.75" customHeight="1" spans="4:10">
      <c r="D439" s="11"/>
      <c r="E439" s="11"/>
      <c r="J439" s="2"/>
    </row>
    <row r="440" ht="15.75" customHeight="1" spans="4:10">
      <c r="D440" s="11"/>
      <c r="E440" s="11"/>
      <c r="J440" s="2"/>
    </row>
    <row r="441" ht="15.75" customHeight="1" spans="4:10">
      <c r="D441" s="11"/>
      <c r="E441" s="11"/>
      <c r="J441" s="2"/>
    </row>
    <row r="442" ht="15.75" customHeight="1" spans="4:10">
      <c r="D442" s="11"/>
      <c r="E442" s="11"/>
      <c r="J442" s="2"/>
    </row>
    <row r="443" ht="15.75" customHeight="1" spans="4:10">
      <c r="D443" s="11"/>
      <c r="E443" s="11"/>
      <c r="J443" s="2"/>
    </row>
    <row r="444" ht="15.75" customHeight="1" spans="4:10">
      <c r="D444" s="11"/>
      <c r="E444" s="11"/>
      <c r="J444" s="2"/>
    </row>
    <row r="445" ht="15.75" customHeight="1" spans="4:10">
      <c r="D445" s="11"/>
      <c r="E445" s="11"/>
      <c r="J445" s="2"/>
    </row>
    <row r="446" ht="15.75" customHeight="1" spans="4:10">
      <c r="D446" s="11"/>
      <c r="E446" s="11"/>
      <c r="J446" s="2"/>
    </row>
    <row r="447" ht="15.75" customHeight="1" spans="4:10">
      <c r="D447" s="11"/>
      <c r="E447" s="11"/>
      <c r="J447" s="2"/>
    </row>
    <row r="448" ht="15.75" customHeight="1" spans="4:10">
      <c r="D448" s="11"/>
      <c r="E448" s="11"/>
      <c r="J448" s="2"/>
    </row>
    <row r="449" ht="15.75" customHeight="1" spans="4:10">
      <c r="D449" s="11"/>
      <c r="E449" s="11"/>
      <c r="J449" s="2"/>
    </row>
    <row r="450" ht="15.75" customHeight="1" spans="4:10">
      <c r="D450" s="11"/>
      <c r="E450" s="11"/>
      <c r="J450" s="2"/>
    </row>
    <row r="451" ht="15.75" customHeight="1" spans="4:10">
      <c r="D451" s="11"/>
      <c r="E451" s="11"/>
      <c r="J451" s="2"/>
    </row>
    <row r="452" ht="15.75" customHeight="1" spans="4:10">
      <c r="D452" s="11"/>
      <c r="E452" s="11"/>
      <c r="J452" s="2"/>
    </row>
    <row r="453" ht="15.75" customHeight="1" spans="4:10">
      <c r="D453" s="11"/>
      <c r="E453" s="11"/>
      <c r="J453" s="2"/>
    </row>
    <row r="454" ht="15.75" customHeight="1" spans="4:10">
      <c r="D454" s="11"/>
      <c r="E454" s="11"/>
      <c r="J454" s="2"/>
    </row>
    <row r="455" ht="15.75" customHeight="1" spans="4:10">
      <c r="D455" s="11"/>
      <c r="E455" s="11"/>
      <c r="J455" s="2"/>
    </row>
    <row r="456" ht="15.75" customHeight="1" spans="4:10">
      <c r="D456" s="11"/>
      <c r="E456" s="11"/>
      <c r="J456" s="2"/>
    </row>
    <row r="457" ht="15.75" customHeight="1" spans="4:10">
      <c r="D457" s="11"/>
      <c r="E457" s="11"/>
      <c r="J457" s="2"/>
    </row>
    <row r="458" ht="15.75" customHeight="1" spans="4:10">
      <c r="D458" s="11"/>
      <c r="E458" s="11"/>
      <c r="J458" s="2"/>
    </row>
    <row r="459" ht="15.75" customHeight="1" spans="4:10">
      <c r="D459" s="11"/>
      <c r="E459" s="11"/>
      <c r="J459" s="2"/>
    </row>
    <row r="460" ht="15.75" customHeight="1" spans="4:10">
      <c r="D460" s="11"/>
      <c r="E460" s="11"/>
      <c r="J460" s="2"/>
    </row>
    <row r="461" ht="15.75" customHeight="1" spans="4:10">
      <c r="D461" s="11"/>
      <c r="E461" s="11"/>
      <c r="J461" s="2"/>
    </row>
    <row r="462" ht="15.75" customHeight="1" spans="4:10">
      <c r="D462" s="11"/>
      <c r="E462" s="11"/>
      <c r="J462" s="2"/>
    </row>
    <row r="463" ht="15.75" customHeight="1" spans="4:10">
      <c r="D463" s="11"/>
      <c r="E463" s="11"/>
      <c r="J463" s="2"/>
    </row>
    <row r="464" ht="15.75" customHeight="1" spans="4:10">
      <c r="D464" s="11"/>
      <c r="E464" s="11"/>
      <c r="J464" s="2"/>
    </row>
    <row r="465" ht="15.75" customHeight="1" spans="4:10">
      <c r="D465" s="11"/>
      <c r="E465" s="11"/>
      <c r="J465" s="2"/>
    </row>
    <row r="466" ht="15.75" customHeight="1" spans="4:10">
      <c r="D466" s="11"/>
      <c r="E466" s="11"/>
      <c r="J466" s="2"/>
    </row>
    <row r="467" ht="15.75" customHeight="1" spans="4:10">
      <c r="D467" s="11"/>
      <c r="E467" s="11"/>
      <c r="J467" s="2"/>
    </row>
    <row r="468" ht="15.75" customHeight="1" spans="4:10">
      <c r="D468" s="11"/>
      <c r="E468" s="11"/>
      <c r="J468" s="2"/>
    </row>
    <row r="469" ht="15.75" customHeight="1" spans="4:10">
      <c r="D469" s="11"/>
      <c r="E469" s="11"/>
      <c r="J469" s="2"/>
    </row>
    <row r="470" ht="15.75" customHeight="1" spans="4:10">
      <c r="D470" s="11"/>
      <c r="E470" s="11"/>
      <c r="J470" s="2"/>
    </row>
    <row r="471" ht="15.75" customHeight="1" spans="4:10">
      <c r="D471" s="11"/>
      <c r="E471" s="11"/>
      <c r="J471" s="2"/>
    </row>
    <row r="472" ht="15.75" customHeight="1" spans="4:10">
      <c r="D472" s="11"/>
      <c r="E472" s="11"/>
      <c r="J472" s="2"/>
    </row>
    <row r="473" ht="15.75" customHeight="1" spans="4:10">
      <c r="D473" s="11"/>
      <c r="E473" s="11"/>
      <c r="J473" s="2"/>
    </row>
    <row r="474" ht="15.75" customHeight="1" spans="4:10">
      <c r="D474" s="11"/>
      <c r="E474" s="11"/>
      <c r="J474" s="2"/>
    </row>
    <row r="475" ht="15.75" customHeight="1" spans="4:10">
      <c r="D475" s="11"/>
      <c r="E475" s="11"/>
      <c r="J475" s="2"/>
    </row>
    <row r="476" ht="15.75" customHeight="1" spans="4:10">
      <c r="D476" s="11"/>
      <c r="E476" s="11"/>
      <c r="J476" s="2"/>
    </row>
    <row r="477" ht="15.75" customHeight="1" spans="4:10">
      <c r="D477" s="11"/>
      <c r="E477" s="11"/>
      <c r="J477" s="2"/>
    </row>
    <row r="478" ht="15.75" customHeight="1" spans="4:10">
      <c r="D478" s="11"/>
      <c r="E478" s="11"/>
      <c r="J478" s="2"/>
    </row>
    <row r="479" ht="15.75" customHeight="1" spans="4:10">
      <c r="D479" s="11"/>
      <c r="E479" s="11"/>
      <c r="J479" s="2"/>
    </row>
    <row r="480" ht="15.75" customHeight="1" spans="4:10">
      <c r="D480" s="11"/>
      <c r="E480" s="11"/>
      <c r="J480" s="2"/>
    </row>
    <row r="481" ht="15.75" customHeight="1" spans="4:10">
      <c r="D481" s="11"/>
      <c r="E481" s="11"/>
      <c r="J481" s="2"/>
    </row>
    <row r="482" ht="15.75" customHeight="1" spans="4:10">
      <c r="D482" s="11"/>
      <c r="E482" s="11"/>
      <c r="J482" s="2"/>
    </row>
    <row r="483" ht="15.75" customHeight="1" spans="4:10">
      <c r="D483" s="11"/>
      <c r="E483" s="11"/>
      <c r="J483" s="2"/>
    </row>
    <row r="484" ht="15.75" customHeight="1" spans="4:10">
      <c r="D484" s="11"/>
      <c r="E484" s="11"/>
      <c r="J484" s="2"/>
    </row>
    <row r="485" ht="15.75" customHeight="1" spans="4:10">
      <c r="D485" s="11"/>
      <c r="E485" s="11"/>
      <c r="J485" s="2"/>
    </row>
    <row r="486" ht="15.75" customHeight="1" spans="4:10">
      <c r="D486" s="11"/>
      <c r="E486" s="11"/>
      <c r="J486" s="2"/>
    </row>
    <row r="487" ht="15.75" customHeight="1" spans="4:10">
      <c r="D487" s="11"/>
      <c r="E487" s="11"/>
      <c r="J487" s="2"/>
    </row>
    <row r="488" ht="15.75" customHeight="1" spans="4:10">
      <c r="D488" s="11"/>
      <c r="E488" s="11"/>
      <c r="J488" s="2"/>
    </row>
    <row r="489" ht="15.75" customHeight="1" spans="4:10">
      <c r="D489" s="11"/>
      <c r="E489" s="11"/>
      <c r="J489" s="2"/>
    </row>
    <row r="490" ht="15.75" customHeight="1" spans="4:10">
      <c r="D490" s="11"/>
      <c r="E490" s="11"/>
      <c r="J490" s="2"/>
    </row>
    <row r="491" ht="15.75" customHeight="1" spans="4:10">
      <c r="D491" s="11"/>
      <c r="E491" s="11"/>
      <c r="J491" s="2"/>
    </row>
    <row r="492" ht="15.75" customHeight="1" spans="4:10">
      <c r="D492" s="11"/>
      <c r="E492" s="11"/>
      <c r="J492" s="2"/>
    </row>
    <row r="493" ht="15.75" customHeight="1" spans="4:10">
      <c r="D493" s="11"/>
      <c r="E493" s="11"/>
      <c r="J493" s="2"/>
    </row>
    <row r="494" ht="15.75" customHeight="1" spans="4:10">
      <c r="D494" s="11"/>
      <c r="E494" s="11"/>
      <c r="J494" s="2"/>
    </row>
    <row r="495" ht="15.75" customHeight="1" spans="4:10">
      <c r="D495" s="11"/>
      <c r="E495" s="11"/>
      <c r="J495" s="2"/>
    </row>
    <row r="496" ht="15.75" customHeight="1" spans="4:10">
      <c r="D496" s="11"/>
      <c r="E496" s="11"/>
      <c r="J496" s="2"/>
    </row>
    <row r="497" ht="15.75" customHeight="1" spans="4:10">
      <c r="D497" s="11"/>
      <c r="E497" s="11"/>
      <c r="J497" s="2"/>
    </row>
    <row r="498" ht="15.75" customHeight="1" spans="4:10">
      <c r="D498" s="11"/>
      <c r="E498" s="11"/>
      <c r="J498" s="2"/>
    </row>
    <row r="499" ht="15.75" customHeight="1" spans="4:10">
      <c r="D499" s="11"/>
      <c r="E499" s="11"/>
      <c r="J499" s="2"/>
    </row>
    <row r="500" ht="15.75" customHeight="1" spans="4:10">
      <c r="D500" s="11"/>
      <c r="E500" s="11"/>
      <c r="J500" s="2"/>
    </row>
    <row r="501" ht="15.75" customHeight="1" spans="4:10">
      <c r="D501" s="11"/>
      <c r="E501" s="11"/>
      <c r="J501" s="2"/>
    </row>
    <row r="502" ht="15.75" customHeight="1" spans="4:10">
      <c r="D502" s="11"/>
      <c r="E502" s="11"/>
      <c r="J502" s="2"/>
    </row>
    <row r="503" ht="15.75" customHeight="1" spans="4:10">
      <c r="D503" s="11"/>
      <c r="E503" s="11"/>
      <c r="J503" s="2"/>
    </row>
    <row r="504" ht="15.75" customHeight="1" spans="4:10">
      <c r="D504" s="11"/>
      <c r="E504" s="11"/>
      <c r="J504" s="2"/>
    </row>
    <row r="505" ht="15.75" customHeight="1" spans="4:10">
      <c r="D505" s="11"/>
      <c r="E505" s="11"/>
      <c r="J505" s="2"/>
    </row>
    <row r="506" ht="15.75" customHeight="1" spans="4:10">
      <c r="D506" s="11"/>
      <c r="E506" s="11"/>
      <c r="J506" s="2"/>
    </row>
    <row r="507" ht="15.75" customHeight="1" spans="4:10">
      <c r="D507" s="11"/>
      <c r="E507" s="11"/>
      <c r="J507" s="2"/>
    </row>
    <row r="508" ht="15.75" customHeight="1" spans="4:10">
      <c r="D508" s="11"/>
      <c r="E508" s="11"/>
      <c r="J508" s="2"/>
    </row>
    <row r="509" ht="15.75" customHeight="1" spans="4:10">
      <c r="D509" s="11"/>
      <c r="E509" s="11"/>
      <c r="J509" s="2"/>
    </row>
    <row r="510" ht="15.75" customHeight="1" spans="4:10">
      <c r="D510" s="11"/>
      <c r="E510" s="11"/>
      <c r="J510" s="2"/>
    </row>
    <row r="511" ht="15.75" customHeight="1" spans="4:10">
      <c r="D511" s="11"/>
      <c r="E511" s="11"/>
      <c r="J511" s="2"/>
    </row>
    <row r="512" ht="15.75" customHeight="1" spans="4:10">
      <c r="D512" s="11"/>
      <c r="E512" s="11"/>
      <c r="J512" s="2"/>
    </row>
    <row r="513" ht="15.75" customHeight="1" spans="4:10">
      <c r="D513" s="11"/>
      <c r="E513" s="11"/>
      <c r="J513" s="2"/>
    </row>
    <row r="514" ht="15.75" customHeight="1" spans="4:10">
      <c r="D514" s="11"/>
      <c r="E514" s="11"/>
      <c r="J514" s="2"/>
    </row>
    <row r="515" ht="15.75" customHeight="1" spans="4:10">
      <c r="D515" s="11"/>
      <c r="E515" s="11"/>
      <c r="J515" s="2"/>
    </row>
    <row r="516" ht="15.75" customHeight="1" spans="4:10">
      <c r="D516" s="11"/>
      <c r="E516" s="11"/>
      <c r="J516" s="2"/>
    </row>
    <row r="517" ht="15.75" customHeight="1" spans="4:10">
      <c r="D517" s="11"/>
      <c r="E517" s="11"/>
      <c r="J517" s="2"/>
    </row>
    <row r="518" ht="15.75" customHeight="1" spans="4:10">
      <c r="D518" s="11"/>
      <c r="E518" s="11"/>
      <c r="J518" s="2"/>
    </row>
    <row r="519" ht="15.75" customHeight="1" spans="4:10">
      <c r="D519" s="11"/>
      <c r="E519" s="11"/>
      <c r="J519" s="2"/>
    </row>
    <row r="520" ht="15.75" customHeight="1" spans="4:10">
      <c r="D520" s="11"/>
      <c r="E520" s="11"/>
      <c r="J520" s="2"/>
    </row>
    <row r="521" ht="15.75" customHeight="1" spans="4:10">
      <c r="D521" s="11"/>
      <c r="E521" s="11"/>
      <c r="J521" s="2"/>
    </row>
    <row r="522" ht="15.75" customHeight="1" spans="4:10">
      <c r="D522" s="11"/>
      <c r="E522" s="11"/>
      <c r="J522" s="2"/>
    </row>
    <row r="523" ht="15.75" customHeight="1" spans="4:10">
      <c r="D523" s="11"/>
      <c r="E523" s="11"/>
      <c r="J523" s="2"/>
    </row>
    <row r="524" ht="15.75" customHeight="1" spans="4:10">
      <c r="D524" s="11"/>
      <c r="E524" s="11"/>
      <c r="J524" s="2"/>
    </row>
    <row r="525" ht="15.75" customHeight="1" spans="4:10">
      <c r="D525" s="11"/>
      <c r="E525" s="11"/>
      <c r="J525" s="2"/>
    </row>
    <row r="526" ht="15.75" customHeight="1" spans="4:10">
      <c r="D526" s="11"/>
      <c r="E526" s="11"/>
      <c r="J526" s="2"/>
    </row>
    <row r="527" ht="15.75" customHeight="1" spans="4:10">
      <c r="D527" s="11"/>
      <c r="E527" s="11"/>
      <c r="J527" s="2"/>
    </row>
    <row r="528" ht="15.75" customHeight="1" spans="4:10">
      <c r="D528" s="11"/>
      <c r="E528" s="11"/>
      <c r="J528" s="2"/>
    </row>
    <row r="529" ht="15.75" customHeight="1" spans="4:10">
      <c r="D529" s="11"/>
      <c r="E529" s="11"/>
      <c r="J529" s="2"/>
    </row>
    <row r="530" ht="15.75" customHeight="1" spans="4:10">
      <c r="D530" s="11"/>
      <c r="E530" s="11"/>
      <c r="J530" s="2"/>
    </row>
    <row r="531" ht="15.75" customHeight="1" spans="4:10">
      <c r="D531" s="11"/>
      <c r="E531" s="11"/>
      <c r="J531" s="2"/>
    </row>
    <row r="532" ht="15.75" customHeight="1" spans="4:10">
      <c r="D532" s="11"/>
      <c r="E532" s="11"/>
      <c r="J532" s="2"/>
    </row>
    <row r="533" ht="15.75" customHeight="1" spans="4:10">
      <c r="D533" s="11"/>
      <c r="E533" s="11"/>
      <c r="J533" s="2"/>
    </row>
    <row r="534" ht="15.75" customHeight="1" spans="4:10">
      <c r="D534" s="11"/>
      <c r="E534" s="11"/>
      <c r="J534" s="2"/>
    </row>
    <row r="535" ht="15.75" customHeight="1" spans="4:10">
      <c r="D535" s="11"/>
      <c r="E535" s="11"/>
      <c r="J535" s="2"/>
    </row>
    <row r="536" ht="15.75" customHeight="1" spans="4:10">
      <c r="D536" s="11"/>
      <c r="E536" s="11"/>
      <c r="J536" s="2"/>
    </row>
    <row r="537" ht="15.75" customHeight="1" spans="4:10">
      <c r="D537" s="11"/>
      <c r="E537" s="11"/>
      <c r="J537" s="2"/>
    </row>
    <row r="538" ht="15.75" customHeight="1" spans="4:10">
      <c r="D538" s="11"/>
      <c r="E538" s="11"/>
      <c r="J538" s="2"/>
    </row>
    <row r="539" ht="15.75" customHeight="1" spans="4:10">
      <c r="D539" s="11"/>
      <c r="E539" s="11"/>
      <c r="J539" s="2"/>
    </row>
    <row r="540" ht="15.75" customHeight="1" spans="4:10">
      <c r="D540" s="11"/>
      <c r="E540" s="11"/>
      <c r="J540" s="2"/>
    </row>
    <row r="541" ht="15.75" customHeight="1" spans="4:10">
      <c r="D541" s="11"/>
      <c r="E541" s="11"/>
      <c r="J541" s="2"/>
    </row>
    <row r="542" ht="15.75" customHeight="1" spans="4:10">
      <c r="D542" s="11"/>
      <c r="E542" s="11"/>
      <c r="J542" s="2"/>
    </row>
    <row r="543" ht="15.75" customHeight="1" spans="4:10">
      <c r="D543" s="11"/>
      <c r="E543" s="11"/>
      <c r="J543" s="2"/>
    </row>
    <row r="544" ht="15.75" customHeight="1" spans="4:10">
      <c r="D544" s="11"/>
      <c r="E544" s="11"/>
      <c r="J544" s="2"/>
    </row>
    <row r="545" ht="15.75" customHeight="1" spans="4:10">
      <c r="D545" s="11"/>
      <c r="E545" s="11"/>
      <c r="J545" s="2"/>
    </row>
    <row r="546" ht="15.75" customHeight="1" spans="4:10">
      <c r="D546" s="11"/>
      <c r="E546" s="11"/>
      <c r="J546" s="2"/>
    </row>
    <row r="547" ht="15.75" customHeight="1" spans="4:10">
      <c r="D547" s="11"/>
      <c r="E547" s="11"/>
      <c r="J547" s="2"/>
    </row>
    <row r="548" ht="15.75" customHeight="1" spans="4:10">
      <c r="D548" s="11"/>
      <c r="E548" s="11"/>
      <c r="J548" s="2"/>
    </row>
    <row r="549" ht="15.75" customHeight="1" spans="4:10">
      <c r="D549" s="11"/>
      <c r="E549" s="11"/>
      <c r="J549" s="2"/>
    </row>
    <row r="550" ht="15.75" customHeight="1" spans="4:10">
      <c r="D550" s="11"/>
      <c r="E550" s="11"/>
      <c r="J550" s="2"/>
    </row>
    <row r="551" ht="15.75" customHeight="1" spans="4:10">
      <c r="D551" s="11"/>
      <c r="E551" s="11"/>
      <c r="J551" s="2"/>
    </row>
    <row r="552" ht="15.75" customHeight="1" spans="4:10">
      <c r="D552" s="11"/>
      <c r="E552" s="11"/>
      <c r="J552" s="2"/>
    </row>
    <row r="553" ht="15.75" customHeight="1" spans="4:10">
      <c r="D553" s="11"/>
      <c r="E553" s="11"/>
      <c r="J553" s="2"/>
    </row>
    <row r="554" ht="15.75" customHeight="1" spans="4:10">
      <c r="D554" s="11"/>
      <c r="E554" s="11"/>
      <c r="J554" s="2"/>
    </row>
    <row r="555" ht="15.75" customHeight="1" spans="4:10">
      <c r="D555" s="11"/>
      <c r="E555" s="11"/>
      <c r="J555" s="2"/>
    </row>
    <row r="556" ht="15.75" customHeight="1" spans="4:10">
      <c r="D556" s="11"/>
      <c r="E556" s="11"/>
      <c r="J556" s="2"/>
    </row>
    <row r="557" ht="15.75" customHeight="1" spans="4:10">
      <c r="D557" s="11"/>
      <c r="E557" s="11"/>
      <c r="J557" s="2"/>
    </row>
    <row r="558" ht="15.75" customHeight="1" spans="4:10">
      <c r="D558" s="11"/>
      <c r="E558" s="11"/>
      <c r="J558" s="2"/>
    </row>
    <row r="559" ht="15.75" customHeight="1" spans="4:10">
      <c r="D559" s="11"/>
      <c r="E559" s="11"/>
      <c r="J559" s="2"/>
    </row>
    <row r="560" ht="15.75" customHeight="1" spans="4:10">
      <c r="D560" s="11"/>
      <c r="E560" s="11"/>
      <c r="J560" s="2"/>
    </row>
    <row r="561" ht="15.75" customHeight="1" spans="4:10">
      <c r="D561" s="11"/>
      <c r="E561" s="11"/>
      <c r="J561" s="2"/>
    </row>
    <row r="562" ht="15.75" customHeight="1" spans="4:10">
      <c r="D562" s="11"/>
      <c r="E562" s="11"/>
      <c r="J562" s="2"/>
    </row>
    <row r="563" ht="15.75" customHeight="1" spans="4:10">
      <c r="D563" s="11"/>
      <c r="E563" s="11"/>
      <c r="J563" s="2"/>
    </row>
    <row r="564" ht="15.75" customHeight="1" spans="4:10">
      <c r="D564" s="11"/>
      <c r="E564" s="11"/>
      <c r="J564" s="2"/>
    </row>
    <row r="565" ht="15.75" customHeight="1" spans="4:10">
      <c r="D565" s="11"/>
      <c r="E565" s="11"/>
      <c r="J565" s="2"/>
    </row>
    <row r="566" ht="15.75" customHeight="1" spans="4:10">
      <c r="D566" s="11"/>
      <c r="E566" s="11"/>
      <c r="J566" s="2"/>
    </row>
    <row r="567" ht="15.75" customHeight="1" spans="4:10">
      <c r="D567" s="11"/>
      <c r="E567" s="11"/>
      <c r="J567" s="2"/>
    </row>
    <row r="568" ht="15.75" customHeight="1" spans="4:10">
      <c r="D568" s="11"/>
      <c r="E568" s="11"/>
      <c r="J568" s="2"/>
    </row>
    <row r="569" ht="15.75" customHeight="1" spans="4:10">
      <c r="D569" s="11"/>
      <c r="E569" s="11"/>
      <c r="J569" s="2"/>
    </row>
    <row r="570" ht="15.75" customHeight="1" spans="4:10">
      <c r="D570" s="11"/>
      <c r="E570" s="11"/>
      <c r="J570" s="2"/>
    </row>
    <row r="571" ht="15.75" customHeight="1" spans="4:10">
      <c r="D571" s="11"/>
      <c r="E571" s="11"/>
      <c r="J571" s="2"/>
    </row>
    <row r="572" ht="15.75" customHeight="1" spans="4:10">
      <c r="D572" s="11"/>
      <c r="E572" s="11"/>
      <c r="J572" s="2"/>
    </row>
    <row r="573" ht="15.75" customHeight="1" spans="4:10">
      <c r="D573" s="11"/>
      <c r="E573" s="11"/>
      <c r="J573" s="2"/>
    </row>
    <row r="574" ht="15.75" customHeight="1" spans="4:10">
      <c r="D574" s="11"/>
      <c r="E574" s="11"/>
      <c r="J574" s="2"/>
    </row>
    <row r="575" ht="15.75" customHeight="1" spans="4:10">
      <c r="D575" s="11"/>
      <c r="E575" s="11"/>
      <c r="J575" s="2"/>
    </row>
    <row r="576" ht="15.75" customHeight="1" spans="4:10">
      <c r="D576" s="11"/>
      <c r="E576" s="11"/>
      <c r="J576" s="2"/>
    </row>
    <row r="577" ht="15.75" customHeight="1" spans="4:10">
      <c r="D577" s="11"/>
      <c r="E577" s="11"/>
      <c r="J577" s="2"/>
    </row>
    <row r="578" ht="15.75" customHeight="1" spans="4:10">
      <c r="D578" s="11"/>
      <c r="E578" s="11"/>
      <c r="J578" s="2"/>
    </row>
    <row r="579" ht="15.75" customHeight="1" spans="4:10">
      <c r="D579" s="11"/>
      <c r="E579" s="11"/>
      <c r="J579" s="2"/>
    </row>
    <row r="580" ht="15.75" customHeight="1" spans="4:10">
      <c r="D580" s="11"/>
      <c r="E580" s="11"/>
      <c r="J580" s="2"/>
    </row>
    <row r="581" ht="15.75" customHeight="1" spans="4:10">
      <c r="D581" s="11"/>
      <c r="E581" s="11"/>
      <c r="J581" s="2"/>
    </row>
    <row r="582" ht="15.75" customHeight="1" spans="4:10">
      <c r="D582" s="11"/>
      <c r="E582" s="11"/>
      <c r="J582" s="2"/>
    </row>
    <row r="583" ht="15.75" customHeight="1" spans="4:10">
      <c r="D583" s="11"/>
      <c r="E583" s="11"/>
      <c r="J583" s="2"/>
    </row>
    <row r="584" ht="15.75" customHeight="1" spans="4:10">
      <c r="D584" s="11"/>
      <c r="E584" s="11"/>
      <c r="J584" s="2"/>
    </row>
    <row r="585" ht="15.75" customHeight="1" spans="4:10">
      <c r="D585" s="11"/>
      <c r="E585" s="11"/>
      <c r="J585" s="2"/>
    </row>
    <row r="586" ht="15.75" customHeight="1" spans="4:10">
      <c r="D586" s="11"/>
      <c r="E586" s="11"/>
      <c r="J586" s="2"/>
    </row>
    <row r="587" ht="15.75" customHeight="1" spans="4:10">
      <c r="D587" s="11"/>
      <c r="E587" s="11"/>
      <c r="J587" s="2"/>
    </row>
    <row r="588" ht="15.75" customHeight="1" spans="4:10">
      <c r="D588" s="11"/>
      <c r="E588" s="11"/>
      <c r="J588" s="2"/>
    </row>
    <row r="589" ht="15.75" customHeight="1" spans="4:10">
      <c r="D589" s="11"/>
      <c r="E589" s="11"/>
      <c r="J589" s="2"/>
    </row>
    <row r="590" ht="15.75" customHeight="1" spans="4:10">
      <c r="D590" s="11"/>
      <c r="E590" s="11"/>
      <c r="J590" s="2"/>
    </row>
    <row r="591" ht="15.75" customHeight="1" spans="4:10">
      <c r="D591" s="11"/>
      <c r="E591" s="11"/>
      <c r="J591" s="2"/>
    </row>
    <row r="592" ht="15.75" customHeight="1" spans="4:10">
      <c r="D592" s="11"/>
      <c r="E592" s="11"/>
      <c r="J592" s="2"/>
    </row>
    <row r="593" ht="15.75" customHeight="1" spans="4:10">
      <c r="D593" s="11"/>
      <c r="E593" s="11"/>
      <c r="J593" s="2"/>
    </row>
    <row r="594" ht="15.75" customHeight="1" spans="4:10">
      <c r="D594" s="11"/>
      <c r="E594" s="11"/>
      <c r="J594" s="2"/>
    </row>
    <row r="595" ht="15.75" customHeight="1" spans="4:10">
      <c r="D595" s="11"/>
      <c r="E595" s="11"/>
      <c r="J595" s="2"/>
    </row>
    <row r="596" ht="15.75" customHeight="1" spans="4:10">
      <c r="D596" s="11"/>
      <c r="E596" s="11"/>
      <c r="J596" s="2"/>
    </row>
    <row r="597" ht="15.75" customHeight="1" spans="4:10">
      <c r="D597" s="11"/>
      <c r="E597" s="11"/>
      <c r="J597" s="2"/>
    </row>
    <row r="598" ht="15.75" customHeight="1" spans="4:10">
      <c r="D598" s="11"/>
      <c r="E598" s="11"/>
      <c r="J598" s="2"/>
    </row>
    <row r="599" ht="15.75" customHeight="1" spans="4:10">
      <c r="D599" s="11"/>
      <c r="E599" s="11"/>
      <c r="J599" s="2"/>
    </row>
    <row r="600" ht="15.75" customHeight="1" spans="4:10">
      <c r="D600" s="11"/>
      <c r="E600" s="11"/>
      <c r="J600" s="2"/>
    </row>
    <row r="601" ht="15.75" customHeight="1" spans="4:10">
      <c r="D601" s="11"/>
      <c r="E601" s="11"/>
      <c r="J601" s="2"/>
    </row>
    <row r="602" ht="15.75" customHeight="1" spans="4:10">
      <c r="D602" s="11"/>
      <c r="E602" s="11"/>
      <c r="J602" s="2"/>
    </row>
    <row r="603" ht="15.75" customHeight="1" spans="4:10">
      <c r="D603" s="11"/>
      <c r="E603" s="11"/>
      <c r="J603" s="2"/>
    </row>
    <row r="604" ht="15.75" customHeight="1" spans="4:10">
      <c r="D604" s="11"/>
      <c r="E604" s="11"/>
      <c r="J604" s="2"/>
    </row>
    <row r="605" ht="15.75" customHeight="1" spans="4:10">
      <c r="D605" s="11"/>
      <c r="E605" s="11"/>
      <c r="J605" s="2"/>
    </row>
    <row r="606" ht="15.75" customHeight="1" spans="4:10">
      <c r="D606" s="11"/>
      <c r="E606" s="11"/>
      <c r="J606" s="2"/>
    </row>
    <row r="607" ht="15.75" customHeight="1" spans="4:10">
      <c r="D607" s="11"/>
      <c r="E607" s="11"/>
      <c r="J607" s="2"/>
    </row>
    <row r="608" ht="15.75" customHeight="1" spans="4:10">
      <c r="D608" s="11"/>
      <c r="E608" s="11"/>
      <c r="J608" s="2"/>
    </row>
    <row r="609" ht="15.75" customHeight="1" spans="4:10">
      <c r="D609" s="11"/>
      <c r="E609" s="11"/>
      <c r="J609" s="2"/>
    </row>
    <row r="610" ht="15.75" customHeight="1" spans="4:10">
      <c r="D610" s="11"/>
      <c r="E610" s="11"/>
      <c r="J610" s="2"/>
    </row>
    <row r="611" ht="15.75" customHeight="1" spans="4:10">
      <c r="D611" s="11"/>
      <c r="E611" s="11"/>
      <c r="J611" s="2"/>
    </row>
    <row r="612" ht="15.75" customHeight="1" spans="4:10">
      <c r="D612" s="11"/>
      <c r="E612" s="11"/>
      <c r="J612" s="2"/>
    </row>
    <row r="613" ht="15.75" customHeight="1" spans="4:10">
      <c r="D613" s="11"/>
      <c r="E613" s="11"/>
      <c r="J613" s="2"/>
    </row>
    <row r="614" ht="15.75" customHeight="1" spans="4:10">
      <c r="D614" s="11"/>
      <c r="E614" s="11"/>
      <c r="J614" s="2"/>
    </row>
    <row r="615" ht="15.75" customHeight="1" spans="4:10">
      <c r="D615" s="11"/>
      <c r="E615" s="11"/>
      <c r="J615" s="2"/>
    </row>
    <row r="616" ht="15.75" customHeight="1" spans="4:10">
      <c r="D616" s="11"/>
      <c r="E616" s="11"/>
      <c r="J616" s="2"/>
    </row>
    <row r="617" ht="15.75" customHeight="1" spans="4:10">
      <c r="D617" s="11"/>
      <c r="E617" s="11"/>
      <c r="J617" s="2"/>
    </row>
    <row r="618" ht="15.75" customHeight="1" spans="4:10">
      <c r="D618" s="11"/>
      <c r="E618" s="11"/>
      <c r="J618" s="2"/>
    </row>
    <row r="619" ht="15.75" customHeight="1" spans="4:10">
      <c r="D619" s="11"/>
      <c r="E619" s="11"/>
      <c r="J619" s="2"/>
    </row>
    <row r="620" ht="15.75" customHeight="1" spans="4:10">
      <c r="D620" s="11"/>
      <c r="E620" s="11"/>
      <c r="J620" s="2"/>
    </row>
    <row r="621" ht="15.75" customHeight="1" spans="4:10">
      <c r="D621" s="11"/>
      <c r="E621" s="11"/>
      <c r="J621" s="2"/>
    </row>
    <row r="622" ht="15.75" customHeight="1" spans="4:10">
      <c r="D622" s="11"/>
      <c r="E622" s="11"/>
      <c r="J622" s="2"/>
    </row>
    <row r="623" ht="15.75" customHeight="1" spans="4:10">
      <c r="D623" s="11"/>
      <c r="E623" s="11"/>
      <c r="J623" s="2"/>
    </row>
    <row r="624" ht="15.75" customHeight="1" spans="4:10">
      <c r="D624" s="11"/>
      <c r="E624" s="11"/>
      <c r="J624" s="2"/>
    </row>
    <row r="625" ht="15.75" customHeight="1" spans="4:10">
      <c r="D625" s="11"/>
      <c r="E625" s="11"/>
      <c r="J625" s="2"/>
    </row>
    <row r="626" ht="15.75" customHeight="1" spans="4:10">
      <c r="D626" s="11"/>
      <c r="E626" s="11"/>
      <c r="J626" s="2"/>
    </row>
    <row r="627" ht="15.75" customHeight="1" spans="4:10">
      <c r="D627" s="11"/>
      <c r="E627" s="11"/>
      <c r="J627" s="2"/>
    </row>
    <row r="628" ht="15.75" customHeight="1" spans="4:10">
      <c r="D628" s="11"/>
      <c r="E628" s="11"/>
      <c r="J628" s="2"/>
    </row>
    <row r="629" ht="15.75" customHeight="1" spans="4:10">
      <c r="D629" s="11"/>
      <c r="E629" s="11"/>
      <c r="J629" s="2"/>
    </row>
    <row r="630" ht="15.75" customHeight="1" spans="4:10">
      <c r="D630" s="11"/>
      <c r="E630" s="11"/>
      <c r="J630" s="2"/>
    </row>
    <row r="631" ht="15.75" customHeight="1" spans="4:10">
      <c r="D631" s="11"/>
      <c r="E631" s="11"/>
      <c r="J631" s="2"/>
    </row>
    <row r="632" ht="15.75" customHeight="1" spans="4:10">
      <c r="D632" s="11"/>
      <c r="E632" s="11"/>
      <c r="J632" s="2"/>
    </row>
    <row r="633" ht="15.75" customHeight="1" spans="4:10">
      <c r="D633" s="11"/>
      <c r="E633" s="11"/>
      <c r="J633" s="2"/>
    </row>
    <row r="634" ht="15.75" customHeight="1" spans="4:10">
      <c r="D634" s="11"/>
      <c r="E634" s="11"/>
      <c r="J634" s="2"/>
    </row>
    <row r="635" ht="15.75" customHeight="1" spans="4:10">
      <c r="D635" s="11"/>
      <c r="E635" s="11"/>
      <c r="J635" s="2"/>
    </row>
    <row r="636" ht="15.75" customHeight="1" spans="4:10">
      <c r="D636" s="11"/>
      <c r="E636" s="11"/>
      <c r="J636" s="2"/>
    </row>
    <row r="637" ht="15.75" customHeight="1" spans="4:10">
      <c r="D637" s="11"/>
      <c r="E637" s="11"/>
      <c r="J637" s="2"/>
    </row>
    <row r="638" ht="15.75" customHeight="1" spans="4:10">
      <c r="D638" s="11"/>
      <c r="E638" s="11"/>
      <c r="J638" s="2"/>
    </row>
    <row r="639" ht="15.75" customHeight="1" spans="4:10">
      <c r="D639" s="11"/>
      <c r="E639" s="11"/>
      <c r="J639" s="2"/>
    </row>
    <row r="640" ht="15.75" customHeight="1" spans="4:10">
      <c r="D640" s="11"/>
      <c r="E640" s="11"/>
      <c r="J640" s="2"/>
    </row>
    <row r="641" ht="15.75" customHeight="1" spans="4:10">
      <c r="D641" s="11"/>
      <c r="E641" s="11"/>
      <c r="J641" s="2"/>
    </row>
    <row r="642" ht="15.75" customHeight="1" spans="4:10">
      <c r="D642" s="11"/>
      <c r="E642" s="11"/>
      <c r="J642" s="2"/>
    </row>
    <row r="643" ht="15.75" customHeight="1" spans="4:10">
      <c r="D643" s="11"/>
      <c r="E643" s="11"/>
      <c r="J643" s="2"/>
    </row>
    <row r="644" ht="15.75" customHeight="1" spans="4:10">
      <c r="D644" s="11"/>
      <c r="E644" s="11"/>
      <c r="J644" s="2"/>
    </row>
    <row r="645" ht="15.75" customHeight="1" spans="4:10">
      <c r="D645" s="11"/>
      <c r="E645" s="11"/>
      <c r="J645" s="2"/>
    </row>
    <row r="646" ht="15.75" customHeight="1" spans="4:10">
      <c r="D646" s="11"/>
      <c r="E646" s="11"/>
      <c r="J646" s="2"/>
    </row>
    <row r="647" ht="15.75" customHeight="1" spans="4:10">
      <c r="D647" s="11"/>
      <c r="E647" s="11"/>
      <c r="J647" s="2"/>
    </row>
    <row r="648" ht="15.75" customHeight="1" spans="4:10">
      <c r="D648" s="11"/>
      <c r="E648" s="11"/>
      <c r="J648" s="2"/>
    </row>
    <row r="649" ht="15.75" customHeight="1" spans="4:10">
      <c r="D649" s="11"/>
      <c r="E649" s="11"/>
      <c r="J649" s="2"/>
    </row>
    <row r="650" ht="15.75" customHeight="1" spans="4:10">
      <c r="D650" s="11"/>
      <c r="E650" s="11"/>
      <c r="J650" s="2"/>
    </row>
    <row r="651" ht="15.75" customHeight="1" spans="4:10">
      <c r="D651" s="11"/>
      <c r="E651" s="11"/>
      <c r="J651" s="2"/>
    </row>
    <row r="652" ht="15.75" customHeight="1" spans="4:10">
      <c r="D652" s="11"/>
      <c r="E652" s="11"/>
      <c r="J652" s="2"/>
    </row>
    <row r="653" ht="15.75" customHeight="1" spans="4:10">
      <c r="D653" s="11"/>
      <c r="E653" s="11"/>
      <c r="J653" s="2"/>
    </row>
    <row r="654" ht="15.75" customHeight="1" spans="4:10">
      <c r="D654" s="11"/>
      <c r="E654" s="11"/>
      <c r="J654" s="2"/>
    </row>
    <row r="655" ht="15.75" customHeight="1" spans="4:10">
      <c r="D655" s="11"/>
      <c r="E655" s="11"/>
      <c r="J655" s="2"/>
    </row>
    <row r="656" ht="15.75" customHeight="1" spans="4:10">
      <c r="D656" s="11"/>
      <c r="E656" s="11"/>
      <c r="J656" s="2"/>
    </row>
    <row r="657" ht="15.75" customHeight="1" spans="4:10">
      <c r="D657" s="11"/>
      <c r="E657" s="11"/>
      <c r="J657" s="2"/>
    </row>
    <row r="658" ht="15.75" customHeight="1" spans="4:10">
      <c r="D658" s="11"/>
      <c r="E658" s="11"/>
      <c r="J658" s="2"/>
    </row>
    <row r="659" ht="15.75" customHeight="1" spans="4:10">
      <c r="D659" s="11"/>
      <c r="E659" s="11"/>
      <c r="J659" s="2"/>
    </row>
    <row r="660" ht="15.75" customHeight="1" spans="4:10">
      <c r="D660" s="11"/>
      <c r="E660" s="11"/>
      <c r="J660" s="2"/>
    </row>
    <row r="661" ht="15.75" customHeight="1" spans="4:10">
      <c r="D661" s="11"/>
      <c r="E661" s="11"/>
      <c r="J661" s="2"/>
    </row>
    <row r="662" ht="15.75" customHeight="1" spans="4:10">
      <c r="D662" s="11"/>
      <c r="E662" s="11"/>
      <c r="J662" s="2"/>
    </row>
    <row r="663" ht="15.75" customHeight="1" spans="4:10">
      <c r="D663" s="11"/>
      <c r="E663" s="11"/>
      <c r="J663" s="2"/>
    </row>
    <row r="664" ht="15.75" customHeight="1" spans="4:10">
      <c r="D664" s="11"/>
      <c r="E664" s="11"/>
      <c r="J664" s="2"/>
    </row>
    <row r="665" ht="15.75" customHeight="1" spans="4:10">
      <c r="D665" s="11"/>
      <c r="E665" s="11"/>
      <c r="J665" s="2"/>
    </row>
    <row r="666" ht="15.75" customHeight="1" spans="4:10">
      <c r="D666" s="11"/>
      <c r="E666" s="11"/>
      <c r="J666" s="2"/>
    </row>
    <row r="667" ht="15.75" customHeight="1" spans="4:10">
      <c r="D667" s="11"/>
      <c r="E667" s="11"/>
      <c r="J667" s="2"/>
    </row>
    <row r="668" ht="15.75" customHeight="1" spans="4:10">
      <c r="D668" s="11"/>
      <c r="E668" s="11"/>
      <c r="J668" s="2"/>
    </row>
    <row r="669" ht="15.75" customHeight="1" spans="4:10">
      <c r="D669" s="11"/>
      <c r="E669" s="11"/>
      <c r="J669" s="2"/>
    </row>
    <row r="670" ht="15.75" customHeight="1" spans="4:10">
      <c r="D670" s="11"/>
      <c r="E670" s="11"/>
      <c r="J670" s="2"/>
    </row>
    <row r="671" ht="15.75" customHeight="1" spans="4:10">
      <c r="D671" s="11"/>
      <c r="E671" s="11"/>
      <c r="J671" s="2"/>
    </row>
    <row r="672" ht="15.75" customHeight="1" spans="4:10">
      <c r="D672" s="11"/>
      <c r="E672" s="11"/>
      <c r="J672" s="2"/>
    </row>
    <row r="673" ht="15.75" customHeight="1" spans="4:10">
      <c r="D673" s="11"/>
      <c r="E673" s="11"/>
      <c r="J673" s="2"/>
    </row>
    <row r="674" ht="15.75" customHeight="1" spans="4:10">
      <c r="D674" s="11"/>
      <c r="E674" s="11"/>
      <c r="J674" s="2"/>
    </row>
    <row r="675" ht="15.75" customHeight="1" spans="4:10">
      <c r="D675" s="11"/>
      <c r="E675" s="11"/>
      <c r="J675" s="2"/>
    </row>
    <row r="676" ht="15.75" customHeight="1" spans="4:10">
      <c r="D676" s="11"/>
      <c r="E676" s="11"/>
      <c r="J676" s="2"/>
    </row>
    <row r="677" ht="15.75" customHeight="1" spans="4:10">
      <c r="D677" s="11"/>
      <c r="E677" s="11"/>
      <c r="J677" s="2"/>
    </row>
    <row r="678" ht="15.75" customHeight="1" spans="4:10">
      <c r="D678" s="11"/>
      <c r="E678" s="11"/>
      <c r="J678" s="2"/>
    </row>
    <row r="679" ht="15.75" customHeight="1" spans="4:10">
      <c r="D679" s="11"/>
      <c r="E679" s="11"/>
      <c r="J679" s="2"/>
    </row>
    <row r="680" ht="15.75" customHeight="1" spans="4:10">
      <c r="D680" s="11"/>
      <c r="E680" s="11"/>
      <c r="J680" s="2"/>
    </row>
    <row r="681" ht="15.75" customHeight="1" spans="4:10">
      <c r="D681" s="11"/>
      <c r="E681" s="11"/>
      <c r="J681" s="2"/>
    </row>
    <row r="682" ht="15.75" customHeight="1" spans="4:10">
      <c r="D682" s="11"/>
      <c r="E682" s="11"/>
      <c r="J682" s="2"/>
    </row>
    <row r="683" ht="15.75" customHeight="1" spans="4:10">
      <c r="D683" s="11"/>
      <c r="E683" s="11"/>
      <c r="J683" s="2"/>
    </row>
    <row r="684" ht="15.75" customHeight="1" spans="4:10">
      <c r="D684" s="11"/>
      <c r="E684" s="11"/>
      <c r="J684" s="2"/>
    </row>
    <row r="685" ht="15.75" customHeight="1" spans="4:10">
      <c r="D685" s="11"/>
      <c r="E685" s="11"/>
      <c r="J685" s="2"/>
    </row>
    <row r="686" ht="15.75" customHeight="1" spans="4:10">
      <c r="D686" s="11"/>
      <c r="E686" s="11"/>
      <c r="J686" s="2"/>
    </row>
    <row r="687" ht="15.75" customHeight="1" spans="4:10">
      <c r="D687" s="11"/>
      <c r="E687" s="11"/>
      <c r="J687" s="2"/>
    </row>
    <row r="688" ht="15.75" customHeight="1" spans="4:10">
      <c r="D688" s="11"/>
      <c r="E688" s="11"/>
      <c r="J688" s="2"/>
    </row>
    <row r="689" ht="15.75" customHeight="1" spans="4:10">
      <c r="D689" s="11"/>
      <c r="E689" s="11"/>
      <c r="J689" s="2"/>
    </row>
    <row r="690" ht="15.75" customHeight="1" spans="4:10">
      <c r="D690" s="11"/>
      <c r="E690" s="11"/>
      <c r="J690" s="2"/>
    </row>
    <row r="691" ht="15.75" customHeight="1" spans="4:10">
      <c r="D691" s="11"/>
      <c r="E691" s="11"/>
      <c r="J691" s="2"/>
    </row>
    <row r="692" ht="15.75" customHeight="1" spans="4:10">
      <c r="D692" s="11"/>
      <c r="E692" s="11"/>
      <c r="J692" s="2"/>
    </row>
    <row r="693" ht="15.75" customHeight="1" spans="4:10">
      <c r="D693" s="11"/>
      <c r="E693" s="11"/>
      <c r="J693" s="2"/>
    </row>
    <row r="694" ht="15.75" customHeight="1" spans="4:10">
      <c r="D694" s="11"/>
      <c r="E694" s="11"/>
      <c r="J694" s="2"/>
    </row>
    <row r="695" ht="15.75" customHeight="1" spans="4:10">
      <c r="D695" s="11"/>
      <c r="E695" s="11"/>
      <c r="J695" s="2"/>
    </row>
    <row r="696" ht="15.75" customHeight="1" spans="4:10">
      <c r="D696" s="11"/>
      <c r="E696" s="11"/>
      <c r="J696" s="2"/>
    </row>
    <row r="697" ht="15.75" customHeight="1" spans="4:10">
      <c r="D697" s="11"/>
      <c r="E697" s="11"/>
      <c r="J697" s="2"/>
    </row>
    <row r="698" ht="15.75" customHeight="1" spans="4:10">
      <c r="D698" s="11"/>
      <c r="E698" s="11"/>
      <c r="J698" s="2"/>
    </row>
    <row r="699" ht="15.75" customHeight="1" spans="4:10">
      <c r="D699" s="11"/>
      <c r="E699" s="11"/>
      <c r="J699" s="2"/>
    </row>
    <row r="700" ht="15.75" customHeight="1" spans="4:10">
      <c r="D700" s="11"/>
      <c r="E700" s="11"/>
      <c r="J700" s="2"/>
    </row>
    <row r="701" ht="15.75" customHeight="1" spans="4:10">
      <c r="D701" s="11"/>
      <c r="E701" s="11"/>
      <c r="J701" s="2"/>
    </row>
    <row r="702" ht="15.75" customHeight="1" spans="4:10">
      <c r="D702" s="11"/>
      <c r="E702" s="11"/>
      <c r="J702" s="2"/>
    </row>
    <row r="703" ht="15.75" customHeight="1" spans="4:10">
      <c r="D703" s="11"/>
      <c r="E703" s="11"/>
      <c r="J703" s="2"/>
    </row>
    <row r="704" ht="15.75" customHeight="1" spans="4:10">
      <c r="D704" s="11"/>
      <c r="E704" s="11"/>
      <c r="J704" s="2"/>
    </row>
    <row r="705" ht="15.75" customHeight="1" spans="4:10">
      <c r="D705" s="11"/>
      <c r="E705" s="11"/>
      <c r="J705" s="2"/>
    </row>
    <row r="706" ht="15.75" customHeight="1" spans="4:10">
      <c r="D706" s="11"/>
      <c r="E706" s="11"/>
      <c r="J706" s="2"/>
    </row>
    <row r="707" ht="15.75" customHeight="1" spans="4:10">
      <c r="D707" s="11"/>
      <c r="E707" s="11"/>
      <c r="J707" s="2"/>
    </row>
    <row r="708" ht="15.75" customHeight="1" spans="4:10">
      <c r="D708" s="11"/>
      <c r="E708" s="11"/>
      <c r="J708" s="2"/>
    </row>
    <row r="709" ht="15.75" customHeight="1" spans="4:10">
      <c r="D709" s="11"/>
      <c r="E709" s="11"/>
      <c r="J709" s="2"/>
    </row>
    <row r="710" ht="15.75" customHeight="1" spans="4:10">
      <c r="D710" s="11"/>
      <c r="E710" s="11"/>
      <c r="J710" s="2"/>
    </row>
    <row r="711" ht="15.75" customHeight="1" spans="4:10">
      <c r="D711" s="11"/>
      <c r="E711" s="11"/>
      <c r="J711" s="2"/>
    </row>
    <row r="712" ht="15.75" customHeight="1" spans="4:10">
      <c r="D712" s="11"/>
      <c r="E712" s="11"/>
      <c r="J712" s="2"/>
    </row>
    <row r="713" ht="15.75" customHeight="1" spans="4:10">
      <c r="D713" s="11"/>
      <c r="E713" s="11"/>
      <c r="J713" s="2"/>
    </row>
    <row r="714" ht="15.75" customHeight="1" spans="4:10">
      <c r="D714" s="11"/>
      <c r="E714" s="11"/>
      <c r="J714" s="2"/>
    </row>
    <row r="715" ht="15.75" customHeight="1" spans="4:10">
      <c r="D715" s="11"/>
      <c r="E715" s="11"/>
      <c r="J715" s="2"/>
    </row>
    <row r="716" ht="15.75" customHeight="1" spans="4:10">
      <c r="D716" s="11"/>
      <c r="E716" s="11"/>
      <c r="J716" s="2"/>
    </row>
    <row r="717" ht="15.75" customHeight="1" spans="4:10">
      <c r="D717" s="11"/>
      <c r="E717" s="11"/>
      <c r="J717" s="2"/>
    </row>
    <row r="718" ht="15.75" customHeight="1" spans="4:10">
      <c r="D718" s="11"/>
      <c r="E718" s="11"/>
      <c r="J718" s="2"/>
    </row>
    <row r="719" ht="15.75" customHeight="1" spans="4:10">
      <c r="D719" s="11"/>
      <c r="E719" s="11"/>
      <c r="J719" s="2"/>
    </row>
    <row r="720" ht="15.75" customHeight="1" spans="4:10">
      <c r="D720" s="11"/>
      <c r="E720" s="11"/>
      <c r="J720" s="2"/>
    </row>
    <row r="721" ht="15.75" customHeight="1" spans="4:10">
      <c r="D721" s="11"/>
      <c r="E721" s="11"/>
      <c r="J721" s="2"/>
    </row>
    <row r="722" ht="15.75" customHeight="1" spans="4:10">
      <c r="D722" s="11"/>
      <c r="E722" s="11"/>
      <c r="J722" s="2"/>
    </row>
    <row r="723" ht="15.75" customHeight="1" spans="4:10">
      <c r="D723" s="11"/>
      <c r="E723" s="11"/>
      <c r="J723" s="2"/>
    </row>
    <row r="724" ht="15.75" customHeight="1" spans="4:10">
      <c r="D724" s="11"/>
      <c r="E724" s="11"/>
      <c r="J724" s="2"/>
    </row>
    <row r="725" ht="15.75" customHeight="1" spans="4:10">
      <c r="D725" s="11"/>
      <c r="E725" s="11"/>
      <c r="J725" s="2"/>
    </row>
    <row r="726" ht="15.75" customHeight="1" spans="4:10">
      <c r="D726" s="11"/>
      <c r="E726" s="11"/>
      <c r="J726" s="2"/>
    </row>
    <row r="727" ht="15.75" customHeight="1" spans="4:10">
      <c r="D727" s="11"/>
      <c r="E727" s="11"/>
      <c r="J727" s="2"/>
    </row>
    <row r="728" ht="15.75" customHeight="1" spans="4:10">
      <c r="D728" s="11"/>
      <c r="E728" s="11"/>
      <c r="J728" s="2"/>
    </row>
    <row r="729" ht="15.75" customHeight="1" spans="4:10">
      <c r="D729" s="11"/>
      <c r="E729" s="11"/>
      <c r="J729" s="2"/>
    </row>
    <row r="730" ht="15.75" customHeight="1" spans="4:10">
      <c r="D730" s="11"/>
      <c r="E730" s="11"/>
      <c r="J730" s="2"/>
    </row>
    <row r="731" ht="15.75" customHeight="1" spans="4:10">
      <c r="D731" s="11"/>
      <c r="E731" s="11"/>
      <c r="J731" s="2"/>
    </row>
    <row r="732" ht="15.75" customHeight="1" spans="4:10">
      <c r="D732" s="11"/>
      <c r="E732" s="11"/>
      <c r="J732" s="2"/>
    </row>
    <row r="733" ht="15.75" customHeight="1" spans="4:10">
      <c r="D733" s="11"/>
      <c r="E733" s="11"/>
      <c r="J733" s="2"/>
    </row>
    <row r="734" ht="15.75" customHeight="1" spans="4:10">
      <c r="D734" s="11"/>
      <c r="E734" s="11"/>
      <c r="J734" s="2"/>
    </row>
    <row r="735" ht="15.75" customHeight="1" spans="4:10">
      <c r="D735" s="11"/>
      <c r="E735" s="11"/>
      <c r="J735" s="2"/>
    </row>
    <row r="736" ht="15.75" customHeight="1" spans="4:10">
      <c r="D736" s="11"/>
      <c r="E736" s="11"/>
      <c r="J736" s="2"/>
    </row>
    <row r="737" ht="15.75" customHeight="1" spans="4:10">
      <c r="D737" s="11"/>
      <c r="E737" s="11"/>
      <c r="J737" s="2"/>
    </row>
    <row r="738" ht="15.75" customHeight="1" spans="4:10">
      <c r="D738" s="11"/>
      <c r="E738" s="11"/>
      <c r="J738" s="2"/>
    </row>
    <row r="739" ht="15.75" customHeight="1" spans="4:10">
      <c r="D739" s="11"/>
      <c r="E739" s="11"/>
      <c r="J739" s="2"/>
    </row>
    <row r="740" ht="15.75" customHeight="1" spans="4:10">
      <c r="D740" s="11"/>
      <c r="E740" s="11"/>
      <c r="J740" s="2"/>
    </row>
    <row r="741" ht="15.75" customHeight="1" spans="4:10">
      <c r="D741" s="11"/>
      <c r="E741" s="11"/>
      <c r="J741" s="2"/>
    </row>
    <row r="742" ht="15.75" customHeight="1" spans="4:10">
      <c r="D742" s="11"/>
      <c r="E742" s="11"/>
      <c r="J742" s="2"/>
    </row>
    <row r="743" ht="15.75" customHeight="1" spans="4:10">
      <c r="D743" s="11"/>
      <c r="E743" s="11"/>
      <c r="J743" s="2"/>
    </row>
    <row r="744" ht="15.75" customHeight="1" spans="4:10">
      <c r="D744" s="11"/>
      <c r="E744" s="11"/>
      <c r="J744" s="2"/>
    </row>
    <row r="745" ht="15.75" customHeight="1" spans="4:10">
      <c r="D745" s="11"/>
      <c r="E745" s="11"/>
      <c r="J745" s="2"/>
    </row>
    <row r="746" ht="15.75" customHeight="1" spans="4:10">
      <c r="D746" s="11"/>
      <c r="E746" s="11"/>
      <c r="J746" s="2"/>
    </row>
    <row r="747" ht="15.75" customHeight="1" spans="4:10">
      <c r="D747" s="11"/>
      <c r="E747" s="11"/>
      <c r="J747" s="2"/>
    </row>
    <row r="748" ht="15.75" customHeight="1" spans="4:10">
      <c r="D748" s="11"/>
      <c r="E748" s="11"/>
      <c r="J748" s="2"/>
    </row>
    <row r="749" ht="15.75" customHeight="1" spans="4:10">
      <c r="D749" s="11"/>
      <c r="E749" s="11"/>
      <c r="J749" s="2"/>
    </row>
    <row r="750" ht="15.75" customHeight="1" spans="4:10">
      <c r="D750" s="11"/>
      <c r="E750" s="11"/>
      <c r="J750" s="2"/>
    </row>
    <row r="751" ht="15.75" customHeight="1" spans="4:10">
      <c r="D751" s="11"/>
      <c r="E751" s="11"/>
      <c r="J751" s="2"/>
    </row>
    <row r="752" ht="15.75" customHeight="1" spans="4:10">
      <c r="D752" s="11"/>
      <c r="E752" s="11"/>
      <c r="J752" s="2"/>
    </row>
    <row r="753" ht="15.75" customHeight="1" spans="4:10">
      <c r="D753" s="11"/>
      <c r="E753" s="11"/>
      <c r="J753" s="2"/>
    </row>
    <row r="754" ht="15.75" customHeight="1" spans="4:10">
      <c r="D754" s="11"/>
      <c r="E754" s="11"/>
      <c r="J754" s="2"/>
    </row>
    <row r="755" ht="15.75" customHeight="1" spans="4:10">
      <c r="D755" s="11"/>
      <c r="E755" s="11"/>
      <c r="J755" s="2"/>
    </row>
    <row r="756" ht="15.75" customHeight="1" spans="4:10">
      <c r="D756" s="11"/>
      <c r="E756" s="11"/>
      <c r="J756" s="2"/>
    </row>
    <row r="757" ht="15.75" customHeight="1" spans="4:10">
      <c r="D757" s="11"/>
      <c r="E757" s="11"/>
      <c r="J757" s="2"/>
    </row>
    <row r="758" ht="15.75" customHeight="1" spans="4:10">
      <c r="D758" s="11"/>
      <c r="E758" s="11"/>
      <c r="J758" s="2"/>
    </row>
    <row r="759" ht="15.75" customHeight="1" spans="4:10">
      <c r="D759" s="11"/>
      <c r="E759" s="11"/>
      <c r="J759" s="2"/>
    </row>
    <row r="760" ht="15.75" customHeight="1" spans="4:10">
      <c r="D760" s="11"/>
      <c r="E760" s="11"/>
      <c r="J760" s="2"/>
    </row>
    <row r="761" ht="15.75" customHeight="1" spans="4:10">
      <c r="D761" s="11"/>
      <c r="E761" s="11"/>
      <c r="J761" s="2"/>
    </row>
    <row r="762" ht="15.75" customHeight="1" spans="4:10">
      <c r="D762" s="11"/>
      <c r="E762" s="11"/>
      <c r="J762" s="2"/>
    </row>
    <row r="763" ht="15.75" customHeight="1" spans="4:10">
      <c r="D763" s="11"/>
      <c r="E763" s="11"/>
      <c r="J763" s="2"/>
    </row>
    <row r="764" ht="15.75" customHeight="1" spans="4:10">
      <c r="D764" s="11"/>
      <c r="E764" s="11"/>
      <c r="J764" s="2"/>
    </row>
    <row r="765" ht="15.75" customHeight="1" spans="4:10">
      <c r="D765" s="11"/>
      <c r="E765" s="11"/>
      <c r="J765" s="2"/>
    </row>
    <row r="766" ht="15.75" customHeight="1" spans="4:10">
      <c r="D766" s="11"/>
      <c r="E766" s="11"/>
      <c r="J766" s="2"/>
    </row>
    <row r="767" ht="15.75" customHeight="1" spans="4:10">
      <c r="D767" s="11"/>
      <c r="E767" s="11"/>
      <c r="J767" s="2"/>
    </row>
    <row r="768" ht="15.75" customHeight="1" spans="4:10">
      <c r="D768" s="11"/>
      <c r="E768" s="11"/>
      <c r="J768" s="2"/>
    </row>
    <row r="769" ht="15.75" customHeight="1" spans="4:10">
      <c r="D769" s="11"/>
      <c r="E769" s="11"/>
      <c r="J769" s="2"/>
    </row>
    <row r="770" ht="15.75" customHeight="1" spans="4:10">
      <c r="D770" s="11"/>
      <c r="E770" s="11"/>
      <c r="J770" s="2"/>
    </row>
    <row r="771" ht="15.75" customHeight="1" spans="4:10">
      <c r="D771" s="11"/>
      <c r="E771" s="11"/>
      <c r="J771" s="2"/>
    </row>
    <row r="772" ht="15.75" customHeight="1" spans="4:10">
      <c r="D772" s="11"/>
      <c r="E772" s="11"/>
      <c r="J772" s="2"/>
    </row>
    <row r="773" ht="15.75" customHeight="1" spans="4:10">
      <c r="D773" s="11"/>
      <c r="E773" s="11"/>
      <c r="J773" s="2"/>
    </row>
    <row r="774" ht="15.75" customHeight="1" spans="4:10">
      <c r="D774" s="11"/>
      <c r="E774" s="11"/>
      <c r="J774" s="2"/>
    </row>
    <row r="775" ht="15.75" customHeight="1" spans="4:10">
      <c r="D775" s="11"/>
      <c r="E775" s="11"/>
      <c r="J775" s="2"/>
    </row>
    <row r="776" ht="15.75" customHeight="1" spans="4:10">
      <c r="D776" s="11"/>
      <c r="E776" s="11"/>
      <c r="J776" s="2"/>
    </row>
    <row r="777" ht="15.75" customHeight="1" spans="4:10">
      <c r="D777" s="11"/>
      <c r="E777" s="11"/>
      <c r="J777" s="2"/>
    </row>
    <row r="778" ht="15.75" customHeight="1" spans="4:10">
      <c r="D778" s="11"/>
      <c r="E778" s="11"/>
      <c r="J778" s="2"/>
    </row>
    <row r="779" ht="15.75" customHeight="1" spans="4:10">
      <c r="D779" s="11"/>
      <c r="E779" s="11"/>
      <c r="J779" s="2"/>
    </row>
    <row r="780" ht="15.75" customHeight="1" spans="4:10">
      <c r="D780" s="11"/>
      <c r="E780" s="11"/>
      <c r="J780" s="2"/>
    </row>
    <row r="781" ht="15.75" customHeight="1" spans="4:10">
      <c r="D781" s="11"/>
      <c r="E781" s="11"/>
      <c r="J781" s="2"/>
    </row>
    <row r="782" ht="15.75" customHeight="1" spans="4:10">
      <c r="D782" s="11"/>
      <c r="E782" s="11"/>
      <c r="J782" s="2"/>
    </row>
    <row r="783" ht="15.75" customHeight="1" spans="4:10">
      <c r="D783" s="11"/>
      <c r="E783" s="11"/>
      <c r="J783" s="2"/>
    </row>
    <row r="784" ht="15.75" customHeight="1" spans="4:10">
      <c r="D784" s="11"/>
      <c r="E784" s="11"/>
      <c r="J784" s="2"/>
    </row>
    <row r="785" ht="15.75" customHeight="1" spans="4:10">
      <c r="D785" s="11"/>
      <c r="E785" s="11"/>
      <c r="J785" s="2"/>
    </row>
    <row r="786" ht="15.75" customHeight="1" spans="4:10">
      <c r="D786" s="11"/>
      <c r="E786" s="11"/>
      <c r="J786" s="2"/>
    </row>
    <row r="787" ht="15.75" customHeight="1" spans="4:10">
      <c r="D787" s="11"/>
      <c r="E787" s="11"/>
      <c r="J787" s="2"/>
    </row>
    <row r="788" ht="15.75" customHeight="1" spans="4:10">
      <c r="D788" s="11"/>
      <c r="E788" s="11"/>
      <c r="J788" s="2"/>
    </row>
    <row r="789" ht="15.75" customHeight="1" spans="4:10">
      <c r="D789" s="11"/>
      <c r="E789" s="11"/>
      <c r="J789" s="2"/>
    </row>
    <row r="790" ht="15.75" customHeight="1" spans="4:10">
      <c r="D790" s="11"/>
      <c r="E790" s="11"/>
      <c r="J790" s="2"/>
    </row>
    <row r="791" ht="15.75" customHeight="1" spans="4:10">
      <c r="D791" s="11"/>
      <c r="E791" s="11"/>
      <c r="J791" s="2"/>
    </row>
    <row r="792" ht="15.75" customHeight="1" spans="4:10">
      <c r="D792" s="11"/>
      <c r="E792" s="11"/>
      <c r="J792" s="2"/>
    </row>
    <row r="793" ht="15.75" customHeight="1" spans="4:10">
      <c r="D793" s="11"/>
      <c r="E793" s="11"/>
      <c r="J793" s="2"/>
    </row>
    <row r="794" ht="15.75" customHeight="1" spans="4:10">
      <c r="D794" s="11"/>
      <c r="E794" s="11"/>
      <c r="J794" s="2"/>
    </row>
    <row r="795" ht="15.75" customHeight="1" spans="4:10">
      <c r="D795" s="11"/>
      <c r="E795" s="11"/>
      <c r="J795" s="2"/>
    </row>
    <row r="796" ht="15.75" customHeight="1" spans="4:10">
      <c r="D796" s="11"/>
      <c r="E796" s="11"/>
      <c r="J796" s="2"/>
    </row>
    <row r="797" ht="15.75" customHeight="1" spans="4:10">
      <c r="D797" s="11"/>
      <c r="E797" s="11"/>
      <c r="J797" s="2"/>
    </row>
    <row r="798" ht="15.75" customHeight="1" spans="4:10">
      <c r="D798" s="11"/>
      <c r="E798" s="11"/>
      <c r="J798" s="2"/>
    </row>
    <row r="799" ht="15.75" customHeight="1" spans="4:10">
      <c r="D799" s="11"/>
      <c r="E799" s="11"/>
      <c r="J799" s="2"/>
    </row>
    <row r="800" ht="15.75" customHeight="1" spans="4:10">
      <c r="D800" s="11"/>
      <c r="E800" s="11"/>
      <c r="J800" s="2"/>
    </row>
    <row r="801" ht="15.75" customHeight="1" spans="4:10">
      <c r="D801" s="11"/>
      <c r="E801" s="11"/>
      <c r="J801" s="2"/>
    </row>
    <row r="802" ht="15.75" customHeight="1" spans="4:10">
      <c r="D802" s="11"/>
      <c r="E802" s="11"/>
      <c r="J802" s="2"/>
    </row>
    <row r="803" ht="15.75" customHeight="1" spans="4:10">
      <c r="D803" s="11"/>
      <c r="E803" s="11"/>
      <c r="J803" s="2"/>
    </row>
    <row r="804" ht="15.75" customHeight="1" spans="4:10">
      <c r="D804" s="11"/>
      <c r="E804" s="11"/>
      <c r="J804" s="2"/>
    </row>
    <row r="805" ht="15.75" customHeight="1" spans="4:10">
      <c r="D805" s="11"/>
      <c r="E805" s="11"/>
      <c r="J805" s="2"/>
    </row>
    <row r="806" ht="15.75" customHeight="1" spans="4:10">
      <c r="D806" s="11"/>
      <c r="E806" s="11"/>
      <c r="J806" s="2"/>
    </row>
    <row r="807" ht="15.75" customHeight="1" spans="4:10">
      <c r="D807" s="11"/>
      <c r="E807" s="11"/>
      <c r="J807" s="2"/>
    </row>
    <row r="808" ht="15.75" customHeight="1" spans="4:10">
      <c r="D808" s="11"/>
      <c r="E808" s="11"/>
      <c r="J808" s="2"/>
    </row>
    <row r="809" ht="15.75" customHeight="1" spans="4:10">
      <c r="D809" s="11"/>
      <c r="E809" s="11"/>
      <c r="J809" s="2"/>
    </row>
    <row r="810" ht="15.75" customHeight="1" spans="4:10">
      <c r="D810" s="11"/>
      <c r="E810" s="11"/>
      <c r="J810" s="2"/>
    </row>
    <row r="811" ht="15.75" customHeight="1" spans="4:10">
      <c r="D811" s="11"/>
      <c r="E811" s="11"/>
      <c r="J811" s="2"/>
    </row>
    <row r="812" ht="15.75" customHeight="1" spans="4:10">
      <c r="D812" s="11"/>
      <c r="E812" s="11"/>
      <c r="J812" s="2"/>
    </row>
    <row r="813" ht="15.75" customHeight="1" spans="4:10">
      <c r="D813" s="11"/>
      <c r="E813" s="11"/>
      <c r="J813" s="2"/>
    </row>
    <row r="814" ht="15.75" customHeight="1" spans="4:10">
      <c r="D814" s="11"/>
      <c r="E814" s="11"/>
      <c r="J814" s="2"/>
    </row>
    <row r="815" ht="15.75" customHeight="1" spans="4:10">
      <c r="D815" s="11"/>
      <c r="E815" s="11"/>
      <c r="J815" s="2"/>
    </row>
    <row r="816" ht="15.75" customHeight="1" spans="4:10">
      <c r="D816" s="11"/>
      <c r="E816" s="11"/>
      <c r="J816" s="2"/>
    </row>
    <row r="817" ht="15.75" customHeight="1" spans="4:10">
      <c r="D817" s="11"/>
      <c r="E817" s="11"/>
      <c r="J817" s="2"/>
    </row>
    <row r="818" ht="15.75" customHeight="1" spans="4:10">
      <c r="D818" s="11"/>
      <c r="E818" s="11"/>
      <c r="J818" s="2"/>
    </row>
    <row r="819" ht="15.75" customHeight="1" spans="4:10">
      <c r="D819" s="11"/>
      <c r="E819" s="11"/>
      <c r="J819" s="2"/>
    </row>
    <row r="820" ht="15.75" customHeight="1" spans="4:10">
      <c r="D820" s="11"/>
      <c r="E820" s="11"/>
      <c r="J820" s="2"/>
    </row>
    <row r="821" ht="15.75" customHeight="1" spans="4:10">
      <c r="D821" s="11"/>
      <c r="E821" s="11"/>
      <c r="J821" s="2"/>
    </row>
    <row r="822" ht="15.75" customHeight="1" spans="4:10">
      <c r="D822" s="11"/>
      <c r="E822" s="11"/>
      <c r="J822" s="2"/>
    </row>
    <row r="823" ht="15.75" customHeight="1" spans="4:10">
      <c r="D823" s="11"/>
      <c r="E823" s="11"/>
      <c r="J823" s="2"/>
    </row>
    <row r="824" ht="15.75" customHeight="1" spans="4:10">
      <c r="D824" s="11"/>
      <c r="E824" s="11"/>
      <c r="J824" s="2"/>
    </row>
    <row r="825" ht="15.75" customHeight="1" spans="4:10">
      <c r="D825" s="11"/>
      <c r="E825" s="11"/>
      <c r="J825" s="2"/>
    </row>
    <row r="826" ht="15.75" customHeight="1" spans="4:10">
      <c r="D826" s="11"/>
      <c r="E826" s="11"/>
      <c r="J826" s="2"/>
    </row>
    <row r="827" ht="15.75" customHeight="1" spans="4:10">
      <c r="D827" s="11"/>
      <c r="E827" s="11"/>
      <c r="J827" s="2"/>
    </row>
    <row r="828" ht="15.75" customHeight="1" spans="4:10">
      <c r="D828" s="11"/>
      <c r="E828" s="11"/>
      <c r="J828" s="2"/>
    </row>
    <row r="829" ht="15.75" customHeight="1" spans="4:10">
      <c r="D829" s="11"/>
      <c r="E829" s="11"/>
      <c r="J829" s="2"/>
    </row>
    <row r="830" ht="15.75" customHeight="1" spans="4:10">
      <c r="D830" s="11"/>
      <c r="E830" s="11"/>
      <c r="J830" s="2"/>
    </row>
    <row r="831" ht="15.75" customHeight="1" spans="4:10">
      <c r="D831" s="11"/>
      <c r="E831" s="11"/>
      <c r="J831" s="2"/>
    </row>
    <row r="832" ht="15.75" customHeight="1" spans="4:10">
      <c r="D832" s="11"/>
      <c r="E832" s="11"/>
      <c r="J832" s="2"/>
    </row>
    <row r="833" ht="15.75" customHeight="1" spans="4:10">
      <c r="D833" s="11"/>
      <c r="E833" s="11"/>
      <c r="J833" s="2"/>
    </row>
    <row r="834" ht="15.75" customHeight="1" spans="4:10">
      <c r="D834" s="11"/>
      <c r="E834" s="11"/>
      <c r="J834" s="2"/>
    </row>
    <row r="835" ht="15.75" customHeight="1" spans="4:10">
      <c r="D835" s="11"/>
      <c r="E835" s="11"/>
      <c r="J835" s="2"/>
    </row>
    <row r="836" ht="15.75" customHeight="1" spans="4:10">
      <c r="D836" s="11"/>
      <c r="E836" s="11"/>
      <c r="J836" s="2"/>
    </row>
    <row r="837" ht="15.75" customHeight="1" spans="4:10">
      <c r="D837" s="11"/>
      <c r="E837" s="11"/>
      <c r="J837" s="2"/>
    </row>
    <row r="838" ht="15.75" customHeight="1" spans="4:10">
      <c r="D838" s="11"/>
      <c r="E838" s="11"/>
      <c r="J838" s="2"/>
    </row>
    <row r="839" ht="15.75" customHeight="1" spans="4:10">
      <c r="D839" s="11"/>
      <c r="E839" s="11"/>
      <c r="J839" s="2"/>
    </row>
    <row r="840" ht="15.75" customHeight="1" spans="4:10">
      <c r="D840" s="11"/>
      <c r="E840" s="11"/>
      <c r="J840" s="2"/>
    </row>
    <row r="841" ht="15.75" customHeight="1" spans="4:10">
      <c r="D841" s="11"/>
      <c r="E841" s="11"/>
      <c r="J841" s="2"/>
    </row>
    <row r="842" ht="15.75" customHeight="1" spans="4:10">
      <c r="D842" s="11"/>
      <c r="E842" s="11"/>
      <c r="J842" s="2"/>
    </row>
    <row r="843" ht="15.75" customHeight="1" spans="4:10">
      <c r="D843" s="11"/>
      <c r="E843" s="11"/>
      <c r="J843" s="2"/>
    </row>
    <row r="844" ht="15.75" customHeight="1" spans="4:10">
      <c r="D844" s="11"/>
      <c r="E844" s="11"/>
      <c r="J844" s="2"/>
    </row>
    <row r="845" ht="15.75" customHeight="1" spans="4:10">
      <c r="D845" s="11"/>
      <c r="E845" s="11"/>
      <c r="J845" s="2"/>
    </row>
    <row r="846" ht="15.75" customHeight="1" spans="4:10">
      <c r="D846" s="11"/>
      <c r="E846" s="11"/>
      <c r="J846" s="2"/>
    </row>
    <row r="847" ht="15.75" customHeight="1" spans="4:10">
      <c r="D847" s="11"/>
      <c r="E847" s="11"/>
      <c r="J847" s="2"/>
    </row>
    <row r="848" ht="15.75" customHeight="1" spans="4:10">
      <c r="D848" s="11"/>
      <c r="E848" s="11"/>
      <c r="J848" s="2"/>
    </row>
    <row r="849" ht="15.75" customHeight="1" spans="4:10">
      <c r="D849" s="11"/>
      <c r="E849" s="11"/>
      <c r="J849" s="2"/>
    </row>
    <row r="850" ht="15.75" customHeight="1" spans="4:10">
      <c r="D850" s="11"/>
      <c r="E850" s="11"/>
      <c r="J850" s="2"/>
    </row>
    <row r="851" ht="15.75" customHeight="1" spans="4:10">
      <c r="D851" s="11"/>
      <c r="E851" s="11"/>
      <c r="J851" s="2"/>
    </row>
    <row r="852" ht="15.75" customHeight="1" spans="4:10">
      <c r="D852" s="11"/>
      <c r="E852" s="11"/>
      <c r="J852" s="2"/>
    </row>
    <row r="853" ht="15.75" customHeight="1" spans="4:10">
      <c r="D853" s="11"/>
      <c r="E853" s="11"/>
      <c r="J853" s="2"/>
    </row>
    <row r="854" ht="15.75" customHeight="1" spans="4:10">
      <c r="D854" s="11"/>
      <c r="E854" s="11"/>
      <c r="J854" s="2"/>
    </row>
    <row r="855" ht="15.75" customHeight="1" spans="4:10">
      <c r="D855" s="11"/>
      <c r="E855" s="11"/>
      <c r="J855" s="2"/>
    </row>
    <row r="856" ht="15.75" customHeight="1" spans="4:10">
      <c r="D856" s="11"/>
      <c r="E856" s="11"/>
      <c r="J856" s="2"/>
    </row>
    <row r="857" ht="15.75" customHeight="1" spans="4:10">
      <c r="D857" s="11"/>
      <c r="E857" s="11"/>
      <c r="J857" s="2"/>
    </row>
    <row r="858" ht="15.75" customHeight="1" spans="4:10">
      <c r="D858" s="11"/>
      <c r="E858" s="11"/>
      <c r="J858" s="2"/>
    </row>
    <row r="859" ht="15.75" customHeight="1" spans="4:10">
      <c r="D859" s="11"/>
      <c r="E859" s="11"/>
      <c r="J859" s="2"/>
    </row>
    <row r="860" ht="15.75" customHeight="1" spans="4:10">
      <c r="D860" s="11"/>
      <c r="E860" s="11"/>
      <c r="J860" s="2"/>
    </row>
    <row r="861" ht="15.75" customHeight="1" spans="4:10">
      <c r="D861" s="11"/>
      <c r="E861" s="11"/>
      <c r="J861" s="2"/>
    </row>
    <row r="862" ht="15.75" customHeight="1" spans="4:10">
      <c r="D862" s="11"/>
      <c r="E862" s="11"/>
      <c r="J862" s="2"/>
    </row>
    <row r="863" ht="15.75" customHeight="1" spans="4:10">
      <c r="D863" s="11"/>
      <c r="E863" s="11"/>
      <c r="J863" s="2"/>
    </row>
    <row r="864" ht="15.75" customHeight="1" spans="4:10">
      <c r="D864" s="11"/>
      <c r="E864" s="11"/>
      <c r="J864" s="2"/>
    </row>
    <row r="865" ht="15.75" customHeight="1" spans="4:10">
      <c r="D865" s="11"/>
      <c r="E865" s="11"/>
      <c r="J865" s="2"/>
    </row>
    <row r="866" ht="15.75" customHeight="1" spans="4:10">
      <c r="D866" s="11"/>
      <c r="E866" s="11"/>
      <c r="J866" s="2"/>
    </row>
    <row r="867" ht="15.75" customHeight="1" spans="4:10">
      <c r="D867" s="11"/>
      <c r="E867" s="11"/>
      <c r="J867" s="2"/>
    </row>
    <row r="868" ht="15.75" customHeight="1" spans="4:10">
      <c r="D868" s="11"/>
      <c r="E868" s="11"/>
      <c r="J868" s="2"/>
    </row>
    <row r="869" ht="15.75" customHeight="1" spans="4:10">
      <c r="D869" s="11"/>
      <c r="E869" s="11"/>
      <c r="J869" s="2"/>
    </row>
    <row r="870" ht="15.75" customHeight="1" spans="4:10">
      <c r="D870" s="11"/>
      <c r="E870" s="11"/>
      <c r="J870" s="2"/>
    </row>
    <row r="871" ht="15.75" customHeight="1" spans="4:10">
      <c r="D871" s="11"/>
      <c r="E871" s="11"/>
      <c r="J871" s="2"/>
    </row>
    <row r="872" ht="15.75" customHeight="1" spans="4:10">
      <c r="D872" s="11"/>
      <c r="E872" s="11"/>
      <c r="J872" s="2"/>
    </row>
    <row r="873" ht="15.75" customHeight="1" spans="4:10">
      <c r="D873" s="11"/>
      <c r="E873" s="11"/>
      <c r="J873" s="2"/>
    </row>
    <row r="874" ht="15.75" customHeight="1" spans="4:10">
      <c r="D874" s="11"/>
      <c r="E874" s="11"/>
      <c r="J874" s="2"/>
    </row>
    <row r="875" ht="15.75" customHeight="1" spans="4:10">
      <c r="D875" s="11"/>
      <c r="E875" s="11"/>
      <c r="J875" s="2"/>
    </row>
    <row r="876" ht="15.75" customHeight="1" spans="4:10">
      <c r="D876" s="11"/>
      <c r="E876" s="11"/>
      <c r="J876" s="2"/>
    </row>
    <row r="877" ht="15.75" customHeight="1" spans="4:10">
      <c r="D877" s="11"/>
      <c r="E877" s="11"/>
      <c r="J877" s="2"/>
    </row>
    <row r="878" ht="15.75" customHeight="1" spans="4:10">
      <c r="D878" s="11"/>
      <c r="E878" s="11"/>
      <c r="J878" s="2"/>
    </row>
    <row r="879" ht="15.75" customHeight="1" spans="4:10">
      <c r="D879" s="11"/>
      <c r="E879" s="11"/>
      <c r="J879" s="2"/>
    </row>
    <row r="880" ht="15.75" customHeight="1" spans="4:10">
      <c r="D880" s="11"/>
      <c r="E880" s="11"/>
      <c r="J880" s="2"/>
    </row>
    <row r="881" ht="15.75" customHeight="1" spans="4:10">
      <c r="D881" s="11"/>
      <c r="E881" s="11"/>
      <c r="J881" s="2"/>
    </row>
    <row r="882" ht="15.75" customHeight="1" spans="4:10">
      <c r="D882" s="11"/>
      <c r="E882" s="11"/>
      <c r="J882" s="2"/>
    </row>
    <row r="883" ht="15.75" customHeight="1" spans="4:10">
      <c r="D883" s="11"/>
      <c r="E883" s="11"/>
      <c r="J883" s="2"/>
    </row>
    <row r="884" ht="15.75" customHeight="1" spans="4:10">
      <c r="D884" s="11"/>
      <c r="E884" s="11"/>
      <c r="J884" s="2"/>
    </row>
    <row r="885" ht="15.75" customHeight="1" spans="4:10">
      <c r="D885" s="11"/>
      <c r="E885" s="11"/>
      <c r="J885" s="2"/>
    </row>
    <row r="886" ht="15.75" customHeight="1" spans="4:10">
      <c r="D886" s="11"/>
      <c r="E886" s="11"/>
      <c r="J886" s="2"/>
    </row>
    <row r="887" ht="15.75" customHeight="1" spans="4:10">
      <c r="D887" s="11"/>
      <c r="E887" s="11"/>
      <c r="J887" s="2"/>
    </row>
    <row r="888" ht="15.75" customHeight="1" spans="4:10">
      <c r="D888" s="11"/>
      <c r="E888" s="11"/>
      <c r="J888" s="2"/>
    </row>
    <row r="889" ht="15.75" customHeight="1" spans="4:10">
      <c r="D889" s="11"/>
      <c r="E889" s="11"/>
      <c r="J889" s="2"/>
    </row>
    <row r="890" ht="15.75" customHeight="1" spans="4:10">
      <c r="D890" s="11"/>
      <c r="E890" s="11"/>
      <c r="J890" s="2"/>
    </row>
    <row r="891" ht="15.75" customHeight="1" spans="4:10">
      <c r="D891" s="11"/>
      <c r="E891" s="11"/>
      <c r="J891" s="2"/>
    </row>
    <row r="892" ht="15.75" customHeight="1" spans="4:10">
      <c r="D892" s="11"/>
      <c r="E892" s="11"/>
      <c r="J892" s="2"/>
    </row>
    <row r="893" ht="15.75" customHeight="1" spans="4:10">
      <c r="D893" s="11"/>
      <c r="E893" s="11"/>
      <c r="J893" s="2"/>
    </row>
    <row r="894" ht="15.75" customHeight="1" spans="4:10">
      <c r="D894" s="11"/>
      <c r="E894" s="11"/>
      <c r="J894" s="2"/>
    </row>
    <row r="895" ht="15.75" customHeight="1" spans="4:10">
      <c r="D895" s="11"/>
      <c r="E895" s="11"/>
      <c r="J895" s="2"/>
    </row>
    <row r="896" ht="15.75" customHeight="1" spans="4:10">
      <c r="D896" s="11"/>
      <c r="E896" s="11"/>
      <c r="J896" s="2"/>
    </row>
    <row r="897" ht="15.75" customHeight="1" spans="4:10">
      <c r="D897" s="11"/>
      <c r="E897" s="11"/>
      <c r="J897" s="2"/>
    </row>
    <row r="898" ht="15.75" customHeight="1" spans="4:10">
      <c r="D898" s="11"/>
      <c r="E898" s="11"/>
      <c r="J898" s="2"/>
    </row>
    <row r="899" ht="15.75" customHeight="1" spans="4:10">
      <c r="D899" s="11"/>
      <c r="E899" s="11"/>
      <c r="J899" s="2"/>
    </row>
    <row r="900" ht="15.75" customHeight="1" spans="4:10">
      <c r="D900" s="11"/>
      <c r="E900" s="11"/>
      <c r="J900" s="2"/>
    </row>
    <row r="901" ht="15.75" customHeight="1" spans="4:10">
      <c r="D901" s="11"/>
      <c r="E901" s="11"/>
      <c r="J901" s="2"/>
    </row>
    <row r="902" ht="15.75" customHeight="1" spans="4:10">
      <c r="D902" s="11"/>
      <c r="E902" s="11"/>
      <c r="J902" s="2"/>
    </row>
    <row r="903" ht="15.75" customHeight="1" spans="4:10">
      <c r="D903" s="11"/>
      <c r="E903" s="11"/>
      <c r="J903" s="2"/>
    </row>
    <row r="904" ht="15.75" customHeight="1" spans="4:10">
      <c r="D904" s="11"/>
      <c r="E904" s="11"/>
      <c r="J904" s="2"/>
    </row>
    <row r="905" ht="15.75" customHeight="1" spans="4:10">
      <c r="D905" s="11"/>
      <c r="E905" s="11"/>
      <c r="J905" s="2"/>
    </row>
    <row r="906" ht="15.75" customHeight="1" spans="4:10">
      <c r="D906" s="11"/>
      <c r="E906" s="11"/>
      <c r="J906" s="2"/>
    </row>
    <row r="907" ht="15.75" customHeight="1" spans="4:10">
      <c r="D907" s="11"/>
      <c r="E907" s="11"/>
      <c r="J907" s="2"/>
    </row>
    <row r="908" ht="15.75" customHeight="1" spans="4:10">
      <c r="D908" s="11"/>
      <c r="E908" s="11"/>
      <c r="J908" s="2"/>
    </row>
    <row r="909" ht="15.75" customHeight="1" spans="4:10">
      <c r="D909" s="11"/>
      <c r="E909" s="11"/>
      <c r="J909" s="2"/>
    </row>
    <row r="910" ht="15.75" customHeight="1" spans="4:10">
      <c r="D910" s="11"/>
      <c r="E910" s="11"/>
      <c r="J910" s="2"/>
    </row>
    <row r="911" ht="15.75" customHeight="1" spans="4:10">
      <c r="D911" s="11"/>
      <c r="E911" s="11"/>
      <c r="J911" s="2"/>
    </row>
    <row r="912" ht="15.75" customHeight="1" spans="4:10">
      <c r="D912" s="11"/>
      <c r="E912" s="11"/>
      <c r="J912" s="2"/>
    </row>
    <row r="913" ht="15.75" customHeight="1" spans="4:10">
      <c r="D913" s="11"/>
      <c r="E913" s="11"/>
      <c r="J913" s="2"/>
    </row>
    <row r="914" ht="15.75" customHeight="1" spans="4:10">
      <c r="D914" s="11"/>
      <c r="E914" s="11"/>
      <c r="J914" s="2"/>
    </row>
    <row r="915" ht="15.75" customHeight="1" spans="4:10">
      <c r="D915" s="11"/>
      <c r="E915" s="11"/>
      <c r="J915" s="2"/>
    </row>
    <row r="916" ht="15.75" customHeight="1" spans="4:10">
      <c r="D916" s="11"/>
      <c r="E916" s="11"/>
      <c r="J916" s="2"/>
    </row>
    <row r="917" ht="15.75" customHeight="1" spans="4:10">
      <c r="D917" s="11"/>
      <c r="E917" s="11"/>
      <c r="J917" s="2"/>
    </row>
    <row r="918" ht="15.75" customHeight="1" spans="4:10">
      <c r="D918" s="11"/>
      <c r="E918" s="11"/>
      <c r="J918" s="2"/>
    </row>
    <row r="919" ht="15.75" customHeight="1" spans="4:10">
      <c r="D919" s="11"/>
      <c r="E919" s="11"/>
      <c r="J919" s="2"/>
    </row>
    <row r="920" ht="15.75" customHeight="1" spans="4:10">
      <c r="D920" s="11"/>
      <c r="E920" s="11"/>
      <c r="J920" s="2"/>
    </row>
    <row r="921" ht="15.75" customHeight="1" spans="4:10">
      <c r="D921" s="11"/>
      <c r="E921" s="11"/>
      <c r="J921" s="2"/>
    </row>
    <row r="922" ht="15.75" customHeight="1" spans="4:10">
      <c r="D922" s="11"/>
      <c r="E922" s="11"/>
      <c r="J922" s="2"/>
    </row>
    <row r="923" ht="15.75" customHeight="1" spans="4:10">
      <c r="D923" s="11"/>
      <c r="E923" s="11"/>
      <c r="J923" s="2"/>
    </row>
    <row r="924" ht="15.75" customHeight="1" spans="4:10">
      <c r="D924" s="11"/>
      <c r="E924" s="11"/>
      <c r="J924" s="2"/>
    </row>
    <row r="925" ht="15.75" customHeight="1" spans="4:10">
      <c r="D925" s="11"/>
      <c r="E925" s="11"/>
      <c r="J925" s="2"/>
    </row>
    <row r="926" ht="15.75" customHeight="1" spans="4:10">
      <c r="D926" s="11"/>
      <c r="E926" s="11"/>
      <c r="J926" s="2"/>
    </row>
    <row r="927" ht="15.75" customHeight="1" spans="4:10">
      <c r="D927" s="11"/>
      <c r="E927" s="11"/>
      <c r="J927" s="2"/>
    </row>
    <row r="928" ht="15.75" customHeight="1" spans="4:10">
      <c r="D928" s="11"/>
      <c r="E928" s="11"/>
      <c r="J928" s="2"/>
    </row>
    <row r="929" ht="15.75" customHeight="1" spans="4:10">
      <c r="D929" s="11"/>
      <c r="E929" s="11"/>
      <c r="J929" s="2"/>
    </row>
    <row r="930" ht="15.75" customHeight="1" spans="4:10">
      <c r="D930" s="11"/>
      <c r="E930" s="11"/>
      <c r="J930" s="2"/>
    </row>
    <row r="931" ht="15.75" customHeight="1" spans="4:10">
      <c r="D931" s="11"/>
      <c r="E931" s="11"/>
      <c r="J931" s="2"/>
    </row>
    <row r="932" ht="15.75" customHeight="1" spans="4:10">
      <c r="D932" s="11"/>
      <c r="E932" s="11"/>
      <c r="J932" s="2"/>
    </row>
    <row r="933" ht="15.75" customHeight="1" spans="4:10">
      <c r="D933" s="11"/>
      <c r="E933" s="11"/>
      <c r="J933" s="2"/>
    </row>
    <row r="934" ht="15.75" customHeight="1" spans="4:10">
      <c r="D934" s="11"/>
      <c r="E934" s="11"/>
      <c r="J934" s="2"/>
    </row>
    <row r="935" ht="15.75" customHeight="1" spans="4:10">
      <c r="D935" s="11"/>
      <c r="E935" s="11"/>
      <c r="J935" s="2"/>
    </row>
    <row r="936" ht="15.75" customHeight="1" spans="4:10">
      <c r="D936" s="11"/>
      <c r="E936" s="11"/>
      <c r="J936" s="2"/>
    </row>
    <row r="937" ht="15.75" customHeight="1" spans="4:10">
      <c r="D937" s="11"/>
      <c r="E937" s="11"/>
      <c r="J937" s="2"/>
    </row>
    <row r="938" ht="15.75" customHeight="1" spans="4:10">
      <c r="D938" s="11"/>
      <c r="E938" s="11"/>
      <c r="J938" s="2"/>
    </row>
    <row r="939" ht="15.75" customHeight="1" spans="4:10">
      <c r="D939" s="11"/>
      <c r="E939" s="11"/>
      <c r="J939" s="2"/>
    </row>
    <row r="940" ht="15.75" customHeight="1" spans="4:10">
      <c r="D940" s="11"/>
      <c r="E940" s="11"/>
      <c r="J940" s="2"/>
    </row>
    <row r="941" ht="15.75" customHeight="1" spans="4:10">
      <c r="D941" s="11"/>
      <c r="E941" s="11"/>
      <c r="J941" s="2"/>
    </row>
    <row r="942" ht="15.75" customHeight="1" spans="4:10">
      <c r="D942" s="11"/>
      <c r="E942" s="11"/>
      <c r="J942" s="2"/>
    </row>
    <row r="943" ht="15.75" customHeight="1" spans="4:10">
      <c r="D943" s="11"/>
      <c r="E943" s="11"/>
      <c r="J943" s="2"/>
    </row>
    <row r="944" ht="15.75" customHeight="1" spans="4:10">
      <c r="D944" s="11"/>
      <c r="E944" s="11"/>
      <c r="J944" s="2"/>
    </row>
    <row r="945" ht="15.75" customHeight="1" spans="4:10">
      <c r="D945" s="11"/>
      <c r="E945" s="11"/>
      <c r="J945" s="2"/>
    </row>
    <row r="946" ht="15.75" customHeight="1" spans="4:10">
      <c r="D946" s="11"/>
      <c r="E946" s="11"/>
      <c r="J946" s="2"/>
    </row>
    <row r="947" ht="15.75" customHeight="1" spans="4:10">
      <c r="D947" s="11"/>
      <c r="E947" s="11"/>
      <c r="J947" s="2"/>
    </row>
    <row r="948" ht="15.75" customHeight="1" spans="4:10">
      <c r="D948" s="11"/>
      <c r="E948" s="11"/>
      <c r="J948" s="2"/>
    </row>
    <row r="949" ht="15.75" customHeight="1" spans="4:10">
      <c r="D949" s="11"/>
      <c r="E949" s="11"/>
      <c r="J949" s="2"/>
    </row>
    <row r="950" ht="15.75" customHeight="1" spans="4:10">
      <c r="D950" s="11"/>
      <c r="E950" s="11"/>
      <c r="J950" s="2"/>
    </row>
    <row r="951" ht="15.75" customHeight="1" spans="4:10">
      <c r="D951" s="11"/>
      <c r="E951" s="11"/>
      <c r="J951" s="2"/>
    </row>
    <row r="952" ht="15.75" customHeight="1" spans="4:10">
      <c r="D952" s="11"/>
      <c r="E952" s="11"/>
      <c r="J952" s="2"/>
    </row>
    <row r="953" ht="15.75" customHeight="1" spans="4:10">
      <c r="D953" s="11"/>
      <c r="E953" s="11"/>
      <c r="J953" s="2"/>
    </row>
    <row r="954" ht="15.75" customHeight="1" spans="4:10">
      <c r="D954" s="11"/>
      <c r="E954" s="11"/>
      <c r="J954" s="2"/>
    </row>
    <row r="955" ht="15.75" customHeight="1" spans="4:10">
      <c r="D955" s="11"/>
      <c r="E955" s="11"/>
      <c r="J955" s="2"/>
    </row>
    <row r="956" ht="15.75" customHeight="1" spans="4:10">
      <c r="D956" s="11"/>
      <c r="E956" s="11"/>
      <c r="J956" s="2"/>
    </row>
    <row r="957" ht="15.75" customHeight="1" spans="4:10">
      <c r="D957" s="11"/>
      <c r="E957" s="11"/>
      <c r="J957" s="2"/>
    </row>
    <row r="958" ht="15.75" customHeight="1" spans="4:10">
      <c r="D958" s="11"/>
      <c r="E958" s="11"/>
      <c r="J958" s="2"/>
    </row>
    <row r="959" ht="15.75" customHeight="1" spans="4:10">
      <c r="D959" s="11"/>
      <c r="E959" s="11"/>
      <c r="J959" s="2"/>
    </row>
    <row r="960" ht="15.75" customHeight="1" spans="4:10">
      <c r="D960" s="11"/>
      <c r="E960" s="11"/>
      <c r="J960" s="2"/>
    </row>
    <row r="961" ht="15.75" customHeight="1" spans="4:10">
      <c r="D961" s="11"/>
      <c r="E961" s="11"/>
      <c r="J961" s="2"/>
    </row>
    <row r="962" ht="15.75" customHeight="1" spans="4:10">
      <c r="D962" s="11"/>
      <c r="E962" s="11"/>
      <c r="J962" s="2"/>
    </row>
    <row r="963" ht="15.75" customHeight="1" spans="4:10">
      <c r="D963" s="11"/>
      <c r="E963" s="11"/>
      <c r="J963" s="2"/>
    </row>
    <row r="964" ht="15.75" customHeight="1" spans="4:10">
      <c r="D964" s="11"/>
      <c r="E964" s="11"/>
      <c r="J964" s="2"/>
    </row>
    <row r="965" ht="15.75" customHeight="1" spans="4:10">
      <c r="D965" s="11"/>
      <c r="E965" s="11"/>
      <c r="J965" s="2"/>
    </row>
    <row r="966" ht="15.75" customHeight="1" spans="4:10">
      <c r="D966" s="11"/>
      <c r="E966" s="11"/>
      <c r="J966" s="2"/>
    </row>
    <row r="967" ht="15.75" customHeight="1" spans="4:10">
      <c r="D967" s="11"/>
      <c r="E967" s="11"/>
      <c r="J967" s="2"/>
    </row>
    <row r="968" ht="15.75" customHeight="1" spans="4:10">
      <c r="D968" s="11"/>
      <c r="E968" s="11"/>
      <c r="J968" s="2"/>
    </row>
    <row r="969" ht="15.75" customHeight="1" spans="4:10">
      <c r="D969" s="11"/>
      <c r="E969" s="11"/>
      <c r="J969" s="2"/>
    </row>
    <row r="970" ht="15.75" customHeight="1" spans="4:10">
      <c r="D970" s="11"/>
      <c r="E970" s="11"/>
      <c r="J970" s="2"/>
    </row>
    <row r="971" ht="15.75" customHeight="1" spans="4:10">
      <c r="D971" s="11"/>
      <c r="E971" s="11"/>
      <c r="J971" s="2"/>
    </row>
    <row r="972" ht="15.75" customHeight="1" spans="4:10">
      <c r="D972" s="11"/>
      <c r="E972" s="11"/>
      <c r="J972" s="2"/>
    </row>
    <row r="973" ht="15.75" customHeight="1" spans="4:10">
      <c r="D973" s="11"/>
      <c r="E973" s="11"/>
      <c r="J973" s="2"/>
    </row>
    <row r="974" ht="15.75" customHeight="1" spans="4:10">
      <c r="D974" s="11"/>
      <c r="E974" s="11"/>
      <c r="J974" s="2"/>
    </row>
    <row r="975" ht="15.75" customHeight="1" spans="4:10">
      <c r="D975" s="11"/>
      <c r="E975" s="11"/>
      <c r="J975" s="2"/>
    </row>
    <row r="976" ht="15.75" customHeight="1" spans="4:10">
      <c r="D976" s="11"/>
      <c r="E976" s="11"/>
      <c r="J976" s="2"/>
    </row>
    <row r="977" ht="15.75" customHeight="1" spans="4:10">
      <c r="D977" s="11"/>
      <c r="E977" s="11"/>
      <c r="J977" s="2"/>
    </row>
    <row r="978" ht="15.75" customHeight="1" spans="4:10">
      <c r="D978" s="11"/>
      <c r="E978" s="11"/>
      <c r="J978" s="2"/>
    </row>
    <row r="979" ht="15.75" customHeight="1" spans="4:10">
      <c r="D979" s="11"/>
      <c r="E979" s="11"/>
      <c r="J979" s="2"/>
    </row>
    <row r="980" ht="15.75" customHeight="1" spans="4:10">
      <c r="D980" s="11"/>
      <c r="E980" s="11"/>
      <c r="J980" s="2"/>
    </row>
    <row r="981" ht="15.75" customHeight="1" spans="4:10">
      <c r="D981" s="11"/>
      <c r="E981" s="11"/>
      <c r="J981" s="2"/>
    </row>
    <row r="982" ht="15.75" customHeight="1" spans="4:10">
      <c r="D982" s="11"/>
      <c r="E982" s="11"/>
      <c r="J982" s="2"/>
    </row>
    <row r="983" ht="15.75" customHeight="1" spans="4:10">
      <c r="D983" s="11"/>
      <c r="E983" s="11"/>
      <c r="J983" s="2"/>
    </row>
    <row r="984" ht="15.75" customHeight="1" spans="4:10">
      <c r="D984" s="11"/>
      <c r="E984" s="11"/>
      <c r="J984" s="2"/>
    </row>
    <row r="985" ht="15.75" customHeight="1" spans="4:10">
      <c r="D985" s="11"/>
      <c r="E985" s="11"/>
      <c r="J985" s="2"/>
    </row>
    <row r="986" ht="15.75" customHeight="1" spans="4:10">
      <c r="D986" s="11"/>
      <c r="E986" s="11"/>
      <c r="J986" s="2"/>
    </row>
    <row r="987" ht="15.75" customHeight="1" spans="4:10">
      <c r="D987" s="11"/>
      <c r="E987" s="11"/>
      <c r="J987" s="2"/>
    </row>
    <row r="988" ht="15.75" customHeight="1" spans="4:10">
      <c r="D988" s="11"/>
      <c r="E988" s="11"/>
      <c r="J988" s="2"/>
    </row>
    <row r="989" ht="15.75" customHeight="1" spans="4:10">
      <c r="D989" s="11"/>
      <c r="E989" s="11"/>
      <c r="J989" s="2"/>
    </row>
    <row r="990" ht="15.75" customHeight="1" spans="4:10">
      <c r="D990" s="11"/>
      <c r="E990" s="11"/>
      <c r="J990" s="2"/>
    </row>
    <row r="991" ht="15.75" customHeight="1" spans="4:10">
      <c r="D991" s="11"/>
      <c r="E991" s="11"/>
      <c r="J991" s="2"/>
    </row>
    <row r="992" ht="15.75" customHeight="1" spans="4:10">
      <c r="D992" s="11"/>
      <c r="E992" s="11"/>
      <c r="J992" s="2"/>
    </row>
    <row r="993" ht="15.75" customHeight="1" spans="4:10">
      <c r="D993" s="11"/>
      <c r="E993" s="11"/>
      <c r="J993" s="2"/>
    </row>
    <row r="994" ht="15.75" customHeight="1" spans="4:10">
      <c r="D994" s="11"/>
      <c r="E994" s="11"/>
      <c r="J994" s="2"/>
    </row>
    <row r="995" ht="15.75" customHeight="1" spans="4:10">
      <c r="D995" s="11"/>
      <c r="E995" s="11"/>
      <c r="J995" s="2"/>
    </row>
    <row r="996" ht="15.75" customHeight="1" spans="4:10">
      <c r="D996" s="11"/>
      <c r="E996" s="11"/>
      <c r="J996" s="2"/>
    </row>
    <row r="997" ht="15.75" customHeight="1" spans="4:10">
      <c r="D997" s="11"/>
      <c r="E997" s="11"/>
      <c r="J997" s="2"/>
    </row>
    <row r="998" ht="15.75" customHeight="1" spans="4:10">
      <c r="D998" s="11"/>
      <c r="E998" s="11"/>
      <c r="J998" s="2"/>
    </row>
    <row r="999" ht="15.75" customHeight="1" spans="4:10">
      <c r="D999" s="11"/>
      <c r="E999" s="11"/>
      <c r="J999" s="2"/>
    </row>
    <row r="1000" ht="15.75" customHeight="1" spans="4:10">
      <c r="D1000" s="11"/>
      <c r="E1000" s="11"/>
      <c r="J1000" s="2"/>
    </row>
    <row r="1001" ht="15.75" customHeight="1" spans="4:10">
      <c r="D1001" s="11"/>
      <c r="E1001" s="11"/>
      <c r="J1001" s="2"/>
    </row>
    <row r="1002" ht="15.75" customHeight="1" spans="4:10">
      <c r="D1002" s="11"/>
      <c r="E1002" s="11"/>
      <c r="J1002" s="2"/>
    </row>
    <row r="1003" ht="15.75" customHeight="1" spans="4:10">
      <c r="D1003" s="11"/>
      <c r="E1003" s="11"/>
      <c r="J1003" s="2"/>
    </row>
    <row r="1004" ht="15.75" customHeight="1" spans="4:10">
      <c r="D1004" s="11"/>
      <c r="E1004" s="11"/>
      <c r="J1004" s="2"/>
    </row>
    <row r="1005" ht="15.75" customHeight="1" spans="4:10">
      <c r="D1005" s="11"/>
      <c r="E1005" s="11"/>
      <c r="J1005" s="2"/>
    </row>
    <row r="1006" ht="15.75" customHeight="1" spans="4:10">
      <c r="D1006" s="11"/>
      <c r="E1006" s="11"/>
      <c r="J1006" s="2"/>
    </row>
    <row r="1007" ht="15.75" customHeight="1" spans="4:10">
      <c r="D1007" s="11"/>
      <c r="E1007" s="11"/>
      <c r="J1007" s="2"/>
    </row>
    <row r="1008" ht="15.75" customHeight="1" spans="4:10">
      <c r="D1008" s="11"/>
      <c r="E1008" s="11"/>
      <c r="J1008" s="2"/>
    </row>
    <row r="1009" ht="15.75" customHeight="1" spans="4:10">
      <c r="D1009" s="11"/>
      <c r="E1009" s="11"/>
      <c r="J1009" s="2"/>
    </row>
    <row r="1010" ht="15.75" customHeight="1" spans="4:10">
      <c r="D1010" s="11"/>
      <c r="E1010" s="11"/>
      <c r="J1010" s="2"/>
    </row>
    <row r="1011" ht="15.75" customHeight="1" spans="4:10">
      <c r="D1011" s="11"/>
      <c r="E1011" s="11"/>
      <c r="J1011" s="2"/>
    </row>
    <row r="1012" ht="15.75" customHeight="1" spans="4:10">
      <c r="D1012" s="11"/>
      <c r="E1012" s="11"/>
      <c r="J1012" s="2"/>
    </row>
    <row r="1013" ht="15.75" customHeight="1" spans="4:10">
      <c r="D1013" s="11"/>
      <c r="E1013" s="11"/>
      <c r="J1013" s="2"/>
    </row>
    <row r="1014" ht="15.75" customHeight="1" spans="4:10">
      <c r="D1014" s="11"/>
      <c r="E1014" s="11"/>
      <c r="J1014" s="2"/>
    </row>
    <row r="1015" ht="15.75" customHeight="1" spans="4:10">
      <c r="D1015" s="11"/>
      <c r="E1015" s="11"/>
      <c r="J1015" s="2"/>
    </row>
    <row r="1016" ht="15.75" customHeight="1" spans="4:10">
      <c r="D1016" s="11"/>
      <c r="E1016" s="11"/>
      <c r="J1016" s="2"/>
    </row>
    <row r="1017" ht="15.75" customHeight="1" spans="4:10">
      <c r="D1017" s="11"/>
      <c r="E1017" s="11"/>
      <c r="J1017" s="2"/>
    </row>
    <row r="1018" ht="15.75" customHeight="1" spans="4:10">
      <c r="D1018" s="11"/>
      <c r="E1018" s="11"/>
      <c r="J1018" s="2"/>
    </row>
    <row r="1019" ht="15.75" customHeight="1" spans="4:10">
      <c r="D1019" s="11"/>
      <c r="E1019" s="11"/>
      <c r="J1019" s="2"/>
    </row>
    <row r="1020" ht="15.75" customHeight="1" spans="4:10">
      <c r="D1020" s="11"/>
      <c r="E1020" s="11"/>
      <c r="J1020" s="2"/>
    </row>
    <row r="1021" ht="15.75" customHeight="1" spans="4:10">
      <c r="D1021" s="11"/>
      <c r="E1021" s="11"/>
      <c r="J1021" s="2"/>
    </row>
    <row r="1022" ht="15.75" customHeight="1" spans="4:10">
      <c r="D1022" s="11"/>
      <c r="E1022" s="11"/>
      <c r="J1022" s="2"/>
    </row>
    <row r="1023" ht="15.75" customHeight="1" spans="4:10">
      <c r="D1023" s="11"/>
      <c r="E1023" s="11"/>
      <c r="J1023" s="2"/>
    </row>
    <row r="1024" ht="15.75" customHeight="1" spans="4:10">
      <c r="D1024" s="11"/>
      <c r="E1024" s="11"/>
      <c r="J1024" s="2"/>
    </row>
    <row r="1025" ht="15.75" customHeight="1" spans="4:10">
      <c r="D1025" s="11"/>
      <c r="E1025" s="11"/>
      <c r="J1025" s="2"/>
    </row>
    <row r="1026" ht="15.75" customHeight="1" spans="4:10">
      <c r="D1026" s="11"/>
      <c r="E1026" s="11"/>
      <c r="J1026" s="2"/>
    </row>
    <row r="1027" ht="15.75" customHeight="1" spans="4:10">
      <c r="D1027" s="11"/>
      <c r="E1027" s="11"/>
      <c r="J1027" s="2"/>
    </row>
    <row r="1028" ht="15.75" customHeight="1" spans="4:10">
      <c r="D1028" s="11"/>
      <c r="E1028" s="11"/>
      <c r="J1028" s="2"/>
    </row>
    <row r="1029" ht="15.75" customHeight="1" spans="4:10">
      <c r="D1029" s="11"/>
      <c r="E1029" s="11"/>
      <c r="J1029" s="2"/>
    </row>
    <row r="1030" ht="15.75" customHeight="1" spans="4:10">
      <c r="D1030" s="11"/>
      <c r="E1030" s="11"/>
      <c r="J1030" s="2"/>
    </row>
    <row r="1031" ht="15.75" customHeight="1" spans="4:10">
      <c r="D1031" s="11"/>
      <c r="E1031" s="11"/>
      <c r="J1031" s="2"/>
    </row>
    <row r="1032" ht="15.75" customHeight="1" spans="4:10">
      <c r="D1032" s="11"/>
      <c r="E1032" s="11"/>
      <c r="J1032" s="2"/>
    </row>
    <row r="1033" ht="15.75" customHeight="1" spans="4:10">
      <c r="D1033" s="11"/>
      <c r="E1033" s="11"/>
      <c r="J1033" s="2"/>
    </row>
    <row r="1034" ht="15.75" customHeight="1" spans="4:10">
      <c r="D1034" s="11"/>
      <c r="E1034" s="11"/>
      <c r="J1034" s="2"/>
    </row>
    <row r="1035" ht="15.75" customHeight="1" spans="4:10">
      <c r="D1035" s="11"/>
      <c r="E1035" s="11"/>
      <c r="J1035" s="2"/>
    </row>
    <row r="1036" ht="15.75" customHeight="1" spans="4:10">
      <c r="D1036" s="11"/>
      <c r="E1036" s="11"/>
      <c r="J1036" s="2"/>
    </row>
    <row r="1037" ht="15.75" customHeight="1" spans="4:10">
      <c r="D1037" s="11"/>
      <c r="E1037" s="11"/>
      <c r="J1037" s="2"/>
    </row>
    <row r="1038" ht="15.75" customHeight="1" spans="4:10">
      <c r="D1038" s="11"/>
      <c r="E1038" s="11"/>
      <c r="J1038" s="2"/>
    </row>
    <row r="1039" ht="15.75" customHeight="1" spans="4:10">
      <c r="D1039" s="11"/>
      <c r="E1039" s="11"/>
      <c r="J1039" s="2"/>
    </row>
    <row r="1040" ht="15.75" customHeight="1" spans="4:10">
      <c r="D1040" s="11"/>
      <c r="E1040" s="11"/>
      <c r="J1040" s="2"/>
    </row>
    <row r="1041" ht="15.75" customHeight="1" spans="4:10">
      <c r="D1041" s="11"/>
      <c r="E1041" s="11"/>
      <c r="J1041" s="2"/>
    </row>
  </sheetData>
  <mergeCells count="34">
    <mergeCell ref="A1:V1"/>
    <mergeCell ref="A2:V2"/>
    <mergeCell ref="A3:V3"/>
    <mergeCell ref="H8:V8"/>
    <mergeCell ref="B166:I166"/>
    <mergeCell ref="C168:E168"/>
    <mergeCell ref="C169:E169"/>
    <mergeCell ref="H169:I169"/>
    <mergeCell ref="J169:T169"/>
    <mergeCell ref="C170:E170"/>
    <mergeCell ref="J170:T170"/>
    <mergeCell ref="C171:E171"/>
    <mergeCell ref="J171:T171"/>
    <mergeCell ref="J172:T172"/>
    <mergeCell ref="C175:E175"/>
    <mergeCell ref="I175:N175"/>
    <mergeCell ref="Q175:T175"/>
    <mergeCell ref="A178:B178"/>
    <mergeCell ref="C178:F178"/>
    <mergeCell ref="I178:N178"/>
    <mergeCell ref="Q178:T178"/>
    <mergeCell ref="A179:B179"/>
    <mergeCell ref="C179:F179"/>
    <mergeCell ref="I179:N179"/>
    <mergeCell ref="Q179:T179"/>
    <mergeCell ref="H182:T182"/>
    <mergeCell ref="H185:T185"/>
    <mergeCell ref="H186:T186"/>
    <mergeCell ref="A8:A9"/>
    <mergeCell ref="B8:B9"/>
    <mergeCell ref="D8:D9"/>
    <mergeCell ref="E8:E9"/>
    <mergeCell ref="F8:F9"/>
    <mergeCell ref="G8:G9"/>
  </mergeCells>
  <pageMargins left="0.458661417" right="0" top="0.498031496" bottom="0" header="0" footer="0"/>
  <pageSetup paperSize="14" orientation="landscape"/>
  <headerFooter/>
  <rowBreaks count="2" manualBreakCount="2">
    <brk id="58" max="0" man="1"/>
    <brk id="120" max="0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Copy of TSD-ICYT 2nd Quarter</vt:lpstr>
      <vt:lpstr>TSD-ICYT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PTRI</cp:lastModifiedBy>
  <dcterms:created xsi:type="dcterms:W3CDTF">2024-01-03T07:55:00Z</dcterms:created>
  <cp:lastPrinted>2024-05-06T01:25:00Z</cp:lastPrinted>
  <dcterms:modified xsi:type="dcterms:W3CDTF">2024-05-17T04:17:38Z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A681B5D629504885B970E5A8A1BAE700_12</vt:lpwstr>
  </property>
  <property fmtid="{D5CDD505-2E9C-101B-9397-08002B2CF9AE}" pid="3" name="KSOProductBuildVer">
    <vt:lpwstr>1033-12.2.0.16909</vt:lpwstr>
  </property>
</Properties>
</file>