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xr:revisionPtr revIDLastSave="0" documentId="8_{1C10DE49-7CB3-48BA-8CF9-315CA194B2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 of expenses" sheetId="55" r:id="rId1"/>
    <sheet name="CashDR" sheetId="66" r:id="rId2"/>
    <sheet name="RCDisb" sheetId="67" r:id="rId3"/>
    <sheet name="liquidation (2)" sheetId="54" r:id="rId4"/>
    <sheet name="certification" sheetId="21" r:id="rId5"/>
    <sheet name="iar (4)" sheetId="25" r:id="rId6"/>
    <sheet name="iar (5)" sheetId="43" r:id="rId7"/>
    <sheet name="iar (6)" sheetId="44" r:id="rId8"/>
    <sheet name="iar (7)" sheetId="45" r:id="rId9"/>
    <sheet name="iar (9)" sheetId="56" r:id="rId10"/>
    <sheet name="iar (10)" sheetId="57" r:id="rId11"/>
    <sheet name="iar (8)" sheetId="53" r:id="rId12"/>
    <sheet name="iar (11)" sheetId="58" r:id="rId13"/>
    <sheet name="iar (13)" sheetId="60" r:id="rId14"/>
    <sheet name="iar (12)" sheetId="59" r:id="rId15"/>
    <sheet name="iar (15)" sheetId="63" r:id="rId16"/>
    <sheet name="iar (16)" sheetId="64" r:id="rId17"/>
    <sheet name="iar (17)" sheetId="65" r:id="rId18"/>
    <sheet name="iar (14)" sheetId="61" r:id="rId19"/>
    <sheet name="iar (18)" sheetId="68" r:id="rId20"/>
    <sheet name="iar (19)" sheetId="69" r:id="rId21"/>
    <sheet name="iar (20)" sheetId="70" r:id="rId22"/>
    <sheet name="iar (21)" sheetId="71" r:id="rId23"/>
    <sheet name="iar (22)" sheetId="72" r:id="rId24"/>
    <sheet name="iar (23)" sheetId="73" r:id="rId25"/>
    <sheet name="iar (24)" sheetId="74" r:id="rId26"/>
    <sheet name="iar (25)" sheetId="75" r:id="rId27"/>
    <sheet name="iar (26)" sheetId="76" r:id="rId28"/>
    <sheet name="iar (27)" sheetId="77" r:id="rId29"/>
    <sheet name="iar (28)" sheetId="78" r:id="rId30"/>
    <sheet name="iar (29)" sheetId="79" r:id="rId31"/>
    <sheet name="iar (30)" sheetId="80" r:id="rId32"/>
    <sheet name="iar (32)" sheetId="82" r:id="rId33"/>
    <sheet name="iar (31)" sheetId="81" r:id="rId34"/>
    <sheet name="iar (33)" sheetId="83" r:id="rId35"/>
  </sheets>
  <externalReferences>
    <externalReference r:id="rId36"/>
    <externalReference r:id="rId37"/>
    <externalReference r:id="rId38"/>
  </externalReferences>
  <definedNames>
    <definedName name="Acceptance" localSheetId="1">[1]Jakboa!#REF!</definedName>
    <definedName name="Acceptance" localSheetId="10">[1]Jakboa!#REF!</definedName>
    <definedName name="Acceptance" localSheetId="12">[1]Jakboa!#REF!</definedName>
    <definedName name="Acceptance" localSheetId="14">[1]Jakboa!#REF!</definedName>
    <definedName name="Acceptance" localSheetId="13">[1]Jakboa!#REF!</definedName>
    <definedName name="Acceptance" localSheetId="18">[1]Jakboa!#REF!</definedName>
    <definedName name="Acceptance" localSheetId="15">[1]Jakboa!#REF!</definedName>
    <definedName name="Acceptance" localSheetId="16">[1]Jakboa!#REF!</definedName>
    <definedName name="Acceptance" localSheetId="17">[1]Jakboa!#REF!</definedName>
    <definedName name="Acceptance" localSheetId="19">[1]Jakboa!#REF!</definedName>
    <definedName name="Acceptance" localSheetId="20">[1]Jakboa!#REF!</definedName>
    <definedName name="Acceptance" localSheetId="21">[1]Jakboa!#REF!</definedName>
    <definedName name="Acceptance" localSheetId="22">[1]Jakboa!#REF!</definedName>
    <definedName name="Acceptance" localSheetId="23">[1]Jakboa!#REF!</definedName>
    <definedName name="Acceptance" localSheetId="24">[1]Jakboa!#REF!</definedName>
    <definedName name="Acceptance" localSheetId="25">[1]Jakboa!#REF!</definedName>
    <definedName name="Acceptance" localSheetId="26">[1]Jakboa!#REF!</definedName>
    <definedName name="Acceptance" localSheetId="27">[1]Jakboa!#REF!</definedName>
    <definedName name="Acceptance" localSheetId="28">[1]Jakboa!#REF!</definedName>
    <definedName name="Acceptance" localSheetId="29">[1]Jakboa!#REF!</definedName>
    <definedName name="Acceptance" localSheetId="30">[1]Jakboa!#REF!</definedName>
    <definedName name="Acceptance" localSheetId="31">[1]Jakboa!#REF!</definedName>
    <definedName name="Acceptance" localSheetId="33">[1]Jakboa!#REF!</definedName>
    <definedName name="Acceptance" localSheetId="32">[1]Jakboa!#REF!</definedName>
    <definedName name="Acceptance" localSheetId="34">[1]Jakboa!#REF!</definedName>
    <definedName name="Acceptance" localSheetId="5">[1]Jakboa!#REF!</definedName>
    <definedName name="Acceptance" localSheetId="6">[1]Jakboa!#REF!</definedName>
    <definedName name="Acceptance" localSheetId="7">[1]Jakboa!#REF!</definedName>
    <definedName name="Acceptance" localSheetId="8">[1]Jakboa!#REF!</definedName>
    <definedName name="Acceptance" localSheetId="11">[1]Jakboa!#REF!</definedName>
    <definedName name="Acceptance" localSheetId="9">[1]Jakboa!#REF!</definedName>
    <definedName name="Acceptance" localSheetId="3">[1]Jakboa!#REF!</definedName>
    <definedName name="Acceptance">[1]Jakboa!#REF!</definedName>
    <definedName name="cf" localSheetId="10">[2]Jakboa!#REF!</definedName>
    <definedName name="cf" localSheetId="12">[2]Jakboa!#REF!</definedName>
    <definedName name="cf" localSheetId="14">[2]Jakboa!#REF!</definedName>
    <definedName name="cf" localSheetId="13">[2]Jakboa!#REF!</definedName>
    <definedName name="cf" localSheetId="18">[2]Jakboa!#REF!</definedName>
    <definedName name="cf" localSheetId="15">[2]Jakboa!#REF!</definedName>
    <definedName name="cf" localSheetId="16">[2]Jakboa!#REF!</definedName>
    <definedName name="cf" localSheetId="17">[2]Jakboa!#REF!</definedName>
    <definedName name="cf" localSheetId="19">[2]Jakboa!#REF!</definedName>
    <definedName name="cf" localSheetId="20">[2]Jakboa!#REF!</definedName>
    <definedName name="cf" localSheetId="21">[2]Jakboa!#REF!</definedName>
    <definedName name="cf" localSheetId="22">[2]Jakboa!#REF!</definedName>
    <definedName name="cf" localSheetId="23">[2]Jakboa!#REF!</definedName>
    <definedName name="cf" localSheetId="24">[2]Jakboa!#REF!</definedName>
    <definedName name="cf" localSheetId="25">[2]Jakboa!#REF!</definedName>
    <definedName name="cf" localSheetId="26">[2]Jakboa!#REF!</definedName>
    <definedName name="cf" localSheetId="27">[2]Jakboa!#REF!</definedName>
    <definedName name="cf" localSheetId="28">[2]Jakboa!#REF!</definedName>
    <definedName name="cf" localSheetId="29">[2]Jakboa!#REF!</definedName>
    <definedName name="cf" localSheetId="30">[2]Jakboa!#REF!</definedName>
    <definedName name="cf" localSheetId="31">[2]Jakboa!#REF!</definedName>
    <definedName name="cf" localSheetId="33">[2]Jakboa!#REF!</definedName>
    <definedName name="cf" localSheetId="32">[2]Jakboa!#REF!</definedName>
    <definedName name="cf" localSheetId="34">[2]Jakboa!#REF!</definedName>
    <definedName name="cf" localSheetId="5">[2]Jakboa!#REF!</definedName>
    <definedName name="cf" localSheetId="6">[2]Jakboa!#REF!</definedName>
    <definedName name="cf" localSheetId="7">[2]Jakboa!#REF!</definedName>
    <definedName name="cf" localSheetId="8">[2]Jakboa!#REF!</definedName>
    <definedName name="cf" localSheetId="11">[2]Jakboa!#REF!</definedName>
    <definedName name="cf" localSheetId="9">[2]Jakboa!#REF!</definedName>
    <definedName name="cf" localSheetId="0">[2]Jakboa!#REF!</definedName>
    <definedName name="cf">[2]Jakboa!#REF!</definedName>
    <definedName name="Excel_BuiltIn_Print_Area_1" localSheetId="4">[2]Jakboa!#REF!</definedName>
    <definedName name="Excel_BuiltIn_Print_Area_1" localSheetId="10">[2]Jakboa!#REF!</definedName>
    <definedName name="Excel_BuiltIn_Print_Area_1" localSheetId="12">[2]Jakboa!#REF!</definedName>
    <definedName name="Excel_BuiltIn_Print_Area_1" localSheetId="14">[2]Jakboa!#REF!</definedName>
    <definedName name="Excel_BuiltIn_Print_Area_1" localSheetId="13">[2]Jakboa!#REF!</definedName>
    <definedName name="Excel_BuiltIn_Print_Area_1" localSheetId="18">[2]Jakboa!#REF!</definedName>
    <definedName name="Excel_BuiltIn_Print_Area_1" localSheetId="15">[2]Jakboa!#REF!</definedName>
    <definedName name="Excel_BuiltIn_Print_Area_1" localSheetId="16">[2]Jakboa!#REF!</definedName>
    <definedName name="Excel_BuiltIn_Print_Area_1" localSheetId="17">[2]Jakboa!#REF!</definedName>
    <definedName name="Excel_BuiltIn_Print_Area_1" localSheetId="19">[2]Jakboa!#REF!</definedName>
    <definedName name="Excel_BuiltIn_Print_Area_1" localSheetId="20">[2]Jakboa!#REF!</definedName>
    <definedName name="Excel_BuiltIn_Print_Area_1" localSheetId="21">[2]Jakboa!#REF!</definedName>
    <definedName name="Excel_BuiltIn_Print_Area_1" localSheetId="22">[2]Jakboa!#REF!</definedName>
    <definedName name="Excel_BuiltIn_Print_Area_1" localSheetId="23">[2]Jakboa!#REF!</definedName>
    <definedName name="Excel_BuiltIn_Print_Area_1" localSheetId="24">[2]Jakboa!#REF!</definedName>
    <definedName name="Excel_BuiltIn_Print_Area_1" localSheetId="25">[2]Jakboa!#REF!</definedName>
    <definedName name="Excel_BuiltIn_Print_Area_1" localSheetId="26">[2]Jakboa!#REF!</definedName>
    <definedName name="Excel_BuiltIn_Print_Area_1" localSheetId="27">[2]Jakboa!#REF!</definedName>
    <definedName name="Excel_BuiltIn_Print_Area_1" localSheetId="28">[2]Jakboa!#REF!</definedName>
    <definedName name="Excel_BuiltIn_Print_Area_1" localSheetId="29">[2]Jakboa!#REF!</definedName>
    <definedName name="Excel_BuiltIn_Print_Area_1" localSheetId="30">[2]Jakboa!#REF!</definedName>
    <definedName name="Excel_BuiltIn_Print_Area_1" localSheetId="31">[2]Jakboa!#REF!</definedName>
    <definedName name="Excel_BuiltIn_Print_Area_1" localSheetId="33">[2]Jakboa!#REF!</definedName>
    <definedName name="Excel_BuiltIn_Print_Area_1" localSheetId="32">[2]Jakboa!#REF!</definedName>
    <definedName name="Excel_BuiltIn_Print_Area_1" localSheetId="34">[2]Jakboa!#REF!</definedName>
    <definedName name="Excel_BuiltIn_Print_Area_1" localSheetId="5">[2]Jakboa!#REF!</definedName>
    <definedName name="Excel_BuiltIn_Print_Area_1" localSheetId="6">[2]Jakboa!#REF!</definedName>
    <definedName name="Excel_BuiltIn_Print_Area_1" localSheetId="7">[2]Jakboa!#REF!</definedName>
    <definedName name="Excel_BuiltIn_Print_Area_1" localSheetId="8">[2]Jakboa!#REF!</definedName>
    <definedName name="Excel_BuiltIn_Print_Area_1" localSheetId="11">[2]Jakboa!#REF!</definedName>
    <definedName name="Excel_BuiltIn_Print_Area_1" localSheetId="9">[2]Jakboa!#REF!</definedName>
    <definedName name="Excel_BuiltIn_Print_Area_1" localSheetId="3">[2]Jakboa!#REF!</definedName>
    <definedName name="Excel_BuiltIn_Print_Area_1" localSheetId="0">[2]Jakboa!#REF!</definedName>
    <definedName name="Excel_BuiltIn_Print_Area_1">[2]Jakboa!#REF!</definedName>
    <definedName name="Excel_BuiltIn_Print_Area_5_1" localSheetId="10">#REF!</definedName>
    <definedName name="Excel_BuiltIn_Print_Area_5_1" localSheetId="12">#REF!</definedName>
    <definedName name="Excel_BuiltIn_Print_Area_5_1" localSheetId="14">#REF!</definedName>
    <definedName name="Excel_BuiltIn_Print_Area_5_1" localSheetId="13">#REF!</definedName>
    <definedName name="Excel_BuiltIn_Print_Area_5_1" localSheetId="18">#REF!</definedName>
    <definedName name="Excel_BuiltIn_Print_Area_5_1" localSheetId="15">#REF!</definedName>
    <definedName name="Excel_BuiltIn_Print_Area_5_1" localSheetId="16">#REF!</definedName>
    <definedName name="Excel_BuiltIn_Print_Area_5_1" localSheetId="17">#REF!</definedName>
    <definedName name="Excel_BuiltIn_Print_Area_5_1" localSheetId="19">#REF!</definedName>
    <definedName name="Excel_BuiltIn_Print_Area_5_1" localSheetId="20">#REF!</definedName>
    <definedName name="Excel_BuiltIn_Print_Area_5_1" localSheetId="21">#REF!</definedName>
    <definedName name="Excel_BuiltIn_Print_Area_5_1" localSheetId="22">#REF!</definedName>
    <definedName name="Excel_BuiltIn_Print_Area_5_1" localSheetId="23">#REF!</definedName>
    <definedName name="Excel_BuiltIn_Print_Area_5_1" localSheetId="24">#REF!</definedName>
    <definedName name="Excel_BuiltIn_Print_Area_5_1" localSheetId="25">#REF!</definedName>
    <definedName name="Excel_BuiltIn_Print_Area_5_1" localSheetId="26">#REF!</definedName>
    <definedName name="Excel_BuiltIn_Print_Area_5_1" localSheetId="27">#REF!</definedName>
    <definedName name="Excel_BuiltIn_Print_Area_5_1" localSheetId="28">#REF!</definedName>
    <definedName name="Excel_BuiltIn_Print_Area_5_1" localSheetId="29">#REF!</definedName>
    <definedName name="Excel_BuiltIn_Print_Area_5_1" localSheetId="30">#REF!</definedName>
    <definedName name="Excel_BuiltIn_Print_Area_5_1" localSheetId="31">#REF!</definedName>
    <definedName name="Excel_BuiltIn_Print_Area_5_1" localSheetId="33">#REF!</definedName>
    <definedName name="Excel_BuiltIn_Print_Area_5_1" localSheetId="32">#REF!</definedName>
    <definedName name="Excel_BuiltIn_Print_Area_5_1" localSheetId="34">#REF!</definedName>
    <definedName name="Excel_BuiltIn_Print_Area_5_1" localSheetId="5">#REF!</definedName>
    <definedName name="Excel_BuiltIn_Print_Area_5_1" localSheetId="6">#REF!</definedName>
    <definedName name="Excel_BuiltIn_Print_Area_5_1" localSheetId="7">#REF!</definedName>
    <definedName name="Excel_BuiltIn_Print_Area_5_1" localSheetId="8">#REF!</definedName>
    <definedName name="Excel_BuiltIn_Print_Area_5_1" localSheetId="11">#REF!</definedName>
    <definedName name="Excel_BuiltIn_Print_Area_5_1" localSheetId="9">#REF!</definedName>
    <definedName name="Excel_BuiltIn_Print_Area_5_1" localSheetId="3">#REF!</definedName>
    <definedName name="Excel_BuiltIn_Print_Area_5_1">#REF!</definedName>
    <definedName name="Excel_BuiltIn_Print_Area_7_1" localSheetId="10">#REF!</definedName>
    <definedName name="Excel_BuiltIn_Print_Area_7_1" localSheetId="12">#REF!</definedName>
    <definedName name="Excel_BuiltIn_Print_Area_7_1" localSheetId="14">#REF!</definedName>
    <definedName name="Excel_BuiltIn_Print_Area_7_1" localSheetId="13">#REF!</definedName>
    <definedName name="Excel_BuiltIn_Print_Area_7_1" localSheetId="18">#REF!</definedName>
    <definedName name="Excel_BuiltIn_Print_Area_7_1" localSheetId="15">#REF!</definedName>
    <definedName name="Excel_BuiltIn_Print_Area_7_1" localSheetId="16">#REF!</definedName>
    <definedName name="Excel_BuiltIn_Print_Area_7_1" localSheetId="17">#REF!</definedName>
    <definedName name="Excel_BuiltIn_Print_Area_7_1" localSheetId="19">#REF!</definedName>
    <definedName name="Excel_BuiltIn_Print_Area_7_1" localSheetId="20">#REF!</definedName>
    <definedName name="Excel_BuiltIn_Print_Area_7_1" localSheetId="21">#REF!</definedName>
    <definedName name="Excel_BuiltIn_Print_Area_7_1" localSheetId="22">#REF!</definedName>
    <definedName name="Excel_BuiltIn_Print_Area_7_1" localSheetId="23">#REF!</definedName>
    <definedName name="Excel_BuiltIn_Print_Area_7_1" localSheetId="24">#REF!</definedName>
    <definedName name="Excel_BuiltIn_Print_Area_7_1" localSheetId="25">#REF!</definedName>
    <definedName name="Excel_BuiltIn_Print_Area_7_1" localSheetId="26">#REF!</definedName>
    <definedName name="Excel_BuiltIn_Print_Area_7_1" localSheetId="27">#REF!</definedName>
    <definedName name="Excel_BuiltIn_Print_Area_7_1" localSheetId="28">#REF!</definedName>
    <definedName name="Excel_BuiltIn_Print_Area_7_1" localSheetId="29">#REF!</definedName>
    <definedName name="Excel_BuiltIn_Print_Area_7_1" localSheetId="30">#REF!</definedName>
    <definedName name="Excel_BuiltIn_Print_Area_7_1" localSheetId="31">#REF!</definedName>
    <definedName name="Excel_BuiltIn_Print_Area_7_1" localSheetId="33">#REF!</definedName>
    <definedName name="Excel_BuiltIn_Print_Area_7_1" localSheetId="32">#REF!</definedName>
    <definedName name="Excel_BuiltIn_Print_Area_7_1" localSheetId="34">#REF!</definedName>
    <definedName name="Excel_BuiltIn_Print_Area_7_1" localSheetId="5">#REF!</definedName>
    <definedName name="Excel_BuiltIn_Print_Area_7_1" localSheetId="6">#REF!</definedName>
    <definedName name="Excel_BuiltIn_Print_Area_7_1" localSheetId="7">#REF!</definedName>
    <definedName name="Excel_BuiltIn_Print_Area_7_1" localSheetId="8">#REF!</definedName>
    <definedName name="Excel_BuiltIn_Print_Area_7_1" localSheetId="11">#REF!</definedName>
    <definedName name="Excel_BuiltIn_Print_Area_7_1" localSheetId="9">#REF!</definedName>
    <definedName name="Excel_BuiltIn_Print_Area_7_1" localSheetId="3">#REF!</definedName>
    <definedName name="Excel_BuiltIn_Print_Area_7_1">#REF!</definedName>
    <definedName name="_xlnm.Print_Area" localSheetId="1">CashDR!$A$1:$I$142</definedName>
    <definedName name="_xlnm.Print_Area" localSheetId="4">certification!$A$1:$J$48</definedName>
    <definedName name="_xlnm.Print_Area" localSheetId="10">'iar (10)'!$A$1:$J$72</definedName>
    <definedName name="_xlnm.Print_Area" localSheetId="12">'iar (11)'!$A$1:$J$72</definedName>
    <definedName name="_xlnm.Print_Area" localSheetId="14">'iar (12)'!$A$1:$J$72</definedName>
    <definedName name="_xlnm.Print_Area" localSheetId="13">'iar (13)'!$A$1:$J$72</definedName>
    <definedName name="_xlnm.Print_Area" localSheetId="18">'iar (14)'!$A$1:$J$84</definedName>
    <definedName name="_xlnm.Print_Area" localSheetId="15">'iar (15)'!$A$1:$J$72</definedName>
    <definedName name="_xlnm.Print_Area" localSheetId="16">'iar (16)'!$A$1:$J$72</definedName>
    <definedName name="_xlnm.Print_Area" localSheetId="17">'iar (17)'!$A$1:$J$84</definedName>
    <definedName name="_xlnm.Print_Area" localSheetId="19">'iar (18)'!$A$1:$J$72</definedName>
    <definedName name="_xlnm.Print_Area" localSheetId="20">'iar (19)'!$A$1:$J$72</definedName>
    <definedName name="_xlnm.Print_Area" localSheetId="21">'iar (20)'!$A$1:$J$72</definedName>
    <definedName name="_xlnm.Print_Area" localSheetId="22">'iar (21)'!$A$1:$J$72</definedName>
    <definedName name="_xlnm.Print_Area" localSheetId="23">'iar (22)'!$A$1:$J$72</definedName>
    <definedName name="_xlnm.Print_Area" localSheetId="24">'iar (23)'!$A$1:$J$72</definedName>
    <definedName name="_xlnm.Print_Area" localSheetId="25">'iar (24)'!$A$1:$J$72</definedName>
    <definedName name="_xlnm.Print_Area" localSheetId="26">'iar (25)'!$A$1:$J$72</definedName>
    <definedName name="_xlnm.Print_Area" localSheetId="27">'iar (26)'!$A$1:$J$72</definedName>
    <definedName name="_xlnm.Print_Area" localSheetId="28">'iar (27)'!$A$1:$J$72</definedName>
    <definedName name="_xlnm.Print_Area" localSheetId="29">'iar (28)'!$A$1:$J$72</definedName>
    <definedName name="_xlnm.Print_Area" localSheetId="30">'iar (29)'!$A$1:$J$72</definedName>
    <definedName name="_xlnm.Print_Area" localSheetId="31">'iar (30)'!$A$1:$J$72</definedName>
    <definedName name="_xlnm.Print_Area" localSheetId="33">'iar (31)'!$A$1:$J$72</definedName>
    <definedName name="_xlnm.Print_Area" localSheetId="32">'iar (32)'!$A$1:$J$74</definedName>
    <definedName name="_xlnm.Print_Area" localSheetId="34">'iar (33)'!$A$1:$J$74</definedName>
    <definedName name="_xlnm.Print_Area" localSheetId="5">'iar (4)'!$A$1:$J$72</definedName>
    <definedName name="_xlnm.Print_Area" localSheetId="6">'iar (5)'!$A$1:$J$72</definedName>
    <definedName name="_xlnm.Print_Area" localSheetId="7">'iar (6)'!$A$1:$J$72</definedName>
    <definedName name="_xlnm.Print_Area" localSheetId="8">'iar (7)'!$A$1:$J$72</definedName>
    <definedName name="_xlnm.Print_Area" localSheetId="11">'iar (8)'!$A$1:$J$78</definedName>
    <definedName name="_xlnm.Print_Area" localSheetId="9">'iar (9)'!$A$1:$J$72</definedName>
    <definedName name="_xlnm.Print_Area" localSheetId="2">RCDisb!$A$1:$I$136</definedName>
    <definedName name="_xlnm.Print_Area" localSheetId="0">'summary of expenses'!$A$1:$F$173</definedName>
    <definedName name="_xlnm.Print_Titles" localSheetId="1">CashDR!$1:$13</definedName>
    <definedName name="_xlnm.Print_Titles" localSheetId="2">RCDisb!$1:$10</definedName>
    <definedName name="_xlnm.Print_Titles" localSheetId="0">'summary of expenses'!$1:$3</definedName>
    <definedName name="QWE" localSheetId="10">[3]Jakboa!#REF!</definedName>
    <definedName name="QWE" localSheetId="12">[3]Jakboa!#REF!</definedName>
    <definedName name="QWE" localSheetId="14">[3]Jakboa!#REF!</definedName>
    <definedName name="QWE" localSheetId="13">[3]Jakboa!#REF!</definedName>
    <definedName name="QWE" localSheetId="18">[3]Jakboa!#REF!</definedName>
    <definedName name="QWE" localSheetId="15">[3]Jakboa!#REF!</definedName>
    <definedName name="QWE" localSheetId="16">[3]Jakboa!#REF!</definedName>
    <definedName name="QWE" localSheetId="17">[3]Jakboa!#REF!</definedName>
    <definedName name="QWE" localSheetId="19">[3]Jakboa!#REF!</definedName>
    <definedName name="QWE" localSheetId="20">[3]Jakboa!#REF!</definedName>
    <definedName name="QWE" localSheetId="21">[3]Jakboa!#REF!</definedName>
    <definedName name="QWE" localSheetId="22">[3]Jakboa!#REF!</definedName>
    <definedName name="QWE" localSheetId="23">[3]Jakboa!#REF!</definedName>
    <definedName name="QWE" localSheetId="24">[3]Jakboa!#REF!</definedName>
    <definedName name="QWE" localSheetId="25">[3]Jakboa!#REF!</definedName>
    <definedName name="QWE" localSheetId="26">[3]Jakboa!#REF!</definedName>
    <definedName name="QWE" localSheetId="27">[3]Jakboa!#REF!</definedName>
    <definedName name="QWE" localSheetId="28">[3]Jakboa!#REF!</definedName>
    <definedName name="QWE" localSheetId="29">[3]Jakboa!#REF!</definedName>
    <definedName name="QWE" localSheetId="30">[3]Jakboa!#REF!</definedName>
    <definedName name="QWE" localSheetId="31">[3]Jakboa!#REF!</definedName>
    <definedName name="QWE" localSheetId="33">[3]Jakboa!#REF!</definedName>
    <definedName name="QWE" localSheetId="32">[3]Jakboa!#REF!</definedName>
    <definedName name="QWE" localSheetId="34">[3]Jakboa!#REF!</definedName>
    <definedName name="QWE" localSheetId="5">[3]Jakboa!#REF!</definedName>
    <definedName name="QWE" localSheetId="6">[3]Jakboa!#REF!</definedName>
    <definedName name="QWE" localSheetId="7">[3]Jakboa!#REF!</definedName>
    <definedName name="QWE" localSheetId="8">[3]Jakboa!#REF!</definedName>
    <definedName name="QWE" localSheetId="11">[3]Jakboa!#REF!</definedName>
    <definedName name="QWE" localSheetId="9">[3]Jakboa!#REF!</definedName>
    <definedName name="QWE">[3]Jakboa!#REF!</definedName>
  </definedNames>
  <calcPr calcId="191029"/>
</workbook>
</file>

<file path=xl/calcChain.xml><?xml version="1.0" encoding="utf-8"?>
<calcChain xmlns="http://schemas.openxmlformats.org/spreadsheetml/2006/main">
  <c r="F163" i="55" l="1"/>
  <c r="J163" i="55" l="1"/>
  <c r="I124" i="66" l="1"/>
  <c r="I125" i="66"/>
  <c r="I126" i="66"/>
  <c r="I127" i="66"/>
  <c r="I128" i="66"/>
  <c r="I123" i="66"/>
  <c r="I122" i="66"/>
  <c r="I119" i="66"/>
  <c r="I118" i="66"/>
  <c r="I117" i="66"/>
  <c r="I112" i="66"/>
  <c r="I107" i="66"/>
  <c r="I102" i="66"/>
  <c r="I97" i="66"/>
  <c r="I90" i="66"/>
  <c r="I91" i="66"/>
  <c r="I92" i="66"/>
  <c r="I89" i="66"/>
  <c r="I88" i="66"/>
  <c r="I81" i="66"/>
  <c r="I82" i="66"/>
  <c r="I83" i="66"/>
  <c r="I80" i="66"/>
  <c r="I79" i="66"/>
  <c r="I57" i="66"/>
  <c r="I58" i="66"/>
  <c r="I59" i="66"/>
  <c r="I60" i="66"/>
  <c r="I61" i="66"/>
  <c r="I62" i="66"/>
  <c r="I63" i="66"/>
  <c r="I64" i="66"/>
  <c r="I65" i="66"/>
  <c r="I66" i="66"/>
  <c r="I67" i="66"/>
  <c r="I68" i="66"/>
  <c r="I69" i="66"/>
  <c r="I70" i="66"/>
  <c r="I71" i="66"/>
  <c r="I72" i="66"/>
  <c r="I73" i="66"/>
  <c r="I74" i="66"/>
  <c r="I75" i="66"/>
  <c r="I56" i="66"/>
  <c r="I55" i="66"/>
  <c r="I53" i="66"/>
  <c r="I52" i="66"/>
  <c r="I51" i="66"/>
  <c r="I32" i="66"/>
  <c r="I33" i="66"/>
  <c r="I34" i="66"/>
  <c r="I35" i="66"/>
  <c r="I36" i="66"/>
  <c r="I37" i="66"/>
  <c r="I38" i="66"/>
  <c r="I39" i="66"/>
  <c r="I40" i="66"/>
  <c r="I41" i="66"/>
  <c r="I42" i="66"/>
  <c r="I43" i="66"/>
  <c r="I44" i="66"/>
  <c r="I45" i="66"/>
  <c r="I46" i="66"/>
  <c r="I47" i="66"/>
  <c r="I48" i="66"/>
  <c r="I49" i="66"/>
  <c r="I31" i="66"/>
  <c r="I30" i="66"/>
  <c r="I27" i="66"/>
  <c r="I19" i="66"/>
  <c r="I20" i="66"/>
  <c r="I21" i="66"/>
  <c r="I22" i="66"/>
  <c r="I23" i="66"/>
  <c r="I24" i="66"/>
  <c r="I18" i="66"/>
  <c r="I17" i="66"/>
  <c r="H32" i="54"/>
  <c r="H31" i="54"/>
  <c r="H33" i="54" s="1"/>
</calcChain>
</file>

<file path=xl/sharedStrings.xml><?xml version="1.0" encoding="utf-8"?>
<sst xmlns="http://schemas.openxmlformats.org/spreadsheetml/2006/main" count="3890" uniqueCount="502">
  <si>
    <t>SUMMARY OF EXPENSES</t>
  </si>
  <si>
    <t>Date</t>
  </si>
  <si>
    <t>C.R./S.I. No.</t>
  </si>
  <si>
    <t>Qty</t>
  </si>
  <si>
    <t>Unit</t>
  </si>
  <si>
    <t>Article</t>
  </si>
  <si>
    <t>Amount</t>
  </si>
  <si>
    <t>lot</t>
  </si>
  <si>
    <t>CERTIFICATION</t>
  </si>
  <si>
    <t>pc</t>
  </si>
  <si>
    <t>TOTAL</t>
  </si>
  <si>
    <t>This is to certify that the purchase of the above items were necessary for the operation of the project. This certification</t>
  </si>
  <si>
    <t>CHERYL G. LOPEZ</t>
  </si>
  <si>
    <t>Appendix 41</t>
  </si>
  <si>
    <t>REPORT OF CASH DISBURSEMENTS</t>
  </si>
  <si>
    <t>Report No. :</t>
  </si>
  <si>
    <t>Sheet No. : 1</t>
  </si>
  <si>
    <t>DV/Payroll No.</t>
  </si>
  <si>
    <t>ORS/BURS No.</t>
  </si>
  <si>
    <t>Responsibility Center Code</t>
  </si>
  <si>
    <t>Payee</t>
  </si>
  <si>
    <t>UACS Object Code</t>
  </si>
  <si>
    <t>Nature of Payment</t>
  </si>
  <si>
    <t xml:space="preserve">         I hereby certify on my official oath that this Report of Cash Disbursements in _________ sheet(s) is a full, true and correct statement of all cash disbursements during the period stated above actually made by me in payment for obligations shown in pertinent disbursement vouchers/payroll.</t>
  </si>
  <si>
    <t xml:space="preserve">                  </t>
  </si>
  <si>
    <t>Name and Signature of Disbursing Officer/Cashier</t>
  </si>
  <si>
    <t>Official Designation</t>
  </si>
  <si>
    <t>Appendix  40</t>
  </si>
  <si>
    <t>CASH DISBURSEMENTS RECORD</t>
  </si>
  <si>
    <t>Sheet No. : 01</t>
  </si>
  <si>
    <t>Accountable Officer</t>
  </si>
  <si>
    <t>Station</t>
  </si>
  <si>
    <r>
      <t>ADA/Check/DV/Payroll/ Reference No.</t>
    </r>
    <r>
      <rPr>
        <b/>
        <i/>
        <sz val="11"/>
        <color indexed="8"/>
        <rFont val="Times New Roman"/>
        <family val="1"/>
      </rPr>
      <t xml:space="preserve"> </t>
    </r>
  </si>
  <si>
    <t xml:space="preserve">UACS Object Code </t>
  </si>
  <si>
    <t>Cash Advance Received/ (Refunded)</t>
  </si>
  <si>
    <t>Disbursements</t>
  </si>
  <si>
    <t>Cash Advance Balance</t>
  </si>
  <si>
    <t>Name and Signature of Disbursing Officer</t>
  </si>
  <si>
    <t>PTRI-TCMO</t>
  </si>
  <si>
    <t>PHILIPPINE TEXTILE RESEARCH INSTITUTE</t>
  </si>
  <si>
    <t>P</t>
  </si>
  <si>
    <t>LIQUIDATION REPORT</t>
  </si>
  <si>
    <t>No.</t>
  </si>
  <si>
    <t>Responsibility Center</t>
  </si>
  <si>
    <t>Agency</t>
  </si>
  <si>
    <t>Code:</t>
  </si>
  <si>
    <t>Particulars</t>
  </si>
  <si>
    <t>Total Amount Spent</t>
  </si>
  <si>
    <t>Total Amount of Cash Advance</t>
  </si>
  <si>
    <t>Amount to be Reimbursed</t>
  </si>
  <si>
    <t>A. Certified: Correctness</t>
  </si>
  <si>
    <t>B. Certified: Purpose of</t>
  </si>
  <si>
    <t>C. Certified: Supporting</t>
  </si>
  <si>
    <t xml:space="preserve"> of the above data.</t>
  </si>
  <si>
    <t>and proper.</t>
  </si>
  <si>
    <t>Claimant</t>
  </si>
  <si>
    <t xml:space="preserve">  documents complete </t>
  </si>
  <si>
    <t xml:space="preserve"> cash advance duly </t>
  </si>
  <si>
    <t xml:space="preserve"> accomplished.</t>
  </si>
  <si>
    <t>Entity Name : PHILIPPINE TEXTILE RESEARCH INSTITUTE</t>
  </si>
  <si>
    <r>
      <t xml:space="preserve"> Entity Name :   </t>
    </r>
    <r>
      <rPr>
        <b/>
        <u/>
        <sz val="11"/>
        <rFont val="Times New Roman"/>
        <family val="1"/>
      </rPr>
      <t>PHILIPPINE TEXTILE RESEARCH INSTITUTE</t>
    </r>
  </si>
  <si>
    <t>NNJ Hardware &amp; Gen. Merchandise</t>
  </si>
  <si>
    <t>AR</t>
  </si>
  <si>
    <t>box</t>
  </si>
  <si>
    <t>SR. SRS</t>
  </si>
  <si>
    <t>Cheryl G. Lopez</t>
  </si>
  <si>
    <t>Diesel fuel for Toyota Hilux (SAB 5305)</t>
  </si>
  <si>
    <t>Cebu Air, Inc.</t>
  </si>
  <si>
    <t>Republic of the Philippines</t>
  </si>
  <si>
    <t>Department of Science and Technology</t>
  </si>
  <si>
    <t>Technology Center - Brgy. Imelda, Villanueva, Misamis Oriental</t>
  </si>
  <si>
    <t xml:space="preserve">       The purchase and use of GLOBE call cards is necessary for all the official mobile communication activities in</t>
  </si>
  <si>
    <t xml:space="preserve">TCMO projects for the month of June 2022.  </t>
  </si>
  <si>
    <t xml:space="preserve">     This certification is issued as a supporting document for the expenses incurred for such services amounting </t>
  </si>
  <si>
    <t>to Three Thousand Pesos (P3,000.00) only.</t>
  </si>
  <si>
    <t xml:space="preserve">      Given this 6th day of June 2022.</t>
  </si>
  <si>
    <t>Sr. SRS, PTRI Technology Center</t>
  </si>
  <si>
    <t>Misamis Oriental</t>
  </si>
  <si>
    <t>RER</t>
  </si>
  <si>
    <t>pack</t>
  </si>
  <si>
    <t>Supervalue, Inc.</t>
  </si>
  <si>
    <t>FAD-PPGSS Form No. 16</t>
  </si>
  <si>
    <t>Rev. 02/15-15-17</t>
  </si>
  <si>
    <t>INSPECTION AND ACCEPTANCE REPORT</t>
  </si>
  <si>
    <t>Supplier</t>
  </si>
  <si>
    <t xml:space="preserve">IAR No. </t>
  </si>
  <si>
    <t>dtd</t>
  </si>
  <si>
    <t>PO NO./(PR No.-E)</t>
  </si>
  <si>
    <t xml:space="preserve">  Sale Invoice No.</t>
  </si>
  <si>
    <t>Requisitioning Office/Dept. :    Silk Production &amp; Processing Unit - NFUS-RDD</t>
  </si>
  <si>
    <t xml:space="preserve"> </t>
  </si>
  <si>
    <t>Stock</t>
  </si>
  <si>
    <t>Description</t>
  </si>
  <si>
    <t>Quantity</t>
  </si>
  <si>
    <t>Conformed:</t>
  </si>
  <si>
    <t>VINCENT MICHAEL E. SALON</t>
  </si>
  <si>
    <t>End-user</t>
  </si>
  <si>
    <t>INSPECTION</t>
  </si>
  <si>
    <t>ACCEPTANCE</t>
  </si>
  <si>
    <t xml:space="preserve">Date Inspected: </t>
  </si>
  <si>
    <t>Date Received:</t>
  </si>
  <si>
    <t xml:space="preserve">  Inspected, verified and found OK</t>
  </si>
  <si>
    <t xml:space="preserve">  Complete</t>
  </si>
  <si>
    <t xml:space="preserve">  as to quantity and specifications</t>
  </si>
  <si>
    <t xml:space="preserve">  Partial</t>
  </si>
  <si>
    <t>RONNIE M. LIGUAN</t>
  </si>
  <si>
    <t>Inspection Officer</t>
  </si>
  <si>
    <t>Chairperson, Inspection Committee</t>
  </si>
  <si>
    <t>Sr. SRS</t>
  </si>
  <si>
    <t>Amount Refunded per OR No. __________ dated ____________</t>
  </si>
  <si>
    <t>VARIOUS</t>
  </si>
  <si>
    <t xml:space="preserve"> Fund Cluster : </t>
  </si>
  <si>
    <t xml:space="preserve">Fund Cluster : </t>
  </si>
  <si>
    <t>Development Division</t>
  </si>
  <si>
    <t xml:space="preserve">Liquidation of payment of piecework or pakyaw system of hiring of labors </t>
  </si>
  <si>
    <t>for the silk cocoon reeling works for the period 03-28 April 2023</t>
  </si>
  <si>
    <t>under the project "Integrating the Regional Silk Value Chain to Enable</t>
  </si>
  <si>
    <t>Enabling the Local Creative Textile Industry" amounting to…</t>
  </si>
  <si>
    <t>Compliance to the Philippine Tropical Fabrics Law (RA 9242) and in</t>
  </si>
  <si>
    <t>Chief, Research and</t>
  </si>
  <si>
    <t>JULIUS L. LEAÑO, JR.</t>
  </si>
  <si>
    <t>JAYNIE A. VILLONES</t>
  </si>
  <si>
    <t>Head, Accounting Section</t>
  </si>
  <si>
    <t>Coconut oil</t>
  </si>
  <si>
    <t>Detergent powder, mild, ≥2kg</t>
  </si>
  <si>
    <t>11/15/2023</t>
  </si>
  <si>
    <t>Breakfast, lunch, dinner, snacks (TCMO)</t>
  </si>
  <si>
    <t>11/24/2023</t>
  </si>
  <si>
    <t>00047</t>
  </si>
  <si>
    <t>11/26/2023</t>
  </si>
  <si>
    <t>CENRR</t>
  </si>
  <si>
    <t>Ororama Supercenter, Inc.</t>
  </si>
  <si>
    <t>Gaisano Puerto</t>
  </si>
  <si>
    <t>Angela Mayoan</t>
  </si>
  <si>
    <t>11/28/2023</t>
  </si>
  <si>
    <t>DB Enterprises</t>
  </si>
  <si>
    <t>11/22/2023</t>
  </si>
  <si>
    <t>Blue Water Refilling Station</t>
  </si>
  <si>
    <t>000057</t>
  </si>
  <si>
    <t>11/29/2023</t>
  </si>
  <si>
    <t>Robinsons Supermarket</t>
  </si>
  <si>
    <t>11/30/2023</t>
  </si>
  <si>
    <t>7-Eleven</t>
  </si>
  <si>
    <t>0179</t>
  </si>
  <si>
    <t>Foodbox Eatery</t>
  </si>
  <si>
    <t>11/25/2023</t>
  </si>
  <si>
    <t>New Datche Phils. Traders Corp.</t>
  </si>
  <si>
    <t>0033333/4</t>
  </si>
  <si>
    <t>Raymond Alambatin</t>
  </si>
  <si>
    <t>Paula's Hotel and Restaurant</t>
  </si>
  <si>
    <t>Room Accommodation</t>
  </si>
  <si>
    <t xml:space="preserve">Activity: Installation and commissioning of </t>
  </si>
  <si>
    <t xml:space="preserve">Silk Throwing Equipment (STE) in TCMO  </t>
  </si>
  <si>
    <t>on 23 Nov. 23 - 03 Dec. 23</t>
  </si>
  <si>
    <t>No. of pax: 2</t>
  </si>
  <si>
    <t>Fine sand and mixed sand</t>
  </si>
  <si>
    <t>11/27/2023</t>
  </si>
  <si>
    <t>Shafting rod, stainless steel, 1/2"</t>
  </si>
  <si>
    <t>Welding rod, E308L</t>
  </si>
  <si>
    <t>Ming Sheng Stainless Enterprises</t>
  </si>
  <si>
    <t>Citihardware Bacolod, Inc.</t>
  </si>
  <si>
    <t>Faucet, heavy-duty</t>
  </si>
  <si>
    <t>11/14/2023</t>
  </si>
  <si>
    <t>030192</t>
  </si>
  <si>
    <t>Bricolage Philippines, Inc.</t>
  </si>
  <si>
    <t>Steel brush</t>
  </si>
  <si>
    <t>Gear oil, no. 40</t>
  </si>
  <si>
    <t>Spindle oil, no. 12</t>
  </si>
  <si>
    <t>A's Powertech Corp.</t>
  </si>
  <si>
    <t>LCG Marketing Phils. Corp.</t>
  </si>
  <si>
    <t>HT bolt, 10x40</t>
  </si>
  <si>
    <t>HT bolt, 318x1</t>
  </si>
  <si>
    <t>J bolt, 318x 1 1/2</t>
  </si>
  <si>
    <t>HT nut, 10</t>
  </si>
  <si>
    <t>HT nut, 318</t>
  </si>
  <si>
    <t>J nut, 318</t>
  </si>
  <si>
    <t>A&amp;A - Titanium Bolts Auto Parts Supply</t>
  </si>
  <si>
    <t>Fine sand</t>
  </si>
  <si>
    <t>Sand and gravel</t>
  </si>
  <si>
    <t>11/21/2023</t>
  </si>
  <si>
    <t xml:space="preserve">Airfare, rebookable w/ baggage allowance of 20kl </t>
  </si>
  <si>
    <t>per trip</t>
  </si>
  <si>
    <t>NAIA (MNL) to Laguindingan (CGY) -  23 Nov. 2023</t>
  </si>
  <si>
    <t>Laguindingan (CGY) to NAIA (MNL) - 03 Dec. 2023</t>
  </si>
  <si>
    <t>NAIA (MNL) to Silay Airport (BCD) -  03 Dec. 2023</t>
  </si>
  <si>
    <t>Silay Airport (BCD) to NAIA (MNL) -  12 Dec. 2023</t>
  </si>
  <si>
    <t>Philippine Airlines, Inc.</t>
  </si>
  <si>
    <t>Labor (3) fee for the installation of silk throwing</t>
  </si>
  <si>
    <t>machine in TCMO from 24-27 Nov. 2023</t>
  </si>
  <si>
    <t>Roel M. Osip &amp; Mario O. Altaya</t>
  </si>
  <si>
    <t>Blu Energy Fuel Station, Inc.</t>
  </si>
  <si>
    <t>11/23/2023</t>
  </si>
  <si>
    <t>Vis Oil</t>
  </si>
  <si>
    <t>Breakfast, lunch, dinner, snacks (TUP-Visayas)</t>
  </si>
  <si>
    <t>Epicurean Partners Exchange, Inc.</t>
  </si>
  <si>
    <t>03593125</t>
  </si>
  <si>
    <t>Apexfood Ventures Corp.</t>
  </si>
  <si>
    <t>Rau Ram Café</t>
  </si>
  <si>
    <t>0105</t>
  </si>
  <si>
    <t>Dhaba Kitchen</t>
  </si>
  <si>
    <t>0106</t>
  </si>
  <si>
    <t>I.F. Indian Restaurant</t>
  </si>
  <si>
    <t>0972</t>
  </si>
  <si>
    <t>Ana'z Eatery</t>
  </si>
  <si>
    <t>0974</t>
  </si>
  <si>
    <t>A-5P9KSU5WWE48</t>
  </si>
  <si>
    <t>Grab</t>
  </si>
  <si>
    <t>Roshan Y. Raut</t>
  </si>
  <si>
    <t>Babubhai G. Marathi</t>
  </si>
  <si>
    <t>Rajeshbhai R. Pal</t>
  </si>
  <si>
    <t>07010815</t>
  </si>
  <si>
    <t>Bacolod Prime Food Corp.</t>
  </si>
  <si>
    <t xml:space="preserve">Silk Throwing Equipment (STE) in </t>
  </si>
  <si>
    <t>TUP-Visayas on 03-12 Dec. 23</t>
  </si>
  <si>
    <t>TNR Hotels Corporation</t>
  </si>
  <si>
    <t>12/13/2023</t>
  </si>
  <si>
    <t>007269</t>
  </si>
  <si>
    <t>Globe load card, P500</t>
  </si>
  <si>
    <t>P.H. Arabejo Minimart</t>
  </si>
  <si>
    <t>Pick-up and delivery service of 13 pieces shafting</t>
  </si>
  <si>
    <t>rods at 20ft/each from Cagayan de Oro to TCMO</t>
  </si>
  <si>
    <t>Justines B. Jardin, Jr.</t>
  </si>
  <si>
    <t>PM snacks, dinner</t>
  </si>
  <si>
    <t>12/15/2023</t>
  </si>
  <si>
    <t>Megoy's Eatery</t>
  </si>
  <si>
    <r>
      <t xml:space="preserve">            I hereby certify on my official oath that the foregoing is a correct and complete record of all cash disbursements had by me in my capacity as </t>
    </r>
    <r>
      <rPr>
        <u/>
        <sz val="11"/>
        <rFont val="Times New Roman"/>
        <family val="1"/>
      </rPr>
      <t>Special Disbursing Officer</t>
    </r>
    <r>
      <rPr>
        <sz val="11"/>
        <rFont val="Times New Roman"/>
        <family val="1"/>
      </rPr>
      <t xml:space="preserve"> of </t>
    </r>
    <r>
      <rPr>
        <u/>
        <sz val="11"/>
        <rFont val="Times New Roman"/>
        <family val="1"/>
      </rPr>
      <t>PTRI</t>
    </r>
    <r>
      <rPr>
        <sz val="11"/>
        <rFont val="Times New Roman"/>
        <family val="1"/>
      </rPr>
      <t xml:space="preserve"> during the period from </t>
    </r>
    <r>
      <rPr>
        <u/>
        <sz val="11"/>
        <rFont val="Times New Roman"/>
        <family val="1"/>
      </rPr>
      <t>14 November 2023 to 15 December 2023</t>
    </r>
    <r>
      <rPr>
        <sz val="11"/>
        <rFont val="Times New Roman"/>
        <family val="1"/>
      </rPr>
      <t xml:space="preserve">, inclusive, as indicated in the corresponding columns.  
</t>
    </r>
  </si>
  <si>
    <t>Period Covered 14 November 2023 - 15 December 2023</t>
  </si>
  <si>
    <t>Paint, latex, gray</t>
  </si>
  <si>
    <t>02/19/2024</t>
  </si>
  <si>
    <t>gal</t>
  </si>
  <si>
    <t>Paint roller, no. 2</t>
  </si>
  <si>
    <t>Paint brush, no. 2</t>
  </si>
  <si>
    <t>Paint, latex, white</t>
  </si>
  <si>
    <t>Cement, ≥40kg</t>
  </si>
  <si>
    <t>bag</t>
  </si>
  <si>
    <t>Vehicle rental with driver and fuel</t>
  </si>
  <si>
    <t>02/28/2024</t>
  </si>
  <si>
    <t>event on 29 February 2024</t>
  </si>
  <si>
    <t>Tarpaulin printing for the 5th Phil. Silk Summit</t>
  </si>
  <si>
    <t>02/22/2024</t>
  </si>
  <si>
    <t>Internet rental, satellite internet access, 1-day</t>
  </si>
  <si>
    <t>Date: 08 February 2024</t>
  </si>
  <si>
    <t>02/29/2024</t>
  </si>
  <si>
    <t>Professional service fee: 10-minute intermission</t>
  </si>
  <si>
    <t>number for the 5th Phil. Silk Summit</t>
  </si>
  <si>
    <t>Jamie Kristina V. Rojas</t>
  </si>
  <si>
    <t>Additional room accommodation of participants</t>
  </si>
  <si>
    <t>Maxandrea Realty, Inc.</t>
  </si>
  <si>
    <t>Lumber, 2x3x8</t>
  </si>
  <si>
    <t>Lumber, 1x2x8</t>
  </si>
  <si>
    <t>Lumber, 2x2x8</t>
  </si>
  <si>
    <t>Ordinary plywood, 1/4</t>
  </si>
  <si>
    <t>Marine plywood, 1/2</t>
  </si>
  <si>
    <t>Nails, 3</t>
  </si>
  <si>
    <t>Nails, 2 1/2</t>
  </si>
  <si>
    <t>Nails, 1</t>
  </si>
  <si>
    <t>Roof fastener, umbrella nail lengueta</t>
  </si>
  <si>
    <t>kg</t>
  </si>
  <si>
    <t>02/26/2024</t>
  </si>
  <si>
    <t>PKO Enterprises</t>
  </si>
  <si>
    <t>02/27/2024</t>
  </si>
  <si>
    <t>Token (goodies) for at least 20 media people</t>
  </si>
  <si>
    <t>Eng Seng Food Products</t>
  </si>
  <si>
    <t>Labor fee for the masonry works of pathway</t>
  </si>
  <si>
    <t>from gate entrance to TCMO office</t>
  </si>
  <si>
    <t>Lendy S. Zamayla</t>
  </si>
  <si>
    <t>Date: 29 February 2024</t>
  </si>
  <si>
    <t>Ken Michael Romarate</t>
  </si>
  <si>
    <t>Special paper, white, 200gsm</t>
  </si>
  <si>
    <t>Cagayan Educational Supply</t>
  </si>
  <si>
    <t>Wooden photo frame, A4</t>
  </si>
  <si>
    <t>D2 Prints and Creatives Corp.</t>
  </si>
  <si>
    <t>002972</t>
  </si>
  <si>
    <t>Scissor, large</t>
  </si>
  <si>
    <t>Bianca's House of Textile</t>
  </si>
  <si>
    <t>Square bar, 1x1</t>
  </si>
  <si>
    <t>Flat bar, 2"</t>
  </si>
  <si>
    <t>Malaran Coco Lumber and Mini Hardware</t>
  </si>
  <si>
    <t>Ribbon for leis</t>
  </si>
  <si>
    <t>Paint, latex, silver gray</t>
  </si>
  <si>
    <t>Compression coupling PE, 1/2"</t>
  </si>
  <si>
    <t>0189798</t>
  </si>
  <si>
    <t>002975</t>
  </si>
  <si>
    <t>Unipace Corp.</t>
  </si>
  <si>
    <t>02/16/2024</t>
  </si>
  <si>
    <t>Gabigroup, Inc.</t>
  </si>
  <si>
    <t>3D printing filament, PLA</t>
  </si>
  <si>
    <t>Acrylic enclosure for Kari dolls token with event</t>
  </si>
  <si>
    <t>title-engraved platform</t>
  </si>
  <si>
    <t>Acrykustoms Online Shop</t>
  </si>
  <si>
    <t>00107</t>
  </si>
  <si>
    <t>JL Pro Lights and Sound Rental</t>
  </si>
  <si>
    <t>Tent rental, white, 3mx6m</t>
  </si>
  <si>
    <t>Custom design fabric-covered notebook</t>
  </si>
  <si>
    <t>Custommade Crafts Center, Inc.</t>
  </si>
  <si>
    <t>02/23/2024</t>
  </si>
  <si>
    <t>0189551</t>
  </si>
  <si>
    <t>m</t>
  </si>
  <si>
    <t>Fabric for leis</t>
  </si>
  <si>
    <t>Certificate holder, A4</t>
  </si>
  <si>
    <t>Ecobag, large</t>
  </si>
  <si>
    <t>Electrical wire, no. 12</t>
  </si>
  <si>
    <t>Collapsible hose</t>
  </si>
  <si>
    <t>Electrical tape, big</t>
  </si>
  <si>
    <t>Circuit breaker, panel-type</t>
  </si>
  <si>
    <t>LED tube light with housing, ≥20W</t>
  </si>
  <si>
    <t>High-quality photo printing, photo paper, A4</t>
  </si>
  <si>
    <t>STJ Digital Printing</t>
  </si>
  <si>
    <t>Representation Expenses</t>
  </si>
  <si>
    <t>- AM Snacks; Lunch Meal</t>
  </si>
  <si>
    <t>Date: 01 March 2024</t>
  </si>
  <si>
    <t>- AM Snacks, Lunch Meal, PM Snacks</t>
  </si>
  <si>
    <t>Date: 02 March 2024</t>
  </si>
  <si>
    <t>Dexa's Cakes and Pastries</t>
  </si>
  <si>
    <t>Panagatan Restaurant Co.</t>
  </si>
  <si>
    <t>MBP Sari-sari Store</t>
  </si>
  <si>
    <t>New Villanueva Commercial District Corp.</t>
  </si>
  <si>
    <t>Sugary Momento Bakeshop, Inc.</t>
  </si>
  <si>
    <t>PE compression elbow, 40mm</t>
  </si>
  <si>
    <t>PE compression coupling, 40mm</t>
  </si>
  <si>
    <t>Water meter, brass-type</t>
  </si>
  <si>
    <t>Printing of 20 sets program briefer, glossy, A4</t>
  </si>
  <si>
    <t>Chali Beach and Resort  Corp.</t>
  </si>
  <si>
    <t>0048</t>
  </si>
  <si>
    <t>Display materials cargo storage fee</t>
  </si>
  <si>
    <t>Philippine Airlines</t>
  </si>
  <si>
    <t>Service fee for the creation of 20pcs leis to be</t>
  </si>
  <si>
    <t>used during the 5th Phil. Silk Summit event</t>
  </si>
  <si>
    <t>Marlyn G. Arabis</t>
  </si>
  <si>
    <t>0217</t>
  </si>
  <si>
    <t xml:space="preserve">Labor fee for tailoring service of 20 pieces </t>
  </si>
  <si>
    <t>Kari doll dress</t>
  </si>
  <si>
    <t>DBL Tailoring</t>
  </si>
  <si>
    <t>set</t>
  </si>
  <si>
    <t>Customized corporate polo shirts with embroidery</t>
  </si>
  <si>
    <t>0000067</t>
  </si>
  <si>
    <t>Tailoring service for 1 dress ensemble</t>
  </si>
  <si>
    <t>Krisajowin Fashion Haus</t>
  </si>
  <si>
    <t>Fernie-J Advertising Co., Inc.</t>
  </si>
  <si>
    <t>Fare expenses (tricycle) of Mr. Ehrol Bayed</t>
  </si>
  <si>
    <t>Ehrol Bayed</t>
  </si>
  <si>
    <t>Fare expenses (tricycle) of Mr. Jowel Mauricio</t>
  </si>
  <si>
    <t>Jowel Mauricio</t>
  </si>
  <si>
    <t>Fare expenses (tricycle) of Mr. Geronimo Digma</t>
  </si>
  <si>
    <t>Geronimo Digma</t>
  </si>
  <si>
    <t>Fare expenses (tricycle) of Ms. Clarissa Valdez</t>
  </si>
  <si>
    <t>Clarissa Valdez</t>
  </si>
  <si>
    <t>Fare expenses (tricycle) of Ms. Rhea Mat-an</t>
  </si>
  <si>
    <t>Rhea Mat-an</t>
  </si>
  <si>
    <t>Fare expenses (tricycle) of Ms. Andrea Aswige</t>
  </si>
  <si>
    <t>Andrea Aswige</t>
  </si>
  <si>
    <t>Fare expenses (tricycle) of Ms.Vivian Mariano</t>
  </si>
  <si>
    <t>Vivian Mariano</t>
  </si>
  <si>
    <t>Fare expenses (tricycle) of Ms. Ao-wat Florence</t>
  </si>
  <si>
    <t>Ao-wat Florence</t>
  </si>
  <si>
    <t>Fare expenses (bus) of Mr. Ehrol Bayed</t>
  </si>
  <si>
    <t>Fare expenses (bus) of Mr. Geronimo Digma</t>
  </si>
  <si>
    <t>Fare expenses (bus) of Ms. Clarissa Valdez</t>
  </si>
  <si>
    <t>Fare expenses (bus) of Ms. Rhea Mat-an</t>
  </si>
  <si>
    <t>Fare expenses (bus) of Ms. Andrea Aswige</t>
  </si>
  <si>
    <t>Fare expenses (bus) of Ms.Vivian Mariano</t>
  </si>
  <si>
    <t>Fare expenses (bus) of Ms. Ao-wat Florence</t>
  </si>
  <si>
    <t>CENNR</t>
  </si>
  <si>
    <t>Nancy Waking</t>
  </si>
  <si>
    <t>Fare expenses (bus) of Ms. Nancy Waking</t>
  </si>
  <si>
    <t>Genesis Transport Service, Inc.</t>
  </si>
  <si>
    <t>Victory Liner, Inc.</t>
  </si>
  <si>
    <t>GV Florida Transport, Inc.</t>
  </si>
  <si>
    <t>Incidental meals (breakfast) of Mr. Ehrol Bayed</t>
  </si>
  <si>
    <t>Incidental meals (breakfast) of Mr. Jowel Mauricio</t>
  </si>
  <si>
    <t>Incidental meals (breakfast) of Mr. Geronimo Digma</t>
  </si>
  <si>
    <t>Incidental meals (breakfast) of Ms. Clarissa Valdez</t>
  </si>
  <si>
    <t>Incidental meals (breakfast) of Ms. Rhea Mat-an</t>
  </si>
  <si>
    <t>Incidental meals (breakfast) of Ms. Andrea Aswige</t>
  </si>
  <si>
    <t>Incidental meals (breakfast) of Ms.Vivian Mariano</t>
  </si>
  <si>
    <t>Incidental meals (breakfast) of Ms. Ao-wat Florence</t>
  </si>
  <si>
    <t>Incidental meals (breakfast) of Ms. Nancy Waking</t>
  </si>
  <si>
    <t>Incidental meals (lunch) of Mr. Ehrol Bayed</t>
  </si>
  <si>
    <t>Incidental meals (lunch) of Mr. Jowel Mauricio</t>
  </si>
  <si>
    <t>Incidental meals (lunch) of Mr. Geronimo Digma</t>
  </si>
  <si>
    <t>Incidental meals (lunch) of Ms. Clarissa Valdez</t>
  </si>
  <si>
    <t>Incidental meals (lunch) of Ms. Rhea Mat-an</t>
  </si>
  <si>
    <t>Incidental meals (lunch) of Ms. Andrea Aswige</t>
  </si>
  <si>
    <t>Incidental meals (lunch) of Ms.Vivian Mariano</t>
  </si>
  <si>
    <t>Incidental meals (lunch) of Ms. Ao-wat Florence</t>
  </si>
  <si>
    <t>Incidental meals (lunch) of Ms. Nancy Waking</t>
  </si>
  <si>
    <t>Incidental meals (dinner) of Mr. Ehrol Bayed</t>
  </si>
  <si>
    <t>Incidental meals (dinner) of Mr. Jowel Mauricio</t>
  </si>
  <si>
    <t>Incidental meals (dinner) of Mr. Geronimo Digma</t>
  </si>
  <si>
    <t>Incidental meals (dinner) of Ms. Clarissa Valdez</t>
  </si>
  <si>
    <t>Incidental meals (dinner) of Ms. Rhea Mat-an</t>
  </si>
  <si>
    <t>Incidental meals (dinner) of Ms. Andrea Aswige</t>
  </si>
  <si>
    <t>Incidental meals (dinner) of Ms.Vivian Mariano</t>
  </si>
  <si>
    <t>Incidental meals (dinner) of Ms. Ao-wat Florence</t>
  </si>
  <si>
    <t>Incidental meals (dinner) of Ms. Nancy Waking</t>
  </si>
  <si>
    <t>03838906</t>
  </si>
  <si>
    <t>Transportpro Services, Inc.</t>
  </si>
  <si>
    <t>0157</t>
  </si>
  <si>
    <t>Carnila Travel and Tours</t>
  </si>
  <si>
    <t>24/02065</t>
  </si>
  <si>
    <t>02/21/2024</t>
  </si>
  <si>
    <t>24/02055</t>
  </si>
  <si>
    <t>02/13/2024</t>
  </si>
  <si>
    <t>Vehicle Rental with Driver and Fuel</t>
  </si>
  <si>
    <t xml:space="preserve">- Hauling of various display materials for the </t>
  </si>
  <si>
    <t>5th Philippine Silk Summit from TCMO to Cove</t>
  </si>
  <si>
    <t>Garden Resort and vice versa on 28 February</t>
  </si>
  <si>
    <t>2024 and 01 March 2024 respectively</t>
  </si>
  <si>
    <t>JUSTINES B. JARDIN, JR.</t>
  </si>
  <si>
    <t>24/020204</t>
  </si>
  <si>
    <t>FERNIE-J ADVERTISING CO., INC.</t>
  </si>
  <si>
    <t>24/020164</t>
  </si>
  <si>
    <t xml:space="preserve">Tarpaulin printing for the 5th Philippine Silk </t>
  </si>
  <si>
    <t>Summit event on 29 February 2024</t>
  </si>
  <si>
    <t>KEN MICHAEL ROMARATE</t>
  </si>
  <si>
    <t>24/02037</t>
  </si>
  <si>
    <t>Location: PTRI-TCMO</t>
  </si>
  <si>
    <t>JAMIE KRISTINA V. ROJAS</t>
  </si>
  <si>
    <t>24/02052</t>
  </si>
  <si>
    <t>Professional Service Fee:</t>
  </si>
  <si>
    <t xml:space="preserve">10-minute intermission number for the 5th </t>
  </si>
  <si>
    <t xml:space="preserve">Philippine Silk Summit event in Cagayan de Oro </t>
  </si>
  <si>
    <t>City on 29 February 2024</t>
  </si>
  <si>
    <t xml:space="preserve">Inclusive of mobilization fee, and meals &amp; snacks </t>
  </si>
  <si>
    <t>of the performers</t>
  </si>
  <si>
    <t>MAXANDREA REALTY, INC.</t>
  </si>
  <si>
    <t>Additional Room Accommodation of Participants:</t>
  </si>
  <si>
    <t>Activity: 5th Philippine Silk Summit in Cagayan de</t>
  </si>
  <si>
    <t>Oro City</t>
  </si>
  <si>
    <t>Duration: 28 February 2024 to 01 March 2024</t>
  </si>
  <si>
    <t>No. of pax: Maximum of 20 pax</t>
  </si>
  <si>
    <t xml:space="preserve">Fully air-conditioned rooms, w/ hot and cold </t>
  </si>
  <si>
    <t>shower, 24-hour cable TV, room service,</t>
  </si>
  <si>
    <t>and free breakfast</t>
  </si>
  <si>
    <t>ENG SENG FOOD PRODUCTS</t>
  </si>
  <si>
    <t>- DOST-assisted local food products in Cagayan</t>
  </si>
  <si>
    <t>de Oro City</t>
  </si>
  <si>
    <t>LENDY S. ZAMAYLA</t>
  </si>
  <si>
    <t xml:space="preserve">Location: Chali Beach and Resort, Cugman, </t>
  </si>
  <si>
    <t>Cagayan de Oro City</t>
  </si>
  <si>
    <t>Inclusive of ethernet adapter</t>
  </si>
  <si>
    <t>MALARAN COCO LUMBER &amp; MINI HARDWARE</t>
  </si>
  <si>
    <t>PKO ENTERPRISES</t>
  </si>
  <si>
    <t>Time: 09AM-10:00AM; 11AM-01PM</t>
  </si>
  <si>
    <t>Place: PTRI-TCMO; Opol, Cagayan de Oro</t>
  </si>
  <si>
    <t>Time: 08AM-05:00PM</t>
  </si>
  <si>
    <t>Place: PTRI-TCMO</t>
  </si>
  <si>
    <t>GABIGROUP INC.</t>
  </si>
  <si>
    <t>24/01024</t>
  </si>
  <si>
    <t>01/30/2024</t>
  </si>
  <si>
    <t xml:space="preserve">3D printing filament, PLA, </t>
  </si>
  <si>
    <t>JL PRO LIGHTS AND SOUND RENTAL</t>
  </si>
  <si>
    <t>Inclusive of mobilization fee, and installation at</t>
  </si>
  <si>
    <t>DOST-PTRI, Brgy. Imelda, Villanueva, Mis. Or.</t>
  </si>
  <si>
    <t>CUSTOMMADE CRAFTS CENTER, INC.</t>
  </si>
  <si>
    <t>STJ DIGITAL PRINTING</t>
  </si>
  <si>
    <t>CHALI BEACH AND RESORT CORP.</t>
  </si>
  <si>
    <t>ACRYKUSTOMS ONLINE SHOP</t>
  </si>
  <si>
    <t>24/02067</t>
  </si>
  <si>
    <t>0000048</t>
  </si>
  <si>
    <t>PHILIPPINE AIRLINES</t>
  </si>
  <si>
    <t>MARLYN G. ARABIS</t>
  </si>
  <si>
    <t>DBL TAILORING</t>
  </si>
  <si>
    <t>0216</t>
  </si>
  <si>
    <t>Customized Corporate Polo Shirts with Embroidery</t>
  </si>
  <si>
    <t>Material: Honeycomb</t>
  </si>
  <si>
    <t>Color: Royal Blue</t>
  </si>
  <si>
    <t>Embroidery: Seda Pilipinas logo, PTRI logo, and</t>
  </si>
  <si>
    <t>and DOST-PTRI lettering</t>
  </si>
  <si>
    <t xml:space="preserve">Inclusive of VAT and delivery to DOST-PTRI, Gen. </t>
  </si>
  <si>
    <t>Santos Ave., Bicutan, Taguig City</t>
  </si>
  <si>
    <t>KRISAJOWIN FASHION HAUS</t>
  </si>
  <si>
    <t xml:space="preserve">Fare expenses (PUV) of seri-farmers and </t>
  </si>
  <si>
    <t xml:space="preserve">weavers to attend 5th Philippine Silk Summit </t>
  </si>
  <si>
    <t>happening on 29 February 2024</t>
  </si>
  <si>
    <t xml:space="preserve">Incidental meals of seri-farmers and weavers </t>
  </si>
  <si>
    <t xml:space="preserve">attending 5th Philippine Silk Summit from 28 </t>
  </si>
  <si>
    <t>February 2024 to 02 March 2024</t>
  </si>
  <si>
    <t>Mae Sweets Home Baker Cakes</t>
  </si>
  <si>
    <t xml:space="preserve"> &amp; Pastries Corner</t>
  </si>
  <si>
    <t>Fare expenses (taxi) of Ms. Nancy Waking</t>
  </si>
  <si>
    <t>0145</t>
  </si>
  <si>
    <t>Silk wearable top, yellow ginger dyed</t>
  </si>
  <si>
    <t>Charuel Creative Atelier, Inc.</t>
  </si>
  <si>
    <t>Handloom woven silk scarf, yellow ginger dyed</t>
  </si>
  <si>
    <t xml:space="preserve">Payment of fresh cocoons from the ff. </t>
  </si>
  <si>
    <t>seri-farmer-partner:</t>
  </si>
  <si>
    <t>CDORSHP IV - Mr. Arabis (Balubal, CDOC)</t>
  </si>
  <si>
    <t>TAFAI - Mr. Cobero (Tagpangi, CDOC)</t>
  </si>
  <si>
    <t>Ms. Celeste Querijero (Opol, Mis. Or.)</t>
  </si>
  <si>
    <t>Ms. Florisa Docuyan (Ane-I, Claveria, Mis. Or.)</t>
  </si>
  <si>
    <t>Mr. Lamba (Kalawitan, Claveria, Mis. Or.)</t>
  </si>
  <si>
    <t>Mr. Baguiz (Sioan, Malinao, Gingoog City)</t>
  </si>
  <si>
    <t>02/25/2024</t>
  </si>
  <si>
    <t>Castillo Cobero</t>
  </si>
  <si>
    <t>Antonio Arabis</t>
  </si>
  <si>
    <t>Celeste Querijero</t>
  </si>
  <si>
    <t>Florisa Docuyan</t>
  </si>
  <si>
    <t>Florentino Lamba</t>
  </si>
  <si>
    <t>Felisa Loverio</t>
  </si>
  <si>
    <t>Additional van rental</t>
  </si>
  <si>
    <r>
      <t>is issued as supporting paper for the liquidation amounting to</t>
    </r>
    <r>
      <rPr>
        <b/>
        <sz val="10"/>
        <rFont val="Calibri"/>
        <family val="2"/>
      </rPr>
      <t xml:space="preserve"> Three Hundred Thousand Pesos Only (Php 300,000.00)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</si>
</sst>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[$Php-3409]* #,##0.00_);_([$Php-3409]* \(#,##0.00\);_([$Php-3409]* &quot;-&quot;??_);_(@_)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6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i/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5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u/>
      <sz val="11"/>
      <name val="Times New Roman"/>
      <family val="1"/>
    </font>
    <font>
      <b/>
      <i/>
      <sz val="11"/>
      <color indexed="8"/>
      <name val="Times New Roman"/>
      <family val="1"/>
    </font>
    <font>
      <u/>
      <sz val="11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0"/>
      <color indexed="8"/>
      <name val="Calibri"/>
      <family val="2"/>
    </font>
    <font>
      <i/>
      <sz val="10"/>
      <name val="Calibri"/>
      <family val="2"/>
      <scheme val="minor"/>
    </font>
    <font>
      <u/>
      <sz val="8"/>
      <name val="Arial"/>
      <family val="2"/>
    </font>
    <font>
      <u/>
      <sz val="10"/>
      <name val="Arial"/>
      <family val="2"/>
    </font>
    <font>
      <u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1443">
    <xf numFmtId="0" fontId="0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1" fillId="0" borderId="0" applyFont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0" fontId="31" fillId="0" borderId="0" applyFont="0" applyFill="0" applyBorder="0" applyAlignment="0" applyProtection="0"/>
    <xf numFmtId="164" fontId="29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29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29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29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29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31" fillId="0" borderId="0"/>
    <xf numFmtId="0" fontId="31" fillId="0" borderId="0"/>
    <xf numFmtId="0" fontId="7" fillId="0" borderId="0"/>
    <xf numFmtId="0" fontId="29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29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 applyFont="0" applyFill="0" applyBorder="0" applyAlignment="0" applyProtection="0"/>
    <xf numFmtId="164" fontId="7" fillId="0" borderId="0" applyFill="0" applyBorder="0" applyAlignment="0" applyProtection="0"/>
    <xf numFmtId="0" fontId="4" fillId="0" borderId="0"/>
    <xf numFmtId="0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7" fillId="0" borderId="0"/>
    <xf numFmtId="164" fontId="3" fillId="0" borderId="0" applyFont="0" applyFill="0" applyBorder="0" applyAlignment="0" applyProtection="0"/>
    <xf numFmtId="0" fontId="2" fillId="0" borderId="0"/>
  </cellStyleXfs>
  <cellXfs count="422">
    <xf numFmtId="0" fontId="0" fillId="0" borderId="0" xfId="0"/>
    <xf numFmtId="14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164" fontId="36" fillId="0" borderId="1" xfId="1" applyFont="1" applyBorder="1" applyAlignment="1">
      <alignment vertical="center"/>
    </xf>
    <xf numFmtId="164" fontId="36" fillId="0" borderId="0" xfId="1" applyFont="1" applyBorder="1" applyAlignment="1">
      <alignment horizontal="left"/>
    </xf>
    <xf numFmtId="0" fontId="9" fillId="0" borderId="0" xfId="400" applyFill="1"/>
    <xf numFmtId="0" fontId="36" fillId="0" borderId="0" xfId="0" applyFont="1" applyAlignment="1">
      <alignment vertical="center"/>
    </xf>
    <xf numFmtId="0" fontId="35" fillId="0" borderId="0" xfId="0" applyFont="1"/>
    <xf numFmtId="0" fontId="39" fillId="0" borderId="0" xfId="818" applyFont="1"/>
    <xf numFmtId="0" fontId="14" fillId="0" borderId="0" xfId="818" applyFont="1" applyAlignment="1">
      <alignment horizontal="right" vertical="center"/>
    </xf>
    <xf numFmtId="0" fontId="17" fillId="0" borderId="0" xfId="818" applyFont="1" applyAlignment="1">
      <alignment horizontal="center"/>
    </xf>
    <xf numFmtId="0" fontId="16" fillId="0" borderId="0" xfId="818" applyFont="1" applyAlignment="1">
      <alignment horizontal="left"/>
    </xf>
    <xf numFmtId="0" fontId="17" fillId="0" borderId="0" xfId="818" applyFont="1"/>
    <xf numFmtId="0" fontId="18" fillId="0" borderId="0" xfId="818" applyFont="1"/>
    <xf numFmtId="0" fontId="17" fillId="0" borderId="0" xfId="818" applyFont="1" applyAlignment="1">
      <alignment horizontal="left" indent="6"/>
    </xf>
    <xf numFmtId="0" fontId="35" fillId="0" borderId="0" xfId="818" applyFont="1"/>
    <xf numFmtId="0" fontId="18" fillId="0" borderId="0" xfId="818" applyFont="1" applyAlignment="1">
      <alignment horizontal="left"/>
    </xf>
    <xf numFmtId="0" fontId="39" fillId="0" borderId="0" xfId="818" applyFont="1" applyAlignment="1">
      <alignment horizontal="left"/>
    </xf>
    <xf numFmtId="0" fontId="13" fillId="0" borderId="0" xfId="818" applyFont="1" applyAlignment="1">
      <alignment vertical="center" textRotation="180"/>
    </xf>
    <xf numFmtId="0" fontId="7" fillId="0" borderId="0" xfId="818" applyFont="1"/>
    <xf numFmtId="0" fontId="7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164" fontId="8" fillId="0" borderId="11" xfId="1" applyFont="1" applyBorder="1"/>
    <xf numFmtId="164" fontId="0" fillId="0" borderId="11" xfId="1" applyFont="1" applyBorder="1"/>
    <xf numFmtId="164" fontId="8" fillId="0" borderId="11" xfId="0" applyNumberFormat="1" applyFont="1" applyBorder="1"/>
    <xf numFmtId="0" fontId="0" fillId="0" borderId="12" xfId="0" applyBorder="1"/>
    <xf numFmtId="0" fontId="28" fillId="0" borderId="6" xfId="0" applyFont="1" applyBorder="1"/>
    <xf numFmtId="164" fontId="0" fillId="0" borderId="7" xfId="1" applyFont="1" applyBorder="1"/>
    <xf numFmtId="164" fontId="0" fillId="0" borderId="4" xfId="1" applyFont="1" applyBorder="1"/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 indent="2"/>
    </xf>
    <xf numFmtId="0" fontId="18" fillId="0" borderId="3" xfId="818" applyFont="1" applyBorder="1" applyAlignment="1">
      <alignment horizontal="center"/>
    </xf>
    <xf numFmtId="0" fontId="35" fillId="0" borderId="1" xfId="818" applyFont="1" applyBorder="1" applyAlignment="1">
      <alignment horizontal="left" vertical="center" wrapText="1"/>
    </xf>
    <xf numFmtId="0" fontId="18" fillId="0" borderId="5" xfId="818" applyFont="1" applyBorder="1"/>
    <xf numFmtId="0" fontId="18" fillId="0" borderId="5" xfId="818" applyFont="1" applyBorder="1" applyAlignment="1">
      <alignment horizontal="left"/>
    </xf>
    <xf numFmtId="0" fontId="18" fillId="0" borderId="1" xfId="818" applyFont="1" applyBorder="1" applyAlignment="1">
      <alignment vertical="center"/>
    </xf>
    <xf numFmtId="0" fontId="18" fillId="0" borderId="8" xfId="818" applyFont="1" applyBorder="1"/>
    <xf numFmtId="0" fontId="18" fillId="0" borderId="9" xfId="818" applyFont="1" applyBorder="1"/>
    <xf numFmtId="0" fontId="18" fillId="0" borderId="9" xfId="818" applyFont="1" applyBorder="1" applyAlignment="1">
      <alignment horizontal="left"/>
    </xf>
    <xf numFmtId="0" fontId="18" fillId="0" borderId="10" xfId="818" applyFont="1" applyBorder="1" applyAlignment="1">
      <alignment horizontal="left"/>
    </xf>
    <xf numFmtId="0" fontId="18" fillId="0" borderId="11" xfId="818" applyFont="1" applyBorder="1" applyAlignment="1">
      <alignment horizontal="left"/>
    </xf>
    <xf numFmtId="0" fontId="18" fillId="0" borderId="11" xfId="818" applyFont="1" applyBorder="1"/>
    <xf numFmtId="0" fontId="18" fillId="0" borderId="2" xfId="818" applyFont="1" applyBorder="1"/>
    <xf numFmtId="0" fontId="18" fillId="0" borderId="3" xfId="818" applyFont="1" applyBorder="1"/>
    <xf numFmtId="0" fontId="18" fillId="0" borderId="4" xfId="818" applyFont="1" applyBorder="1"/>
    <xf numFmtId="49" fontId="24" fillId="0" borderId="0" xfId="818" applyNumberFormat="1" applyFont="1" applyAlignment="1">
      <alignment horizontal="center"/>
    </xf>
    <xf numFmtId="0" fontId="36" fillId="0" borderId="0" xfId="0" applyFont="1" applyAlignment="1">
      <alignment horizontal="left" vertical="center"/>
    </xf>
    <xf numFmtId="0" fontId="34" fillId="0" borderId="0" xfId="402" applyFont="1" applyAlignment="1">
      <alignment horizontal="centerContinuous"/>
    </xf>
    <xf numFmtId="0" fontId="35" fillId="0" borderId="0" xfId="402" applyFont="1" applyAlignment="1">
      <alignment horizontal="centerContinuous"/>
    </xf>
    <xf numFmtId="0" fontId="35" fillId="0" borderId="0" xfId="402" applyFont="1"/>
    <xf numFmtId="0" fontId="6" fillId="0" borderId="1" xfId="402" applyFont="1" applyBorder="1" applyAlignment="1">
      <alignment horizontal="center"/>
    </xf>
    <xf numFmtId="0" fontId="7" fillId="0" borderId="0" xfId="402"/>
    <xf numFmtId="14" fontId="35" fillId="0" borderId="1" xfId="402" applyNumberFormat="1" applyFont="1" applyBorder="1" applyAlignment="1">
      <alignment horizontal="left" indent="1"/>
    </xf>
    <xf numFmtId="0" fontId="35" fillId="0" borderId="1" xfId="402" applyFont="1" applyBorder="1" applyAlignment="1">
      <alignment horizontal="left" indent="1"/>
    </xf>
    <xf numFmtId="0" fontId="35" fillId="0" borderId="1" xfId="402" applyFont="1" applyBorder="1" applyAlignment="1">
      <alignment horizontal="center"/>
    </xf>
    <xf numFmtId="0" fontId="36" fillId="0" borderId="14" xfId="402" applyFont="1" applyBorder="1" applyAlignment="1">
      <alignment vertical="center"/>
    </xf>
    <xf numFmtId="0" fontId="36" fillId="0" borderId="0" xfId="402" applyFont="1" applyAlignment="1">
      <alignment vertical="center"/>
    </xf>
    <xf numFmtId="14" fontId="35" fillId="0" borderId="1" xfId="402" applyNumberFormat="1" applyFont="1" applyBorder="1" applyAlignment="1">
      <alignment horizontal="center" vertical="center"/>
    </xf>
    <xf numFmtId="0" fontId="35" fillId="0" borderId="1" xfId="402" quotePrefix="1" applyFont="1" applyBorder="1" applyAlignment="1">
      <alignment horizontal="left" vertical="center" indent="1"/>
    </xf>
    <xf numFmtId="0" fontId="36" fillId="0" borderId="1" xfId="1434" applyFont="1" applyBorder="1" applyAlignment="1">
      <alignment horizontal="center" vertical="center"/>
    </xf>
    <xf numFmtId="0" fontId="35" fillId="0" borderId="6" xfId="402" applyFont="1" applyBorder="1" applyAlignment="1">
      <alignment horizontal="center" vertical="center"/>
    </xf>
    <xf numFmtId="164" fontId="10" fillId="0" borderId="1" xfId="1435" applyFont="1" applyBorder="1" applyAlignment="1">
      <alignment horizontal="right" vertical="center"/>
    </xf>
    <xf numFmtId="0" fontId="37" fillId="0" borderId="0" xfId="402" applyFont="1"/>
    <xf numFmtId="14" fontId="35" fillId="0" borderId="2" xfId="402" quotePrefix="1" applyNumberFormat="1" applyFont="1" applyBorder="1" applyAlignment="1">
      <alignment horizontal="center"/>
    </xf>
    <xf numFmtId="0" fontId="38" fillId="0" borderId="3" xfId="402" quotePrefix="1" applyFont="1" applyBorder="1" applyAlignment="1">
      <alignment horizontal="center"/>
    </xf>
    <xf numFmtId="0" fontId="38" fillId="0" borderId="3" xfId="402" quotePrefix="1" applyFont="1" applyBorder="1" applyAlignment="1">
      <alignment horizontal="right" indent="1"/>
    </xf>
    <xf numFmtId="0" fontId="35" fillId="0" borderId="3" xfId="402" applyFont="1" applyBorder="1" applyAlignment="1">
      <alignment horizontal="center"/>
    </xf>
    <xf numFmtId="0" fontId="37" fillId="0" borderId="3" xfId="402" applyFont="1" applyBorder="1"/>
    <xf numFmtId="14" fontId="35" fillId="0" borderId="0" xfId="402" quotePrefix="1" applyNumberFormat="1" applyFont="1" applyAlignment="1">
      <alignment horizontal="center"/>
    </xf>
    <xf numFmtId="0" fontId="38" fillId="0" borderId="0" xfId="402" quotePrefix="1" applyFont="1" applyAlignment="1">
      <alignment horizontal="center"/>
    </xf>
    <xf numFmtId="0" fontId="38" fillId="0" borderId="0" xfId="402" quotePrefix="1" applyFont="1" applyAlignment="1">
      <alignment horizontal="right" indent="1"/>
    </xf>
    <xf numFmtId="0" fontId="35" fillId="0" borderId="0" xfId="402" applyFont="1" applyAlignment="1">
      <alignment horizontal="center"/>
    </xf>
    <xf numFmtId="0" fontId="34" fillId="0" borderId="0" xfId="402" applyFont="1" applyAlignment="1">
      <alignment horizontal="center"/>
    </xf>
    <xf numFmtId="0" fontId="35" fillId="0" borderId="0" xfId="402" applyFont="1" applyAlignment="1">
      <alignment horizontal="left" vertical="top"/>
    </xf>
    <xf numFmtId="0" fontId="37" fillId="0" borderId="0" xfId="402" applyFont="1" applyAlignment="1">
      <alignment horizontal="left" vertical="top"/>
    </xf>
    <xf numFmtId="0" fontId="35" fillId="0" borderId="0" xfId="402" applyFont="1" applyAlignment="1">
      <alignment horizontal="left"/>
    </xf>
    <xf numFmtId="0" fontId="10" fillId="0" borderId="0" xfId="402" applyFont="1"/>
    <xf numFmtId="0" fontId="18" fillId="0" borderId="0" xfId="1436" applyFont="1"/>
    <xf numFmtId="0" fontId="4" fillId="0" borderId="0" xfId="1436"/>
    <xf numFmtId="0" fontId="14" fillId="0" borderId="0" xfId="1436" applyFont="1" applyAlignment="1">
      <alignment horizontal="right" vertical="center"/>
    </xf>
    <xf numFmtId="0" fontId="14" fillId="0" borderId="0" xfId="1436" applyFont="1" applyAlignment="1">
      <alignment horizontal="right"/>
    </xf>
    <xf numFmtId="0" fontId="15" fillId="0" borderId="0" xfId="1436" applyFont="1" applyAlignment="1">
      <alignment horizontal="center"/>
    </xf>
    <xf numFmtId="0" fontId="20" fillId="0" borderId="0" xfId="1436" applyFont="1" applyAlignment="1">
      <alignment horizontal="center"/>
    </xf>
    <xf numFmtId="0" fontId="21" fillId="0" borderId="0" xfId="1436" applyFont="1" applyAlignment="1">
      <alignment horizontal="center"/>
    </xf>
    <xf numFmtId="0" fontId="17" fillId="0" borderId="0" xfId="1436" applyFont="1" applyAlignment="1">
      <alignment horizontal="left"/>
    </xf>
    <xf numFmtId="0" fontId="18" fillId="0" borderId="0" xfId="446" applyFont="1" applyAlignment="1">
      <alignment horizontal="center"/>
    </xf>
    <xf numFmtId="0" fontId="33" fillId="0" borderId="0" xfId="1436" applyFont="1" applyAlignment="1">
      <alignment vertical="center"/>
    </xf>
    <xf numFmtId="0" fontId="33" fillId="0" borderId="0" xfId="1436" applyFont="1"/>
    <xf numFmtId="14" fontId="35" fillId="0" borderId="1" xfId="1436" quotePrefix="1" applyNumberFormat="1" applyFont="1" applyBorder="1" applyAlignment="1">
      <alignment horizontal="center"/>
    </xf>
    <xf numFmtId="0" fontId="35" fillId="0" borderId="1" xfId="1436" quotePrefix="1" applyFont="1" applyBorder="1" applyAlignment="1">
      <alignment horizontal="center"/>
    </xf>
    <xf numFmtId="0" fontId="18" fillId="0" borderId="1" xfId="1436" applyFont="1" applyBorder="1"/>
    <xf numFmtId="164" fontId="35" fillId="0" borderId="1" xfId="1437" applyNumberFormat="1" applyFont="1" applyBorder="1"/>
    <xf numFmtId="164" fontId="18" fillId="0" borderId="1" xfId="1437" applyNumberFormat="1" applyFont="1" applyBorder="1"/>
    <xf numFmtId="0" fontId="18" fillId="0" borderId="6" xfId="1436" applyFont="1" applyBorder="1" applyAlignment="1">
      <alignment horizontal="center"/>
    </xf>
    <xf numFmtId="0" fontId="18" fillId="0" borderId="5" xfId="1436" applyFont="1" applyBorder="1"/>
    <xf numFmtId="0" fontId="18" fillId="0" borderId="11" xfId="1436" applyFont="1" applyBorder="1"/>
    <xf numFmtId="0" fontId="4" fillId="0" borderId="5" xfId="1436" applyBorder="1"/>
    <xf numFmtId="0" fontId="18" fillId="0" borderId="2" xfId="1436" applyFont="1" applyBorder="1"/>
    <xf numFmtId="0" fontId="18" fillId="0" borderId="3" xfId="1436" applyFont="1" applyBorder="1"/>
    <xf numFmtId="0" fontId="18" fillId="0" borderId="4" xfId="1436" applyFont="1" applyBorder="1"/>
    <xf numFmtId="0" fontId="21" fillId="0" borderId="0" xfId="1436" applyFont="1"/>
    <xf numFmtId="0" fontId="25" fillId="0" borderId="0" xfId="1436" applyFont="1"/>
    <xf numFmtId="0" fontId="18" fillId="0" borderId="7" xfId="1436" applyFont="1" applyBorder="1"/>
    <xf numFmtId="0" fontId="27" fillId="0" borderId="0" xfId="0" applyFont="1" applyAlignment="1">
      <alignment horizontal="right"/>
    </xf>
    <xf numFmtId="14" fontId="7" fillId="0" borderId="7" xfId="0" applyNumberFormat="1" applyFont="1" applyBorder="1" applyAlignment="1">
      <alignment horizontal="right"/>
    </xf>
    <xf numFmtId="43" fontId="7" fillId="0" borderId="0" xfId="402" applyNumberFormat="1"/>
    <xf numFmtId="0" fontId="35" fillId="0" borderId="6" xfId="402" applyFont="1" applyBorder="1" applyAlignment="1">
      <alignment horizontal="center"/>
    </xf>
    <xf numFmtId="14" fontId="35" fillId="0" borderId="1" xfId="402" applyNumberFormat="1" applyFont="1" applyBorder="1" applyAlignment="1">
      <alignment horizontal="left" vertical="center" indent="1"/>
    </xf>
    <xf numFmtId="0" fontId="35" fillId="0" borderId="1" xfId="402" quotePrefix="1" applyFont="1" applyBorder="1" applyAlignment="1">
      <alignment horizontal="left" indent="1"/>
    </xf>
    <xf numFmtId="0" fontId="35" fillId="0" borderId="1" xfId="0" applyFont="1" applyBorder="1" applyAlignment="1">
      <alignment horizontal="left" vertical="top"/>
    </xf>
    <xf numFmtId="0" fontId="35" fillId="0" borderId="14" xfId="0" applyFont="1" applyBorder="1" applyAlignment="1">
      <alignment horizontal="left" vertical="top"/>
    </xf>
    <xf numFmtId="164" fontId="7" fillId="0" borderId="0" xfId="1"/>
    <xf numFmtId="0" fontId="18" fillId="0" borderId="1" xfId="1436" applyFont="1" applyBorder="1" applyAlignment="1">
      <alignment horizontal="center"/>
    </xf>
    <xf numFmtId="164" fontId="36" fillId="0" borderId="1" xfId="1" applyFont="1" applyFill="1" applyBorder="1"/>
    <xf numFmtId="164" fontId="10" fillId="0" borderId="1" xfId="1435" applyFont="1" applyFill="1" applyBorder="1" applyAlignment="1">
      <alignment horizontal="right" vertical="center"/>
    </xf>
    <xf numFmtId="164" fontId="7" fillId="0" borderId="0" xfId="402" applyNumberFormat="1"/>
    <xf numFmtId="14" fontId="35" fillId="0" borderId="1" xfId="402" applyNumberFormat="1" applyFont="1" applyBorder="1" applyAlignment="1">
      <alignment horizontal="center"/>
    </xf>
    <xf numFmtId="0" fontId="36" fillId="0" borderId="6" xfId="402" applyFont="1" applyBorder="1" applyAlignment="1">
      <alignment vertical="center"/>
    </xf>
    <xf numFmtId="0" fontId="35" fillId="0" borderId="1" xfId="402" applyFont="1" applyBorder="1"/>
    <xf numFmtId="0" fontId="36" fillId="0" borderId="1" xfId="402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justify" vertical="center"/>
    </xf>
    <xf numFmtId="0" fontId="45" fillId="0" borderId="0" xfId="0" applyFont="1" applyAlignment="1">
      <alignment horizontal="left" vertical="center" indent="28"/>
    </xf>
    <xf numFmtId="0" fontId="44" fillId="0" borderId="0" xfId="0" applyFont="1" applyAlignment="1">
      <alignment horizontal="left" vertical="center" indent="28"/>
    </xf>
    <xf numFmtId="0" fontId="44" fillId="0" borderId="0" xfId="0" applyFont="1" applyAlignment="1">
      <alignment horizontal="left" vertical="center" indent="15"/>
    </xf>
    <xf numFmtId="0" fontId="44" fillId="0" borderId="0" xfId="0" applyFont="1" applyAlignment="1">
      <alignment horizontal="justify" vertical="center"/>
    </xf>
    <xf numFmtId="164" fontId="8" fillId="0" borderId="4" xfId="1" applyFont="1" applyFill="1" applyBorder="1"/>
    <xf numFmtId="164" fontId="8" fillId="0" borderId="0" xfId="1" applyFont="1" applyFill="1" applyBorder="1"/>
    <xf numFmtId="0" fontId="8" fillId="0" borderId="0" xfId="0" applyFont="1"/>
    <xf numFmtId="0" fontId="7" fillId="0" borderId="3" xfId="0" applyFont="1" applyBorder="1"/>
    <xf numFmtId="14" fontId="7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7" fillId="0" borderId="4" xfId="0" applyNumberFormat="1" applyFont="1" applyBorder="1"/>
    <xf numFmtId="0" fontId="7" fillId="0" borderId="2" xfId="0" applyFont="1" applyBorder="1"/>
    <xf numFmtId="0" fontId="7" fillId="0" borderId="4" xfId="0" applyFont="1" applyBorder="1"/>
    <xf numFmtId="0" fontId="47" fillId="0" borderId="5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8" fillId="0" borderId="0" xfId="0" applyFont="1"/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center"/>
    </xf>
    <xf numFmtId="0" fontId="35" fillId="0" borderId="0" xfId="0" applyFont="1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indent="1"/>
    </xf>
    <xf numFmtId="0" fontId="35" fillId="0" borderId="0" xfId="446" applyFont="1" applyAlignment="1">
      <alignment horizontal="left" indent="1"/>
    </xf>
    <xf numFmtId="0" fontId="35" fillId="0" borderId="5" xfId="0" applyFont="1" applyBorder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left" vertical="center" indent="1"/>
    </xf>
    <xf numFmtId="164" fontId="36" fillId="0" borderId="0" xfId="1" applyFont="1" applyBorder="1" applyAlignment="1">
      <alignment horizontal="center" vertical="center"/>
    </xf>
    <xf numFmtId="0" fontId="34" fillId="0" borderId="0" xfId="0" applyFont="1"/>
    <xf numFmtId="0" fontId="35" fillId="0" borderId="0" xfId="0" applyFont="1" applyAlignment="1">
      <alignment horizontal="center"/>
    </xf>
    <xf numFmtId="0" fontId="35" fillId="0" borderId="5" xfId="0" applyFont="1" applyBorder="1" applyAlignment="1">
      <alignment horizontal="left" indent="1"/>
    </xf>
    <xf numFmtId="0" fontId="36" fillId="0" borderId="11" xfId="0" applyFont="1" applyBorder="1" applyAlignment="1">
      <alignment vertical="center"/>
    </xf>
    <xf numFmtId="0" fontId="35" fillId="0" borderId="5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6" fillId="0" borderId="5" xfId="0" applyFont="1" applyBorder="1" applyAlignment="1">
      <alignment horizontal="left" vertical="center" indent="1"/>
    </xf>
    <xf numFmtId="0" fontId="36" fillId="0" borderId="5" xfId="0" applyFont="1" applyBorder="1" applyAlignment="1">
      <alignment horizontal="left" vertical="center" indent="2"/>
    </xf>
    <xf numFmtId="0" fontId="35" fillId="0" borderId="0" xfId="0" applyFont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164" fontId="7" fillId="0" borderId="3" xfId="1" applyFont="1" applyBorder="1"/>
    <xf numFmtId="0" fontId="47" fillId="0" borderId="6" xfId="0" applyFont="1" applyBorder="1" applyAlignment="1">
      <alignment horizontal="left"/>
    </xf>
    <xf numFmtId="0" fontId="47" fillId="0" borderId="3" xfId="0" applyFont="1" applyBorder="1" applyAlignment="1">
      <alignment horizontal="left"/>
    </xf>
    <xf numFmtId="0" fontId="47" fillId="0" borderId="3" xfId="0" applyFont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7" fillId="0" borderId="0" xfId="0" applyFont="1"/>
    <xf numFmtId="0" fontId="7" fillId="0" borderId="11" xfId="0" applyFont="1" applyBorder="1"/>
    <xf numFmtId="0" fontId="7" fillId="0" borderId="5" xfId="0" applyFont="1" applyBorder="1" applyAlignment="1">
      <alignment horizontal="left" indent="3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35" fillId="0" borderId="5" xfId="446" applyFont="1" applyBorder="1" applyAlignment="1">
      <alignment horizontal="left" inden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5" xfId="0" applyFont="1" applyBorder="1" applyAlignment="1">
      <alignment horizontal="left" indent="1"/>
    </xf>
    <xf numFmtId="0" fontId="36" fillId="0" borderId="1" xfId="0" applyFont="1" applyBorder="1" applyAlignment="1">
      <alignment horizontal="left"/>
    </xf>
    <xf numFmtId="0" fontId="36" fillId="0" borderId="1" xfId="0" applyFont="1" applyBorder="1"/>
    <xf numFmtId="0" fontId="36" fillId="0" borderId="1" xfId="818" applyFont="1" applyBorder="1" applyAlignment="1">
      <alignment horizontal="left"/>
    </xf>
    <xf numFmtId="0" fontId="35" fillId="0" borderId="1" xfId="1439" applyFont="1" applyBorder="1" applyAlignment="1">
      <alignment vertical="center"/>
    </xf>
    <xf numFmtId="0" fontId="46" fillId="0" borderId="3" xfId="0" applyFont="1" applyBorder="1"/>
    <xf numFmtId="14" fontId="8" fillId="0" borderId="3" xfId="0" applyNumberFormat="1" applyFont="1" applyBorder="1" applyAlignment="1">
      <alignment horizontal="center"/>
    </xf>
    <xf numFmtId="0" fontId="8" fillId="0" borderId="3" xfId="0" quotePrefix="1" applyFont="1" applyBorder="1" applyAlignment="1">
      <alignment horizontal="center" wrapText="1"/>
    </xf>
    <xf numFmtId="14" fontId="8" fillId="0" borderId="4" xfId="0" applyNumberFormat="1" applyFont="1" applyBorder="1" applyAlignment="1">
      <alignment horizontal="center" wrapText="1"/>
    </xf>
    <xf numFmtId="0" fontId="36" fillId="0" borderId="18" xfId="0" applyFont="1" applyBorder="1" applyAlignment="1">
      <alignment horizontal="left" indent="1"/>
    </xf>
    <xf numFmtId="14" fontId="8" fillId="0" borderId="4" xfId="0" applyNumberFormat="1" applyFont="1" applyBorder="1" applyAlignment="1">
      <alignment horizontal="left" wrapText="1"/>
    </xf>
    <xf numFmtId="0" fontId="36" fillId="0" borderId="5" xfId="0" applyFont="1" applyBorder="1" applyAlignment="1">
      <alignment horizontal="left" indent="1"/>
    </xf>
    <xf numFmtId="0" fontId="36" fillId="0" borderId="5" xfId="0" quotePrefix="1" applyFont="1" applyBorder="1" applyAlignment="1">
      <alignment horizontal="left" indent="1"/>
    </xf>
    <xf numFmtId="0" fontId="43" fillId="0" borderId="19" xfId="0" quotePrefix="1" applyFont="1" applyBorder="1"/>
    <xf numFmtId="0" fontId="36" fillId="0" borderId="19" xfId="0" quotePrefix="1" applyFont="1" applyBorder="1" applyAlignment="1">
      <alignment horizontal="left" indent="1"/>
    </xf>
    <xf numFmtId="0" fontId="36" fillId="0" borderId="5" xfId="818" applyFont="1" applyBorder="1" applyAlignment="1">
      <alignment horizontal="left" indent="1"/>
    </xf>
    <xf numFmtId="0" fontId="54" fillId="0" borderId="5" xfId="818" applyFont="1" applyBorder="1" applyAlignment="1">
      <alignment horizontal="left" indent="1"/>
    </xf>
    <xf numFmtId="0" fontId="36" fillId="0" borderId="6" xfId="0" applyFont="1" applyBorder="1"/>
    <xf numFmtId="0" fontId="36" fillId="0" borderId="6" xfId="818" applyFont="1" applyBorder="1" applyAlignment="1">
      <alignment horizontal="left"/>
    </xf>
    <xf numFmtId="0" fontId="35" fillId="0" borderId="6" xfId="1439" applyFont="1" applyBorder="1" applyAlignment="1">
      <alignment vertical="center"/>
    </xf>
    <xf numFmtId="0" fontId="36" fillId="0" borderId="6" xfId="0" applyFont="1" applyBorder="1" applyAlignment="1">
      <alignment horizontal="left"/>
    </xf>
    <xf numFmtId="0" fontId="36" fillId="0" borderId="8" xfId="402" applyFont="1" applyBorder="1" applyAlignment="1">
      <alignment vertical="center"/>
    </xf>
    <xf numFmtId="0" fontId="36" fillId="0" borderId="19" xfId="0" applyFont="1" applyBorder="1" applyAlignment="1">
      <alignment horizontal="left"/>
    </xf>
    <xf numFmtId="0" fontId="36" fillId="0" borderId="8" xfId="0" applyFont="1" applyBorder="1"/>
    <xf numFmtId="0" fontId="36" fillId="0" borderId="2" xfId="0" applyFont="1" applyBorder="1" applyAlignment="1">
      <alignment horizontal="left"/>
    </xf>
    <xf numFmtId="0" fontId="35" fillId="0" borderId="1" xfId="1442" applyFont="1" applyBorder="1"/>
    <xf numFmtId="0" fontId="36" fillId="0" borderId="1" xfId="1273" applyFont="1" applyBorder="1"/>
    <xf numFmtId="0" fontId="36" fillId="0" borderId="1" xfId="830" quotePrefix="1" applyFont="1" applyBorder="1" applyAlignment="1">
      <alignment horizontal="left"/>
    </xf>
    <xf numFmtId="0" fontId="36" fillId="0" borderId="1" xfId="0" applyFont="1" applyBorder="1" applyAlignment="1">
      <alignment vertical="center"/>
    </xf>
    <xf numFmtId="0" fontId="36" fillId="0" borderId="1" xfId="1384" applyFont="1" applyBorder="1" applyAlignment="1">
      <alignment horizontal="left"/>
    </xf>
    <xf numFmtId="0" fontId="36" fillId="0" borderId="1" xfId="830" applyFont="1" applyBorder="1" applyAlignment="1">
      <alignment horizontal="left"/>
    </xf>
    <xf numFmtId="0" fontId="36" fillId="0" borderId="1" xfId="830" applyFont="1" applyBorder="1"/>
    <xf numFmtId="0" fontId="36" fillId="0" borderId="1" xfId="830" quotePrefix="1" applyFont="1" applyBorder="1" applyAlignment="1">
      <alignment horizontal="left" indent="1"/>
    </xf>
    <xf numFmtId="2" fontId="35" fillId="0" borderId="5" xfId="1384" applyNumberFormat="1" applyFont="1" applyBorder="1" applyAlignment="1">
      <alignment horizontal="center"/>
    </xf>
    <xf numFmtId="0" fontId="49" fillId="0" borderId="5" xfId="442" applyFont="1" applyBorder="1" applyAlignment="1">
      <alignment horizontal="center" vertical="center"/>
    </xf>
    <xf numFmtId="0" fontId="49" fillId="0" borderId="11" xfId="442" applyFont="1" applyBorder="1" applyAlignment="1">
      <alignment horizontal="center" vertical="center"/>
    </xf>
    <xf numFmtId="0" fontId="36" fillId="0" borderId="5" xfId="1384" applyFont="1" applyBorder="1" applyAlignment="1">
      <alignment horizontal="left" indent="1"/>
    </xf>
    <xf numFmtId="0" fontId="54" fillId="0" borderId="5" xfId="0" applyFont="1" applyBorder="1" applyAlignment="1">
      <alignment horizontal="left" indent="1"/>
    </xf>
    <xf numFmtId="2" fontId="35" fillId="0" borderId="0" xfId="1384" applyNumberFormat="1" applyFont="1" applyAlignment="1">
      <alignment horizontal="center"/>
    </xf>
    <xf numFmtId="0" fontId="36" fillId="0" borderId="20" xfId="1273" applyFont="1" applyBorder="1" applyAlignment="1">
      <alignment horizontal="left" indent="1"/>
    </xf>
    <xf numFmtId="0" fontId="36" fillId="0" borderId="20" xfId="830" quotePrefix="1" applyFont="1" applyBorder="1" applyAlignment="1">
      <alignment horizontal="left" indent="1"/>
    </xf>
    <xf numFmtId="0" fontId="36" fillId="0" borderId="20" xfId="830" applyFont="1" applyBorder="1" applyAlignment="1">
      <alignment horizontal="left" indent="1"/>
    </xf>
    <xf numFmtId="0" fontId="36" fillId="0" borderId="20" xfId="0" applyFont="1" applyBorder="1" applyAlignment="1">
      <alignment horizontal="left" indent="1"/>
    </xf>
    <xf numFmtId="0" fontId="36" fillId="0" borderId="20" xfId="1384" applyFont="1" applyBorder="1" applyAlignment="1">
      <alignment horizontal="left" indent="1"/>
    </xf>
    <xf numFmtId="49" fontId="36" fillId="0" borderId="5" xfId="0" applyNumberFormat="1" applyFont="1" applyBorder="1" applyAlignment="1">
      <alignment horizontal="left" indent="1"/>
    </xf>
    <xf numFmtId="0" fontId="36" fillId="0" borderId="5" xfId="1273" applyFont="1" applyBorder="1" applyAlignment="1">
      <alignment horizontal="left" indent="1"/>
    </xf>
    <xf numFmtId="0" fontId="54" fillId="0" borderId="20" xfId="0" applyFont="1" applyBorder="1" applyAlignment="1">
      <alignment horizontal="left" indent="1"/>
    </xf>
    <xf numFmtId="0" fontId="36" fillId="0" borderId="20" xfId="1384" quotePrefix="1" applyFont="1" applyBorder="1" applyAlignment="1">
      <alignment horizontal="left" indent="1"/>
    </xf>
    <xf numFmtId="0" fontId="36" fillId="0" borderId="19" xfId="1273" applyFont="1" applyBorder="1" applyAlignment="1">
      <alignment horizontal="left" indent="1"/>
    </xf>
    <xf numFmtId="0" fontId="36" fillId="0" borderId="19" xfId="830" quotePrefix="1" applyFont="1" applyBorder="1" applyAlignment="1">
      <alignment horizontal="left" indent="1"/>
    </xf>
    <xf numFmtId="0" fontId="54" fillId="0" borderId="0" xfId="0" applyFont="1" applyAlignment="1">
      <alignment horizontal="left" indent="1"/>
    </xf>
    <xf numFmtId="0" fontId="54" fillId="0" borderId="11" xfId="0" applyFont="1" applyBorder="1" applyAlignment="1">
      <alignment horizontal="left" indent="1"/>
    </xf>
    <xf numFmtId="0" fontId="36" fillId="0" borderId="21" xfId="0" applyFont="1" applyBorder="1" applyAlignment="1">
      <alignment horizontal="left" indent="1"/>
    </xf>
    <xf numFmtId="0" fontId="35" fillId="0" borderId="21" xfId="1442" applyFont="1" applyBorder="1" applyAlignment="1">
      <alignment horizontal="left" indent="1"/>
    </xf>
    <xf numFmtId="0" fontId="36" fillId="0" borderId="20" xfId="830" quotePrefix="1" applyFont="1" applyBorder="1" applyAlignment="1">
      <alignment horizontal="left" indent="2"/>
    </xf>
    <xf numFmtId="0" fontId="36" fillId="0" borderId="22" xfId="0" applyFont="1" applyBorder="1" applyAlignment="1">
      <alignment horizontal="left" indent="1"/>
    </xf>
    <xf numFmtId="0" fontId="36" fillId="0" borderId="19" xfId="1384" applyFont="1" applyBorder="1" applyAlignment="1">
      <alignment horizontal="left" indent="1"/>
    </xf>
    <xf numFmtId="0" fontId="54" fillId="0" borderId="18" xfId="0" applyFont="1" applyBorder="1" applyAlignment="1">
      <alignment horizontal="left" indent="1"/>
    </xf>
    <xf numFmtId="0" fontId="55" fillId="0" borderId="11" xfId="1273" applyFont="1" applyBorder="1" applyAlignment="1">
      <alignment horizontal="left" indent="1"/>
    </xf>
    <xf numFmtId="0" fontId="55" fillId="0" borderId="0" xfId="1273" applyFont="1" applyAlignment="1">
      <alignment horizontal="left" indent="1"/>
    </xf>
    <xf numFmtId="0" fontId="36" fillId="0" borderId="21" xfId="830" applyFont="1" applyBorder="1" applyAlignment="1">
      <alignment horizontal="left" indent="1"/>
    </xf>
    <xf numFmtId="0" fontId="36" fillId="0" borderId="19" xfId="830" applyFont="1" applyBorder="1" applyAlignment="1">
      <alignment horizontal="left" indent="1"/>
    </xf>
    <xf numFmtId="0" fontId="36" fillId="0" borderId="5" xfId="830" applyFont="1" applyBorder="1" applyAlignment="1">
      <alignment horizontal="left" indent="1"/>
    </xf>
    <xf numFmtId="0" fontId="36" fillId="0" borderId="5" xfId="402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2"/>
    </xf>
    <xf numFmtId="0" fontId="36" fillId="0" borderId="19" xfId="1384" quotePrefix="1" applyFont="1" applyBorder="1" applyAlignment="1">
      <alignment horizontal="left" indent="1"/>
    </xf>
    <xf numFmtId="15" fontId="36" fillId="0" borderId="19" xfId="1384" quotePrefix="1" applyNumberFormat="1" applyFont="1" applyBorder="1" applyAlignment="1">
      <alignment horizontal="left" indent="1"/>
    </xf>
    <xf numFmtId="0" fontId="34" fillId="0" borderId="0" xfId="402" applyFont="1" applyAlignment="1">
      <alignment horizontal="center"/>
    </xf>
    <xf numFmtId="0" fontId="35" fillId="0" borderId="1" xfId="402" applyFont="1" applyBorder="1"/>
    <xf numFmtId="0" fontId="18" fillId="0" borderId="0" xfId="1436" applyFont="1" applyAlignment="1">
      <alignment horizontal="center" vertical="center"/>
    </xf>
    <xf numFmtId="0" fontId="17" fillId="0" borderId="13" xfId="1436" applyFont="1" applyBorder="1" applyAlignment="1">
      <alignment horizontal="center" vertical="center"/>
    </xf>
    <xf numFmtId="0" fontId="17" fillId="0" borderId="1" xfId="1436" applyFont="1" applyBorder="1" applyAlignment="1">
      <alignment horizontal="center" vertical="center"/>
    </xf>
    <xf numFmtId="0" fontId="40" fillId="0" borderId="13" xfId="1436" applyFont="1" applyBorder="1" applyAlignment="1">
      <alignment horizontal="center" vertical="center" wrapText="1"/>
    </xf>
    <xf numFmtId="0" fontId="40" fillId="0" borderId="1" xfId="1436" applyFont="1" applyBorder="1" applyAlignment="1">
      <alignment horizontal="center" vertical="center" wrapText="1"/>
    </xf>
    <xf numFmtId="0" fontId="17" fillId="0" borderId="13" xfId="1436" applyFont="1" applyBorder="1" applyAlignment="1">
      <alignment horizontal="center" vertical="center" wrapText="1"/>
    </xf>
    <xf numFmtId="0" fontId="17" fillId="0" borderId="1" xfId="1436" applyFont="1" applyBorder="1" applyAlignment="1">
      <alignment horizontal="center" vertical="center" wrapText="1"/>
    </xf>
    <xf numFmtId="0" fontId="41" fillId="0" borderId="13" xfId="1436" applyFont="1" applyBorder="1" applyAlignment="1">
      <alignment horizontal="center" vertical="center" wrapText="1" readingOrder="1"/>
    </xf>
    <xf numFmtId="0" fontId="41" fillId="0" borderId="1" xfId="1436" applyFont="1" applyBorder="1" applyAlignment="1">
      <alignment horizontal="center" vertical="center" wrapText="1" readingOrder="1"/>
    </xf>
    <xf numFmtId="49" fontId="24" fillId="0" borderId="0" xfId="1436" applyNumberFormat="1" applyFont="1" applyAlignment="1">
      <alignment horizontal="center" vertical="center"/>
    </xf>
    <xf numFmtId="0" fontId="35" fillId="0" borderId="6" xfId="402" applyFont="1" applyBorder="1"/>
    <xf numFmtId="0" fontId="35" fillId="0" borderId="7" xfId="402" applyFont="1" applyBorder="1"/>
    <xf numFmtId="0" fontId="13" fillId="0" borderId="8" xfId="1436" applyFont="1" applyBorder="1" applyAlignment="1">
      <alignment horizontal="center"/>
    </xf>
    <xf numFmtId="0" fontId="13" fillId="0" borderId="9" xfId="1436" applyFont="1" applyBorder="1" applyAlignment="1">
      <alignment horizontal="center"/>
    </xf>
    <xf numFmtId="0" fontId="13" fillId="0" borderId="10" xfId="1436" applyFont="1" applyBorder="1" applyAlignment="1">
      <alignment horizontal="center"/>
    </xf>
    <xf numFmtId="0" fontId="18" fillId="0" borderId="0" xfId="1436" applyFont="1" applyAlignment="1">
      <alignment horizontal="left" vertical="top" wrapText="1"/>
    </xf>
    <xf numFmtId="0" fontId="18" fillId="0" borderId="14" xfId="1436" applyFont="1" applyBorder="1" applyAlignment="1">
      <alignment horizontal="center"/>
    </xf>
    <xf numFmtId="0" fontId="35" fillId="0" borderId="1" xfId="402" quotePrefix="1" applyFont="1" applyBorder="1" applyAlignment="1">
      <alignment horizontal="left" vertical="center"/>
    </xf>
    <xf numFmtId="0" fontId="35" fillId="0" borderId="6" xfId="402" quotePrefix="1" applyFont="1" applyBorder="1" applyAlignment="1">
      <alignment horizontal="left" vertical="center" indent="1"/>
    </xf>
    <xf numFmtId="0" fontId="35" fillId="0" borderId="7" xfId="402" quotePrefix="1" applyFont="1" applyBorder="1" applyAlignment="1">
      <alignment horizontal="left" vertical="center" indent="1"/>
    </xf>
    <xf numFmtId="0" fontId="24" fillId="0" borderId="0" xfId="1436" applyFont="1" applyAlignment="1">
      <alignment horizontal="center" vertical="center"/>
    </xf>
    <xf numFmtId="0" fontId="19" fillId="0" borderId="0" xfId="1436" applyFont="1" applyAlignment="1">
      <alignment horizontal="right" vertical="center"/>
    </xf>
    <xf numFmtId="0" fontId="15" fillId="0" borderId="0" xfId="1436" applyFont="1" applyAlignment="1">
      <alignment horizontal="center"/>
    </xf>
    <xf numFmtId="0" fontId="17" fillId="0" borderId="0" xfId="446" applyFont="1" applyAlignment="1">
      <alignment horizontal="left"/>
    </xf>
    <xf numFmtId="0" fontId="22" fillId="0" borderId="8" xfId="1436" applyFont="1" applyBorder="1" applyAlignment="1">
      <alignment horizontal="center"/>
    </xf>
    <xf numFmtId="0" fontId="17" fillId="0" borderId="9" xfId="1436" applyFont="1" applyBorder="1" applyAlignment="1">
      <alignment horizontal="center"/>
    </xf>
    <xf numFmtId="0" fontId="22" fillId="0" borderId="9" xfId="1436" applyFont="1" applyBorder="1" applyAlignment="1">
      <alignment horizontal="center"/>
    </xf>
    <xf numFmtId="0" fontId="22" fillId="0" borderId="10" xfId="1436" applyFont="1" applyBorder="1" applyAlignment="1">
      <alignment horizontal="center"/>
    </xf>
    <xf numFmtId="0" fontId="18" fillId="0" borderId="2" xfId="1436" applyFont="1" applyBorder="1" applyAlignment="1">
      <alignment horizontal="center" vertical="center"/>
    </xf>
    <xf numFmtId="0" fontId="18" fillId="0" borderId="3" xfId="1436" applyFont="1" applyBorder="1" applyAlignment="1">
      <alignment horizontal="center" vertical="center"/>
    </xf>
    <xf numFmtId="0" fontId="18" fillId="0" borderId="4" xfId="1436" applyFont="1" applyBorder="1" applyAlignment="1">
      <alignment horizontal="center" vertical="center"/>
    </xf>
    <xf numFmtId="0" fontId="13" fillId="0" borderId="0" xfId="818" applyFont="1" applyAlignment="1">
      <alignment horizontal="center" vertical="center" textRotation="180"/>
    </xf>
    <xf numFmtId="0" fontId="15" fillId="0" borderId="0" xfId="818" applyFont="1" applyAlignment="1">
      <alignment horizontal="center"/>
    </xf>
    <xf numFmtId="0" fontId="16" fillId="0" borderId="0" xfId="818" applyFont="1" applyAlignment="1">
      <alignment horizontal="center" vertical="center"/>
    </xf>
    <xf numFmtId="0" fontId="17" fillId="0" borderId="1" xfId="818" applyFont="1" applyBorder="1" applyAlignment="1">
      <alignment horizontal="center" vertical="center"/>
    </xf>
    <xf numFmtId="0" fontId="17" fillId="0" borderId="1" xfId="818" applyFont="1" applyBorder="1" applyAlignment="1">
      <alignment horizontal="center" vertical="center" wrapText="1"/>
    </xf>
    <xf numFmtId="0" fontId="16" fillId="0" borderId="1" xfId="818" applyFont="1" applyBorder="1" applyAlignment="1">
      <alignment horizontal="center"/>
    </xf>
    <xf numFmtId="0" fontId="13" fillId="0" borderId="1" xfId="818" applyFont="1" applyBorder="1" applyAlignment="1">
      <alignment horizontal="center"/>
    </xf>
    <xf numFmtId="0" fontId="42" fillId="0" borderId="9" xfId="818" applyFont="1" applyBorder="1" applyAlignment="1">
      <alignment horizontal="left" vertical="center" wrapText="1"/>
    </xf>
    <xf numFmtId="0" fontId="42" fillId="0" borderId="0" xfId="818" applyFont="1" applyAlignment="1">
      <alignment horizontal="left" vertical="center" wrapText="1"/>
    </xf>
    <xf numFmtId="0" fontId="18" fillId="0" borderId="3" xfId="818" applyFont="1" applyBorder="1" applyAlignment="1">
      <alignment horizontal="center"/>
    </xf>
    <xf numFmtId="0" fontId="18" fillId="0" borderId="0" xfId="818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30" fillId="0" borderId="5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53" fillId="0" borderId="0" xfId="0" applyFont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left" indent="1"/>
    </xf>
    <xf numFmtId="0" fontId="35" fillId="0" borderId="11" xfId="0" applyFont="1" applyBorder="1" applyAlignment="1">
      <alignment horizontal="left" indent="1"/>
    </xf>
    <xf numFmtId="0" fontId="47" fillId="0" borderId="3" xfId="0" applyFont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1" fillId="0" borderId="5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11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2" fontId="35" fillId="0" borderId="5" xfId="446" applyNumberFormat="1" applyFont="1" applyBorder="1" applyAlignment="1">
      <alignment horizontal="center"/>
    </xf>
    <xf numFmtId="2" fontId="35" fillId="0" borderId="11" xfId="446" applyNumberFormat="1" applyFont="1" applyBorder="1" applyAlignment="1">
      <alignment horizontal="center"/>
    </xf>
    <xf numFmtId="2" fontId="35" fillId="0" borderId="5" xfId="1384" applyNumberFormat="1" applyFont="1" applyBorder="1" applyAlignment="1">
      <alignment horizontal="center"/>
    </xf>
    <xf numFmtId="2" fontId="35" fillId="0" borderId="11" xfId="1384" applyNumberFormat="1" applyFont="1" applyBorder="1" applyAlignment="1">
      <alignment horizontal="center"/>
    </xf>
    <xf numFmtId="0" fontId="49" fillId="0" borderId="5" xfId="442" applyFont="1" applyBorder="1" applyAlignment="1">
      <alignment horizontal="center" vertical="center"/>
    </xf>
    <xf numFmtId="0" fontId="49" fillId="0" borderId="11" xfId="442" applyFont="1" applyBorder="1" applyAlignment="1">
      <alignment horizontal="center" vertical="center"/>
    </xf>
    <xf numFmtId="0" fontId="36" fillId="0" borderId="5" xfId="1441" applyNumberFormat="1" applyFont="1" applyBorder="1" applyAlignment="1">
      <alignment horizontal="center"/>
    </xf>
    <xf numFmtId="0" fontId="36" fillId="0" borderId="11" xfId="1441" applyNumberFormat="1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47" fillId="0" borderId="8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0" fillId="0" borderId="3" xfId="0" applyFont="1" applyBorder="1" applyAlignment="1">
      <alignment horizontal="right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14" fontId="8" fillId="0" borderId="12" xfId="0" quotePrefix="1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0" xfId="0" applyFont="1" applyAlignment="1">
      <alignment horizontal="right"/>
    </xf>
    <xf numFmtId="14" fontId="8" fillId="0" borderId="12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56" fillId="0" borderId="5" xfId="389" applyFont="1" applyBorder="1" applyAlignment="1">
      <alignment horizontal="left" vertical="center" wrapText="1" indent="1"/>
    </xf>
    <xf numFmtId="0" fontId="56" fillId="0" borderId="0" xfId="389" applyFont="1" applyAlignment="1">
      <alignment horizontal="left" vertical="center" wrapText="1" indent="1"/>
    </xf>
    <xf numFmtId="0" fontId="56" fillId="0" borderId="11" xfId="389" applyFont="1" applyBorder="1" applyAlignment="1">
      <alignment horizontal="left" vertical="center" wrapText="1" indent="1"/>
    </xf>
    <xf numFmtId="0" fontId="36" fillId="0" borderId="5" xfId="0" applyFont="1" applyBorder="1" applyAlignment="1">
      <alignment horizontal="left" indent="1"/>
    </xf>
    <xf numFmtId="0" fontId="36" fillId="0" borderId="0" xfId="0" applyFont="1" applyAlignment="1">
      <alignment horizontal="left" indent="1"/>
    </xf>
    <xf numFmtId="0" fontId="36" fillId="0" borderId="11" xfId="0" applyFont="1" applyBorder="1" applyAlignment="1">
      <alignment horizontal="left" indent="1"/>
    </xf>
    <xf numFmtId="0" fontId="56" fillId="0" borderId="5" xfId="389" quotePrefix="1" applyFont="1" applyBorder="1" applyAlignment="1">
      <alignment horizontal="left" vertical="center" wrapText="1" indent="1"/>
    </xf>
    <xf numFmtId="0" fontId="56" fillId="0" borderId="0" xfId="389" quotePrefix="1" applyFont="1" applyAlignment="1">
      <alignment horizontal="left" vertical="center" wrapText="1" indent="1"/>
    </xf>
    <xf numFmtId="0" fontId="56" fillId="0" borderId="11" xfId="389" quotePrefix="1" applyFont="1" applyBorder="1" applyAlignment="1">
      <alignment horizontal="left" vertical="center" wrapText="1" indent="1"/>
    </xf>
    <xf numFmtId="2" fontId="35" fillId="0" borderId="0" xfId="446" applyNumberFormat="1" applyFont="1" applyAlignment="1">
      <alignment horizontal="center"/>
    </xf>
    <xf numFmtId="2" fontId="35" fillId="0" borderId="0" xfId="1384" applyNumberFormat="1" applyFont="1" applyAlignment="1">
      <alignment horizontal="center"/>
    </xf>
    <xf numFmtId="0" fontId="54" fillId="0" borderId="5" xfId="0" applyFont="1" applyBorder="1" applyAlignment="1">
      <alignment horizontal="left" indent="1"/>
    </xf>
    <xf numFmtId="0" fontId="54" fillId="0" borderId="0" xfId="0" applyFont="1" applyAlignment="1">
      <alignment horizontal="left" indent="1"/>
    </xf>
    <xf numFmtId="0" fontId="54" fillId="0" borderId="11" xfId="0" applyFont="1" applyBorder="1" applyAlignment="1">
      <alignment horizontal="left" indent="1"/>
    </xf>
    <xf numFmtId="0" fontId="36" fillId="0" borderId="19" xfId="1384" applyFont="1" applyBorder="1" applyAlignment="1">
      <alignment horizontal="center"/>
    </xf>
    <xf numFmtId="0" fontId="36" fillId="0" borderId="11" xfId="1384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5" fillId="0" borderId="5" xfId="1442" applyFont="1" applyBorder="1" applyAlignment="1">
      <alignment horizontal="center"/>
    </xf>
    <xf numFmtId="0" fontId="35" fillId="0" borderId="11" xfId="1442" applyFont="1" applyBorder="1" applyAlignment="1">
      <alignment horizontal="center"/>
    </xf>
    <xf numFmtId="0" fontId="36" fillId="0" borderId="19" xfId="1384" applyFont="1" applyBorder="1" applyAlignment="1">
      <alignment horizontal="center" vertical="top"/>
    </xf>
    <xf numFmtId="0" fontId="36" fillId="0" borderId="11" xfId="1384" applyFont="1" applyBorder="1" applyAlignment="1">
      <alignment horizontal="center" vertical="top"/>
    </xf>
    <xf numFmtId="0" fontId="36" fillId="0" borderId="19" xfId="830" applyFont="1" applyBorder="1" applyAlignment="1">
      <alignment horizontal="center"/>
    </xf>
    <xf numFmtId="0" fontId="36" fillId="0" borderId="22" xfId="830" applyFont="1" applyBorder="1" applyAlignment="1">
      <alignment horizontal="center"/>
    </xf>
    <xf numFmtId="0" fontId="36" fillId="0" borderId="5" xfId="830" applyFont="1" applyBorder="1" applyAlignment="1">
      <alignment horizontal="center" vertical="center"/>
    </xf>
    <xf numFmtId="0" fontId="36" fillId="0" borderId="11" xfId="830" applyFont="1" applyBorder="1" applyAlignment="1">
      <alignment horizontal="center" vertical="center"/>
    </xf>
    <xf numFmtId="0" fontId="36" fillId="0" borderId="5" xfId="830" applyFont="1" applyBorder="1" applyAlignment="1">
      <alignment horizontal="center"/>
    </xf>
    <xf numFmtId="0" fontId="36" fillId="0" borderId="11" xfId="830" applyFont="1" applyBorder="1" applyAlignment="1">
      <alignment horizontal="center"/>
    </xf>
    <xf numFmtId="0" fontId="36" fillId="0" borderId="19" xfId="830" applyFont="1" applyBorder="1" applyAlignment="1">
      <alignment horizontal="center" vertical="top"/>
    </xf>
    <xf numFmtId="0" fontId="36" fillId="0" borderId="11" xfId="830" applyFont="1" applyBorder="1" applyAlignment="1">
      <alignment horizontal="center" vertical="top"/>
    </xf>
    <xf numFmtId="0" fontId="36" fillId="0" borderId="5" xfId="830" applyFont="1" applyBorder="1" applyAlignment="1">
      <alignment horizontal="center" vertical="top"/>
    </xf>
    <xf numFmtId="0" fontId="36" fillId="0" borderId="22" xfId="830" applyFont="1" applyBorder="1" applyAlignment="1">
      <alignment horizontal="center" vertical="top"/>
    </xf>
    <xf numFmtId="0" fontId="36" fillId="0" borderId="0" xfId="830" applyFont="1" applyAlignment="1">
      <alignment horizontal="center"/>
    </xf>
    <xf numFmtId="0" fontId="36" fillId="0" borderId="1" xfId="1386" applyFont="1" applyBorder="1"/>
    <xf numFmtId="16" fontId="36" fillId="0" borderId="1" xfId="446" applyNumberFormat="1" applyFont="1" applyBorder="1" applyAlignment="1">
      <alignment horizontal="left"/>
    </xf>
    <xf numFmtId="0" fontId="57" fillId="0" borderId="1" xfId="402" applyFont="1" applyBorder="1" applyAlignment="1">
      <alignment horizontal="center"/>
    </xf>
    <xf numFmtId="0" fontId="57" fillId="0" borderId="6" xfId="402" applyFont="1" applyBorder="1" applyAlignment="1">
      <alignment horizontal="center"/>
    </xf>
    <xf numFmtId="0" fontId="57" fillId="0" borderId="1" xfId="0" applyFont="1" applyBorder="1"/>
    <xf numFmtId="164" fontId="57" fillId="0" borderId="1" xfId="1" applyFont="1" applyFill="1" applyBorder="1"/>
  </cellXfs>
  <cellStyles count="1443">
    <cellStyle name="Comma" xfId="1" builtinId="3"/>
    <cellStyle name="Comma 11" xfId="2" xr:uid="{00000000-0005-0000-0000-000001000000}"/>
    <cellStyle name="Comma 12" xfId="3" xr:uid="{00000000-0005-0000-0000-000002000000}"/>
    <cellStyle name="Comma 2" xfId="4" xr:uid="{00000000-0005-0000-0000-000003000000}"/>
    <cellStyle name="Comma 2 10" xfId="5" xr:uid="{00000000-0005-0000-0000-000004000000}"/>
    <cellStyle name="Comma 2 10 2" xfId="6" xr:uid="{00000000-0005-0000-0000-000005000000}"/>
    <cellStyle name="Comma 2 10 3" xfId="7" xr:uid="{00000000-0005-0000-0000-000006000000}"/>
    <cellStyle name="Comma 2 10 4" xfId="8" xr:uid="{00000000-0005-0000-0000-000007000000}"/>
    <cellStyle name="Comma 2 11" xfId="9" xr:uid="{00000000-0005-0000-0000-000008000000}"/>
    <cellStyle name="Comma 2 11 2" xfId="10" xr:uid="{00000000-0005-0000-0000-000009000000}"/>
    <cellStyle name="Comma 2 11 2 2" xfId="11" xr:uid="{00000000-0005-0000-0000-00000A000000}"/>
    <cellStyle name="Comma 2 12" xfId="12" xr:uid="{00000000-0005-0000-0000-00000B000000}"/>
    <cellStyle name="Comma 2 13" xfId="13" xr:uid="{00000000-0005-0000-0000-00000C000000}"/>
    <cellStyle name="Comma 2 14" xfId="14" xr:uid="{00000000-0005-0000-0000-00000D000000}"/>
    <cellStyle name="Comma 2 15" xfId="15" xr:uid="{00000000-0005-0000-0000-00000E000000}"/>
    <cellStyle name="Comma 2 16" xfId="16" xr:uid="{00000000-0005-0000-0000-00000F000000}"/>
    <cellStyle name="Comma 2 17" xfId="17" xr:uid="{00000000-0005-0000-0000-000010000000}"/>
    <cellStyle name="Comma 2 2" xfId="18" xr:uid="{00000000-0005-0000-0000-000011000000}"/>
    <cellStyle name="Comma 2 2 2" xfId="19" xr:uid="{00000000-0005-0000-0000-000012000000}"/>
    <cellStyle name="Comma 2 2 2 2" xfId="20" xr:uid="{00000000-0005-0000-0000-000013000000}"/>
    <cellStyle name="Comma 2 2 2 2 2" xfId="21" xr:uid="{00000000-0005-0000-0000-000014000000}"/>
    <cellStyle name="Comma 2 2 2 2 3" xfId="22" xr:uid="{00000000-0005-0000-0000-000015000000}"/>
    <cellStyle name="Comma 2 2 2 2 4" xfId="23" xr:uid="{00000000-0005-0000-0000-000016000000}"/>
    <cellStyle name="Comma 2 2 2 3" xfId="24" xr:uid="{00000000-0005-0000-0000-000017000000}"/>
    <cellStyle name="Comma 2 2 2 3 2" xfId="25" xr:uid="{00000000-0005-0000-0000-000018000000}"/>
    <cellStyle name="Comma 2 2 2 4" xfId="26" xr:uid="{00000000-0005-0000-0000-000019000000}"/>
    <cellStyle name="Comma 2 2 2 5" xfId="27" xr:uid="{00000000-0005-0000-0000-00001A000000}"/>
    <cellStyle name="Comma 2 2 3" xfId="28" xr:uid="{00000000-0005-0000-0000-00001B000000}"/>
    <cellStyle name="Comma 2 2 3 2" xfId="29" xr:uid="{00000000-0005-0000-0000-00001C000000}"/>
    <cellStyle name="Comma 2 2 3 3" xfId="30" xr:uid="{00000000-0005-0000-0000-00001D000000}"/>
    <cellStyle name="Comma 2 2 3 4" xfId="31" xr:uid="{00000000-0005-0000-0000-00001E000000}"/>
    <cellStyle name="Comma 2 2 4" xfId="32" xr:uid="{00000000-0005-0000-0000-00001F000000}"/>
    <cellStyle name="Comma 2 2 4 2" xfId="33" xr:uid="{00000000-0005-0000-0000-000020000000}"/>
    <cellStyle name="Comma 2 2 4 3" xfId="34" xr:uid="{00000000-0005-0000-0000-000021000000}"/>
    <cellStyle name="Comma 2 2 4 4" xfId="35" xr:uid="{00000000-0005-0000-0000-000022000000}"/>
    <cellStyle name="Comma 2 2 5" xfId="36" xr:uid="{00000000-0005-0000-0000-000023000000}"/>
    <cellStyle name="Comma 2 2 5 2" xfId="37" xr:uid="{00000000-0005-0000-0000-000024000000}"/>
    <cellStyle name="Comma 2 2 5 3" xfId="38" xr:uid="{00000000-0005-0000-0000-000025000000}"/>
    <cellStyle name="Comma 2 2 5 4" xfId="39" xr:uid="{00000000-0005-0000-0000-000026000000}"/>
    <cellStyle name="Comma 2 2 6" xfId="40" xr:uid="{00000000-0005-0000-0000-000027000000}"/>
    <cellStyle name="Comma 2 2 7" xfId="1434" xr:uid="{43EB2072-94A4-48D5-85EC-129A2D4B5280}"/>
    <cellStyle name="Comma 2 2 8" xfId="1438" xr:uid="{D19AEBCE-68B2-4061-9F9B-D533FF1418EF}"/>
    <cellStyle name="Comma 2 2 9" xfId="1441" xr:uid="{7D494867-EC52-4A23-ABE1-618C1E3E3C96}"/>
    <cellStyle name="Comma 2 3" xfId="41" xr:uid="{00000000-0005-0000-0000-000028000000}"/>
    <cellStyle name="Comma 2 3 2" xfId="42" xr:uid="{00000000-0005-0000-0000-000029000000}"/>
    <cellStyle name="Comma 2 3 2 2" xfId="43" xr:uid="{00000000-0005-0000-0000-00002A000000}"/>
    <cellStyle name="Comma 2 3 2 2 2" xfId="44" xr:uid="{00000000-0005-0000-0000-00002B000000}"/>
    <cellStyle name="Comma 2 3 2 2 3" xfId="45" xr:uid="{00000000-0005-0000-0000-00002C000000}"/>
    <cellStyle name="Comma 2 3 2 2 4" xfId="46" xr:uid="{00000000-0005-0000-0000-00002D000000}"/>
    <cellStyle name="Comma 2 3 2 3" xfId="47" xr:uid="{00000000-0005-0000-0000-00002E000000}"/>
    <cellStyle name="Comma 2 3 2 3 2" xfId="48" xr:uid="{00000000-0005-0000-0000-00002F000000}"/>
    <cellStyle name="Comma 2 3 2 4" xfId="49" xr:uid="{00000000-0005-0000-0000-000030000000}"/>
    <cellStyle name="Comma 2 3 2 5" xfId="50" xr:uid="{00000000-0005-0000-0000-000031000000}"/>
    <cellStyle name="Comma 2 3 3" xfId="51" xr:uid="{00000000-0005-0000-0000-000032000000}"/>
    <cellStyle name="Comma 2 3 3 2" xfId="52" xr:uid="{00000000-0005-0000-0000-000033000000}"/>
    <cellStyle name="Comma 2 3 3 3" xfId="53" xr:uid="{00000000-0005-0000-0000-000034000000}"/>
    <cellStyle name="Comma 2 3 3 4" xfId="54" xr:uid="{00000000-0005-0000-0000-000035000000}"/>
    <cellStyle name="Comma 2 3 4" xfId="55" xr:uid="{00000000-0005-0000-0000-000036000000}"/>
    <cellStyle name="Comma 2 3 4 2" xfId="56" xr:uid="{00000000-0005-0000-0000-000037000000}"/>
    <cellStyle name="Comma 2 3 4 3" xfId="57" xr:uid="{00000000-0005-0000-0000-000038000000}"/>
    <cellStyle name="Comma 2 3 4 4" xfId="58" xr:uid="{00000000-0005-0000-0000-000039000000}"/>
    <cellStyle name="Comma 2 3 5" xfId="59" xr:uid="{00000000-0005-0000-0000-00003A000000}"/>
    <cellStyle name="Comma 2 3 5 2" xfId="60" xr:uid="{00000000-0005-0000-0000-00003B000000}"/>
    <cellStyle name="Comma 2 3 5 3" xfId="61" xr:uid="{00000000-0005-0000-0000-00003C000000}"/>
    <cellStyle name="Comma 2 3 5 4" xfId="62" xr:uid="{00000000-0005-0000-0000-00003D000000}"/>
    <cellStyle name="Comma 2 3 6" xfId="63" xr:uid="{00000000-0005-0000-0000-00003E000000}"/>
    <cellStyle name="Comma 2 4" xfId="64" xr:uid="{00000000-0005-0000-0000-00003F000000}"/>
    <cellStyle name="Comma 2 4 2" xfId="65" xr:uid="{00000000-0005-0000-0000-000040000000}"/>
    <cellStyle name="Comma 2 4 3" xfId="66" xr:uid="{00000000-0005-0000-0000-000041000000}"/>
    <cellStyle name="Comma 2 4 4" xfId="67" xr:uid="{00000000-0005-0000-0000-000042000000}"/>
    <cellStyle name="Comma 2 4 5" xfId="68" xr:uid="{00000000-0005-0000-0000-000043000000}"/>
    <cellStyle name="Comma 2 5" xfId="69" xr:uid="{00000000-0005-0000-0000-000044000000}"/>
    <cellStyle name="Comma 2 5 2" xfId="70" xr:uid="{00000000-0005-0000-0000-000045000000}"/>
    <cellStyle name="Comma 2 5 3" xfId="71" xr:uid="{00000000-0005-0000-0000-000046000000}"/>
    <cellStyle name="Comma 2 5 4" xfId="72" xr:uid="{00000000-0005-0000-0000-000047000000}"/>
    <cellStyle name="Comma 2 5 5" xfId="73" xr:uid="{00000000-0005-0000-0000-000048000000}"/>
    <cellStyle name="Comma 2 6" xfId="74" xr:uid="{00000000-0005-0000-0000-000049000000}"/>
    <cellStyle name="Comma 2 6 2" xfId="75" xr:uid="{00000000-0005-0000-0000-00004A000000}"/>
    <cellStyle name="Comma 2 6 3" xfId="76" xr:uid="{00000000-0005-0000-0000-00004B000000}"/>
    <cellStyle name="Comma 2 6 4" xfId="77" xr:uid="{00000000-0005-0000-0000-00004C000000}"/>
    <cellStyle name="Comma 2 6 5" xfId="78" xr:uid="{00000000-0005-0000-0000-00004D000000}"/>
    <cellStyle name="Comma 2 7" xfId="79" xr:uid="{00000000-0005-0000-0000-00004E000000}"/>
    <cellStyle name="Comma 2 7 2" xfId="80" xr:uid="{00000000-0005-0000-0000-00004F000000}"/>
    <cellStyle name="Comma 2 7 3" xfId="81" xr:uid="{00000000-0005-0000-0000-000050000000}"/>
    <cellStyle name="Comma 2 7 4" xfId="82" xr:uid="{00000000-0005-0000-0000-000051000000}"/>
    <cellStyle name="Comma 2 7 5" xfId="83" xr:uid="{00000000-0005-0000-0000-000052000000}"/>
    <cellStyle name="Comma 2 8" xfId="84" xr:uid="{00000000-0005-0000-0000-000053000000}"/>
    <cellStyle name="Comma 2 8 2" xfId="85" xr:uid="{00000000-0005-0000-0000-000054000000}"/>
    <cellStyle name="Comma 2 8 2 2" xfId="86" xr:uid="{00000000-0005-0000-0000-000055000000}"/>
    <cellStyle name="Comma 2 8 2 3" xfId="87" xr:uid="{00000000-0005-0000-0000-000056000000}"/>
    <cellStyle name="Comma 2 8 2 4" xfId="88" xr:uid="{00000000-0005-0000-0000-000057000000}"/>
    <cellStyle name="Comma 2 8 3" xfId="89" xr:uid="{00000000-0005-0000-0000-000058000000}"/>
    <cellStyle name="Comma 2 8 4" xfId="90" xr:uid="{00000000-0005-0000-0000-000059000000}"/>
    <cellStyle name="Comma 2 8 4 2" xfId="91" xr:uid="{00000000-0005-0000-0000-00005A000000}"/>
    <cellStyle name="Comma 2 8 4 2 2" xfId="92" xr:uid="{00000000-0005-0000-0000-00005B000000}"/>
    <cellStyle name="Comma 2 8 5" xfId="93" xr:uid="{00000000-0005-0000-0000-00005C000000}"/>
    <cellStyle name="Comma 2 9" xfId="94" xr:uid="{00000000-0005-0000-0000-00005D000000}"/>
    <cellStyle name="Comma 3" xfId="95" xr:uid="{00000000-0005-0000-0000-00005E000000}"/>
    <cellStyle name="Comma 3 2" xfId="96" xr:uid="{00000000-0005-0000-0000-00005F000000}"/>
    <cellStyle name="Comma 3 3" xfId="97" xr:uid="{00000000-0005-0000-0000-000060000000}"/>
    <cellStyle name="Comma 3 4" xfId="98" xr:uid="{00000000-0005-0000-0000-000061000000}"/>
    <cellStyle name="Comma 3 5" xfId="99" xr:uid="{00000000-0005-0000-0000-000062000000}"/>
    <cellStyle name="Comma 3 6" xfId="100" xr:uid="{00000000-0005-0000-0000-000063000000}"/>
    <cellStyle name="Comma 3 7" xfId="101" xr:uid="{00000000-0005-0000-0000-000064000000}"/>
    <cellStyle name="Comma 4" xfId="102" xr:uid="{00000000-0005-0000-0000-000065000000}"/>
    <cellStyle name="Comma 4 2" xfId="1435" xr:uid="{A2C0B3C8-0E37-4736-BE2C-01CF2BFDAF2D}"/>
    <cellStyle name="Comma 4 3" xfId="1437" xr:uid="{A98A58C7-4249-449D-B522-FA0C543C331A}"/>
    <cellStyle name="Comma 5" xfId="103" xr:uid="{00000000-0005-0000-0000-000066000000}"/>
    <cellStyle name="Comma 5 2" xfId="104" xr:uid="{00000000-0005-0000-0000-000067000000}"/>
    <cellStyle name="Comma 5 2 10" xfId="105" xr:uid="{00000000-0005-0000-0000-000068000000}"/>
    <cellStyle name="Comma 5 2 11" xfId="106" xr:uid="{00000000-0005-0000-0000-000069000000}"/>
    <cellStyle name="Comma 5 2 12" xfId="107" xr:uid="{00000000-0005-0000-0000-00006A000000}"/>
    <cellStyle name="Comma 5 2 2" xfId="108" xr:uid="{00000000-0005-0000-0000-00006B000000}"/>
    <cellStyle name="Comma 5 2 2 2" xfId="109" xr:uid="{00000000-0005-0000-0000-00006C000000}"/>
    <cellStyle name="Comma 5 2 2 2 2" xfId="110" xr:uid="{00000000-0005-0000-0000-00006D000000}"/>
    <cellStyle name="Comma 5 2 2 2 3" xfId="111" xr:uid="{00000000-0005-0000-0000-00006E000000}"/>
    <cellStyle name="Comma 5 2 2 2 4" xfId="112" xr:uid="{00000000-0005-0000-0000-00006F000000}"/>
    <cellStyle name="Comma 5 2 2 2 5" xfId="113" xr:uid="{00000000-0005-0000-0000-000070000000}"/>
    <cellStyle name="Comma 5 2 2 2 6" xfId="114" xr:uid="{00000000-0005-0000-0000-000071000000}"/>
    <cellStyle name="Comma 5 2 2 2 7" xfId="115" xr:uid="{00000000-0005-0000-0000-000072000000}"/>
    <cellStyle name="Comma 5 2 2 3" xfId="116" xr:uid="{00000000-0005-0000-0000-000073000000}"/>
    <cellStyle name="Comma 5 2 2 3 2" xfId="117" xr:uid="{00000000-0005-0000-0000-000074000000}"/>
    <cellStyle name="Comma 5 2 2 3 3" xfId="118" xr:uid="{00000000-0005-0000-0000-000075000000}"/>
    <cellStyle name="Comma 5 2 2 3 4" xfId="119" xr:uid="{00000000-0005-0000-0000-000076000000}"/>
    <cellStyle name="Comma 5 2 2 3 5" xfId="120" xr:uid="{00000000-0005-0000-0000-000077000000}"/>
    <cellStyle name="Comma 5 2 2 3 6" xfId="121" xr:uid="{00000000-0005-0000-0000-000078000000}"/>
    <cellStyle name="Comma 5 2 2 3 7" xfId="122" xr:uid="{00000000-0005-0000-0000-000079000000}"/>
    <cellStyle name="Comma 5 2 3" xfId="123" xr:uid="{00000000-0005-0000-0000-00007A000000}"/>
    <cellStyle name="Comma 5 2 3 2" xfId="124" xr:uid="{00000000-0005-0000-0000-00007B000000}"/>
    <cellStyle name="Comma 5 2 3 3" xfId="125" xr:uid="{00000000-0005-0000-0000-00007C000000}"/>
    <cellStyle name="Comma 5 2 3 4" xfId="126" xr:uid="{00000000-0005-0000-0000-00007D000000}"/>
    <cellStyle name="Comma 5 2 3 5" xfId="127" xr:uid="{00000000-0005-0000-0000-00007E000000}"/>
    <cellStyle name="Comma 5 2 3 6" xfId="128" xr:uid="{00000000-0005-0000-0000-00007F000000}"/>
    <cellStyle name="Comma 5 2 3 7" xfId="129" xr:uid="{00000000-0005-0000-0000-000080000000}"/>
    <cellStyle name="Comma 5 2 4" xfId="130" xr:uid="{00000000-0005-0000-0000-000081000000}"/>
    <cellStyle name="Comma 5 2 4 2" xfId="131" xr:uid="{00000000-0005-0000-0000-000082000000}"/>
    <cellStyle name="Comma 5 2 4 3" xfId="132" xr:uid="{00000000-0005-0000-0000-000083000000}"/>
    <cellStyle name="Comma 5 2 4 4" xfId="133" xr:uid="{00000000-0005-0000-0000-000084000000}"/>
    <cellStyle name="Comma 5 2 4 5" xfId="134" xr:uid="{00000000-0005-0000-0000-000085000000}"/>
    <cellStyle name="Comma 5 2 4 6" xfId="135" xr:uid="{00000000-0005-0000-0000-000086000000}"/>
    <cellStyle name="Comma 5 2 4 7" xfId="136" xr:uid="{00000000-0005-0000-0000-000087000000}"/>
    <cellStyle name="Comma 5 2 5" xfId="137" xr:uid="{00000000-0005-0000-0000-000088000000}"/>
    <cellStyle name="Comma 5 2 5 2" xfId="138" xr:uid="{00000000-0005-0000-0000-000089000000}"/>
    <cellStyle name="Comma 5 2 5 3" xfId="139" xr:uid="{00000000-0005-0000-0000-00008A000000}"/>
    <cellStyle name="Comma 5 2 5 4" xfId="140" xr:uid="{00000000-0005-0000-0000-00008B000000}"/>
    <cellStyle name="Comma 5 2 5 5" xfId="141" xr:uid="{00000000-0005-0000-0000-00008C000000}"/>
    <cellStyle name="Comma 5 2 5 6" xfId="142" xr:uid="{00000000-0005-0000-0000-00008D000000}"/>
    <cellStyle name="Comma 5 2 5 7" xfId="143" xr:uid="{00000000-0005-0000-0000-00008E000000}"/>
    <cellStyle name="Comma 5 2 6" xfId="144" xr:uid="{00000000-0005-0000-0000-00008F000000}"/>
    <cellStyle name="Comma 5 2 7" xfId="145" xr:uid="{00000000-0005-0000-0000-000090000000}"/>
    <cellStyle name="Comma 5 2 8" xfId="146" xr:uid="{00000000-0005-0000-0000-000091000000}"/>
    <cellStyle name="Comma 5 2 9" xfId="147" xr:uid="{00000000-0005-0000-0000-000092000000}"/>
    <cellStyle name="Comma 5 3" xfId="148" xr:uid="{00000000-0005-0000-0000-000093000000}"/>
    <cellStyle name="Comma 5 3 10" xfId="149" xr:uid="{00000000-0005-0000-0000-000094000000}"/>
    <cellStyle name="Comma 5 3 11" xfId="150" xr:uid="{00000000-0005-0000-0000-000095000000}"/>
    <cellStyle name="Comma 5 3 12" xfId="151" xr:uid="{00000000-0005-0000-0000-000096000000}"/>
    <cellStyle name="Comma 5 3 2" xfId="152" xr:uid="{00000000-0005-0000-0000-000097000000}"/>
    <cellStyle name="Comma 5 3 2 2" xfId="153" xr:uid="{00000000-0005-0000-0000-000098000000}"/>
    <cellStyle name="Comma 5 3 2 2 2" xfId="154" xr:uid="{00000000-0005-0000-0000-000099000000}"/>
    <cellStyle name="Comma 5 3 2 2 3" xfId="155" xr:uid="{00000000-0005-0000-0000-00009A000000}"/>
    <cellStyle name="Comma 5 3 2 2 4" xfId="156" xr:uid="{00000000-0005-0000-0000-00009B000000}"/>
    <cellStyle name="Comma 5 3 2 2 5" xfId="157" xr:uid="{00000000-0005-0000-0000-00009C000000}"/>
    <cellStyle name="Comma 5 3 2 2 6" xfId="158" xr:uid="{00000000-0005-0000-0000-00009D000000}"/>
    <cellStyle name="Comma 5 3 2 2 7" xfId="159" xr:uid="{00000000-0005-0000-0000-00009E000000}"/>
    <cellStyle name="Comma 5 3 2 3" xfId="160" xr:uid="{00000000-0005-0000-0000-00009F000000}"/>
    <cellStyle name="Comma 5 3 2 3 2" xfId="161" xr:uid="{00000000-0005-0000-0000-0000A0000000}"/>
    <cellStyle name="Comma 5 3 2 3 3" xfId="162" xr:uid="{00000000-0005-0000-0000-0000A1000000}"/>
    <cellStyle name="Comma 5 3 2 3 4" xfId="163" xr:uid="{00000000-0005-0000-0000-0000A2000000}"/>
    <cellStyle name="Comma 5 3 2 3 5" xfId="164" xr:uid="{00000000-0005-0000-0000-0000A3000000}"/>
    <cellStyle name="Comma 5 3 2 3 6" xfId="165" xr:uid="{00000000-0005-0000-0000-0000A4000000}"/>
    <cellStyle name="Comma 5 3 2 3 7" xfId="166" xr:uid="{00000000-0005-0000-0000-0000A5000000}"/>
    <cellStyle name="Comma 5 3 3" xfId="167" xr:uid="{00000000-0005-0000-0000-0000A6000000}"/>
    <cellStyle name="Comma 5 3 3 2" xfId="168" xr:uid="{00000000-0005-0000-0000-0000A7000000}"/>
    <cellStyle name="Comma 5 3 3 3" xfId="169" xr:uid="{00000000-0005-0000-0000-0000A8000000}"/>
    <cellStyle name="Comma 5 3 3 4" xfId="170" xr:uid="{00000000-0005-0000-0000-0000A9000000}"/>
    <cellStyle name="Comma 5 3 3 5" xfId="171" xr:uid="{00000000-0005-0000-0000-0000AA000000}"/>
    <cellStyle name="Comma 5 3 3 6" xfId="172" xr:uid="{00000000-0005-0000-0000-0000AB000000}"/>
    <cellStyle name="Comma 5 3 3 7" xfId="173" xr:uid="{00000000-0005-0000-0000-0000AC000000}"/>
    <cellStyle name="Comma 5 3 4" xfId="174" xr:uid="{00000000-0005-0000-0000-0000AD000000}"/>
    <cellStyle name="Comma 5 3 4 2" xfId="175" xr:uid="{00000000-0005-0000-0000-0000AE000000}"/>
    <cellStyle name="Comma 5 3 4 3" xfId="176" xr:uid="{00000000-0005-0000-0000-0000AF000000}"/>
    <cellStyle name="Comma 5 3 4 4" xfId="177" xr:uid="{00000000-0005-0000-0000-0000B0000000}"/>
    <cellStyle name="Comma 5 3 4 5" xfId="178" xr:uid="{00000000-0005-0000-0000-0000B1000000}"/>
    <cellStyle name="Comma 5 3 4 6" xfId="179" xr:uid="{00000000-0005-0000-0000-0000B2000000}"/>
    <cellStyle name="Comma 5 3 4 7" xfId="180" xr:uid="{00000000-0005-0000-0000-0000B3000000}"/>
    <cellStyle name="Comma 5 3 5" xfId="181" xr:uid="{00000000-0005-0000-0000-0000B4000000}"/>
    <cellStyle name="Comma 5 3 5 2" xfId="182" xr:uid="{00000000-0005-0000-0000-0000B5000000}"/>
    <cellStyle name="Comma 5 3 5 3" xfId="183" xr:uid="{00000000-0005-0000-0000-0000B6000000}"/>
    <cellStyle name="Comma 5 3 5 4" xfId="184" xr:uid="{00000000-0005-0000-0000-0000B7000000}"/>
    <cellStyle name="Comma 5 3 5 5" xfId="185" xr:uid="{00000000-0005-0000-0000-0000B8000000}"/>
    <cellStyle name="Comma 5 3 5 6" xfId="186" xr:uid="{00000000-0005-0000-0000-0000B9000000}"/>
    <cellStyle name="Comma 5 3 5 7" xfId="187" xr:uid="{00000000-0005-0000-0000-0000BA000000}"/>
    <cellStyle name="Comma 5 3 6" xfId="188" xr:uid="{00000000-0005-0000-0000-0000BB000000}"/>
    <cellStyle name="Comma 5 3 7" xfId="189" xr:uid="{00000000-0005-0000-0000-0000BC000000}"/>
    <cellStyle name="Comma 5 3 8" xfId="190" xr:uid="{00000000-0005-0000-0000-0000BD000000}"/>
    <cellStyle name="Comma 5 3 9" xfId="191" xr:uid="{00000000-0005-0000-0000-0000BE000000}"/>
    <cellStyle name="Comma 5 4" xfId="192" xr:uid="{00000000-0005-0000-0000-0000BF000000}"/>
    <cellStyle name="Comma 5 5" xfId="193" xr:uid="{00000000-0005-0000-0000-0000C0000000}"/>
    <cellStyle name="Comma 5 6" xfId="194" xr:uid="{00000000-0005-0000-0000-0000C1000000}"/>
    <cellStyle name="Comma 5 7" xfId="195" xr:uid="{00000000-0005-0000-0000-0000C2000000}"/>
    <cellStyle name="Comma 5 8" xfId="196" xr:uid="{00000000-0005-0000-0000-0000C3000000}"/>
    <cellStyle name="Comma 5 9" xfId="197" xr:uid="{00000000-0005-0000-0000-0000C4000000}"/>
    <cellStyle name="Comma 6" xfId="198" xr:uid="{00000000-0005-0000-0000-0000C5000000}"/>
    <cellStyle name="Comma 6 2" xfId="199" xr:uid="{00000000-0005-0000-0000-0000C6000000}"/>
    <cellStyle name="Comma 6 2 10" xfId="200" xr:uid="{00000000-0005-0000-0000-0000C7000000}"/>
    <cellStyle name="Comma 6 2 11" xfId="201" xr:uid="{00000000-0005-0000-0000-0000C8000000}"/>
    <cellStyle name="Comma 6 2 12" xfId="202" xr:uid="{00000000-0005-0000-0000-0000C9000000}"/>
    <cellStyle name="Comma 6 2 2" xfId="203" xr:uid="{00000000-0005-0000-0000-0000CA000000}"/>
    <cellStyle name="Comma 6 2 2 2" xfId="204" xr:uid="{00000000-0005-0000-0000-0000CB000000}"/>
    <cellStyle name="Comma 6 2 2 2 2" xfId="205" xr:uid="{00000000-0005-0000-0000-0000CC000000}"/>
    <cellStyle name="Comma 6 2 2 2 3" xfId="206" xr:uid="{00000000-0005-0000-0000-0000CD000000}"/>
    <cellStyle name="Comma 6 2 2 2 4" xfId="207" xr:uid="{00000000-0005-0000-0000-0000CE000000}"/>
    <cellStyle name="Comma 6 2 2 2 5" xfId="208" xr:uid="{00000000-0005-0000-0000-0000CF000000}"/>
    <cellStyle name="Comma 6 2 2 2 6" xfId="209" xr:uid="{00000000-0005-0000-0000-0000D0000000}"/>
    <cellStyle name="Comma 6 2 2 2 7" xfId="210" xr:uid="{00000000-0005-0000-0000-0000D1000000}"/>
    <cellStyle name="Comma 6 2 2 3" xfId="211" xr:uid="{00000000-0005-0000-0000-0000D2000000}"/>
    <cellStyle name="Comma 6 2 2 3 2" xfId="212" xr:uid="{00000000-0005-0000-0000-0000D3000000}"/>
    <cellStyle name="Comma 6 2 2 3 3" xfId="213" xr:uid="{00000000-0005-0000-0000-0000D4000000}"/>
    <cellStyle name="Comma 6 2 2 3 4" xfId="214" xr:uid="{00000000-0005-0000-0000-0000D5000000}"/>
    <cellStyle name="Comma 6 2 2 3 5" xfId="215" xr:uid="{00000000-0005-0000-0000-0000D6000000}"/>
    <cellStyle name="Comma 6 2 2 3 6" xfId="216" xr:uid="{00000000-0005-0000-0000-0000D7000000}"/>
    <cellStyle name="Comma 6 2 2 3 7" xfId="217" xr:uid="{00000000-0005-0000-0000-0000D8000000}"/>
    <cellStyle name="Comma 6 2 3" xfId="218" xr:uid="{00000000-0005-0000-0000-0000D9000000}"/>
    <cellStyle name="Comma 6 2 3 2" xfId="219" xr:uid="{00000000-0005-0000-0000-0000DA000000}"/>
    <cellStyle name="Comma 6 2 3 3" xfId="220" xr:uid="{00000000-0005-0000-0000-0000DB000000}"/>
    <cellStyle name="Comma 6 2 3 4" xfId="221" xr:uid="{00000000-0005-0000-0000-0000DC000000}"/>
    <cellStyle name="Comma 6 2 3 5" xfId="222" xr:uid="{00000000-0005-0000-0000-0000DD000000}"/>
    <cellStyle name="Comma 6 2 3 6" xfId="223" xr:uid="{00000000-0005-0000-0000-0000DE000000}"/>
    <cellStyle name="Comma 6 2 3 7" xfId="224" xr:uid="{00000000-0005-0000-0000-0000DF000000}"/>
    <cellStyle name="Comma 6 2 4" xfId="225" xr:uid="{00000000-0005-0000-0000-0000E0000000}"/>
    <cellStyle name="Comma 6 2 4 2" xfId="226" xr:uid="{00000000-0005-0000-0000-0000E1000000}"/>
    <cellStyle name="Comma 6 2 4 3" xfId="227" xr:uid="{00000000-0005-0000-0000-0000E2000000}"/>
    <cellStyle name="Comma 6 2 4 4" xfId="228" xr:uid="{00000000-0005-0000-0000-0000E3000000}"/>
    <cellStyle name="Comma 6 2 4 5" xfId="229" xr:uid="{00000000-0005-0000-0000-0000E4000000}"/>
    <cellStyle name="Comma 6 2 4 6" xfId="230" xr:uid="{00000000-0005-0000-0000-0000E5000000}"/>
    <cellStyle name="Comma 6 2 4 7" xfId="231" xr:uid="{00000000-0005-0000-0000-0000E6000000}"/>
    <cellStyle name="Comma 6 2 5" xfId="232" xr:uid="{00000000-0005-0000-0000-0000E7000000}"/>
    <cellStyle name="Comma 6 2 5 2" xfId="233" xr:uid="{00000000-0005-0000-0000-0000E8000000}"/>
    <cellStyle name="Comma 6 2 5 3" xfId="234" xr:uid="{00000000-0005-0000-0000-0000E9000000}"/>
    <cellStyle name="Comma 6 2 5 4" xfId="235" xr:uid="{00000000-0005-0000-0000-0000EA000000}"/>
    <cellStyle name="Comma 6 2 5 5" xfId="236" xr:uid="{00000000-0005-0000-0000-0000EB000000}"/>
    <cellStyle name="Comma 6 2 5 6" xfId="237" xr:uid="{00000000-0005-0000-0000-0000EC000000}"/>
    <cellStyle name="Comma 6 2 5 7" xfId="238" xr:uid="{00000000-0005-0000-0000-0000ED000000}"/>
    <cellStyle name="Comma 6 2 6" xfId="239" xr:uid="{00000000-0005-0000-0000-0000EE000000}"/>
    <cellStyle name="Comma 6 2 7" xfId="240" xr:uid="{00000000-0005-0000-0000-0000EF000000}"/>
    <cellStyle name="Comma 6 2 8" xfId="241" xr:uid="{00000000-0005-0000-0000-0000F0000000}"/>
    <cellStyle name="Comma 6 2 9" xfId="242" xr:uid="{00000000-0005-0000-0000-0000F1000000}"/>
    <cellStyle name="Comma 6 3" xfId="243" xr:uid="{00000000-0005-0000-0000-0000F2000000}"/>
    <cellStyle name="Comma 6 3 10" xfId="244" xr:uid="{00000000-0005-0000-0000-0000F3000000}"/>
    <cellStyle name="Comma 6 3 11" xfId="245" xr:uid="{00000000-0005-0000-0000-0000F4000000}"/>
    <cellStyle name="Comma 6 3 12" xfId="246" xr:uid="{00000000-0005-0000-0000-0000F5000000}"/>
    <cellStyle name="Comma 6 3 2" xfId="247" xr:uid="{00000000-0005-0000-0000-0000F6000000}"/>
    <cellStyle name="Comma 6 3 2 2" xfId="248" xr:uid="{00000000-0005-0000-0000-0000F7000000}"/>
    <cellStyle name="Comma 6 3 2 2 2" xfId="249" xr:uid="{00000000-0005-0000-0000-0000F8000000}"/>
    <cellStyle name="Comma 6 3 2 2 3" xfId="250" xr:uid="{00000000-0005-0000-0000-0000F9000000}"/>
    <cellStyle name="Comma 6 3 2 2 4" xfId="251" xr:uid="{00000000-0005-0000-0000-0000FA000000}"/>
    <cellStyle name="Comma 6 3 2 2 5" xfId="252" xr:uid="{00000000-0005-0000-0000-0000FB000000}"/>
    <cellStyle name="Comma 6 3 2 2 6" xfId="253" xr:uid="{00000000-0005-0000-0000-0000FC000000}"/>
    <cellStyle name="Comma 6 3 2 2 7" xfId="254" xr:uid="{00000000-0005-0000-0000-0000FD000000}"/>
    <cellStyle name="Comma 6 3 2 3" xfId="255" xr:uid="{00000000-0005-0000-0000-0000FE000000}"/>
    <cellStyle name="Comma 6 3 2 3 2" xfId="256" xr:uid="{00000000-0005-0000-0000-0000FF000000}"/>
    <cellStyle name="Comma 6 3 2 3 3" xfId="257" xr:uid="{00000000-0005-0000-0000-000000010000}"/>
    <cellStyle name="Comma 6 3 2 3 4" xfId="258" xr:uid="{00000000-0005-0000-0000-000001010000}"/>
    <cellStyle name="Comma 6 3 2 3 5" xfId="259" xr:uid="{00000000-0005-0000-0000-000002010000}"/>
    <cellStyle name="Comma 6 3 2 3 6" xfId="260" xr:uid="{00000000-0005-0000-0000-000003010000}"/>
    <cellStyle name="Comma 6 3 2 3 7" xfId="261" xr:uid="{00000000-0005-0000-0000-000004010000}"/>
    <cellStyle name="Comma 6 3 3" xfId="262" xr:uid="{00000000-0005-0000-0000-000005010000}"/>
    <cellStyle name="Comma 6 3 3 2" xfId="263" xr:uid="{00000000-0005-0000-0000-000006010000}"/>
    <cellStyle name="Comma 6 3 3 3" xfId="264" xr:uid="{00000000-0005-0000-0000-000007010000}"/>
    <cellStyle name="Comma 6 3 3 4" xfId="265" xr:uid="{00000000-0005-0000-0000-000008010000}"/>
    <cellStyle name="Comma 6 3 3 5" xfId="266" xr:uid="{00000000-0005-0000-0000-000009010000}"/>
    <cellStyle name="Comma 6 3 3 6" xfId="267" xr:uid="{00000000-0005-0000-0000-00000A010000}"/>
    <cellStyle name="Comma 6 3 3 7" xfId="268" xr:uid="{00000000-0005-0000-0000-00000B010000}"/>
    <cellStyle name="Comma 6 3 4" xfId="269" xr:uid="{00000000-0005-0000-0000-00000C010000}"/>
    <cellStyle name="Comma 6 3 4 2" xfId="270" xr:uid="{00000000-0005-0000-0000-00000D010000}"/>
    <cellStyle name="Comma 6 3 4 3" xfId="271" xr:uid="{00000000-0005-0000-0000-00000E010000}"/>
    <cellStyle name="Comma 6 3 4 4" xfId="272" xr:uid="{00000000-0005-0000-0000-00000F010000}"/>
    <cellStyle name="Comma 6 3 4 5" xfId="273" xr:uid="{00000000-0005-0000-0000-000010010000}"/>
    <cellStyle name="Comma 6 3 4 6" xfId="274" xr:uid="{00000000-0005-0000-0000-000011010000}"/>
    <cellStyle name="Comma 6 3 4 7" xfId="275" xr:uid="{00000000-0005-0000-0000-000012010000}"/>
    <cellStyle name="Comma 6 3 5" xfId="276" xr:uid="{00000000-0005-0000-0000-000013010000}"/>
    <cellStyle name="Comma 6 3 5 2" xfId="277" xr:uid="{00000000-0005-0000-0000-000014010000}"/>
    <cellStyle name="Comma 6 3 5 3" xfId="278" xr:uid="{00000000-0005-0000-0000-000015010000}"/>
    <cellStyle name="Comma 6 3 5 4" xfId="279" xr:uid="{00000000-0005-0000-0000-000016010000}"/>
    <cellStyle name="Comma 6 3 5 5" xfId="280" xr:uid="{00000000-0005-0000-0000-000017010000}"/>
    <cellStyle name="Comma 6 3 5 6" xfId="281" xr:uid="{00000000-0005-0000-0000-000018010000}"/>
    <cellStyle name="Comma 6 3 5 7" xfId="282" xr:uid="{00000000-0005-0000-0000-000019010000}"/>
    <cellStyle name="Comma 6 3 6" xfId="283" xr:uid="{00000000-0005-0000-0000-00001A010000}"/>
    <cellStyle name="Comma 6 3 7" xfId="284" xr:uid="{00000000-0005-0000-0000-00001B010000}"/>
    <cellStyle name="Comma 6 3 8" xfId="285" xr:uid="{00000000-0005-0000-0000-00001C010000}"/>
    <cellStyle name="Comma 6 3 9" xfId="286" xr:uid="{00000000-0005-0000-0000-00001D010000}"/>
    <cellStyle name="Comma 6 4" xfId="287" xr:uid="{00000000-0005-0000-0000-00001E010000}"/>
    <cellStyle name="Comma 6 5" xfId="288" xr:uid="{00000000-0005-0000-0000-00001F010000}"/>
    <cellStyle name="Comma 6 6" xfId="289" xr:uid="{00000000-0005-0000-0000-000020010000}"/>
    <cellStyle name="Comma 6 7" xfId="290" xr:uid="{00000000-0005-0000-0000-000021010000}"/>
    <cellStyle name="Comma 6 8" xfId="291" xr:uid="{00000000-0005-0000-0000-000022010000}"/>
    <cellStyle name="Comma 6 9" xfId="292" xr:uid="{00000000-0005-0000-0000-000023010000}"/>
    <cellStyle name="Comma 7" xfId="293" xr:uid="{00000000-0005-0000-0000-000024010000}"/>
    <cellStyle name="Comma 7 2" xfId="294" xr:uid="{00000000-0005-0000-0000-000025010000}"/>
    <cellStyle name="Comma 7 2 10" xfId="295" xr:uid="{00000000-0005-0000-0000-000026010000}"/>
    <cellStyle name="Comma 7 2 11" xfId="296" xr:uid="{00000000-0005-0000-0000-000027010000}"/>
    <cellStyle name="Comma 7 2 12" xfId="297" xr:uid="{00000000-0005-0000-0000-000028010000}"/>
    <cellStyle name="Comma 7 2 2" xfId="298" xr:uid="{00000000-0005-0000-0000-000029010000}"/>
    <cellStyle name="Comma 7 2 2 2" xfId="299" xr:uid="{00000000-0005-0000-0000-00002A010000}"/>
    <cellStyle name="Comma 7 2 2 2 2" xfId="300" xr:uid="{00000000-0005-0000-0000-00002B010000}"/>
    <cellStyle name="Comma 7 2 2 2 3" xfId="301" xr:uid="{00000000-0005-0000-0000-00002C010000}"/>
    <cellStyle name="Comma 7 2 2 2 4" xfId="302" xr:uid="{00000000-0005-0000-0000-00002D010000}"/>
    <cellStyle name="Comma 7 2 2 2 5" xfId="303" xr:uid="{00000000-0005-0000-0000-00002E010000}"/>
    <cellStyle name="Comma 7 2 2 2 6" xfId="304" xr:uid="{00000000-0005-0000-0000-00002F010000}"/>
    <cellStyle name="Comma 7 2 2 2 7" xfId="305" xr:uid="{00000000-0005-0000-0000-000030010000}"/>
    <cellStyle name="Comma 7 2 2 3" xfId="306" xr:uid="{00000000-0005-0000-0000-000031010000}"/>
    <cellStyle name="Comma 7 2 2 3 2" xfId="307" xr:uid="{00000000-0005-0000-0000-000032010000}"/>
    <cellStyle name="Comma 7 2 2 3 3" xfId="308" xr:uid="{00000000-0005-0000-0000-000033010000}"/>
    <cellStyle name="Comma 7 2 2 3 4" xfId="309" xr:uid="{00000000-0005-0000-0000-000034010000}"/>
    <cellStyle name="Comma 7 2 2 3 5" xfId="310" xr:uid="{00000000-0005-0000-0000-000035010000}"/>
    <cellStyle name="Comma 7 2 2 3 6" xfId="311" xr:uid="{00000000-0005-0000-0000-000036010000}"/>
    <cellStyle name="Comma 7 2 2 3 7" xfId="312" xr:uid="{00000000-0005-0000-0000-000037010000}"/>
    <cellStyle name="Comma 7 2 3" xfId="313" xr:uid="{00000000-0005-0000-0000-000038010000}"/>
    <cellStyle name="Comma 7 2 3 2" xfId="314" xr:uid="{00000000-0005-0000-0000-000039010000}"/>
    <cellStyle name="Comma 7 2 3 3" xfId="315" xr:uid="{00000000-0005-0000-0000-00003A010000}"/>
    <cellStyle name="Comma 7 2 3 4" xfId="316" xr:uid="{00000000-0005-0000-0000-00003B010000}"/>
    <cellStyle name="Comma 7 2 3 5" xfId="317" xr:uid="{00000000-0005-0000-0000-00003C010000}"/>
    <cellStyle name="Comma 7 2 3 6" xfId="318" xr:uid="{00000000-0005-0000-0000-00003D010000}"/>
    <cellStyle name="Comma 7 2 3 7" xfId="319" xr:uid="{00000000-0005-0000-0000-00003E010000}"/>
    <cellStyle name="Comma 7 2 4" xfId="320" xr:uid="{00000000-0005-0000-0000-00003F010000}"/>
    <cellStyle name="Comma 7 2 4 2" xfId="321" xr:uid="{00000000-0005-0000-0000-000040010000}"/>
    <cellStyle name="Comma 7 2 4 3" xfId="322" xr:uid="{00000000-0005-0000-0000-000041010000}"/>
    <cellStyle name="Comma 7 2 4 4" xfId="323" xr:uid="{00000000-0005-0000-0000-000042010000}"/>
    <cellStyle name="Comma 7 2 4 5" xfId="324" xr:uid="{00000000-0005-0000-0000-000043010000}"/>
    <cellStyle name="Comma 7 2 4 6" xfId="325" xr:uid="{00000000-0005-0000-0000-000044010000}"/>
    <cellStyle name="Comma 7 2 4 7" xfId="326" xr:uid="{00000000-0005-0000-0000-000045010000}"/>
    <cellStyle name="Comma 7 2 5" xfId="327" xr:uid="{00000000-0005-0000-0000-000046010000}"/>
    <cellStyle name="Comma 7 2 5 2" xfId="328" xr:uid="{00000000-0005-0000-0000-000047010000}"/>
    <cellStyle name="Comma 7 2 5 3" xfId="329" xr:uid="{00000000-0005-0000-0000-000048010000}"/>
    <cellStyle name="Comma 7 2 5 4" xfId="330" xr:uid="{00000000-0005-0000-0000-000049010000}"/>
    <cellStyle name="Comma 7 2 5 5" xfId="331" xr:uid="{00000000-0005-0000-0000-00004A010000}"/>
    <cellStyle name="Comma 7 2 5 6" xfId="332" xr:uid="{00000000-0005-0000-0000-00004B010000}"/>
    <cellStyle name="Comma 7 2 5 7" xfId="333" xr:uid="{00000000-0005-0000-0000-00004C010000}"/>
    <cellStyle name="Comma 7 2 6" xfId="334" xr:uid="{00000000-0005-0000-0000-00004D010000}"/>
    <cellStyle name="Comma 7 2 7" xfId="335" xr:uid="{00000000-0005-0000-0000-00004E010000}"/>
    <cellStyle name="Comma 7 2 8" xfId="336" xr:uid="{00000000-0005-0000-0000-00004F010000}"/>
    <cellStyle name="Comma 7 2 9" xfId="337" xr:uid="{00000000-0005-0000-0000-000050010000}"/>
    <cellStyle name="Comma 7 3" xfId="338" xr:uid="{00000000-0005-0000-0000-000051010000}"/>
    <cellStyle name="Comma 7 3 10" xfId="339" xr:uid="{00000000-0005-0000-0000-000052010000}"/>
    <cellStyle name="Comma 7 3 11" xfId="340" xr:uid="{00000000-0005-0000-0000-000053010000}"/>
    <cellStyle name="Comma 7 3 12" xfId="341" xr:uid="{00000000-0005-0000-0000-000054010000}"/>
    <cellStyle name="Comma 7 3 2" xfId="342" xr:uid="{00000000-0005-0000-0000-000055010000}"/>
    <cellStyle name="Comma 7 3 2 2" xfId="343" xr:uid="{00000000-0005-0000-0000-000056010000}"/>
    <cellStyle name="Comma 7 3 2 2 2" xfId="344" xr:uid="{00000000-0005-0000-0000-000057010000}"/>
    <cellStyle name="Comma 7 3 2 2 3" xfId="345" xr:uid="{00000000-0005-0000-0000-000058010000}"/>
    <cellStyle name="Comma 7 3 2 2 4" xfId="346" xr:uid="{00000000-0005-0000-0000-000059010000}"/>
    <cellStyle name="Comma 7 3 2 2 5" xfId="347" xr:uid="{00000000-0005-0000-0000-00005A010000}"/>
    <cellStyle name="Comma 7 3 2 2 6" xfId="348" xr:uid="{00000000-0005-0000-0000-00005B010000}"/>
    <cellStyle name="Comma 7 3 2 2 7" xfId="349" xr:uid="{00000000-0005-0000-0000-00005C010000}"/>
    <cellStyle name="Comma 7 3 2 3" xfId="350" xr:uid="{00000000-0005-0000-0000-00005D010000}"/>
    <cellStyle name="Comma 7 3 2 3 2" xfId="351" xr:uid="{00000000-0005-0000-0000-00005E010000}"/>
    <cellStyle name="Comma 7 3 2 3 3" xfId="352" xr:uid="{00000000-0005-0000-0000-00005F010000}"/>
    <cellStyle name="Comma 7 3 2 3 4" xfId="353" xr:uid="{00000000-0005-0000-0000-000060010000}"/>
    <cellStyle name="Comma 7 3 2 3 5" xfId="354" xr:uid="{00000000-0005-0000-0000-000061010000}"/>
    <cellStyle name="Comma 7 3 2 3 6" xfId="355" xr:uid="{00000000-0005-0000-0000-000062010000}"/>
    <cellStyle name="Comma 7 3 2 3 7" xfId="356" xr:uid="{00000000-0005-0000-0000-000063010000}"/>
    <cellStyle name="Comma 7 3 3" xfId="357" xr:uid="{00000000-0005-0000-0000-000064010000}"/>
    <cellStyle name="Comma 7 3 3 2" xfId="358" xr:uid="{00000000-0005-0000-0000-000065010000}"/>
    <cellStyle name="Comma 7 3 3 3" xfId="359" xr:uid="{00000000-0005-0000-0000-000066010000}"/>
    <cellStyle name="Comma 7 3 3 4" xfId="360" xr:uid="{00000000-0005-0000-0000-000067010000}"/>
    <cellStyle name="Comma 7 3 3 5" xfId="361" xr:uid="{00000000-0005-0000-0000-000068010000}"/>
    <cellStyle name="Comma 7 3 3 6" xfId="362" xr:uid="{00000000-0005-0000-0000-000069010000}"/>
    <cellStyle name="Comma 7 3 3 7" xfId="363" xr:uid="{00000000-0005-0000-0000-00006A010000}"/>
    <cellStyle name="Comma 7 3 4" xfId="364" xr:uid="{00000000-0005-0000-0000-00006B010000}"/>
    <cellStyle name="Comma 7 3 4 2" xfId="365" xr:uid="{00000000-0005-0000-0000-00006C010000}"/>
    <cellStyle name="Comma 7 3 4 3" xfId="366" xr:uid="{00000000-0005-0000-0000-00006D010000}"/>
    <cellStyle name="Comma 7 3 4 4" xfId="367" xr:uid="{00000000-0005-0000-0000-00006E010000}"/>
    <cellStyle name="Comma 7 3 4 5" xfId="368" xr:uid="{00000000-0005-0000-0000-00006F010000}"/>
    <cellStyle name="Comma 7 3 4 6" xfId="369" xr:uid="{00000000-0005-0000-0000-000070010000}"/>
    <cellStyle name="Comma 7 3 4 7" xfId="370" xr:uid="{00000000-0005-0000-0000-000071010000}"/>
    <cellStyle name="Comma 7 3 5" xfId="371" xr:uid="{00000000-0005-0000-0000-000072010000}"/>
    <cellStyle name="Comma 7 3 5 2" xfId="372" xr:uid="{00000000-0005-0000-0000-000073010000}"/>
    <cellStyle name="Comma 7 3 5 3" xfId="373" xr:uid="{00000000-0005-0000-0000-000074010000}"/>
    <cellStyle name="Comma 7 3 5 4" xfId="374" xr:uid="{00000000-0005-0000-0000-000075010000}"/>
    <cellStyle name="Comma 7 3 5 5" xfId="375" xr:uid="{00000000-0005-0000-0000-000076010000}"/>
    <cellStyle name="Comma 7 3 5 6" xfId="376" xr:uid="{00000000-0005-0000-0000-000077010000}"/>
    <cellStyle name="Comma 7 3 5 7" xfId="377" xr:uid="{00000000-0005-0000-0000-000078010000}"/>
    <cellStyle name="Comma 7 3 6" xfId="378" xr:uid="{00000000-0005-0000-0000-000079010000}"/>
    <cellStyle name="Comma 7 3 7" xfId="379" xr:uid="{00000000-0005-0000-0000-00007A010000}"/>
    <cellStyle name="Comma 7 3 8" xfId="380" xr:uid="{00000000-0005-0000-0000-00007B010000}"/>
    <cellStyle name="Comma 7 3 9" xfId="381" xr:uid="{00000000-0005-0000-0000-00007C010000}"/>
    <cellStyle name="Comma 7 4" xfId="382" xr:uid="{00000000-0005-0000-0000-00007D010000}"/>
    <cellStyle name="Comma 7 5" xfId="383" xr:uid="{00000000-0005-0000-0000-00007E010000}"/>
    <cellStyle name="Comma 7 6" xfId="384" xr:uid="{00000000-0005-0000-0000-00007F010000}"/>
    <cellStyle name="Comma 7 7" xfId="385" xr:uid="{00000000-0005-0000-0000-000080010000}"/>
    <cellStyle name="Comma 7 8" xfId="386" xr:uid="{00000000-0005-0000-0000-000081010000}"/>
    <cellStyle name="Comma 7 9" xfId="387" xr:uid="{00000000-0005-0000-0000-000082010000}"/>
    <cellStyle name="Excel Built-in Normal" xfId="388" xr:uid="{00000000-0005-0000-0000-000083010000}"/>
    <cellStyle name="Excel Built-in Normal 10" xfId="389" xr:uid="{00000000-0005-0000-0000-000084010000}"/>
    <cellStyle name="Excel Built-in Normal 11" xfId="390" xr:uid="{00000000-0005-0000-0000-000085010000}"/>
    <cellStyle name="Excel Built-in Normal 2" xfId="391" xr:uid="{00000000-0005-0000-0000-000086010000}"/>
    <cellStyle name="Excel Built-in Normal 3" xfId="392" xr:uid="{00000000-0005-0000-0000-000087010000}"/>
    <cellStyle name="Excel Built-in Normal 4" xfId="393" xr:uid="{00000000-0005-0000-0000-000088010000}"/>
    <cellStyle name="Excel Built-in Normal 5" xfId="394" xr:uid="{00000000-0005-0000-0000-000089010000}"/>
    <cellStyle name="Excel Built-in Normal 6" xfId="395" xr:uid="{00000000-0005-0000-0000-00008A010000}"/>
    <cellStyle name="Excel Built-in Normal 7" xfId="396" xr:uid="{00000000-0005-0000-0000-00008B010000}"/>
    <cellStyle name="Excel Built-in Normal 8" xfId="397" xr:uid="{00000000-0005-0000-0000-00008C010000}"/>
    <cellStyle name="Excel Built-in Normal 9" xfId="398" xr:uid="{00000000-0005-0000-0000-00008D010000}"/>
    <cellStyle name="Hyperlink 2" xfId="399" xr:uid="{00000000-0005-0000-0000-00008E010000}"/>
    <cellStyle name="Neutral" xfId="400" builtinId="28"/>
    <cellStyle name="Normal" xfId="0" builtinId="0"/>
    <cellStyle name="Normal 10" xfId="401" xr:uid="{00000000-0005-0000-0000-000091010000}"/>
    <cellStyle name="Normal 10 10" xfId="402" xr:uid="{00000000-0005-0000-0000-000092010000}"/>
    <cellStyle name="Normal 10 10 8" xfId="1439" xr:uid="{D31821CF-7813-498A-9CA0-A71D658F84C4}"/>
    <cellStyle name="Normal 10 11" xfId="403" xr:uid="{00000000-0005-0000-0000-000093010000}"/>
    <cellStyle name="Normal 10 12" xfId="404" xr:uid="{00000000-0005-0000-0000-000094010000}"/>
    <cellStyle name="Normal 10 2" xfId="405" xr:uid="{00000000-0005-0000-0000-000095010000}"/>
    <cellStyle name="Normal 10 2 2" xfId="406" xr:uid="{00000000-0005-0000-0000-000096010000}"/>
    <cellStyle name="Normal 10 2 3" xfId="407" xr:uid="{00000000-0005-0000-0000-000097010000}"/>
    <cellStyle name="Normal 10 2 4" xfId="408" xr:uid="{00000000-0005-0000-0000-000098010000}"/>
    <cellStyle name="Normal 10 2 5" xfId="409" xr:uid="{00000000-0005-0000-0000-000099010000}"/>
    <cellStyle name="Normal 10 2 6" xfId="410" xr:uid="{00000000-0005-0000-0000-00009A010000}"/>
    <cellStyle name="Normal 10 2 7" xfId="411" xr:uid="{00000000-0005-0000-0000-00009B010000}"/>
    <cellStyle name="Normal 10 3" xfId="412" xr:uid="{00000000-0005-0000-0000-00009C010000}"/>
    <cellStyle name="Normal 10 3 2" xfId="413" xr:uid="{00000000-0005-0000-0000-00009D010000}"/>
    <cellStyle name="Normal 10 3 3" xfId="414" xr:uid="{00000000-0005-0000-0000-00009E010000}"/>
    <cellStyle name="Normal 10 3 4" xfId="415" xr:uid="{00000000-0005-0000-0000-00009F010000}"/>
    <cellStyle name="Normal 10 3 5" xfId="416" xr:uid="{00000000-0005-0000-0000-0000A0010000}"/>
    <cellStyle name="Normal 10 3 6" xfId="417" xr:uid="{00000000-0005-0000-0000-0000A1010000}"/>
    <cellStyle name="Normal 10 3 7" xfId="418" xr:uid="{00000000-0005-0000-0000-0000A2010000}"/>
    <cellStyle name="Normal 10 4" xfId="419" xr:uid="{00000000-0005-0000-0000-0000A3010000}"/>
    <cellStyle name="Normal 10 4 2" xfId="420" xr:uid="{00000000-0005-0000-0000-0000A4010000}"/>
    <cellStyle name="Normal 10 4 3" xfId="421" xr:uid="{00000000-0005-0000-0000-0000A5010000}"/>
    <cellStyle name="Normal 10 4 4" xfId="422" xr:uid="{00000000-0005-0000-0000-0000A6010000}"/>
    <cellStyle name="Normal 10 4 5" xfId="423" xr:uid="{00000000-0005-0000-0000-0000A7010000}"/>
    <cellStyle name="Normal 10 4 6" xfId="424" xr:uid="{00000000-0005-0000-0000-0000A8010000}"/>
    <cellStyle name="Normal 10 4 7" xfId="425" xr:uid="{00000000-0005-0000-0000-0000A9010000}"/>
    <cellStyle name="Normal 10 5" xfId="426" xr:uid="{00000000-0005-0000-0000-0000AA010000}"/>
    <cellStyle name="Normal 10 5 2" xfId="427" xr:uid="{00000000-0005-0000-0000-0000AB010000}"/>
    <cellStyle name="Normal 10 5 3" xfId="428" xr:uid="{00000000-0005-0000-0000-0000AC010000}"/>
    <cellStyle name="Normal 10 5 4" xfId="429" xr:uid="{00000000-0005-0000-0000-0000AD010000}"/>
    <cellStyle name="Normal 10 5 5" xfId="430" xr:uid="{00000000-0005-0000-0000-0000AE010000}"/>
    <cellStyle name="Normal 10 5 6" xfId="431" xr:uid="{00000000-0005-0000-0000-0000AF010000}"/>
    <cellStyle name="Normal 10 5 7" xfId="432" xr:uid="{00000000-0005-0000-0000-0000B0010000}"/>
    <cellStyle name="Normal 10 6" xfId="433" xr:uid="{00000000-0005-0000-0000-0000B1010000}"/>
    <cellStyle name="Normal 10 7" xfId="434" xr:uid="{00000000-0005-0000-0000-0000B2010000}"/>
    <cellStyle name="Normal 10 7 2" xfId="435" xr:uid="{00000000-0005-0000-0000-0000B3010000}"/>
    <cellStyle name="Normal 10 7 3" xfId="436" xr:uid="{00000000-0005-0000-0000-0000B4010000}"/>
    <cellStyle name="Normal 10 7 4" xfId="437" xr:uid="{00000000-0005-0000-0000-0000B5010000}"/>
    <cellStyle name="Normal 10 7 5" xfId="438" xr:uid="{00000000-0005-0000-0000-0000B6010000}"/>
    <cellStyle name="Normal 10 7 6" xfId="439" xr:uid="{00000000-0005-0000-0000-0000B7010000}"/>
    <cellStyle name="Normal 10 8" xfId="440" xr:uid="{00000000-0005-0000-0000-0000B8010000}"/>
    <cellStyle name="Normal 10 9" xfId="441" xr:uid="{00000000-0005-0000-0000-0000B9010000}"/>
    <cellStyle name="Normal 11" xfId="442" xr:uid="{00000000-0005-0000-0000-0000BA010000}"/>
    <cellStyle name="Normal 11 2" xfId="443" xr:uid="{00000000-0005-0000-0000-0000BB010000}"/>
    <cellStyle name="Normal 17" xfId="444" xr:uid="{00000000-0005-0000-0000-0000BC010000}"/>
    <cellStyle name="Normal 18" xfId="445" xr:uid="{00000000-0005-0000-0000-0000BD010000}"/>
    <cellStyle name="Normal 2" xfId="446" xr:uid="{00000000-0005-0000-0000-0000BE010000}"/>
    <cellStyle name="Normal 2 10" xfId="447" xr:uid="{00000000-0005-0000-0000-0000BF010000}"/>
    <cellStyle name="Normal 2 10 10" xfId="448" xr:uid="{00000000-0005-0000-0000-0000C0010000}"/>
    <cellStyle name="Normal 2 10 2" xfId="449" xr:uid="{00000000-0005-0000-0000-0000C1010000}"/>
    <cellStyle name="Normal 2 10 3" xfId="450" xr:uid="{00000000-0005-0000-0000-0000C2010000}"/>
    <cellStyle name="Normal 2 10 4" xfId="451" xr:uid="{00000000-0005-0000-0000-0000C3010000}"/>
    <cellStyle name="Normal 2 10 5" xfId="452" xr:uid="{00000000-0005-0000-0000-0000C4010000}"/>
    <cellStyle name="Normal 2 10 6" xfId="453" xr:uid="{00000000-0005-0000-0000-0000C5010000}"/>
    <cellStyle name="Normal 2 10 7" xfId="454" xr:uid="{00000000-0005-0000-0000-0000C6010000}"/>
    <cellStyle name="Normal 2 10 8" xfId="455" xr:uid="{00000000-0005-0000-0000-0000C7010000}"/>
    <cellStyle name="Normal 2 10 9" xfId="456" xr:uid="{00000000-0005-0000-0000-0000C8010000}"/>
    <cellStyle name="Normal 2 11" xfId="457" xr:uid="{00000000-0005-0000-0000-0000C9010000}"/>
    <cellStyle name="Normal 2 11 10" xfId="458" xr:uid="{00000000-0005-0000-0000-0000CA010000}"/>
    <cellStyle name="Normal 2 11 2" xfId="459" xr:uid="{00000000-0005-0000-0000-0000CB010000}"/>
    <cellStyle name="Normal 2 11 3" xfId="460" xr:uid="{00000000-0005-0000-0000-0000CC010000}"/>
    <cellStyle name="Normal 2 11 4" xfId="461" xr:uid="{00000000-0005-0000-0000-0000CD010000}"/>
    <cellStyle name="Normal 2 11 5" xfId="462" xr:uid="{00000000-0005-0000-0000-0000CE010000}"/>
    <cellStyle name="Normal 2 11 6" xfId="463" xr:uid="{00000000-0005-0000-0000-0000CF010000}"/>
    <cellStyle name="Normal 2 11 7" xfId="464" xr:uid="{00000000-0005-0000-0000-0000D0010000}"/>
    <cellStyle name="Normal 2 11 8" xfId="465" xr:uid="{00000000-0005-0000-0000-0000D1010000}"/>
    <cellStyle name="Normal 2 11 9" xfId="466" xr:uid="{00000000-0005-0000-0000-0000D2010000}"/>
    <cellStyle name="Normal 2 12" xfId="467" xr:uid="{00000000-0005-0000-0000-0000D3010000}"/>
    <cellStyle name="Normal 2 12 10" xfId="468" xr:uid="{00000000-0005-0000-0000-0000D4010000}"/>
    <cellStyle name="Normal 2 12 2" xfId="469" xr:uid="{00000000-0005-0000-0000-0000D5010000}"/>
    <cellStyle name="Normal 2 12 3" xfId="470" xr:uid="{00000000-0005-0000-0000-0000D6010000}"/>
    <cellStyle name="Normal 2 12 4" xfId="471" xr:uid="{00000000-0005-0000-0000-0000D7010000}"/>
    <cellStyle name="Normal 2 12 5" xfId="472" xr:uid="{00000000-0005-0000-0000-0000D8010000}"/>
    <cellStyle name="Normal 2 12 6" xfId="473" xr:uid="{00000000-0005-0000-0000-0000D9010000}"/>
    <cellStyle name="Normal 2 12 7" xfId="474" xr:uid="{00000000-0005-0000-0000-0000DA010000}"/>
    <cellStyle name="Normal 2 12 8" xfId="475" xr:uid="{00000000-0005-0000-0000-0000DB010000}"/>
    <cellStyle name="Normal 2 12 9" xfId="476" xr:uid="{00000000-0005-0000-0000-0000DC010000}"/>
    <cellStyle name="Normal 2 13" xfId="477" xr:uid="{00000000-0005-0000-0000-0000DD010000}"/>
    <cellStyle name="Normal 2 13 2" xfId="478" xr:uid="{00000000-0005-0000-0000-0000DE010000}"/>
    <cellStyle name="Normal 2 13 3" xfId="479" xr:uid="{00000000-0005-0000-0000-0000DF010000}"/>
    <cellStyle name="Normal 2 13 4" xfId="480" xr:uid="{00000000-0005-0000-0000-0000E0010000}"/>
    <cellStyle name="Normal 2 14" xfId="481" xr:uid="{00000000-0005-0000-0000-0000E1010000}"/>
    <cellStyle name="Normal 2 14 2" xfId="482" xr:uid="{00000000-0005-0000-0000-0000E2010000}"/>
    <cellStyle name="Normal 2 14 2 2" xfId="483" xr:uid="{00000000-0005-0000-0000-0000E3010000}"/>
    <cellStyle name="Normal 2 14 2 3" xfId="484" xr:uid="{00000000-0005-0000-0000-0000E4010000}"/>
    <cellStyle name="Normal 2 14 2 4" xfId="485" xr:uid="{00000000-0005-0000-0000-0000E5010000}"/>
    <cellStyle name="Normal 2 14 2 5" xfId="486" xr:uid="{00000000-0005-0000-0000-0000E6010000}"/>
    <cellStyle name="Normal 2 14 2 6" xfId="487" xr:uid="{00000000-0005-0000-0000-0000E7010000}"/>
    <cellStyle name="Normal 2 14 2 7" xfId="488" xr:uid="{00000000-0005-0000-0000-0000E8010000}"/>
    <cellStyle name="Normal 2 15" xfId="489" xr:uid="{00000000-0005-0000-0000-0000E9010000}"/>
    <cellStyle name="Normal 2 15 2" xfId="490" xr:uid="{00000000-0005-0000-0000-0000EA010000}"/>
    <cellStyle name="Normal 2 15 2 2" xfId="491" xr:uid="{00000000-0005-0000-0000-0000EB010000}"/>
    <cellStyle name="Normal 2 15 2 3" xfId="492" xr:uid="{00000000-0005-0000-0000-0000EC010000}"/>
    <cellStyle name="Normal 2 15 2 4" xfId="493" xr:uid="{00000000-0005-0000-0000-0000ED010000}"/>
    <cellStyle name="Normal 2 15 2 5" xfId="494" xr:uid="{00000000-0005-0000-0000-0000EE010000}"/>
    <cellStyle name="Normal 2 15 2 6" xfId="495" xr:uid="{00000000-0005-0000-0000-0000EF010000}"/>
    <cellStyle name="Normal 2 15 2 7" xfId="496" xr:uid="{00000000-0005-0000-0000-0000F0010000}"/>
    <cellStyle name="Normal 2 16" xfId="497" xr:uid="{00000000-0005-0000-0000-0000F1010000}"/>
    <cellStyle name="Normal 2 16 2" xfId="498" xr:uid="{00000000-0005-0000-0000-0000F2010000}"/>
    <cellStyle name="Normal 2 16 3" xfId="499" xr:uid="{00000000-0005-0000-0000-0000F3010000}"/>
    <cellStyle name="Normal 2 16 4" xfId="500" xr:uid="{00000000-0005-0000-0000-0000F4010000}"/>
    <cellStyle name="Normal 2 16 5" xfId="501" xr:uid="{00000000-0005-0000-0000-0000F5010000}"/>
    <cellStyle name="Normal 2 16 6" xfId="502" xr:uid="{00000000-0005-0000-0000-0000F6010000}"/>
    <cellStyle name="Normal 2 16 7" xfId="503" xr:uid="{00000000-0005-0000-0000-0000F7010000}"/>
    <cellStyle name="Normal 2 17" xfId="504" xr:uid="{00000000-0005-0000-0000-0000F8010000}"/>
    <cellStyle name="Normal 2 17 2" xfId="505" xr:uid="{00000000-0005-0000-0000-0000F9010000}"/>
    <cellStyle name="Normal 2 17 3" xfId="506" xr:uid="{00000000-0005-0000-0000-0000FA010000}"/>
    <cellStyle name="Normal 2 17 4" xfId="507" xr:uid="{00000000-0005-0000-0000-0000FB010000}"/>
    <cellStyle name="Normal 2 17 5" xfId="508" xr:uid="{00000000-0005-0000-0000-0000FC010000}"/>
    <cellStyle name="Normal 2 17 6" xfId="509" xr:uid="{00000000-0005-0000-0000-0000FD010000}"/>
    <cellStyle name="Normal 2 17 7" xfId="510" xr:uid="{00000000-0005-0000-0000-0000FE010000}"/>
    <cellStyle name="Normal 2 18" xfId="511" xr:uid="{00000000-0005-0000-0000-0000FF010000}"/>
    <cellStyle name="Normal 2 18 2" xfId="512" xr:uid="{00000000-0005-0000-0000-000000020000}"/>
    <cellStyle name="Normal 2 18 3" xfId="513" xr:uid="{00000000-0005-0000-0000-000001020000}"/>
    <cellStyle name="Normal 2 18 4" xfId="514" xr:uid="{00000000-0005-0000-0000-000002020000}"/>
    <cellStyle name="Normal 2 18 5" xfId="515" xr:uid="{00000000-0005-0000-0000-000003020000}"/>
    <cellStyle name="Normal 2 18 6" xfId="516" xr:uid="{00000000-0005-0000-0000-000004020000}"/>
    <cellStyle name="Normal 2 18 7" xfId="517" xr:uid="{00000000-0005-0000-0000-000005020000}"/>
    <cellStyle name="Normal 2 19" xfId="518" xr:uid="{00000000-0005-0000-0000-000006020000}"/>
    <cellStyle name="Normal 2 19 2" xfId="519" xr:uid="{00000000-0005-0000-0000-000007020000}"/>
    <cellStyle name="Normal 2 19 3" xfId="520" xr:uid="{00000000-0005-0000-0000-000008020000}"/>
    <cellStyle name="Normal 2 19 4" xfId="521" xr:uid="{00000000-0005-0000-0000-000009020000}"/>
    <cellStyle name="Normal 2 19 5" xfId="522" xr:uid="{00000000-0005-0000-0000-00000A020000}"/>
    <cellStyle name="Normal 2 19 6" xfId="523" xr:uid="{00000000-0005-0000-0000-00000B020000}"/>
    <cellStyle name="Normal 2 19 7" xfId="524" xr:uid="{00000000-0005-0000-0000-00000C020000}"/>
    <cellStyle name="Normal 2 2" xfId="525" xr:uid="{00000000-0005-0000-0000-00000D020000}"/>
    <cellStyle name="Normal 2 2 10" xfId="526" xr:uid="{00000000-0005-0000-0000-00000E020000}"/>
    <cellStyle name="Normal 2 2 11" xfId="527" xr:uid="{00000000-0005-0000-0000-00000F020000}"/>
    <cellStyle name="Normal 2 2 12" xfId="528" xr:uid="{00000000-0005-0000-0000-000010020000}"/>
    <cellStyle name="Normal 2 2 13" xfId="529" xr:uid="{00000000-0005-0000-0000-000011020000}"/>
    <cellStyle name="Normal 2 2 14" xfId="530" xr:uid="{00000000-0005-0000-0000-000012020000}"/>
    <cellStyle name="Normal 2 2 14 2" xfId="531" xr:uid="{00000000-0005-0000-0000-000013020000}"/>
    <cellStyle name="Normal 2 2 14 3" xfId="532" xr:uid="{00000000-0005-0000-0000-000014020000}"/>
    <cellStyle name="Normal 2 2 14 4" xfId="533" xr:uid="{00000000-0005-0000-0000-000015020000}"/>
    <cellStyle name="Normal 2 2 14 5" xfId="534" xr:uid="{00000000-0005-0000-0000-000016020000}"/>
    <cellStyle name="Normal 2 2 14 6" xfId="535" xr:uid="{00000000-0005-0000-0000-000017020000}"/>
    <cellStyle name="Normal 2 2 14 7" xfId="536" xr:uid="{00000000-0005-0000-0000-000018020000}"/>
    <cellStyle name="Normal 2 2 15" xfId="537" xr:uid="{00000000-0005-0000-0000-000019020000}"/>
    <cellStyle name="Normal 2 2 16" xfId="538" xr:uid="{00000000-0005-0000-0000-00001A020000}"/>
    <cellStyle name="Normal 2 2 17" xfId="539" xr:uid="{00000000-0005-0000-0000-00001B020000}"/>
    <cellStyle name="Normal 2 2 18" xfId="540" xr:uid="{00000000-0005-0000-0000-00001C020000}"/>
    <cellStyle name="Normal 2 2 19" xfId="541" xr:uid="{00000000-0005-0000-0000-00001D020000}"/>
    <cellStyle name="Normal 2 2 2" xfId="542" xr:uid="{00000000-0005-0000-0000-00001E020000}"/>
    <cellStyle name="Normal 2 2 2 2" xfId="543" xr:uid="{00000000-0005-0000-0000-00001F020000}"/>
    <cellStyle name="Normal 2 2 2 2 10" xfId="544" xr:uid="{00000000-0005-0000-0000-000020020000}"/>
    <cellStyle name="Normal 2 2 2 2 11" xfId="545" xr:uid="{00000000-0005-0000-0000-000021020000}"/>
    <cellStyle name="Normal 2 2 2 2 12" xfId="546" xr:uid="{00000000-0005-0000-0000-000022020000}"/>
    <cellStyle name="Normal 2 2 2 2 2" xfId="547" xr:uid="{00000000-0005-0000-0000-000023020000}"/>
    <cellStyle name="Normal 2 2 2 2 2 2" xfId="548" xr:uid="{00000000-0005-0000-0000-000024020000}"/>
    <cellStyle name="Normal 2 2 2 2 2 2 2" xfId="549" xr:uid="{00000000-0005-0000-0000-000025020000}"/>
    <cellStyle name="Normal 2 2 2 2 2 2 3" xfId="550" xr:uid="{00000000-0005-0000-0000-000026020000}"/>
    <cellStyle name="Normal 2 2 2 2 2 2 4" xfId="551" xr:uid="{00000000-0005-0000-0000-000027020000}"/>
    <cellStyle name="Normal 2 2 2 2 2 2 5" xfId="552" xr:uid="{00000000-0005-0000-0000-000028020000}"/>
    <cellStyle name="Normal 2 2 2 2 2 2 6" xfId="553" xr:uid="{00000000-0005-0000-0000-000029020000}"/>
    <cellStyle name="Normal 2 2 2 2 2 2 7" xfId="554" xr:uid="{00000000-0005-0000-0000-00002A020000}"/>
    <cellStyle name="Normal 2 2 2 2 2 2 8" xfId="555" xr:uid="{00000000-0005-0000-0000-00002B020000}"/>
    <cellStyle name="Normal 2 2 2 2 2 3" xfId="556" xr:uid="{00000000-0005-0000-0000-00002C020000}"/>
    <cellStyle name="Normal 2 2 2 2 3" xfId="557" xr:uid="{00000000-0005-0000-0000-00002D020000}"/>
    <cellStyle name="Normal 2 2 2 2 4" xfId="558" xr:uid="{00000000-0005-0000-0000-00002E020000}"/>
    <cellStyle name="Normal 2 2 2 2 5" xfId="559" xr:uid="{00000000-0005-0000-0000-00002F020000}"/>
    <cellStyle name="Normal 2 2 2 2 6" xfId="560" xr:uid="{00000000-0005-0000-0000-000030020000}"/>
    <cellStyle name="Normal 2 2 2 2 6 2" xfId="561" xr:uid="{00000000-0005-0000-0000-000031020000}"/>
    <cellStyle name="Normal 2 2 2 2 6 3" xfId="562" xr:uid="{00000000-0005-0000-0000-000032020000}"/>
    <cellStyle name="Normal 2 2 2 2 6 4" xfId="563" xr:uid="{00000000-0005-0000-0000-000033020000}"/>
    <cellStyle name="Normal 2 2 2 2 6 5" xfId="564" xr:uid="{00000000-0005-0000-0000-000034020000}"/>
    <cellStyle name="Normal 2 2 2 2 6 6" xfId="565" xr:uid="{00000000-0005-0000-0000-000035020000}"/>
    <cellStyle name="Normal 2 2 2 2 6 7" xfId="566" xr:uid="{00000000-0005-0000-0000-000036020000}"/>
    <cellStyle name="Normal 2 2 2 2 7" xfId="567" xr:uid="{00000000-0005-0000-0000-000037020000}"/>
    <cellStyle name="Normal 2 2 2 2 8" xfId="568" xr:uid="{00000000-0005-0000-0000-000038020000}"/>
    <cellStyle name="Normal 2 2 2 2 9" xfId="569" xr:uid="{00000000-0005-0000-0000-000039020000}"/>
    <cellStyle name="Normal 2 2 2 3" xfId="570" xr:uid="{00000000-0005-0000-0000-00003A020000}"/>
    <cellStyle name="Normal 2 2 2 4" xfId="571" xr:uid="{00000000-0005-0000-0000-00003B020000}"/>
    <cellStyle name="Normal 2 2 2 4 2" xfId="572" xr:uid="{00000000-0005-0000-0000-00003C020000}"/>
    <cellStyle name="Normal 2 2 2 4 2 2" xfId="573" xr:uid="{00000000-0005-0000-0000-00003D020000}"/>
    <cellStyle name="Normal 2 2 2 4 2 2 2" xfId="574" xr:uid="{00000000-0005-0000-0000-00003E020000}"/>
    <cellStyle name="Normal 2 2 2 4 2 2 2 2" xfId="575" xr:uid="{00000000-0005-0000-0000-00003F020000}"/>
    <cellStyle name="Normal 2 2 2 4 2 2 2 3" xfId="576" xr:uid="{00000000-0005-0000-0000-000040020000}"/>
    <cellStyle name="Normal 2 2 2 4 2 2 2 4" xfId="577" xr:uid="{00000000-0005-0000-0000-000041020000}"/>
    <cellStyle name="Normal 2 2 2 4 2 2 2 5" xfId="578" xr:uid="{00000000-0005-0000-0000-000042020000}"/>
    <cellStyle name="Normal 2 2 2 4 2 2 2 6" xfId="579" xr:uid="{00000000-0005-0000-0000-000043020000}"/>
    <cellStyle name="Normal 2 2 2 4 2 3" xfId="580" xr:uid="{00000000-0005-0000-0000-000044020000}"/>
    <cellStyle name="Normal 2 2 2 4 2 4" xfId="581" xr:uid="{00000000-0005-0000-0000-000045020000}"/>
    <cellStyle name="Normal 2 2 2 4 2 5" xfId="582" xr:uid="{00000000-0005-0000-0000-000046020000}"/>
    <cellStyle name="Normal 2 2 2 4 2 6" xfId="583" xr:uid="{00000000-0005-0000-0000-000047020000}"/>
    <cellStyle name="Normal 2 2 2 4 2 7" xfId="584" xr:uid="{00000000-0005-0000-0000-000048020000}"/>
    <cellStyle name="Normal 2 2 2 4 2 8" xfId="585" xr:uid="{00000000-0005-0000-0000-000049020000}"/>
    <cellStyle name="Normal 2 2 2 4 3" xfId="586" xr:uid="{00000000-0005-0000-0000-00004A020000}"/>
    <cellStyle name="Normal 2 2 2 4 3 2" xfId="587" xr:uid="{00000000-0005-0000-0000-00004B020000}"/>
    <cellStyle name="Normal 2 2 2 4 3 3" xfId="588" xr:uid="{00000000-0005-0000-0000-00004C020000}"/>
    <cellStyle name="Normal 2 2 2 4 3 4" xfId="589" xr:uid="{00000000-0005-0000-0000-00004D020000}"/>
    <cellStyle name="Normal 2 2 2 4 3 5" xfId="590" xr:uid="{00000000-0005-0000-0000-00004E020000}"/>
    <cellStyle name="Normal 2 2 2 4 3 6" xfId="591" xr:uid="{00000000-0005-0000-0000-00004F020000}"/>
    <cellStyle name="Normal 2 2 2 4 3 7" xfId="592" xr:uid="{00000000-0005-0000-0000-000050020000}"/>
    <cellStyle name="Normal 2 2 2 4 4" xfId="593" xr:uid="{00000000-0005-0000-0000-000051020000}"/>
    <cellStyle name="Normal 2 2 2 4 4 2" xfId="594" xr:uid="{00000000-0005-0000-0000-000052020000}"/>
    <cellStyle name="Normal 2 2 2 4 4 3" xfId="595" xr:uid="{00000000-0005-0000-0000-000053020000}"/>
    <cellStyle name="Normal 2 2 2 4 4 4" xfId="596" xr:uid="{00000000-0005-0000-0000-000054020000}"/>
    <cellStyle name="Normal 2 2 2 4 4 5" xfId="597" xr:uid="{00000000-0005-0000-0000-000055020000}"/>
    <cellStyle name="Normal 2 2 2 4 4 6" xfId="598" xr:uid="{00000000-0005-0000-0000-000056020000}"/>
    <cellStyle name="Normal 2 2 2 5" xfId="599" xr:uid="{00000000-0005-0000-0000-000057020000}"/>
    <cellStyle name="Normal 2 2 2 5 2" xfId="600" xr:uid="{00000000-0005-0000-0000-000058020000}"/>
    <cellStyle name="Normal 2 2 2 5 3" xfId="601" xr:uid="{00000000-0005-0000-0000-000059020000}"/>
    <cellStyle name="Normal 2 2 2 5 4" xfId="602" xr:uid="{00000000-0005-0000-0000-00005A020000}"/>
    <cellStyle name="Normal 2 2 2 5 5" xfId="603" xr:uid="{00000000-0005-0000-0000-00005B020000}"/>
    <cellStyle name="Normal 2 2 2 5 6" xfId="604" xr:uid="{00000000-0005-0000-0000-00005C020000}"/>
    <cellStyle name="Normal 2 2 2 5 7" xfId="605" xr:uid="{00000000-0005-0000-0000-00005D020000}"/>
    <cellStyle name="Normal 2 2 2 6" xfId="606" xr:uid="{00000000-0005-0000-0000-00005E020000}"/>
    <cellStyle name="Normal 2 2 2 6 2" xfId="607" xr:uid="{00000000-0005-0000-0000-00005F020000}"/>
    <cellStyle name="Normal 2 2 2 6 3" xfId="608" xr:uid="{00000000-0005-0000-0000-000060020000}"/>
    <cellStyle name="Normal 2 2 2 6 4" xfId="609" xr:uid="{00000000-0005-0000-0000-000061020000}"/>
    <cellStyle name="Normal 2 2 2 6 5" xfId="610" xr:uid="{00000000-0005-0000-0000-000062020000}"/>
    <cellStyle name="Normal 2 2 2 6 6" xfId="611" xr:uid="{00000000-0005-0000-0000-000063020000}"/>
    <cellStyle name="Normal 2 2 2 6 7" xfId="612" xr:uid="{00000000-0005-0000-0000-000064020000}"/>
    <cellStyle name="Normal 2 2 2 7" xfId="613" xr:uid="{00000000-0005-0000-0000-000065020000}"/>
    <cellStyle name="Normal 2 2 20" xfId="614" xr:uid="{00000000-0005-0000-0000-000066020000}"/>
    <cellStyle name="Normal 2 2 3" xfId="615" xr:uid="{00000000-0005-0000-0000-000067020000}"/>
    <cellStyle name="Normal 2 2 4" xfId="616" xr:uid="{00000000-0005-0000-0000-000068020000}"/>
    <cellStyle name="Normal 2 2 5" xfId="617" xr:uid="{00000000-0005-0000-0000-000069020000}"/>
    <cellStyle name="Normal 2 2 6" xfId="618" xr:uid="{00000000-0005-0000-0000-00006A020000}"/>
    <cellStyle name="Normal 2 2 7" xfId="619" xr:uid="{00000000-0005-0000-0000-00006B020000}"/>
    <cellStyle name="Normal 2 2 7 10" xfId="620" xr:uid="{00000000-0005-0000-0000-00006C020000}"/>
    <cellStyle name="Normal 2 2 7 11" xfId="621" xr:uid="{00000000-0005-0000-0000-00006D020000}"/>
    <cellStyle name="Normal 2 2 7 12" xfId="622" xr:uid="{00000000-0005-0000-0000-00006E020000}"/>
    <cellStyle name="Normal 2 2 7 2" xfId="623" xr:uid="{00000000-0005-0000-0000-00006F020000}"/>
    <cellStyle name="Normal 2 2 7 2 2" xfId="624" xr:uid="{00000000-0005-0000-0000-000070020000}"/>
    <cellStyle name="Normal 2 2 7 2 2 2" xfId="625" xr:uid="{00000000-0005-0000-0000-000071020000}"/>
    <cellStyle name="Normal 2 2 7 2 2 2 2" xfId="626" xr:uid="{00000000-0005-0000-0000-000072020000}"/>
    <cellStyle name="Normal 2 2 7 2 2 2 3" xfId="627" xr:uid="{00000000-0005-0000-0000-000073020000}"/>
    <cellStyle name="Normal 2 2 7 2 2 2 4" xfId="628" xr:uid="{00000000-0005-0000-0000-000074020000}"/>
    <cellStyle name="Normal 2 2 7 2 2 2 5" xfId="629" xr:uid="{00000000-0005-0000-0000-000075020000}"/>
    <cellStyle name="Normal 2 2 7 2 2 2 6" xfId="630" xr:uid="{00000000-0005-0000-0000-000076020000}"/>
    <cellStyle name="Normal 2 2 7 2 2 3" xfId="631" xr:uid="{00000000-0005-0000-0000-000077020000}"/>
    <cellStyle name="Normal 2 2 7 2 2 4" xfId="632" xr:uid="{00000000-0005-0000-0000-000078020000}"/>
    <cellStyle name="Normal 2 2 7 2 2 5" xfId="633" xr:uid="{00000000-0005-0000-0000-000079020000}"/>
    <cellStyle name="Normal 2 2 7 2 2 6" xfId="634" xr:uid="{00000000-0005-0000-0000-00007A020000}"/>
    <cellStyle name="Normal 2 2 7 2 2 7" xfId="635" xr:uid="{00000000-0005-0000-0000-00007B020000}"/>
    <cellStyle name="Normal 2 2 7 2 3" xfId="636" xr:uid="{00000000-0005-0000-0000-00007C020000}"/>
    <cellStyle name="Normal 2 2 7 2 3 2" xfId="637" xr:uid="{00000000-0005-0000-0000-00007D020000}"/>
    <cellStyle name="Normal 2 2 7 2 3 3" xfId="638" xr:uid="{00000000-0005-0000-0000-00007E020000}"/>
    <cellStyle name="Normal 2 2 7 2 3 4" xfId="639" xr:uid="{00000000-0005-0000-0000-00007F020000}"/>
    <cellStyle name="Normal 2 2 7 2 3 5" xfId="640" xr:uid="{00000000-0005-0000-0000-000080020000}"/>
    <cellStyle name="Normal 2 2 7 2 3 6" xfId="641" xr:uid="{00000000-0005-0000-0000-000081020000}"/>
    <cellStyle name="Normal 2 2 7 2 3 7" xfId="642" xr:uid="{00000000-0005-0000-0000-000082020000}"/>
    <cellStyle name="Normal 2 2 7 2 4" xfId="643" xr:uid="{00000000-0005-0000-0000-000083020000}"/>
    <cellStyle name="Normal 2 2 7 3" xfId="644" xr:uid="{00000000-0005-0000-0000-000084020000}"/>
    <cellStyle name="Normal 2 2 7 3 2" xfId="645" xr:uid="{00000000-0005-0000-0000-000085020000}"/>
    <cellStyle name="Normal 2 2 7 3 3" xfId="646" xr:uid="{00000000-0005-0000-0000-000086020000}"/>
    <cellStyle name="Normal 2 2 7 3 4" xfId="647" xr:uid="{00000000-0005-0000-0000-000087020000}"/>
    <cellStyle name="Normal 2 2 7 3 5" xfId="648" xr:uid="{00000000-0005-0000-0000-000088020000}"/>
    <cellStyle name="Normal 2 2 7 3 6" xfId="649" xr:uid="{00000000-0005-0000-0000-000089020000}"/>
    <cellStyle name="Normal 2 2 7 3 7" xfId="650" xr:uid="{00000000-0005-0000-0000-00008A020000}"/>
    <cellStyle name="Normal 2 2 7 4" xfId="651" xr:uid="{00000000-0005-0000-0000-00008B020000}"/>
    <cellStyle name="Normal 2 2 7 4 2" xfId="652" xr:uid="{00000000-0005-0000-0000-00008C020000}"/>
    <cellStyle name="Normal 2 2 7 4 3" xfId="653" xr:uid="{00000000-0005-0000-0000-00008D020000}"/>
    <cellStyle name="Normal 2 2 7 4 4" xfId="654" xr:uid="{00000000-0005-0000-0000-00008E020000}"/>
    <cellStyle name="Normal 2 2 7 4 5" xfId="655" xr:uid="{00000000-0005-0000-0000-00008F020000}"/>
    <cellStyle name="Normal 2 2 7 4 6" xfId="656" xr:uid="{00000000-0005-0000-0000-000090020000}"/>
    <cellStyle name="Normal 2 2 7 4 7" xfId="657" xr:uid="{00000000-0005-0000-0000-000091020000}"/>
    <cellStyle name="Normal 2 2 7 5" xfId="658" xr:uid="{00000000-0005-0000-0000-000092020000}"/>
    <cellStyle name="Normal 2 2 7 5 2" xfId="659" xr:uid="{00000000-0005-0000-0000-000093020000}"/>
    <cellStyle name="Normal 2 2 7 5 3" xfId="660" xr:uid="{00000000-0005-0000-0000-000094020000}"/>
    <cellStyle name="Normal 2 2 7 5 4" xfId="661" xr:uid="{00000000-0005-0000-0000-000095020000}"/>
    <cellStyle name="Normal 2 2 7 5 5" xfId="662" xr:uid="{00000000-0005-0000-0000-000096020000}"/>
    <cellStyle name="Normal 2 2 7 5 6" xfId="663" xr:uid="{00000000-0005-0000-0000-000097020000}"/>
    <cellStyle name="Normal 2 2 7 5 7" xfId="664" xr:uid="{00000000-0005-0000-0000-000098020000}"/>
    <cellStyle name="Normal 2 2 7 6" xfId="665" xr:uid="{00000000-0005-0000-0000-000099020000}"/>
    <cellStyle name="Normal 2 2 7 7" xfId="666" xr:uid="{00000000-0005-0000-0000-00009A020000}"/>
    <cellStyle name="Normal 2 2 7 8" xfId="667" xr:uid="{00000000-0005-0000-0000-00009B020000}"/>
    <cellStyle name="Normal 2 2 7 9" xfId="668" xr:uid="{00000000-0005-0000-0000-00009C020000}"/>
    <cellStyle name="Normal 2 2 8" xfId="669" xr:uid="{00000000-0005-0000-0000-00009D020000}"/>
    <cellStyle name="Normal 2 2 8 10" xfId="670" xr:uid="{00000000-0005-0000-0000-00009E020000}"/>
    <cellStyle name="Normal 2 2 8 2" xfId="671" xr:uid="{00000000-0005-0000-0000-00009F020000}"/>
    <cellStyle name="Normal 2 2 8 2 2" xfId="672" xr:uid="{00000000-0005-0000-0000-0000A0020000}"/>
    <cellStyle name="Normal 2 2 8 2 2 2" xfId="673" xr:uid="{00000000-0005-0000-0000-0000A1020000}"/>
    <cellStyle name="Normal 2 2 8 2 2 3" xfId="674" xr:uid="{00000000-0005-0000-0000-0000A2020000}"/>
    <cellStyle name="Normal 2 2 8 2 2 4" xfId="675" xr:uid="{00000000-0005-0000-0000-0000A3020000}"/>
    <cellStyle name="Normal 2 2 8 2 2 5" xfId="676" xr:uid="{00000000-0005-0000-0000-0000A4020000}"/>
    <cellStyle name="Normal 2 2 8 2 2 6" xfId="677" xr:uid="{00000000-0005-0000-0000-0000A5020000}"/>
    <cellStyle name="Normal 2 2 8 2 2 7" xfId="678" xr:uid="{00000000-0005-0000-0000-0000A6020000}"/>
    <cellStyle name="Normal 2 2 8 3" xfId="679" xr:uid="{00000000-0005-0000-0000-0000A7020000}"/>
    <cellStyle name="Normal 2 2 8 4" xfId="680" xr:uid="{00000000-0005-0000-0000-0000A8020000}"/>
    <cellStyle name="Normal 2 2 8 5" xfId="681" xr:uid="{00000000-0005-0000-0000-0000A9020000}"/>
    <cellStyle name="Normal 2 2 8 6" xfId="682" xr:uid="{00000000-0005-0000-0000-0000AA020000}"/>
    <cellStyle name="Normal 2 2 8 7" xfId="683" xr:uid="{00000000-0005-0000-0000-0000AB020000}"/>
    <cellStyle name="Normal 2 2 8 8" xfId="684" xr:uid="{00000000-0005-0000-0000-0000AC020000}"/>
    <cellStyle name="Normal 2 2 8 9" xfId="685" xr:uid="{00000000-0005-0000-0000-0000AD020000}"/>
    <cellStyle name="Normal 2 2 9" xfId="686" xr:uid="{00000000-0005-0000-0000-0000AE020000}"/>
    <cellStyle name="Normal 2 2 9 2" xfId="687" xr:uid="{00000000-0005-0000-0000-0000AF020000}"/>
    <cellStyle name="Normal 2 2 9 2 2" xfId="688" xr:uid="{00000000-0005-0000-0000-0000B0020000}"/>
    <cellStyle name="Normal 2 3" xfId="689" xr:uid="{00000000-0005-0000-0000-0000B1020000}"/>
    <cellStyle name="Normal 2 4" xfId="690" xr:uid="{00000000-0005-0000-0000-0000B2020000}"/>
    <cellStyle name="Normal 2 5" xfId="691" xr:uid="{00000000-0005-0000-0000-0000B3020000}"/>
    <cellStyle name="Normal 2 6" xfId="692" xr:uid="{00000000-0005-0000-0000-0000B4020000}"/>
    <cellStyle name="Normal 2 7" xfId="693" xr:uid="{00000000-0005-0000-0000-0000B5020000}"/>
    <cellStyle name="Normal 2 8" xfId="694" xr:uid="{00000000-0005-0000-0000-0000B6020000}"/>
    <cellStyle name="Normal 2 9" xfId="695" xr:uid="{00000000-0005-0000-0000-0000B7020000}"/>
    <cellStyle name="Normal 2 9 10" xfId="696" xr:uid="{00000000-0005-0000-0000-0000B8020000}"/>
    <cellStyle name="Normal 2 9 2" xfId="697" xr:uid="{00000000-0005-0000-0000-0000B9020000}"/>
    <cellStyle name="Normal 2 9 2 10" xfId="698" xr:uid="{00000000-0005-0000-0000-0000BA020000}"/>
    <cellStyle name="Normal 2 9 2 11" xfId="699" xr:uid="{00000000-0005-0000-0000-0000BB020000}"/>
    <cellStyle name="Normal 2 9 2 2" xfId="700" xr:uid="{00000000-0005-0000-0000-0000BC020000}"/>
    <cellStyle name="Normal 2 9 2 2 2" xfId="701" xr:uid="{00000000-0005-0000-0000-0000BD020000}"/>
    <cellStyle name="Normal 2 9 2 2 2 2" xfId="702" xr:uid="{00000000-0005-0000-0000-0000BE020000}"/>
    <cellStyle name="Normal 2 9 2 2 2 2 2" xfId="703" xr:uid="{00000000-0005-0000-0000-0000BF020000}"/>
    <cellStyle name="Normal 2 9 2 2 2 2 3" xfId="704" xr:uid="{00000000-0005-0000-0000-0000C0020000}"/>
    <cellStyle name="Normal 2 9 2 2 2 2 4" xfId="705" xr:uid="{00000000-0005-0000-0000-0000C1020000}"/>
    <cellStyle name="Normal 2 9 2 2 2 2 5" xfId="706" xr:uid="{00000000-0005-0000-0000-0000C2020000}"/>
    <cellStyle name="Normal 2 9 2 2 2 2 6" xfId="707" xr:uid="{00000000-0005-0000-0000-0000C3020000}"/>
    <cellStyle name="Normal 2 9 2 2 2 3" xfId="708" xr:uid="{00000000-0005-0000-0000-0000C4020000}"/>
    <cellStyle name="Normal 2 9 2 2 2 4" xfId="709" xr:uid="{00000000-0005-0000-0000-0000C5020000}"/>
    <cellStyle name="Normal 2 9 2 2 2 5" xfId="710" xr:uid="{00000000-0005-0000-0000-0000C6020000}"/>
    <cellStyle name="Normal 2 9 2 2 2 6" xfId="711" xr:uid="{00000000-0005-0000-0000-0000C7020000}"/>
    <cellStyle name="Normal 2 9 2 2 2 7" xfId="712" xr:uid="{00000000-0005-0000-0000-0000C8020000}"/>
    <cellStyle name="Normal 2 9 2 2 3" xfId="713" xr:uid="{00000000-0005-0000-0000-0000C9020000}"/>
    <cellStyle name="Normal 2 9 2 2 3 2" xfId="714" xr:uid="{00000000-0005-0000-0000-0000CA020000}"/>
    <cellStyle name="Normal 2 9 2 2 3 3" xfId="715" xr:uid="{00000000-0005-0000-0000-0000CB020000}"/>
    <cellStyle name="Normal 2 9 2 2 3 4" xfId="716" xr:uid="{00000000-0005-0000-0000-0000CC020000}"/>
    <cellStyle name="Normal 2 9 2 2 3 5" xfId="717" xr:uid="{00000000-0005-0000-0000-0000CD020000}"/>
    <cellStyle name="Normal 2 9 2 2 3 6" xfId="718" xr:uid="{00000000-0005-0000-0000-0000CE020000}"/>
    <cellStyle name="Normal 2 9 2 2 3 7" xfId="719" xr:uid="{00000000-0005-0000-0000-0000CF020000}"/>
    <cellStyle name="Normal 2 9 2 2 4" xfId="720" xr:uid="{00000000-0005-0000-0000-0000D0020000}"/>
    <cellStyle name="Normal 2 9 2 3" xfId="721" xr:uid="{00000000-0005-0000-0000-0000D1020000}"/>
    <cellStyle name="Normal 2 9 2 3 2" xfId="722" xr:uid="{00000000-0005-0000-0000-0000D2020000}"/>
    <cellStyle name="Normal 2 9 2 3 3" xfId="723" xr:uid="{00000000-0005-0000-0000-0000D3020000}"/>
    <cellStyle name="Normal 2 9 2 3 4" xfId="724" xr:uid="{00000000-0005-0000-0000-0000D4020000}"/>
    <cellStyle name="Normal 2 9 2 3 5" xfId="725" xr:uid="{00000000-0005-0000-0000-0000D5020000}"/>
    <cellStyle name="Normal 2 9 2 3 6" xfId="726" xr:uid="{00000000-0005-0000-0000-0000D6020000}"/>
    <cellStyle name="Normal 2 9 2 3 7" xfId="727" xr:uid="{00000000-0005-0000-0000-0000D7020000}"/>
    <cellStyle name="Normal 2 9 2 4" xfId="728" xr:uid="{00000000-0005-0000-0000-0000D8020000}"/>
    <cellStyle name="Normal 2 9 2 4 2" xfId="729" xr:uid="{00000000-0005-0000-0000-0000D9020000}"/>
    <cellStyle name="Normal 2 9 2 4 3" xfId="730" xr:uid="{00000000-0005-0000-0000-0000DA020000}"/>
    <cellStyle name="Normal 2 9 2 4 4" xfId="731" xr:uid="{00000000-0005-0000-0000-0000DB020000}"/>
    <cellStyle name="Normal 2 9 2 4 5" xfId="732" xr:uid="{00000000-0005-0000-0000-0000DC020000}"/>
    <cellStyle name="Normal 2 9 2 4 6" xfId="733" xr:uid="{00000000-0005-0000-0000-0000DD020000}"/>
    <cellStyle name="Normal 2 9 2 4 7" xfId="734" xr:uid="{00000000-0005-0000-0000-0000DE020000}"/>
    <cellStyle name="Normal 2 9 2 5" xfId="735" xr:uid="{00000000-0005-0000-0000-0000DF020000}"/>
    <cellStyle name="Normal 2 9 2 5 2" xfId="736" xr:uid="{00000000-0005-0000-0000-0000E0020000}"/>
    <cellStyle name="Normal 2 9 2 5 3" xfId="737" xr:uid="{00000000-0005-0000-0000-0000E1020000}"/>
    <cellStyle name="Normal 2 9 2 5 4" xfId="738" xr:uid="{00000000-0005-0000-0000-0000E2020000}"/>
    <cellStyle name="Normal 2 9 2 5 5" xfId="739" xr:uid="{00000000-0005-0000-0000-0000E3020000}"/>
    <cellStyle name="Normal 2 9 2 5 6" xfId="740" xr:uid="{00000000-0005-0000-0000-0000E4020000}"/>
    <cellStyle name="Normal 2 9 2 5 7" xfId="741" xr:uid="{00000000-0005-0000-0000-0000E5020000}"/>
    <cellStyle name="Normal 2 9 2 6" xfId="742" xr:uid="{00000000-0005-0000-0000-0000E6020000}"/>
    <cellStyle name="Normal 2 9 2 7" xfId="743" xr:uid="{00000000-0005-0000-0000-0000E7020000}"/>
    <cellStyle name="Normal 2 9 2 8" xfId="744" xr:uid="{00000000-0005-0000-0000-0000E8020000}"/>
    <cellStyle name="Normal 2 9 2 9" xfId="745" xr:uid="{00000000-0005-0000-0000-0000E9020000}"/>
    <cellStyle name="Normal 2 9 3" xfId="746" xr:uid="{00000000-0005-0000-0000-0000EA020000}"/>
    <cellStyle name="Normal 2 9 3 10" xfId="747" xr:uid="{00000000-0005-0000-0000-0000EB020000}"/>
    <cellStyle name="Normal 2 9 3 11" xfId="748" xr:uid="{00000000-0005-0000-0000-0000EC020000}"/>
    <cellStyle name="Normal 2 9 3 12" xfId="749" xr:uid="{00000000-0005-0000-0000-0000ED020000}"/>
    <cellStyle name="Normal 2 9 3 2" xfId="750" xr:uid="{00000000-0005-0000-0000-0000EE020000}"/>
    <cellStyle name="Normal 2 9 3 2 2" xfId="751" xr:uid="{00000000-0005-0000-0000-0000EF020000}"/>
    <cellStyle name="Normal 2 9 3 2 2 2" xfId="752" xr:uid="{00000000-0005-0000-0000-0000F0020000}"/>
    <cellStyle name="Normal 2 9 3 2 2 3" xfId="753" xr:uid="{00000000-0005-0000-0000-0000F1020000}"/>
    <cellStyle name="Normal 2 9 3 2 2 4" xfId="754" xr:uid="{00000000-0005-0000-0000-0000F2020000}"/>
    <cellStyle name="Normal 2 9 3 2 2 5" xfId="755" xr:uid="{00000000-0005-0000-0000-0000F3020000}"/>
    <cellStyle name="Normal 2 9 3 2 2 6" xfId="756" xr:uid="{00000000-0005-0000-0000-0000F4020000}"/>
    <cellStyle name="Normal 2 9 3 2 2 7" xfId="757" xr:uid="{00000000-0005-0000-0000-0000F5020000}"/>
    <cellStyle name="Normal 2 9 3 2 3" xfId="758" xr:uid="{00000000-0005-0000-0000-0000F6020000}"/>
    <cellStyle name="Normal 2 9 3 2 3 2" xfId="759" xr:uid="{00000000-0005-0000-0000-0000F7020000}"/>
    <cellStyle name="Normal 2 9 3 2 3 3" xfId="760" xr:uid="{00000000-0005-0000-0000-0000F8020000}"/>
    <cellStyle name="Normal 2 9 3 2 3 4" xfId="761" xr:uid="{00000000-0005-0000-0000-0000F9020000}"/>
    <cellStyle name="Normal 2 9 3 2 3 5" xfId="762" xr:uid="{00000000-0005-0000-0000-0000FA020000}"/>
    <cellStyle name="Normal 2 9 3 2 3 6" xfId="763" xr:uid="{00000000-0005-0000-0000-0000FB020000}"/>
    <cellStyle name="Normal 2 9 3 2 3 7" xfId="764" xr:uid="{00000000-0005-0000-0000-0000FC020000}"/>
    <cellStyle name="Normal 2 9 3 3" xfId="765" xr:uid="{00000000-0005-0000-0000-0000FD020000}"/>
    <cellStyle name="Normal 2 9 3 3 2" xfId="766" xr:uid="{00000000-0005-0000-0000-0000FE020000}"/>
    <cellStyle name="Normal 2 9 3 3 3" xfId="767" xr:uid="{00000000-0005-0000-0000-0000FF020000}"/>
    <cellStyle name="Normal 2 9 3 3 4" xfId="768" xr:uid="{00000000-0005-0000-0000-000000030000}"/>
    <cellStyle name="Normal 2 9 3 3 5" xfId="769" xr:uid="{00000000-0005-0000-0000-000001030000}"/>
    <cellStyle name="Normal 2 9 3 3 6" xfId="770" xr:uid="{00000000-0005-0000-0000-000002030000}"/>
    <cellStyle name="Normal 2 9 3 3 7" xfId="771" xr:uid="{00000000-0005-0000-0000-000003030000}"/>
    <cellStyle name="Normal 2 9 3 4" xfId="772" xr:uid="{00000000-0005-0000-0000-000004030000}"/>
    <cellStyle name="Normal 2 9 3 4 2" xfId="773" xr:uid="{00000000-0005-0000-0000-000005030000}"/>
    <cellStyle name="Normal 2 9 3 4 3" xfId="774" xr:uid="{00000000-0005-0000-0000-000006030000}"/>
    <cellStyle name="Normal 2 9 3 4 4" xfId="775" xr:uid="{00000000-0005-0000-0000-000007030000}"/>
    <cellStyle name="Normal 2 9 3 4 5" xfId="776" xr:uid="{00000000-0005-0000-0000-000008030000}"/>
    <cellStyle name="Normal 2 9 3 4 6" xfId="777" xr:uid="{00000000-0005-0000-0000-000009030000}"/>
    <cellStyle name="Normal 2 9 3 4 7" xfId="778" xr:uid="{00000000-0005-0000-0000-00000A030000}"/>
    <cellStyle name="Normal 2 9 3 5" xfId="779" xr:uid="{00000000-0005-0000-0000-00000B030000}"/>
    <cellStyle name="Normal 2 9 3 5 2" xfId="780" xr:uid="{00000000-0005-0000-0000-00000C030000}"/>
    <cellStyle name="Normal 2 9 3 5 3" xfId="781" xr:uid="{00000000-0005-0000-0000-00000D030000}"/>
    <cellStyle name="Normal 2 9 3 5 4" xfId="782" xr:uid="{00000000-0005-0000-0000-00000E030000}"/>
    <cellStyle name="Normal 2 9 3 5 5" xfId="783" xr:uid="{00000000-0005-0000-0000-00000F030000}"/>
    <cellStyle name="Normal 2 9 3 5 6" xfId="784" xr:uid="{00000000-0005-0000-0000-000010030000}"/>
    <cellStyle name="Normal 2 9 3 5 7" xfId="785" xr:uid="{00000000-0005-0000-0000-000011030000}"/>
    <cellStyle name="Normal 2 9 3 6" xfId="786" xr:uid="{00000000-0005-0000-0000-000012030000}"/>
    <cellStyle name="Normal 2 9 3 7" xfId="787" xr:uid="{00000000-0005-0000-0000-000013030000}"/>
    <cellStyle name="Normal 2 9 3 8" xfId="788" xr:uid="{00000000-0005-0000-0000-000014030000}"/>
    <cellStyle name="Normal 2 9 3 9" xfId="789" xr:uid="{00000000-0005-0000-0000-000015030000}"/>
    <cellStyle name="Normal 2 9 4" xfId="790" xr:uid="{00000000-0005-0000-0000-000016030000}"/>
    <cellStyle name="Normal 2 9 4 10" xfId="791" xr:uid="{00000000-0005-0000-0000-000017030000}"/>
    <cellStyle name="Normal 2 9 4 2" xfId="792" xr:uid="{00000000-0005-0000-0000-000018030000}"/>
    <cellStyle name="Normal 2 9 4 2 2" xfId="793" xr:uid="{00000000-0005-0000-0000-000019030000}"/>
    <cellStyle name="Normal 2 9 4 2 2 2" xfId="794" xr:uid="{00000000-0005-0000-0000-00001A030000}"/>
    <cellStyle name="Normal 2 9 4 2 2 3" xfId="795" xr:uid="{00000000-0005-0000-0000-00001B030000}"/>
    <cellStyle name="Normal 2 9 4 2 2 4" xfId="796" xr:uid="{00000000-0005-0000-0000-00001C030000}"/>
    <cellStyle name="Normal 2 9 4 2 2 5" xfId="797" xr:uid="{00000000-0005-0000-0000-00001D030000}"/>
    <cellStyle name="Normal 2 9 4 2 2 6" xfId="798" xr:uid="{00000000-0005-0000-0000-00001E030000}"/>
    <cellStyle name="Normal 2 9 4 2 2 7" xfId="799" xr:uid="{00000000-0005-0000-0000-00001F030000}"/>
    <cellStyle name="Normal 2 9 4 3" xfId="800" xr:uid="{00000000-0005-0000-0000-000020030000}"/>
    <cellStyle name="Normal 2 9 4 4" xfId="801" xr:uid="{00000000-0005-0000-0000-000021030000}"/>
    <cellStyle name="Normal 2 9 4 5" xfId="802" xr:uid="{00000000-0005-0000-0000-000022030000}"/>
    <cellStyle name="Normal 2 9 4 6" xfId="803" xr:uid="{00000000-0005-0000-0000-000023030000}"/>
    <cellStyle name="Normal 2 9 4 7" xfId="804" xr:uid="{00000000-0005-0000-0000-000024030000}"/>
    <cellStyle name="Normal 2 9 4 8" xfId="805" xr:uid="{00000000-0005-0000-0000-000025030000}"/>
    <cellStyle name="Normal 2 9 4 9" xfId="806" xr:uid="{00000000-0005-0000-0000-000026030000}"/>
    <cellStyle name="Normal 2 9 5" xfId="807" xr:uid="{00000000-0005-0000-0000-000027030000}"/>
    <cellStyle name="Normal 2 9 6" xfId="808" xr:uid="{00000000-0005-0000-0000-000028030000}"/>
    <cellStyle name="Normal 2 9 7" xfId="809" xr:uid="{00000000-0005-0000-0000-000029030000}"/>
    <cellStyle name="Normal 2 9 8" xfId="810" xr:uid="{00000000-0005-0000-0000-00002A030000}"/>
    <cellStyle name="Normal 2 9 9" xfId="811" xr:uid="{00000000-0005-0000-0000-00002B030000}"/>
    <cellStyle name="Normal 2 9 9 2" xfId="812" xr:uid="{00000000-0005-0000-0000-00002C030000}"/>
    <cellStyle name="Normal 2 9 9 3" xfId="813" xr:uid="{00000000-0005-0000-0000-00002D030000}"/>
    <cellStyle name="Normal 2 9 9 4" xfId="814" xr:uid="{00000000-0005-0000-0000-00002E030000}"/>
    <cellStyle name="Normal 2 9 9 5" xfId="815" xr:uid="{00000000-0005-0000-0000-00002F030000}"/>
    <cellStyle name="Normal 2 9 9 6" xfId="816" xr:uid="{00000000-0005-0000-0000-000030030000}"/>
    <cellStyle name="Normal 2 9 9 7" xfId="817" xr:uid="{00000000-0005-0000-0000-000031030000}"/>
    <cellStyle name="Normal 3" xfId="818" xr:uid="{00000000-0005-0000-0000-000032030000}"/>
    <cellStyle name="Normal 3 2" xfId="819" xr:uid="{00000000-0005-0000-0000-000033030000}"/>
    <cellStyle name="Normal 3 2 2" xfId="820" xr:uid="{00000000-0005-0000-0000-000034030000}"/>
    <cellStyle name="Normal 3 2 3" xfId="821" xr:uid="{00000000-0005-0000-0000-000035030000}"/>
    <cellStyle name="Normal 3 2 4" xfId="822" xr:uid="{00000000-0005-0000-0000-000036030000}"/>
    <cellStyle name="Normal 3 3" xfId="823" xr:uid="{00000000-0005-0000-0000-000037030000}"/>
    <cellStyle name="Normal 3 3 2" xfId="824" xr:uid="{00000000-0005-0000-0000-000038030000}"/>
    <cellStyle name="Normal 3 3 3" xfId="825" xr:uid="{00000000-0005-0000-0000-000039030000}"/>
    <cellStyle name="Normal 3 3 4" xfId="826" xr:uid="{00000000-0005-0000-0000-00003A030000}"/>
    <cellStyle name="Normal 3 4" xfId="827" xr:uid="{00000000-0005-0000-0000-00003B030000}"/>
    <cellStyle name="Normal 3 5" xfId="828" xr:uid="{00000000-0005-0000-0000-00003C030000}"/>
    <cellStyle name="Normal 3 6" xfId="829" xr:uid="{00000000-0005-0000-0000-00003D030000}"/>
    <cellStyle name="Normal 3 7" xfId="1436" xr:uid="{E9188234-81DE-4B84-B499-705E25B68DD5}"/>
    <cellStyle name="Normal 4" xfId="830" xr:uid="{00000000-0005-0000-0000-00003E030000}"/>
    <cellStyle name="Normal 4 2" xfId="831" xr:uid="{00000000-0005-0000-0000-00003F030000}"/>
    <cellStyle name="Normal 4 2 10" xfId="832" xr:uid="{00000000-0005-0000-0000-000040030000}"/>
    <cellStyle name="Normal 4 2 11" xfId="833" xr:uid="{00000000-0005-0000-0000-000041030000}"/>
    <cellStyle name="Normal 4 2 12" xfId="834" xr:uid="{00000000-0005-0000-0000-000042030000}"/>
    <cellStyle name="Normal 4 2 2" xfId="835" xr:uid="{00000000-0005-0000-0000-000043030000}"/>
    <cellStyle name="Normal 4 2 2 2" xfId="836" xr:uid="{00000000-0005-0000-0000-000044030000}"/>
    <cellStyle name="Normal 4 2 2 2 2" xfId="837" xr:uid="{00000000-0005-0000-0000-000045030000}"/>
    <cellStyle name="Normal 4 2 2 2 3" xfId="838" xr:uid="{00000000-0005-0000-0000-000046030000}"/>
    <cellStyle name="Normal 4 2 2 2 4" xfId="839" xr:uid="{00000000-0005-0000-0000-000047030000}"/>
    <cellStyle name="Normal 4 2 2 2 5" xfId="840" xr:uid="{00000000-0005-0000-0000-000048030000}"/>
    <cellStyle name="Normal 4 2 2 2 6" xfId="841" xr:uid="{00000000-0005-0000-0000-000049030000}"/>
    <cellStyle name="Normal 4 2 2 2 7" xfId="842" xr:uid="{00000000-0005-0000-0000-00004A030000}"/>
    <cellStyle name="Normal 4 2 2 3" xfId="843" xr:uid="{00000000-0005-0000-0000-00004B030000}"/>
    <cellStyle name="Normal 4 2 2 3 2" xfId="844" xr:uid="{00000000-0005-0000-0000-00004C030000}"/>
    <cellStyle name="Normal 4 2 2 3 3" xfId="845" xr:uid="{00000000-0005-0000-0000-00004D030000}"/>
    <cellStyle name="Normal 4 2 2 3 4" xfId="846" xr:uid="{00000000-0005-0000-0000-00004E030000}"/>
    <cellStyle name="Normal 4 2 2 3 5" xfId="847" xr:uid="{00000000-0005-0000-0000-00004F030000}"/>
    <cellStyle name="Normal 4 2 2 3 6" xfId="848" xr:uid="{00000000-0005-0000-0000-000050030000}"/>
    <cellStyle name="Normal 4 2 2 3 7" xfId="849" xr:uid="{00000000-0005-0000-0000-000051030000}"/>
    <cellStyle name="Normal 4 2 3" xfId="850" xr:uid="{00000000-0005-0000-0000-000052030000}"/>
    <cellStyle name="Normal 4 2 3 2" xfId="851" xr:uid="{00000000-0005-0000-0000-000053030000}"/>
    <cellStyle name="Normal 4 2 3 3" xfId="852" xr:uid="{00000000-0005-0000-0000-000054030000}"/>
    <cellStyle name="Normal 4 2 3 4" xfId="853" xr:uid="{00000000-0005-0000-0000-000055030000}"/>
    <cellStyle name="Normal 4 2 3 5" xfId="854" xr:uid="{00000000-0005-0000-0000-000056030000}"/>
    <cellStyle name="Normal 4 2 3 6" xfId="855" xr:uid="{00000000-0005-0000-0000-000057030000}"/>
    <cellStyle name="Normal 4 2 3 7" xfId="856" xr:uid="{00000000-0005-0000-0000-000058030000}"/>
    <cellStyle name="Normal 4 2 4" xfId="857" xr:uid="{00000000-0005-0000-0000-000059030000}"/>
    <cellStyle name="Normal 4 2 4 2" xfId="858" xr:uid="{00000000-0005-0000-0000-00005A030000}"/>
    <cellStyle name="Normal 4 2 4 3" xfId="859" xr:uid="{00000000-0005-0000-0000-00005B030000}"/>
    <cellStyle name="Normal 4 2 4 4" xfId="860" xr:uid="{00000000-0005-0000-0000-00005C030000}"/>
    <cellStyle name="Normal 4 2 4 5" xfId="861" xr:uid="{00000000-0005-0000-0000-00005D030000}"/>
    <cellStyle name="Normal 4 2 4 6" xfId="862" xr:uid="{00000000-0005-0000-0000-00005E030000}"/>
    <cellStyle name="Normal 4 2 4 7" xfId="863" xr:uid="{00000000-0005-0000-0000-00005F030000}"/>
    <cellStyle name="Normal 4 2 5" xfId="864" xr:uid="{00000000-0005-0000-0000-000060030000}"/>
    <cellStyle name="Normal 4 2 5 2" xfId="865" xr:uid="{00000000-0005-0000-0000-000061030000}"/>
    <cellStyle name="Normal 4 2 5 3" xfId="866" xr:uid="{00000000-0005-0000-0000-000062030000}"/>
    <cellStyle name="Normal 4 2 5 4" xfId="867" xr:uid="{00000000-0005-0000-0000-000063030000}"/>
    <cellStyle name="Normal 4 2 5 5" xfId="868" xr:uid="{00000000-0005-0000-0000-000064030000}"/>
    <cellStyle name="Normal 4 2 5 6" xfId="869" xr:uid="{00000000-0005-0000-0000-000065030000}"/>
    <cellStyle name="Normal 4 2 5 7" xfId="870" xr:uid="{00000000-0005-0000-0000-000066030000}"/>
    <cellStyle name="Normal 4 2 6" xfId="871" xr:uid="{00000000-0005-0000-0000-000067030000}"/>
    <cellStyle name="Normal 4 2 7" xfId="872" xr:uid="{00000000-0005-0000-0000-000068030000}"/>
    <cellStyle name="Normal 4 2 8" xfId="873" xr:uid="{00000000-0005-0000-0000-000069030000}"/>
    <cellStyle name="Normal 4 2 9" xfId="874" xr:uid="{00000000-0005-0000-0000-00006A030000}"/>
    <cellStyle name="Normal 4 3" xfId="875" xr:uid="{00000000-0005-0000-0000-00006B030000}"/>
    <cellStyle name="Normal 4 3 10" xfId="876" xr:uid="{00000000-0005-0000-0000-00006C030000}"/>
    <cellStyle name="Normal 4 3 11" xfId="877" xr:uid="{00000000-0005-0000-0000-00006D030000}"/>
    <cellStyle name="Normal 4 3 12" xfId="878" xr:uid="{00000000-0005-0000-0000-00006E030000}"/>
    <cellStyle name="Normal 4 3 2" xfId="879" xr:uid="{00000000-0005-0000-0000-00006F030000}"/>
    <cellStyle name="Normal 4 3 2 2" xfId="880" xr:uid="{00000000-0005-0000-0000-000070030000}"/>
    <cellStyle name="Normal 4 3 2 2 2" xfId="881" xr:uid="{00000000-0005-0000-0000-000071030000}"/>
    <cellStyle name="Normal 4 3 2 2 3" xfId="882" xr:uid="{00000000-0005-0000-0000-000072030000}"/>
    <cellStyle name="Normal 4 3 2 2 4" xfId="883" xr:uid="{00000000-0005-0000-0000-000073030000}"/>
    <cellStyle name="Normal 4 3 2 2 5" xfId="884" xr:uid="{00000000-0005-0000-0000-000074030000}"/>
    <cellStyle name="Normal 4 3 2 2 6" xfId="885" xr:uid="{00000000-0005-0000-0000-000075030000}"/>
    <cellStyle name="Normal 4 3 2 2 7" xfId="886" xr:uid="{00000000-0005-0000-0000-000076030000}"/>
    <cellStyle name="Normal 4 3 2 3" xfId="887" xr:uid="{00000000-0005-0000-0000-000077030000}"/>
    <cellStyle name="Normal 4 3 2 3 2" xfId="888" xr:uid="{00000000-0005-0000-0000-000078030000}"/>
    <cellStyle name="Normal 4 3 2 3 3" xfId="889" xr:uid="{00000000-0005-0000-0000-000079030000}"/>
    <cellStyle name="Normal 4 3 2 3 4" xfId="890" xr:uid="{00000000-0005-0000-0000-00007A030000}"/>
    <cellStyle name="Normal 4 3 2 3 5" xfId="891" xr:uid="{00000000-0005-0000-0000-00007B030000}"/>
    <cellStyle name="Normal 4 3 2 3 6" xfId="892" xr:uid="{00000000-0005-0000-0000-00007C030000}"/>
    <cellStyle name="Normal 4 3 2 3 7" xfId="893" xr:uid="{00000000-0005-0000-0000-00007D030000}"/>
    <cellStyle name="Normal 4 3 3" xfId="894" xr:uid="{00000000-0005-0000-0000-00007E030000}"/>
    <cellStyle name="Normal 4 3 3 2" xfId="895" xr:uid="{00000000-0005-0000-0000-00007F030000}"/>
    <cellStyle name="Normal 4 3 3 3" xfId="896" xr:uid="{00000000-0005-0000-0000-000080030000}"/>
    <cellStyle name="Normal 4 3 3 4" xfId="897" xr:uid="{00000000-0005-0000-0000-000081030000}"/>
    <cellStyle name="Normal 4 3 3 5" xfId="898" xr:uid="{00000000-0005-0000-0000-000082030000}"/>
    <cellStyle name="Normal 4 3 3 6" xfId="899" xr:uid="{00000000-0005-0000-0000-000083030000}"/>
    <cellStyle name="Normal 4 3 3 7" xfId="900" xr:uid="{00000000-0005-0000-0000-000084030000}"/>
    <cellStyle name="Normal 4 3 4" xfId="901" xr:uid="{00000000-0005-0000-0000-000085030000}"/>
    <cellStyle name="Normal 4 3 4 2" xfId="902" xr:uid="{00000000-0005-0000-0000-000086030000}"/>
    <cellStyle name="Normal 4 3 4 3" xfId="903" xr:uid="{00000000-0005-0000-0000-000087030000}"/>
    <cellStyle name="Normal 4 3 4 4" xfId="904" xr:uid="{00000000-0005-0000-0000-000088030000}"/>
    <cellStyle name="Normal 4 3 4 5" xfId="905" xr:uid="{00000000-0005-0000-0000-000089030000}"/>
    <cellStyle name="Normal 4 3 4 6" xfId="906" xr:uid="{00000000-0005-0000-0000-00008A030000}"/>
    <cellStyle name="Normal 4 3 4 7" xfId="907" xr:uid="{00000000-0005-0000-0000-00008B030000}"/>
    <cellStyle name="Normal 4 3 5" xfId="908" xr:uid="{00000000-0005-0000-0000-00008C030000}"/>
    <cellStyle name="Normal 4 3 5 2" xfId="909" xr:uid="{00000000-0005-0000-0000-00008D030000}"/>
    <cellStyle name="Normal 4 3 5 3" xfId="910" xr:uid="{00000000-0005-0000-0000-00008E030000}"/>
    <cellStyle name="Normal 4 3 5 4" xfId="911" xr:uid="{00000000-0005-0000-0000-00008F030000}"/>
    <cellStyle name="Normal 4 3 5 5" xfId="912" xr:uid="{00000000-0005-0000-0000-000090030000}"/>
    <cellStyle name="Normal 4 3 5 6" xfId="913" xr:uid="{00000000-0005-0000-0000-000091030000}"/>
    <cellStyle name="Normal 4 3 5 7" xfId="914" xr:uid="{00000000-0005-0000-0000-000092030000}"/>
    <cellStyle name="Normal 4 3 6" xfId="915" xr:uid="{00000000-0005-0000-0000-000093030000}"/>
    <cellStyle name="Normal 4 3 7" xfId="916" xr:uid="{00000000-0005-0000-0000-000094030000}"/>
    <cellStyle name="Normal 4 3 8" xfId="917" xr:uid="{00000000-0005-0000-0000-000095030000}"/>
    <cellStyle name="Normal 4 3 9" xfId="918" xr:uid="{00000000-0005-0000-0000-000096030000}"/>
    <cellStyle name="Normal 4 4" xfId="919" xr:uid="{00000000-0005-0000-0000-000097030000}"/>
    <cellStyle name="Normal 4 4 10" xfId="920" xr:uid="{00000000-0005-0000-0000-000098030000}"/>
    <cellStyle name="Normal 4 4 11" xfId="921" xr:uid="{00000000-0005-0000-0000-000099030000}"/>
    <cellStyle name="Normal 4 4 12" xfId="922" xr:uid="{00000000-0005-0000-0000-00009A030000}"/>
    <cellStyle name="Normal 4 4 2" xfId="923" xr:uid="{00000000-0005-0000-0000-00009B030000}"/>
    <cellStyle name="Normal 4 4 2 2" xfId="924" xr:uid="{00000000-0005-0000-0000-00009C030000}"/>
    <cellStyle name="Normal 4 4 2 2 2" xfId="925" xr:uid="{00000000-0005-0000-0000-00009D030000}"/>
    <cellStyle name="Normal 4 4 2 2 3" xfId="926" xr:uid="{00000000-0005-0000-0000-00009E030000}"/>
    <cellStyle name="Normal 4 4 2 2 4" xfId="927" xr:uid="{00000000-0005-0000-0000-00009F030000}"/>
    <cellStyle name="Normal 4 4 2 2 5" xfId="928" xr:uid="{00000000-0005-0000-0000-0000A0030000}"/>
    <cellStyle name="Normal 4 4 2 2 6" xfId="929" xr:uid="{00000000-0005-0000-0000-0000A1030000}"/>
    <cellStyle name="Normal 4 4 2 2 7" xfId="930" xr:uid="{00000000-0005-0000-0000-0000A2030000}"/>
    <cellStyle name="Normal 4 4 2 3" xfId="931" xr:uid="{00000000-0005-0000-0000-0000A3030000}"/>
    <cellStyle name="Normal 4 4 2 3 2" xfId="932" xr:uid="{00000000-0005-0000-0000-0000A4030000}"/>
    <cellStyle name="Normal 4 4 2 3 3" xfId="933" xr:uid="{00000000-0005-0000-0000-0000A5030000}"/>
    <cellStyle name="Normal 4 4 2 3 4" xfId="934" xr:uid="{00000000-0005-0000-0000-0000A6030000}"/>
    <cellStyle name="Normal 4 4 2 3 5" xfId="935" xr:uid="{00000000-0005-0000-0000-0000A7030000}"/>
    <cellStyle name="Normal 4 4 2 3 6" xfId="936" xr:uid="{00000000-0005-0000-0000-0000A8030000}"/>
    <cellStyle name="Normal 4 4 2 3 7" xfId="937" xr:uid="{00000000-0005-0000-0000-0000A9030000}"/>
    <cellStyle name="Normal 4 4 3" xfId="938" xr:uid="{00000000-0005-0000-0000-0000AA030000}"/>
    <cellStyle name="Normal 4 4 3 2" xfId="939" xr:uid="{00000000-0005-0000-0000-0000AB030000}"/>
    <cellStyle name="Normal 4 4 3 3" xfId="940" xr:uid="{00000000-0005-0000-0000-0000AC030000}"/>
    <cellStyle name="Normal 4 4 3 4" xfId="941" xr:uid="{00000000-0005-0000-0000-0000AD030000}"/>
    <cellStyle name="Normal 4 4 3 5" xfId="942" xr:uid="{00000000-0005-0000-0000-0000AE030000}"/>
    <cellStyle name="Normal 4 4 3 6" xfId="943" xr:uid="{00000000-0005-0000-0000-0000AF030000}"/>
    <cellStyle name="Normal 4 4 3 7" xfId="944" xr:uid="{00000000-0005-0000-0000-0000B0030000}"/>
    <cellStyle name="Normal 4 4 4" xfId="945" xr:uid="{00000000-0005-0000-0000-0000B1030000}"/>
    <cellStyle name="Normal 4 4 4 2" xfId="946" xr:uid="{00000000-0005-0000-0000-0000B2030000}"/>
    <cellStyle name="Normal 4 4 4 3" xfId="947" xr:uid="{00000000-0005-0000-0000-0000B3030000}"/>
    <cellStyle name="Normal 4 4 4 4" xfId="948" xr:uid="{00000000-0005-0000-0000-0000B4030000}"/>
    <cellStyle name="Normal 4 4 4 5" xfId="949" xr:uid="{00000000-0005-0000-0000-0000B5030000}"/>
    <cellStyle name="Normal 4 4 4 6" xfId="950" xr:uid="{00000000-0005-0000-0000-0000B6030000}"/>
    <cellStyle name="Normal 4 4 4 7" xfId="951" xr:uid="{00000000-0005-0000-0000-0000B7030000}"/>
    <cellStyle name="Normal 4 4 5" xfId="952" xr:uid="{00000000-0005-0000-0000-0000B8030000}"/>
    <cellStyle name="Normal 4 4 5 2" xfId="953" xr:uid="{00000000-0005-0000-0000-0000B9030000}"/>
    <cellStyle name="Normal 4 4 5 3" xfId="954" xr:uid="{00000000-0005-0000-0000-0000BA030000}"/>
    <cellStyle name="Normal 4 4 5 4" xfId="955" xr:uid="{00000000-0005-0000-0000-0000BB030000}"/>
    <cellStyle name="Normal 4 4 5 5" xfId="956" xr:uid="{00000000-0005-0000-0000-0000BC030000}"/>
    <cellStyle name="Normal 4 4 5 6" xfId="957" xr:uid="{00000000-0005-0000-0000-0000BD030000}"/>
    <cellStyle name="Normal 4 4 5 7" xfId="958" xr:uid="{00000000-0005-0000-0000-0000BE030000}"/>
    <cellStyle name="Normal 4 4 6" xfId="959" xr:uid="{00000000-0005-0000-0000-0000BF030000}"/>
    <cellStyle name="Normal 4 4 7" xfId="960" xr:uid="{00000000-0005-0000-0000-0000C0030000}"/>
    <cellStyle name="Normal 4 4 8" xfId="961" xr:uid="{00000000-0005-0000-0000-0000C1030000}"/>
    <cellStyle name="Normal 4 4 9" xfId="962" xr:uid="{00000000-0005-0000-0000-0000C2030000}"/>
    <cellStyle name="Normal 4 5" xfId="963" xr:uid="{00000000-0005-0000-0000-0000C3030000}"/>
    <cellStyle name="Normal 4 5 2" xfId="964" xr:uid="{00000000-0005-0000-0000-0000C4030000}"/>
    <cellStyle name="Normal 4 5 3" xfId="965" xr:uid="{00000000-0005-0000-0000-0000C5030000}"/>
    <cellStyle name="Normal 4 5 4" xfId="966" xr:uid="{00000000-0005-0000-0000-0000C6030000}"/>
    <cellStyle name="Normal 4 5 5" xfId="967" xr:uid="{00000000-0005-0000-0000-0000C7030000}"/>
    <cellStyle name="Normal 4 5 6" xfId="968" xr:uid="{00000000-0005-0000-0000-0000C8030000}"/>
    <cellStyle name="Normal 4 5 7" xfId="969" xr:uid="{00000000-0005-0000-0000-0000C9030000}"/>
    <cellStyle name="Normal 4 6" xfId="970" xr:uid="{00000000-0005-0000-0000-0000CA030000}"/>
    <cellStyle name="Normal 4 6 2" xfId="971" xr:uid="{00000000-0005-0000-0000-0000CB030000}"/>
    <cellStyle name="Normal 4 6 3" xfId="972" xr:uid="{00000000-0005-0000-0000-0000CC030000}"/>
    <cellStyle name="Normal 4 6 4" xfId="973" xr:uid="{00000000-0005-0000-0000-0000CD030000}"/>
    <cellStyle name="Normal 4 6 5" xfId="974" xr:uid="{00000000-0005-0000-0000-0000CE030000}"/>
    <cellStyle name="Normal 4 6 6" xfId="975" xr:uid="{00000000-0005-0000-0000-0000CF030000}"/>
    <cellStyle name="Normal 4 6 7" xfId="976" xr:uid="{00000000-0005-0000-0000-0000D0030000}"/>
    <cellStyle name="Normal 4 7" xfId="977" xr:uid="{00000000-0005-0000-0000-0000D1030000}"/>
    <cellStyle name="Normal 4 7 2" xfId="978" xr:uid="{00000000-0005-0000-0000-0000D2030000}"/>
    <cellStyle name="Normal 4 7 2 2" xfId="979" xr:uid="{00000000-0005-0000-0000-0000D3030000}"/>
    <cellStyle name="Normal 4 7 2 3" xfId="980" xr:uid="{00000000-0005-0000-0000-0000D4030000}"/>
    <cellStyle name="Normal 4 7 2 4" xfId="981" xr:uid="{00000000-0005-0000-0000-0000D5030000}"/>
    <cellStyle name="Normal 4 7 2 5" xfId="982" xr:uid="{00000000-0005-0000-0000-0000D6030000}"/>
    <cellStyle name="Normal 4 7 2 6" xfId="983" xr:uid="{00000000-0005-0000-0000-0000D7030000}"/>
    <cellStyle name="Normal 5" xfId="984" xr:uid="{00000000-0005-0000-0000-0000D8030000}"/>
    <cellStyle name="Normal 5 2" xfId="985" xr:uid="{00000000-0005-0000-0000-0000D9030000}"/>
    <cellStyle name="Normal 5 2 10" xfId="986" xr:uid="{00000000-0005-0000-0000-0000DA030000}"/>
    <cellStyle name="Normal 5 2 11" xfId="987" xr:uid="{00000000-0005-0000-0000-0000DB030000}"/>
    <cellStyle name="Normal 5 2 12" xfId="988" xr:uid="{00000000-0005-0000-0000-0000DC030000}"/>
    <cellStyle name="Normal 5 2 13" xfId="989" xr:uid="{00000000-0005-0000-0000-0000DD030000}"/>
    <cellStyle name="Normal 5 2 2" xfId="990" xr:uid="{00000000-0005-0000-0000-0000DE030000}"/>
    <cellStyle name="Normal 5 2 2 2" xfId="991" xr:uid="{00000000-0005-0000-0000-0000DF030000}"/>
    <cellStyle name="Normal 5 2 2 2 2" xfId="992" xr:uid="{00000000-0005-0000-0000-0000E0030000}"/>
    <cellStyle name="Normal 5 2 2 2 2 2" xfId="993" xr:uid="{00000000-0005-0000-0000-0000E1030000}"/>
    <cellStyle name="Normal 5 2 2 2 2 3" xfId="994" xr:uid="{00000000-0005-0000-0000-0000E2030000}"/>
    <cellStyle name="Normal 5 2 2 2 3" xfId="995" xr:uid="{00000000-0005-0000-0000-0000E3030000}"/>
    <cellStyle name="Normal 5 2 2 2 4" xfId="996" xr:uid="{00000000-0005-0000-0000-0000E4030000}"/>
    <cellStyle name="Normal 5 2 2 2 5" xfId="997" xr:uid="{00000000-0005-0000-0000-0000E5030000}"/>
    <cellStyle name="Normal 5 2 2 2 6" xfId="998" xr:uid="{00000000-0005-0000-0000-0000E6030000}"/>
    <cellStyle name="Normal 5 2 2 2 7" xfId="999" xr:uid="{00000000-0005-0000-0000-0000E7030000}"/>
    <cellStyle name="Normal 5 2 2 2 8" xfId="1000" xr:uid="{00000000-0005-0000-0000-0000E8030000}"/>
    <cellStyle name="Normal 5 2 2 2 9" xfId="1001" xr:uid="{00000000-0005-0000-0000-0000E9030000}"/>
    <cellStyle name="Normal 5 2 2 3" xfId="1002" xr:uid="{00000000-0005-0000-0000-0000EA030000}"/>
    <cellStyle name="Normal 5 2 2 3 2" xfId="1003" xr:uid="{00000000-0005-0000-0000-0000EB030000}"/>
    <cellStyle name="Normal 5 2 2 4" xfId="1004" xr:uid="{00000000-0005-0000-0000-0000EC030000}"/>
    <cellStyle name="Normal 5 2 2 5" xfId="1005" xr:uid="{00000000-0005-0000-0000-0000ED030000}"/>
    <cellStyle name="Normal 5 2 2 6" xfId="1006" xr:uid="{00000000-0005-0000-0000-0000EE030000}"/>
    <cellStyle name="Normal 5 2 2 6 2" xfId="1007" xr:uid="{00000000-0005-0000-0000-0000EF030000}"/>
    <cellStyle name="Normal 5 2 2 6 3" xfId="1008" xr:uid="{00000000-0005-0000-0000-0000F0030000}"/>
    <cellStyle name="Normal 5 2 2 6 4" xfId="1009" xr:uid="{00000000-0005-0000-0000-0000F1030000}"/>
    <cellStyle name="Normal 5 2 2 6 5" xfId="1010" xr:uid="{00000000-0005-0000-0000-0000F2030000}"/>
    <cellStyle name="Normal 5 2 2 6 6" xfId="1011" xr:uid="{00000000-0005-0000-0000-0000F3030000}"/>
    <cellStyle name="Normal 5 2 2 6 7" xfId="1012" xr:uid="{00000000-0005-0000-0000-0000F4030000}"/>
    <cellStyle name="Normal 5 2 2 7" xfId="1013" xr:uid="{00000000-0005-0000-0000-0000F5030000}"/>
    <cellStyle name="Normal 5 2 3" xfId="1014" xr:uid="{00000000-0005-0000-0000-0000F6030000}"/>
    <cellStyle name="Normal 5 2 3 2" xfId="1015" xr:uid="{00000000-0005-0000-0000-0000F7030000}"/>
    <cellStyle name="Normal 5 2 4" xfId="1016" xr:uid="{00000000-0005-0000-0000-0000F8030000}"/>
    <cellStyle name="Normal 5 2 4 2" xfId="1017" xr:uid="{00000000-0005-0000-0000-0000F9030000}"/>
    <cellStyle name="Normal 5 2 4 2 2" xfId="1018" xr:uid="{00000000-0005-0000-0000-0000FA030000}"/>
    <cellStyle name="Normal 5 2 4 2 2 2" xfId="1019" xr:uid="{00000000-0005-0000-0000-0000FB030000}"/>
    <cellStyle name="Normal 5 2 4 2 2 2 2" xfId="1020" xr:uid="{00000000-0005-0000-0000-0000FC030000}"/>
    <cellStyle name="Normal 5 2 4 2 2 2 3" xfId="1021" xr:uid="{00000000-0005-0000-0000-0000FD030000}"/>
    <cellStyle name="Normal 5 2 4 2 2 2 4" xfId="1022" xr:uid="{00000000-0005-0000-0000-0000FE030000}"/>
    <cellStyle name="Normal 5 2 4 2 2 2 5" xfId="1023" xr:uid="{00000000-0005-0000-0000-0000FF030000}"/>
    <cellStyle name="Normal 5 2 4 2 2 2 6" xfId="1024" xr:uid="{00000000-0005-0000-0000-000000040000}"/>
    <cellStyle name="Normal 5 2 4 2 3" xfId="1025" xr:uid="{00000000-0005-0000-0000-000001040000}"/>
    <cellStyle name="Normal 5 2 4 2 4" xfId="1026" xr:uid="{00000000-0005-0000-0000-000002040000}"/>
    <cellStyle name="Normal 5 2 4 2 5" xfId="1027" xr:uid="{00000000-0005-0000-0000-000003040000}"/>
    <cellStyle name="Normal 5 2 4 2 6" xfId="1028" xr:uid="{00000000-0005-0000-0000-000004040000}"/>
    <cellStyle name="Normal 5 2 4 2 7" xfId="1029" xr:uid="{00000000-0005-0000-0000-000005040000}"/>
    <cellStyle name="Normal 5 2 4 2 8" xfId="1030" xr:uid="{00000000-0005-0000-0000-000006040000}"/>
    <cellStyle name="Normal 5 2 4 3" xfId="1031" xr:uid="{00000000-0005-0000-0000-000007040000}"/>
    <cellStyle name="Normal 5 2 4 3 2" xfId="1032" xr:uid="{00000000-0005-0000-0000-000008040000}"/>
    <cellStyle name="Normal 5 2 4 3 3" xfId="1033" xr:uid="{00000000-0005-0000-0000-000009040000}"/>
    <cellStyle name="Normal 5 2 4 3 4" xfId="1034" xr:uid="{00000000-0005-0000-0000-00000A040000}"/>
    <cellStyle name="Normal 5 2 4 3 5" xfId="1035" xr:uid="{00000000-0005-0000-0000-00000B040000}"/>
    <cellStyle name="Normal 5 2 4 3 6" xfId="1036" xr:uid="{00000000-0005-0000-0000-00000C040000}"/>
    <cellStyle name="Normal 5 2 4 3 7" xfId="1037" xr:uid="{00000000-0005-0000-0000-00000D040000}"/>
    <cellStyle name="Normal 5 2 4 4" xfId="1038" xr:uid="{00000000-0005-0000-0000-00000E040000}"/>
    <cellStyle name="Normal 5 2 4 4 2" xfId="1039" xr:uid="{00000000-0005-0000-0000-00000F040000}"/>
    <cellStyle name="Normal 5 2 4 4 3" xfId="1040" xr:uid="{00000000-0005-0000-0000-000010040000}"/>
    <cellStyle name="Normal 5 2 4 4 4" xfId="1041" xr:uid="{00000000-0005-0000-0000-000011040000}"/>
    <cellStyle name="Normal 5 2 4 4 5" xfId="1042" xr:uid="{00000000-0005-0000-0000-000012040000}"/>
    <cellStyle name="Normal 5 2 4 4 6" xfId="1043" xr:uid="{00000000-0005-0000-0000-000013040000}"/>
    <cellStyle name="Normal 5 2 5" xfId="1044" xr:uid="{00000000-0005-0000-0000-000014040000}"/>
    <cellStyle name="Normal 5 2 5 2" xfId="1045" xr:uid="{00000000-0005-0000-0000-000015040000}"/>
    <cellStyle name="Normal 5 2 5 3" xfId="1046" xr:uid="{00000000-0005-0000-0000-000016040000}"/>
    <cellStyle name="Normal 5 2 5 4" xfId="1047" xr:uid="{00000000-0005-0000-0000-000017040000}"/>
    <cellStyle name="Normal 5 2 5 5" xfId="1048" xr:uid="{00000000-0005-0000-0000-000018040000}"/>
    <cellStyle name="Normal 5 2 5 6" xfId="1049" xr:uid="{00000000-0005-0000-0000-000019040000}"/>
    <cellStyle name="Normal 5 2 5 7" xfId="1050" xr:uid="{00000000-0005-0000-0000-00001A040000}"/>
    <cellStyle name="Normal 5 2 6" xfId="1051" xr:uid="{00000000-0005-0000-0000-00001B040000}"/>
    <cellStyle name="Normal 5 2 6 2" xfId="1052" xr:uid="{00000000-0005-0000-0000-00001C040000}"/>
    <cellStyle name="Normal 5 2 6 3" xfId="1053" xr:uid="{00000000-0005-0000-0000-00001D040000}"/>
    <cellStyle name="Normal 5 2 6 4" xfId="1054" xr:uid="{00000000-0005-0000-0000-00001E040000}"/>
    <cellStyle name="Normal 5 2 6 5" xfId="1055" xr:uid="{00000000-0005-0000-0000-00001F040000}"/>
    <cellStyle name="Normal 5 2 6 6" xfId="1056" xr:uid="{00000000-0005-0000-0000-000020040000}"/>
    <cellStyle name="Normal 5 2 6 7" xfId="1057" xr:uid="{00000000-0005-0000-0000-000021040000}"/>
    <cellStyle name="Normal 5 2 7" xfId="1058" xr:uid="{00000000-0005-0000-0000-000022040000}"/>
    <cellStyle name="Normal 5 2 8" xfId="1059" xr:uid="{00000000-0005-0000-0000-000023040000}"/>
    <cellStyle name="Normal 5 2 9" xfId="1060" xr:uid="{00000000-0005-0000-0000-000024040000}"/>
    <cellStyle name="Normal 5 3" xfId="1061" xr:uid="{00000000-0005-0000-0000-000025040000}"/>
    <cellStyle name="Normal 5 3 10" xfId="1062" xr:uid="{00000000-0005-0000-0000-000026040000}"/>
    <cellStyle name="Normal 5 3 11" xfId="1063" xr:uid="{00000000-0005-0000-0000-000027040000}"/>
    <cellStyle name="Normal 5 3 12" xfId="1064" xr:uid="{00000000-0005-0000-0000-000028040000}"/>
    <cellStyle name="Normal 5 3 13" xfId="1065" xr:uid="{00000000-0005-0000-0000-000029040000}"/>
    <cellStyle name="Normal 5 3 2" xfId="1066" xr:uid="{00000000-0005-0000-0000-00002A040000}"/>
    <cellStyle name="Normal 5 3 2 2" xfId="1067" xr:uid="{00000000-0005-0000-0000-00002B040000}"/>
    <cellStyle name="Normal 5 3 2 2 2" xfId="1068" xr:uid="{00000000-0005-0000-0000-00002C040000}"/>
    <cellStyle name="Normal 5 3 2 2 2 2" xfId="1069" xr:uid="{00000000-0005-0000-0000-00002D040000}"/>
    <cellStyle name="Normal 5 3 2 2 2 3" xfId="1070" xr:uid="{00000000-0005-0000-0000-00002E040000}"/>
    <cellStyle name="Normal 5 3 2 2 2 4" xfId="1071" xr:uid="{00000000-0005-0000-0000-00002F040000}"/>
    <cellStyle name="Normal 5 3 2 2 2 5" xfId="1072" xr:uid="{00000000-0005-0000-0000-000030040000}"/>
    <cellStyle name="Normal 5 3 2 2 2 6" xfId="1073" xr:uid="{00000000-0005-0000-0000-000031040000}"/>
    <cellStyle name="Normal 5 3 2 2 3" xfId="1074" xr:uid="{00000000-0005-0000-0000-000032040000}"/>
    <cellStyle name="Normal 5 3 2 2 3 2" xfId="1075" xr:uid="{00000000-0005-0000-0000-000033040000}"/>
    <cellStyle name="Normal 5 3 2 2 3 3" xfId="1076" xr:uid="{00000000-0005-0000-0000-000034040000}"/>
    <cellStyle name="Normal 5 3 2 2 3 4" xfId="1077" xr:uid="{00000000-0005-0000-0000-000035040000}"/>
    <cellStyle name="Normal 5 3 2 2 3 5" xfId="1078" xr:uid="{00000000-0005-0000-0000-000036040000}"/>
    <cellStyle name="Normal 5 3 2 2 3 6" xfId="1079" xr:uid="{00000000-0005-0000-0000-000037040000}"/>
    <cellStyle name="Normal 5 3 2 2 4" xfId="1080" xr:uid="{00000000-0005-0000-0000-000038040000}"/>
    <cellStyle name="Normal 5 3 2 2 5" xfId="1081" xr:uid="{00000000-0005-0000-0000-000039040000}"/>
    <cellStyle name="Normal 5 3 2 2 6" xfId="1082" xr:uid="{00000000-0005-0000-0000-00003A040000}"/>
    <cellStyle name="Normal 5 3 2 2 7" xfId="1083" xr:uid="{00000000-0005-0000-0000-00003B040000}"/>
    <cellStyle name="Normal 5 3 2 2 8" xfId="1084" xr:uid="{00000000-0005-0000-0000-00003C040000}"/>
    <cellStyle name="Normal 5 3 2 3" xfId="1085" xr:uid="{00000000-0005-0000-0000-00003D040000}"/>
    <cellStyle name="Normal 5 3 2 3 2" xfId="1086" xr:uid="{00000000-0005-0000-0000-00003E040000}"/>
    <cellStyle name="Normal 5 3 2 3 3" xfId="1087" xr:uid="{00000000-0005-0000-0000-00003F040000}"/>
    <cellStyle name="Normal 5 3 2 3 4" xfId="1088" xr:uid="{00000000-0005-0000-0000-000040040000}"/>
    <cellStyle name="Normal 5 3 2 3 5" xfId="1089" xr:uid="{00000000-0005-0000-0000-000041040000}"/>
    <cellStyle name="Normal 5 3 2 3 6" xfId="1090" xr:uid="{00000000-0005-0000-0000-000042040000}"/>
    <cellStyle name="Normal 5 3 2 3 7" xfId="1091" xr:uid="{00000000-0005-0000-0000-000043040000}"/>
    <cellStyle name="Normal 5 3 2 4" xfId="1092" xr:uid="{00000000-0005-0000-0000-000044040000}"/>
    <cellStyle name="Normal 5 3 2 5" xfId="1093" xr:uid="{00000000-0005-0000-0000-000045040000}"/>
    <cellStyle name="Normal 5 3 3" xfId="1094" xr:uid="{00000000-0005-0000-0000-000046040000}"/>
    <cellStyle name="Normal 5 3 3 2" xfId="1095" xr:uid="{00000000-0005-0000-0000-000047040000}"/>
    <cellStyle name="Normal 5 3 3 3" xfId="1096" xr:uid="{00000000-0005-0000-0000-000048040000}"/>
    <cellStyle name="Normal 5 3 3 4" xfId="1097" xr:uid="{00000000-0005-0000-0000-000049040000}"/>
    <cellStyle name="Normal 5 3 3 5" xfId="1098" xr:uid="{00000000-0005-0000-0000-00004A040000}"/>
    <cellStyle name="Normal 5 3 3 6" xfId="1099" xr:uid="{00000000-0005-0000-0000-00004B040000}"/>
    <cellStyle name="Normal 5 3 3 7" xfId="1100" xr:uid="{00000000-0005-0000-0000-00004C040000}"/>
    <cellStyle name="Normal 5 3 4" xfId="1101" xr:uid="{00000000-0005-0000-0000-00004D040000}"/>
    <cellStyle name="Normal 5 3 4 2" xfId="1102" xr:uid="{00000000-0005-0000-0000-00004E040000}"/>
    <cellStyle name="Normal 5 3 4 3" xfId="1103" xr:uid="{00000000-0005-0000-0000-00004F040000}"/>
    <cellStyle name="Normal 5 3 4 4" xfId="1104" xr:uid="{00000000-0005-0000-0000-000050040000}"/>
    <cellStyle name="Normal 5 3 4 5" xfId="1105" xr:uid="{00000000-0005-0000-0000-000051040000}"/>
    <cellStyle name="Normal 5 3 4 6" xfId="1106" xr:uid="{00000000-0005-0000-0000-000052040000}"/>
    <cellStyle name="Normal 5 3 4 7" xfId="1107" xr:uid="{00000000-0005-0000-0000-000053040000}"/>
    <cellStyle name="Normal 5 3 5" xfId="1108" xr:uid="{00000000-0005-0000-0000-000054040000}"/>
    <cellStyle name="Normal 5 3 5 2" xfId="1109" xr:uid="{00000000-0005-0000-0000-000055040000}"/>
    <cellStyle name="Normal 5 3 5 3" xfId="1110" xr:uid="{00000000-0005-0000-0000-000056040000}"/>
    <cellStyle name="Normal 5 3 5 4" xfId="1111" xr:uid="{00000000-0005-0000-0000-000057040000}"/>
    <cellStyle name="Normal 5 3 5 5" xfId="1112" xr:uid="{00000000-0005-0000-0000-000058040000}"/>
    <cellStyle name="Normal 5 3 5 6" xfId="1113" xr:uid="{00000000-0005-0000-0000-000059040000}"/>
    <cellStyle name="Normal 5 3 5 7" xfId="1114" xr:uid="{00000000-0005-0000-0000-00005A040000}"/>
    <cellStyle name="Normal 5 3 6" xfId="1115" xr:uid="{00000000-0005-0000-0000-00005B040000}"/>
    <cellStyle name="Normal 5 3 7" xfId="1116" xr:uid="{00000000-0005-0000-0000-00005C040000}"/>
    <cellStyle name="Normal 5 3 8" xfId="1117" xr:uid="{00000000-0005-0000-0000-00005D040000}"/>
    <cellStyle name="Normal 5 3 8 2" xfId="1118" xr:uid="{00000000-0005-0000-0000-00005E040000}"/>
    <cellStyle name="Normal 5 3 8 3" xfId="1119" xr:uid="{00000000-0005-0000-0000-00005F040000}"/>
    <cellStyle name="Normal 5 3 8 4" xfId="1120" xr:uid="{00000000-0005-0000-0000-000060040000}"/>
    <cellStyle name="Normal 5 3 8 5" xfId="1121" xr:uid="{00000000-0005-0000-0000-000061040000}"/>
    <cellStyle name="Normal 5 3 8 6" xfId="1122" xr:uid="{00000000-0005-0000-0000-000062040000}"/>
    <cellStyle name="Normal 5 3 9" xfId="1123" xr:uid="{00000000-0005-0000-0000-000063040000}"/>
    <cellStyle name="Normal 5 4" xfId="1124" xr:uid="{00000000-0005-0000-0000-000064040000}"/>
    <cellStyle name="Normal 5 4 10" xfId="1125" xr:uid="{00000000-0005-0000-0000-000065040000}"/>
    <cellStyle name="Normal 5 4 2" xfId="1126" xr:uid="{00000000-0005-0000-0000-000066040000}"/>
    <cellStyle name="Normal 5 4 2 2" xfId="1127" xr:uid="{00000000-0005-0000-0000-000067040000}"/>
    <cellStyle name="Normal 5 4 2 3" xfId="1128" xr:uid="{00000000-0005-0000-0000-000068040000}"/>
    <cellStyle name="Normal 5 4 2 4" xfId="1129" xr:uid="{00000000-0005-0000-0000-000069040000}"/>
    <cellStyle name="Normal 5 4 3" xfId="1130" xr:uid="{00000000-0005-0000-0000-00006A040000}"/>
    <cellStyle name="Normal 5 4 4" xfId="1131" xr:uid="{00000000-0005-0000-0000-00006B040000}"/>
    <cellStyle name="Normal 5 4 5" xfId="1132" xr:uid="{00000000-0005-0000-0000-00006C040000}"/>
    <cellStyle name="Normal 5 4 5 2" xfId="1133" xr:uid="{00000000-0005-0000-0000-00006D040000}"/>
    <cellStyle name="Normal 5 4 5 3" xfId="1134" xr:uid="{00000000-0005-0000-0000-00006E040000}"/>
    <cellStyle name="Normal 5 4 5 4" xfId="1135" xr:uid="{00000000-0005-0000-0000-00006F040000}"/>
    <cellStyle name="Normal 5 4 5 5" xfId="1136" xr:uid="{00000000-0005-0000-0000-000070040000}"/>
    <cellStyle name="Normal 5 4 5 6" xfId="1137" xr:uid="{00000000-0005-0000-0000-000071040000}"/>
    <cellStyle name="Normal 5 4 6" xfId="1138" xr:uid="{00000000-0005-0000-0000-000072040000}"/>
    <cellStyle name="Normal 5 4 7" xfId="1139" xr:uid="{00000000-0005-0000-0000-000073040000}"/>
    <cellStyle name="Normal 5 4 8" xfId="1140" xr:uid="{00000000-0005-0000-0000-000074040000}"/>
    <cellStyle name="Normal 5 4 9" xfId="1141" xr:uid="{00000000-0005-0000-0000-000075040000}"/>
    <cellStyle name="Normal 5 5" xfId="1142" xr:uid="{00000000-0005-0000-0000-000076040000}"/>
    <cellStyle name="Normal 5 5 2" xfId="1143" xr:uid="{00000000-0005-0000-0000-000077040000}"/>
    <cellStyle name="Normal 5 5 2 2" xfId="1144" xr:uid="{00000000-0005-0000-0000-000078040000}"/>
    <cellStyle name="Normal 5 5 2 3" xfId="1145" xr:uid="{00000000-0005-0000-0000-000079040000}"/>
    <cellStyle name="Normal 5 5 2 4" xfId="1146" xr:uid="{00000000-0005-0000-0000-00007A040000}"/>
    <cellStyle name="Normal 5 5 2 5" xfId="1147" xr:uid="{00000000-0005-0000-0000-00007B040000}"/>
    <cellStyle name="Normal 5 5 2 6" xfId="1148" xr:uid="{00000000-0005-0000-0000-00007C040000}"/>
    <cellStyle name="Normal 5 5 3" xfId="1149" xr:uid="{00000000-0005-0000-0000-00007D040000}"/>
    <cellStyle name="Normal 5 5 4" xfId="1150" xr:uid="{00000000-0005-0000-0000-00007E040000}"/>
    <cellStyle name="Normal 5 5 4 2" xfId="1151" xr:uid="{00000000-0005-0000-0000-00007F040000}"/>
    <cellStyle name="Normal 5 5 4 3" xfId="1152" xr:uid="{00000000-0005-0000-0000-000080040000}"/>
    <cellStyle name="Normal 5 5 4 4" xfId="1153" xr:uid="{00000000-0005-0000-0000-000081040000}"/>
    <cellStyle name="Normal 5 5 4 5" xfId="1154" xr:uid="{00000000-0005-0000-0000-000082040000}"/>
    <cellStyle name="Normal 5 5 4 6" xfId="1155" xr:uid="{00000000-0005-0000-0000-000083040000}"/>
    <cellStyle name="Normal 5 5 5" xfId="1156" xr:uid="{00000000-0005-0000-0000-000084040000}"/>
    <cellStyle name="Normal 5 5 6" xfId="1157" xr:uid="{00000000-0005-0000-0000-000085040000}"/>
    <cellStyle name="Normal 5 5 7" xfId="1158" xr:uid="{00000000-0005-0000-0000-000086040000}"/>
    <cellStyle name="Normal 5 5 8" xfId="1159" xr:uid="{00000000-0005-0000-0000-000087040000}"/>
    <cellStyle name="Normal 5 5 9" xfId="1160" xr:uid="{00000000-0005-0000-0000-000088040000}"/>
    <cellStyle name="Normal 5 6" xfId="1161" xr:uid="{00000000-0005-0000-0000-000089040000}"/>
    <cellStyle name="Normal 6" xfId="1162" xr:uid="{00000000-0005-0000-0000-00008A040000}"/>
    <cellStyle name="Normal 6 10" xfId="1163" xr:uid="{00000000-0005-0000-0000-00008B040000}"/>
    <cellStyle name="Normal 6 11" xfId="1164" xr:uid="{00000000-0005-0000-0000-00008C040000}"/>
    <cellStyle name="Normal 6 2" xfId="1165" xr:uid="{00000000-0005-0000-0000-00008D040000}"/>
    <cellStyle name="Normal 6 2 10" xfId="1166" xr:uid="{00000000-0005-0000-0000-00008E040000}"/>
    <cellStyle name="Normal 6 2 11" xfId="1167" xr:uid="{00000000-0005-0000-0000-00008F040000}"/>
    <cellStyle name="Normal 6 2 12" xfId="1168" xr:uid="{00000000-0005-0000-0000-000090040000}"/>
    <cellStyle name="Normal 6 2 2" xfId="1169" xr:uid="{00000000-0005-0000-0000-000091040000}"/>
    <cellStyle name="Normal 6 2 2 2" xfId="1170" xr:uid="{00000000-0005-0000-0000-000092040000}"/>
    <cellStyle name="Normal 6 2 2 2 2" xfId="1171" xr:uid="{00000000-0005-0000-0000-000093040000}"/>
    <cellStyle name="Normal 6 2 2 2 3" xfId="1172" xr:uid="{00000000-0005-0000-0000-000094040000}"/>
    <cellStyle name="Normal 6 2 2 2 4" xfId="1173" xr:uid="{00000000-0005-0000-0000-000095040000}"/>
    <cellStyle name="Normal 6 2 2 2 5" xfId="1174" xr:uid="{00000000-0005-0000-0000-000096040000}"/>
    <cellStyle name="Normal 6 2 2 2 6" xfId="1175" xr:uid="{00000000-0005-0000-0000-000097040000}"/>
    <cellStyle name="Normal 6 2 2 2 7" xfId="1176" xr:uid="{00000000-0005-0000-0000-000098040000}"/>
    <cellStyle name="Normal 6 2 2 3" xfId="1177" xr:uid="{00000000-0005-0000-0000-000099040000}"/>
    <cellStyle name="Normal 6 2 2 3 2" xfId="1178" xr:uid="{00000000-0005-0000-0000-00009A040000}"/>
    <cellStyle name="Normal 6 2 2 3 3" xfId="1179" xr:uid="{00000000-0005-0000-0000-00009B040000}"/>
    <cellStyle name="Normal 6 2 2 3 4" xfId="1180" xr:uid="{00000000-0005-0000-0000-00009C040000}"/>
    <cellStyle name="Normal 6 2 2 3 5" xfId="1181" xr:uid="{00000000-0005-0000-0000-00009D040000}"/>
    <cellStyle name="Normal 6 2 2 3 6" xfId="1182" xr:uid="{00000000-0005-0000-0000-00009E040000}"/>
    <cellStyle name="Normal 6 2 2 3 7" xfId="1183" xr:uid="{00000000-0005-0000-0000-00009F040000}"/>
    <cellStyle name="Normal 6 2 3" xfId="1184" xr:uid="{00000000-0005-0000-0000-0000A0040000}"/>
    <cellStyle name="Normal 6 2 3 2" xfId="1185" xr:uid="{00000000-0005-0000-0000-0000A1040000}"/>
    <cellStyle name="Normal 6 2 3 3" xfId="1186" xr:uid="{00000000-0005-0000-0000-0000A2040000}"/>
    <cellStyle name="Normal 6 2 3 4" xfId="1187" xr:uid="{00000000-0005-0000-0000-0000A3040000}"/>
    <cellStyle name="Normal 6 2 3 5" xfId="1188" xr:uid="{00000000-0005-0000-0000-0000A4040000}"/>
    <cellStyle name="Normal 6 2 3 6" xfId="1189" xr:uid="{00000000-0005-0000-0000-0000A5040000}"/>
    <cellStyle name="Normal 6 2 3 7" xfId="1190" xr:uid="{00000000-0005-0000-0000-0000A6040000}"/>
    <cellStyle name="Normal 6 2 4" xfId="1191" xr:uid="{00000000-0005-0000-0000-0000A7040000}"/>
    <cellStyle name="Normal 6 2 4 2" xfId="1192" xr:uid="{00000000-0005-0000-0000-0000A8040000}"/>
    <cellStyle name="Normal 6 2 4 3" xfId="1193" xr:uid="{00000000-0005-0000-0000-0000A9040000}"/>
    <cellStyle name="Normal 6 2 4 4" xfId="1194" xr:uid="{00000000-0005-0000-0000-0000AA040000}"/>
    <cellStyle name="Normal 6 2 4 5" xfId="1195" xr:uid="{00000000-0005-0000-0000-0000AB040000}"/>
    <cellStyle name="Normal 6 2 4 6" xfId="1196" xr:uid="{00000000-0005-0000-0000-0000AC040000}"/>
    <cellStyle name="Normal 6 2 4 7" xfId="1197" xr:uid="{00000000-0005-0000-0000-0000AD040000}"/>
    <cellStyle name="Normal 6 2 5" xfId="1198" xr:uid="{00000000-0005-0000-0000-0000AE040000}"/>
    <cellStyle name="Normal 6 2 5 2" xfId="1199" xr:uid="{00000000-0005-0000-0000-0000AF040000}"/>
    <cellStyle name="Normal 6 2 5 3" xfId="1200" xr:uid="{00000000-0005-0000-0000-0000B0040000}"/>
    <cellStyle name="Normal 6 2 5 4" xfId="1201" xr:uid="{00000000-0005-0000-0000-0000B1040000}"/>
    <cellStyle name="Normal 6 2 5 5" xfId="1202" xr:uid="{00000000-0005-0000-0000-0000B2040000}"/>
    <cellStyle name="Normal 6 2 5 6" xfId="1203" xr:uid="{00000000-0005-0000-0000-0000B3040000}"/>
    <cellStyle name="Normal 6 2 5 7" xfId="1204" xr:uid="{00000000-0005-0000-0000-0000B4040000}"/>
    <cellStyle name="Normal 6 2 6" xfId="1205" xr:uid="{00000000-0005-0000-0000-0000B5040000}"/>
    <cellStyle name="Normal 6 2 7" xfId="1206" xr:uid="{00000000-0005-0000-0000-0000B6040000}"/>
    <cellStyle name="Normal 6 2 8" xfId="1207" xr:uid="{00000000-0005-0000-0000-0000B7040000}"/>
    <cellStyle name="Normal 6 2 9" xfId="1208" xr:uid="{00000000-0005-0000-0000-0000B8040000}"/>
    <cellStyle name="Normal 6 3" xfId="1209" xr:uid="{00000000-0005-0000-0000-0000B9040000}"/>
    <cellStyle name="Normal 6 3 10" xfId="1210" xr:uid="{00000000-0005-0000-0000-0000BA040000}"/>
    <cellStyle name="Normal 6 3 11" xfId="1211" xr:uid="{00000000-0005-0000-0000-0000BB040000}"/>
    <cellStyle name="Normal 6 3 12" xfId="1212" xr:uid="{00000000-0005-0000-0000-0000BC040000}"/>
    <cellStyle name="Normal 6 3 2" xfId="1213" xr:uid="{00000000-0005-0000-0000-0000BD040000}"/>
    <cellStyle name="Normal 6 3 2 2" xfId="1214" xr:uid="{00000000-0005-0000-0000-0000BE040000}"/>
    <cellStyle name="Normal 6 3 2 2 2" xfId="1215" xr:uid="{00000000-0005-0000-0000-0000BF040000}"/>
    <cellStyle name="Normal 6 3 2 2 3" xfId="1216" xr:uid="{00000000-0005-0000-0000-0000C0040000}"/>
    <cellStyle name="Normal 6 3 2 2 4" xfId="1217" xr:uid="{00000000-0005-0000-0000-0000C1040000}"/>
    <cellStyle name="Normal 6 3 2 2 5" xfId="1218" xr:uid="{00000000-0005-0000-0000-0000C2040000}"/>
    <cellStyle name="Normal 6 3 2 2 6" xfId="1219" xr:uid="{00000000-0005-0000-0000-0000C3040000}"/>
    <cellStyle name="Normal 6 3 2 2 7" xfId="1220" xr:uid="{00000000-0005-0000-0000-0000C4040000}"/>
    <cellStyle name="Normal 6 3 2 3" xfId="1221" xr:uid="{00000000-0005-0000-0000-0000C5040000}"/>
    <cellStyle name="Normal 6 3 2 3 2" xfId="1222" xr:uid="{00000000-0005-0000-0000-0000C6040000}"/>
    <cellStyle name="Normal 6 3 2 3 3" xfId="1223" xr:uid="{00000000-0005-0000-0000-0000C7040000}"/>
    <cellStyle name="Normal 6 3 2 3 4" xfId="1224" xr:uid="{00000000-0005-0000-0000-0000C8040000}"/>
    <cellStyle name="Normal 6 3 2 3 5" xfId="1225" xr:uid="{00000000-0005-0000-0000-0000C9040000}"/>
    <cellStyle name="Normal 6 3 2 3 6" xfId="1226" xr:uid="{00000000-0005-0000-0000-0000CA040000}"/>
    <cellStyle name="Normal 6 3 2 3 7" xfId="1227" xr:uid="{00000000-0005-0000-0000-0000CB040000}"/>
    <cellStyle name="Normal 6 3 3" xfId="1228" xr:uid="{00000000-0005-0000-0000-0000CC040000}"/>
    <cellStyle name="Normal 6 3 3 2" xfId="1229" xr:uid="{00000000-0005-0000-0000-0000CD040000}"/>
    <cellStyle name="Normal 6 3 3 3" xfId="1230" xr:uid="{00000000-0005-0000-0000-0000CE040000}"/>
    <cellStyle name="Normal 6 3 3 4" xfId="1231" xr:uid="{00000000-0005-0000-0000-0000CF040000}"/>
    <cellStyle name="Normal 6 3 3 5" xfId="1232" xr:uid="{00000000-0005-0000-0000-0000D0040000}"/>
    <cellStyle name="Normal 6 3 3 6" xfId="1233" xr:uid="{00000000-0005-0000-0000-0000D1040000}"/>
    <cellStyle name="Normal 6 3 3 7" xfId="1234" xr:uid="{00000000-0005-0000-0000-0000D2040000}"/>
    <cellStyle name="Normal 6 3 4" xfId="1235" xr:uid="{00000000-0005-0000-0000-0000D3040000}"/>
    <cellStyle name="Normal 6 3 4 2" xfId="1236" xr:uid="{00000000-0005-0000-0000-0000D4040000}"/>
    <cellStyle name="Normal 6 3 4 3" xfId="1237" xr:uid="{00000000-0005-0000-0000-0000D5040000}"/>
    <cellStyle name="Normal 6 3 4 4" xfId="1238" xr:uid="{00000000-0005-0000-0000-0000D6040000}"/>
    <cellStyle name="Normal 6 3 4 5" xfId="1239" xr:uid="{00000000-0005-0000-0000-0000D7040000}"/>
    <cellStyle name="Normal 6 3 4 6" xfId="1240" xr:uid="{00000000-0005-0000-0000-0000D8040000}"/>
    <cellStyle name="Normal 6 3 4 7" xfId="1241" xr:uid="{00000000-0005-0000-0000-0000D9040000}"/>
    <cellStyle name="Normal 6 3 5" xfId="1242" xr:uid="{00000000-0005-0000-0000-0000DA040000}"/>
    <cellStyle name="Normal 6 3 5 2" xfId="1243" xr:uid="{00000000-0005-0000-0000-0000DB040000}"/>
    <cellStyle name="Normal 6 3 5 3" xfId="1244" xr:uid="{00000000-0005-0000-0000-0000DC040000}"/>
    <cellStyle name="Normal 6 3 5 4" xfId="1245" xr:uid="{00000000-0005-0000-0000-0000DD040000}"/>
    <cellStyle name="Normal 6 3 5 5" xfId="1246" xr:uid="{00000000-0005-0000-0000-0000DE040000}"/>
    <cellStyle name="Normal 6 3 5 6" xfId="1247" xr:uid="{00000000-0005-0000-0000-0000DF040000}"/>
    <cellStyle name="Normal 6 3 5 7" xfId="1248" xr:uid="{00000000-0005-0000-0000-0000E0040000}"/>
    <cellStyle name="Normal 6 3 6" xfId="1249" xr:uid="{00000000-0005-0000-0000-0000E1040000}"/>
    <cellStyle name="Normal 6 3 7" xfId="1250" xr:uid="{00000000-0005-0000-0000-0000E2040000}"/>
    <cellStyle name="Normal 6 3 8" xfId="1251" xr:uid="{00000000-0005-0000-0000-0000E3040000}"/>
    <cellStyle name="Normal 6 3 9" xfId="1252" xr:uid="{00000000-0005-0000-0000-0000E4040000}"/>
    <cellStyle name="Normal 6 4" xfId="1253" xr:uid="{00000000-0005-0000-0000-0000E5040000}"/>
    <cellStyle name="Normal 6 4 2" xfId="1254" xr:uid="{00000000-0005-0000-0000-0000E6040000}"/>
    <cellStyle name="Normal 6 4 3" xfId="1255" xr:uid="{00000000-0005-0000-0000-0000E7040000}"/>
    <cellStyle name="Normal 6 4 4" xfId="1256" xr:uid="{00000000-0005-0000-0000-0000E8040000}"/>
    <cellStyle name="Normal 6 4 5" xfId="1257" xr:uid="{00000000-0005-0000-0000-0000E9040000}"/>
    <cellStyle name="Normal 6 4 6" xfId="1258" xr:uid="{00000000-0005-0000-0000-0000EA040000}"/>
    <cellStyle name="Normal 6 4 7" xfId="1259" xr:uid="{00000000-0005-0000-0000-0000EB040000}"/>
    <cellStyle name="Normal 6 4 8" xfId="1260" xr:uid="{00000000-0005-0000-0000-0000EC040000}"/>
    <cellStyle name="Normal 6 4 9" xfId="1261" xr:uid="{00000000-0005-0000-0000-0000ED040000}"/>
    <cellStyle name="Normal 6 5" xfId="1262" xr:uid="{00000000-0005-0000-0000-0000EE040000}"/>
    <cellStyle name="Normal 6 5 2" xfId="1263" xr:uid="{00000000-0005-0000-0000-0000EF040000}"/>
    <cellStyle name="Normal 6 5 3" xfId="1264" xr:uid="{00000000-0005-0000-0000-0000F0040000}"/>
    <cellStyle name="Normal 6 5 4" xfId="1265" xr:uid="{00000000-0005-0000-0000-0000F1040000}"/>
    <cellStyle name="Normal 6 5 5" xfId="1266" xr:uid="{00000000-0005-0000-0000-0000F2040000}"/>
    <cellStyle name="Normal 6 5 6" xfId="1267" xr:uid="{00000000-0005-0000-0000-0000F3040000}"/>
    <cellStyle name="Normal 6 5 7" xfId="1268" xr:uid="{00000000-0005-0000-0000-0000F4040000}"/>
    <cellStyle name="Normal 6 6" xfId="1269" xr:uid="{00000000-0005-0000-0000-0000F5040000}"/>
    <cellStyle name="Normal 6 7" xfId="1270" xr:uid="{00000000-0005-0000-0000-0000F6040000}"/>
    <cellStyle name="Normal 6 8" xfId="1271" xr:uid="{00000000-0005-0000-0000-0000F7040000}"/>
    <cellStyle name="Normal 6 9" xfId="1272" xr:uid="{00000000-0005-0000-0000-0000F8040000}"/>
    <cellStyle name="Normal 7" xfId="1273" xr:uid="{00000000-0005-0000-0000-0000F9040000}"/>
    <cellStyle name="Normal 7 10" xfId="1274" xr:uid="{00000000-0005-0000-0000-0000FA040000}"/>
    <cellStyle name="Normal 7 11" xfId="1275" xr:uid="{00000000-0005-0000-0000-0000FB040000}"/>
    <cellStyle name="Normal 7 2" xfId="1276" xr:uid="{00000000-0005-0000-0000-0000FC040000}"/>
    <cellStyle name="Normal 7 2 10" xfId="1277" xr:uid="{00000000-0005-0000-0000-0000FD040000}"/>
    <cellStyle name="Normal 7 2 11" xfId="1278" xr:uid="{00000000-0005-0000-0000-0000FE040000}"/>
    <cellStyle name="Normal 7 2 12" xfId="1279" xr:uid="{00000000-0005-0000-0000-0000FF040000}"/>
    <cellStyle name="Normal 7 2 2" xfId="1280" xr:uid="{00000000-0005-0000-0000-000000050000}"/>
    <cellStyle name="Normal 7 2 2 2" xfId="1281" xr:uid="{00000000-0005-0000-0000-000001050000}"/>
    <cellStyle name="Normal 7 2 2 2 2" xfId="1282" xr:uid="{00000000-0005-0000-0000-000002050000}"/>
    <cellStyle name="Normal 7 2 2 2 3" xfId="1283" xr:uid="{00000000-0005-0000-0000-000003050000}"/>
    <cellStyle name="Normal 7 2 2 2 4" xfId="1284" xr:uid="{00000000-0005-0000-0000-000004050000}"/>
    <cellStyle name="Normal 7 2 2 2 5" xfId="1285" xr:uid="{00000000-0005-0000-0000-000005050000}"/>
    <cellStyle name="Normal 7 2 2 2 6" xfId="1286" xr:uid="{00000000-0005-0000-0000-000006050000}"/>
    <cellStyle name="Normal 7 2 2 2 7" xfId="1287" xr:uid="{00000000-0005-0000-0000-000007050000}"/>
    <cellStyle name="Normal 7 2 2 3" xfId="1288" xr:uid="{00000000-0005-0000-0000-000008050000}"/>
    <cellStyle name="Normal 7 2 2 3 2" xfId="1289" xr:uid="{00000000-0005-0000-0000-000009050000}"/>
    <cellStyle name="Normal 7 2 2 3 3" xfId="1290" xr:uid="{00000000-0005-0000-0000-00000A050000}"/>
    <cellStyle name="Normal 7 2 2 3 4" xfId="1291" xr:uid="{00000000-0005-0000-0000-00000B050000}"/>
    <cellStyle name="Normal 7 2 2 3 5" xfId="1292" xr:uid="{00000000-0005-0000-0000-00000C050000}"/>
    <cellStyle name="Normal 7 2 2 3 6" xfId="1293" xr:uid="{00000000-0005-0000-0000-00000D050000}"/>
    <cellStyle name="Normal 7 2 2 3 7" xfId="1294" xr:uid="{00000000-0005-0000-0000-00000E050000}"/>
    <cellStyle name="Normal 7 2 3" xfId="1295" xr:uid="{00000000-0005-0000-0000-00000F050000}"/>
    <cellStyle name="Normal 7 2 3 2" xfId="1296" xr:uid="{00000000-0005-0000-0000-000010050000}"/>
    <cellStyle name="Normal 7 2 3 3" xfId="1297" xr:uid="{00000000-0005-0000-0000-000011050000}"/>
    <cellStyle name="Normal 7 2 3 4" xfId="1298" xr:uid="{00000000-0005-0000-0000-000012050000}"/>
    <cellStyle name="Normal 7 2 3 5" xfId="1299" xr:uid="{00000000-0005-0000-0000-000013050000}"/>
    <cellStyle name="Normal 7 2 3 6" xfId="1300" xr:uid="{00000000-0005-0000-0000-000014050000}"/>
    <cellStyle name="Normal 7 2 3 7" xfId="1301" xr:uid="{00000000-0005-0000-0000-000015050000}"/>
    <cellStyle name="Normal 7 2 4" xfId="1302" xr:uid="{00000000-0005-0000-0000-000016050000}"/>
    <cellStyle name="Normal 7 2 4 2" xfId="1303" xr:uid="{00000000-0005-0000-0000-000017050000}"/>
    <cellStyle name="Normal 7 2 4 3" xfId="1304" xr:uid="{00000000-0005-0000-0000-000018050000}"/>
    <cellStyle name="Normal 7 2 4 4" xfId="1305" xr:uid="{00000000-0005-0000-0000-000019050000}"/>
    <cellStyle name="Normal 7 2 4 5" xfId="1306" xr:uid="{00000000-0005-0000-0000-00001A050000}"/>
    <cellStyle name="Normal 7 2 4 6" xfId="1307" xr:uid="{00000000-0005-0000-0000-00001B050000}"/>
    <cellStyle name="Normal 7 2 4 7" xfId="1308" xr:uid="{00000000-0005-0000-0000-00001C050000}"/>
    <cellStyle name="Normal 7 2 5" xfId="1309" xr:uid="{00000000-0005-0000-0000-00001D050000}"/>
    <cellStyle name="Normal 7 2 5 2" xfId="1310" xr:uid="{00000000-0005-0000-0000-00001E050000}"/>
    <cellStyle name="Normal 7 2 5 3" xfId="1311" xr:uid="{00000000-0005-0000-0000-00001F050000}"/>
    <cellStyle name="Normal 7 2 5 4" xfId="1312" xr:uid="{00000000-0005-0000-0000-000020050000}"/>
    <cellStyle name="Normal 7 2 5 5" xfId="1313" xr:uid="{00000000-0005-0000-0000-000021050000}"/>
    <cellStyle name="Normal 7 2 5 6" xfId="1314" xr:uid="{00000000-0005-0000-0000-000022050000}"/>
    <cellStyle name="Normal 7 2 5 7" xfId="1315" xr:uid="{00000000-0005-0000-0000-000023050000}"/>
    <cellStyle name="Normal 7 2 6" xfId="1316" xr:uid="{00000000-0005-0000-0000-000024050000}"/>
    <cellStyle name="Normal 7 2 7" xfId="1317" xr:uid="{00000000-0005-0000-0000-000025050000}"/>
    <cellStyle name="Normal 7 2 8" xfId="1318" xr:uid="{00000000-0005-0000-0000-000026050000}"/>
    <cellStyle name="Normal 7 2 9" xfId="1319" xr:uid="{00000000-0005-0000-0000-000027050000}"/>
    <cellStyle name="Normal 7 3" xfId="1320" xr:uid="{00000000-0005-0000-0000-000028050000}"/>
    <cellStyle name="Normal 7 3 10" xfId="1321" xr:uid="{00000000-0005-0000-0000-000029050000}"/>
    <cellStyle name="Normal 7 3 11" xfId="1322" xr:uid="{00000000-0005-0000-0000-00002A050000}"/>
    <cellStyle name="Normal 7 3 12" xfId="1323" xr:uid="{00000000-0005-0000-0000-00002B050000}"/>
    <cellStyle name="Normal 7 3 2" xfId="1324" xr:uid="{00000000-0005-0000-0000-00002C050000}"/>
    <cellStyle name="Normal 7 3 2 2" xfId="1325" xr:uid="{00000000-0005-0000-0000-00002D050000}"/>
    <cellStyle name="Normal 7 3 2 2 2" xfId="1326" xr:uid="{00000000-0005-0000-0000-00002E050000}"/>
    <cellStyle name="Normal 7 3 2 2 3" xfId="1327" xr:uid="{00000000-0005-0000-0000-00002F050000}"/>
    <cellStyle name="Normal 7 3 2 2 4" xfId="1328" xr:uid="{00000000-0005-0000-0000-000030050000}"/>
    <cellStyle name="Normal 7 3 2 2 5" xfId="1329" xr:uid="{00000000-0005-0000-0000-000031050000}"/>
    <cellStyle name="Normal 7 3 2 2 6" xfId="1330" xr:uid="{00000000-0005-0000-0000-000032050000}"/>
    <cellStyle name="Normal 7 3 2 2 7" xfId="1331" xr:uid="{00000000-0005-0000-0000-000033050000}"/>
    <cellStyle name="Normal 7 3 2 3" xfId="1332" xr:uid="{00000000-0005-0000-0000-000034050000}"/>
    <cellStyle name="Normal 7 3 2 3 2" xfId="1333" xr:uid="{00000000-0005-0000-0000-000035050000}"/>
    <cellStyle name="Normal 7 3 2 3 3" xfId="1334" xr:uid="{00000000-0005-0000-0000-000036050000}"/>
    <cellStyle name="Normal 7 3 2 3 4" xfId="1335" xr:uid="{00000000-0005-0000-0000-000037050000}"/>
    <cellStyle name="Normal 7 3 2 3 5" xfId="1336" xr:uid="{00000000-0005-0000-0000-000038050000}"/>
    <cellStyle name="Normal 7 3 2 3 6" xfId="1337" xr:uid="{00000000-0005-0000-0000-000039050000}"/>
    <cellStyle name="Normal 7 3 2 3 7" xfId="1338" xr:uid="{00000000-0005-0000-0000-00003A050000}"/>
    <cellStyle name="Normal 7 3 3" xfId="1339" xr:uid="{00000000-0005-0000-0000-00003B050000}"/>
    <cellStyle name="Normal 7 3 3 2" xfId="1340" xr:uid="{00000000-0005-0000-0000-00003C050000}"/>
    <cellStyle name="Normal 7 3 3 3" xfId="1341" xr:uid="{00000000-0005-0000-0000-00003D050000}"/>
    <cellStyle name="Normal 7 3 3 4" xfId="1342" xr:uid="{00000000-0005-0000-0000-00003E050000}"/>
    <cellStyle name="Normal 7 3 3 5" xfId="1343" xr:uid="{00000000-0005-0000-0000-00003F050000}"/>
    <cellStyle name="Normal 7 3 3 6" xfId="1344" xr:uid="{00000000-0005-0000-0000-000040050000}"/>
    <cellStyle name="Normal 7 3 3 7" xfId="1345" xr:uid="{00000000-0005-0000-0000-000041050000}"/>
    <cellStyle name="Normal 7 3 4" xfId="1346" xr:uid="{00000000-0005-0000-0000-000042050000}"/>
    <cellStyle name="Normal 7 3 4 2" xfId="1347" xr:uid="{00000000-0005-0000-0000-000043050000}"/>
    <cellStyle name="Normal 7 3 4 3" xfId="1348" xr:uid="{00000000-0005-0000-0000-000044050000}"/>
    <cellStyle name="Normal 7 3 4 4" xfId="1349" xr:uid="{00000000-0005-0000-0000-000045050000}"/>
    <cellStyle name="Normal 7 3 4 5" xfId="1350" xr:uid="{00000000-0005-0000-0000-000046050000}"/>
    <cellStyle name="Normal 7 3 4 6" xfId="1351" xr:uid="{00000000-0005-0000-0000-000047050000}"/>
    <cellStyle name="Normal 7 3 4 7" xfId="1352" xr:uid="{00000000-0005-0000-0000-000048050000}"/>
    <cellStyle name="Normal 7 3 5" xfId="1353" xr:uid="{00000000-0005-0000-0000-000049050000}"/>
    <cellStyle name="Normal 7 3 5 2" xfId="1354" xr:uid="{00000000-0005-0000-0000-00004A050000}"/>
    <cellStyle name="Normal 7 3 5 3" xfId="1355" xr:uid="{00000000-0005-0000-0000-00004B050000}"/>
    <cellStyle name="Normal 7 3 5 4" xfId="1356" xr:uid="{00000000-0005-0000-0000-00004C050000}"/>
    <cellStyle name="Normal 7 3 5 5" xfId="1357" xr:uid="{00000000-0005-0000-0000-00004D050000}"/>
    <cellStyle name="Normal 7 3 5 6" xfId="1358" xr:uid="{00000000-0005-0000-0000-00004E050000}"/>
    <cellStyle name="Normal 7 3 5 7" xfId="1359" xr:uid="{00000000-0005-0000-0000-00004F050000}"/>
    <cellStyle name="Normal 7 3 6" xfId="1360" xr:uid="{00000000-0005-0000-0000-000050050000}"/>
    <cellStyle name="Normal 7 3 7" xfId="1361" xr:uid="{00000000-0005-0000-0000-000051050000}"/>
    <cellStyle name="Normal 7 3 8" xfId="1362" xr:uid="{00000000-0005-0000-0000-000052050000}"/>
    <cellStyle name="Normal 7 3 9" xfId="1363" xr:uid="{00000000-0005-0000-0000-000053050000}"/>
    <cellStyle name="Normal 7 4" xfId="1364" xr:uid="{00000000-0005-0000-0000-000054050000}"/>
    <cellStyle name="Normal 7 4 2" xfId="1365" xr:uid="{00000000-0005-0000-0000-000055050000}"/>
    <cellStyle name="Normal 7 4 3" xfId="1366" xr:uid="{00000000-0005-0000-0000-000056050000}"/>
    <cellStyle name="Normal 7 4 4" xfId="1367" xr:uid="{00000000-0005-0000-0000-000057050000}"/>
    <cellStyle name="Normal 7 4 5" xfId="1368" xr:uid="{00000000-0005-0000-0000-000058050000}"/>
    <cellStyle name="Normal 7 4 6" xfId="1369" xr:uid="{00000000-0005-0000-0000-000059050000}"/>
    <cellStyle name="Normal 7 4 7" xfId="1370" xr:uid="{00000000-0005-0000-0000-00005A050000}"/>
    <cellStyle name="Normal 7 4 8" xfId="1371" xr:uid="{00000000-0005-0000-0000-00005B050000}"/>
    <cellStyle name="Normal 7 4 9" xfId="1372" xr:uid="{00000000-0005-0000-0000-00005C050000}"/>
    <cellStyle name="Normal 7 5" xfId="1373" xr:uid="{00000000-0005-0000-0000-00005D050000}"/>
    <cellStyle name="Normal 7 5 2" xfId="1374" xr:uid="{00000000-0005-0000-0000-00005E050000}"/>
    <cellStyle name="Normal 7 5 3" xfId="1375" xr:uid="{00000000-0005-0000-0000-00005F050000}"/>
    <cellStyle name="Normal 7 5 4" xfId="1376" xr:uid="{00000000-0005-0000-0000-000060050000}"/>
    <cellStyle name="Normal 7 5 5" xfId="1377" xr:uid="{00000000-0005-0000-0000-000061050000}"/>
    <cellStyle name="Normal 7 5 6" xfId="1378" xr:uid="{00000000-0005-0000-0000-000062050000}"/>
    <cellStyle name="Normal 7 5 7" xfId="1379" xr:uid="{00000000-0005-0000-0000-000063050000}"/>
    <cellStyle name="Normal 7 6" xfId="1380" xr:uid="{00000000-0005-0000-0000-000064050000}"/>
    <cellStyle name="Normal 7 7" xfId="1381" xr:uid="{00000000-0005-0000-0000-000065050000}"/>
    <cellStyle name="Normal 7 8" xfId="1382" xr:uid="{00000000-0005-0000-0000-000066050000}"/>
    <cellStyle name="Normal 7 9" xfId="1383" xr:uid="{00000000-0005-0000-0000-000067050000}"/>
    <cellStyle name="Normal 8" xfId="1384" xr:uid="{00000000-0005-0000-0000-000068050000}"/>
    <cellStyle name="Normal 8 2" xfId="1385" xr:uid="{00000000-0005-0000-0000-000069050000}"/>
    <cellStyle name="Normal 9" xfId="1386" xr:uid="{00000000-0005-0000-0000-00006A050000}"/>
    <cellStyle name="Normal 9 10" xfId="1387" xr:uid="{00000000-0005-0000-0000-00006B050000}"/>
    <cellStyle name="Normal 9 10 2" xfId="1388" xr:uid="{00000000-0005-0000-0000-00006C050000}"/>
    <cellStyle name="Normal 9 10 3" xfId="1389" xr:uid="{00000000-0005-0000-0000-00006D050000}"/>
    <cellStyle name="Normal 9 10 4" xfId="1390" xr:uid="{00000000-0005-0000-0000-00006E050000}"/>
    <cellStyle name="Normal 9 10 5" xfId="1391" xr:uid="{00000000-0005-0000-0000-00006F050000}"/>
    <cellStyle name="Normal 9 10 6" xfId="1392" xr:uid="{00000000-0005-0000-0000-000070050000}"/>
    <cellStyle name="Normal 9 11" xfId="1393" xr:uid="{00000000-0005-0000-0000-000071050000}"/>
    <cellStyle name="Normal 9 12" xfId="1394" xr:uid="{00000000-0005-0000-0000-000072050000}"/>
    <cellStyle name="Normal 9 13" xfId="1395" xr:uid="{00000000-0005-0000-0000-000073050000}"/>
    <cellStyle name="Normal 9 14" xfId="1396" xr:uid="{00000000-0005-0000-0000-000074050000}"/>
    <cellStyle name="Normal 9 15" xfId="1397" xr:uid="{00000000-0005-0000-0000-000075050000}"/>
    <cellStyle name="Normal 9 2" xfId="1398" xr:uid="{00000000-0005-0000-0000-000076050000}"/>
    <cellStyle name="Normal 9 2 2" xfId="1399" xr:uid="{00000000-0005-0000-0000-000077050000}"/>
    <cellStyle name="Normal 9 2 3" xfId="1400" xr:uid="{00000000-0005-0000-0000-000078050000}"/>
    <cellStyle name="Normal 9 2 4" xfId="1401" xr:uid="{00000000-0005-0000-0000-000079050000}"/>
    <cellStyle name="Normal 9 3" xfId="1402" xr:uid="{00000000-0005-0000-0000-00007A050000}"/>
    <cellStyle name="Normal 9 3 2" xfId="1403" xr:uid="{00000000-0005-0000-0000-00007B050000}"/>
    <cellStyle name="Normal 9 4" xfId="1404" xr:uid="{00000000-0005-0000-0000-00007C050000}"/>
    <cellStyle name="Normal 9 5" xfId="1405" xr:uid="{00000000-0005-0000-0000-00007D050000}"/>
    <cellStyle name="Normal 9 5 2" xfId="1406" xr:uid="{00000000-0005-0000-0000-00007E050000}"/>
    <cellStyle name="Normal 9 5 3" xfId="1407" xr:uid="{00000000-0005-0000-0000-00007F050000}"/>
    <cellStyle name="Normal 9 5 4" xfId="1408" xr:uid="{00000000-0005-0000-0000-000080050000}"/>
    <cellStyle name="Normal 9 5 5" xfId="1409" xr:uid="{00000000-0005-0000-0000-000081050000}"/>
    <cellStyle name="Normal 9 5 6" xfId="1410" xr:uid="{00000000-0005-0000-0000-000082050000}"/>
    <cellStyle name="Normal 9 5 7" xfId="1411" xr:uid="{00000000-0005-0000-0000-000083050000}"/>
    <cellStyle name="Normal 9 6" xfId="1412" xr:uid="{00000000-0005-0000-0000-000084050000}"/>
    <cellStyle name="Normal 9 6 2" xfId="1413" xr:uid="{00000000-0005-0000-0000-000085050000}"/>
    <cellStyle name="Normal 9 6 3" xfId="1414" xr:uid="{00000000-0005-0000-0000-000086050000}"/>
    <cellStyle name="Normal 9 6 4" xfId="1415" xr:uid="{00000000-0005-0000-0000-000087050000}"/>
    <cellStyle name="Normal 9 6 5" xfId="1416" xr:uid="{00000000-0005-0000-0000-000088050000}"/>
    <cellStyle name="Normal 9 6 6" xfId="1417" xr:uid="{00000000-0005-0000-0000-000089050000}"/>
    <cellStyle name="Normal 9 6 7" xfId="1418" xr:uid="{00000000-0005-0000-0000-00008A050000}"/>
    <cellStyle name="Normal 9 7" xfId="1419" xr:uid="{00000000-0005-0000-0000-00008B050000}"/>
    <cellStyle name="Normal 9 7 2" xfId="1420" xr:uid="{00000000-0005-0000-0000-00008C050000}"/>
    <cellStyle name="Normal 9 7 3" xfId="1421" xr:uid="{00000000-0005-0000-0000-00008D050000}"/>
    <cellStyle name="Normal 9 7 4" xfId="1422" xr:uid="{00000000-0005-0000-0000-00008E050000}"/>
    <cellStyle name="Normal 9 7 5" xfId="1423" xr:uid="{00000000-0005-0000-0000-00008F050000}"/>
    <cellStyle name="Normal 9 7 6" xfId="1424" xr:uid="{00000000-0005-0000-0000-000090050000}"/>
    <cellStyle name="Normal 9 7 7" xfId="1425" xr:uid="{00000000-0005-0000-0000-000091050000}"/>
    <cellStyle name="Normal 9 8" xfId="1426" xr:uid="{00000000-0005-0000-0000-000092050000}"/>
    <cellStyle name="Normal 9 8 2" xfId="1427" xr:uid="{00000000-0005-0000-0000-000093050000}"/>
    <cellStyle name="Normal 9 8 3" xfId="1428" xr:uid="{00000000-0005-0000-0000-000094050000}"/>
    <cellStyle name="Normal 9 8 4" xfId="1429" xr:uid="{00000000-0005-0000-0000-000095050000}"/>
    <cellStyle name="Normal 9 8 5" xfId="1430" xr:uid="{00000000-0005-0000-0000-000096050000}"/>
    <cellStyle name="Normal 9 8 6" xfId="1431" xr:uid="{00000000-0005-0000-0000-000097050000}"/>
    <cellStyle name="Normal 9 8 7" xfId="1432" xr:uid="{00000000-0005-0000-0000-000098050000}"/>
    <cellStyle name="Normal 9 9" xfId="1433" xr:uid="{00000000-0005-0000-0000-000099050000}"/>
    <cellStyle name="Normal 90" xfId="1440" xr:uid="{9DF0C9C8-6215-4CF9-B1A3-54ECBF92AF67}"/>
    <cellStyle name="Normal 91 5" xfId="1442" xr:uid="{58920B8B-5F32-49FA-A2A5-7896D783A1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212482</xdr:colOff>
      <xdr:row>170</xdr:row>
      <xdr:rowOff>124557</xdr:rowOff>
    </xdr:from>
    <xdr:to>
      <xdr:col>4</xdr:col>
      <xdr:colOff>2227385</xdr:colOff>
      <xdr:row>173</xdr:row>
      <xdr:rowOff>124557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2A177E-E19A-442E-AD41-D5C96519048F}"/>
            </a:ext>
          </a:extLst>
        </xdr:cNvPr>
        <xdr:cNvSpPr txBox="1"/>
      </xdr:nvSpPr>
      <xdr:spPr>
        <a:xfrm>
          <a:off x="3130942" y="3980277"/>
          <a:ext cx="2014903" cy="52578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050" b="1">
              <a:ln>
                <a:noFill/>
              </a:ln>
            </a:rPr>
            <a:t>CHERYL G. LOPEZ</a:t>
          </a:r>
        </a:p>
        <a:p>
          <a:pPr algn="ctr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Disbursing Officer</a:t>
          </a:r>
          <a:endParaRPr lang="en-PH" sz="1050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129</xdr:row>
      <xdr:rowOff>0</xdr:rowOff>
    </xdr:from>
    <xdr:to>
      <xdr:col>6</xdr:col>
      <xdr:colOff>647700</xdr:colOff>
      <xdr:row>129</xdr:row>
      <xdr:rowOff>180975</xdr:rowOff>
    </xdr:to>
    <xdr:sp macro="" textlink="">
      <xdr:nvSpPr>
        <xdr:cNvPr id="2" name="Text Box 17">
          <a:extLst>
            <a:ext uri="{FF2B5EF4-FFF2-40B4-BE49-F238E27FC236}">
              <a16:creationId xmlns:a16="http://schemas.microsoft.com/office/drawing/2014/main" id="{0AF1E59C-07E5-49C6-9032-1CA939E40216}"/>
            </a:ext>
          </a:extLst>
        </xdr:cNvPr>
        <xdr:cNvSpPr txBox="1">
          <a:spLocks noChangeArrowheads="1"/>
        </xdr:cNvSpPr>
      </xdr:nvSpPr>
      <xdr:spPr bwMode="auto">
        <a:xfrm>
          <a:off x="7825740" y="623316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571500</xdr:colOff>
      <xdr:row>146</xdr:row>
      <xdr:rowOff>0</xdr:rowOff>
    </xdr:from>
    <xdr:ext cx="76200" cy="180975"/>
    <xdr:sp macro="" textlink="">
      <xdr:nvSpPr>
        <xdr:cNvPr id="3" name="Text Box 17">
          <a:extLst>
            <a:ext uri="{FF2B5EF4-FFF2-40B4-BE49-F238E27FC236}">
              <a16:creationId xmlns:a16="http://schemas.microsoft.com/office/drawing/2014/main" id="{84634AED-3BE6-4375-83D0-77E00AAB9501}"/>
            </a:ext>
          </a:extLst>
        </xdr:cNvPr>
        <xdr:cNvSpPr txBox="1">
          <a:spLocks noChangeArrowheads="1"/>
        </xdr:cNvSpPr>
      </xdr:nvSpPr>
      <xdr:spPr bwMode="auto">
        <a:xfrm>
          <a:off x="7825740" y="937260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0301285-7C0C-4050-8415-CE520BB8B69B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EAE2C7B-618F-4B20-8347-B23217A736E0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1AF7BD4D-D660-4783-B824-1904BDFBCC25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FB213AAB-280D-4550-AF42-266D0E7B9DFA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CF9963A6-DB3E-4B4E-BFB9-7426A8AD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56704B7E-4FA2-441F-93D8-487048698471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2D64CAEB-8207-407C-AB79-1D0F1B8F8FA9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ED102D18-903E-41A7-AD2A-FC9C01882BEE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124D06AB-7F74-4161-A3C1-20C470342CCD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363BFB1-53EE-49E2-B932-6F1FA3191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12" name="Rounded Rectangle 1">
          <a:extLst>
            <a:ext uri="{FF2B5EF4-FFF2-40B4-BE49-F238E27FC236}">
              <a16:creationId xmlns:a16="http://schemas.microsoft.com/office/drawing/2014/main" id="{551CBCB1-8309-4CFB-8188-5307CCAD80AE}"/>
            </a:ext>
          </a:extLst>
        </xdr:cNvPr>
        <xdr:cNvSpPr>
          <a:spLocks noChangeArrowheads="1"/>
        </xdr:cNvSpPr>
      </xdr:nvSpPr>
      <xdr:spPr bwMode="auto">
        <a:xfrm>
          <a:off x="47625" y="4326007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13" name="Rounded Rectangle 2">
          <a:extLst>
            <a:ext uri="{FF2B5EF4-FFF2-40B4-BE49-F238E27FC236}">
              <a16:creationId xmlns:a16="http://schemas.microsoft.com/office/drawing/2014/main" id="{1702032B-F18A-4EA7-8358-A345382319F7}"/>
            </a:ext>
          </a:extLst>
        </xdr:cNvPr>
        <xdr:cNvSpPr>
          <a:spLocks noChangeArrowheads="1"/>
        </xdr:cNvSpPr>
      </xdr:nvSpPr>
      <xdr:spPr bwMode="auto">
        <a:xfrm>
          <a:off x="3862180" y="4326007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14" name="Rounded Rectangle 1">
          <a:extLst>
            <a:ext uri="{FF2B5EF4-FFF2-40B4-BE49-F238E27FC236}">
              <a16:creationId xmlns:a16="http://schemas.microsoft.com/office/drawing/2014/main" id="{838B4C47-F764-4EA0-A7FA-F54A9F69B301}"/>
            </a:ext>
          </a:extLst>
        </xdr:cNvPr>
        <xdr:cNvSpPr>
          <a:spLocks noChangeArrowheads="1"/>
        </xdr:cNvSpPr>
      </xdr:nvSpPr>
      <xdr:spPr bwMode="auto">
        <a:xfrm>
          <a:off x="47625" y="4316482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5" name="Rounded Rectangle 2">
          <a:extLst>
            <a:ext uri="{FF2B5EF4-FFF2-40B4-BE49-F238E27FC236}">
              <a16:creationId xmlns:a16="http://schemas.microsoft.com/office/drawing/2014/main" id="{695F4639-AA50-47AE-9123-A9022A8AA44F}"/>
            </a:ext>
          </a:extLst>
        </xdr:cNvPr>
        <xdr:cNvSpPr>
          <a:spLocks noChangeArrowheads="1"/>
        </xdr:cNvSpPr>
      </xdr:nvSpPr>
      <xdr:spPr bwMode="auto">
        <a:xfrm>
          <a:off x="3862180" y="4657311"/>
          <a:ext cx="266700" cy="146602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8244710-C068-40BB-9594-EF03FE42CDA1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C024F70-ECC4-47C3-9471-64C59C205FD3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666E2DDF-25B3-4EEE-B630-79505ED333F7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50ABEB13-6191-48A7-852B-7F20F21EEFAE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C6B545B6-9BE0-4BB6-B450-8BD84491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208BCDD9-EC39-4843-86D4-E4503D35B5E4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FC790D85-A57B-47BE-9E4D-3461A685D6C7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1B239E99-2DE1-48B4-8E19-CD8F1395085E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5EB3176D-E552-4A41-8052-377499CFAC3F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298225B8-5692-4119-B25A-067825014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3BA1B78-CB59-40F0-9BF5-5103C4E810FC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B3948C30-ED40-44D9-A1C4-F62B798693B1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3DCD5073-5FE2-471D-A6DE-8C5C82993D8B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C0D584AD-BE0E-4522-80F5-D3DAF2285861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EF96843C-821E-4587-AA6D-75AAA610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E1ED077B-A3B7-47B7-A46D-E7B92A5127F9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9ACA6D9B-5B31-45DC-9629-7ABDB38B43F3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B98B4C1A-05C6-43E9-9AD9-7EBD01A69524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88C1187A-7A36-4BB4-AE45-89A6A3FDB244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4BB71F45-B945-4B68-ADC4-9A2C106A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99D9F60-72F3-47EC-989A-C728E15F432D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5349DFA0-63DE-4F31-9C93-683131973F35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464FA41D-62CF-4094-A0FE-DF611C5512B8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B30CC02B-B7E9-4AF8-BE18-784B6574E619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798089FB-5A9C-47E6-AFB3-DB4D2CFDB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07176945-2A2F-4E14-84F3-C8B6E72B7B47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8B28A248-BE48-4760-9E35-D38EA032E789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5005DA8C-0DB7-46C9-A5D2-A09C13D972D0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E78C1936-3B71-48BD-916C-F83A04995120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F56A884-B2DB-4804-9991-F2F506604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7A48406-8833-4849-BA57-168EC9EE7348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316C1FB-14D1-407A-8443-480A526054AB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7DABE28A-4071-4DDE-AE0F-FC27CC4164CD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D4030D46-EC30-4EAA-8E30-A3094360C227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C17A7542-469E-4F5D-AAE4-0C771A950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06E33D4E-DCC0-43CD-A999-E04580021E81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BFF4F293-88F6-474C-86DB-149527E7CC29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67204F8D-7772-4F09-94D2-11A62D0D2220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26AE3AFE-42B4-4642-842B-AD470F429BC7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F405213-24F8-4A19-9F5B-32B6AF450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80CEAED-9872-4C0D-A073-4D11F364998C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D694C45-F02C-4DF0-B497-677823912D51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3FF5A22B-2BA9-41F8-946F-2A8310775E2D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F42511C3-1839-44EE-9D9E-C9D3D71BF1CF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B454D012-1E40-4FBF-8256-2BDE5C2EB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144AA322-1BBF-4E11-AEBD-3EB32752582D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C2BE8579-8095-48BB-BEA0-EBDF26EC6720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877BD212-8750-4A37-98F0-54CAB0039BFE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DBBF9CA4-6915-4EA5-B1D0-4D671E9F2405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7AC7043-AA01-4285-B7E7-8D2E0C9D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29</xdr:row>
      <xdr:rowOff>19050</xdr:rowOff>
    </xdr:from>
    <xdr:to>
      <xdr:col>0</xdr:col>
      <xdr:colOff>323850</xdr:colOff>
      <xdr:row>29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92B7B49-7F52-4ADE-A927-026A467882D0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29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A36BE82-A5DF-40B1-8E17-BD74F07FC3C1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29</xdr:row>
      <xdr:rowOff>9525</xdr:rowOff>
    </xdr:from>
    <xdr:to>
      <xdr:col>0</xdr:col>
      <xdr:colOff>323850</xdr:colOff>
      <xdr:row>29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F6855D0C-A4BA-4A88-8D51-28DC3AABA773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31</xdr:row>
      <xdr:rowOff>19050</xdr:rowOff>
    </xdr:from>
    <xdr:to>
      <xdr:col>5</xdr:col>
      <xdr:colOff>590550</xdr:colOff>
      <xdr:row>32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97C5A4CA-4082-47A2-A8F5-CB42A2DC073D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F012877F-1925-4E26-AE98-051770870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323850</xdr:colOff>
      <xdr:row>70</xdr:row>
      <xdr:rowOff>19050</xdr:rowOff>
    </xdr:from>
    <xdr:to>
      <xdr:col>5</xdr:col>
      <xdr:colOff>590550</xdr:colOff>
      <xdr:row>71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D612DAA1-66FF-4474-A9F0-83A7A52DA29D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43</xdr:row>
      <xdr:rowOff>57150</xdr:rowOff>
    </xdr:from>
    <xdr:to>
      <xdr:col>1</xdr:col>
      <xdr:colOff>447675</xdr:colOff>
      <xdr:row>44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9C9D999-FD66-4C03-915A-36F61F3D5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70</xdr:row>
      <xdr:rowOff>19050</xdr:rowOff>
    </xdr:from>
    <xdr:to>
      <xdr:col>0</xdr:col>
      <xdr:colOff>323850</xdr:colOff>
      <xdr:row>70</xdr:row>
      <xdr:rowOff>152400</xdr:rowOff>
    </xdr:to>
    <xdr:sp macro="" textlink="">
      <xdr:nvSpPr>
        <xdr:cNvPr id="12" name="Rounded Rectangle 1">
          <a:extLst>
            <a:ext uri="{FF2B5EF4-FFF2-40B4-BE49-F238E27FC236}">
              <a16:creationId xmlns:a16="http://schemas.microsoft.com/office/drawing/2014/main" id="{D3195CFF-4797-4C7D-992E-68BCD5389E62}"/>
            </a:ext>
          </a:extLst>
        </xdr:cNvPr>
        <xdr:cNvSpPr>
          <a:spLocks noChangeArrowheads="1"/>
        </xdr:cNvSpPr>
      </xdr:nvSpPr>
      <xdr:spPr bwMode="auto">
        <a:xfrm>
          <a:off x="47625" y="4630807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70</xdr:row>
      <xdr:rowOff>19050</xdr:rowOff>
    </xdr:from>
    <xdr:to>
      <xdr:col>5</xdr:col>
      <xdr:colOff>590550</xdr:colOff>
      <xdr:row>70</xdr:row>
      <xdr:rowOff>161925</xdr:rowOff>
    </xdr:to>
    <xdr:sp macro="" textlink="">
      <xdr:nvSpPr>
        <xdr:cNvPr id="13" name="Rounded Rectangle 2">
          <a:extLst>
            <a:ext uri="{FF2B5EF4-FFF2-40B4-BE49-F238E27FC236}">
              <a16:creationId xmlns:a16="http://schemas.microsoft.com/office/drawing/2014/main" id="{409B46D6-0985-4C54-BC45-FB7721B4539F}"/>
            </a:ext>
          </a:extLst>
        </xdr:cNvPr>
        <xdr:cNvSpPr>
          <a:spLocks noChangeArrowheads="1"/>
        </xdr:cNvSpPr>
      </xdr:nvSpPr>
      <xdr:spPr bwMode="auto">
        <a:xfrm>
          <a:off x="3862180" y="4630807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70</xdr:row>
      <xdr:rowOff>9525</xdr:rowOff>
    </xdr:from>
    <xdr:to>
      <xdr:col>0</xdr:col>
      <xdr:colOff>323850</xdr:colOff>
      <xdr:row>70</xdr:row>
      <xdr:rowOff>152400</xdr:rowOff>
    </xdr:to>
    <xdr:sp macro="" textlink="">
      <xdr:nvSpPr>
        <xdr:cNvPr id="14" name="Rounded Rectangle 1">
          <a:extLst>
            <a:ext uri="{FF2B5EF4-FFF2-40B4-BE49-F238E27FC236}">
              <a16:creationId xmlns:a16="http://schemas.microsoft.com/office/drawing/2014/main" id="{F54DD4EF-9DF7-49A4-A3EA-68634B5EB934}"/>
            </a:ext>
          </a:extLst>
        </xdr:cNvPr>
        <xdr:cNvSpPr>
          <a:spLocks noChangeArrowheads="1"/>
        </xdr:cNvSpPr>
      </xdr:nvSpPr>
      <xdr:spPr bwMode="auto">
        <a:xfrm>
          <a:off x="47625" y="4621282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72</xdr:row>
      <xdr:rowOff>19050</xdr:rowOff>
    </xdr:from>
    <xdr:to>
      <xdr:col>5</xdr:col>
      <xdr:colOff>590550</xdr:colOff>
      <xdr:row>73</xdr:row>
      <xdr:rowOff>0</xdr:rowOff>
    </xdr:to>
    <xdr:sp macro="" textlink="">
      <xdr:nvSpPr>
        <xdr:cNvPr id="15" name="Rounded Rectangle 2">
          <a:extLst>
            <a:ext uri="{FF2B5EF4-FFF2-40B4-BE49-F238E27FC236}">
              <a16:creationId xmlns:a16="http://schemas.microsoft.com/office/drawing/2014/main" id="{19BEC3BF-3604-4BBD-AA83-C5D0D1C30038}"/>
            </a:ext>
          </a:extLst>
        </xdr:cNvPr>
        <xdr:cNvSpPr>
          <a:spLocks noChangeArrowheads="1"/>
        </xdr:cNvSpPr>
      </xdr:nvSpPr>
      <xdr:spPr bwMode="auto">
        <a:xfrm>
          <a:off x="3862180" y="4962111"/>
          <a:ext cx="266700" cy="146602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B7A6555F-EF7F-4910-A44D-4CBE30F17F34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06FADF4-3988-4C0A-B2C6-F84EEBEA5315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031316CF-88C0-4A54-9D97-C8618062AC1D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579E830D-4720-4D7B-89ED-C8185643A69A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EED2BAD7-07F6-44A8-BC7F-32757B94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0CD7EFA1-F049-4DEB-817F-D11D170D9A41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C4463B37-CDB1-4B02-94AC-787338F8ED3B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BE6354F3-5503-4CC9-9CA7-88AD1F979FF0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AA81236E-D4DA-46A8-ACC8-033FD8D07274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EF59AF6-F60E-48B4-A772-E111C59A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ACAAAE3-655F-4591-9305-7272E9CD5B6F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22F37C7-7A59-4039-92D4-7EB575CA9870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67D70FF5-25DA-4C88-A521-5E48B4B5B9A9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0E990098-EE3F-4028-9C87-2A8D1EB7025E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3987CF4C-F5BB-4491-B46A-62E94D82A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1FFF8AE2-682D-4911-941A-6CC07DDAD66D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B9FCA227-5795-4194-BD5F-7FC034843F87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C6665542-54B9-4C9C-8485-AB7BC958C148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0DC0E6F8-6B47-409F-9A26-41B03B36E0FB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E7858350-8E26-41EB-B89F-E0838C80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DFD6ABA-ED5D-4B7C-A95A-2A9C8AE4E275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0B7480E-A6E5-4359-9461-17F97CCE36F7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7A1AF434-D090-4CBA-9E8D-16347A327F73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96F0F848-569F-49C3-85EF-B11746DEB4AD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B0D60E21-5229-454F-BC5A-F4CCDD80B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29DAB6E2-F956-408F-AEB3-E26E3DC41F55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84A7AB03-2EBE-41F3-985D-CE94812C20F1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EB505AD0-42F4-4B63-AB24-D8AE7A4B69EF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2CADD317-E468-4DB7-84BB-31FC0D5F2C45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9B087688-53EF-4F6C-A86C-5E53AE6C9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04B127A-02FA-479E-9ACF-A289AD51CBD0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6DF071E-FDA8-4FE5-B822-FFF78CB9BC69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FDB87F95-EC93-4147-BB93-107F878EA4D2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ECF32379-CD96-4BDA-9B00-B89BD2106FCB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6E105213-D23E-44B8-8482-D42542A4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C32E410A-8ADE-4420-A35D-AB7BAE60DF68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89EB8843-38CF-4424-804A-228F90A3F67B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F33604D1-32ED-44F7-9A75-34473003F6D3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A92A3726-32AF-49C8-AF96-7A936F402082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685A648C-0B19-48D3-9BDD-E95326E25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DD80008-AFA5-481E-9BCE-17786A07CA7E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80A8071-AD7C-47CF-8811-D4C952208E64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8B8FAECE-E816-4E94-A1BE-BF44BB18320C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3EA75D4A-9227-4FBD-BEA7-94500922937E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F452F217-D0D7-4FD1-8BC4-5E960AF3C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28CB3996-2E53-4CEA-B87D-A2105DA38550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5A7FE780-E1F4-42AA-AE7E-3FBBEA030341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2D9889BE-D9DA-4A20-AAC8-AEC5B6307A84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4A55E09B-0F43-4B64-89AC-887412376749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2664043-AE63-4F43-9B49-364980983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32</xdr:row>
      <xdr:rowOff>19050</xdr:rowOff>
    </xdr:from>
    <xdr:to>
      <xdr:col>0</xdr:col>
      <xdr:colOff>323850</xdr:colOff>
      <xdr:row>32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C3947C5-4AEF-466D-9100-CCDAF270959D}"/>
            </a:ext>
          </a:extLst>
        </xdr:cNvPr>
        <xdr:cNvSpPr>
          <a:spLocks noChangeArrowheads="1"/>
        </xdr:cNvSpPr>
      </xdr:nvSpPr>
      <xdr:spPr bwMode="auto">
        <a:xfrm>
          <a:off x="47625" y="5086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32</xdr:row>
      <xdr:rowOff>19050</xdr:rowOff>
    </xdr:from>
    <xdr:to>
      <xdr:col>5</xdr:col>
      <xdr:colOff>590550</xdr:colOff>
      <xdr:row>32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C34BF1C-9FBC-487A-B909-E21ED489F3F6}"/>
            </a:ext>
          </a:extLst>
        </xdr:cNvPr>
        <xdr:cNvSpPr>
          <a:spLocks noChangeArrowheads="1"/>
        </xdr:cNvSpPr>
      </xdr:nvSpPr>
      <xdr:spPr bwMode="auto">
        <a:xfrm>
          <a:off x="3859530" y="5086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32</xdr:row>
      <xdr:rowOff>9525</xdr:rowOff>
    </xdr:from>
    <xdr:to>
      <xdr:col>0</xdr:col>
      <xdr:colOff>323850</xdr:colOff>
      <xdr:row>32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6C7F6062-67B9-4E87-AACF-E397A6B99CAF}"/>
            </a:ext>
          </a:extLst>
        </xdr:cNvPr>
        <xdr:cNvSpPr>
          <a:spLocks noChangeArrowheads="1"/>
        </xdr:cNvSpPr>
      </xdr:nvSpPr>
      <xdr:spPr bwMode="auto">
        <a:xfrm>
          <a:off x="47625" y="5076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34</xdr:row>
      <xdr:rowOff>19050</xdr:rowOff>
    </xdr:from>
    <xdr:to>
      <xdr:col>5</xdr:col>
      <xdr:colOff>590550</xdr:colOff>
      <xdr:row>35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9B49A26F-0B50-429A-9C04-31D309F9A376}"/>
            </a:ext>
          </a:extLst>
        </xdr:cNvPr>
        <xdr:cNvSpPr>
          <a:spLocks noChangeArrowheads="1"/>
        </xdr:cNvSpPr>
      </xdr:nvSpPr>
      <xdr:spPr bwMode="auto">
        <a:xfrm>
          <a:off x="3859530" y="5421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D4D01C2E-F267-4F39-BD2E-3D53B81CE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46</xdr:row>
      <xdr:rowOff>57150</xdr:rowOff>
    </xdr:from>
    <xdr:to>
      <xdr:col>1</xdr:col>
      <xdr:colOff>447675</xdr:colOff>
      <xdr:row>47</xdr:row>
      <xdr:rowOff>171450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2D34F75E-36A4-4801-8805-E5B50C5F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748665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76</xdr:row>
      <xdr:rowOff>19050</xdr:rowOff>
    </xdr:from>
    <xdr:to>
      <xdr:col>0</xdr:col>
      <xdr:colOff>323850</xdr:colOff>
      <xdr:row>76</xdr:row>
      <xdr:rowOff>152400</xdr:rowOff>
    </xdr:to>
    <xdr:sp macro="" textlink="">
      <xdr:nvSpPr>
        <xdr:cNvPr id="8" name="Rounded Rectangle 1">
          <a:extLst>
            <a:ext uri="{FF2B5EF4-FFF2-40B4-BE49-F238E27FC236}">
              <a16:creationId xmlns:a16="http://schemas.microsoft.com/office/drawing/2014/main" id="{3835E545-A6D1-4646-A630-7BC1CC365613}"/>
            </a:ext>
          </a:extLst>
        </xdr:cNvPr>
        <xdr:cNvSpPr>
          <a:spLocks noChangeArrowheads="1"/>
        </xdr:cNvSpPr>
      </xdr:nvSpPr>
      <xdr:spPr bwMode="auto">
        <a:xfrm>
          <a:off x="47625" y="1218057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76</xdr:row>
      <xdr:rowOff>19050</xdr:rowOff>
    </xdr:from>
    <xdr:to>
      <xdr:col>5</xdr:col>
      <xdr:colOff>590550</xdr:colOff>
      <xdr:row>76</xdr:row>
      <xdr:rowOff>161925</xdr:rowOff>
    </xdr:to>
    <xdr:sp macro="" textlink="">
      <xdr:nvSpPr>
        <xdr:cNvPr id="9" name="Rounded Rectangle 2">
          <a:extLst>
            <a:ext uri="{FF2B5EF4-FFF2-40B4-BE49-F238E27FC236}">
              <a16:creationId xmlns:a16="http://schemas.microsoft.com/office/drawing/2014/main" id="{0406E8E8-F2F6-4255-A342-4E99605F5E91}"/>
            </a:ext>
          </a:extLst>
        </xdr:cNvPr>
        <xdr:cNvSpPr>
          <a:spLocks noChangeArrowheads="1"/>
        </xdr:cNvSpPr>
      </xdr:nvSpPr>
      <xdr:spPr bwMode="auto">
        <a:xfrm>
          <a:off x="3859530" y="1218057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76</xdr:row>
      <xdr:rowOff>9525</xdr:rowOff>
    </xdr:from>
    <xdr:to>
      <xdr:col>0</xdr:col>
      <xdr:colOff>323850</xdr:colOff>
      <xdr:row>76</xdr:row>
      <xdr:rowOff>152400</xdr:rowOff>
    </xdr:to>
    <xdr:sp macro="" textlink="">
      <xdr:nvSpPr>
        <xdr:cNvPr id="10" name="Rounded Rectangle 1">
          <a:extLst>
            <a:ext uri="{FF2B5EF4-FFF2-40B4-BE49-F238E27FC236}">
              <a16:creationId xmlns:a16="http://schemas.microsoft.com/office/drawing/2014/main" id="{9D2F4772-A242-4EE7-81B8-128F28913795}"/>
            </a:ext>
          </a:extLst>
        </xdr:cNvPr>
        <xdr:cNvSpPr>
          <a:spLocks noChangeArrowheads="1"/>
        </xdr:cNvSpPr>
      </xdr:nvSpPr>
      <xdr:spPr bwMode="auto">
        <a:xfrm>
          <a:off x="47625" y="1217104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78</xdr:row>
      <xdr:rowOff>19050</xdr:rowOff>
    </xdr:from>
    <xdr:to>
      <xdr:col>5</xdr:col>
      <xdr:colOff>590550</xdr:colOff>
      <xdr:row>79</xdr:row>
      <xdr:rowOff>0</xdr:rowOff>
    </xdr:to>
    <xdr:sp macro="" textlink="">
      <xdr:nvSpPr>
        <xdr:cNvPr id="11" name="Rounded Rectangle 2">
          <a:extLst>
            <a:ext uri="{FF2B5EF4-FFF2-40B4-BE49-F238E27FC236}">
              <a16:creationId xmlns:a16="http://schemas.microsoft.com/office/drawing/2014/main" id="{C7BC4B65-4515-475E-89CA-79B8CB720A4E}"/>
            </a:ext>
          </a:extLst>
        </xdr:cNvPr>
        <xdr:cNvSpPr>
          <a:spLocks noChangeArrowheads="1"/>
        </xdr:cNvSpPr>
      </xdr:nvSpPr>
      <xdr:spPr bwMode="auto">
        <a:xfrm>
          <a:off x="3859530" y="1251585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32</xdr:row>
      <xdr:rowOff>19050</xdr:rowOff>
    </xdr:from>
    <xdr:to>
      <xdr:col>0</xdr:col>
      <xdr:colOff>323850</xdr:colOff>
      <xdr:row>32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52AC083-5FB4-476E-BC25-43383FB91AA0}"/>
            </a:ext>
          </a:extLst>
        </xdr:cNvPr>
        <xdr:cNvSpPr>
          <a:spLocks noChangeArrowheads="1"/>
        </xdr:cNvSpPr>
      </xdr:nvSpPr>
      <xdr:spPr bwMode="auto">
        <a:xfrm>
          <a:off x="47625" y="46291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32</xdr:row>
      <xdr:rowOff>19050</xdr:rowOff>
    </xdr:from>
    <xdr:to>
      <xdr:col>5</xdr:col>
      <xdr:colOff>590550</xdr:colOff>
      <xdr:row>32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65CE8CC-5B1C-402F-9B76-76F29940AD5A}"/>
            </a:ext>
          </a:extLst>
        </xdr:cNvPr>
        <xdr:cNvSpPr>
          <a:spLocks noChangeArrowheads="1"/>
        </xdr:cNvSpPr>
      </xdr:nvSpPr>
      <xdr:spPr bwMode="auto">
        <a:xfrm>
          <a:off x="3859530" y="46291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32</xdr:row>
      <xdr:rowOff>9525</xdr:rowOff>
    </xdr:from>
    <xdr:to>
      <xdr:col>0</xdr:col>
      <xdr:colOff>323850</xdr:colOff>
      <xdr:row>32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57CEB08A-B4EF-4186-B235-DD99CB5C432A}"/>
            </a:ext>
          </a:extLst>
        </xdr:cNvPr>
        <xdr:cNvSpPr>
          <a:spLocks noChangeArrowheads="1"/>
        </xdr:cNvSpPr>
      </xdr:nvSpPr>
      <xdr:spPr bwMode="auto">
        <a:xfrm>
          <a:off x="47625" y="46196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34</xdr:row>
      <xdr:rowOff>19050</xdr:rowOff>
    </xdr:from>
    <xdr:to>
      <xdr:col>5</xdr:col>
      <xdr:colOff>590550</xdr:colOff>
      <xdr:row>35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088DC849-AD76-4B5C-8909-3532F8FB90A1}"/>
            </a:ext>
          </a:extLst>
        </xdr:cNvPr>
        <xdr:cNvSpPr>
          <a:spLocks noChangeArrowheads="1"/>
        </xdr:cNvSpPr>
      </xdr:nvSpPr>
      <xdr:spPr bwMode="auto">
        <a:xfrm>
          <a:off x="3859530" y="49644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8F56A53-3080-46DA-B6D2-639C8DBF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46</xdr:row>
      <xdr:rowOff>57150</xdr:rowOff>
    </xdr:from>
    <xdr:to>
      <xdr:col>1</xdr:col>
      <xdr:colOff>447675</xdr:colOff>
      <xdr:row>47</xdr:row>
      <xdr:rowOff>171450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8BEA81FD-1FCB-4F82-82FD-625F2830A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702945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76</xdr:row>
      <xdr:rowOff>19050</xdr:rowOff>
    </xdr:from>
    <xdr:to>
      <xdr:col>0</xdr:col>
      <xdr:colOff>323850</xdr:colOff>
      <xdr:row>76</xdr:row>
      <xdr:rowOff>152400</xdr:rowOff>
    </xdr:to>
    <xdr:sp macro="" textlink="">
      <xdr:nvSpPr>
        <xdr:cNvPr id="13" name="Rounded Rectangle 1">
          <a:extLst>
            <a:ext uri="{FF2B5EF4-FFF2-40B4-BE49-F238E27FC236}">
              <a16:creationId xmlns:a16="http://schemas.microsoft.com/office/drawing/2014/main" id="{0214E2DD-D6F0-4037-82CB-0B05E07632DE}"/>
            </a:ext>
          </a:extLst>
        </xdr:cNvPr>
        <xdr:cNvSpPr>
          <a:spLocks noChangeArrowheads="1"/>
        </xdr:cNvSpPr>
      </xdr:nvSpPr>
      <xdr:spPr bwMode="auto">
        <a:xfrm>
          <a:off x="47625" y="5088007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76</xdr:row>
      <xdr:rowOff>19050</xdr:rowOff>
    </xdr:from>
    <xdr:to>
      <xdr:col>5</xdr:col>
      <xdr:colOff>590550</xdr:colOff>
      <xdr:row>76</xdr:row>
      <xdr:rowOff>161925</xdr:rowOff>
    </xdr:to>
    <xdr:sp macro="" textlink="">
      <xdr:nvSpPr>
        <xdr:cNvPr id="14" name="Rounded Rectangle 2">
          <a:extLst>
            <a:ext uri="{FF2B5EF4-FFF2-40B4-BE49-F238E27FC236}">
              <a16:creationId xmlns:a16="http://schemas.microsoft.com/office/drawing/2014/main" id="{EC806C9C-2C8F-4735-87CC-6EBC27D0B181}"/>
            </a:ext>
          </a:extLst>
        </xdr:cNvPr>
        <xdr:cNvSpPr>
          <a:spLocks noChangeArrowheads="1"/>
        </xdr:cNvSpPr>
      </xdr:nvSpPr>
      <xdr:spPr bwMode="auto">
        <a:xfrm>
          <a:off x="3862180" y="5088007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76</xdr:row>
      <xdr:rowOff>9525</xdr:rowOff>
    </xdr:from>
    <xdr:to>
      <xdr:col>0</xdr:col>
      <xdr:colOff>323850</xdr:colOff>
      <xdr:row>76</xdr:row>
      <xdr:rowOff>152400</xdr:rowOff>
    </xdr:to>
    <xdr:sp macro="" textlink="">
      <xdr:nvSpPr>
        <xdr:cNvPr id="15" name="Rounded Rectangle 1">
          <a:extLst>
            <a:ext uri="{FF2B5EF4-FFF2-40B4-BE49-F238E27FC236}">
              <a16:creationId xmlns:a16="http://schemas.microsoft.com/office/drawing/2014/main" id="{7285DEAF-E9C3-410C-B6D8-47D300C58D71}"/>
            </a:ext>
          </a:extLst>
        </xdr:cNvPr>
        <xdr:cNvSpPr>
          <a:spLocks noChangeArrowheads="1"/>
        </xdr:cNvSpPr>
      </xdr:nvSpPr>
      <xdr:spPr bwMode="auto">
        <a:xfrm>
          <a:off x="47625" y="5078482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78</xdr:row>
      <xdr:rowOff>19050</xdr:rowOff>
    </xdr:from>
    <xdr:to>
      <xdr:col>5</xdr:col>
      <xdr:colOff>590550</xdr:colOff>
      <xdr:row>79</xdr:row>
      <xdr:rowOff>0</xdr:rowOff>
    </xdr:to>
    <xdr:sp macro="" textlink="">
      <xdr:nvSpPr>
        <xdr:cNvPr id="16" name="Rounded Rectangle 2">
          <a:extLst>
            <a:ext uri="{FF2B5EF4-FFF2-40B4-BE49-F238E27FC236}">
              <a16:creationId xmlns:a16="http://schemas.microsoft.com/office/drawing/2014/main" id="{DC9E945B-5CF5-4300-9BEA-7164FD68E6E1}"/>
            </a:ext>
          </a:extLst>
        </xdr:cNvPr>
        <xdr:cNvSpPr>
          <a:spLocks noChangeArrowheads="1"/>
        </xdr:cNvSpPr>
      </xdr:nvSpPr>
      <xdr:spPr bwMode="auto">
        <a:xfrm>
          <a:off x="3862180" y="5419311"/>
          <a:ext cx="266700" cy="146602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EF57B89-2799-4716-9310-C786E6202E8F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D61AE8F-68A4-4B9F-8E64-F20C0AFD5038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4BCA76C6-0351-4125-A97C-2F02AA2DB667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8A2DBE57-D9AE-4A0E-9569-5B9560D96040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90D5F27-893F-46AD-814E-F90FED643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03D2A0AE-2BDB-470E-9C24-3196570DD01B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4FE18440-54E3-4921-A4E7-C69CCA1B77D5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8F8B1418-5450-41AE-BEF5-9C5581CA142B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6388FB09-A9ED-4CCC-A49B-C288EB047F4E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CE9574A-3626-488E-B11B-391AEAE2B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E90DA1A-5DBE-4C2F-9E34-90683C625AE7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BC02F3A-287F-4896-8C13-7DDD4C5BF214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9C28A78A-F2CE-4FCC-BF72-925150DF5066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602A9847-1CC1-4F4C-B309-1ED915287D43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8D25B353-358E-4FFE-9968-4083B6FB1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93240588-CE66-4374-9A10-6B3D40883597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800B78C4-4DE2-40EF-8CAD-F5B85426BE3B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2AE00064-FD19-4C0B-AE1C-1C2694D9245B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E2A7A7B1-5995-400E-9357-4B2000BCC04D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C12911A0-6109-4E12-8D01-B72DCD0B2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C77D62C-8A36-4C32-989F-489186A04646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3DBBCFA2-31E8-4493-8608-96DA493812CF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8271D1EA-509A-4891-828E-73B089D21220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2CD357C3-C47C-404A-B3BA-DD689B1B828F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5757C119-A037-4884-9E07-ADA9489C0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A3AB229E-2DEB-43D7-9D9C-4BAD41A7E046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E3D5DC51-A0B2-40D1-BAAA-A3A4401855EC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1D16D8AA-E9C6-44CB-AD01-C65ED80E93E7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539A6F9D-5F07-4982-82C2-4451F39816F1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5C4E93D-8BCF-4624-8DBA-09B9D948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689F163-AE12-4D4E-9BE3-21793264996A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EC57EE6-6BB7-4D88-BB3C-4529FBFFFAC4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F6D40B44-D9E7-4160-9041-A6E99C6915D9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BA41D267-8AB6-4187-A477-A3C27388844E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FABEF8BC-917A-4E25-BFFF-EA4B7BC0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DC5BDF6E-6128-43DB-A76A-5C07C73EDF89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63F05319-4F17-4F4A-A45B-739B05FC6FA0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37AAA6C3-43F4-4ADF-8437-B88C30E1A141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C610ED22-E9C7-4ED1-A624-2F09500AF3D6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225CA95E-DD02-4EA7-88DE-88B680699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1C5C79A5-72DB-430A-ACD0-81DD3D45E24F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B39CD27-8080-4B41-AC98-A85950CF149D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6F7EB764-05F3-4D50-8096-CBF0B67AFA0F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301F52A9-1DF9-4DEE-B582-326CD805E64C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11016B4D-F8A5-49FA-8D92-4DB86463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4313DDF1-BD76-4169-9566-7FF26FDD45A8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090EEEBC-1736-433F-91A9-1FB70834F801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40ED3B6E-A348-45C8-9225-C2748E8C00DA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0DA4639B-A587-425F-8D12-906AB231DFB3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A82B806F-7A77-42A4-93E4-3F0C78AC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87CC486-768D-4B6F-93DF-1CC98B60428B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57A4D13-25E5-42EF-AC29-664D4806BAEE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60523D04-37D1-48AC-853C-7208F62FD298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DFC5A932-343B-484A-9B33-82D3E76B3500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DD5D0F2A-AA2A-4A5B-86B6-C139D0C67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385FA53C-81F3-44B2-87D0-F80B66ADB488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CDA69162-2F14-4D34-B300-E509CF03E047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E4329AC6-63AA-4A0A-A8F8-5EA99D320009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2302B991-1E07-42F9-AFD6-90487FD31D6F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A3F350F-69C5-4FAB-ADCB-DA5E7E84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CFD3654-8D02-4BAE-BB41-397AB1799FB5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457B861-837F-4149-9B3C-4153A7BF3EF1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1561ED32-C709-4705-8150-2AAAE069D60F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84670B38-E2FC-40E3-93AD-F779337019D7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EE42E916-DFB1-4765-89A9-EE70C2FB4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A079B12E-858F-4B4A-ACD7-BD096CD07E94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9E793F94-64A4-43C6-90E1-F45679021887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C8CE1458-AD12-4970-BD05-61B9FC850389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31545BFD-8833-4E46-9E99-8D6A0CE9932A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4A702C67-C152-4FDE-AF41-069D9800E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BDCE7D85-0CFF-4983-8D2F-58604BC23E6E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ADBE2B-92A8-49EA-9A34-D2BABC6E3395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D123C666-875D-4B67-9B2B-90044C06991F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1C480009-0710-4B03-8F29-913B3C8D1A55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5799C753-468D-4883-8AC2-E18B6EE5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E8CFB39F-D108-4543-A11A-0D04251713D8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59B89A51-C1C2-45C4-B369-817033BC5F76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6CAC963E-A735-40F4-9AD7-672174F29DEC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6DE84447-0C53-4AC8-B485-D54E8FAC12DA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1198C7E4-FFE5-486B-B3C2-5BCEF12E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60016DB-E6AD-4488-9211-1CB458FDDAAB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6C73B89-65C4-4FA9-BF68-13A4914F6BDB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EA4AE929-07D9-4DA3-A484-44F18E01DE5E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B4F0FFFB-BD03-430B-9843-BFF5AD625A55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4E019366-D3D3-4CBB-BA19-4DFCB7C87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C0C92F02-7D16-492B-99D9-E14D2F98025E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AC7EB957-B017-46B7-86BA-55D7E293CC28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8B3425C4-4B3B-4365-8598-B19E517255DB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7B28F591-5D3D-4429-898C-54BA36AD6095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A8A51AC9-75E6-4DF0-94B2-2FEF24820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917C2CD-01EF-4A1C-BD93-4B62BDD28017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4857087-4040-4E11-8DEF-CA6DF4F49D98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598877FF-8AB9-4046-9A70-EA7A66FEAFE9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972A0474-A27D-464A-B8A8-8F2A929F10AF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F5F0A70-C830-44D0-9700-E26A871FC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648CE36F-E315-4EEB-AECB-8E3E698B9D5C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57B76FAA-848C-46CD-8626-9707C6D0ABFE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6386F78C-DAAF-4255-8F8D-9528C6D141A5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C26DC5E8-1EB0-41BB-869F-D8AE3BEC4306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DB4F727C-5F1C-420C-91C1-8FC31D63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3DA4673-F765-40B7-9CB0-84F073553199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69725A13-22E1-4B58-86B6-21D16A0C5A0D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BEAA14BC-5416-4B0C-8F58-B88C7D18CF3B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4279D114-E729-41B6-804F-0C8862CD3D1B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46EE9987-59FC-4677-A5DB-193B94EA8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CEAFC859-A58D-4FAB-8DA7-9B2C7F5B9924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20173B63-0D2B-442E-89BF-3CD09C45A679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71DC09E2-246A-4DCB-8D26-A3D74583764B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523F6CFD-17A0-4EAB-9652-D68CA30C9269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A7167FB4-81C4-45BF-9B40-7166EA005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6640023-F9A7-441F-B61F-ED360AC6CA99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776ACF5-2CA7-4477-A67F-FBF34C8872D9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4B7DAE6F-F913-4E96-A278-5E69FCEC6D8D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372647EC-9469-43E0-9ED5-61FA522E4390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919D4D9C-2369-4952-8B75-3C300886A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DD1252BB-95F6-4A87-BBA2-6D7714C743EF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FB661E3A-EAE3-4AB6-8261-31754998E81D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C1892A22-7B84-4985-AF76-CE5D59B2E305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8CFA899A-5F96-4D69-8F8E-4EA540351EC4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671C641D-E5AF-4943-9909-1D4AE8649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0ACA154-F3BE-467A-9916-57F55674AF35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36C64BC-417F-4732-82B1-ECCB8C3E9115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A163E38C-BC21-4015-842B-5701864F2849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CA18BC47-7B1B-4610-805A-10C40B7C346F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E3425AF7-B46A-48F7-8DE7-1A6B6B941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2F90D622-D7E9-4650-BC4D-D312AABD1BB5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1192D704-6F4A-421C-BDAB-1D8F890F8681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B270DA09-F81E-47E0-A02C-D7B1404CCA7A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374F9EC7-15B6-48C5-93C4-2DCDFB4A0ADF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6A9FC360-5943-4DEE-86A8-BF728CA57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28</xdr:row>
      <xdr:rowOff>19050</xdr:rowOff>
    </xdr:from>
    <xdr:to>
      <xdr:col>0</xdr:col>
      <xdr:colOff>323850</xdr:colOff>
      <xdr:row>28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E09EADD-6381-47DF-B1A4-DBEF506E7713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28</xdr:row>
      <xdr:rowOff>19050</xdr:rowOff>
    </xdr:from>
    <xdr:to>
      <xdr:col>5</xdr:col>
      <xdr:colOff>590550</xdr:colOff>
      <xdr:row>28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6EAF81BF-D405-4860-99EC-9D1EC2A75744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28</xdr:row>
      <xdr:rowOff>9525</xdr:rowOff>
    </xdr:from>
    <xdr:to>
      <xdr:col>0</xdr:col>
      <xdr:colOff>323850</xdr:colOff>
      <xdr:row>28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54449479-2856-4FF7-9E1D-0CD6D29444AC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30</xdr:row>
      <xdr:rowOff>19050</xdr:rowOff>
    </xdr:from>
    <xdr:to>
      <xdr:col>5</xdr:col>
      <xdr:colOff>590550</xdr:colOff>
      <xdr:row>31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B9112D9C-8AC1-4328-AEFE-8B989C8A2F23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994EC4B-9E4A-426A-92D7-36DB15FEA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66</xdr:row>
      <xdr:rowOff>19050</xdr:rowOff>
    </xdr:from>
    <xdr:to>
      <xdr:col>0</xdr:col>
      <xdr:colOff>323850</xdr:colOff>
      <xdr:row>66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0906B5B7-289F-4F48-9299-9C5AE599E263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66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9D207C4C-6149-46F2-85ED-5BD5BB848648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66</xdr:row>
      <xdr:rowOff>9525</xdr:rowOff>
    </xdr:from>
    <xdr:to>
      <xdr:col>0</xdr:col>
      <xdr:colOff>323850</xdr:colOff>
      <xdr:row>66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B2D96A3C-60EE-422E-94DB-66BC467A3F07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68</xdr:row>
      <xdr:rowOff>19050</xdr:rowOff>
    </xdr:from>
    <xdr:to>
      <xdr:col>5</xdr:col>
      <xdr:colOff>590550</xdr:colOff>
      <xdr:row>69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17AB7CA3-EC97-4DE1-95AE-E4DDBF8F35BC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40</xdr:row>
      <xdr:rowOff>57150</xdr:rowOff>
    </xdr:from>
    <xdr:to>
      <xdr:col>1</xdr:col>
      <xdr:colOff>447675</xdr:colOff>
      <xdr:row>41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680211AF-5F0D-44CA-874C-ED13FE31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27</xdr:row>
      <xdr:rowOff>19050</xdr:rowOff>
    </xdr:from>
    <xdr:to>
      <xdr:col>0</xdr:col>
      <xdr:colOff>323850</xdr:colOff>
      <xdr:row>27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5D28ADA-A228-458E-877C-2A6F01E4F86C}"/>
            </a:ext>
          </a:extLst>
        </xdr:cNvPr>
        <xdr:cNvSpPr>
          <a:spLocks noChangeArrowheads="1"/>
        </xdr:cNvSpPr>
      </xdr:nvSpPr>
      <xdr:spPr bwMode="auto">
        <a:xfrm>
          <a:off x="47625" y="43243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27</xdr:row>
      <xdr:rowOff>19050</xdr:rowOff>
    </xdr:from>
    <xdr:to>
      <xdr:col>5</xdr:col>
      <xdr:colOff>590550</xdr:colOff>
      <xdr:row>27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FE453EA-45C3-4315-B59C-FF40EF3FC92D}"/>
            </a:ext>
          </a:extLst>
        </xdr:cNvPr>
        <xdr:cNvSpPr>
          <a:spLocks noChangeArrowheads="1"/>
        </xdr:cNvSpPr>
      </xdr:nvSpPr>
      <xdr:spPr bwMode="auto">
        <a:xfrm>
          <a:off x="3859530" y="43243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0</xdr:col>
      <xdr:colOff>323850</xdr:colOff>
      <xdr:row>27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DA549DC9-1A89-4214-AF2F-CDB7881372CB}"/>
            </a:ext>
          </a:extLst>
        </xdr:cNvPr>
        <xdr:cNvSpPr>
          <a:spLocks noChangeArrowheads="1"/>
        </xdr:cNvSpPr>
      </xdr:nvSpPr>
      <xdr:spPr bwMode="auto">
        <a:xfrm>
          <a:off x="47625" y="43148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19050</xdr:rowOff>
    </xdr:from>
    <xdr:to>
      <xdr:col>5</xdr:col>
      <xdr:colOff>590550</xdr:colOff>
      <xdr:row>30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2AA32ADB-1812-485F-B653-40F1E7467D66}"/>
            </a:ext>
          </a:extLst>
        </xdr:cNvPr>
        <xdr:cNvSpPr>
          <a:spLocks noChangeArrowheads="1"/>
        </xdr:cNvSpPr>
      </xdr:nvSpPr>
      <xdr:spPr bwMode="auto">
        <a:xfrm>
          <a:off x="3859530" y="46596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1ADD70F-4ABD-4DB7-B9BA-BF432239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64</xdr:row>
      <xdr:rowOff>19050</xdr:rowOff>
    </xdr:from>
    <xdr:to>
      <xdr:col>0</xdr:col>
      <xdr:colOff>323850</xdr:colOff>
      <xdr:row>64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2505D8FF-A020-47A7-9ACE-77762A1470F2}"/>
            </a:ext>
          </a:extLst>
        </xdr:cNvPr>
        <xdr:cNvSpPr>
          <a:spLocks noChangeArrowheads="1"/>
        </xdr:cNvSpPr>
      </xdr:nvSpPr>
      <xdr:spPr bwMode="auto">
        <a:xfrm>
          <a:off x="47625" y="103212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64</xdr:row>
      <xdr:rowOff>19050</xdr:rowOff>
    </xdr:from>
    <xdr:to>
      <xdr:col>5</xdr:col>
      <xdr:colOff>590550</xdr:colOff>
      <xdr:row>64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AFA532CD-F939-4311-93D9-DCB3AC04CE16}"/>
            </a:ext>
          </a:extLst>
        </xdr:cNvPr>
        <xdr:cNvSpPr>
          <a:spLocks noChangeArrowheads="1"/>
        </xdr:cNvSpPr>
      </xdr:nvSpPr>
      <xdr:spPr bwMode="auto">
        <a:xfrm>
          <a:off x="3859530" y="103212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64</xdr:row>
      <xdr:rowOff>9525</xdr:rowOff>
    </xdr:from>
    <xdr:to>
      <xdr:col>0</xdr:col>
      <xdr:colOff>323850</xdr:colOff>
      <xdr:row>64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8A62B0D7-2B16-477D-8287-289085A69D08}"/>
            </a:ext>
          </a:extLst>
        </xdr:cNvPr>
        <xdr:cNvSpPr>
          <a:spLocks noChangeArrowheads="1"/>
        </xdr:cNvSpPr>
      </xdr:nvSpPr>
      <xdr:spPr bwMode="auto">
        <a:xfrm>
          <a:off x="47625" y="103117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67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1A40E506-52F4-4E84-967F-76DC7179D48F}"/>
            </a:ext>
          </a:extLst>
        </xdr:cNvPr>
        <xdr:cNvSpPr>
          <a:spLocks noChangeArrowheads="1"/>
        </xdr:cNvSpPr>
      </xdr:nvSpPr>
      <xdr:spPr bwMode="auto">
        <a:xfrm>
          <a:off x="3859530" y="106565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39</xdr:row>
      <xdr:rowOff>57150</xdr:rowOff>
    </xdr:from>
    <xdr:to>
      <xdr:col>1</xdr:col>
      <xdr:colOff>447675</xdr:colOff>
      <xdr:row>40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98EC4E45-1D73-4AA9-86AF-262E62641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3893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28</xdr:row>
      <xdr:rowOff>19050</xdr:rowOff>
    </xdr:from>
    <xdr:to>
      <xdr:col>0</xdr:col>
      <xdr:colOff>323850</xdr:colOff>
      <xdr:row>28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7069E2C-BF88-4876-B39D-71B4E58E3D64}"/>
            </a:ext>
          </a:extLst>
        </xdr:cNvPr>
        <xdr:cNvSpPr>
          <a:spLocks noChangeArrowheads="1"/>
        </xdr:cNvSpPr>
      </xdr:nvSpPr>
      <xdr:spPr bwMode="auto">
        <a:xfrm>
          <a:off x="47625" y="447675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28</xdr:row>
      <xdr:rowOff>19050</xdr:rowOff>
    </xdr:from>
    <xdr:to>
      <xdr:col>5</xdr:col>
      <xdr:colOff>590550</xdr:colOff>
      <xdr:row>28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BA27F802-D171-4F1B-A972-8082F6606C7D}"/>
            </a:ext>
          </a:extLst>
        </xdr:cNvPr>
        <xdr:cNvSpPr>
          <a:spLocks noChangeArrowheads="1"/>
        </xdr:cNvSpPr>
      </xdr:nvSpPr>
      <xdr:spPr bwMode="auto">
        <a:xfrm>
          <a:off x="3859530" y="447675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28</xdr:row>
      <xdr:rowOff>9525</xdr:rowOff>
    </xdr:from>
    <xdr:to>
      <xdr:col>0</xdr:col>
      <xdr:colOff>323850</xdr:colOff>
      <xdr:row>28</xdr:row>
      <xdr:rowOff>152400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3EB75133-3C1A-4A81-BB17-8283E0CEC10B}"/>
            </a:ext>
          </a:extLst>
        </xdr:cNvPr>
        <xdr:cNvSpPr>
          <a:spLocks noChangeArrowheads="1"/>
        </xdr:cNvSpPr>
      </xdr:nvSpPr>
      <xdr:spPr bwMode="auto">
        <a:xfrm>
          <a:off x="47625" y="446722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30</xdr:row>
      <xdr:rowOff>19050</xdr:rowOff>
    </xdr:from>
    <xdr:to>
      <xdr:col>5</xdr:col>
      <xdr:colOff>590550</xdr:colOff>
      <xdr:row>31</xdr:row>
      <xdr:rowOff>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ADB8264C-BCE6-4B6B-AC95-10BAF28273BF}"/>
            </a:ext>
          </a:extLst>
        </xdr:cNvPr>
        <xdr:cNvSpPr>
          <a:spLocks noChangeArrowheads="1"/>
        </xdr:cNvSpPr>
      </xdr:nvSpPr>
      <xdr:spPr bwMode="auto">
        <a:xfrm>
          <a:off x="3859530" y="481203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447675</xdr:colOff>
      <xdr:row>3</xdr:row>
      <xdr:rowOff>171450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B25E5E3E-3D82-43A5-B352-3D2E1301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39243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66</xdr:row>
      <xdr:rowOff>19050</xdr:rowOff>
    </xdr:from>
    <xdr:to>
      <xdr:col>0</xdr:col>
      <xdr:colOff>323850</xdr:colOff>
      <xdr:row>66</xdr:row>
      <xdr:rowOff>152400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B1293E36-CD43-4B21-8CAA-0810DF1D797B}"/>
            </a:ext>
          </a:extLst>
        </xdr:cNvPr>
        <xdr:cNvSpPr>
          <a:spLocks noChangeArrowheads="1"/>
        </xdr:cNvSpPr>
      </xdr:nvSpPr>
      <xdr:spPr bwMode="auto">
        <a:xfrm>
          <a:off x="47625" y="10626090"/>
          <a:ext cx="2762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66</xdr:row>
      <xdr:rowOff>19050</xdr:rowOff>
    </xdr:from>
    <xdr:to>
      <xdr:col>5</xdr:col>
      <xdr:colOff>590550</xdr:colOff>
      <xdr:row>66</xdr:row>
      <xdr:rowOff>161925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3B35C6F8-C76B-44D3-A82E-6C6653E8BF86}"/>
            </a:ext>
          </a:extLst>
        </xdr:cNvPr>
        <xdr:cNvSpPr>
          <a:spLocks noChangeArrowheads="1"/>
        </xdr:cNvSpPr>
      </xdr:nvSpPr>
      <xdr:spPr bwMode="auto">
        <a:xfrm>
          <a:off x="3859530" y="10626090"/>
          <a:ext cx="2667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66</xdr:row>
      <xdr:rowOff>9525</xdr:rowOff>
    </xdr:from>
    <xdr:to>
      <xdr:col>0</xdr:col>
      <xdr:colOff>323850</xdr:colOff>
      <xdr:row>66</xdr:row>
      <xdr:rowOff>152400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D073311B-4118-46A9-BF29-79760CC4F263}"/>
            </a:ext>
          </a:extLst>
        </xdr:cNvPr>
        <xdr:cNvSpPr>
          <a:spLocks noChangeArrowheads="1"/>
        </xdr:cNvSpPr>
      </xdr:nvSpPr>
      <xdr:spPr bwMode="auto">
        <a:xfrm>
          <a:off x="47625" y="10616565"/>
          <a:ext cx="276225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68</xdr:row>
      <xdr:rowOff>19050</xdr:rowOff>
    </xdr:from>
    <xdr:to>
      <xdr:col>5</xdr:col>
      <xdr:colOff>590550</xdr:colOff>
      <xdr:row>69</xdr:row>
      <xdr:rowOff>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08B1C46B-C2EC-4F40-A795-5DC582D29745}"/>
            </a:ext>
          </a:extLst>
        </xdr:cNvPr>
        <xdr:cNvSpPr>
          <a:spLocks noChangeArrowheads="1"/>
        </xdr:cNvSpPr>
      </xdr:nvSpPr>
      <xdr:spPr bwMode="auto">
        <a:xfrm>
          <a:off x="3859530" y="10961370"/>
          <a:ext cx="266700" cy="14859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40</xdr:row>
      <xdr:rowOff>57150</xdr:rowOff>
    </xdr:from>
    <xdr:to>
      <xdr:col>1</xdr:col>
      <xdr:colOff>447675</xdr:colOff>
      <xdr:row>41</xdr:row>
      <xdr:rowOff>171450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6399DD1A-AFC8-418E-906F-A3F5E1EF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" y="6541770"/>
          <a:ext cx="419100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tri\Desktop\SSO%20Files\DV%20Fo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V%20For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icts\Desktop\MINDASILK\FORMS\DV%20Fo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"/>
      <sheetName val="WO"/>
      <sheetName val="PO"/>
      <sheetName val="Cepalco"/>
      <sheetName val="SSO"/>
      <sheetName val="GSMP"/>
      <sheetName val="Other Payee"/>
      <sheetName val="Jakb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"/>
      <sheetName val="WO"/>
      <sheetName val="PO"/>
      <sheetName val="Cepalco"/>
      <sheetName val="SSO"/>
      <sheetName val="GSMP"/>
      <sheetName val="Other Payee"/>
      <sheetName val="Jakb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"/>
      <sheetName val="WO"/>
      <sheetName val="PO"/>
      <sheetName val="Cepalco"/>
      <sheetName val="SSO"/>
      <sheetName val="GSMP"/>
      <sheetName val="Other Payee"/>
      <sheetName val="Jakb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B815-591E-4595-88E4-8033F1701F00}">
  <dimension ref="A1:M185"/>
  <sheetViews>
    <sheetView tabSelected="1" view="pageBreakPreview" topLeftCell="A139" zoomScale="70" zoomScaleNormal="175" zoomScaleSheetLayoutView="70" workbookViewId="0">
      <selection activeCell="Q146" sqref="Q146"/>
    </sheetView>
  </sheetViews>
  <sheetFormatPr defaultColWidth="9.109375" defaultRowHeight="13.8" x14ac:dyDescent="0.3"/>
  <cols>
    <col min="1" max="1" width="14.6640625" style="61" customWidth="1"/>
    <col min="2" max="2" width="18.44140625" style="61" customWidth="1"/>
    <col min="3" max="4" width="6.6640625" style="61" customWidth="1"/>
    <col min="5" max="5" width="40.6640625" style="61" customWidth="1"/>
    <col min="6" max="6" width="15.6640625" style="61" customWidth="1"/>
    <col min="7" max="7" width="9.33203125" style="61" customWidth="1"/>
    <col min="8" max="8" width="9.109375" style="59"/>
    <col min="9" max="10" width="11.44140625" style="61" bestFit="1" customWidth="1"/>
    <col min="11" max="11" width="9.44140625" style="61" bestFit="1" customWidth="1"/>
    <col min="12" max="12" width="9.109375" style="61"/>
    <col min="13" max="13" width="9.44140625" style="61" bestFit="1" customWidth="1"/>
    <col min="14" max="16384" width="9.109375" style="61"/>
  </cols>
  <sheetData>
    <row r="1" spans="1:13" s="59" customFormat="1" x14ac:dyDescent="0.3">
      <c r="A1" s="57" t="s">
        <v>0</v>
      </c>
      <c r="B1" s="58"/>
      <c r="C1" s="58"/>
      <c r="D1" s="58"/>
      <c r="E1" s="58"/>
      <c r="F1" s="58"/>
    </row>
    <row r="3" spans="1:13" x14ac:dyDescent="0.3">
      <c r="A3" s="60" t="s">
        <v>1</v>
      </c>
      <c r="B3" s="60" t="s">
        <v>2</v>
      </c>
      <c r="C3" s="60" t="s">
        <v>3</v>
      </c>
      <c r="D3" s="60" t="s">
        <v>4</v>
      </c>
      <c r="E3" s="60" t="s">
        <v>5</v>
      </c>
      <c r="F3" s="60" t="s">
        <v>6</v>
      </c>
    </row>
    <row r="4" spans="1:13" x14ac:dyDescent="0.3">
      <c r="A4" s="62"/>
      <c r="B4" s="63"/>
      <c r="C4" s="64"/>
      <c r="D4" s="64"/>
      <c r="E4" s="65"/>
      <c r="F4" s="123"/>
      <c r="M4" s="66"/>
    </row>
    <row r="5" spans="1:13" x14ac:dyDescent="0.3">
      <c r="A5" s="62" t="s">
        <v>284</v>
      </c>
      <c r="B5" s="63">
        <v>5375</v>
      </c>
      <c r="C5" s="64">
        <v>2</v>
      </c>
      <c r="D5" s="116" t="s">
        <v>257</v>
      </c>
      <c r="E5" s="193" t="s">
        <v>286</v>
      </c>
      <c r="F5" s="123">
        <v>2463.7600000000002</v>
      </c>
      <c r="H5" s="59" t="s">
        <v>285</v>
      </c>
      <c r="M5" s="66"/>
    </row>
    <row r="6" spans="1:13" x14ac:dyDescent="0.3">
      <c r="A6" s="62" t="s">
        <v>228</v>
      </c>
      <c r="B6" s="118">
        <v>4908</v>
      </c>
      <c r="C6" s="64">
        <v>4</v>
      </c>
      <c r="D6" s="116" t="s">
        <v>229</v>
      </c>
      <c r="E6" s="192" t="s">
        <v>227</v>
      </c>
      <c r="F6" s="123">
        <v>2920</v>
      </c>
      <c r="M6" s="66"/>
    </row>
    <row r="7" spans="1:13" x14ac:dyDescent="0.3">
      <c r="A7" s="62" t="s">
        <v>228</v>
      </c>
      <c r="B7" s="118">
        <v>6073</v>
      </c>
      <c r="C7" s="64">
        <v>2</v>
      </c>
      <c r="D7" s="116" t="s">
        <v>9</v>
      </c>
      <c r="E7" s="193" t="s">
        <v>230</v>
      </c>
      <c r="F7" s="123">
        <v>100</v>
      </c>
      <c r="M7" s="66"/>
    </row>
    <row r="8" spans="1:13" x14ac:dyDescent="0.3">
      <c r="A8" s="62" t="s">
        <v>228</v>
      </c>
      <c r="B8" s="118">
        <v>6073</v>
      </c>
      <c r="C8" s="64">
        <v>2</v>
      </c>
      <c r="D8" s="116" t="s">
        <v>9</v>
      </c>
      <c r="E8" s="193" t="s">
        <v>231</v>
      </c>
      <c r="F8" s="123">
        <v>70</v>
      </c>
      <c r="M8" s="66"/>
    </row>
    <row r="9" spans="1:13" x14ac:dyDescent="0.3">
      <c r="A9" s="62" t="s">
        <v>228</v>
      </c>
      <c r="B9" s="118">
        <v>6073</v>
      </c>
      <c r="C9" s="64">
        <v>2</v>
      </c>
      <c r="D9" s="116" t="s">
        <v>229</v>
      </c>
      <c r="E9" s="193" t="s">
        <v>232</v>
      </c>
      <c r="F9" s="123">
        <v>1300</v>
      </c>
      <c r="M9" s="66"/>
    </row>
    <row r="10" spans="1:13" x14ac:dyDescent="0.3">
      <c r="A10" s="62" t="s">
        <v>228</v>
      </c>
      <c r="B10" s="118">
        <v>6073</v>
      </c>
      <c r="C10" s="64">
        <v>35</v>
      </c>
      <c r="D10" s="116" t="s">
        <v>234</v>
      </c>
      <c r="E10" s="193" t="s">
        <v>233</v>
      </c>
      <c r="F10" s="123">
        <v>7525</v>
      </c>
      <c r="M10" s="66"/>
    </row>
    <row r="11" spans="1:13" x14ac:dyDescent="0.3">
      <c r="A11" s="62" t="s">
        <v>228</v>
      </c>
      <c r="B11" s="63">
        <v>6074</v>
      </c>
      <c r="C11" s="64">
        <v>6</v>
      </c>
      <c r="D11" s="116" t="s">
        <v>9</v>
      </c>
      <c r="E11" s="217" t="s">
        <v>275</v>
      </c>
      <c r="F11" s="123">
        <v>1650</v>
      </c>
      <c r="H11" s="59" t="s">
        <v>277</v>
      </c>
      <c r="M11" s="66"/>
    </row>
    <row r="12" spans="1:13" x14ac:dyDescent="0.3">
      <c r="A12" s="62" t="s">
        <v>228</v>
      </c>
      <c r="B12" s="63">
        <v>6074</v>
      </c>
      <c r="C12" s="64">
        <v>8</v>
      </c>
      <c r="D12" s="116" t="s">
        <v>9</v>
      </c>
      <c r="E12" s="218" t="s">
        <v>276</v>
      </c>
      <c r="F12" s="123">
        <v>1040</v>
      </c>
      <c r="H12" s="59" t="s">
        <v>277</v>
      </c>
      <c r="M12" s="66"/>
    </row>
    <row r="13" spans="1:13" x14ac:dyDescent="0.3">
      <c r="A13" s="62" t="s">
        <v>239</v>
      </c>
      <c r="B13" s="63" t="s">
        <v>62</v>
      </c>
      <c r="C13" s="64">
        <v>1</v>
      </c>
      <c r="D13" s="116" t="s">
        <v>7</v>
      </c>
      <c r="E13" s="195" t="s">
        <v>240</v>
      </c>
      <c r="F13" s="123">
        <v>700</v>
      </c>
      <c r="M13" s="66"/>
    </row>
    <row r="14" spans="1:13" x14ac:dyDescent="0.3">
      <c r="A14" s="62"/>
      <c r="B14" s="63"/>
      <c r="C14" s="64"/>
      <c r="D14" s="116"/>
      <c r="E14" s="194" t="s">
        <v>241</v>
      </c>
      <c r="F14" s="123"/>
      <c r="M14" s="66"/>
    </row>
    <row r="15" spans="1:13" x14ac:dyDescent="0.3">
      <c r="A15" s="62" t="s">
        <v>239</v>
      </c>
      <c r="B15" s="118" t="s">
        <v>329</v>
      </c>
      <c r="C15" s="64">
        <v>1</v>
      </c>
      <c r="D15" s="116" t="s">
        <v>7</v>
      </c>
      <c r="E15" s="65" t="s">
        <v>330</v>
      </c>
      <c r="F15" s="123">
        <v>7900</v>
      </c>
      <c r="H15" s="59" t="s">
        <v>332</v>
      </c>
      <c r="M15" s="66"/>
    </row>
    <row r="16" spans="1:13" x14ac:dyDescent="0.3">
      <c r="A16" s="62"/>
      <c r="B16" s="118"/>
      <c r="C16" s="64"/>
      <c r="D16" s="116"/>
      <c r="E16" s="65" t="s">
        <v>331</v>
      </c>
      <c r="F16" s="123"/>
      <c r="M16" s="66"/>
    </row>
    <row r="17" spans="1:13" x14ac:dyDescent="0.3">
      <c r="A17" s="62" t="s">
        <v>295</v>
      </c>
      <c r="B17" s="63">
        <v>4509</v>
      </c>
      <c r="C17" s="64">
        <v>20</v>
      </c>
      <c r="D17" s="116" t="s">
        <v>9</v>
      </c>
      <c r="E17" s="65" t="s">
        <v>293</v>
      </c>
      <c r="F17" s="123">
        <v>8000</v>
      </c>
      <c r="H17" s="59" t="s">
        <v>294</v>
      </c>
      <c r="M17" s="66"/>
    </row>
    <row r="18" spans="1:13" x14ac:dyDescent="0.3">
      <c r="A18" s="62" t="s">
        <v>295</v>
      </c>
      <c r="B18" s="118" t="s">
        <v>335</v>
      </c>
      <c r="C18" s="64">
        <v>1</v>
      </c>
      <c r="D18" s="116" t="s">
        <v>7</v>
      </c>
      <c r="E18" s="192" t="s">
        <v>336</v>
      </c>
      <c r="F18" s="123">
        <v>7000</v>
      </c>
      <c r="H18" s="59" t="s">
        <v>337</v>
      </c>
      <c r="M18" s="66"/>
    </row>
    <row r="19" spans="1:13" x14ac:dyDescent="0.3">
      <c r="A19" s="62"/>
      <c r="B19" s="63"/>
      <c r="C19" s="64"/>
      <c r="D19" s="116"/>
      <c r="E19" s="416" t="s">
        <v>485</v>
      </c>
      <c r="F19" s="123"/>
      <c r="M19" s="66"/>
    </row>
    <row r="20" spans="1:13" x14ac:dyDescent="0.3">
      <c r="A20" s="62"/>
      <c r="B20" s="63"/>
      <c r="C20" s="64"/>
      <c r="D20" s="116"/>
      <c r="E20" s="416" t="s">
        <v>486</v>
      </c>
      <c r="F20" s="123"/>
      <c r="M20" s="66"/>
    </row>
    <row r="21" spans="1:13" x14ac:dyDescent="0.3">
      <c r="A21" s="62" t="s">
        <v>493</v>
      </c>
      <c r="B21" s="63" t="s">
        <v>62</v>
      </c>
      <c r="C21" s="64">
        <v>32.200000000000003</v>
      </c>
      <c r="D21" s="116" t="s">
        <v>257</v>
      </c>
      <c r="E21" s="416" t="s">
        <v>487</v>
      </c>
      <c r="F21" s="123">
        <v>9660</v>
      </c>
      <c r="H21" s="59" t="s">
        <v>495</v>
      </c>
      <c r="M21" s="66"/>
    </row>
    <row r="22" spans="1:13" x14ac:dyDescent="0.3">
      <c r="A22" s="62" t="s">
        <v>493</v>
      </c>
      <c r="B22" s="63" t="s">
        <v>62</v>
      </c>
      <c r="C22" s="64">
        <v>5</v>
      </c>
      <c r="D22" s="116" t="s">
        <v>257</v>
      </c>
      <c r="E22" s="416" t="s">
        <v>488</v>
      </c>
      <c r="F22" s="123">
        <v>1300</v>
      </c>
      <c r="H22" s="59" t="s">
        <v>494</v>
      </c>
      <c r="M22" s="66"/>
    </row>
    <row r="23" spans="1:13" x14ac:dyDescent="0.3">
      <c r="A23" s="62" t="s">
        <v>493</v>
      </c>
      <c r="B23" s="63" t="s">
        <v>62</v>
      </c>
      <c r="C23" s="64">
        <v>18</v>
      </c>
      <c r="D23" s="116" t="s">
        <v>257</v>
      </c>
      <c r="E23" s="416" t="s">
        <v>489</v>
      </c>
      <c r="F23" s="123">
        <v>4500</v>
      </c>
      <c r="H23" s="59" t="s">
        <v>496</v>
      </c>
      <c r="M23" s="66"/>
    </row>
    <row r="24" spans="1:13" x14ac:dyDescent="0.3">
      <c r="A24" s="62" t="s">
        <v>493</v>
      </c>
      <c r="B24" s="63" t="s">
        <v>62</v>
      </c>
      <c r="C24" s="64">
        <v>10.5</v>
      </c>
      <c r="D24" s="116" t="s">
        <v>257</v>
      </c>
      <c r="E24" s="416" t="s">
        <v>490</v>
      </c>
      <c r="F24" s="123">
        <v>3675</v>
      </c>
      <c r="H24" s="59" t="s">
        <v>497</v>
      </c>
      <c r="M24" s="66"/>
    </row>
    <row r="25" spans="1:13" x14ac:dyDescent="0.3">
      <c r="A25" s="62" t="s">
        <v>493</v>
      </c>
      <c r="B25" s="63" t="s">
        <v>62</v>
      </c>
      <c r="C25" s="64">
        <v>7</v>
      </c>
      <c r="D25" s="116" t="s">
        <v>257</v>
      </c>
      <c r="E25" s="416" t="s">
        <v>491</v>
      </c>
      <c r="F25" s="123">
        <v>2100</v>
      </c>
      <c r="H25" s="59" t="s">
        <v>498</v>
      </c>
      <c r="M25" s="66"/>
    </row>
    <row r="26" spans="1:13" x14ac:dyDescent="0.3">
      <c r="A26" s="62" t="s">
        <v>493</v>
      </c>
      <c r="B26" s="63" t="s">
        <v>62</v>
      </c>
      <c r="C26" s="64">
        <v>7</v>
      </c>
      <c r="D26" s="116" t="s">
        <v>257</v>
      </c>
      <c r="E26" s="417" t="s">
        <v>492</v>
      </c>
      <c r="F26" s="123">
        <v>2350</v>
      </c>
      <c r="H26" s="59" t="s">
        <v>499</v>
      </c>
      <c r="M26" s="66"/>
    </row>
    <row r="27" spans="1:13" x14ac:dyDescent="0.3">
      <c r="A27" s="62" t="s">
        <v>258</v>
      </c>
      <c r="B27" s="63">
        <v>193174</v>
      </c>
      <c r="C27" s="64">
        <v>10</v>
      </c>
      <c r="D27" s="116" t="s">
        <v>9</v>
      </c>
      <c r="E27" s="193" t="s">
        <v>248</v>
      </c>
      <c r="F27" s="123">
        <v>1000</v>
      </c>
      <c r="H27" s="59" t="s">
        <v>259</v>
      </c>
      <c r="M27" s="66"/>
    </row>
    <row r="28" spans="1:13" x14ac:dyDescent="0.3">
      <c r="A28" s="62" t="s">
        <v>258</v>
      </c>
      <c r="B28" s="63">
        <v>193174</v>
      </c>
      <c r="C28" s="64">
        <v>25</v>
      </c>
      <c r="D28" s="116" t="s">
        <v>9</v>
      </c>
      <c r="E28" s="193" t="s">
        <v>249</v>
      </c>
      <c r="F28" s="123">
        <v>1000</v>
      </c>
      <c r="H28" s="59" t="s">
        <v>259</v>
      </c>
      <c r="M28" s="66"/>
    </row>
    <row r="29" spans="1:13" x14ac:dyDescent="0.3">
      <c r="A29" s="62" t="s">
        <v>258</v>
      </c>
      <c r="B29" s="63">
        <v>193174</v>
      </c>
      <c r="C29" s="69">
        <v>25</v>
      </c>
      <c r="D29" s="116" t="s">
        <v>9</v>
      </c>
      <c r="E29" s="193" t="s">
        <v>250</v>
      </c>
      <c r="F29" s="124">
        <v>2000</v>
      </c>
      <c r="G29" s="59"/>
      <c r="H29" s="59" t="s">
        <v>259</v>
      </c>
      <c r="M29" s="72"/>
    </row>
    <row r="30" spans="1:13" x14ac:dyDescent="0.3">
      <c r="A30" s="62" t="s">
        <v>258</v>
      </c>
      <c r="B30" s="63">
        <v>193174</v>
      </c>
      <c r="C30" s="64">
        <v>30</v>
      </c>
      <c r="D30" s="116" t="s">
        <v>9</v>
      </c>
      <c r="E30" s="193" t="s">
        <v>251</v>
      </c>
      <c r="F30" s="123">
        <v>9000</v>
      </c>
      <c r="H30" s="59" t="s">
        <v>259</v>
      </c>
      <c r="M30" s="66"/>
    </row>
    <row r="31" spans="1:13" x14ac:dyDescent="0.3">
      <c r="A31" s="62" t="s">
        <v>258</v>
      </c>
      <c r="B31" s="63">
        <v>193174</v>
      </c>
      <c r="C31" s="64">
        <v>2</v>
      </c>
      <c r="D31" s="116" t="s">
        <v>9</v>
      </c>
      <c r="E31" s="193" t="s">
        <v>252</v>
      </c>
      <c r="F31" s="123">
        <v>1320</v>
      </c>
      <c r="H31" s="59" t="s">
        <v>259</v>
      </c>
      <c r="M31" s="66"/>
    </row>
    <row r="32" spans="1:13" x14ac:dyDescent="0.3">
      <c r="A32" s="62" t="s">
        <v>258</v>
      </c>
      <c r="B32" s="63">
        <v>193174</v>
      </c>
      <c r="C32" s="64">
        <v>1</v>
      </c>
      <c r="D32" s="116" t="s">
        <v>257</v>
      </c>
      <c r="E32" s="193" t="s">
        <v>253</v>
      </c>
      <c r="F32" s="123">
        <v>70</v>
      </c>
      <c r="H32" s="59" t="s">
        <v>259</v>
      </c>
      <c r="M32" s="66"/>
    </row>
    <row r="33" spans="1:13" x14ac:dyDescent="0.3">
      <c r="A33" s="62" t="s">
        <v>258</v>
      </c>
      <c r="B33" s="63">
        <v>193174</v>
      </c>
      <c r="C33" s="64">
        <v>1</v>
      </c>
      <c r="D33" s="116" t="s">
        <v>257</v>
      </c>
      <c r="E33" s="193" t="s">
        <v>254</v>
      </c>
      <c r="F33" s="123">
        <v>70</v>
      </c>
      <c r="H33" s="59" t="s">
        <v>259</v>
      </c>
      <c r="M33" s="66"/>
    </row>
    <row r="34" spans="1:13" x14ac:dyDescent="0.3">
      <c r="A34" s="62" t="s">
        <v>258</v>
      </c>
      <c r="B34" s="63">
        <v>193174</v>
      </c>
      <c r="C34" s="64">
        <v>1</v>
      </c>
      <c r="D34" s="116" t="s">
        <v>257</v>
      </c>
      <c r="E34" s="193" t="s">
        <v>255</v>
      </c>
      <c r="F34" s="123">
        <v>72</v>
      </c>
      <c r="H34" s="59" t="s">
        <v>259</v>
      </c>
      <c r="M34" s="66"/>
    </row>
    <row r="35" spans="1:13" x14ac:dyDescent="0.3">
      <c r="A35" s="62" t="s">
        <v>258</v>
      </c>
      <c r="B35" s="63">
        <v>193174</v>
      </c>
      <c r="C35" s="64">
        <v>2</v>
      </c>
      <c r="D35" s="116" t="s">
        <v>257</v>
      </c>
      <c r="E35" s="216" t="s">
        <v>256</v>
      </c>
      <c r="F35" s="123">
        <v>280</v>
      </c>
      <c r="H35" s="59" t="s">
        <v>259</v>
      </c>
      <c r="M35" s="66"/>
    </row>
    <row r="36" spans="1:13" x14ac:dyDescent="0.3">
      <c r="A36" s="62" t="s">
        <v>258</v>
      </c>
      <c r="B36" s="118" t="s">
        <v>296</v>
      </c>
      <c r="C36" s="64">
        <v>8</v>
      </c>
      <c r="D36" s="116" t="s">
        <v>297</v>
      </c>
      <c r="E36" s="65" t="s">
        <v>298</v>
      </c>
      <c r="F36" s="123">
        <v>336</v>
      </c>
      <c r="H36" s="59" t="s">
        <v>283</v>
      </c>
      <c r="M36" s="66"/>
    </row>
    <row r="37" spans="1:13" x14ac:dyDescent="0.3">
      <c r="A37" s="62" t="s">
        <v>258</v>
      </c>
      <c r="B37" s="63">
        <v>8636</v>
      </c>
      <c r="C37" s="64">
        <v>16</v>
      </c>
      <c r="D37" s="116" t="s">
        <v>9</v>
      </c>
      <c r="E37" s="221" t="s">
        <v>305</v>
      </c>
      <c r="F37" s="123">
        <v>4480</v>
      </c>
      <c r="H37" s="59" t="s">
        <v>277</v>
      </c>
      <c r="M37" s="66"/>
    </row>
    <row r="38" spans="1:13" x14ac:dyDescent="0.3">
      <c r="A38" s="62" t="s">
        <v>258</v>
      </c>
      <c r="B38" s="63">
        <v>8636</v>
      </c>
      <c r="C38" s="64">
        <v>1</v>
      </c>
      <c r="D38" s="116" t="s">
        <v>9</v>
      </c>
      <c r="E38" s="221" t="s">
        <v>304</v>
      </c>
      <c r="F38" s="123">
        <v>375</v>
      </c>
      <c r="H38" s="59" t="s">
        <v>277</v>
      </c>
      <c r="M38" s="66"/>
    </row>
    <row r="39" spans="1:13" x14ac:dyDescent="0.3">
      <c r="A39" s="62" t="s">
        <v>258</v>
      </c>
      <c r="B39" s="63">
        <v>8636</v>
      </c>
      <c r="C39" s="64">
        <v>2</v>
      </c>
      <c r="D39" s="116" t="s">
        <v>9</v>
      </c>
      <c r="E39" s="222" t="s">
        <v>303</v>
      </c>
      <c r="F39" s="123">
        <v>120</v>
      </c>
      <c r="H39" s="59" t="s">
        <v>277</v>
      </c>
      <c r="M39" s="66"/>
    </row>
    <row r="40" spans="1:13" x14ac:dyDescent="0.3">
      <c r="A40" s="62" t="s">
        <v>258</v>
      </c>
      <c r="B40" s="63">
        <v>8636</v>
      </c>
      <c r="C40" s="64">
        <v>1</v>
      </c>
      <c r="D40" s="116" t="s">
        <v>63</v>
      </c>
      <c r="E40" s="222" t="s">
        <v>301</v>
      </c>
      <c r="F40" s="123">
        <v>3500</v>
      </c>
      <c r="H40" s="59" t="s">
        <v>277</v>
      </c>
      <c r="M40" s="66"/>
    </row>
    <row r="41" spans="1:13" x14ac:dyDescent="0.3">
      <c r="A41" s="62" t="s">
        <v>258</v>
      </c>
      <c r="B41" s="63">
        <v>8636</v>
      </c>
      <c r="C41" s="64">
        <v>50</v>
      </c>
      <c r="D41" s="116" t="s">
        <v>297</v>
      </c>
      <c r="E41" s="222" t="s">
        <v>302</v>
      </c>
      <c r="F41" s="123">
        <v>600</v>
      </c>
      <c r="H41" s="59" t="s">
        <v>277</v>
      </c>
      <c r="M41" s="66"/>
    </row>
    <row r="42" spans="1:13" x14ac:dyDescent="0.3">
      <c r="A42" s="62" t="s">
        <v>258</v>
      </c>
      <c r="B42" s="63">
        <v>38214</v>
      </c>
      <c r="C42" s="64">
        <v>1</v>
      </c>
      <c r="D42" s="116" t="s">
        <v>7</v>
      </c>
      <c r="E42" s="193" t="s">
        <v>324</v>
      </c>
      <c r="F42" s="123">
        <v>908.04</v>
      </c>
      <c r="H42" s="59" t="s">
        <v>325</v>
      </c>
      <c r="M42" s="66"/>
    </row>
    <row r="43" spans="1:13" x14ac:dyDescent="0.3">
      <c r="A43" s="62" t="s">
        <v>260</v>
      </c>
      <c r="B43" s="118" t="s">
        <v>323</v>
      </c>
      <c r="C43" s="64">
        <v>20</v>
      </c>
      <c r="D43" s="116" t="s">
        <v>9</v>
      </c>
      <c r="E43" s="193" t="s">
        <v>287</v>
      </c>
      <c r="F43" s="123">
        <v>23000</v>
      </c>
      <c r="H43" s="59" t="s">
        <v>289</v>
      </c>
      <c r="M43" s="66"/>
    </row>
    <row r="44" spans="1:13" x14ac:dyDescent="0.3">
      <c r="A44" s="62"/>
      <c r="B44" s="63"/>
      <c r="C44" s="64"/>
      <c r="D44" s="116"/>
      <c r="E44" s="65" t="s">
        <v>288</v>
      </c>
      <c r="F44" s="123"/>
      <c r="M44" s="66"/>
    </row>
    <row r="45" spans="1:13" x14ac:dyDescent="0.3">
      <c r="A45" s="62" t="s">
        <v>260</v>
      </c>
      <c r="B45" s="118">
        <v>66580</v>
      </c>
      <c r="C45" s="64">
        <v>1</v>
      </c>
      <c r="D45" s="116" t="s">
        <v>7</v>
      </c>
      <c r="E45" s="65" t="s">
        <v>261</v>
      </c>
      <c r="F45" s="123">
        <v>12770</v>
      </c>
      <c r="H45" s="59" t="s">
        <v>262</v>
      </c>
      <c r="M45" s="66"/>
    </row>
    <row r="46" spans="1:13" x14ac:dyDescent="0.3">
      <c r="A46" s="62" t="s">
        <v>260</v>
      </c>
      <c r="B46" s="63">
        <v>840168</v>
      </c>
      <c r="C46" s="64">
        <v>25</v>
      </c>
      <c r="D46" s="116" t="s">
        <v>9</v>
      </c>
      <c r="E46" s="193" t="s">
        <v>299</v>
      </c>
      <c r="F46" s="123">
        <v>1300</v>
      </c>
      <c r="H46" s="59" t="s">
        <v>269</v>
      </c>
      <c r="M46" s="66"/>
    </row>
    <row r="47" spans="1:13" x14ac:dyDescent="0.3">
      <c r="A47" s="62" t="s">
        <v>260</v>
      </c>
      <c r="B47" s="63" t="s">
        <v>130</v>
      </c>
      <c r="C47" s="64">
        <v>1</v>
      </c>
      <c r="D47" s="116" t="s">
        <v>7</v>
      </c>
      <c r="E47" s="193" t="s">
        <v>339</v>
      </c>
      <c r="F47" s="123">
        <v>150</v>
      </c>
      <c r="H47" s="59" t="s">
        <v>340</v>
      </c>
      <c r="M47" s="66"/>
    </row>
    <row r="48" spans="1:13" x14ac:dyDescent="0.3">
      <c r="A48" s="62" t="s">
        <v>260</v>
      </c>
      <c r="B48" s="63" t="s">
        <v>130</v>
      </c>
      <c r="C48" s="64">
        <v>1</v>
      </c>
      <c r="D48" s="116" t="s">
        <v>7</v>
      </c>
      <c r="E48" s="193" t="s">
        <v>341</v>
      </c>
      <c r="F48" s="123">
        <v>150</v>
      </c>
      <c r="H48" s="59" t="s">
        <v>342</v>
      </c>
      <c r="M48" s="66"/>
    </row>
    <row r="49" spans="1:13" x14ac:dyDescent="0.3">
      <c r="A49" s="62" t="s">
        <v>260</v>
      </c>
      <c r="B49" s="63" t="s">
        <v>130</v>
      </c>
      <c r="C49" s="64">
        <v>1</v>
      </c>
      <c r="D49" s="116" t="s">
        <v>7</v>
      </c>
      <c r="E49" s="193" t="s">
        <v>343</v>
      </c>
      <c r="F49" s="123">
        <v>150</v>
      </c>
      <c r="H49" s="59" t="s">
        <v>344</v>
      </c>
      <c r="M49" s="66"/>
    </row>
    <row r="50" spans="1:13" x14ac:dyDescent="0.3">
      <c r="A50" s="62" t="s">
        <v>260</v>
      </c>
      <c r="B50" s="63" t="s">
        <v>130</v>
      </c>
      <c r="C50" s="64">
        <v>1</v>
      </c>
      <c r="D50" s="116" t="s">
        <v>7</v>
      </c>
      <c r="E50" s="193" t="s">
        <v>345</v>
      </c>
      <c r="F50" s="123">
        <v>150</v>
      </c>
      <c r="H50" s="59" t="s">
        <v>346</v>
      </c>
      <c r="M50" s="66"/>
    </row>
    <row r="51" spans="1:13" x14ac:dyDescent="0.3">
      <c r="A51" s="62" t="s">
        <v>260</v>
      </c>
      <c r="B51" s="63" t="s">
        <v>130</v>
      </c>
      <c r="C51" s="64">
        <v>1</v>
      </c>
      <c r="D51" s="116" t="s">
        <v>7</v>
      </c>
      <c r="E51" s="193" t="s">
        <v>347</v>
      </c>
      <c r="F51" s="123">
        <v>150</v>
      </c>
      <c r="H51" s="59" t="s">
        <v>348</v>
      </c>
      <c r="M51" s="66"/>
    </row>
    <row r="52" spans="1:13" x14ac:dyDescent="0.3">
      <c r="A52" s="62" t="s">
        <v>260</v>
      </c>
      <c r="B52" s="63" t="s">
        <v>130</v>
      </c>
      <c r="C52" s="64">
        <v>1</v>
      </c>
      <c r="D52" s="116" t="s">
        <v>7</v>
      </c>
      <c r="E52" s="193" t="s">
        <v>349</v>
      </c>
      <c r="F52" s="123">
        <v>150</v>
      </c>
      <c r="H52" s="59" t="s">
        <v>350</v>
      </c>
      <c r="M52" s="66"/>
    </row>
    <row r="53" spans="1:13" x14ac:dyDescent="0.3">
      <c r="A53" s="62" t="s">
        <v>260</v>
      </c>
      <c r="B53" s="63" t="s">
        <v>130</v>
      </c>
      <c r="C53" s="64">
        <v>1</v>
      </c>
      <c r="D53" s="116" t="s">
        <v>7</v>
      </c>
      <c r="E53" s="193" t="s">
        <v>351</v>
      </c>
      <c r="F53" s="123">
        <v>150</v>
      </c>
      <c r="H53" s="59" t="s">
        <v>352</v>
      </c>
      <c r="M53" s="66"/>
    </row>
    <row r="54" spans="1:13" x14ac:dyDescent="0.3">
      <c r="A54" s="62" t="s">
        <v>260</v>
      </c>
      <c r="B54" s="63" t="s">
        <v>130</v>
      </c>
      <c r="C54" s="64">
        <v>1</v>
      </c>
      <c r="D54" s="116" t="s">
        <v>7</v>
      </c>
      <c r="E54" s="193" t="s">
        <v>353</v>
      </c>
      <c r="F54" s="123">
        <v>150</v>
      </c>
      <c r="H54" s="59" t="s">
        <v>354</v>
      </c>
      <c r="M54" s="66"/>
    </row>
    <row r="55" spans="1:13" x14ac:dyDescent="0.3">
      <c r="A55" s="62" t="s">
        <v>260</v>
      </c>
      <c r="B55" s="63" t="s">
        <v>362</v>
      </c>
      <c r="C55" s="64">
        <v>1</v>
      </c>
      <c r="D55" s="116" t="s">
        <v>7</v>
      </c>
      <c r="E55" s="193" t="s">
        <v>480</v>
      </c>
      <c r="F55" s="123">
        <v>150</v>
      </c>
      <c r="H55" s="59" t="s">
        <v>363</v>
      </c>
      <c r="M55" s="66"/>
    </row>
    <row r="56" spans="1:13" x14ac:dyDescent="0.3">
      <c r="A56" s="62" t="s">
        <v>260</v>
      </c>
      <c r="B56" s="63">
        <v>2272873</v>
      </c>
      <c r="C56" s="64">
        <v>1</v>
      </c>
      <c r="D56" s="116" t="s">
        <v>7</v>
      </c>
      <c r="E56" s="193" t="s">
        <v>355</v>
      </c>
      <c r="F56" s="123">
        <v>1140</v>
      </c>
      <c r="H56" s="59" t="s">
        <v>366</v>
      </c>
      <c r="M56" s="66"/>
    </row>
    <row r="57" spans="1:13" x14ac:dyDescent="0.3">
      <c r="A57" s="62" t="s">
        <v>260</v>
      </c>
      <c r="B57" s="63">
        <v>46218004</v>
      </c>
      <c r="C57" s="64">
        <v>1</v>
      </c>
      <c r="D57" s="116" t="s">
        <v>7</v>
      </c>
      <c r="E57" s="193" t="s">
        <v>356</v>
      </c>
      <c r="F57" s="123">
        <v>1550</v>
      </c>
      <c r="H57" s="59" t="s">
        <v>367</v>
      </c>
      <c r="M57" s="66"/>
    </row>
    <row r="58" spans="1:13" x14ac:dyDescent="0.3">
      <c r="A58" s="62" t="s">
        <v>260</v>
      </c>
      <c r="B58" s="63" t="s">
        <v>130</v>
      </c>
      <c r="C58" s="64">
        <v>1</v>
      </c>
      <c r="D58" s="116" t="s">
        <v>7</v>
      </c>
      <c r="E58" s="193" t="s">
        <v>358</v>
      </c>
      <c r="F58" s="123">
        <v>740</v>
      </c>
      <c r="H58" s="59" t="s">
        <v>365</v>
      </c>
      <c r="M58" s="66"/>
    </row>
    <row r="59" spans="1:13" x14ac:dyDescent="0.3">
      <c r="A59" s="62" t="s">
        <v>260</v>
      </c>
      <c r="B59" s="63">
        <v>2284166</v>
      </c>
      <c r="C59" s="64">
        <v>1</v>
      </c>
      <c r="D59" s="116" t="s">
        <v>7</v>
      </c>
      <c r="E59" s="193" t="s">
        <v>361</v>
      </c>
      <c r="F59" s="123">
        <v>524</v>
      </c>
      <c r="H59" s="59" t="s">
        <v>366</v>
      </c>
      <c r="M59" s="66"/>
    </row>
    <row r="60" spans="1:13" x14ac:dyDescent="0.3">
      <c r="A60" s="62" t="s">
        <v>260</v>
      </c>
      <c r="B60" s="63">
        <v>636387</v>
      </c>
      <c r="C60" s="64">
        <v>1</v>
      </c>
      <c r="D60" s="116" t="s">
        <v>7</v>
      </c>
      <c r="E60" s="193" t="s">
        <v>364</v>
      </c>
      <c r="F60" s="123">
        <v>740</v>
      </c>
      <c r="H60" s="59" t="s">
        <v>365</v>
      </c>
      <c r="M60" s="66"/>
    </row>
    <row r="61" spans="1:13" x14ac:dyDescent="0.3">
      <c r="A61" s="62" t="s">
        <v>236</v>
      </c>
      <c r="B61" s="63" t="s">
        <v>130</v>
      </c>
      <c r="C61" s="64">
        <v>1</v>
      </c>
      <c r="D61" s="116" t="s">
        <v>7</v>
      </c>
      <c r="E61" s="193" t="s">
        <v>368</v>
      </c>
      <c r="F61" s="123">
        <v>180</v>
      </c>
      <c r="H61" s="59" t="s">
        <v>340</v>
      </c>
      <c r="M61" s="66"/>
    </row>
    <row r="62" spans="1:13" x14ac:dyDescent="0.3">
      <c r="A62" s="62" t="s">
        <v>236</v>
      </c>
      <c r="B62" s="63" t="s">
        <v>130</v>
      </c>
      <c r="C62" s="64">
        <v>1</v>
      </c>
      <c r="D62" s="116" t="s">
        <v>7</v>
      </c>
      <c r="E62" s="193" t="s">
        <v>369</v>
      </c>
      <c r="F62" s="123">
        <v>180</v>
      </c>
      <c r="H62" s="59" t="s">
        <v>342</v>
      </c>
      <c r="M62" s="66"/>
    </row>
    <row r="63" spans="1:13" x14ac:dyDescent="0.3">
      <c r="A63" s="62" t="s">
        <v>236</v>
      </c>
      <c r="B63" s="63" t="s">
        <v>130</v>
      </c>
      <c r="C63" s="64">
        <v>1</v>
      </c>
      <c r="D63" s="116" t="s">
        <v>7</v>
      </c>
      <c r="E63" s="193" t="s">
        <v>370</v>
      </c>
      <c r="F63" s="123">
        <v>180</v>
      </c>
      <c r="H63" s="59" t="s">
        <v>344</v>
      </c>
      <c r="M63" s="66"/>
    </row>
    <row r="64" spans="1:13" x14ac:dyDescent="0.3">
      <c r="A64" s="62" t="s">
        <v>236</v>
      </c>
      <c r="B64" s="63" t="s">
        <v>130</v>
      </c>
      <c r="C64" s="64">
        <v>1</v>
      </c>
      <c r="D64" s="116" t="s">
        <v>7</v>
      </c>
      <c r="E64" s="193" t="s">
        <v>371</v>
      </c>
      <c r="F64" s="123">
        <v>180</v>
      </c>
      <c r="H64" s="59" t="s">
        <v>346</v>
      </c>
      <c r="M64" s="66"/>
    </row>
    <row r="65" spans="1:13" x14ac:dyDescent="0.3">
      <c r="A65" s="62" t="s">
        <v>236</v>
      </c>
      <c r="B65" s="63" t="s">
        <v>130</v>
      </c>
      <c r="C65" s="64">
        <v>1</v>
      </c>
      <c r="D65" s="116" t="s">
        <v>7</v>
      </c>
      <c r="E65" s="193" t="s">
        <v>372</v>
      </c>
      <c r="F65" s="123">
        <v>180</v>
      </c>
      <c r="H65" s="59" t="s">
        <v>348</v>
      </c>
      <c r="M65" s="66"/>
    </row>
    <row r="66" spans="1:13" x14ac:dyDescent="0.3">
      <c r="A66" s="62" t="s">
        <v>236</v>
      </c>
      <c r="B66" s="63" t="s">
        <v>130</v>
      </c>
      <c r="C66" s="64">
        <v>1</v>
      </c>
      <c r="D66" s="116" t="s">
        <v>7</v>
      </c>
      <c r="E66" s="193" t="s">
        <v>373</v>
      </c>
      <c r="F66" s="123">
        <v>180</v>
      </c>
      <c r="H66" s="59" t="s">
        <v>350</v>
      </c>
      <c r="M66" s="66"/>
    </row>
    <row r="67" spans="1:13" x14ac:dyDescent="0.3">
      <c r="A67" s="62" t="s">
        <v>236</v>
      </c>
      <c r="B67" s="63" t="s">
        <v>130</v>
      </c>
      <c r="C67" s="64">
        <v>1</v>
      </c>
      <c r="D67" s="116" t="s">
        <v>7</v>
      </c>
      <c r="E67" s="193" t="s">
        <v>374</v>
      </c>
      <c r="F67" s="123">
        <v>180</v>
      </c>
      <c r="H67" s="59" t="s">
        <v>352</v>
      </c>
      <c r="M67" s="66"/>
    </row>
    <row r="68" spans="1:13" x14ac:dyDescent="0.3">
      <c r="A68" s="62" t="s">
        <v>236</v>
      </c>
      <c r="B68" s="63" t="s">
        <v>130</v>
      </c>
      <c r="C68" s="64">
        <v>1</v>
      </c>
      <c r="D68" s="116" t="s">
        <v>7</v>
      </c>
      <c r="E68" s="193" t="s">
        <v>375</v>
      </c>
      <c r="F68" s="123">
        <v>180</v>
      </c>
      <c r="H68" s="59" t="s">
        <v>354</v>
      </c>
      <c r="M68" s="66"/>
    </row>
    <row r="69" spans="1:13" x14ac:dyDescent="0.3">
      <c r="A69" s="62" t="s">
        <v>236</v>
      </c>
      <c r="B69" s="63" t="s">
        <v>362</v>
      </c>
      <c r="C69" s="64">
        <v>1</v>
      </c>
      <c r="D69" s="116" t="s">
        <v>7</v>
      </c>
      <c r="E69" s="193" t="s">
        <v>376</v>
      </c>
      <c r="F69" s="123">
        <v>180</v>
      </c>
      <c r="H69" s="59" t="s">
        <v>363</v>
      </c>
      <c r="M69" s="66"/>
    </row>
    <row r="70" spans="1:13" x14ac:dyDescent="0.3">
      <c r="A70" s="62" t="s">
        <v>236</v>
      </c>
      <c r="B70" s="63" t="s">
        <v>130</v>
      </c>
      <c r="C70" s="64">
        <v>1</v>
      </c>
      <c r="D70" s="116" t="s">
        <v>7</v>
      </c>
      <c r="E70" s="193" t="s">
        <v>377</v>
      </c>
      <c r="F70" s="123">
        <v>180</v>
      </c>
      <c r="H70" s="59" t="s">
        <v>340</v>
      </c>
      <c r="M70" s="66"/>
    </row>
    <row r="71" spans="1:13" x14ac:dyDescent="0.3">
      <c r="A71" s="62" t="s">
        <v>236</v>
      </c>
      <c r="B71" s="63" t="s">
        <v>130</v>
      </c>
      <c r="C71" s="64">
        <v>1</v>
      </c>
      <c r="D71" s="116" t="s">
        <v>7</v>
      </c>
      <c r="E71" s="193" t="s">
        <v>378</v>
      </c>
      <c r="F71" s="123">
        <v>180</v>
      </c>
      <c r="H71" s="59" t="s">
        <v>342</v>
      </c>
      <c r="M71" s="66"/>
    </row>
    <row r="72" spans="1:13" x14ac:dyDescent="0.3">
      <c r="A72" s="62" t="s">
        <v>236</v>
      </c>
      <c r="B72" s="63" t="s">
        <v>130</v>
      </c>
      <c r="C72" s="64">
        <v>1</v>
      </c>
      <c r="D72" s="116" t="s">
        <v>7</v>
      </c>
      <c r="E72" s="193" t="s">
        <v>379</v>
      </c>
      <c r="F72" s="123">
        <v>180</v>
      </c>
      <c r="H72" s="59" t="s">
        <v>344</v>
      </c>
      <c r="M72" s="66"/>
    </row>
    <row r="73" spans="1:13" x14ac:dyDescent="0.3">
      <c r="A73" s="62" t="s">
        <v>236</v>
      </c>
      <c r="B73" s="63" t="s">
        <v>130</v>
      </c>
      <c r="C73" s="64">
        <v>1</v>
      </c>
      <c r="D73" s="116" t="s">
        <v>7</v>
      </c>
      <c r="E73" s="193" t="s">
        <v>380</v>
      </c>
      <c r="F73" s="123">
        <v>180</v>
      </c>
      <c r="H73" s="59" t="s">
        <v>346</v>
      </c>
      <c r="M73" s="66"/>
    </row>
    <row r="74" spans="1:13" x14ac:dyDescent="0.3">
      <c r="A74" s="62" t="s">
        <v>236</v>
      </c>
      <c r="B74" s="63" t="s">
        <v>130</v>
      </c>
      <c r="C74" s="64">
        <v>1</v>
      </c>
      <c r="D74" s="116" t="s">
        <v>7</v>
      </c>
      <c r="E74" s="193" t="s">
        <v>381</v>
      </c>
      <c r="F74" s="123">
        <v>180</v>
      </c>
      <c r="H74" s="59" t="s">
        <v>348</v>
      </c>
      <c r="M74" s="66"/>
    </row>
    <row r="75" spans="1:13" x14ac:dyDescent="0.3">
      <c r="A75" s="62" t="s">
        <v>236</v>
      </c>
      <c r="B75" s="63" t="s">
        <v>130</v>
      </c>
      <c r="C75" s="64">
        <v>1</v>
      </c>
      <c r="D75" s="116" t="s">
        <v>7</v>
      </c>
      <c r="E75" s="193" t="s">
        <v>382</v>
      </c>
      <c r="F75" s="123">
        <v>180</v>
      </c>
      <c r="H75" s="59" t="s">
        <v>350</v>
      </c>
      <c r="M75" s="66"/>
    </row>
    <row r="76" spans="1:13" x14ac:dyDescent="0.3">
      <c r="A76" s="62" t="s">
        <v>236</v>
      </c>
      <c r="B76" s="63" t="s">
        <v>130</v>
      </c>
      <c r="C76" s="64">
        <v>1</v>
      </c>
      <c r="D76" s="116" t="s">
        <v>7</v>
      </c>
      <c r="E76" s="193" t="s">
        <v>383</v>
      </c>
      <c r="F76" s="123">
        <v>180</v>
      </c>
      <c r="H76" s="59" t="s">
        <v>352</v>
      </c>
      <c r="M76" s="66"/>
    </row>
    <row r="77" spans="1:13" x14ac:dyDescent="0.3">
      <c r="A77" s="62" t="s">
        <v>236</v>
      </c>
      <c r="B77" s="63" t="s">
        <v>130</v>
      </c>
      <c r="C77" s="64">
        <v>1</v>
      </c>
      <c r="D77" s="116" t="s">
        <v>7</v>
      </c>
      <c r="E77" s="193" t="s">
        <v>384</v>
      </c>
      <c r="F77" s="123">
        <v>180</v>
      </c>
      <c r="H77" s="59" t="s">
        <v>354</v>
      </c>
      <c r="M77" s="66"/>
    </row>
    <row r="78" spans="1:13" x14ac:dyDescent="0.3">
      <c r="A78" s="62" t="s">
        <v>236</v>
      </c>
      <c r="B78" s="63" t="s">
        <v>362</v>
      </c>
      <c r="C78" s="64">
        <v>1</v>
      </c>
      <c r="D78" s="116" t="s">
        <v>7</v>
      </c>
      <c r="E78" s="193" t="s">
        <v>385</v>
      </c>
      <c r="F78" s="123">
        <v>180</v>
      </c>
      <c r="H78" s="59" t="s">
        <v>363</v>
      </c>
      <c r="M78" s="66"/>
    </row>
    <row r="79" spans="1:13" x14ac:dyDescent="0.3">
      <c r="A79" s="62" t="s">
        <v>236</v>
      </c>
      <c r="B79" s="63" t="s">
        <v>130</v>
      </c>
      <c r="C79" s="64">
        <v>1</v>
      </c>
      <c r="D79" s="116" t="s">
        <v>7</v>
      </c>
      <c r="E79" s="193" t="s">
        <v>386</v>
      </c>
      <c r="F79" s="123">
        <v>180</v>
      </c>
      <c r="H79" s="59" t="s">
        <v>340</v>
      </c>
      <c r="M79" s="66"/>
    </row>
    <row r="80" spans="1:13" x14ac:dyDescent="0.3">
      <c r="A80" s="62" t="s">
        <v>236</v>
      </c>
      <c r="B80" s="63" t="s">
        <v>130</v>
      </c>
      <c r="C80" s="64">
        <v>1</v>
      </c>
      <c r="D80" s="116" t="s">
        <v>7</v>
      </c>
      <c r="E80" s="193" t="s">
        <v>387</v>
      </c>
      <c r="F80" s="123">
        <v>180</v>
      </c>
      <c r="H80" s="59" t="s">
        <v>342</v>
      </c>
      <c r="M80" s="66"/>
    </row>
    <row r="81" spans="1:13" x14ac:dyDescent="0.3">
      <c r="A81" s="62" t="s">
        <v>236</v>
      </c>
      <c r="B81" s="63" t="s">
        <v>130</v>
      </c>
      <c r="C81" s="64">
        <v>1</v>
      </c>
      <c r="D81" s="116" t="s">
        <v>7</v>
      </c>
      <c r="E81" s="193" t="s">
        <v>388</v>
      </c>
      <c r="F81" s="123">
        <v>180</v>
      </c>
      <c r="H81" s="59" t="s">
        <v>344</v>
      </c>
      <c r="M81" s="66"/>
    </row>
    <row r="82" spans="1:13" x14ac:dyDescent="0.3">
      <c r="A82" s="62" t="s">
        <v>236</v>
      </c>
      <c r="B82" s="63" t="s">
        <v>130</v>
      </c>
      <c r="C82" s="64">
        <v>1</v>
      </c>
      <c r="D82" s="116" t="s">
        <v>7</v>
      </c>
      <c r="E82" s="193" t="s">
        <v>389</v>
      </c>
      <c r="F82" s="123">
        <v>180</v>
      </c>
      <c r="H82" s="59" t="s">
        <v>346</v>
      </c>
      <c r="M82" s="66"/>
    </row>
    <row r="83" spans="1:13" x14ac:dyDescent="0.3">
      <c r="A83" s="62" t="s">
        <v>236</v>
      </c>
      <c r="B83" s="63" t="s">
        <v>130</v>
      </c>
      <c r="C83" s="64">
        <v>1</v>
      </c>
      <c r="D83" s="116" t="s">
        <v>7</v>
      </c>
      <c r="E83" s="193" t="s">
        <v>390</v>
      </c>
      <c r="F83" s="123">
        <v>180</v>
      </c>
      <c r="H83" s="59" t="s">
        <v>348</v>
      </c>
      <c r="M83" s="66"/>
    </row>
    <row r="84" spans="1:13" x14ac:dyDescent="0.3">
      <c r="A84" s="62" t="s">
        <v>236</v>
      </c>
      <c r="B84" s="63" t="s">
        <v>130</v>
      </c>
      <c r="C84" s="64">
        <v>1</v>
      </c>
      <c r="D84" s="116" t="s">
        <v>7</v>
      </c>
      <c r="E84" s="193" t="s">
        <v>391</v>
      </c>
      <c r="F84" s="123">
        <v>180</v>
      </c>
      <c r="H84" s="59" t="s">
        <v>350</v>
      </c>
      <c r="M84" s="66"/>
    </row>
    <row r="85" spans="1:13" x14ac:dyDescent="0.3">
      <c r="A85" s="62" t="s">
        <v>236</v>
      </c>
      <c r="B85" s="63" t="s">
        <v>130</v>
      </c>
      <c r="C85" s="64">
        <v>1</v>
      </c>
      <c r="D85" s="116" t="s">
        <v>7</v>
      </c>
      <c r="E85" s="193" t="s">
        <v>392</v>
      </c>
      <c r="F85" s="123">
        <v>180</v>
      </c>
      <c r="H85" s="59" t="s">
        <v>352</v>
      </c>
      <c r="M85" s="66"/>
    </row>
    <row r="86" spans="1:13" x14ac:dyDescent="0.3">
      <c r="A86" s="62" t="s">
        <v>236</v>
      </c>
      <c r="B86" s="63" t="s">
        <v>130</v>
      </c>
      <c r="C86" s="64">
        <v>1</v>
      </c>
      <c r="D86" s="116" t="s">
        <v>7</v>
      </c>
      <c r="E86" s="193" t="s">
        <v>393</v>
      </c>
      <c r="F86" s="123">
        <v>180</v>
      </c>
      <c r="H86" s="59" t="s">
        <v>354</v>
      </c>
      <c r="M86" s="66"/>
    </row>
    <row r="87" spans="1:13" x14ac:dyDescent="0.3">
      <c r="A87" s="62" t="s">
        <v>236</v>
      </c>
      <c r="B87" s="63" t="s">
        <v>362</v>
      </c>
      <c r="C87" s="64">
        <v>1</v>
      </c>
      <c r="D87" s="116" t="s">
        <v>7</v>
      </c>
      <c r="E87" s="193" t="s">
        <v>394</v>
      </c>
      <c r="F87" s="123">
        <v>180</v>
      </c>
      <c r="H87" s="59" t="s">
        <v>363</v>
      </c>
      <c r="M87" s="66"/>
    </row>
    <row r="88" spans="1:13" x14ac:dyDescent="0.3">
      <c r="A88" s="62" t="s">
        <v>236</v>
      </c>
      <c r="B88" s="118" t="s">
        <v>481</v>
      </c>
      <c r="C88" s="64">
        <v>1</v>
      </c>
      <c r="D88" s="116" t="s">
        <v>9</v>
      </c>
      <c r="E88" s="193" t="s">
        <v>482</v>
      </c>
      <c r="F88" s="123">
        <v>9800</v>
      </c>
      <c r="H88" s="59" t="s">
        <v>483</v>
      </c>
      <c r="M88" s="66"/>
    </row>
    <row r="89" spans="1:13" x14ac:dyDescent="0.3">
      <c r="A89" s="62" t="s">
        <v>236</v>
      </c>
      <c r="B89" s="118" t="s">
        <v>481</v>
      </c>
      <c r="C89" s="64">
        <v>1</v>
      </c>
      <c r="D89" s="116" t="s">
        <v>9</v>
      </c>
      <c r="E89" s="193" t="s">
        <v>484</v>
      </c>
      <c r="F89" s="123">
        <v>6100</v>
      </c>
      <c r="H89" s="59" t="s">
        <v>483</v>
      </c>
      <c r="M89" s="66"/>
    </row>
    <row r="90" spans="1:13" x14ac:dyDescent="0.3">
      <c r="A90" s="62" t="s">
        <v>236</v>
      </c>
      <c r="B90" s="63">
        <v>357238</v>
      </c>
      <c r="C90" s="64">
        <v>20</v>
      </c>
      <c r="D90" s="116" t="s">
        <v>9</v>
      </c>
      <c r="E90" s="192" t="s">
        <v>300</v>
      </c>
      <c r="F90" s="123">
        <v>780</v>
      </c>
      <c r="H90" s="59" t="s">
        <v>274</v>
      </c>
      <c r="M90" s="66"/>
    </row>
    <row r="91" spans="1:13" x14ac:dyDescent="0.3">
      <c r="A91" s="62" t="s">
        <v>236</v>
      </c>
      <c r="B91" s="63">
        <v>34442</v>
      </c>
      <c r="C91" s="64">
        <v>1</v>
      </c>
      <c r="D91" s="116" t="s">
        <v>7</v>
      </c>
      <c r="E91" s="192" t="s">
        <v>238</v>
      </c>
      <c r="F91" s="123">
        <v>10506.75</v>
      </c>
      <c r="H91" s="59" t="s">
        <v>338</v>
      </c>
      <c r="M91" s="66"/>
    </row>
    <row r="92" spans="1:13" x14ac:dyDescent="0.3">
      <c r="A92" s="62"/>
      <c r="B92" s="63"/>
      <c r="C92" s="64"/>
      <c r="D92" s="116"/>
      <c r="E92" s="195" t="s">
        <v>237</v>
      </c>
      <c r="F92" s="123"/>
      <c r="M92" s="66"/>
    </row>
    <row r="93" spans="1:13" x14ac:dyDescent="0.3">
      <c r="A93" s="117" t="s">
        <v>236</v>
      </c>
      <c r="B93" s="68">
        <v>840171</v>
      </c>
      <c r="C93" s="69">
        <v>2</v>
      </c>
      <c r="D93" s="70" t="s">
        <v>79</v>
      </c>
      <c r="E93" s="193" t="s">
        <v>268</v>
      </c>
      <c r="F93" s="124">
        <v>56</v>
      </c>
      <c r="G93" s="59"/>
      <c r="H93" s="59" t="s">
        <v>269</v>
      </c>
      <c r="M93" s="72"/>
    </row>
    <row r="94" spans="1:13" x14ac:dyDescent="0.3">
      <c r="A94" s="62" t="s">
        <v>236</v>
      </c>
      <c r="B94" s="118" t="s">
        <v>272</v>
      </c>
      <c r="C94" s="64">
        <v>10</v>
      </c>
      <c r="D94" s="116" t="s">
        <v>9</v>
      </c>
      <c r="E94" s="65" t="s">
        <v>270</v>
      </c>
      <c r="F94" s="123">
        <v>690</v>
      </c>
      <c r="H94" s="59" t="s">
        <v>271</v>
      </c>
      <c r="M94" s="66"/>
    </row>
    <row r="95" spans="1:13" x14ac:dyDescent="0.3">
      <c r="A95" s="62" t="s">
        <v>236</v>
      </c>
      <c r="B95" s="63">
        <v>357239</v>
      </c>
      <c r="C95" s="64">
        <v>10</v>
      </c>
      <c r="D95" s="116" t="s">
        <v>9</v>
      </c>
      <c r="E95" s="193" t="s">
        <v>273</v>
      </c>
      <c r="F95" s="123">
        <v>2250</v>
      </c>
      <c r="H95" s="59" t="s">
        <v>274</v>
      </c>
      <c r="M95" s="66"/>
    </row>
    <row r="96" spans="1:13" x14ac:dyDescent="0.3">
      <c r="A96" s="62" t="s">
        <v>236</v>
      </c>
      <c r="B96" s="63">
        <v>3836</v>
      </c>
      <c r="C96" s="64">
        <v>1</v>
      </c>
      <c r="D96" s="116" t="s">
        <v>7</v>
      </c>
      <c r="E96" s="65" t="s">
        <v>306</v>
      </c>
      <c r="F96" s="123">
        <v>500</v>
      </c>
      <c r="H96" s="59" t="s">
        <v>307</v>
      </c>
      <c r="M96" s="66"/>
    </row>
    <row r="97" spans="1:13" x14ac:dyDescent="0.3">
      <c r="A97" s="62" t="s">
        <v>236</v>
      </c>
      <c r="B97" s="63">
        <v>205003</v>
      </c>
      <c r="C97" s="64">
        <v>2</v>
      </c>
      <c r="D97" s="116" t="s">
        <v>9</v>
      </c>
      <c r="E97" s="192" t="s">
        <v>318</v>
      </c>
      <c r="F97" s="123">
        <v>730</v>
      </c>
      <c r="H97" s="59" t="s">
        <v>61</v>
      </c>
      <c r="M97" s="66"/>
    </row>
    <row r="98" spans="1:13" x14ac:dyDescent="0.3">
      <c r="A98" s="62" t="s">
        <v>236</v>
      </c>
      <c r="B98" s="63">
        <v>205003</v>
      </c>
      <c r="C98" s="64">
        <v>2</v>
      </c>
      <c r="D98" s="116" t="s">
        <v>9</v>
      </c>
      <c r="E98" s="220" t="s">
        <v>319</v>
      </c>
      <c r="F98" s="123">
        <v>570</v>
      </c>
      <c r="H98" s="59" t="s">
        <v>61</v>
      </c>
      <c r="M98" s="66"/>
    </row>
    <row r="99" spans="1:13" x14ac:dyDescent="0.3">
      <c r="A99" s="62" t="s">
        <v>242</v>
      </c>
      <c r="B99" s="63">
        <v>6075</v>
      </c>
      <c r="C99" s="64">
        <v>1</v>
      </c>
      <c r="D99" s="116" t="s">
        <v>9</v>
      </c>
      <c r="E99" s="220" t="s">
        <v>320</v>
      </c>
      <c r="F99" s="123">
        <v>1350</v>
      </c>
      <c r="H99" s="59" t="s">
        <v>277</v>
      </c>
      <c r="M99" s="66"/>
    </row>
    <row r="100" spans="1:13" x14ac:dyDescent="0.3">
      <c r="A100" s="62" t="s">
        <v>242</v>
      </c>
      <c r="B100" s="63" t="s">
        <v>62</v>
      </c>
      <c r="C100" s="64">
        <v>1</v>
      </c>
      <c r="D100" s="116" t="s">
        <v>7</v>
      </c>
      <c r="E100" s="195" t="s">
        <v>243</v>
      </c>
      <c r="F100" s="123">
        <v>13000</v>
      </c>
      <c r="H100" s="59" t="s">
        <v>245</v>
      </c>
      <c r="M100" s="66"/>
    </row>
    <row r="101" spans="1:13" x14ac:dyDescent="0.3">
      <c r="A101" s="62"/>
      <c r="B101" s="63"/>
      <c r="C101" s="64"/>
      <c r="D101" s="116"/>
      <c r="E101" s="195" t="s">
        <v>244</v>
      </c>
      <c r="F101" s="123"/>
      <c r="M101" s="66"/>
    </row>
    <row r="102" spans="1:13" x14ac:dyDescent="0.3">
      <c r="A102" s="62" t="s">
        <v>242</v>
      </c>
      <c r="B102" s="63">
        <v>35799</v>
      </c>
      <c r="C102" s="64">
        <v>1</v>
      </c>
      <c r="D102" s="116" t="s">
        <v>7</v>
      </c>
      <c r="E102" s="194" t="s">
        <v>246</v>
      </c>
      <c r="F102" s="123">
        <v>45900</v>
      </c>
      <c r="H102" s="59" t="s">
        <v>247</v>
      </c>
      <c r="M102" s="66"/>
    </row>
    <row r="103" spans="1:13" x14ac:dyDescent="0.3">
      <c r="A103" s="62" t="s">
        <v>242</v>
      </c>
      <c r="B103" s="63" t="s">
        <v>62</v>
      </c>
      <c r="C103" s="64">
        <v>1</v>
      </c>
      <c r="D103" s="116" t="s">
        <v>7</v>
      </c>
      <c r="E103" s="195" t="s">
        <v>240</v>
      </c>
      <c r="F103" s="123">
        <v>1700</v>
      </c>
      <c r="H103" s="59" t="s">
        <v>267</v>
      </c>
      <c r="M103" s="66"/>
    </row>
    <row r="104" spans="1:13" x14ac:dyDescent="0.3">
      <c r="A104" s="62"/>
      <c r="B104" s="63"/>
      <c r="C104" s="64"/>
      <c r="D104" s="116"/>
      <c r="E104" s="194" t="s">
        <v>266</v>
      </c>
      <c r="F104" s="123"/>
      <c r="M104" s="66"/>
    </row>
    <row r="105" spans="1:13" x14ac:dyDescent="0.3">
      <c r="A105" s="62">
        <v>45294</v>
      </c>
      <c r="B105" s="63" t="s">
        <v>130</v>
      </c>
      <c r="C105" s="64">
        <v>1</v>
      </c>
      <c r="D105" s="116" t="s">
        <v>7</v>
      </c>
      <c r="E105" s="193" t="s">
        <v>386</v>
      </c>
      <c r="F105" s="123">
        <v>180</v>
      </c>
      <c r="H105" s="59" t="s">
        <v>340</v>
      </c>
      <c r="M105" s="66"/>
    </row>
    <row r="106" spans="1:13" x14ac:dyDescent="0.3">
      <c r="A106" s="62">
        <v>45294</v>
      </c>
      <c r="B106" s="63" t="s">
        <v>130</v>
      </c>
      <c r="C106" s="64">
        <v>1</v>
      </c>
      <c r="D106" s="116" t="s">
        <v>7</v>
      </c>
      <c r="E106" s="193" t="s">
        <v>387</v>
      </c>
      <c r="F106" s="123">
        <v>180</v>
      </c>
      <c r="H106" s="59" t="s">
        <v>342</v>
      </c>
      <c r="M106" s="66"/>
    </row>
    <row r="107" spans="1:13" x14ac:dyDescent="0.3">
      <c r="A107" s="62">
        <v>45294</v>
      </c>
      <c r="B107" s="63" t="s">
        <v>130</v>
      </c>
      <c r="C107" s="64">
        <v>1</v>
      </c>
      <c r="D107" s="116" t="s">
        <v>7</v>
      </c>
      <c r="E107" s="193" t="s">
        <v>388</v>
      </c>
      <c r="F107" s="123">
        <v>180</v>
      </c>
      <c r="H107" s="59" t="s">
        <v>344</v>
      </c>
      <c r="M107" s="66"/>
    </row>
    <row r="108" spans="1:13" x14ac:dyDescent="0.3">
      <c r="A108" s="62">
        <v>45294</v>
      </c>
      <c r="B108" s="63" t="s">
        <v>130</v>
      </c>
      <c r="C108" s="64">
        <v>1</v>
      </c>
      <c r="D108" s="116" t="s">
        <v>7</v>
      </c>
      <c r="E108" s="193" t="s">
        <v>389</v>
      </c>
      <c r="F108" s="123">
        <v>180</v>
      </c>
      <c r="H108" s="59" t="s">
        <v>346</v>
      </c>
      <c r="M108" s="66"/>
    </row>
    <row r="109" spans="1:13" x14ac:dyDescent="0.3">
      <c r="A109" s="62">
        <v>45294</v>
      </c>
      <c r="B109" s="63" t="s">
        <v>130</v>
      </c>
      <c r="C109" s="64">
        <v>1</v>
      </c>
      <c r="D109" s="116" t="s">
        <v>7</v>
      </c>
      <c r="E109" s="193" t="s">
        <v>390</v>
      </c>
      <c r="F109" s="123">
        <v>180</v>
      </c>
      <c r="H109" s="59" t="s">
        <v>348</v>
      </c>
      <c r="M109" s="66"/>
    </row>
    <row r="110" spans="1:13" x14ac:dyDescent="0.3">
      <c r="A110" s="62">
        <v>45294</v>
      </c>
      <c r="B110" s="63" t="s">
        <v>130</v>
      </c>
      <c r="C110" s="64">
        <v>1</v>
      </c>
      <c r="D110" s="116" t="s">
        <v>7</v>
      </c>
      <c r="E110" s="193" t="s">
        <v>391</v>
      </c>
      <c r="F110" s="123">
        <v>180</v>
      </c>
      <c r="H110" s="59" t="s">
        <v>350</v>
      </c>
      <c r="M110" s="66"/>
    </row>
    <row r="111" spans="1:13" x14ac:dyDescent="0.3">
      <c r="A111" s="62">
        <v>45294</v>
      </c>
      <c r="B111" s="63" t="s">
        <v>130</v>
      </c>
      <c r="C111" s="64">
        <v>1</v>
      </c>
      <c r="D111" s="116" t="s">
        <v>7</v>
      </c>
      <c r="E111" s="193" t="s">
        <v>392</v>
      </c>
      <c r="F111" s="123">
        <v>180</v>
      </c>
      <c r="H111" s="59" t="s">
        <v>352</v>
      </c>
      <c r="M111" s="66"/>
    </row>
    <row r="112" spans="1:13" x14ac:dyDescent="0.3">
      <c r="A112" s="62">
        <v>45294</v>
      </c>
      <c r="B112" s="63" t="s">
        <v>130</v>
      </c>
      <c r="C112" s="64">
        <v>1</v>
      </c>
      <c r="D112" s="116" t="s">
        <v>7</v>
      </c>
      <c r="E112" s="193" t="s">
        <v>393</v>
      </c>
      <c r="F112" s="123">
        <v>180</v>
      </c>
      <c r="H112" s="59" t="s">
        <v>354</v>
      </c>
      <c r="M112" s="66"/>
    </row>
    <row r="113" spans="1:13" x14ac:dyDescent="0.3">
      <c r="A113" s="62">
        <v>45294</v>
      </c>
      <c r="B113" s="63" t="s">
        <v>362</v>
      </c>
      <c r="C113" s="64">
        <v>1</v>
      </c>
      <c r="D113" s="116" t="s">
        <v>7</v>
      </c>
      <c r="E113" s="193" t="s">
        <v>394</v>
      </c>
      <c r="F113" s="123">
        <v>180</v>
      </c>
      <c r="H113" s="59" t="s">
        <v>363</v>
      </c>
      <c r="M113" s="66"/>
    </row>
    <row r="114" spans="1:13" x14ac:dyDescent="0.3">
      <c r="A114" s="62">
        <v>45294</v>
      </c>
      <c r="B114" s="63">
        <v>2292568</v>
      </c>
      <c r="C114" s="64">
        <v>1</v>
      </c>
      <c r="D114" s="116" t="s">
        <v>7</v>
      </c>
      <c r="E114" s="193" t="s">
        <v>355</v>
      </c>
      <c r="F114" s="123">
        <v>1130</v>
      </c>
      <c r="H114" s="59" t="s">
        <v>366</v>
      </c>
      <c r="M114" s="66"/>
    </row>
    <row r="115" spans="1:13" x14ac:dyDescent="0.3">
      <c r="A115" s="62">
        <v>45294</v>
      </c>
      <c r="B115" s="63">
        <v>2290922</v>
      </c>
      <c r="C115" s="64">
        <v>1</v>
      </c>
      <c r="D115" s="116" t="s">
        <v>7</v>
      </c>
      <c r="E115" s="193" t="s">
        <v>357</v>
      </c>
      <c r="F115" s="123">
        <v>482</v>
      </c>
      <c r="H115" s="59" t="s">
        <v>366</v>
      </c>
      <c r="M115" s="66"/>
    </row>
    <row r="116" spans="1:13" x14ac:dyDescent="0.3">
      <c r="A116" s="62">
        <v>45294</v>
      </c>
      <c r="B116" s="63">
        <v>544791</v>
      </c>
      <c r="C116" s="64">
        <v>1</v>
      </c>
      <c r="D116" s="116" t="s">
        <v>7</v>
      </c>
      <c r="E116" s="193" t="s">
        <v>358</v>
      </c>
      <c r="F116" s="123">
        <v>870</v>
      </c>
      <c r="H116" s="59" t="s">
        <v>365</v>
      </c>
      <c r="M116" s="66"/>
    </row>
    <row r="117" spans="1:13" x14ac:dyDescent="0.3">
      <c r="A117" s="62">
        <v>45294</v>
      </c>
      <c r="B117" s="63">
        <v>46218946</v>
      </c>
      <c r="C117" s="64">
        <v>1</v>
      </c>
      <c r="D117" s="116" t="s">
        <v>7</v>
      </c>
      <c r="E117" s="193" t="s">
        <v>359</v>
      </c>
      <c r="F117" s="123">
        <v>930</v>
      </c>
      <c r="H117" s="59" t="s">
        <v>367</v>
      </c>
      <c r="M117" s="66"/>
    </row>
    <row r="118" spans="1:13" x14ac:dyDescent="0.3">
      <c r="A118" s="62">
        <v>45294</v>
      </c>
      <c r="B118" s="63">
        <v>46218945</v>
      </c>
      <c r="C118" s="64">
        <v>1</v>
      </c>
      <c r="D118" s="116" t="s">
        <v>7</v>
      </c>
      <c r="E118" s="193" t="s">
        <v>360</v>
      </c>
      <c r="F118" s="123">
        <v>935</v>
      </c>
      <c r="H118" s="59" t="s">
        <v>367</v>
      </c>
      <c r="M118" s="66"/>
    </row>
    <row r="119" spans="1:13" x14ac:dyDescent="0.3">
      <c r="A119" s="62">
        <v>45294</v>
      </c>
      <c r="B119" s="63">
        <v>544790</v>
      </c>
      <c r="C119" s="64">
        <v>1</v>
      </c>
      <c r="D119" s="116" t="s">
        <v>7</v>
      </c>
      <c r="E119" s="193" t="s">
        <v>364</v>
      </c>
      <c r="F119" s="123">
        <v>870</v>
      </c>
      <c r="H119" s="59" t="s">
        <v>365</v>
      </c>
      <c r="M119" s="66"/>
    </row>
    <row r="120" spans="1:13" x14ac:dyDescent="0.3">
      <c r="A120" s="62">
        <v>45294</v>
      </c>
      <c r="B120" s="63" t="s">
        <v>130</v>
      </c>
      <c r="C120" s="64">
        <v>1</v>
      </c>
      <c r="D120" s="116" t="s">
        <v>7</v>
      </c>
      <c r="E120" s="193" t="s">
        <v>345</v>
      </c>
      <c r="F120" s="123">
        <v>150</v>
      </c>
      <c r="H120" s="59" t="s">
        <v>346</v>
      </c>
      <c r="M120" s="66"/>
    </row>
    <row r="121" spans="1:13" x14ac:dyDescent="0.3">
      <c r="A121" s="62">
        <v>45294</v>
      </c>
      <c r="B121" s="63" t="s">
        <v>130</v>
      </c>
      <c r="C121" s="64">
        <v>1</v>
      </c>
      <c r="D121" s="116" t="s">
        <v>7</v>
      </c>
      <c r="E121" s="193" t="s">
        <v>347</v>
      </c>
      <c r="F121" s="123">
        <v>150</v>
      </c>
      <c r="H121" s="59" t="s">
        <v>348</v>
      </c>
      <c r="M121" s="66"/>
    </row>
    <row r="122" spans="1:13" x14ac:dyDescent="0.3">
      <c r="A122" s="62">
        <v>45294</v>
      </c>
      <c r="B122" s="63" t="s">
        <v>130</v>
      </c>
      <c r="C122" s="64">
        <v>1</v>
      </c>
      <c r="D122" s="116" t="s">
        <v>7</v>
      </c>
      <c r="E122" s="193" t="s">
        <v>349</v>
      </c>
      <c r="F122" s="123">
        <v>150</v>
      </c>
      <c r="H122" s="59" t="s">
        <v>350</v>
      </c>
      <c r="M122" s="66"/>
    </row>
    <row r="123" spans="1:13" x14ac:dyDescent="0.3">
      <c r="A123" s="62">
        <v>45294</v>
      </c>
      <c r="B123" s="63" t="s">
        <v>130</v>
      </c>
      <c r="C123" s="64">
        <v>1</v>
      </c>
      <c r="D123" s="116" t="s">
        <v>7</v>
      </c>
      <c r="E123" s="193" t="s">
        <v>351</v>
      </c>
      <c r="F123" s="123">
        <v>150</v>
      </c>
      <c r="H123" s="59" t="s">
        <v>352</v>
      </c>
      <c r="M123" s="66"/>
    </row>
    <row r="124" spans="1:13" x14ac:dyDescent="0.3">
      <c r="A124" s="62">
        <v>45294</v>
      </c>
      <c r="B124" s="63" t="s">
        <v>362</v>
      </c>
      <c r="C124" s="64">
        <v>1</v>
      </c>
      <c r="D124" s="116" t="s">
        <v>7</v>
      </c>
      <c r="E124" s="193" t="s">
        <v>480</v>
      </c>
      <c r="F124" s="123">
        <v>150</v>
      </c>
      <c r="H124" s="59" t="s">
        <v>363</v>
      </c>
      <c r="M124" s="66"/>
    </row>
    <row r="125" spans="1:13" x14ac:dyDescent="0.3">
      <c r="A125" s="62">
        <v>45294</v>
      </c>
      <c r="B125" s="118" t="s">
        <v>281</v>
      </c>
      <c r="C125" s="64">
        <v>10</v>
      </c>
      <c r="D125" s="116" t="s">
        <v>9</v>
      </c>
      <c r="E125" s="219" t="s">
        <v>278</v>
      </c>
      <c r="F125" s="123">
        <v>55</v>
      </c>
      <c r="H125" s="59" t="s">
        <v>283</v>
      </c>
      <c r="M125" s="66"/>
    </row>
    <row r="126" spans="1:13" x14ac:dyDescent="0.3">
      <c r="A126" s="62">
        <v>45294</v>
      </c>
      <c r="B126" s="118" t="s">
        <v>282</v>
      </c>
      <c r="C126" s="64">
        <v>2</v>
      </c>
      <c r="D126" s="116" t="s">
        <v>9</v>
      </c>
      <c r="E126" s="220" t="s">
        <v>270</v>
      </c>
      <c r="F126" s="123">
        <v>138</v>
      </c>
      <c r="H126" s="59" t="s">
        <v>271</v>
      </c>
      <c r="M126" s="66"/>
    </row>
    <row r="127" spans="1:13" x14ac:dyDescent="0.3">
      <c r="A127" s="62">
        <v>45294</v>
      </c>
      <c r="B127" s="63">
        <v>205006</v>
      </c>
      <c r="C127" s="64">
        <v>1</v>
      </c>
      <c r="D127" s="116" t="s">
        <v>229</v>
      </c>
      <c r="E127" s="192" t="s">
        <v>279</v>
      </c>
      <c r="F127" s="123">
        <v>635</v>
      </c>
      <c r="H127" s="59" t="s">
        <v>61</v>
      </c>
      <c r="M127" s="66"/>
    </row>
    <row r="128" spans="1:13" x14ac:dyDescent="0.3">
      <c r="A128" s="62">
        <v>45294</v>
      </c>
      <c r="B128" s="63">
        <v>205006</v>
      </c>
      <c r="C128" s="64">
        <v>1</v>
      </c>
      <c r="D128" s="116" t="s">
        <v>9</v>
      </c>
      <c r="E128" s="192" t="s">
        <v>280</v>
      </c>
      <c r="F128" s="123">
        <v>150</v>
      </c>
      <c r="H128" s="59" t="s">
        <v>61</v>
      </c>
      <c r="M128" s="66"/>
    </row>
    <row r="129" spans="1:13" x14ac:dyDescent="0.3">
      <c r="A129" s="62">
        <v>45294</v>
      </c>
      <c r="B129" s="63">
        <v>279514</v>
      </c>
      <c r="C129" s="64">
        <v>1</v>
      </c>
      <c r="D129" s="116" t="s">
        <v>7</v>
      </c>
      <c r="E129" s="217" t="s">
        <v>308</v>
      </c>
      <c r="F129" s="123">
        <v>6271.01</v>
      </c>
      <c r="H129" s="59" t="s">
        <v>314</v>
      </c>
      <c r="M129" s="66"/>
    </row>
    <row r="130" spans="1:13" x14ac:dyDescent="0.3">
      <c r="A130" s="62"/>
      <c r="B130" s="63"/>
      <c r="C130" s="64"/>
      <c r="D130" s="116"/>
      <c r="E130" s="223" t="s">
        <v>309</v>
      </c>
      <c r="F130" s="123"/>
      <c r="M130" s="66"/>
    </row>
    <row r="131" spans="1:13" x14ac:dyDescent="0.3">
      <c r="A131" s="62"/>
      <c r="B131" s="63"/>
      <c r="C131" s="64"/>
      <c r="D131" s="116"/>
      <c r="E131" s="221" t="s">
        <v>310</v>
      </c>
      <c r="F131" s="123"/>
      <c r="M131" s="66"/>
    </row>
    <row r="132" spans="1:13" x14ac:dyDescent="0.3">
      <c r="A132" s="62">
        <v>45294</v>
      </c>
      <c r="B132" s="63">
        <v>279514</v>
      </c>
      <c r="C132" s="64">
        <v>1</v>
      </c>
      <c r="D132" s="116" t="s">
        <v>7</v>
      </c>
      <c r="E132" s="217" t="s">
        <v>308</v>
      </c>
      <c r="F132" s="123">
        <v>1240</v>
      </c>
      <c r="H132" s="59" t="s">
        <v>313</v>
      </c>
      <c r="M132" s="66"/>
    </row>
    <row r="133" spans="1:13" x14ac:dyDescent="0.3">
      <c r="A133" s="62"/>
      <c r="B133" s="63"/>
      <c r="C133" s="64"/>
      <c r="D133" s="116"/>
      <c r="E133" s="223" t="s">
        <v>309</v>
      </c>
      <c r="F133" s="123"/>
      <c r="M133" s="66"/>
    </row>
    <row r="134" spans="1:13" x14ac:dyDescent="0.3">
      <c r="A134" s="62"/>
      <c r="B134" s="63"/>
      <c r="C134" s="64"/>
      <c r="D134" s="116"/>
      <c r="E134" s="221" t="s">
        <v>310</v>
      </c>
      <c r="F134" s="123"/>
      <c r="M134" s="66"/>
    </row>
    <row r="135" spans="1:13" x14ac:dyDescent="0.3">
      <c r="A135" s="62">
        <v>45294</v>
      </c>
      <c r="B135" s="63">
        <v>7</v>
      </c>
      <c r="C135" s="64">
        <v>1</v>
      </c>
      <c r="D135" s="116" t="s">
        <v>7</v>
      </c>
      <c r="E135" s="217" t="s">
        <v>308</v>
      </c>
      <c r="F135" s="123">
        <v>5000</v>
      </c>
      <c r="H135" s="59" t="s">
        <v>478</v>
      </c>
      <c r="M135" s="66"/>
    </row>
    <row r="136" spans="1:13" x14ac:dyDescent="0.3">
      <c r="A136" s="62"/>
      <c r="B136" s="63"/>
      <c r="C136" s="64"/>
      <c r="D136" s="116"/>
      <c r="E136" s="223" t="s">
        <v>309</v>
      </c>
      <c r="F136" s="123"/>
      <c r="H136" s="59" t="s">
        <v>479</v>
      </c>
      <c r="M136" s="66"/>
    </row>
    <row r="137" spans="1:13" x14ac:dyDescent="0.3">
      <c r="A137" s="62"/>
      <c r="B137" s="63"/>
      <c r="C137" s="64"/>
      <c r="D137" s="116"/>
      <c r="E137" s="221" t="s">
        <v>310</v>
      </c>
      <c r="F137" s="123"/>
      <c r="M137" s="66"/>
    </row>
    <row r="138" spans="1:13" x14ac:dyDescent="0.3">
      <c r="A138" s="62">
        <v>45325</v>
      </c>
      <c r="B138" s="63" t="s">
        <v>130</v>
      </c>
      <c r="C138" s="64">
        <v>1</v>
      </c>
      <c r="D138" s="116" t="s">
        <v>7</v>
      </c>
      <c r="E138" s="193" t="s">
        <v>343</v>
      </c>
      <c r="F138" s="123">
        <v>150</v>
      </c>
      <c r="H138" s="59" t="s">
        <v>344</v>
      </c>
      <c r="M138" s="66"/>
    </row>
    <row r="139" spans="1:13" x14ac:dyDescent="0.3">
      <c r="A139" s="62">
        <v>45325</v>
      </c>
      <c r="B139" s="63" t="s">
        <v>130</v>
      </c>
      <c r="C139" s="64">
        <v>1</v>
      </c>
      <c r="D139" s="116" t="s">
        <v>7</v>
      </c>
      <c r="E139" s="193" t="s">
        <v>353</v>
      </c>
      <c r="F139" s="123">
        <v>150</v>
      </c>
      <c r="H139" s="59" t="s">
        <v>354</v>
      </c>
      <c r="M139" s="66"/>
    </row>
    <row r="140" spans="1:13" x14ac:dyDescent="0.3">
      <c r="A140" s="62">
        <v>45325</v>
      </c>
      <c r="B140" s="118" t="s">
        <v>395</v>
      </c>
      <c r="C140" s="64">
        <v>1</v>
      </c>
      <c r="D140" s="116" t="s">
        <v>7</v>
      </c>
      <c r="E140" s="193" t="s">
        <v>356</v>
      </c>
      <c r="F140" s="123">
        <v>1550</v>
      </c>
      <c r="H140" s="59" t="s">
        <v>396</v>
      </c>
      <c r="M140" s="66"/>
    </row>
    <row r="141" spans="1:13" x14ac:dyDescent="0.3">
      <c r="A141" s="62">
        <v>45325</v>
      </c>
      <c r="B141" s="118" t="s">
        <v>397</v>
      </c>
      <c r="C141" s="64">
        <v>1</v>
      </c>
      <c r="D141" s="116" t="s">
        <v>7</v>
      </c>
      <c r="E141" s="193" t="s">
        <v>361</v>
      </c>
      <c r="F141" s="123">
        <v>1500</v>
      </c>
      <c r="H141" s="59" t="s">
        <v>398</v>
      </c>
      <c r="M141" s="66"/>
    </row>
    <row r="142" spans="1:13" x14ac:dyDescent="0.3">
      <c r="A142" s="62">
        <v>45325</v>
      </c>
      <c r="B142" s="63">
        <v>54101</v>
      </c>
      <c r="C142" s="64">
        <v>1</v>
      </c>
      <c r="D142" s="116" t="s">
        <v>7</v>
      </c>
      <c r="E142" s="217" t="s">
        <v>308</v>
      </c>
      <c r="F142" s="123">
        <v>717</v>
      </c>
      <c r="H142" s="59" t="s">
        <v>317</v>
      </c>
      <c r="M142" s="66"/>
    </row>
    <row r="143" spans="1:13" x14ac:dyDescent="0.3">
      <c r="A143" s="117"/>
      <c r="B143" s="68"/>
      <c r="C143" s="69"/>
      <c r="D143" s="70"/>
      <c r="E143" s="223" t="s">
        <v>311</v>
      </c>
      <c r="F143" s="124"/>
      <c r="G143" s="59"/>
      <c r="M143" s="72"/>
    </row>
    <row r="144" spans="1:13" x14ac:dyDescent="0.3">
      <c r="A144" s="62"/>
      <c r="B144" s="63"/>
      <c r="C144" s="64"/>
      <c r="D144" s="116"/>
      <c r="E144" s="221" t="s">
        <v>312</v>
      </c>
      <c r="F144" s="123"/>
      <c r="M144" s="66"/>
    </row>
    <row r="145" spans="1:13" x14ac:dyDescent="0.3">
      <c r="A145" s="62">
        <v>45325</v>
      </c>
      <c r="B145" s="63">
        <v>54101</v>
      </c>
      <c r="C145" s="64">
        <v>1</v>
      </c>
      <c r="D145" s="116" t="s">
        <v>7</v>
      </c>
      <c r="E145" s="217" t="s">
        <v>308</v>
      </c>
      <c r="F145" s="123">
        <v>238</v>
      </c>
      <c r="H145" s="59" t="s">
        <v>315</v>
      </c>
      <c r="M145" s="66"/>
    </row>
    <row r="146" spans="1:13" x14ac:dyDescent="0.3">
      <c r="A146" s="117"/>
      <c r="B146" s="68"/>
      <c r="C146" s="69"/>
      <c r="D146" s="70"/>
      <c r="E146" s="223" t="s">
        <v>311</v>
      </c>
      <c r="F146" s="124"/>
      <c r="G146" s="59"/>
      <c r="M146" s="72"/>
    </row>
    <row r="147" spans="1:13" x14ac:dyDescent="0.3">
      <c r="A147" s="62"/>
      <c r="B147" s="63"/>
      <c r="C147" s="64"/>
      <c r="D147" s="116"/>
      <c r="E147" s="221" t="s">
        <v>312</v>
      </c>
      <c r="F147" s="123"/>
      <c r="M147" s="66"/>
    </row>
    <row r="148" spans="1:13" x14ac:dyDescent="0.3">
      <c r="A148" s="62">
        <v>45325</v>
      </c>
      <c r="B148" s="63">
        <v>54101</v>
      </c>
      <c r="C148" s="64">
        <v>1</v>
      </c>
      <c r="D148" s="116" t="s">
        <v>7</v>
      </c>
      <c r="E148" s="217" t="s">
        <v>308</v>
      </c>
      <c r="F148" s="123">
        <v>362</v>
      </c>
      <c r="H148" s="59" t="s">
        <v>316</v>
      </c>
      <c r="M148" s="66"/>
    </row>
    <row r="149" spans="1:13" x14ac:dyDescent="0.3">
      <c r="A149" s="117"/>
      <c r="B149" s="68"/>
      <c r="C149" s="69"/>
      <c r="D149" s="70"/>
      <c r="E149" s="223" t="s">
        <v>311</v>
      </c>
      <c r="F149" s="124"/>
      <c r="G149" s="59"/>
      <c r="M149" s="72"/>
    </row>
    <row r="150" spans="1:13" x14ac:dyDescent="0.3">
      <c r="A150" s="62"/>
      <c r="B150" s="63"/>
      <c r="C150" s="64"/>
      <c r="D150" s="116"/>
      <c r="E150" s="221" t="s">
        <v>312</v>
      </c>
      <c r="F150" s="123"/>
      <c r="M150" s="66"/>
    </row>
    <row r="151" spans="1:13" x14ac:dyDescent="0.3">
      <c r="A151" s="62">
        <v>45385</v>
      </c>
      <c r="B151" s="63" t="s">
        <v>62</v>
      </c>
      <c r="C151" s="64">
        <v>1</v>
      </c>
      <c r="D151" s="116" t="s">
        <v>7</v>
      </c>
      <c r="E151" s="192" t="s">
        <v>235</v>
      </c>
      <c r="F151" s="123">
        <v>5000</v>
      </c>
      <c r="M151" s="66"/>
    </row>
    <row r="152" spans="1:13" x14ac:dyDescent="0.3">
      <c r="A152" s="62">
        <v>45385</v>
      </c>
      <c r="B152" s="118" t="s">
        <v>290</v>
      </c>
      <c r="C152" s="64">
        <v>5</v>
      </c>
      <c r="D152" s="116" t="s">
        <v>7</v>
      </c>
      <c r="E152" s="65" t="s">
        <v>292</v>
      </c>
      <c r="F152" s="123">
        <v>16500</v>
      </c>
      <c r="H152" s="59" t="s">
        <v>291</v>
      </c>
      <c r="M152" s="66"/>
    </row>
    <row r="153" spans="1:13" x14ac:dyDescent="0.3">
      <c r="A153" s="62">
        <v>45385</v>
      </c>
      <c r="B153" s="63" t="s">
        <v>62</v>
      </c>
      <c r="C153" s="64">
        <v>1</v>
      </c>
      <c r="D153" s="116" t="s">
        <v>7</v>
      </c>
      <c r="E153" s="193" t="s">
        <v>326</v>
      </c>
      <c r="F153" s="123">
        <v>2550</v>
      </c>
      <c r="H153" s="59" t="s">
        <v>328</v>
      </c>
      <c r="M153" s="66"/>
    </row>
    <row r="154" spans="1:13" x14ac:dyDescent="0.3">
      <c r="A154" s="62"/>
      <c r="B154" s="63"/>
      <c r="C154" s="64"/>
      <c r="D154" s="116"/>
      <c r="E154" s="65" t="s">
        <v>327</v>
      </c>
      <c r="F154" s="123"/>
      <c r="M154" s="66"/>
    </row>
    <row r="155" spans="1:13" x14ac:dyDescent="0.3">
      <c r="A155" s="62">
        <v>45385</v>
      </c>
      <c r="B155" s="63">
        <v>216</v>
      </c>
      <c r="C155" s="64">
        <v>10</v>
      </c>
      <c r="D155" s="116" t="s">
        <v>333</v>
      </c>
      <c r="E155" s="65" t="s">
        <v>334</v>
      </c>
      <c r="F155" s="123">
        <v>7800</v>
      </c>
      <c r="H155" s="59" t="s">
        <v>332</v>
      </c>
      <c r="M155" s="66"/>
    </row>
    <row r="156" spans="1:13" x14ac:dyDescent="0.3">
      <c r="A156" s="62">
        <v>45415</v>
      </c>
      <c r="B156" s="63">
        <v>38628</v>
      </c>
      <c r="C156" s="64">
        <v>1</v>
      </c>
      <c r="D156" s="116" t="s">
        <v>7</v>
      </c>
      <c r="E156" s="193" t="s">
        <v>321</v>
      </c>
      <c r="F156" s="123">
        <v>430</v>
      </c>
      <c r="H156" s="59" t="s">
        <v>322</v>
      </c>
      <c r="M156" s="66"/>
    </row>
    <row r="157" spans="1:13" x14ac:dyDescent="0.3">
      <c r="A157" s="62">
        <v>45507</v>
      </c>
      <c r="B157" s="63" t="s">
        <v>62</v>
      </c>
      <c r="C157" s="64">
        <v>1</v>
      </c>
      <c r="D157" s="116" t="s">
        <v>7</v>
      </c>
      <c r="E157" s="65" t="s">
        <v>263</v>
      </c>
      <c r="F157" s="123">
        <v>1500</v>
      </c>
      <c r="H157" s="59" t="s">
        <v>265</v>
      </c>
      <c r="M157" s="66"/>
    </row>
    <row r="158" spans="1:13" x14ac:dyDescent="0.3">
      <c r="A158" s="62"/>
      <c r="B158" s="63"/>
      <c r="C158" s="64"/>
      <c r="D158" s="116"/>
      <c r="E158" s="65" t="s">
        <v>264</v>
      </c>
      <c r="F158" s="123"/>
      <c r="M158" s="66"/>
    </row>
    <row r="159" spans="1:13" x14ac:dyDescent="0.3">
      <c r="A159" s="62"/>
      <c r="B159" s="63"/>
      <c r="C159" s="418">
        <v>1</v>
      </c>
      <c r="D159" s="419" t="s">
        <v>7</v>
      </c>
      <c r="E159" s="420" t="s">
        <v>500</v>
      </c>
      <c r="F159" s="421">
        <v>1500</v>
      </c>
      <c r="M159" s="66"/>
    </row>
    <row r="160" spans="1:13" x14ac:dyDescent="0.3">
      <c r="A160" s="62"/>
      <c r="B160" s="63"/>
      <c r="C160" s="64"/>
      <c r="D160" s="116"/>
      <c r="E160" s="193"/>
      <c r="F160" s="123"/>
      <c r="M160" s="66"/>
    </row>
    <row r="161" spans="1:13" x14ac:dyDescent="0.3">
      <c r="A161" s="62"/>
      <c r="B161" s="63"/>
      <c r="C161" s="64"/>
      <c r="D161" s="116"/>
      <c r="E161" s="193"/>
      <c r="F161" s="123"/>
      <c r="M161" s="66"/>
    </row>
    <row r="162" spans="1:13" x14ac:dyDescent="0.3">
      <c r="A162" s="117"/>
      <c r="B162" s="68"/>
      <c r="C162" s="69"/>
      <c r="D162" s="70"/>
      <c r="E162" s="119"/>
      <c r="F162" s="124"/>
      <c r="G162" s="59"/>
      <c r="M162" s="72"/>
    </row>
    <row r="163" spans="1:13" ht="14.4" x14ac:dyDescent="0.3">
      <c r="A163" s="73"/>
      <c r="B163" s="74"/>
      <c r="C163" s="75"/>
      <c r="D163" s="76"/>
      <c r="E163" s="77" t="s">
        <v>10</v>
      </c>
      <c r="F163" s="141">
        <f>SUM(F5:F162)</f>
        <v>292314.56</v>
      </c>
      <c r="G163" s="5"/>
      <c r="H163" s="85"/>
      <c r="I163" s="121">
        <v>300000</v>
      </c>
      <c r="J163" s="121">
        <f>I163-F163</f>
        <v>7685.4400000000023</v>
      </c>
      <c r="M163" s="6"/>
    </row>
    <row r="164" spans="1:13" ht="14.4" x14ac:dyDescent="0.3">
      <c r="A164" s="78"/>
      <c r="B164" s="79"/>
      <c r="C164" s="80"/>
      <c r="D164" s="81"/>
      <c r="E164" s="72"/>
      <c r="F164" s="142"/>
      <c r="G164" s="5"/>
      <c r="H164" s="85"/>
      <c r="J164" s="125"/>
      <c r="M164" s="6"/>
    </row>
    <row r="165" spans="1:13" x14ac:dyDescent="0.3">
      <c r="A165" s="258" t="s">
        <v>8</v>
      </c>
      <c r="B165" s="258"/>
      <c r="C165" s="258"/>
      <c r="D165" s="258"/>
      <c r="E165" s="258"/>
      <c r="F165" s="258"/>
      <c r="J165" s="115"/>
    </row>
    <row r="166" spans="1:13" x14ac:dyDescent="0.3">
      <c r="A166" s="82"/>
      <c r="B166" s="82"/>
      <c r="C166" s="82"/>
      <c r="D166" s="82"/>
      <c r="E166" s="82"/>
      <c r="F166" s="82"/>
    </row>
    <row r="167" spans="1:13" x14ac:dyDescent="0.3">
      <c r="A167" s="8" t="s">
        <v>11</v>
      </c>
      <c r="C167" s="83"/>
      <c r="D167" s="83"/>
      <c r="E167" s="84"/>
      <c r="F167" s="85"/>
    </row>
    <row r="168" spans="1:13" x14ac:dyDescent="0.3">
      <c r="A168" s="8" t="s">
        <v>501</v>
      </c>
      <c r="B168" s="59"/>
      <c r="C168" s="59"/>
      <c r="D168" s="59"/>
      <c r="E168" s="59"/>
      <c r="F168" s="59"/>
    </row>
    <row r="169" spans="1:13" x14ac:dyDescent="0.3">
      <c r="A169" s="86"/>
      <c r="B169" s="59"/>
      <c r="C169" s="59"/>
      <c r="D169" s="59"/>
      <c r="E169" s="59"/>
      <c r="F169" s="59"/>
    </row>
    <row r="170" spans="1:13" x14ac:dyDescent="0.3">
      <c r="A170" s="86"/>
      <c r="B170" s="59"/>
      <c r="C170" s="59"/>
      <c r="D170" s="59"/>
      <c r="E170" s="59"/>
      <c r="F170" s="59"/>
    </row>
    <row r="171" spans="1:13" s="59" customFormat="1" x14ac:dyDescent="0.3">
      <c r="A171" s="72"/>
      <c r="B171" s="61"/>
      <c r="C171" s="61"/>
      <c r="F171" s="61"/>
    </row>
    <row r="172" spans="1:13" s="59" customFormat="1" x14ac:dyDescent="0.3">
      <c r="B172" s="61"/>
      <c r="C172" s="61"/>
      <c r="D172" s="61"/>
      <c r="E172" s="82"/>
      <c r="F172" s="81"/>
    </row>
    <row r="173" spans="1:13" s="59" customFormat="1" x14ac:dyDescent="0.3">
      <c r="A173" s="72"/>
      <c r="B173" s="61"/>
      <c r="C173" s="61"/>
      <c r="D173" s="61"/>
      <c r="E173" s="81"/>
      <c r="F173" s="81"/>
    </row>
    <row r="183" spans="11:11" x14ac:dyDescent="0.3">
      <c r="K183" s="121"/>
    </row>
    <row r="184" spans="11:11" x14ac:dyDescent="0.3">
      <c r="K184" s="121"/>
    </row>
    <row r="185" spans="11:11" x14ac:dyDescent="0.3">
      <c r="K185" s="121"/>
    </row>
  </sheetData>
  <mergeCells count="1">
    <mergeCell ref="A165:F165"/>
  </mergeCells>
  <phoneticPr fontId="30" type="noConversion"/>
  <printOptions horizontalCentered="1"/>
  <pageMargins left="0.39370078740157483" right="0.39370078740157483" top="0.39370078740157483" bottom="0.39370078740157483" header="0.9055118110236221" footer="0.27559055118110237"/>
  <pageSetup paperSize="9" scale="84" orientation="portrait" r:id="rId1"/>
  <headerFooter alignWithMargins="0"/>
  <rowBreaks count="2" manualBreakCount="2">
    <brk id="141" max="5" man="1"/>
    <brk id="173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C5A-2BFE-4DFB-AFB2-7F950DC940D7}">
  <dimension ref="A1:R144"/>
  <sheetViews>
    <sheetView view="pageBreakPreview" topLeftCell="A121" zoomScale="115" zoomScaleNormal="100" zoomScaleSheetLayoutView="115" workbookViewId="0">
      <selection activeCell="L140" sqref="L140"/>
    </sheetView>
  </sheetViews>
  <sheetFormatPr defaultColWidth="9.109375" defaultRowHeight="14.4" x14ac:dyDescent="0.3"/>
  <cols>
    <col min="1" max="1" width="11.109375" style="88" customWidth="1"/>
    <col min="2" max="2" width="13" style="88" customWidth="1"/>
    <col min="3" max="3" width="10.88671875" style="88" customWidth="1"/>
    <col min="4" max="4" width="24.44140625" style="88" customWidth="1"/>
    <col min="5" max="5" width="12.44140625" style="88" customWidth="1"/>
    <col min="6" max="6" width="33.88671875" style="88" customWidth="1"/>
    <col min="7" max="7" width="11.6640625" style="88" customWidth="1"/>
    <col min="8" max="8" width="14" style="88" customWidth="1"/>
    <col min="9" max="9" width="11.21875" style="88" customWidth="1"/>
    <col min="10" max="10" width="2.33203125" style="88" customWidth="1"/>
    <col min="11" max="16384" width="9.109375" style="88"/>
  </cols>
  <sheetData>
    <row r="1" spans="1:15" ht="22.5" customHeight="1" x14ac:dyDescent="0.3">
      <c r="A1" s="87"/>
      <c r="B1" s="87"/>
      <c r="C1" s="87"/>
      <c r="D1" s="87"/>
      <c r="E1" s="87"/>
      <c r="F1" s="87"/>
      <c r="G1" s="87"/>
      <c r="H1" s="281" t="s">
        <v>27</v>
      </c>
      <c r="I1" s="281"/>
    </row>
    <row r="2" spans="1:15" ht="15.75" customHeight="1" x14ac:dyDescent="0.3">
      <c r="A2" s="87"/>
      <c r="B2" s="87"/>
      <c r="C2" s="87"/>
      <c r="D2" s="87"/>
      <c r="E2" s="87"/>
      <c r="F2" s="87"/>
      <c r="G2" s="87"/>
      <c r="H2" s="89"/>
      <c r="I2" s="89"/>
    </row>
    <row r="3" spans="1:15" ht="15.75" customHeight="1" x14ac:dyDescent="0.35">
      <c r="A3" s="87"/>
      <c r="B3" s="87"/>
      <c r="C3" s="87"/>
      <c r="D3" s="87"/>
      <c r="E3" s="87"/>
      <c r="F3" s="87"/>
      <c r="G3" s="87"/>
      <c r="H3" s="90"/>
      <c r="I3" s="90"/>
    </row>
    <row r="4" spans="1:15" ht="17.399999999999999" x14ac:dyDescent="0.3">
      <c r="A4" s="282" t="s">
        <v>28</v>
      </c>
      <c r="B4" s="282"/>
      <c r="C4" s="282"/>
      <c r="D4" s="282"/>
      <c r="E4" s="282"/>
      <c r="F4" s="282"/>
      <c r="G4" s="282"/>
      <c r="H4" s="282"/>
      <c r="I4" s="282"/>
    </row>
    <row r="5" spans="1:15" ht="15.75" customHeight="1" x14ac:dyDescent="0.3">
      <c r="A5" s="91"/>
      <c r="B5" s="91"/>
      <c r="C5" s="91"/>
      <c r="D5" s="91"/>
      <c r="E5" s="91"/>
      <c r="F5" s="91"/>
      <c r="G5" s="91"/>
      <c r="H5" s="91"/>
      <c r="I5" s="91"/>
    </row>
    <row r="6" spans="1:15" ht="15.75" customHeight="1" x14ac:dyDescent="0.3">
      <c r="A6" s="92"/>
      <c r="B6" s="93"/>
      <c r="C6" s="93"/>
      <c r="D6" s="93"/>
      <c r="E6" s="93"/>
      <c r="F6" s="93"/>
      <c r="G6" s="93"/>
      <c r="H6" s="93"/>
      <c r="I6" s="93"/>
    </row>
    <row r="7" spans="1:15" x14ac:dyDescent="0.3">
      <c r="A7" s="94" t="s">
        <v>60</v>
      </c>
      <c r="B7" s="95"/>
      <c r="C7" s="95"/>
      <c r="D7" s="93"/>
      <c r="E7" s="93"/>
      <c r="F7" s="93"/>
      <c r="G7" s="93"/>
      <c r="H7" s="93"/>
      <c r="I7" s="93"/>
    </row>
    <row r="8" spans="1:15" x14ac:dyDescent="0.3">
      <c r="A8" s="94" t="s">
        <v>111</v>
      </c>
      <c r="B8" s="95"/>
      <c r="C8" s="95"/>
      <c r="D8" s="87"/>
      <c r="E8" s="87"/>
      <c r="F8" s="87"/>
      <c r="G8" s="283" t="s">
        <v>29</v>
      </c>
      <c r="H8" s="283"/>
      <c r="I8" s="283"/>
    </row>
    <row r="9" spans="1:15" ht="9.75" customHeight="1" x14ac:dyDescent="0.3">
      <c r="A9" s="87"/>
      <c r="B9" s="87"/>
      <c r="C9" s="87"/>
      <c r="D9" s="87"/>
      <c r="E9" s="87"/>
      <c r="F9" s="87"/>
      <c r="G9" s="87"/>
      <c r="H9" s="87"/>
      <c r="I9" s="87"/>
    </row>
    <row r="10" spans="1:15" ht="30" customHeight="1" x14ac:dyDescent="0.3">
      <c r="A10" s="284" t="s">
        <v>12</v>
      </c>
      <c r="B10" s="285"/>
      <c r="C10" s="285"/>
      <c r="D10" s="284" t="s">
        <v>64</v>
      </c>
      <c r="E10" s="286"/>
      <c r="F10" s="286"/>
      <c r="G10" s="286"/>
      <c r="H10" s="284" t="s">
        <v>38</v>
      </c>
      <c r="I10" s="287"/>
    </row>
    <row r="11" spans="1:15" s="96" customFormat="1" ht="24" customHeight="1" x14ac:dyDescent="0.25">
      <c r="A11" s="288" t="s">
        <v>30</v>
      </c>
      <c r="B11" s="289"/>
      <c r="C11" s="289"/>
      <c r="D11" s="288" t="s">
        <v>26</v>
      </c>
      <c r="E11" s="289"/>
      <c r="F11" s="289"/>
      <c r="G11" s="289"/>
      <c r="H11" s="288" t="s">
        <v>31</v>
      </c>
      <c r="I11" s="290"/>
    </row>
    <row r="12" spans="1:15" s="97" customFormat="1" ht="40.5" customHeight="1" x14ac:dyDescent="0.3">
      <c r="A12" s="261" t="s">
        <v>1</v>
      </c>
      <c r="B12" s="263" t="s">
        <v>32</v>
      </c>
      <c r="C12" s="261" t="s">
        <v>20</v>
      </c>
      <c r="D12" s="261"/>
      <c r="E12" s="265" t="s">
        <v>33</v>
      </c>
      <c r="F12" s="261" t="s">
        <v>22</v>
      </c>
      <c r="G12" s="267" t="s">
        <v>34</v>
      </c>
      <c r="H12" s="261" t="s">
        <v>35</v>
      </c>
      <c r="I12" s="265" t="s">
        <v>36</v>
      </c>
    </row>
    <row r="13" spans="1:15" s="97" customFormat="1" ht="40.5" customHeight="1" x14ac:dyDescent="0.3">
      <c r="A13" s="262"/>
      <c r="B13" s="264"/>
      <c r="C13" s="262"/>
      <c r="D13" s="262"/>
      <c r="E13" s="266"/>
      <c r="F13" s="262"/>
      <c r="G13" s="268"/>
      <c r="H13" s="262"/>
      <c r="I13" s="266"/>
    </row>
    <row r="14" spans="1:15" x14ac:dyDescent="0.3">
      <c r="A14" s="98"/>
      <c r="B14" s="99"/>
      <c r="C14" s="276"/>
      <c r="D14" s="276"/>
      <c r="E14" s="100"/>
      <c r="F14" s="122"/>
      <c r="G14" s="101"/>
      <c r="H14" s="102"/>
      <c r="I14" s="102"/>
      <c r="N14" s="97"/>
      <c r="O14" s="97"/>
    </row>
    <row r="15" spans="1:15" x14ac:dyDescent="0.3">
      <c r="A15" s="98"/>
      <c r="B15" s="99"/>
      <c r="C15" s="277" t="s">
        <v>65</v>
      </c>
      <c r="D15" s="277"/>
      <c r="E15" s="112"/>
      <c r="F15" s="103"/>
      <c r="G15" s="101">
        <v>180600</v>
      </c>
      <c r="H15" s="102"/>
      <c r="I15" s="101">
        <v>180600</v>
      </c>
      <c r="N15" s="97"/>
      <c r="O15" s="97"/>
    </row>
    <row r="16" spans="1:15" x14ac:dyDescent="0.3">
      <c r="A16" s="98"/>
      <c r="B16" s="99"/>
      <c r="C16" s="278"/>
      <c r="D16" s="279"/>
      <c r="E16" s="112"/>
      <c r="F16" s="103"/>
      <c r="G16" s="101"/>
      <c r="H16" s="102"/>
      <c r="I16" s="102"/>
      <c r="N16" s="97"/>
      <c r="O16" s="97"/>
    </row>
    <row r="17" spans="1:15" x14ac:dyDescent="0.3">
      <c r="A17" s="126" t="s">
        <v>162</v>
      </c>
      <c r="B17" s="118" t="s">
        <v>163</v>
      </c>
      <c r="C17" s="259" t="s">
        <v>164</v>
      </c>
      <c r="D17" s="259"/>
      <c r="E17" s="112"/>
      <c r="F17" s="215" t="s">
        <v>161</v>
      </c>
      <c r="G17" s="101"/>
      <c r="H17" s="123">
        <v>239</v>
      </c>
      <c r="I17" s="101">
        <f>I15-H17</f>
        <v>180361</v>
      </c>
      <c r="N17" s="97"/>
      <c r="O17" s="97"/>
    </row>
    <row r="18" spans="1:15" x14ac:dyDescent="0.3">
      <c r="A18" s="126" t="s">
        <v>162</v>
      </c>
      <c r="B18" s="118" t="s">
        <v>163</v>
      </c>
      <c r="C18" s="259" t="s">
        <v>164</v>
      </c>
      <c r="D18" s="259"/>
      <c r="E18" s="112"/>
      <c r="F18" s="211" t="s">
        <v>161</v>
      </c>
      <c r="G18" s="101"/>
      <c r="H18" s="123">
        <v>583</v>
      </c>
      <c r="I18" s="101">
        <f>I17-H18</f>
        <v>179778</v>
      </c>
      <c r="N18" s="97"/>
      <c r="O18" s="97"/>
    </row>
    <row r="19" spans="1:15" x14ac:dyDescent="0.3">
      <c r="A19" s="126" t="s">
        <v>162</v>
      </c>
      <c r="B19" s="118" t="s">
        <v>163</v>
      </c>
      <c r="C19" s="259" t="s">
        <v>164</v>
      </c>
      <c r="D19" s="259"/>
      <c r="E19" s="112"/>
      <c r="F19" s="211" t="s">
        <v>161</v>
      </c>
      <c r="G19" s="101"/>
      <c r="H19" s="123">
        <v>269</v>
      </c>
      <c r="I19" s="101">
        <f t="shared" ref="I19:I24" si="0">I18-H19</f>
        <v>179509</v>
      </c>
      <c r="N19" s="97"/>
      <c r="O19" s="97"/>
    </row>
    <row r="20" spans="1:15" x14ac:dyDescent="0.3">
      <c r="A20" s="126" t="s">
        <v>162</v>
      </c>
      <c r="B20" s="63">
        <v>202108</v>
      </c>
      <c r="C20" s="259" t="s">
        <v>61</v>
      </c>
      <c r="D20" s="259"/>
      <c r="E20" s="112"/>
      <c r="F20" s="208" t="s">
        <v>178</v>
      </c>
      <c r="G20" s="101"/>
      <c r="H20" s="123">
        <v>700</v>
      </c>
      <c r="I20" s="101">
        <f t="shared" si="0"/>
        <v>178809</v>
      </c>
      <c r="N20" s="97"/>
      <c r="O20" s="97"/>
    </row>
    <row r="21" spans="1:15" x14ac:dyDescent="0.3">
      <c r="A21" s="126" t="s">
        <v>162</v>
      </c>
      <c r="B21" s="63">
        <v>202108</v>
      </c>
      <c r="C21" s="259" t="s">
        <v>61</v>
      </c>
      <c r="D21" s="259"/>
      <c r="E21" s="112"/>
      <c r="F21" s="208" t="s">
        <v>177</v>
      </c>
      <c r="G21" s="101"/>
      <c r="H21" s="123">
        <v>1800</v>
      </c>
      <c r="I21" s="101">
        <f t="shared" si="0"/>
        <v>177009</v>
      </c>
      <c r="N21" s="97"/>
      <c r="O21" s="97"/>
    </row>
    <row r="22" spans="1:15" x14ac:dyDescent="0.3">
      <c r="A22" s="126" t="s">
        <v>125</v>
      </c>
      <c r="B22" s="63">
        <v>415932</v>
      </c>
      <c r="C22" s="259" t="s">
        <v>131</v>
      </c>
      <c r="D22" s="259"/>
      <c r="E22" s="112"/>
      <c r="F22" s="211" t="s">
        <v>123</v>
      </c>
      <c r="G22" s="101"/>
      <c r="H22" s="123">
        <v>727.75</v>
      </c>
      <c r="I22" s="101">
        <f t="shared" si="0"/>
        <v>176281.25</v>
      </c>
      <c r="N22" s="97"/>
      <c r="O22" s="97"/>
    </row>
    <row r="23" spans="1:15" x14ac:dyDescent="0.3">
      <c r="A23" s="126" t="s">
        <v>125</v>
      </c>
      <c r="B23" s="63">
        <v>415932</v>
      </c>
      <c r="C23" s="259" t="s">
        <v>131</v>
      </c>
      <c r="D23" s="259"/>
      <c r="E23" s="112"/>
      <c r="F23" s="211" t="s">
        <v>124</v>
      </c>
      <c r="G23" s="101"/>
      <c r="H23" s="123">
        <v>365.9</v>
      </c>
      <c r="I23" s="101">
        <f t="shared" si="0"/>
        <v>175915.35</v>
      </c>
      <c r="N23" s="97"/>
      <c r="O23" s="97"/>
    </row>
    <row r="24" spans="1:15" x14ac:dyDescent="0.3">
      <c r="A24" s="126" t="s">
        <v>179</v>
      </c>
      <c r="B24" s="63">
        <v>196058</v>
      </c>
      <c r="C24" s="259" t="s">
        <v>186</v>
      </c>
      <c r="D24" s="259"/>
      <c r="E24" s="112"/>
      <c r="F24" s="210" t="s">
        <v>180</v>
      </c>
      <c r="G24" s="101"/>
      <c r="H24" s="123">
        <v>4468</v>
      </c>
      <c r="I24" s="101">
        <f t="shared" si="0"/>
        <v>171447.35</v>
      </c>
      <c r="N24" s="97"/>
      <c r="O24" s="97"/>
    </row>
    <row r="25" spans="1:15" x14ac:dyDescent="0.3">
      <c r="A25" s="126"/>
      <c r="B25" s="63"/>
      <c r="C25" s="259"/>
      <c r="D25" s="259"/>
      <c r="E25" s="112"/>
      <c r="F25" s="210" t="s">
        <v>181</v>
      </c>
      <c r="G25" s="101"/>
      <c r="H25" s="123"/>
      <c r="I25" s="102"/>
      <c r="N25" s="97"/>
      <c r="O25" s="97"/>
    </row>
    <row r="26" spans="1:15" x14ac:dyDescent="0.3">
      <c r="A26" s="126"/>
      <c r="B26" s="63"/>
      <c r="C26" s="259"/>
      <c r="D26" s="259"/>
      <c r="E26" s="112"/>
      <c r="F26" s="209" t="s">
        <v>182</v>
      </c>
      <c r="G26" s="101"/>
      <c r="H26" s="123"/>
      <c r="I26" s="102"/>
      <c r="N26" s="97"/>
      <c r="O26" s="97"/>
    </row>
    <row r="27" spans="1:15" x14ac:dyDescent="0.3">
      <c r="A27" s="126" t="s">
        <v>179</v>
      </c>
      <c r="B27" s="63">
        <v>196059</v>
      </c>
      <c r="C27" s="259" t="s">
        <v>186</v>
      </c>
      <c r="D27" s="259"/>
      <c r="E27" s="112"/>
      <c r="F27" s="210" t="s">
        <v>180</v>
      </c>
      <c r="G27" s="101"/>
      <c r="H27" s="123">
        <v>4468</v>
      </c>
      <c r="I27" s="101">
        <f>I24-H27</f>
        <v>166979.35</v>
      </c>
      <c r="N27" s="97"/>
      <c r="O27" s="97"/>
    </row>
    <row r="28" spans="1:15" x14ac:dyDescent="0.3">
      <c r="A28" s="126"/>
      <c r="B28" s="63"/>
      <c r="C28" s="259"/>
      <c r="D28" s="259"/>
      <c r="E28" s="112"/>
      <c r="F28" s="210" t="s">
        <v>181</v>
      </c>
      <c r="G28" s="101"/>
      <c r="H28" s="123"/>
      <c r="I28" s="101"/>
      <c r="N28" s="97"/>
      <c r="O28" s="97"/>
    </row>
    <row r="29" spans="1:15" x14ac:dyDescent="0.3">
      <c r="A29" s="126"/>
      <c r="B29" s="63"/>
      <c r="C29" s="259"/>
      <c r="D29" s="259"/>
      <c r="E29" s="112"/>
      <c r="F29" s="209" t="s">
        <v>182</v>
      </c>
      <c r="G29" s="101"/>
      <c r="H29" s="123"/>
      <c r="I29" s="101"/>
      <c r="N29" s="97"/>
      <c r="O29" s="97"/>
    </row>
    <row r="30" spans="1:15" x14ac:dyDescent="0.3">
      <c r="A30" s="126" t="s">
        <v>136</v>
      </c>
      <c r="B30" s="63">
        <v>195145</v>
      </c>
      <c r="C30" s="259" t="s">
        <v>132</v>
      </c>
      <c r="D30" s="259"/>
      <c r="E30" s="112"/>
      <c r="F30" s="212" t="s">
        <v>126</v>
      </c>
      <c r="G30" s="101"/>
      <c r="H30" s="123">
        <v>2382.85</v>
      </c>
      <c r="I30" s="101">
        <f>I27-H30</f>
        <v>164596.5</v>
      </c>
      <c r="N30" s="97"/>
      <c r="O30" s="97"/>
    </row>
    <row r="31" spans="1:15" x14ac:dyDescent="0.3">
      <c r="A31" s="126" t="s">
        <v>136</v>
      </c>
      <c r="B31" s="118" t="s">
        <v>138</v>
      </c>
      <c r="C31" s="259" t="s">
        <v>137</v>
      </c>
      <c r="D31" s="259"/>
      <c r="E31" s="112"/>
      <c r="F31" s="127" t="s">
        <v>126</v>
      </c>
      <c r="G31" s="101"/>
      <c r="H31" s="123">
        <v>200</v>
      </c>
      <c r="I31" s="101">
        <f>I30-H31</f>
        <v>164396.5</v>
      </c>
      <c r="N31" s="97"/>
      <c r="O31" s="97"/>
    </row>
    <row r="32" spans="1:15" x14ac:dyDescent="0.3">
      <c r="A32" s="67" t="s">
        <v>191</v>
      </c>
      <c r="B32" s="68">
        <v>157231</v>
      </c>
      <c r="C32" s="259" t="s">
        <v>190</v>
      </c>
      <c r="D32" s="259"/>
      <c r="E32" s="112"/>
      <c r="F32" s="208" t="s">
        <v>66</v>
      </c>
      <c r="G32" s="101"/>
      <c r="H32" s="124">
        <v>1000</v>
      </c>
      <c r="I32" s="101">
        <f t="shared" ref="I32:I49" si="1">I31-H32</f>
        <v>163396.5</v>
      </c>
      <c r="N32" s="97"/>
      <c r="O32" s="97"/>
    </row>
    <row r="33" spans="1:15" x14ac:dyDescent="0.3">
      <c r="A33" s="126" t="s">
        <v>127</v>
      </c>
      <c r="B33" s="63">
        <v>1601</v>
      </c>
      <c r="C33" s="259" t="s">
        <v>61</v>
      </c>
      <c r="D33" s="259"/>
      <c r="E33" s="112"/>
      <c r="F33" s="213" t="s">
        <v>155</v>
      </c>
      <c r="G33" s="101"/>
      <c r="H33" s="123">
        <v>800</v>
      </c>
      <c r="I33" s="101">
        <f t="shared" si="1"/>
        <v>162596.5</v>
      </c>
      <c r="N33" s="97"/>
      <c r="O33" s="97"/>
    </row>
    <row r="34" spans="1:15" x14ac:dyDescent="0.3">
      <c r="A34" s="126" t="s">
        <v>127</v>
      </c>
      <c r="B34" s="63">
        <v>31936</v>
      </c>
      <c r="C34" s="259" t="s">
        <v>164</v>
      </c>
      <c r="D34" s="259"/>
      <c r="E34" s="112"/>
      <c r="F34" s="208" t="s">
        <v>165</v>
      </c>
      <c r="G34" s="101"/>
      <c r="H34" s="123">
        <v>112</v>
      </c>
      <c r="I34" s="101">
        <f t="shared" si="1"/>
        <v>162484.5</v>
      </c>
      <c r="N34" s="97"/>
      <c r="O34" s="97"/>
    </row>
    <row r="35" spans="1:15" x14ac:dyDescent="0.3">
      <c r="A35" s="126" t="s">
        <v>127</v>
      </c>
      <c r="B35" s="118" t="s">
        <v>128</v>
      </c>
      <c r="C35" s="259" t="s">
        <v>132</v>
      </c>
      <c r="D35" s="259"/>
      <c r="E35" s="112"/>
      <c r="F35" s="212" t="s">
        <v>126</v>
      </c>
      <c r="G35" s="101"/>
      <c r="H35" s="123">
        <v>569.79999999999995</v>
      </c>
      <c r="I35" s="101">
        <f t="shared" si="1"/>
        <v>161914.70000000001</v>
      </c>
      <c r="N35" s="97"/>
      <c r="O35" s="97"/>
    </row>
    <row r="36" spans="1:15" x14ac:dyDescent="0.3">
      <c r="A36" s="126" t="s">
        <v>127</v>
      </c>
      <c r="B36" s="63" t="s">
        <v>78</v>
      </c>
      <c r="C36" s="259" t="s">
        <v>133</v>
      </c>
      <c r="D36" s="259"/>
      <c r="E36" s="112"/>
      <c r="F36" s="212" t="s">
        <v>126</v>
      </c>
      <c r="G36" s="101"/>
      <c r="H36" s="123">
        <v>354</v>
      </c>
      <c r="I36" s="101">
        <f t="shared" si="1"/>
        <v>161560.70000000001</v>
      </c>
      <c r="N36" s="97"/>
      <c r="O36" s="97"/>
    </row>
    <row r="37" spans="1:15" x14ac:dyDescent="0.3">
      <c r="A37" s="126" t="s">
        <v>127</v>
      </c>
      <c r="B37" s="63" t="s">
        <v>78</v>
      </c>
      <c r="C37" s="259" t="s">
        <v>65</v>
      </c>
      <c r="D37" s="259"/>
      <c r="E37" s="112"/>
      <c r="F37" s="212" t="s">
        <v>126</v>
      </c>
      <c r="G37" s="101"/>
      <c r="H37" s="123">
        <v>290</v>
      </c>
      <c r="I37" s="101">
        <f t="shared" si="1"/>
        <v>161270.70000000001</v>
      </c>
      <c r="N37" s="97"/>
      <c r="O37" s="97"/>
    </row>
    <row r="38" spans="1:15" x14ac:dyDescent="0.3">
      <c r="A38" s="126" t="s">
        <v>145</v>
      </c>
      <c r="B38" s="63">
        <v>515703</v>
      </c>
      <c r="C38" s="259" t="s">
        <v>146</v>
      </c>
      <c r="D38" s="259"/>
      <c r="E38" s="112"/>
      <c r="F38" s="212" t="s">
        <v>126</v>
      </c>
      <c r="G38" s="101"/>
      <c r="H38" s="123">
        <v>70</v>
      </c>
      <c r="I38" s="101">
        <f t="shared" si="1"/>
        <v>161200.70000000001</v>
      </c>
      <c r="N38" s="97"/>
      <c r="O38" s="97"/>
    </row>
    <row r="39" spans="1:15" x14ac:dyDescent="0.3">
      <c r="A39" s="126" t="s">
        <v>145</v>
      </c>
      <c r="B39" s="118" t="s">
        <v>147</v>
      </c>
      <c r="C39" s="259" t="s">
        <v>80</v>
      </c>
      <c r="D39" s="259"/>
      <c r="E39" s="112"/>
      <c r="F39" s="212" t="s">
        <v>126</v>
      </c>
      <c r="G39" s="101"/>
      <c r="H39" s="123">
        <v>1256.92</v>
      </c>
      <c r="I39" s="101">
        <f t="shared" si="1"/>
        <v>159943.78</v>
      </c>
      <c r="N39" s="97"/>
      <c r="O39" s="97"/>
    </row>
    <row r="40" spans="1:15" x14ac:dyDescent="0.3">
      <c r="A40" s="126" t="s">
        <v>145</v>
      </c>
      <c r="B40" s="63" t="s">
        <v>130</v>
      </c>
      <c r="C40" s="259" t="s">
        <v>65</v>
      </c>
      <c r="D40" s="259"/>
      <c r="E40" s="112"/>
      <c r="F40" s="212" t="s">
        <v>126</v>
      </c>
      <c r="G40" s="101"/>
      <c r="H40" s="123">
        <v>90</v>
      </c>
      <c r="I40" s="101">
        <f t="shared" si="1"/>
        <v>159853.78</v>
      </c>
      <c r="N40" s="97"/>
      <c r="O40" s="97"/>
    </row>
    <row r="41" spans="1:15" x14ac:dyDescent="0.3">
      <c r="A41" s="126" t="s">
        <v>145</v>
      </c>
      <c r="B41" s="63" t="s">
        <v>130</v>
      </c>
      <c r="C41" s="259" t="s">
        <v>65</v>
      </c>
      <c r="D41" s="259"/>
      <c r="E41" s="112"/>
      <c r="F41" s="212" t="s">
        <v>126</v>
      </c>
      <c r="G41" s="101"/>
      <c r="H41" s="123">
        <v>54</v>
      </c>
      <c r="I41" s="101">
        <f t="shared" si="1"/>
        <v>159799.78</v>
      </c>
      <c r="N41" s="97"/>
      <c r="O41" s="97"/>
    </row>
    <row r="42" spans="1:15" x14ac:dyDescent="0.3">
      <c r="A42" s="126" t="s">
        <v>145</v>
      </c>
      <c r="B42" s="63" t="s">
        <v>130</v>
      </c>
      <c r="C42" s="259" t="s">
        <v>65</v>
      </c>
      <c r="D42" s="259"/>
      <c r="E42" s="112"/>
      <c r="F42" s="212" t="s">
        <v>126</v>
      </c>
      <c r="G42" s="101"/>
      <c r="H42" s="123">
        <v>285</v>
      </c>
      <c r="I42" s="101">
        <f t="shared" si="1"/>
        <v>159514.78</v>
      </c>
      <c r="N42" s="97"/>
      <c r="O42" s="97"/>
    </row>
    <row r="43" spans="1:15" x14ac:dyDescent="0.3">
      <c r="A43" s="126" t="s">
        <v>145</v>
      </c>
      <c r="B43" s="63" t="s">
        <v>78</v>
      </c>
      <c r="C43" s="259" t="s">
        <v>148</v>
      </c>
      <c r="D43" s="259"/>
      <c r="E43" s="112"/>
      <c r="F43" s="212" t="s">
        <v>126</v>
      </c>
      <c r="G43" s="101"/>
      <c r="H43" s="123">
        <v>450</v>
      </c>
      <c r="I43" s="101">
        <f t="shared" si="1"/>
        <v>159064.78</v>
      </c>
      <c r="N43" s="97"/>
      <c r="O43" s="97"/>
    </row>
    <row r="44" spans="1:15" x14ac:dyDescent="0.3">
      <c r="A44" s="67" t="s">
        <v>129</v>
      </c>
      <c r="B44" s="68">
        <v>127262</v>
      </c>
      <c r="C44" s="259" t="s">
        <v>192</v>
      </c>
      <c r="D44" s="259"/>
      <c r="E44" s="112"/>
      <c r="F44" s="208" t="s">
        <v>66</v>
      </c>
      <c r="G44" s="101"/>
      <c r="H44" s="124">
        <v>2000</v>
      </c>
      <c r="I44" s="101">
        <f t="shared" si="1"/>
        <v>157064.78</v>
      </c>
      <c r="N44" s="97"/>
      <c r="O44" s="97"/>
    </row>
    <row r="45" spans="1:15" x14ac:dyDescent="0.3">
      <c r="A45" s="126" t="s">
        <v>129</v>
      </c>
      <c r="B45" s="63" t="s">
        <v>130</v>
      </c>
      <c r="C45" s="259" t="s">
        <v>65</v>
      </c>
      <c r="D45" s="259"/>
      <c r="E45" s="112"/>
      <c r="F45" s="212" t="s">
        <v>126</v>
      </c>
      <c r="G45" s="101"/>
      <c r="H45" s="123">
        <v>165</v>
      </c>
      <c r="I45" s="101">
        <f t="shared" si="1"/>
        <v>156899.78</v>
      </c>
      <c r="N45" s="97"/>
      <c r="O45" s="97"/>
    </row>
    <row r="46" spans="1:15" x14ac:dyDescent="0.3">
      <c r="A46" s="126" t="s">
        <v>156</v>
      </c>
      <c r="B46" s="63">
        <v>9320</v>
      </c>
      <c r="C46" s="259" t="s">
        <v>159</v>
      </c>
      <c r="D46" s="259"/>
      <c r="E46" s="112"/>
      <c r="F46" s="208" t="s">
        <v>157</v>
      </c>
      <c r="G46" s="101"/>
      <c r="H46" s="123">
        <v>9600</v>
      </c>
      <c r="I46" s="101">
        <f t="shared" si="1"/>
        <v>147299.78</v>
      </c>
      <c r="N46" s="97"/>
      <c r="O46" s="97"/>
    </row>
    <row r="47" spans="1:15" x14ac:dyDescent="0.3">
      <c r="A47" s="126" t="s">
        <v>156</v>
      </c>
      <c r="B47" s="63">
        <v>132604</v>
      </c>
      <c r="C47" s="259" t="s">
        <v>160</v>
      </c>
      <c r="D47" s="259"/>
      <c r="E47" s="112"/>
      <c r="F47" s="211" t="s">
        <v>158</v>
      </c>
      <c r="G47" s="101"/>
      <c r="H47" s="123">
        <v>2025</v>
      </c>
      <c r="I47" s="101">
        <f t="shared" si="1"/>
        <v>145274.78</v>
      </c>
      <c r="N47" s="97"/>
      <c r="O47" s="97"/>
    </row>
    <row r="48" spans="1:15" x14ac:dyDescent="0.3">
      <c r="A48" s="126" t="s">
        <v>156</v>
      </c>
      <c r="B48" s="63">
        <v>132604</v>
      </c>
      <c r="C48" s="259" t="s">
        <v>160</v>
      </c>
      <c r="D48" s="259"/>
      <c r="E48" s="112"/>
      <c r="F48" s="208" t="s">
        <v>157</v>
      </c>
      <c r="G48" s="101"/>
      <c r="H48" s="123">
        <v>4650</v>
      </c>
      <c r="I48" s="101">
        <f t="shared" si="1"/>
        <v>140624.78</v>
      </c>
      <c r="N48" s="97"/>
      <c r="O48" s="97"/>
    </row>
    <row r="49" spans="1:15" x14ac:dyDescent="0.3">
      <c r="A49" s="126" t="s">
        <v>134</v>
      </c>
      <c r="B49" s="63" t="s">
        <v>62</v>
      </c>
      <c r="C49" s="259" t="s">
        <v>189</v>
      </c>
      <c r="D49" s="259"/>
      <c r="E49" s="112"/>
      <c r="F49" s="208" t="s">
        <v>187</v>
      </c>
      <c r="G49" s="101"/>
      <c r="H49" s="123">
        <v>4000</v>
      </c>
      <c r="I49" s="101">
        <f t="shared" si="1"/>
        <v>136624.78</v>
      </c>
      <c r="N49" s="97"/>
      <c r="O49" s="97"/>
    </row>
    <row r="50" spans="1:15" x14ac:dyDescent="0.3">
      <c r="A50" s="126"/>
      <c r="B50" s="63"/>
      <c r="C50" s="259"/>
      <c r="D50" s="259"/>
      <c r="E50" s="112"/>
      <c r="F50" s="208" t="s">
        <v>188</v>
      </c>
      <c r="G50" s="101"/>
      <c r="H50" s="123"/>
      <c r="I50" s="101"/>
      <c r="N50" s="97"/>
      <c r="O50" s="97"/>
    </row>
    <row r="51" spans="1:15" x14ac:dyDescent="0.3">
      <c r="A51" s="126" t="s">
        <v>134</v>
      </c>
      <c r="B51" s="63">
        <v>15277</v>
      </c>
      <c r="C51" s="259" t="s">
        <v>168</v>
      </c>
      <c r="D51" s="259"/>
      <c r="E51" s="112"/>
      <c r="F51" s="208" t="s">
        <v>166</v>
      </c>
      <c r="G51" s="101"/>
      <c r="H51" s="123">
        <v>3380</v>
      </c>
      <c r="I51" s="101">
        <f>I49-H51</f>
        <v>133244.78</v>
      </c>
      <c r="N51" s="97"/>
      <c r="O51" s="97"/>
    </row>
    <row r="52" spans="1:15" x14ac:dyDescent="0.3">
      <c r="A52" s="126" t="s">
        <v>134</v>
      </c>
      <c r="B52" s="63">
        <v>283267</v>
      </c>
      <c r="C52" s="259" t="s">
        <v>169</v>
      </c>
      <c r="D52" s="259"/>
      <c r="E52" s="112"/>
      <c r="F52" s="211" t="s">
        <v>167</v>
      </c>
      <c r="G52" s="101"/>
      <c r="H52" s="123">
        <v>3175</v>
      </c>
      <c r="I52" s="101">
        <f>I51-H52</f>
        <v>130069.78</v>
      </c>
      <c r="N52" s="97"/>
      <c r="O52" s="97"/>
    </row>
    <row r="53" spans="1:15" x14ac:dyDescent="0.3">
      <c r="A53" s="126" t="s">
        <v>134</v>
      </c>
      <c r="B53" s="63" t="s">
        <v>62</v>
      </c>
      <c r="C53" s="259" t="s">
        <v>221</v>
      </c>
      <c r="D53" s="259"/>
      <c r="E53" s="112"/>
      <c r="F53" s="208" t="s">
        <v>219</v>
      </c>
      <c r="G53" s="101"/>
      <c r="H53" s="123">
        <v>1500</v>
      </c>
      <c r="I53" s="101">
        <f>I52-H53</f>
        <v>128569.78</v>
      </c>
      <c r="N53" s="97"/>
      <c r="O53" s="97"/>
    </row>
    <row r="54" spans="1:15" x14ac:dyDescent="0.3">
      <c r="A54" s="126"/>
      <c r="B54" s="63"/>
      <c r="C54" s="259"/>
      <c r="D54" s="259"/>
      <c r="E54" s="112"/>
      <c r="F54" s="208" t="s">
        <v>220</v>
      </c>
      <c r="G54" s="101"/>
      <c r="H54" s="123"/>
      <c r="I54" s="101"/>
      <c r="N54" s="97"/>
      <c r="O54" s="97"/>
    </row>
    <row r="55" spans="1:15" x14ac:dyDescent="0.3">
      <c r="A55" s="126" t="s">
        <v>134</v>
      </c>
      <c r="B55" s="63">
        <v>3299</v>
      </c>
      <c r="C55" s="259" t="s">
        <v>135</v>
      </c>
      <c r="D55" s="259"/>
      <c r="E55" s="112"/>
      <c r="F55" s="212" t="s">
        <v>126</v>
      </c>
      <c r="G55" s="101"/>
      <c r="H55" s="123">
        <v>107.25</v>
      </c>
      <c r="I55" s="101">
        <f>I53-H55</f>
        <v>128462.53</v>
      </c>
      <c r="N55" s="97"/>
      <c r="O55" s="97"/>
    </row>
    <row r="56" spans="1:15" x14ac:dyDescent="0.3">
      <c r="A56" s="126" t="s">
        <v>134</v>
      </c>
      <c r="B56" s="63" t="s">
        <v>130</v>
      </c>
      <c r="C56" s="259" t="s">
        <v>65</v>
      </c>
      <c r="D56" s="259"/>
      <c r="E56" s="112"/>
      <c r="F56" s="212" t="s">
        <v>126</v>
      </c>
      <c r="G56" s="101"/>
      <c r="H56" s="123">
        <v>184</v>
      </c>
      <c r="I56" s="101">
        <f>I55-H56</f>
        <v>128278.53</v>
      </c>
      <c r="N56" s="97"/>
      <c r="O56" s="97"/>
    </row>
    <row r="57" spans="1:15" x14ac:dyDescent="0.3">
      <c r="A57" s="126" t="s">
        <v>134</v>
      </c>
      <c r="B57" s="63" t="s">
        <v>130</v>
      </c>
      <c r="C57" s="259" t="s">
        <v>65</v>
      </c>
      <c r="D57" s="259"/>
      <c r="E57" s="112"/>
      <c r="F57" s="212" t="s">
        <v>126</v>
      </c>
      <c r="G57" s="101"/>
      <c r="H57" s="123">
        <v>295</v>
      </c>
      <c r="I57" s="101">
        <f t="shared" ref="I57:I75" si="2">I56-H57</f>
        <v>127983.53</v>
      </c>
      <c r="N57" s="97"/>
      <c r="O57" s="97"/>
    </row>
    <row r="58" spans="1:15" x14ac:dyDescent="0.3">
      <c r="A58" s="126" t="s">
        <v>134</v>
      </c>
      <c r="B58" s="63" t="s">
        <v>130</v>
      </c>
      <c r="C58" s="259" t="s">
        <v>65</v>
      </c>
      <c r="D58" s="259"/>
      <c r="E58" s="112"/>
      <c r="F58" s="212" t="s">
        <v>126</v>
      </c>
      <c r="G58" s="101"/>
      <c r="H58" s="123">
        <v>117</v>
      </c>
      <c r="I58" s="101">
        <f t="shared" si="2"/>
        <v>127866.53</v>
      </c>
      <c r="N58" s="97"/>
      <c r="O58" s="97"/>
    </row>
    <row r="59" spans="1:15" x14ac:dyDescent="0.3">
      <c r="A59" s="126" t="s">
        <v>139</v>
      </c>
      <c r="B59" s="63">
        <v>2272</v>
      </c>
      <c r="C59" s="259" t="s">
        <v>176</v>
      </c>
      <c r="D59" s="259"/>
      <c r="E59" s="112"/>
      <c r="F59" s="208" t="s">
        <v>170</v>
      </c>
      <c r="G59" s="101"/>
      <c r="H59" s="123">
        <v>75</v>
      </c>
      <c r="I59" s="101">
        <f t="shared" si="2"/>
        <v>127791.53</v>
      </c>
      <c r="N59" s="97"/>
      <c r="O59" s="97"/>
    </row>
    <row r="60" spans="1:15" x14ac:dyDescent="0.3">
      <c r="A60" s="126" t="s">
        <v>139</v>
      </c>
      <c r="B60" s="63">
        <v>2272</v>
      </c>
      <c r="C60" s="259" t="s">
        <v>176</v>
      </c>
      <c r="D60" s="259"/>
      <c r="E60" s="112"/>
      <c r="F60" s="211" t="s">
        <v>172</v>
      </c>
      <c r="G60" s="101"/>
      <c r="H60" s="123">
        <v>45</v>
      </c>
      <c r="I60" s="101">
        <f t="shared" si="2"/>
        <v>127746.53</v>
      </c>
      <c r="N60" s="97"/>
      <c r="O60" s="97"/>
    </row>
    <row r="61" spans="1:15" x14ac:dyDescent="0.3">
      <c r="A61" s="126" t="s">
        <v>139</v>
      </c>
      <c r="B61" s="63">
        <v>2272</v>
      </c>
      <c r="C61" s="259" t="s">
        <v>176</v>
      </c>
      <c r="D61" s="259"/>
      <c r="E61" s="112"/>
      <c r="F61" s="211" t="s">
        <v>171</v>
      </c>
      <c r="G61" s="101"/>
      <c r="H61" s="123">
        <v>50</v>
      </c>
      <c r="I61" s="101">
        <f t="shared" si="2"/>
        <v>127696.53</v>
      </c>
      <c r="N61" s="97"/>
      <c r="O61" s="97"/>
    </row>
    <row r="62" spans="1:15" x14ac:dyDescent="0.3">
      <c r="A62" s="126" t="s">
        <v>139</v>
      </c>
      <c r="B62" s="63">
        <v>2272</v>
      </c>
      <c r="C62" s="259" t="s">
        <v>176</v>
      </c>
      <c r="D62" s="259"/>
      <c r="E62" s="112"/>
      <c r="F62" s="211" t="s">
        <v>173</v>
      </c>
      <c r="G62" s="101"/>
      <c r="H62" s="123">
        <v>35</v>
      </c>
      <c r="I62" s="101">
        <f t="shared" si="2"/>
        <v>127661.53</v>
      </c>
      <c r="N62" s="97"/>
      <c r="O62" s="97"/>
    </row>
    <row r="63" spans="1:15" x14ac:dyDescent="0.3">
      <c r="A63" s="126" t="s">
        <v>139</v>
      </c>
      <c r="B63" s="63">
        <v>2272</v>
      </c>
      <c r="C63" s="259" t="s">
        <v>176</v>
      </c>
      <c r="D63" s="259"/>
      <c r="E63" s="112"/>
      <c r="F63" s="211" t="s">
        <v>174</v>
      </c>
      <c r="G63" s="101"/>
      <c r="H63" s="123">
        <v>30</v>
      </c>
      <c r="I63" s="101">
        <f t="shared" si="2"/>
        <v>127631.53</v>
      </c>
      <c r="N63" s="97"/>
      <c r="O63" s="97"/>
    </row>
    <row r="64" spans="1:15" x14ac:dyDescent="0.3">
      <c r="A64" s="126" t="s">
        <v>139</v>
      </c>
      <c r="B64" s="63">
        <v>2272</v>
      </c>
      <c r="C64" s="259" t="s">
        <v>176</v>
      </c>
      <c r="D64" s="259"/>
      <c r="E64" s="112"/>
      <c r="F64" s="211" t="s">
        <v>175</v>
      </c>
      <c r="G64" s="101"/>
      <c r="H64" s="123">
        <v>20</v>
      </c>
      <c r="I64" s="101">
        <f t="shared" si="2"/>
        <v>127611.53</v>
      </c>
      <c r="N64" s="97"/>
      <c r="O64" s="97"/>
    </row>
    <row r="65" spans="1:15" x14ac:dyDescent="0.3">
      <c r="A65" s="126" t="s">
        <v>139</v>
      </c>
      <c r="B65" s="63">
        <v>343859</v>
      </c>
      <c r="C65" s="259" t="s">
        <v>140</v>
      </c>
      <c r="D65" s="259"/>
      <c r="E65" s="112"/>
      <c r="F65" s="212" t="s">
        <v>126</v>
      </c>
      <c r="G65" s="101"/>
      <c r="H65" s="123">
        <v>441.5</v>
      </c>
      <c r="I65" s="101">
        <f t="shared" si="2"/>
        <v>127170.03</v>
      </c>
      <c r="N65" s="97"/>
      <c r="O65" s="97"/>
    </row>
    <row r="66" spans="1:15" x14ac:dyDescent="0.3">
      <c r="A66" s="126" t="s">
        <v>139</v>
      </c>
      <c r="B66" s="63" t="s">
        <v>130</v>
      </c>
      <c r="C66" s="259" t="s">
        <v>65</v>
      </c>
      <c r="D66" s="259"/>
      <c r="E66" s="112"/>
      <c r="F66" s="212" t="s">
        <v>126</v>
      </c>
      <c r="G66" s="101"/>
      <c r="H66" s="123">
        <v>150</v>
      </c>
      <c r="I66" s="101">
        <f t="shared" si="2"/>
        <v>127020.03</v>
      </c>
      <c r="N66" s="97"/>
      <c r="O66" s="97"/>
    </row>
    <row r="67" spans="1:15" x14ac:dyDescent="0.3">
      <c r="A67" s="126" t="s">
        <v>139</v>
      </c>
      <c r="B67" s="63" t="s">
        <v>130</v>
      </c>
      <c r="C67" s="259" t="s">
        <v>65</v>
      </c>
      <c r="D67" s="259"/>
      <c r="E67" s="112"/>
      <c r="F67" s="212" t="s">
        <v>126</v>
      </c>
      <c r="G67" s="101"/>
      <c r="H67" s="123">
        <v>215</v>
      </c>
      <c r="I67" s="101">
        <f t="shared" si="2"/>
        <v>126805.03</v>
      </c>
      <c r="N67" s="97"/>
      <c r="O67" s="97"/>
    </row>
    <row r="68" spans="1:15" x14ac:dyDescent="0.3">
      <c r="A68" s="126" t="s">
        <v>139</v>
      </c>
      <c r="B68" s="63" t="s">
        <v>130</v>
      </c>
      <c r="C68" s="259" t="s">
        <v>65</v>
      </c>
      <c r="D68" s="259"/>
      <c r="E68" s="112"/>
      <c r="F68" s="212" t="s">
        <v>126</v>
      </c>
      <c r="G68" s="101"/>
      <c r="H68" s="123">
        <v>285</v>
      </c>
      <c r="I68" s="101">
        <f t="shared" si="2"/>
        <v>126520.03</v>
      </c>
      <c r="N68" s="97"/>
      <c r="O68" s="97"/>
    </row>
    <row r="69" spans="1:15" x14ac:dyDescent="0.3">
      <c r="A69" s="126" t="s">
        <v>141</v>
      </c>
      <c r="B69" s="63">
        <v>2891156</v>
      </c>
      <c r="C69" s="259" t="s">
        <v>142</v>
      </c>
      <c r="D69" s="259"/>
      <c r="E69" s="112"/>
      <c r="F69" s="212" t="s">
        <v>126</v>
      </c>
      <c r="G69" s="101"/>
      <c r="H69" s="123">
        <v>265</v>
      </c>
      <c r="I69" s="101">
        <f t="shared" si="2"/>
        <v>126255.03</v>
      </c>
      <c r="N69" s="97"/>
      <c r="O69" s="97"/>
    </row>
    <row r="70" spans="1:15" x14ac:dyDescent="0.3">
      <c r="A70" s="126" t="s">
        <v>141</v>
      </c>
      <c r="B70" s="63" t="s">
        <v>130</v>
      </c>
      <c r="C70" s="259" t="s">
        <v>65</v>
      </c>
      <c r="D70" s="259"/>
      <c r="E70" s="112"/>
      <c r="F70" s="212" t="s">
        <v>126</v>
      </c>
      <c r="G70" s="101"/>
      <c r="H70" s="123">
        <v>195</v>
      </c>
      <c r="I70" s="101">
        <f t="shared" si="2"/>
        <v>126060.03</v>
      </c>
      <c r="N70" s="97"/>
      <c r="O70" s="97"/>
    </row>
    <row r="71" spans="1:15" x14ac:dyDescent="0.3">
      <c r="A71" s="67">
        <v>44938</v>
      </c>
      <c r="B71" s="68">
        <v>157461</v>
      </c>
      <c r="C71" s="259" t="s">
        <v>190</v>
      </c>
      <c r="D71" s="259"/>
      <c r="E71" s="112"/>
      <c r="F71" s="208" t="s">
        <v>66</v>
      </c>
      <c r="G71" s="101"/>
      <c r="H71" s="124">
        <v>2000</v>
      </c>
      <c r="I71" s="101">
        <f t="shared" si="2"/>
        <v>124060.03</v>
      </c>
      <c r="N71" s="97"/>
      <c r="O71" s="97"/>
    </row>
    <row r="72" spans="1:15" x14ac:dyDescent="0.3">
      <c r="A72" s="126">
        <v>44938</v>
      </c>
      <c r="B72" s="63" t="s">
        <v>130</v>
      </c>
      <c r="C72" s="259" t="s">
        <v>65</v>
      </c>
      <c r="D72" s="259"/>
      <c r="E72" s="112"/>
      <c r="F72" s="212" t="s">
        <v>126</v>
      </c>
      <c r="G72" s="101"/>
      <c r="H72" s="123">
        <v>114</v>
      </c>
      <c r="I72" s="101">
        <f t="shared" si="2"/>
        <v>123946.03</v>
      </c>
      <c r="N72" s="97"/>
      <c r="O72" s="97"/>
    </row>
    <row r="73" spans="1:15" x14ac:dyDescent="0.3">
      <c r="A73" s="126">
        <v>44938</v>
      </c>
      <c r="B73" s="63" t="s">
        <v>130</v>
      </c>
      <c r="C73" s="259" t="s">
        <v>65</v>
      </c>
      <c r="D73" s="259"/>
      <c r="E73" s="112"/>
      <c r="F73" s="212" t="s">
        <v>126</v>
      </c>
      <c r="G73" s="101"/>
      <c r="H73" s="123">
        <v>286</v>
      </c>
      <c r="I73" s="101">
        <f t="shared" si="2"/>
        <v>123660.03</v>
      </c>
      <c r="N73" s="97"/>
      <c r="O73" s="97"/>
    </row>
    <row r="74" spans="1:15" x14ac:dyDescent="0.3">
      <c r="A74" s="126">
        <v>44938</v>
      </c>
      <c r="B74" s="63" t="s">
        <v>130</v>
      </c>
      <c r="C74" s="259" t="s">
        <v>65</v>
      </c>
      <c r="D74" s="259"/>
      <c r="E74" s="112"/>
      <c r="F74" s="212" t="s">
        <v>126</v>
      </c>
      <c r="G74" s="101"/>
      <c r="H74" s="123">
        <v>246</v>
      </c>
      <c r="I74" s="101">
        <f t="shared" si="2"/>
        <v>123414.03</v>
      </c>
      <c r="N74" s="97"/>
      <c r="O74" s="97"/>
    </row>
    <row r="75" spans="1:15" x14ac:dyDescent="0.3">
      <c r="A75" s="126">
        <v>44938</v>
      </c>
      <c r="B75" s="63">
        <v>73145387</v>
      </c>
      <c r="C75" s="259" t="s">
        <v>67</v>
      </c>
      <c r="D75" s="259"/>
      <c r="E75" s="112"/>
      <c r="F75" s="210" t="s">
        <v>180</v>
      </c>
      <c r="G75" s="101"/>
      <c r="H75" s="123">
        <v>25075.759999999998</v>
      </c>
      <c r="I75" s="101">
        <f t="shared" si="2"/>
        <v>98338.27</v>
      </c>
      <c r="N75" s="97"/>
      <c r="O75" s="97"/>
    </row>
    <row r="76" spans="1:15" x14ac:dyDescent="0.3">
      <c r="A76" s="126"/>
      <c r="B76" s="63"/>
      <c r="C76" s="259"/>
      <c r="D76" s="259"/>
      <c r="E76" s="112"/>
      <c r="F76" s="210" t="s">
        <v>181</v>
      </c>
      <c r="G76" s="101"/>
      <c r="H76" s="123"/>
      <c r="I76" s="101"/>
      <c r="N76" s="97"/>
      <c r="O76" s="97"/>
    </row>
    <row r="77" spans="1:15" x14ac:dyDescent="0.3">
      <c r="A77" s="126"/>
      <c r="B77" s="63"/>
      <c r="C77" s="259"/>
      <c r="D77" s="259"/>
      <c r="E77" s="112"/>
      <c r="F77" s="209" t="s">
        <v>183</v>
      </c>
      <c r="G77" s="101"/>
      <c r="H77" s="123"/>
      <c r="I77" s="101"/>
      <c r="N77" s="97"/>
      <c r="O77" s="97"/>
    </row>
    <row r="78" spans="1:15" x14ac:dyDescent="0.3">
      <c r="A78" s="126"/>
      <c r="B78" s="63"/>
      <c r="C78" s="259"/>
      <c r="D78" s="259"/>
      <c r="E78" s="112"/>
      <c r="F78" s="209" t="s">
        <v>184</v>
      </c>
      <c r="G78" s="101"/>
      <c r="H78" s="123"/>
      <c r="I78" s="101"/>
      <c r="N78" s="97"/>
      <c r="O78" s="97"/>
    </row>
    <row r="79" spans="1:15" x14ac:dyDescent="0.3">
      <c r="A79" s="126">
        <v>44969</v>
      </c>
      <c r="B79" s="118" t="s">
        <v>143</v>
      </c>
      <c r="C79" s="259" t="s">
        <v>144</v>
      </c>
      <c r="D79" s="259"/>
      <c r="E79" s="112"/>
      <c r="F79" s="212" t="s">
        <v>126</v>
      </c>
      <c r="G79" s="101"/>
      <c r="H79" s="123">
        <v>425</v>
      </c>
      <c r="I79" s="101">
        <f>I75-H79</f>
        <v>97913.27</v>
      </c>
      <c r="N79" s="97"/>
      <c r="O79" s="97"/>
    </row>
    <row r="80" spans="1:15" x14ac:dyDescent="0.3">
      <c r="A80" s="126">
        <v>44997</v>
      </c>
      <c r="B80" s="63">
        <v>265025</v>
      </c>
      <c r="C80" s="259" t="s">
        <v>194</v>
      </c>
      <c r="D80" s="259"/>
      <c r="E80" s="112"/>
      <c r="F80" s="212" t="s">
        <v>126</v>
      </c>
      <c r="G80" s="101"/>
      <c r="H80" s="123">
        <v>400</v>
      </c>
      <c r="I80" s="101">
        <f>I79-H80</f>
        <v>97513.27</v>
      </c>
      <c r="N80" s="97"/>
      <c r="O80" s="97"/>
    </row>
    <row r="81" spans="1:15" x14ac:dyDescent="0.3">
      <c r="A81" s="126">
        <v>44997</v>
      </c>
      <c r="B81" s="118" t="s">
        <v>195</v>
      </c>
      <c r="C81" s="259" t="s">
        <v>196</v>
      </c>
      <c r="D81" s="259"/>
      <c r="E81" s="112"/>
      <c r="F81" s="212" t="s">
        <v>193</v>
      </c>
      <c r="G81" s="101"/>
      <c r="H81" s="123">
        <v>466</v>
      </c>
      <c r="I81" s="101">
        <f t="shared" ref="I81:I83" si="3">I80-H81</f>
        <v>97047.27</v>
      </c>
      <c r="N81" s="97"/>
      <c r="O81" s="97"/>
    </row>
    <row r="82" spans="1:15" x14ac:dyDescent="0.3">
      <c r="A82" s="126">
        <v>44997</v>
      </c>
      <c r="B82" s="63">
        <v>39932</v>
      </c>
      <c r="C82" s="259" t="s">
        <v>197</v>
      </c>
      <c r="D82" s="259"/>
      <c r="E82" s="112"/>
      <c r="F82" s="212" t="s">
        <v>193</v>
      </c>
      <c r="G82" s="101"/>
      <c r="H82" s="123">
        <v>537</v>
      </c>
      <c r="I82" s="101">
        <f t="shared" si="3"/>
        <v>96510.27</v>
      </c>
      <c r="N82" s="97"/>
      <c r="O82" s="97"/>
    </row>
    <row r="83" spans="1:15" x14ac:dyDescent="0.3">
      <c r="A83" s="126">
        <v>44997</v>
      </c>
      <c r="B83" s="63">
        <v>638382</v>
      </c>
      <c r="C83" s="259" t="s">
        <v>214</v>
      </c>
      <c r="D83" s="259"/>
      <c r="E83" s="112"/>
      <c r="F83" s="211" t="s">
        <v>150</v>
      </c>
      <c r="G83" s="101"/>
      <c r="H83" s="123">
        <v>2095</v>
      </c>
      <c r="I83" s="101">
        <f t="shared" si="3"/>
        <v>94415.27</v>
      </c>
      <c r="N83" s="97"/>
      <c r="O83" s="97"/>
    </row>
    <row r="84" spans="1:15" x14ac:dyDescent="0.3">
      <c r="A84" s="126"/>
      <c r="B84" s="63"/>
      <c r="C84" s="259"/>
      <c r="D84" s="259"/>
      <c r="E84" s="112"/>
      <c r="F84" s="208" t="s">
        <v>151</v>
      </c>
      <c r="G84" s="101"/>
      <c r="H84" s="123"/>
      <c r="I84" s="101"/>
      <c r="N84" s="97"/>
      <c r="O84" s="97"/>
    </row>
    <row r="85" spans="1:15" x14ac:dyDescent="0.3">
      <c r="A85" s="126"/>
      <c r="B85" s="63"/>
      <c r="C85" s="259"/>
      <c r="D85" s="259"/>
      <c r="E85" s="112"/>
      <c r="F85" s="208" t="s">
        <v>212</v>
      </c>
      <c r="G85" s="101"/>
      <c r="H85" s="123"/>
      <c r="I85" s="101"/>
      <c r="N85" s="97"/>
      <c r="O85" s="97"/>
    </row>
    <row r="86" spans="1:15" x14ac:dyDescent="0.3">
      <c r="A86" s="126"/>
      <c r="B86" s="63"/>
      <c r="C86" s="259"/>
      <c r="D86" s="259"/>
      <c r="E86" s="112"/>
      <c r="F86" s="208" t="s">
        <v>213</v>
      </c>
      <c r="G86" s="101"/>
      <c r="H86" s="123"/>
      <c r="I86" s="101"/>
      <c r="N86" s="97"/>
      <c r="O86" s="97"/>
    </row>
    <row r="87" spans="1:15" x14ac:dyDescent="0.3">
      <c r="A87" s="126"/>
      <c r="B87" s="63"/>
      <c r="C87" s="259"/>
      <c r="D87" s="259"/>
      <c r="E87" s="112"/>
      <c r="F87" s="208" t="s">
        <v>154</v>
      </c>
      <c r="G87" s="101"/>
      <c r="H87" s="123"/>
      <c r="I87" s="101"/>
      <c r="N87" s="97"/>
      <c r="O87" s="97"/>
    </row>
    <row r="88" spans="1:15" x14ac:dyDescent="0.3">
      <c r="A88" s="126">
        <v>45028</v>
      </c>
      <c r="B88" s="63">
        <v>32975</v>
      </c>
      <c r="C88" s="259" t="s">
        <v>149</v>
      </c>
      <c r="D88" s="259"/>
      <c r="E88" s="112"/>
      <c r="F88" s="212" t="s">
        <v>126</v>
      </c>
      <c r="G88" s="101"/>
      <c r="H88" s="123">
        <v>500</v>
      </c>
      <c r="I88" s="101">
        <f>I83-H88</f>
        <v>93915.27</v>
      </c>
      <c r="N88" s="97"/>
      <c r="O88" s="97"/>
    </row>
    <row r="89" spans="1:15" x14ac:dyDescent="0.3">
      <c r="A89" s="126">
        <v>45028</v>
      </c>
      <c r="B89" s="118" t="s">
        <v>198</v>
      </c>
      <c r="C89" s="259" t="s">
        <v>199</v>
      </c>
      <c r="D89" s="259"/>
      <c r="E89" s="112"/>
      <c r="F89" s="212" t="s">
        <v>193</v>
      </c>
      <c r="G89" s="101"/>
      <c r="H89" s="123">
        <v>620</v>
      </c>
      <c r="I89" s="101">
        <f>I88-H89</f>
        <v>93295.27</v>
      </c>
      <c r="N89" s="97"/>
      <c r="O89" s="97"/>
    </row>
    <row r="90" spans="1:15" x14ac:dyDescent="0.3">
      <c r="A90" s="126">
        <v>45028</v>
      </c>
      <c r="B90" s="118" t="s">
        <v>200</v>
      </c>
      <c r="C90" s="259" t="s">
        <v>199</v>
      </c>
      <c r="D90" s="259"/>
      <c r="E90" s="112"/>
      <c r="F90" s="212" t="s">
        <v>193</v>
      </c>
      <c r="G90" s="101"/>
      <c r="H90" s="123">
        <v>625</v>
      </c>
      <c r="I90" s="101">
        <f t="shared" ref="I90:I92" si="4">I89-H90</f>
        <v>92670.27</v>
      </c>
      <c r="N90" s="97"/>
      <c r="O90" s="97"/>
    </row>
    <row r="91" spans="1:15" x14ac:dyDescent="0.3">
      <c r="A91" s="126">
        <v>45028</v>
      </c>
      <c r="B91" s="63">
        <v>1032</v>
      </c>
      <c r="C91" s="259" t="s">
        <v>201</v>
      </c>
      <c r="D91" s="259"/>
      <c r="E91" s="112"/>
      <c r="F91" s="212" t="s">
        <v>193</v>
      </c>
      <c r="G91" s="101"/>
      <c r="H91" s="123">
        <v>600</v>
      </c>
      <c r="I91" s="101">
        <f t="shared" si="4"/>
        <v>92070.27</v>
      </c>
      <c r="N91" s="97"/>
      <c r="O91" s="97"/>
    </row>
    <row r="92" spans="1:15" x14ac:dyDescent="0.3">
      <c r="A92" s="126">
        <v>45028</v>
      </c>
      <c r="B92" s="63">
        <v>32974</v>
      </c>
      <c r="C92" s="259" t="s">
        <v>149</v>
      </c>
      <c r="D92" s="259"/>
      <c r="E92" s="112"/>
      <c r="F92" s="211" t="s">
        <v>150</v>
      </c>
      <c r="G92" s="101"/>
      <c r="H92" s="123">
        <v>23000</v>
      </c>
      <c r="I92" s="101">
        <f t="shared" si="4"/>
        <v>69070.27</v>
      </c>
      <c r="N92" s="97"/>
      <c r="O92" s="97"/>
    </row>
    <row r="93" spans="1:15" x14ac:dyDescent="0.3">
      <c r="A93" s="126"/>
      <c r="B93" s="63"/>
      <c r="C93" s="259"/>
      <c r="D93" s="259"/>
      <c r="E93" s="112"/>
      <c r="F93" s="208" t="s">
        <v>151</v>
      </c>
      <c r="G93" s="101"/>
      <c r="H93" s="123"/>
      <c r="I93" s="101"/>
      <c r="N93" s="97"/>
      <c r="O93" s="97"/>
    </row>
    <row r="94" spans="1:15" x14ac:dyDescent="0.3">
      <c r="A94" s="126"/>
      <c r="B94" s="63"/>
      <c r="C94" s="259"/>
      <c r="D94" s="259"/>
      <c r="E94" s="112"/>
      <c r="F94" s="208" t="s">
        <v>152</v>
      </c>
      <c r="G94" s="101"/>
      <c r="H94" s="123"/>
      <c r="I94" s="101"/>
      <c r="N94" s="97"/>
      <c r="O94" s="97"/>
    </row>
    <row r="95" spans="1:15" x14ac:dyDescent="0.3">
      <c r="A95" s="126"/>
      <c r="B95" s="63"/>
      <c r="C95" s="259"/>
      <c r="D95" s="259"/>
      <c r="E95" s="112"/>
      <c r="F95" s="208" t="s">
        <v>153</v>
      </c>
      <c r="G95" s="101"/>
      <c r="H95" s="123"/>
      <c r="I95" s="101"/>
      <c r="N95" s="97"/>
      <c r="O95" s="97"/>
    </row>
    <row r="96" spans="1:15" x14ac:dyDescent="0.3">
      <c r="A96" s="126"/>
      <c r="B96" s="63"/>
      <c r="C96" s="259"/>
      <c r="D96" s="259"/>
      <c r="E96" s="112"/>
      <c r="F96" s="208" t="s">
        <v>154</v>
      </c>
      <c r="G96" s="101"/>
      <c r="H96" s="123"/>
      <c r="I96" s="101"/>
      <c r="N96" s="97"/>
      <c r="O96" s="97"/>
    </row>
    <row r="97" spans="1:15" x14ac:dyDescent="0.3">
      <c r="A97" s="126">
        <v>45028</v>
      </c>
      <c r="B97" s="63">
        <v>638386</v>
      </c>
      <c r="C97" s="259" t="s">
        <v>214</v>
      </c>
      <c r="D97" s="259"/>
      <c r="E97" s="112"/>
      <c r="F97" s="211" t="s">
        <v>150</v>
      </c>
      <c r="G97" s="101"/>
      <c r="H97" s="123">
        <v>2095</v>
      </c>
      <c r="I97" s="101">
        <f>I92-H97</f>
        <v>66975.27</v>
      </c>
      <c r="N97" s="97"/>
      <c r="O97" s="97"/>
    </row>
    <row r="98" spans="1:15" x14ac:dyDescent="0.3">
      <c r="A98" s="126"/>
      <c r="B98" s="63"/>
      <c r="C98" s="259"/>
      <c r="D98" s="259"/>
      <c r="E98" s="112"/>
      <c r="F98" s="208" t="s">
        <v>151</v>
      </c>
      <c r="G98" s="101"/>
      <c r="H98" s="123"/>
      <c r="I98" s="101"/>
      <c r="N98" s="97"/>
      <c r="O98" s="97"/>
    </row>
    <row r="99" spans="1:15" x14ac:dyDescent="0.3">
      <c r="A99" s="126"/>
      <c r="B99" s="63"/>
      <c r="C99" s="259"/>
      <c r="D99" s="259"/>
      <c r="E99" s="112"/>
      <c r="F99" s="208" t="s">
        <v>212</v>
      </c>
      <c r="G99" s="101"/>
      <c r="H99" s="123"/>
      <c r="I99" s="101"/>
      <c r="N99" s="97"/>
      <c r="O99" s="97"/>
    </row>
    <row r="100" spans="1:15" x14ac:dyDescent="0.3">
      <c r="A100" s="126"/>
      <c r="B100" s="63"/>
      <c r="C100" s="259"/>
      <c r="D100" s="259"/>
      <c r="E100" s="112"/>
      <c r="F100" s="208" t="s">
        <v>213</v>
      </c>
      <c r="G100" s="101"/>
      <c r="H100" s="123"/>
      <c r="I100" s="101"/>
      <c r="N100" s="97"/>
      <c r="O100" s="97"/>
    </row>
    <row r="101" spans="1:15" x14ac:dyDescent="0.3">
      <c r="A101" s="126"/>
      <c r="B101" s="63"/>
      <c r="C101" s="259"/>
      <c r="D101" s="259"/>
      <c r="E101" s="112"/>
      <c r="F101" s="208" t="s">
        <v>154</v>
      </c>
      <c r="G101" s="101"/>
      <c r="H101" s="123"/>
      <c r="I101" s="101"/>
      <c r="N101" s="97"/>
      <c r="O101" s="97"/>
    </row>
    <row r="102" spans="1:15" x14ac:dyDescent="0.3">
      <c r="A102" s="126">
        <v>45058</v>
      </c>
      <c r="B102" s="63">
        <v>638391</v>
      </c>
      <c r="C102" s="259" t="s">
        <v>214</v>
      </c>
      <c r="D102" s="259"/>
      <c r="E102" s="112"/>
      <c r="F102" s="211" t="s">
        <v>150</v>
      </c>
      <c r="G102" s="101"/>
      <c r="H102" s="123">
        <v>838</v>
      </c>
      <c r="I102" s="101">
        <f>I97-H102</f>
        <v>66137.27</v>
      </c>
      <c r="N102" s="97"/>
      <c r="O102" s="97"/>
    </row>
    <row r="103" spans="1:15" x14ac:dyDescent="0.3">
      <c r="A103" s="126"/>
      <c r="B103" s="63"/>
      <c r="C103" s="259"/>
      <c r="D103" s="259"/>
      <c r="E103" s="112"/>
      <c r="F103" s="208" t="s">
        <v>151</v>
      </c>
      <c r="G103" s="101"/>
      <c r="H103" s="123"/>
      <c r="I103" s="101"/>
      <c r="N103" s="97"/>
      <c r="O103" s="97"/>
    </row>
    <row r="104" spans="1:15" x14ac:dyDescent="0.3">
      <c r="A104" s="126"/>
      <c r="B104" s="63"/>
      <c r="C104" s="259"/>
      <c r="D104" s="259"/>
      <c r="E104" s="112"/>
      <c r="F104" s="208" t="s">
        <v>212</v>
      </c>
      <c r="G104" s="101"/>
      <c r="H104" s="123"/>
      <c r="I104" s="101"/>
      <c r="N104" s="97"/>
      <c r="O104" s="97"/>
    </row>
    <row r="105" spans="1:15" x14ac:dyDescent="0.3">
      <c r="A105" s="126"/>
      <c r="B105" s="63"/>
      <c r="C105" s="259"/>
      <c r="D105" s="259"/>
      <c r="E105" s="112"/>
      <c r="F105" s="208" t="s">
        <v>213</v>
      </c>
      <c r="G105" s="101"/>
      <c r="H105" s="123"/>
      <c r="I105" s="101"/>
      <c r="N105" s="97"/>
      <c r="O105" s="97"/>
    </row>
    <row r="106" spans="1:15" x14ac:dyDescent="0.3">
      <c r="A106" s="126"/>
      <c r="B106" s="63"/>
      <c r="C106" s="259"/>
      <c r="D106" s="259"/>
      <c r="E106" s="112"/>
      <c r="F106" s="208" t="s">
        <v>154</v>
      </c>
      <c r="G106" s="101"/>
      <c r="H106" s="123"/>
      <c r="I106" s="101"/>
      <c r="N106" s="97"/>
      <c r="O106" s="97"/>
    </row>
    <row r="107" spans="1:15" x14ac:dyDescent="0.3">
      <c r="A107" s="126">
        <v>45089</v>
      </c>
      <c r="B107" s="63">
        <v>638395</v>
      </c>
      <c r="C107" s="259" t="s">
        <v>214</v>
      </c>
      <c r="D107" s="259"/>
      <c r="E107" s="112"/>
      <c r="F107" s="211" t="s">
        <v>150</v>
      </c>
      <c r="G107" s="101"/>
      <c r="H107" s="123">
        <v>1676</v>
      </c>
      <c r="I107" s="101">
        <f>I102-H107</f>
        <v>64461.270000000004</v>
      </c>
      <c r="N107" s="97"/>
      <c r="O107" s="97"/>
    </row>
    <row r="108" spans="1:15" x14ac:dyDescent="0.3">
      <c r="A108" s="126"/>
      <c r="B108" s="63"/>
      <c r="C108" s="259"/>
      <c r="D108" s="259"/>
      <c r="E108" s="112"/>
      <c r="F108" s="208" t="s">
        <v>151</v>
      </c>
      <c r="G108" s="101"/>
      <c r="H108" s="123"/>
      <c r="I108" s="101"/>
      <c r="N108" s="97"/>
      <c r="O108" s="97"/>
    </row>
    <row r="109" spans="1:15" x14ac:dyDescent="0.3">
      <c r="A109" s="126"/>
      <c r="B109" s="63"/>
      <c r="C109" s="259"/>
      <c r="D109" s="259"/>
      <c r="E109" s="112"/>
      <c r="F109" s="208" t="s">
        <v>212</v>
      </c>
      <c r="G109" s="101"/>
      <c r="H109" s="123"/>
      <c r="I109" s="101"/>
      <c r="N109" s="97"/>
      <c r="O109" s="97"/>
    </row>
    <row r="110" spans="1:15" x14ac:dyDescent="0.3">
      <c r="A110" s="126"/>
      <c r="B110" s="63"/>
      <c r="C110" s="259"/>
      <c r="D110" s="259"/>
      <c r="E110" s="112"/>
      <c r="F110" s="208" t="s">
        <v>213</v>
      </c>
      <c r="G110" s="101"/>
      <c r="H110" s="123"/>
      <c r="I110" s="101"/>
      <c r="N110" s="97"/>
      <c r="O110" s="97"/>
    </row>
    <row r="111" spans="1:15" x14ac:dyDescent="0.3">
      <c r="A111" s="126"/>
      <c r="B111" s="63"/>
      <c r="C111" s="259"/>
      <c r="D111" s="259"/>
      <c r="E111" s="112"/>
      <c r="F111" s="208" t="s">
        <v>154</v>
      </c>
      <c r="G111" s="101"/>
      <c r="H111" s="123"/>
      <c r="I111" s="101"/>
      <c r="N111" s="97"/>
      <c r="O111" s="97"/>
    </row>
    <row r="112" spans="1:15" x14ac:dyDescent="0.3">
      <c r="A112" s="126">
        <v>45119</v>
      </c>
      <c r="B112" s="63">
        <v>638400</v>
      </c>
      <c r="C112" s="259" t="s">
        <v>214</v>
      </c>
      <c r="D112" s="259"/>
      <c r="E112" s="112"/>
      <c r="F112" s="211" t="s">
        <v>150</v>
      </c>
      <c r="G112" s="101"/>
      <c r="H112" s="123">
        <v>8380</v>
      </c>
      <c r="I112" s="101">
        <f>I107-H112</f>
        <v>56081.270000000004</v>
      </c>
      <c r="N112" s="97"/>
      <c r="O112" s="97"/>
    </row>
    <row r="113" spans="1:15" x14ac:dyDescent="0.3">
      <c r="A113" s="126"/>
      <c r="B113" s="63"/>
      <c r="C113" s="259"/>
      <c r="D113" s="259"/>
      <c r="E113" s="112"/>
      <c r="F113" s="208" t="s">
        <v>151</v>
      </c>
      <c r="G113" s="101"/>
      <c r="H113" s="123"/>
      <c r="I113" s="101"/>
      <c r="N113" s="97"/>
      <c r="O113" s="97"/>
    </row>
    <row r="114" spans="1:15" x14ac:dyDescent="0.3">
      <c r="A114" s="126"/>
      <c r="B114" s="63"/>
      <c r="C114" s="259"/>
      <c r="D114" s="259"/>
      <c r="E114" s="112"/>
      <c r="F114" s="208" t="s">
        <v>212</v>
      </c>
      <c r="G114" s="101"/>
      <c r="H114" s="123"/>
      <c r="I114" s="101"/>
      <c r="N114" s="97"/>
      <c r="O114" s="97"/>
    </row>
    <row r="115" spans="1:15" x14ac:dyDescent="0.3">
      <c r="A115" s="126"/>
      <c r="B115" s="63"/>
      <c r="C115" s="259"/>
      <c r="D115" s="259"/>
      <c r="E115" s="112"/>
      <c r="F115" s="208" t="s">
        <v>213</v>
      </c>
      <c r="G115" s="101"/>
      <c r="H115" s="123"/>
      <c r="I115" s="101"/>
      <c r="N115" s="97"/>
      <c r="O115" s="97"/>
    </row>
    <row r="116" spans="1:15" x14ac:dyDescent="0.3">
      <c r="A116" s="126"/>
      <c r="B116" s="63"/>
      <c r="C116" s="259"/>
      <c r="D116" s="259"/>
      <c r="E116" s="112"/>
      <c r="F116" s="208" t="s">
        <v>154</v>
      </c>
      <c r="G116" s="101"/>
      <c r="H116" s="123"/>
      <c r="I116" s="101"/>
      <c r="N116" s="97"/>
      <c r="O116" s="97"/>
    </row>
    <row r="117" spans="1:15" x14ac:dyDescent="0.3">
      <c r="A117" s="126">
        <v>45181</v>
      </c>
      <c r="B117" s="118" t="s">
        <v>202</v>
      </c>
      <c r="C117" s="259" t="s">
        <v>203</v>
      </c>
      <c r="D117" s="259"/>
      <c r="E117" s="112"/>
      <c r="F117" s="212" t="s">
        <v>193</v>
      </c>
      <c r="G117" s="101"/>
      <c r="H117" s="123">
        <v>9000</v>
      </c>
      <c r="I117" s="101">
        <f>I112-H117</f>
        <v>47081.270000000004</v>
      </c>
      <c r="N117" s="97"/>
      <c r="O117" s="97"/>
    </row>
    <row r="118" spans="1:15" x14ac:dyDescent="0.3">
      <c r="A118" s="126">
        <v>45181</v>
      </c>
      <c r="B118" s="118" t="s">
        <v>204</v>
      </c>
      <c r="C118" s="259" t="s">
        <v>203</v>
      </c>
      <c r="D118" s="259"/>
      <c r="E118" s="112"/>
      <c r="F118" s="212" t="s">
        <v>193</v>
      </c>
      <c r="G118" s="101"/>
      <c r="H118" s="123">
        <v>4800</v>
      </c>
      <c r="I118" s="101">
        <f>I117-H118</f>
        <v>42281.270000000004</v>
      </c>
      <c r="N118" s="97"/>
      <c r="O118" s="97"/>
    </row>
    <row r="119" spans="1:15" x14ac:dyDescent="0.3">
      <c r="A119" s="126">
        <v>45211</v>
      </c>
      <c r="B119" s="63">
        <v>73370080</v>
      </c>
      <c r="C119" s="259" t="s">
        <v>67</v>
      </c>
      <c r="D119" s="259"/>
      <c r="E119" s="112"/>
      <c r="F119" s="210" t="s">
        <v>180</v>
      </c>
      <c r="G119" s="101"/>
      <c r="H119" s="123">
        <v>9607.2800000000007</v>
      </c>
      <c r="I119" s="101">
        <f>I118-H119</f>
        <v>32673.990000000005</v>
      </c>
      <c r="N119" s="97"/>
      <c r="O119" s="97"/>
    </row>
    <row r="120" spans="1:15" x14ac:dyDescent="0.3">
      <c r="A120" s="126"/>
      <c r="B120" s="63"/>
      <c r="C120" s="259"/>
      <c r="D120" s="259"/>
      <c r="E120" s="112"/>
      <c r="F120" s="210" t="s">
        <v>181</v>
      </c>
      <c r="G120" s="101"/>
      <c r="H120" s="123"/>
      <c r="I120" s="101"/>
      <c r="N120" s="97"/>
      <c r="O120" s="97"/>
    </row>
    <row r="121" spans="1:15" x14ac:dyDescent="0.3">
      <c r="A121" s="126"/>
      <c r="B121" s="63"/>
      <c r="C121" s="259"/>
      <c r="D121" s="259"/>
      <c r="E121" s="112"/>
      <c r="F121" s="209" t="s">
        <v>185</v>
      </c>
      <c r="G121" s="101"/>
      <c r="H121" s="123"/>
      <c r="I121" s="101"/>
      <c r="N121" s="97"/>
      <c r="O121" s="97"/>
    </row>
    <row r="122" spans="1:15" x14ac:dyDescent="0.3">
      <c r="A122" s="126">
        <v>45211</v>
      </c>
      <c r="B122" s="63" t="s">
        <v>205</v>
      </c>
      <c r="C122" s="259" t="s">
        <v>206</v>
      </c>
      <c r="D122" s="259"/>
      <c r="E122" s="112"/>
      <c r="F122" s="212" t="s">
        <v>193</v>
      </c>
      <c r="G122" s="101"/>
      <c r="H122" s="123">
        <v>620</v>
      </c>
      <c r="I122" s="101">
        <f>I119-H122</f>
        <v>32053.990000000005</v>
      </c>
      <c r="N122" s="97"/>
      <c r="O122" s="97"/>
    </row>
    <row r="123" spans="1:15" x14ac:dyDescent="0.3">
      <c r="A123" s="126">
        <v>45211</v>
      </c>
      <c r="B123" s="63" t="s">
        <v>78</v>
      </c>
      <c r="C123" s="259" t="s">
        <v>207</v>
      </c>
      <c r="D123" s="259"/>
      <c r="E123" s="112"/>
      <c r="F123" s="212" t="s">
        <v>193</v>
      </c>
      <c r="G123" s="101"/>
      <c r="H123" s="123">
        <v>598</v>
      </c>
      <c r="I123" s="101">
        <f>I122-H123</f>
        <v>31455.990000000005</v>
      </c>
      <c r="N123" s="97"/>
      <c r="O123" s="97"/>
    </row>
    <row r="124" spans="1:15" x14ac:dyDescent="0.3">
      <c r="A124" s="126">
        <v>45211</v>
      </c>
      <c r="B124" s="118" t="s">
        <v>210</v>
      </c>
      <c r="C124" s="259" t="s">
        <v>211</v>
      </c>
      <c r="D124" s="259"/>
      <c r="E124" s="112"/>
      <c r="F124" s="212" t="s">
        <v>193</v>
      </c>
      <c r="G124" s="101"/>
      <c r="H124" s="123">
        <v>356</v>
      </c>
      <c r="I124" s="101">
        <f t="shared" ref="I124:I128" si="5">I123-H124</f>
        <v>31099.990000000005</v>
      </c>
      <c r="N124" s="97"/>
      <c r="O124" s="97"/>
    </row>
    <row r="125" spans="1:15" x14ac:dyDescent="0.3">
      <c r="A125" s="126">
        <v>45272</v>
      </c>
      <c r="B125" s="63" t="s">
        <v>78</v>
      </c>
      <c r="C125" s="259" t="s">
        <v>208</v>
      </c>
      <c r="D125" s="259"/>
      <c r="E125" s="112"/>
      <c r="F125" s="212" t="s">
        <v>193</v>
      </c>
      <c r="G125" s="101"/>
      <c r="H125" s="123">
        <v>500</v>
      </c>
      <c r="I125" s="101">
        <f t="shared" si="5"/>
        <v>30599.990000000005</v>
      </c>
      <c r="N125" s="97"/>
      <c r="O125" s="97"/>
    </row>
    <row r="126" spans="1:15" x14ac:dyDescent="0.3">
      <c r="A126" s="126">
        <v>45272</v>
      </c>
      <c r="B126" s="63" t="s">
        <v>78</v>
      </c>
      <c r="C126" s="259" t="s">
        <v>209</v>
      </c>
      <c r="D126" s="259"/>
      <c r="E126" s="112"/>
      <c r="F126" s="212" t="s">
        <v>193</v>
      </c>
      <c r="G126" s="101"/>
      <c r="H126" s="123">
        <v>500</v>
      </c>
      <c r="I126" s="101">
        <f t="shared" si="5"/>
        <v>30099.990000000005</v>
      </c>
      <c r="N126" s="97"/>
      <c r="O126" s="97"/>
    </row>
    <row r="127" spans="1:15" x14ac:dyDescent="0.3">
      <c r="A127" s="126" t="s">
        <v>215</v>
      </c>
      <c r="B127" s="118" t="s">
        <v>216</v>
      </c>
      <c r="C127" s="259" t="s">
        <v>218</v>
      </c>
      <c r="D127" s="259"/>
      <c r="E127" s="112"/>
      <c r="F127" s="214" t="s">
        <v>217</v>
      </c>
      <c r="G127" s="101"/>
      <c r="H127" s="123">
        <v>2000</v>
      </c>
      <c r="I127" s="101">
        <f t="shared" si="5"/>
        <v>28099.990000000005</v>
      </c>
      <c r="N127" s="97"/>
      <c r="O127" s="97"/>
    </row>
    <row r="128" spans="1:15" x14ac:dyDescent="0.3">
      <c r="A128" s="126" t="s">
        <v>223</v>
      </c>
      <c r="B128" s="63">
        <v>7325</v>
      </c>
      <c r="C128" s="259" t="s">
        <v>224</v>
      </c>
      <c r="D128" s="259"/>
      <c r="E128" s="112"/>
      <c r="F128" s="208" t="s">
        <v>222</v>
      </c>
      <c r="G128" s="101"/>
      <c r="H128" s="123">
        <v>2599</v>
      </c>
      <c r="I128" s="101">
        <f t="shared" si="5"/>
        <v>25500.990000000005</v>
      </c>
      <c r="N128" s="97"/>
      <c r="O128" s="97"/>
    </row>
    <row r="129" spans="1:18" x14ac:dyDescent="0.3">
      <c r="A129" s="67"/>
      <c r="B129" s="68"/>
      <c r="C129" s="270"/>
      <c r="D129" s="271"/>
      <c r="E129" s="112"/>
      <c r="F129" s="120"/>
      <c r="G129" s="101"/>
      <c r="H129" s="124"/>
      <c r="I129" s="71"/>
      <c r="N129" s="97"/>
      <c r="O129" s="97"/>
      <c r="R129" s="66"/>
    </row>
    <row r="130" spans="1:18" ht="15.6" x14ac:dyDescent="0.3">
      <c r="A130" s="272"/>
      <c r="B130" s="273"/>
      <c r="C130" s="273"/>
      <c r="D130" s="273"/>
      <c r="E130" s="273"/>
      <c r="F130" s="273"/>
      <c r="G130" s="273"/>
      <c r="H130" s="273"/>
      <c r="I130" s="274"/>
      <c r="R130" s="66"/>
    </row>
    <row r="131" spans="1:18" x14ac:dyDescent="0.3">
      <c r="A131" s="104"/>
      <c r="B131" s="87"/>
      <c r="C131" s="87"/>
      <c r="D131" s="87"/>
      <c r="E131" s="87"/>
      <c r="F131" s="87"/>
      <c r="G131" s="87"/>
      <c r="H131" s="87"/>
      <c r="I131" s="105"/>
      <c r="R131" s="66"/>
    </row>
    <row r="132" spans="1:18" x14ac:dyDescent="0.3">
      <c r="A132" s="106"/>
      <c r="B132" s="275" t="s">
        <v>225</v>
      </c>
      <c r="C132" s="275"/>
      <c r="D132" s="275"/>
      <c r="E132" s="275"/>
      <c r="F132" s="275"/>
      <c r="G132" s="275"/>
      <c r="H132" s="275"/>
      <c r="I132" s="105"/>
      <c r="R132" s="59"/>
    </row>
    <row r="133" spans="1:18" x14ac:dyDescent="0.3">
      <c r="A133" s="106"/>
      <c r="B133" s="275"/>
      <c r="C133" s="275"/>
      <c r="D133" s="275"/>
      <c r="E133" s="275"/>
      <c r="F133" s="275"/>
      <c r="G133" s="275"/>
      <c r="H133" s="275"/>
      <c r="I133" s="105"/>
      <c r="R133" s="59"/>
    </row>
    <row r="134" spans="1:18" x14ac:dyDescent="0.3">
      <c r="A134" s="106"/>
      <c r="B134" s="275"/>
      <c r="C134" s="275"/>
      <c r="D134" s="275"/>
      <c r="E134" s="275"/>
      <c r="F134" s="275"/>
      <c r="G134" s="275"/>
      <c r="H134" s="275"/>
      <c r="I134" s="105"/>
      <c r="R134" s="59"/>
    </row>
    <row r="135" spans="1:18" x14ac:dyDescent="0.3">
      <c r="A135" s="106"/>
      <c r="B135" s="275"/>
      <c r="C135" s="275"/>
      <c r="D135" s="275"/>
      <c r="E135" s="275"/>
      <c r="F135" s="275"/>
      <c r="G135" s="275"/>
      <c r="H135" s="275"/>
      <c r="I135" s="105"/>
      <c r="R135" s="59"/>
    </row>
    <row r="136" spans="1:18" x14ac:dyDescent="0.3">
      <c r="A136" s="104"/>
      <c r="B136" s="275"/>
      <c r="C136" s="275"/>
      <c r="D136" s="275"/>
      <c r="E136" s="275"/>
      <c r="F136" s="275"/>
      <c r="G136" s="275"/>
      <c r="H136" s="275"/>
      <c r="I136" s="105"/>
      <c r="R136" s="59"/>
    </row>
    <row r="137" spans="1:18" x14ac:dyDescent="0.3">
      <c r="A137" s="104"/>
      <c r="B137" s="87"/>
      <c r="C137" s="87"/>
      <c r="D137" s="87"/>
      <c r="E137" s="87"/>
      <c r="F137" s="280" t="s">
        <v>12</v>
      </c>
      <c r="G137" s="280"/>
      <c r="H137" s="280"/>
      <c r="I137" s="105"/>
      <c r="R137" s="59"/>
    </row>
    <row r="138" spans="1:18" x14ac:dyDescent="0.3">
      <c r="A138" s="104"/>
      <c r="B138" s="87"/>
      <c r="C138" s="87"/>
      <c r="D138" s="87"/>
      <c r="E138" s="87"/>
      <c r="F138" s="260" t="s">
        <v>37</v>
      </c>
      <c r="G138" s="260"/>
      <c r="H138" s="260"/>
      <c r="I138" s="105"/>
    </row>
    <row r="139" spans="1:18" x14ac:dyDescent="0.3">
      <c r="A139" s="104"/>
      <c r="B139" s="87"/>
      <c r="C139" s="87"/>
      <c r="D139" s="87"/>
      <c r="E139" s="87"/>
      <c r="F139" s="260"/>
      <c r="G139" s="260"/>
      <c r="H139" s="260"/>
      <c r="I139" s="105"/>
    </row>
    <row r="140" spans="1:18" x14ac:dyDescent="0.3">
      <c r="A140" s="104"/>
      <c r="B140" s="87"/>
      <c r="C140" s="87"/>
      <c r="D140" s="87"/>
      <c r="E140" s="87"/>
      <c r="F140" s="269" t="s">
        <v>223</v>
      </c>
      <c r="G140" s="269"/>
      <c r="H140" s="269"/>
      <c r="I140" s="105"/>
    </row>
    <row r="141" spans="1:18" x14ac:dyDescent="0.3">
      <c r="A141" s="104"/>
      <c r="B141" s="87"/>
      <c r="C141" s="87"/>
      <c r="D141" s="87"/>
      <c r="E141" s="87"/>
      <c r="F141" s="260" t="s">
        <v>1</v>
      </c>
      <c r="G141" s="260"/>
      <c r="H141" s="260"/>
      <c r="I141" s="105"/>
    </row>
    <row r="142" spans="1:18" x14ac:dyDescent="0.3">
      <c r="A142" s="107"/>
      <c r="B142" s="108"/>
      <c r="C142" s="108"/>
      <c r="D142" s="108"/>
      <c r="E142" s="108"/>
      <c r="F142" s="108"/>
      <c r="G142" s="108"/>
      <c r="H142" s="108"/>
      <c r="I142" s="109"/>
    </row>
    <row r="143" spans="1:18" x14ac:dyDescent="0.3">
      <c r="A143" s="110"/>
      <c r="B143" s="87"/>
      <c r="C143" s="87"/>
      <c r="D143" s="87"/>
      <c r="E143" s="87"/>
      <c r="F143" s="87"/>
      <c r="G143" s="87"/>
      <c r="H143" s="87"/>
      <c r="I143" s="87"/>
    </row>
    <row r="144" spans="1:18" ht="15.6" x14ac:dyDescent="0.3">
      <c r="A144" s="111"/>
      <c r="B144" s="111"/>
      <c r="C144" s="111"/>
      <c r="D144" s="111"/>
      <c r="E144" s="111"/>
      <c r="F144" s="111"/>
      <c r="G144" s="111"/>
      <c r="H144" s="111"/>
      <c r="I144" s="111"/>
    </row>
  </sheetData>
  <mergeCells count="140">
    <mergeCell ref="H1:I1"/>
    <mergeCell ref="A4:I4"/>
    <mergeCell ref="G8:I8"/>
    <mergeCell ref="A10:C10"/>
    <mergeCell ref="D10:G10"/>
    <mergeCell ref="H10:I10"/>
    <mergeCell ref="A11:C11"/>
    <mergeCell ref="D11:G11"/>
    <mergeCell ref="H11:I11"/>
    <mergeCell ref="A12:A13"/>
    <mergeCell ref="B12:B13"/>
    <mergeCell ref="C12:D13"/>
    <mergeCell ref="E12:E13"/>
    <mergeCell ref="F12:F13"/>
    <mergeCell ref="G12:G13"/>
    <mergeCell ref="H12:H13"/>
    <mergeCell ref="F140:H140"/>
    <mergeCell ref="F141:H141"/>
    <mergeCell ref="C129:D129"/>
    <mergeCell ref="A130:I130"/>
    <mergeCell ref="B132:H136"/>
    <mergeCell ref="I12:I13"/>
    <mergeCell ref="C14:D14"/>
    <mergeCell ref="C15:D15"/>
    <mergeCell ref="C16:D16"/>
    <mergeCell ref="C26:D26"/>
    <mergeCell ref="C27:D27"/>
    <mergeCell ref="C28:D28"/>
    <mergeCell ref="C29:D29"/>
    <mergeCell ref="C30:D30"/>
    <mergeCell ref="C31:D31"/>
    <mergeCell ref="F137:H137"/>
    <mergeCell ref="F138:H138"/>
    <mergeCell ref="F139:H13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128:D1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122:D122"/>
    <mergeCell ref="C123:D123"/>
    <mergeCell ref="C124:D124"/>
    <mergeCell ref="C125:D125"/>
    <mergeCell ref="C126:D126"/>
    <mergeCell ref="C127:D127"/>
    <mergeCell ref="C116:D116"/>
    <mergeCell ref="C117:D117"/>
    <mergeCell ref="C118:D118"/>
    <mergeCell ref="C119:D119"/>
    <mergeCell ref="C120:D120"/>
    <mergeCell ref="C121:D121"/>
    <mergeCell ref="C110:D110"/>
    <mergeCell ref="C111:D111"/>
  </mergeCells>
  <printOptions horizontalCentered="1"/>
  <pageMargins left="0.39370078740157483" right="0.39370078740157483" top="0.39370078740157483" bottom="0.78740157480314965" header="0" footer="0.51181102362204722"/>
  <pageSetup paperSize="9" scale="66" fitToHeight="10" orientation="portrait" r:id="rId1"/>
  <headerFooter>
    <oddFooter>&amp;C&amp;"Times New Roman,Regular"&amp;12 &amp;13 110</oddFooter>
  </headerFooter>
  <rowBreaks count="1" manualBreakCount="1">
    <brk id="77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FA43-B2E9-487B-AD70-B6AB8AFF97AC}">
  <dimension ref="A1:J163"/>
  <sheetViews>
    <sheetView view="pageBreakPreview" topLeftCell="A115" zoomScale="85" zoomScaleSheetLayoutView="85" workbookViewId="0">
      <selection activeCell="E140" sqref="E140"/>
    </sheetView>
  </sheetViews>
  <sheetFormatPr defaultColWidth="8.88671875" defaultRowHeight="14.4" x14ac:dyDescent="0.3"/>
  <cols>
    <col min="1" max="1" width="9.109375" style="9" customWidth="1"/>
    <col min="2" max="2" width="13.33203125" style="9" customWidth="1"/>
    <col min="3" max="4" width="12.33203125" style="9" customWidth="1"/>
    <col min="5" max="5" width="14.88671875" style="9" customWidth="1"/>
    <col min="6" max="6" width="38.109375" style="9" customWidth="1"/>
    <col min="7" max="7" width="13.88671875" style="9" customWidth="1"/>
    <col min="8" max="8" width="37.109375" style="9" customWidth="1"/>
    <col min="9" max="9" width="12.5546875" style="9" customWidth="1"/>
    <col min="10" max="16384" width="8.88671875" style="9"/>
  </cols>
  <sheetData>
    <row r="1" spans="1:10" ht="24.75" customHeight="1" x14ac:dyDescent="0.3">
      <c r="A1" s="291">
        <v>112</v>
      </c>
      <c r="I1" s="10" t="s">
        <v>13</v>
      </c>
    </row>
    <row r="2" spans="1:10" ht="15.75" customHeight="1" x14ac:dyDescent="0.3">
      <c r="A2" s="291"/>
      <c r="I2" s="10"/>
    </row>
    <row r="3" spans="1:10" ht="17.399999999999999" x14ac:dyDescent="0.3">
      <c r="A3" s="291"/>
      <c r="B3" s="292" t="s">
        <v>14</v>
      </c>
      <c r="C3" s="292"/>
      <c r="D3" s="292"/>
      <c r="E3" s="292"/>
      <c r="F3" s="292"/>
      <c r="G3" s="292"/>
      <c r="H3" s="292"/>
      <c r="I3" s="292"/>
    </row>
    <row r="4" spans="1:10" ht="15" customHeight="1" x14ac:dyDescent="0.3">
      <c r="A4" s="291"/>
      <c r="B4" s="293" t="s">
        <v>226</v>
      </c>
      <c r="C4" s="293"/>
      <c r="D4" s="293"/>
      <c r="E4" s="293"/>
      <c r="F4" s="293"/>
      <c r="G4" s="293"/>
      <c r="H4" s="293"/>
      <c r="I4" s="293"/>
    </row>
    <row r="5" spans="1:10" ht="15.6" x14ac:dyDescent="0.3">
      <c r="A5" s="291"/>
      <c r="B5" s="11"/>
      <c r="C5" s="11"/>
      <c r="D5" s="11"/>
      <c r="E5" s="11"/>
      <c r="F5" s="12"/>
      <c r="G5" s="11"/>
      <c r="H5" s="11"/>
      <c r="I5" s="11"/>
    </row>
    <row r="6" spans="1:10" ht="17.399999999999999" customHeight="1" x14ac:dyDescent="0.3">
      <c r="A6" s="291"/>
      <c r="B6" s="13" t="s">
        <v>59</v>
      </c>
      <c r="C6" s="14"/>
      <c r="D6" s="14"/>
      <c r="E6" s="14"/>
      <c r="F6" s="14"/>
      <c r="G6" s="14"/>
      <c r="H6" s="15" t="s">
        <v>15</v>
      </c>
      <c r="I6" s="14"/>
      <c r="J6" s="16"/>
    </row>
    <row r="7" spans="1:10" ht="18.600000000000001" customHeight="1" x14ac:dyDescent="0.3">
      <c r="A7" s="291"/>
      <c r="B7" s="13" t="s">
        <v>112</v>
      </c>
      <c r="C7" s="14"/>
      <c r="D7" s="14"/>
      <c r="E7" s="14"/>
      <c r="F7" s="14"/>
      <c r="G7" s="14"/>
      <c r="H7" s="15" t="s">
        <v>16</v>
      </c>
      <c r="I7" s="14"/>
    </row>
    <row r="8" spans="1:10" ht="7.5" customHeight="1" x14ac:dyDescent="0.3">
      <c r="A8" s="291"/>
      <c r="B8" s="14"/>
      <c r="C8" s="14"/>
      <c r="D8" s="14"/>
      <c r="E8" s="14"/>
      <c r="F8" s="14"/>
      <c r="G8" s="14"/>
      <c r="H8" s="14"/>
      <c r="I8" s="14"/>
    </row>
    <row r="9" spans="1:10" ht="18.600000000000001" customHeight="1" x14ac:dyDescent="0.3">
      <c r="A9" s="291"/>
      <c r="B9" s="294" t="s">
        <v>1</v>
      </c>
      <c r="C9" s="295" t="s">
        <v>17</v>
      </c>
      <c r="D9" s="295" t="s">
        <v>18</v>
      </c>
      <c r="E9" s="295" t="s">
        <v>19</v>
      </c>
      <c r="F9" s="294" t="s">
        <v>20</v>
      </c>
      <c r="G9" s="295" t="s">
        <v>21</v>
      </c>
      <c r="H9" s="294" t="s">
        <v>22</v>
      </c>
      <c r="I9" s="294" t="s">
        <v>6</v>
      </c>
    </row>
    <row r="10" spans="1:10" ht="22.2" customHeight="1" x14ac:dyDescent="0.3">
      <c r="A10" s="291"/>
      <c r="B10" s="294"/>
      <c r="C10" s="295"/>
      <c r="D10" s="295"/>
      <c r="E10" s="295"/>
      <c r="F10" s="294"/>
      <c r="G10" s="295"/>
      <c r="H10" s="294"/>
      <c r="I10" s="294"/>
    </row>
    <row r="11" spans="1:10" ht="15" customHeight="1" x14ac:dyDescent="0.3">
      <c r="A11" s="291"/>
      <c r="B11" s="1"/>
      <c r="C11" s="45"/>
      <c r="D11" s="2"/>
      <c r="E11" s="45"/>
      <c r="F11" s="42"/>
      <c r="G11" s="45"/>
      <c r="H11" s="3"/>
      <c r="I11" s="4"/>
    </row>
    <row r="12" spans="1:10" ht="15" customHeight="1" x14ac:dyDescent="0.3">
      <c r="A12" s="291"/>
      <c r="B12" s="126" t="s">
        <v>162</v>
      </c>
      <c r="C12" s="45"/>
      <c r="D12" s="118" t="s">
        <v>163</v>
      </c>
      <c r="E12" s="45"/>
      <c r="F12" s="128" t="s">
        <v>164</v>
      </c>
      <c r="G12" s="128"/>
      <c r="H12" s="215" t="s">
        <v>161</v>
      </c>
      <c r="I12" s="123">
        <v>239</v>
      </c>
    </row>
    <row r="13" spans="1:10" ht="15" customHeight="1" x14ac:dyDescent="0.3">
      <c r="A13" s="291"/>
      <c r="B13" s="126" t="s">
        <v>162</v>
      </c>
      <c r="C13" s="45"/>
      <c r="D13" s="118" t="s">
        <v>163</v>
      </c>
      <c r="E13" s="45"/>
      <c r="F13" s="128" t="s">
        <v>164</v>
      </c>
      <c r="G13" s="128"/>
      <c r="H13" s="211" t="s">
        <v>161</v>
      </c>
      <c r="I13" s="123">
        <v>583</v>
      </c>
    </row>
    <row r="14" spans="1:10" ht="15" customHeight="1" x14ac:dyDescent="0.3">
      <c r="A14" s="291"/>
      <c r="B14" s="126" t="s">
        <v>162</v>
      </c>
      <c r="C14" s="45"/>
      <c r="D14" s="118" t="s">
        <v>163</v>
      </c>
      <c r="E14" s="45"/>
      <c r="F14" s="128" t="s">
        <v>164</v>
      </c>
      <c r="G14" s="128"/>
      <c r="H14" s="211" t="s">
        <v>161</v>
      </c>
      <c r="I14" s="123">
        <v>269</v>
      </c>
    </row>
    <row r="15" spans="1:10" ht="15" customHeight="1" x14ac:dyDescent="0.3">
      <c r="A15" s="291"/>
      <c r="B15" s="126" t="s">
        <v>162</v>
      </c>
      <c r="C15" s="45"/>
      <c r="D15" s="63">
        <v>202108</v>
      </c>
      <c r="E15" s="45"/>
      <c r="F15" s="128" t="s">
        <v>61</v>
      </c>
      <c r="G15" s="128"/>
      <c r="H15" s="208" t="s">
        <v>178</v>
      </c>
      <c r="I15" s="123">
        <v>700</v>
      </c>
    </row>
    <row r="16" spans="1:10" ht="15" customHeight="1" x14ac:dyDescent="0.3">
      <c r="A16" s="291"/>
      <c r="B16" s="126" t="s">
        <v>162</v>
      </c>
      <c r="C16" s="45"/>
      <c r="D16" s="63">
        <v>202108</v>
      </c>
      <c r="E16" s="45"/>
      <c r="F16" s="128" t="s">
        <v>61</v>
      </c>
      <c r="G16" s="128"/>
      <c r="H16" s="208" t="s">
        <v>177</v>
      </c>
      <c r="I16" s="123">
        <v>1800</v>
      </c>
    </row>
    <row r="17" spans="1:9" ht="15" customHeight="1" x14ac:dyDescent="0.3">
      <c r="A17" s="291"/>
      <c r="B17" s="126" t="s">
        <v>125</v>
      </c>
      <c r="C17" s="45"/>
      <c r="D17" s="63">
        <v>415932</v>
      </c>
      <c r="E17" s="45"/>
      <c r="F17" s="128" t="s">
        <v>131</v>
      </c>
      <c r="G17" s="128"/>
      <c r="H17" s="211" t="s">
        <v>123</v>
      </c>
      <c r="I17" s="123">
        <v>727.75</v>
      </c>
    </row>
    <row r="18" spans="1:9" ht="15" customHeight="1" x14ac:dyDescent="0.3">
      <c r="A18" s="291"/>
      <c r="B18" s="126" t="s">
        <v>125</v>
      </c>
      <c r="C18" s="45"/>
      <c r="D18" s="63">
        <v>415932</v>
      </c>
      <c r="E18" s="45"/>
      <c r="F18" s="128" t="s">
        <v>131</v>
      </c>
      <c r="G18" s="128"/>
      <c r="H18" s="211" t="s">
        <v>124</v>
      </c>
      <c r="I18" s="123">
        <v>365.9</v>
      </c>
    </row>
    <row r="19" spans="1:9" ht="15" customHeight="1" x14ac:dyDescent="0.3">
      <c r="A19" s="291"/>
      <c r="B19" s="126" t="s">
        <v>179</v>
      </c>
      <c r="C19" s="45"/>
      <c r="D19" s="63">
        <v>196058</v>
      </c>
      <c r="E19" s="45"/>
      <c r="F19" s="128" t="s">
        <v>186</v>
      </c>
      <c r="G19" s="128"/>
      <c r="H19" s="210" t="s">
        <v>180</v>
      </c>
      <c r="I19" s="123">
        <v>4468</v>
      </c>
    </row>
    <row r="20" spans="1:9" ht="15" customHeight="1" x14ac:dyDescent="0.3">
      <c r="A20" s="291"/>
      <c r="B20" s="126"/>
      <c r="C20" s="45"/>
      <c r="D20" s="63"/>
      <c r="E20" s="45"/>
      <c r="F20" s="128"/>
      <c r="G20" s="128"/>
      <c r="H20" s="210" t="s">
        <v>181</v>
      </c>
      <c r="I20" s="123"/>
    </row>
    <row r="21" spans="1:9" ht="15" customHeight="1" x14ac:dyDescent="0.3">
      <c r="A21" s="291"/>
      <c r="B21" s="126"/>
      <c r="C21" s="45"/>
      <c r="D21" s="63"/>
      <c r="E21" s="45"/>
      <c r="F21" s="128"/>
      <c r="G21" s="128"/>
      <c r="H21" s="209" t="s">
        <v>182</v>
      </c>
      <c r="I21" s="123"/>
    </row>
    <row r="22" spans="1:9" ht="15" customHeight="1" x14ac:dyDescent="0.3">
      <c r="A22" s="291"/>
      <c r="B22" s="126" t="s">
        <v>179</v>
      </c>
      <c r="C22" s="45"/>
      <c r="D22" s="63">
        <v>196059</v>
      </c>
      <c r="E22" s="45"/>
      <c r="F22" s="128" t="s">
        <v>186</v>
      </c>
      <c r="G22" s="128"/>
      <c r="H22" s="210" t="s">
        <v>180</v>
      </c>
      <c r="I22" s="123">
        <v>4468</v>
      </c>
    </row>
    <row r="23" spans="1:9" ht="15" customHeight="1" x14ac:dyDescent="0.3">
      <c r="A23" s="291"/>
      <c r="B23" s="126"/>
      <c r="C23" s="45"/>
      <c r="D23" s="63"/>
      <c r="E23" s="45"/>
      <c r="F23" s="128"/>
      <c r="G23" s="128"/>
      <c r="H23" s="210" t="s">
        <v>181</v>
      </c>
      <c r="I23" s="123"/>
    </row>
    <row r="24" spans="1:9" ht="15" customHeight="1" x14ac:dyDescent="0.3">
      <c r="A24" s="291"/>
      <c r="B24" s="126"/>
      <c r="C24" s="45"/>
      <c r="D24" s="63"/>
      <c r="E24" s="45"/>
      <c r="F24" s="128"/>
      <c r="G24" s="128"/>
      <c r="H24" s="209" t="s">
        <v>182</v>
      </c>
      <c r="I24" s="123"/>
    </row>
    <row r="25" spans="1:9" ht="15" customHeight="1" x14ac:dyDescent="0.3">
      <c r="A25" s="291"/>
      <c r="B25" s="126" t="s">
        <v>136</v>
      </c>
      <c r="C25" s="45"/>
      <c r="D25" s="63">
        <v>195145</v>
      </c>
      <c r="E25" s="45"/>
      <c r="F25" s="128" t="s">
        <v>132</v>
      </c>
      <c r="G25" s="128"/>
      <c r="H25" s="212" t="s">
        <v>126</v>
      </c>
      <c r="I25" s="123">
        <v>2382.85</v>
      </c>
    </row>
    <row r="26" spans="1:9" ht="15" customHeight="1" x14ac:dyDescent="0.3">
      <c r="A26" s="291"/>
      <c r="B26" s="126" t="s">
        <v>136</v>
      </c>
      <c r="C26" s="45"/>
      <c r="D26" s="118" t="s">
        <v>138</v>
      </c>
      <c r="E26" s="45"/>
      <c r="F26" s="128" t="s">
        <v>137</v>
      </c>
      <c r="G26" s="128"/>
      <c r="H26" s="127" t="s">
        <v>126</v>
      </c>
      <c r="I26" s="123">
        <v>200</v>
      </c>
    </row>
    <row r="27" spans="1:9" ht="15" customHeight="1" x14ac:dyDescent="0.3">
      <c r="A27" s="291"/>
      <c r="B27" s="67" t="s">
        <v>191</v>
      </c>
      <c r="C27" s="45"/>
      <c r="D27" s="68">
        <v>157231</v>
      </c>
      <c r="E27" s="45"/>
      <c r="F27" s="128" t="s">
        <v>190</v>
      </c>
      <c r="G27" s="128"/>
      <c r="H27" s="208" t="s">
        <v>66</v>
      </c>
      <c r="I27" s="124">
        <v>1000</v>
      </c>
    </row>
    <row r="28" spans="1:9" ht="15" customHeight="1" x14ac:dyDescent="0.3">
      <c r="A28" s="291"/>
      <c r="B28" s="126" t="s">
        <v>127</v>
      </c>
      <c r="C28" s="45"/>
      <c r="D28" s="63">
        <v>1601</v>
      </c>
      <c r="E28" s="45"/>
      <c r="F28" s="128" t="s">
        <v>61</v>
      </c>
      <c r="G28" s="128"/>
      <c r="H28" s="213" t="s">
        <v>155</v>
      </c>
      <c r="I28" s="123">
        <v>800</v>
      </c>
    </row>
    <row r="29" spans="1:9" ht="15" customHeight="1" x14ac:dyDescent="0.3">
      <c r="A29" s="291"/>
      <c r="B29" s="126" t="s">
        <v>127</v>
      </c>
      <c r="C29" s="45"/>
      <c r="D29" s="63">
        <v>31936</v>
      </c>
      <c r="E29" s="45"/>
      <c r="F29" s="128" t="s">
        <v>164</v>
      </c>
      <c r="G29" s="128"/>
      <c r="H29" s="208" t="s">
        <v>165</v>
      </c>
      <c r="I29" s="123">
        <v>112</v>
      </c>
    </row>
    <row r="30" spans="1:9" ht="15" customHeight="1" x14ac:dyDescent="0.3">
      <c r="A30" s="291"/>
      <c r="B30" s="126" t="s">
        <v>127</v>
      </c>
      <c r="C30" s="45"/>
      <c r="D30" s="118" t="s">
        <v>128</v>
      </c>
      <c r="E30" s="45"/>
      <c r="F30" s="128" t="s">
        <v>132</v>
      </c>
      <c r="G30" s="128"/>
      <c r="H30" s="212" t="s">
        <v>126</v>
      </c>
      <c r="I30" s="123">
        <v>569.79999999999995</v>
      </c>
    </row>
    <row r="31" spans="1:9" ht="15" customHeight="1" x14ac:dyDescent="0.3">
      <c r="A31" s="291"/>
      <c r="B31" s="126" t="s">
        <v>127</v>
      </c>
      <c r="C31" s="45"/>
      <c r="D31" s="63" t="s">
        <v>78</v>
      </c>
      <c r="E31" s="45"/>
      <c r="F31" s="128" t="s">
        <v>133</v>
      </c>
      <c r="G31" s="128"/>
      <c r="H31" s="212" t="s">
        <v>126</v>
      </c>
      <c r="I31" s="123">
        <v>354</v>
      </c>
    </row>
    <row r="32" spans="1:9" ht="15" customHeight="1" x14ac:dyDescent="0.3">
      <c r="A32" s="291"/>
      <c r="B32" s="126" t="s">
        <v>127</v>
      </c>
      <c r="C32" s="45"/>
      <c r="D32" s="63" t="s">
        <v>78</v>
      </c>
      <c r="E32" s="45"/>
      <c r="F32" s="128" t="s">
        <v>65</v>
      </c>
      <c r="G32" s="128"/>
      <c r="H32" s="212" t="s">
        <v>126</v>
      </c>
      <c r="I32" s="123">
        <v>290</v>
      </c>
    </row>
    <row r="33" spans="1:9" ht="15" customHeight="1" x14ac:dyDescent="0.3">
      <c r="A33" s="291"/>
      <c r="B33" s="126" t="s">
        <v>145</v>
      </c>
      <c r="C33" s="45"/>
      <c r="D33" s="63">
        <v>515703</v>
      </c>
      <c r="E33" s="45"/>
      <c r="F33" s="128" t="s">
        <v>146</v>
      </c>
      <c r="G33" s="128"/>
      <c r="H33" s="212" t="s">
        <v>126</v>
      </c>
      <c r="I33" s="123">
        <v>70</v>
      </c>
    </row>
    <row r="34" spans="1:9" ht="15" customHeight="1" x14ac:dyDescent="0.3">
      <c r="A34" s="291"/>
      <c r="B34" s="126" t="s">
        <v>145</v>
      </c>
      <c r="C34" s="45"/>
      <c r="D34" s="118" t="s">
        <v>147</v>
      </c>
      <c r="E34" s="45"/>
      <c r="F34" s="128" t="s">
        <v>80</v>
      </c>
      <c r="G34" s="128"/>
      <c r="H34" s="212" t="s">
        <v>126</v>
      </c>
      <c r="I34" s="123">
        <v>1256.92</v>
      </c>
    </row>
    <row r="35" spans="1:9" ht="15" customHeight="1" x14ac:dyDescent="0.3">
      <c r="A35" s="291"/>
      <c r="B35" s="126" t="s">
        <v>145</v>
      </c>
      <c r="C35" s="45"/>
      <c r="D35" s="63" t="s">
        <v>130</v>
      </c>
      <c r="E35" s="45"/>
      <c r="F35" s="128" t="s">
        <v>65</v>
      </c>
      <c r="G35" s="128"/>
      <c r="H35" s="212" t="s">
        <v>126</v>
      </c>
      <c r="I35" s="123">
        <v>90</v>
      </c>
    </row>
    <row r="36" spans="1:9" ht="15" customHeight="1" x14ac:dyDescent="0.3">
      <c r="A36" s="291"/>
      <c r="B36" s="126" t="s">
        <v>145</v>
      </c>
      <c r="C36" s="45"/>
      <c r="D36" s="63" t="s">
        <v>130</v>
      </c>
      <c r="E36" s="45"/>
      <c r="F36" s="128" t="s">
        <v>65</v>
      </c>
      <c r="G36" s="128"/>
      <c r="H36" s="212" t="s">
        <v>126</v>
      </c>
      <c r="I36" s="123">
        <v>54</v>
      </c>
    </row>
    <row r="37" spans="1:9" ht="15" customHeight="1" x14ac:dyDescent="0.3">
      <c r="A37" s="291"/>
      <c r="B37" s="126" t="s">
        <v>145</v>
      </c>
      <c r="C37" s="45"/>
      <c r="D37" s="63" t="s">
        <v>130</v>
      </c>
      <c r="E37" s="45"/>
      <c r="F37" s="128" t="s">
        <v>65</v>
      </c>
      <c r="G37" s="128"/>
      <c r="H37" s="212" t="s">
        <v>126</v>
      </c>
      <c r="I37" s="123">
        <v>285</v>
      </c>
    </row>
    <row r="38" spans="1:9" ht="15" customHeight="1" x14ac:dyDescent="0.3">
      <c r="A38" s="291"/>
      <c r="B38" s="126" t="s">
        <v>145</v>
      </c>
      <c r="C38" s="45"/>
      <c r="D38" s="63" t="s">
        <v>78</v>
      </c>
      <c r="E38" s="45"/>
      <c r="F38" s="128" t="s">
        <v>148</v>
      </c>
      <c r="G38" s="128"/>
      <c r="H38" s="212" t="s">
        <v>126</v>
      </c>
      <c r="I38" s="123">
        <v>450</v>
      </c>
    </row>
    <row r="39" spans="1:9" ht="15" customHeight="1" x14ac:dyDescent="0.3">
      <c r="A39" s="291"/>
      <c r="B39" s="67" t="s">
        <v>129</v>
      </c>
      <c r="C39" s="45"/>
      <c r="D39" s="68">
        <v>127262</v>
      </c>
      <c r="E39" s="45"/>
      <c r="F39" s="128" t="s">
        <v>192</v>
      </c>
      <c r="G39" s="128"/>
      <c r="H39" s="208" t="s">
        <v>66</v>
      </c>
      <c r="I39" s="124">
        <v>2000</v>
      </c>
    </row>
    <row r="40" spans="1:9" ht="15" customHeight="1" x14ac:dyDescent="0.3">
      <c r="A40" s="291"/>
      <c r="B40" s="126" t="s">
        <v>129</v>
      </c>
      <c r="C40" s="45"/>
      <c r="D40" s="63" t="s">
        <v>130</v>
      </c>
      <c r="E40" s="45"/>
      <c r="F40" s="128" t="s">
        <v>65</v>
      </c>
      <c r="G40" s="128"/>
      <c r="H40" s="212" t="s">
        <v>126</v>
      </c>
      <c r="I40" s="123">
        <v>165</v>
      </c>
    </row>
    <row r="41" spans="1:9" ht="15" customHeight="1" x14ac:dyDescent="0.3">
      <c r="A41" s="291"/>
      <c r="B41" s="126" t="s">
        <v>156</v>
      </c>
      <c r="C41" s="45"/>
      <c r="D41" s="63">
        <v>9320</v>
      </c>
      <c r="E41" s="45"/>
      <c r="F41" s="128" t="s">
        <v>159</v>
      </c>
      <c r="G41" s="128"/>
      <c r="H41" s="208" t="s">
        <v>157</v>
      </c>
      <c r="I41" s="123">
        <v>9600</v>
      </c>
    </row>
    <row r="42" spans="1:9" ht="15" customHeight="1" x14ac:dyDescent="0.3">
      <c r="A42" s="291"/>
      <c r="B42" s="126" t="s">
        <v>156</v>
      </c>
      <c r="C42" s="45"/>
      <c r="D42" s="63">
        <v>132604</v>
      </c>
      <c r="E42" s="45"/>
      <c r="F42" s="128" t="s">
        <v>160</v>
      </c>
      <c r="G42" s="128"/>
      <c r="H42" s="211" t="s">
        <v>158</v>
      </c>
      <c r="I42" s="123">
        <v>2025</v>
      </c>
    </row>
    <row r="43" spans="1:9" ht="15" customHeight="1" x14ac:dyDescent="0.3">
      <c r="A43" s="291"/>
      <c r="B43" s="126" t="s">
        <v>156</v>
      </c>
      <c r="C43" s="45"/>
      <c r="D43" s="63">
        <v>132604</v>
      </c>
      <c r="E43" s="45"/>
      <c r="F43" s="128" t="s">
        <v>160</v>
      </c>
      <c r="G43" s="128"/>
      <c r="H43" s="208" t="s">
        <v>157</v>
      </c>
      <c r="I43" s="123">
        <v>4650</v>
      </c>
    </row>
    <row r="44" spans="1:9" ht="15" customHeight="1" x14ac:dyDescent="0.3">
      <c r="A44" s="291"/>
      <c r="B44" s="126" t="s">
        <v>134</v>
      </c>
      <c r="C44" s="45"/>
      <c r="D44" s="63" t="s">
        <v>62</v>
      </c>
      <c r="E44" s="45"/>
      <c r="F44" s="128" t="s">
        <v>189</v>
      </c>
      <c r="G44" s="128"/>
      <c r="H44" s="208" t="s">
        <v>187</v>
      </c>
      <c r="I44" s="123">
        <v>4000</v>
      </c>
    </row>
    <row r="45" spans="1:9" ht="15" customHeight="1" x14ac:dyDescent="0.3">
      <c r="A45" s="291"/>
      <c r="B45" s="126"/>
      <c r="C45" s="45"/>
      <c r="D45" s="63"/>
      <c r="E45" s="45"/>
      <c r="F45" s="128"/>
      <c r="G45" s="128"/>
      <c r="H45" s="208" t="s">
        <v>188</v>
      </c>
      <c r="I45" s="123"/>
    </row>
    <row r="46" spans="1:9" ht="15" customHeight="1" x14ac:dyDescent="0.3">
      <c r="A46" s="291"/>
      <c r="B46" s="126" t="s">
        <v>134</v>
      </c>
      <c r="C46" s="45"/>
      <c r="D46" s="63">
        <v>15277</v>
      </c>
      <c r="E46" s="45"/>
      <c r="F46" s="128" t="s">
        <v>168</v>
      </c>
      <c r="G46" s="128"/>
      <c r="H46" s="208" t="s">
        <v>166</v>
      </c>
      <c r="I46" s="123">
        <v>3380</v>
      </c>
    </row>
    <row r="47" spans="1:9" ht="15" customHeight="1" x14ac:dyDescent="0.3">
      <c r="A47" s="291"/>
      <c r="B47" s="126" t="s">
        <v>134</v>
      </c>
      <c r="C47" s="45"/>
      <c r="D47" s="63">
        <v>283267</v>
      </c>
      <c r="E47" s="45"/>
      <c r="F47" s="128" t="s">
        <v>169</v>
      </c>
      <c r="G47" s="128"/>
      <c r="H47" s="211" t="s">
        <v>167</v>
      </c>
      <c r="I47" s="123">
        <v>3175</v>
      </c>
    </row>
    <row r="48" spans="1:9" ht="15" customHeight="1" x14ac:dyDescent="0.3">
      <c r="A48" s="291"/>
      <c r="B48" s="126" t="s">
        <v>134</v>
      </c>
      <c r="C48" s="45"/>
      <c r="D48" s="63" t="s">
        <v>62</v>
      </c>
      <c r="E48" s="45"/>
      <c r="F48" s="128" t="s">
        <v>221</v>
      </c>
      <c r="G48" s="128"/>
      <c r="H48" s="208" t="s">
        <v>219</v>
      </c>
      <c r="I48" s="123">
        <v>1500</v>
      </c>
    </row>
    <row r="49" spans="1:9" ht="15" customHeight="1" x14ac:dyDescent="0.3">
      <c r="A49" s="291"/>
      <c r="B49" s="126"/>
      <c r="C49" s="45"/>
      <c r="D49" s="63"/>
      <c r="E49" s="45"/>
      <c r="F49" s="128"/>
      <c r="G49" s="128"/>
      <c r="H49" s="208" t="s">
        <v>220</v>
      </c>
      <c r="I49" s="123"/>
    </row>
    <row r="50" spans="1:9" ht="15" customHeight="1" x14ac:dyDescent="0.3">
      <c r="A50" s="291"/>
      <c r="B50" s="126" t="s">
        <v>134</v>
      </c>
      <c r="C50" s="45"/>
      <c r="D50" s="63">
        <v>3299</v>
      </c>
      <c r="E50" s="45"/>
      <c r="F50" s="128" t="s">
        <v>135</v>
      </c>
      <c r="G50" s="128"/>
      <c r="H50" s="212" t="s">
        <v>126</v>
      </c>
      <c r="I50" s="123">
        <v>107.25</v>
      </c>
    </row>
    <row r="51" spans="1:9" ht="15" customHeight="1" x14ac:dyDescent="0.3">
      <c r="A51" s="291"/>
      <c r="B51" s="126" t="s">
        <v>134</v>
      </c>
      <c r="C51" s="45"/>
      <c r="D51" s="63" t="s">
        <v>130</v>
      </c>
      <c r="E51" s="45"/>
      <c r="F51" s="128" t="s">
        <v>65</v>
      </c>
      <c r="G51" s="128"/>
      <c r="H51" s="212" t="s">
        <v>126</v>
      </c>
      <c r="I51" s="123">
        <v>184</v>
      </c>
    </row>
    <row r="52" spans="1:9" ht="15" customHeight="1" x14ac:dyDescent="0.3">
      <c r="A52" s="291"/>
      <c r="B52" s="126" t="s">
        <v>134</v>
      </c>
      <c r="C52" s="45"/>
      <c r="D52" s="63" t="s">
        <v>130</v>
      </c>
      <c r="E52" s="45"/>
      <c r="F52" s="128" t="s">
        <v>65</v>
      </c>
      <c r="G52" s="128"/>
      <c r="H52" s="212" t="s">
        <v>126</v>
      </c>
      <c r="I52" s="123">
        <v>295</v>
      </c>
    </row>
    <row r="53" spans="1:9" ht="15" customHeight="1" x14ac:dyDescent="0.3">
      <c r="A53" s="291"/>
      <c r="B53" s="126" t="s">
        <v>134</v>
      </c>
      <c r="C53" s="45"/>
      <c r="D53" s="63" t="s">
        <v>130</v>
      </c>
      <c r="E53" s="45"/>
      <c r="F53" s="128" t="s">
        <v>65</v>
      </c>
      <c r="G53" s="128"/>
      <c r="H53" s="212" t="s">
        <v>126</v>
      </c>
      <c r="I53" s="123">
        <v>117</v>
      </c>
    </row>
    <row r="54" spans="1:9" ht="15" customHeight="1" x14ac:dyDescent="0.3">
      <c r="A54" s="291"/>
      <c r="B54" s="126" t="s">
        <v>139</v>
      </c>
      <c r="C54" s="45"/>
      <c r="D54" s="63">
        <v>2272</v>
      </c>
      <c r="E54" s="45"/>
      <c r="F54" s="128" t="s">
        <v>176</v>
      </c>
      <c r="G54" s="128"/>
      <c r="H54" s="208" t="s">
        <v>170</v>
      </c>
      <c r="I54" s="123">
        <v>75</v>
      </c>
    </row>
    <row r="55" spans="1:9" ht="15" customHeight="1" x14ac:dyDescent="0.3">
      <c r="A55" s="291"/>
      <c r="B55" s="126" t="s">
        <v>139</v>
      </c>
      <c r="C55" s="45"/>
      <c r="D55" s="63">
        <v>2272</v>
      </c>
      <c r="E55" s="45"/>
      <c r="F55" s="128" t="s">
        <v>176</v>
      </c>
      <c r="G55" s="128"/>
      <c r="H55" s="211" t="s">
        <v>172</v>
      </c>
      <c r="I55" s="123">
        <v>45</v>
      </c>
    </row>
    <row r="56" spans="1:9" ht="15" customHeight="1" x14ac:dyDescent="0.3">
      <c r="A56" s="291"/>
      <c r="B56" s="126" t="s">
        <v>139</v>
      </c>
      <c r="C56" s="45"/>
      <c r="D56" s="63">
        <v>2272</v>
      </c>
      <c r="E56" s="45"/>
      <c r="F56" s="128" t="s">
        <v>176</v>
      </c>
      <c r="G56" s="128"/>
      <c r="H56" s="211" t="s">
        <v>171</v>
      </c>
      <c r="I56" s="123">
        <v>50</v>
      </c>
    </row>
    <row r="57" spans="1:9" ht="15" customHeight="1" x14ac:dyDescent="0.3">
      <c r="A57" s="291"/>
      <c r="B57" s="126" t="s">
        <v>139</v>
      </c>
      <c r="C57" s="45"/>
      <c r="D57" s="63">
        <v>2272</v>
      </c>
      <c r="E57" s="45"/>
      <c r="F57" s="128" t="s">
        <v>176</v>
      </c>
      <c r="G57" s="128"/>
      <c r="H57" s="211" t="s">
        <v>173</v>
      </c>
      <c r="I57" s="123">
        <v>35</v>
      </c>
    </row>
    <row r="58" spans="1:9" ht="15" customHeight="1" x14ac:dyDescent="0.3">
      <c r="A58" s="291"/>
      <c r="B58" s="126" t="s">
        <v>139</v>
      </c>
      <c r="C58" s="45"/>
      <c r="D58" s="63">
        <v>2272</v>
      </c>
      <c r="E58" s="45"/>
      <c r="F58" s="128" t="s">
        <v>176</v>
      </c>
      <c r="G58" s="128"/>
      <c r="H58" s="211" t="s">
        <v>174</v>
      </c>
      <c r="I58" s="123">
        <v>30</v>
      </c>
    </row>
    <row r="59" spans="1:9" ht="15" customHeight="1" x14ac:dyDescent="0.3">
      <c r="A59" s="291"/>
      <c r="B59" s="126" t="s">
        <v>139</v>
      </c>
      <c r="C59" s="45"/>
      <c r="D59" s="63">
        <v>2272</v>
      </c>
      <c r="E59" s="45"/>
      <c r="F59" s="128" t="s">
        <v>176</v>
      </c>
      <c r="G59" s="128"/>
      <c r="H59" s="211" t="s">
        <v>175</v>
      </c>
      <c r="I59" s="123">
        <v>20</v>
      </c>
    </row>
    <row r="60" spans="1:9" ht="15" customHeight="1" x14ac:dyDescent="0.3">
      <c r="A60" s="291"/>
      <c r="B60" s="126" t="s">
        <v>139</v>
      </c>
      <c r="C60" s="45"/>
      <c r="D60" s="63">
        <v>343859</v>
      </c>
      <c r="E60" s="45"/>
      <c r="F60" s="128" t="s">
        <v>140</v>
      </c>
      <c r="G60" s="128"/>
      <c r="H60" s="212" t="s">
        <v>126</v>
      </c>
      <c r="I60" s="123">
        <v>441.5</v>
      </c>
    </row>
    <row r="61" spans="1:9" ht="15" customHeight="1" x14ac:dyDescent="0.3">
      <c r="A61" s="291"/>
      <c r="B61" s="126" t="s">
        <v>139</v>
      </c>
      <c r="C61" s="45"/>
      <c r="D61" s="63" t="s">
        <v>130</v>
      </c>
      <c r="E61" s="45"/>
      <c r="F61" s="128" t="s">
        <v>65</v>
      </c>
      <c r="G61" s="128"/>
      <c r="H61" s="212" t="s">
        <v>126</v>
      </c>
      <c r="I61" s="123">
        <v>150</v>
      </c>
    </row>
    <row r="62" spans="1:9" ht="15" customHeight="1" x14ac:dyDescent="0.3">
      <c r="A62" s="291"/>
      <c r="B62" s="126" t="s">
        <v>139</v>
      </c>
      <c r="C62" s="45"/>
      <c r="D62" s="63" t="s">
        <v>130</v>
      </c>
      <c r="E62" s="45"/>
      <c r="F62" s="128" t="s">
        <v>65</v>
      </c>
      <c r="G62" s="128"/>
      <c r="H62" s="212" t="s">
        <v>126</v>
      </c>
      <c r="I62" s="123">
        <v>215</v>
      </c>
    </row>
    <row r="63" spans="1:9" ht="15" customHeight="1" x14ac:dyDescent="0.3">
      <c r="A63" s="291"/>
      <c r="B63" s="126" t="s">
        <v>139</v>
      </c>
      <c r="C63" s="45"/>
      <c r="D63" s="63" t="s">
        <v>130</v>
      </c>
      <c r="E63" s="45"/>
      <c r="F63" s="128" t="s">
        <v>65</v>
      </c>
      <c r="G63" s="128"/>
      <c r="H63" s="212" t="s">
        <v>126</v>
      </c>
      <c r="I63" s="123">
        <v>285</v>
      </c>
    </row>
    <row r="64" spans="1:9" ht="15" customHeight="1" x14ac:dyDescent="0.3">
      <c r="A64" s="291"/>
      <c r="B64" s="126" t="s">
        <v>141</v>
      </c>
      <c r="C64" s="45"/>
      <c r="D64" s="63">
        <v>2891156</v>
      </c>
      <c r="E64" s="45"/>
      <c r="F64" s="128" t="s">
        <v>142</v>
      </c>
      <c r="G64" s="128"/>
      <c r="H64" s="212" t="s">
        <v>126</v>
      </c>
      <c r="I64" s="123">
        <v>265</v>
      </c>
    </row>
    <row r="65" spans="1:9" ht="15" customHeight="1" x14ac:dyDescent="0.3">
      <c r="A65" s="291"/>
      <c r="B65" s="126" t="s">
        <v>141</v>
      </c>
      <c r="C65" s="45"/>
      <c r="D65" s="63" t="s">
        <v>130</v>
      </c>
      <c r="E65" s="45"/>
      <c r="F65" s="128" t="s">
        <v>65</v>
      </c>
      <c r="G65" s="128"/>
      <c r="H65" s="212" t="s">
        <v>126</v>
      </c>
      <c r="I65" s="123">
        <v>195</v>
      </c>
    </row>
    <row r="66" spans="1:9" ht="15" customHeight="1" x14ac:dyDescent="0.3">
      <c r="A66" s="291"/>
      <c r="B66" s="67">
        <v>44938</v>
      </c>
      <c r="C66" s="45"/>
      <c r="D66" s="68">
        <v>157461</v>
      </c>
      <c r="E66" s="45"/>
      <c r="F66" s="128" t="s">
        <v>190</v>
      </c>
      <c r="G66" s="128"/>
      <c r="H66" s="208" t="s">
        <v>66</v>
      </c>
      <c r="I66" s="124">
        <v>2000</v>
      </c>
    </row>
    <row r="67" spans="1:9" ht="15" customHeight="1" x14ac:dyDescent="0.3">
      <c r="A67" s="291"/>
      <c r="B67" s="126">
        <v>44938</v>
      </c>
      <c r="C67" s="45"/>
      <c r="D67" s="63" t="s">
        <v>130</v>
      </c>
      <c r="E67" s="45"/>
      <c r="F67" s="128" t="s">
        <v>65</v>
      </c>
      <c r="G67" s="128"/>
      <c r="H67" s="212" t="s">
        <v>126</v>
      </c>
      <c r="I67" s="123">
        <v>114</v>
      </c>
    </row>
    <row r="68" spans="1:9" ht="15" customHeight="1" x14ac:dyDescent="0.3">
      <c r="A68" s="291"/>
      <c r="B68" s="126">
        <v>44938</v>
      </c>
      <c r="C68" s="45"/>
      <c r="D68" s="63" t="s">
        <v>130</v>
      </c>
      <c r="E68" s="45"/>
      <c r="F68" s="128" t="s">
        <v>65</v>
      </c>
      <c r="G68" s="128"/>
      <c r="H68" s="212" t="s">
        <v>126</v>
      </c>
      <c r="I68" s="123">
        <v>286</v>
      </c>
    </row>
    <row r="69" spans="1:9" ht="15" customHeight="1" x14ac:dyDescent="0.3">
      <c r="A69" s="291"/>
      <c r="B69" s="126">
        <v>44938</v>
      </c>
      <c r="C69" s="45"/>
      <c r="D69" s="63" t="s">
        <v>130</v>
      </c>
      <c r="E69" s="45"/>
      <c r="F69" s="128" t="s">
        <v>65</v>
      </c>
      <c r="G69" s="128"/>
      <c r="H69" s="212" t="s">
        <v>126</v>
      </c>
      <c r="I69" s="123">
        <v>246</v>
      </c>
    </row>
    <row r="70" spans="1:9" ht="15" customHeight="1" x14ac:dyDescent="0.3">
      <c r="A70" s="291"/>
      <c r="B70" s="126">
        <v>44938</v>
      </c>
      <c r="C70" s="45"/>
      <c r="D70" s="63">
        <v>73145387</v>
      </c>
      <c r="E70" s="45"/>
      <c r="F70" s="128" t="s">
        <v>67</v>
      </c>
      <c r="G70" s="128"/>
      <c r="H70" s="210" t="s">
        <v>180</v>
      </c>
      <c r="I70" s="123">
        <v>25075.759999999998</v>
      </c>
    </row>
    <row r="71" spans="1:9" ht="15" customHeight="1" x14ac:dyDescent="0.3">
      <c r="A71" s="291"/>
      <c r="B71" s="126"/>
      <c r="C71" s="45"/>
      <c r="D71" s="63"/>
      <c r="E71" s="45"/>
      <c r="F71" s="128"/>
      <c r="G71" s="128"/>
      <c r="H71" s="210" t="s">
        <v>181</v>
      </c>
      <c r="I71" s="123"/>
    </row>
    <row r="72" spans="1:9" ht="15" customHeight="1" x14ac:dyDescent="0.3">
      <c r="A72" s="291"/>
      <c r="B72" s="126"/>
      <c r="C72" s="45"/>
      <c r="D72" s="63"/>
      <c r="E72" s="45"/>
      <c r="F72" s="128"/>
      <c r="G72" s="128"/>
      <c r="H72" s="209" t="s">
        <v>183</v>
      </c>
      <c r="I72" s="123"/>
    </row>
    <row r="73" spans="1:9" ht="15" customHeight="1" x14ac:dyDescent="0.3">
      <c r="A73" s="291"/>
      <c r="B73" s="126"/>
      <c r="C73" s="45"/>
      <c r="D73" s="63"/>
      <c r="E73" s="45"/>
      <c r="F73" s="128"/>
      <c r="G73" s="128"/>
      <c r="H73" s="209" t="s">
        <v>184</v>
      </c>
      <c r="I73" s="123"/>
    </row>
    <row r="74" spans="1:9" ht="15" customHeight="1" x14ac:dyDescent="0.3">
      <c r="A74" s="291"/>
      <c r="B74" s="126">
        <v>44969</v>
      </c>
      <c r="C74" s="45"/>
      <c r="D74" s="118" t="s">
        <v>143</v>
      </c>
      <c r="E74" s="45"/>
      <c r="F74" s="128" t="s">
        <v>144</v>
      </c>
      <c r="G74" s="128"/>
      <c r="H74" s="212" t="s">
        <v>126</v>
      </c>
      <c r="I74" s="123">
        <v>425</v>
      </c>
    </row>
    <row r="75" spans="1:9" ht="15" customHeight="1" x14ac:dyDescent="0.3">
      <c r="A75" s="291"/>
      <c r="B75" s="126">
        <v>44997</v>
      </c>
      <c r="C75" s="45"/>
      <c r="D75" s="63">
        <v>265025</v>
      </c>
      <c r="E75" s="45"/>
      <c r="F75" s="128" t="s">
        <v>194</v>
      </c>
      <c r="G75" s="128"/>
      <c r="H75" s="212" t="s">
        <v>126</v>
      </c>
      <c r="I75" s="123">
        <v>400</v>
      </c>
    </row>
    <row r="76" spans="1:9" ht="15" customHeight="1" x14ac:dyDescent="0.3">
      <c r="A76" s="291"/>
      <c r="B76" s="126">
        <v>44997</v>
      </c>
      <c r="C76" s="45"/>
      <c r="D76" s="118" t="s">
        <v>195</v>
      </c>
      <c r="E76" s="45"/>
      <c r="F76" s="128" t="s">
        <v>196</v>
      </c>
      <c r="G76" s="128"/>
      <c r="H76" s="212" t="s">
        <v>193</v>
      </c>
      <c r="I76" s="123">
        <v>466</v>
      </c>
    </row>
    <row r="77" spans="1:9" ht="15" customHeight="1" x14ac:dyDescent="0.3">
      <c r="A77" s="291"/>
      <c r="B77" s="126">
        <v>44997</v>
      </c>
      <c r="C77" s="45"/>
      <c r="D77" s="63">
        <v>39932</v>
      </c>
      <c r="E77" s="45"/>
      <c r="F77" s="128" t="s">
        <v>197</v>
      </c>
      <c r="G77" s="128"/>
      <c r="H77" s="212" t="s">
        <v>193</v>
      </c>
      <c r="I77" s="123">
        <v>537</v>
      </c>
    </row>
    <row r="78" spans="1:9" ht="15" customHeight="1" x14ac:dyDescent="0.3">
      <c r="A78" s="291"/>
      <c r="B78" s="126">
        <v>44997</v>
      </c>
      <c r="C78" s="45"/>
      <c r="D78" s="63">
        <v>638382</v>
      </c>
      <c r="E78" s="45"/>
      <c r="F78" s="128" t="s">
        <v>214</v>
      </c>
      <c r="G78" s="128"/>
      <c r="H78" s="211" t="s">
        <v>150</v>
      </c>
      <c r="I78" s="123">
        <v>2095</v>
      </c>
    </row>
    <row r="79" spans="1:9" ht="15" customHeight="1" x14ac:dyDescent="0.3">
      <c r="A79" s="291"/>
      <c r="B79" s="126"/>
      <c r="C79" s="45"/>
      <c r="D79" s="63"/>
      <c r="E79" s="45"/>
      <c r="F79" s="128"/>
      <c r="G79" s="128"/>
      <c r="H79" s="208" t="s">
        <v>151</v>
      </c>
      <c r="I79" s="123"/>
    </row>
    <row r="80" spans="1:9" ht="15" customHeight="1" x14ac:dyDescent="0.3">
      <c r="A80" s="291"/>
      <c r="B80" s="126"/>
      <c r="C80" s="45"/>
      <c r="D80" s="63"/>
      <c r="E80" s="45"/>
      <c r="F80" s="128"/>
      <c r="G80" s="128"/>
      <c r="H80" s="208" t="s">
        <v>212</v>
      </c>
      <c r="I80" s="123"/>
    </row>
    <row r="81" spans="1:9" ht="15" customHeight="1" x14ac:dyDescent="0.3">
      <c r="A81" s="291"/>
      <c r="B81" s="126"/>
      <c r="C81" s="45"/>
      <c r="D81" s="63"/>
      <c r="E81" s="45"/>
      <c r="F81" s="128"/>
      <c r="G81" s="128"/>
      <c r="H81" s="208" t="s">
        <v>213</v>
      </c>
      <c r="I81" s="123"/>
    </row>
    <row r="82" spans="1:9" ht="15" customHeight="1" x14ac:dyDescent="0.3">
      <c r="A82" s="291"/>
      <c r="B82" s="126"/>
      <c r="C82" s="45"/>
      <c r="D82" s="63"/>
      <c r="E82" s="45"/>
      <c r="F82" s="128"/>
      <c r="G82" s="128"/>
      <c r="H82" s="208" t="s">
        <v>154</v>
      </c>
      <c r="I82" s="123"/>
    </row>
    <row r="83" spans="1:9" ht="15" customHeight="1" x14ac:dyDescent="0.3">
      <c r="A83" s="291"/>
      <c r="B83" s="126">
        <v>45028</v>
      </c>
      <c r="C83" s="45"/>
      <c r="D83" s="63">
        <v>32975</v>
      </c>
      <c r="E83" s="45"/>
      <c r="F83" s="128" t="s">
        <v>149</v>
      </c>
      <c r="G83" s="128"/>
      <c r="H83" s="212" t="s">
        <v>126</v>
      </c>
      <c r="I83" s="123">
        <v>500</v>
      </c>
    </row>
    <row r="84" spans="1:9" ht="15" customHeight="1" x14ac:dyDescent="0.3">
      <c r="A84" s="291"/>
      <c r="B84" s="126">
        <v>45028</v>
      </c>
      <c r="C84" s="45"/>
      <c r="D84" s="118" t="s">
        <v>198</v>
      </c>
      <c r="E84" s="45"/>
      <c r="F84" s="128" t="s">
        <v>199</v>
      </c>
      <c r="G84" s="128"/>
      <c r="H84" s="212" t="s">
        <v>193</v>
      </c>
      <c r="I84" s="123">
        <v>620</v>
      </c>
    </row>
    <row r="85" spans="1:9" ht="15" customHeight="1" x14ac:dyDescent="0.3">
      <c r="A85" s="291"/>
      <c r="B85" s="126">
        <v>45028</v>
      </c>
      <c r="C85" s="45"/>
      <c r="D85" s="118" t="s">
        <v>200</v>
      </c>
      <c r="E85" s="45"/>
      <c r="F85" s="128" t="s">
        <v>199</v>
      </c>
      <c r="G85" s="128"/>
      <c r="H85" s="212" t="s">
        <v>193</v>
      </c>
      <c r="I85" s="123">
        <v>625</v>
      </c>
    </row>
    <row r="86" spans="1:9" ht="15" customHeight="1" x14ac:dyDescent="0.3">
      <c r="A86" s="291"/>
      <c r="B86" s="126">
        <v>45028</v>
      </c>
      <c r="C86" s="45"/>
      <c r="D86" s="63">
        <v>1032</v>
      </c>
      <c r="E86" s="45"/>
      <c r="F86" s="128" t="s">
        <v>201</v>
      </c>
      <c r="G86" s="128"/>
      <c r="H86" s="129" t="s">
        <v>193</v>
      </c>
      <c r="I86" s="123">
        <v>600</v>
      </c>
    </row>
    <row r="87" spans="1:9" ht="15" customHeight="1" x14ac:dyDescent="0.3">
      <c r="A87" s="291"/>
      <c r="B87" s="126">
        <v>45028</v>
      </c>
      <c r="C87" s="45"/>
      <c r="D87" s="63">
        <v>32974</v>
      </c>
      <c r="E87" s="45"/>
      <c r="F87" s="128" t="s">
        <v>149</v>
      </c>
      <c r="G87" s="128"/>
      <c r="H87" s="211" t="s">
        <v>150</v>
      </c>
      <c r="I87" s="123">
        <v>23000</v>
      </c>
    </row>
    <row r="88" spans="1:9" ht="15" customHeight="1" x14ac:dyDescent="0.3">
      <c r="A88" s="291"/>
      <c r="B88" s="126"/>
      <c r="C88" s="45"/>
      <c r="D88" s="63"/>
      <c r="E88" s="45"/>
      <c r="F88" s="128"/>
      <c r="G88" s="128"/>
      <c r="H88" s="208" t="s">
        <v>151</v>
      </c>
      <c r="I88" s="123"/>
    </row>
    <row r="89" spans="1:9" ht="15" customHeight="1" x14ac:dyDescent="0.3">
      <c r="A89" s="291"/>
      <c r="B89" s="126"/>
      <c r="C89" s="45"/>
      <c r="D89" s="63"/>
      <c r="E89" s="45"/>
      <c r="F89" s="128"/>
      <c r="G89" s="128"/>
      <c r="H89" s="208" t="s">
        <v>152</v>
      </c>
      <c r="I89" s="123"/>
    </row>
    <row r="90" spans="1:9" ht="15" customHeight="1" x14ac:dyDescent="0.3">
      <c r="A90" s="291"/>
      <c r="B90" s="126"/>
      <c r="C90" s="45"/>
      <c r="D90" s="63"/>
      <c r="E90" s="45"/>
      <c r="F90" s="128"/>
      <c r="G90" s="128"/>
      <c r="H90" s="208" t="s">
        <v>153</v>
      </c>
      <c r="I90" s="123"/>
    </row>
    <row r="91" spans="1:9" ht="15" customHeight="1" x14ac:dyDescent="0.3">
      <c r="A91" s="291"/>
      <c r="B91" s="126"/>
      <c r="C91" s="45"/>
      <c r="D91" s="63"/>
      <c r="E91" s="45"/>
      <c r="F91" s="128"/>
      <c r="G91" s="128"/>
      <c r="H91" s="208" t="s">
        <v>154</v>
      </c>
      <c r="I91" s="123"/>
    </row>
    <row r="92" spans="1:9" ht="15" customHeight="1" x14ac:dyDescent="0.3">
      <c r="A92" s="291"/>
      <c r="B92" s="126">
        <v>45028</v>
      </c>
      <c r="C92" s="45"/>
      <c r="D92" s="63">
        <v>638386</v>
      </c>
      <c r="E92" s="45"/>
      <c r="F92" s="128" t="s">
        <v>214</v>
      </c>
      <c r="G92" s="128"/>
      <c r="H92" s="211" t="s">
        <v>150</v>
      </c>
      <c r="I92" s="123">
        <v>2095</v>
      </c>
    </row>
    <row r="93" spans="1:9" ht="15" customHeight="1" x14ac:dyDescent="0.3">
      <c r="A93" s="291"/>
      <c r="B93" s="126"/>
      <c r="C93" s="45"/>
      <c r="D93" s="63"/>
      <c r="E93" s="45"/>
      <c r="F93" s="128"/>
      <c r="G93" s="128"/>
      <c r="H93" s="208" t="s">
        <v>151</v>
      </c>
      <c r="I93" s="123"/>
    </row>
    <row r="94" spans="1:9" ht="15" customHeight="1" x14ac:dyDescent="0.3">
      <c r="A94" s="291"/>
      <c r="B94" s="126"/>
      <c r="C94" s="45"/>
      <c r="D94" s="63"/>
      <c r="E94" s="45"/>
      <c r="F94" s="128"/>
      <c r="G94" s="128"/>
      <c r="H94" s="208" t="s">
        <v>212</v>
      </c>
      <c r="I94" s="123"/>
    </row>
    <row r="95" spans="1:9" ht="15" customHeight="1" x14ac:dyDescent="0.3">
      <c r="A95" s="291"/>
      <c r="B95" s="126"/>
      <c r="C95" s="45"/>
      <c r="D95" s="63"/>
      <c r="E95" s="45"/>
      <c r="F95" s="128"/>
      <c r="G95" s="128"/>
      <c r="H95" s="208" t="s">
        <v>213</v>
      </c>
      <c r="I95" s="123"/>
    </row>
    <row r="96" spans="1:9" ht="15" customHeight="1" x14ac:dyDescent="0.3">
      <c r="A96" s="291"/>
      <c r="B96" s="126"/>
      <c r="C96" s="45"/>
      <c r="D96" s="63"/>
      <c r="E96" s="45"/>
      <c r="F96" s="128"/>
      <c r="G96" s="128"/>
      <c r="H96" s="208" t="s">
        <v>154</v>
      </c>
      <c r="I96" s="123"/>
    </row>
    <row r="97" spans="1:9" ht="15" customHeight="1" x14ac:dyDescent="0.3">
      <c r="A97" s="291"/>
      <c r="B97" s="126">
        <v>45058</v>
      </c>
      <c r="C97" s="45"/>
      <c r="D97" s="63">
        <v>638391</v>
      </c>
      <c r="E97" s="45"/>
      <c r="F97" s="128" t="s">
        <v>214</v>
      </c>
      <c r="G97" s="128"/>
      <c r="H97" s="211" t="s">
        <v>150</v>
      </c>
      <c r="I97" s="123">
        <v>838</v>
      </c>
    </row>
    <row r="98" spans="1:9" ht="15" customHeight="1" x14ac:dyDescent="0.3">
      <c r="A98" s="291"/>
      <c r="B98" s="126"/>
      <c r="C98" s="45"/>
      <c r="D98" s="63"/>
      <c r="E98" s="45"/>
      <c r="F98" s="128"/>
      <c r="G98" s="128"/>
      <c r="H98" s="208" t="s">
        <v>151</v>
      </c>
      <c r="I98" s="123"/>
    </row>
    <row r="99" spans="1:9" ht="15" customHeight="1" x14ac:dyDescent="0.3">
      <c r="A99" s="291"/>
      <c r="B99" s="126"/>
      <c r="C99" s="45"/>
      <c r="D99" s="63"/>
      <c r="E99" s="45"/>
      <c r="F99" s="128"/>
      <c r="G99" s="128"/>
      <c r="H99" s="208" t="s">
        <v>212</v>
      </c>
      <c r="I99" s="123"/>
    </row>
    <row r="100" spans="1:9" ht="15" customHeight="1" x14ac:dyDescent="0.3">
      <c r="A100" s="291"/>
      <c r="B100" s="126"/>
      <c r="C100" s="45"/>
      <c r="D100" s="63"/>
      <c r="E100" s="45"/>
      <c r="F100" s="128"/>
      <c r="G100" s="128"/>
      <c r="H100" s="208" t="s">
        <v>213</v>
      </c>
      <c r="I100" s="123"/>
    </row>
    <row r="101" spans="1:9" ht="15" customHeight="1" x14ac:dyDescent="0.3">
      <c r="A101" s="291"/>
      <c r="B101" s="126"/>
      <c r="C101" s="45"/>
      <c r="D101" s="63"/>
      <c r="E101" s="45"/>
      <c r="F101" s="128"/>
      <c r="G101" s="128"/>
      <c r="H101" s="208" t="s">
        <v>154</v>
      </c>
      <c r="I101" s="123"/>
    </row>
    <row r="102" spans="1:9" ht="15" customHeight="1" x14ac:dyDescent="0.3">
      <c r="A102" s="291"/>
      <c r="B102" s="126">
        <v>45089</v>
      </c>
      <c r="C102" s="45"/>
      <c r="D102" s="63">
        <v>638395</v>
      </c>
      <c r="E102" s="45"/>
      <c r="F102" s="128" t="s">
        <v>214</v>
      </c>
      <c r="G102" s="128"/>
      <c r="H102" s="211" t="s">
        <v>150</v>
      </c>
      <c r="I102" s="123">
        <v>1676</v>
      </c>
    </row>
    <row r="103" spans="1:9" ht="15" customHeight="1" x14ac:dyDescent="0.3">
      <c r="A103" s="291"/>
      <c r="B103" s="126"/>
      <c r="C103" s="45"/>
      <c r="D103" s="63"/>
      <c r="E103" s="45"/>
      <c r="F103" s="128"/>
      <c r="G103" s="128"/>
      <c r="H103" s="208" t="s">
        <v>151</v>
      </c>
      <c r="I103" s="123"/>
    </row>
    <row r="104" spans="1:9" ht="15" customHeight="1" x14ac:dyDescent="0.3">
      <c r="A104" s="291"/>
      <c r="B104" s="126"/>
      <c r="C104" s="45"/>
      <c r="D104" s="63"/>
      <c r="E104" s="45"/>
      <c r="F104" s="128"/>
      <c r="G104" s="128"/>
      <c r="H104" s="208" t="s">
        <v>212</v>
      </c>
      <c r="I104" s="123"/>
    </row>
    <row r="105" spans="1:9" ht="15" customHeight="1" x14ac:dyDescent="0.3">
      <c r="A105" s="291"/>
      <c r="B105" s="126"/>
      <c r="C105" s="45"/>
      <c r="D105" s="63"/>
      <c r="E105" s="45"/>
      <c r="F105" s="128"/>
      <c r="G105" s="128"/>
      <c r="H105" s="208" t="s">
        <v>213</v>
      </c>
      <c r="I105" s="123"/>
    </row>
    <row r="106" spans="1:9" ht="15" customHeight="1" x14ac:dyDescent="0.3">
      <c r="A106" s="291"/>
      <c r="B106" s="126"/>
      <c r="C106" s="45"/>
      <c r="D106" s="63"/>
      <c r="E106" s="45"/>
      <c r="F106" s="128"/>
      <c r="G106" s="128"/>
      <c r="H106" s="208" t="s">
        <v>154</v>
      </c>
      <c r="I106" s="123"/>
    </row>
    <row r="107" spans="1:9" ht="15" customHeight="1" x14ac:dyDescent="0.3">
      <c r="A107" s="291"/>
      <c r="B107" s="126">
        <v>45119</v>
      </c>
      <c r="C107" s="45"/>
      <c r="D107" s="63">
        <v>638400</v>
      </c>
      <c r="E107" s="45"/>
      <c r="F107" s="128" t="s">
        <v>214</v>
      </c>
      <c r="G107" s="128"/>
      <c r="H107" s="211" t="s">
        <v>150</v>
      </c>
      <c r="I107" s="123">
        <v>8380</v>
      </c>
    </row>
    <row r="108" spans="1:9" ht="15" customHeight="1" x14ac:dyDescent="0.3">
      <c r="A108" s="291"/>
      <c r="B108" s="126"/>
      <c r="C108" s="45"/>
      <c r="D108" s="63"/>
      <c r="E108" s="45"/>
      <c r="F108" s="128"/>
      <c r="G108" s="128"/>
      <c r="H108" s="208" t="s">
        <v>151</v>
      </c>
      <c r="I108" s="123"/>
    </row>
    <row r="109" spans="1:9" ht="15" customHeight="1" x14ac:dyDescent="0.3">
      <c r="A109" s="291"/>
      <c r="B109" s="126"/>
      <c r="C109" s="45"/>
      <c r="D109" s="63"/>
      <c r="E109" s="45"/>
      <c r="F109" s="128"/>
      <c r="G109" s="128"/>
      <c r="H109" s="208" t="s">
        <v>212</v>
      </c>
      <c r="I109" s="123"/>
    </row>
    <row r="110" spans="1:9" ht="15" customHeight="1" x14ac:dyDescent="0.3">
      <c r="A110" s="291"/>
      <c r="B110" s="126"/>
      <c r="C110" s="45"/>
      <c r="D110" s="63"/>
      <c r="E110" s="45"/>
      <c r="F110" s="128"/>
      <c r="G110" s="128"/>
      <c r="H110" s="208" t="s">
        <v>213</v>
      </c>
      <c r="I110" s="123"/>
    </row>
    <row r="111" spans="1:9" ht="15" customHeight="1" x14ac:dyDescent="0.3">
      <c r="A111" s="291"/>
      <c r="B111" s="126"/>
      <c r="C111" s="45"/>
      <c r="D111" s="63"/>
      <c r="E111" s="45"/>
      <c r="F111" s="128"/>
      <c r="G111" s="128"/>
      <c r="H111" s="208" t="s">
        <v>154</v>
      </c>
      <c r="I111" s="123"/>
    </row>
    <row r="112" spans="1:9" ht="15" customHeight="1" x14ac:dyDescent="0.3">
      <c r="A112" s="291"/>
      <c r="B112" s="126">
        <v>45181</v>
      </c>
      <c r="C112" s="45"/>
      <c r="D112" s="118" t="s">
        <v>202</v>
      </c>
      <c r="E112" s="45"/>
      <c r="F112" s="128" t="s">
        <v>203</v>
      </c>
      <c r="G112" s="128"/>
      <c r="H112" s="212" t="s">
        <v>193</v>
      </c>
      <c r="I112" s="123">
        <v>9000</v>
      </c>
    </row>
    <row r="113" spans="1:9" ht="15" customHeight="1" x14ac:dyDescent="0.3">
      <c r="A113" s="291"/>
      <c r="B113" s="126">
        <v>45181</v>
      </c>
      <c r="C113" s="45"/>
      <c r="D113" s="118" t="s">
        <v>204</v>
      </c>
      <c r="E113" s="45"/>
      <c r="F113" s="128" t="s">
        <v>203</v>
      </c>
      <c r="G113" s="128"/>
      <c r="H113" s="212" t="s">
        <v>193</v>
      </c>
      <c r="I113" s="123">
        <v>4800</v>
      </c>
    </row>
    <row r="114" spans="1:9" ht="15" customHeight="1" x14ac:dyDescent="0.3">
      <c r="A114" s="291"/>
      <c r="B114" s="126">
        <v>45211</v>
      </c>
      <c r="C114" s="45"/>
      <c r="D114" s="63">
        <v>73370080</v>
      </c>
      <c r="E114" s="45"/>
      <c r="F114" s="128" t="s">
        <v>67</v>
      </c>
      <c r="G114" s="128"/>
      <c r="H114" s="210" t="s">
        <v>180</v>
      </c>
      <c r="I114" s="123">
        <v>9607.2800000000007</v>
      </c>
    </row>
    <row r="115" spans="1:9" ht="15" customHeight="1" x14ac:dyDescent="0.3">
      <c r="A115" s="291"/>
      <c r="B115" s="126"/>
      <c r="C115" s="45"/>
      <c r="D115" s="63"/>
      <c r="E115" s="45"/>
      <c r="F115" s="128"/>
      <c r="G115" s="128"/>
      <c r="H115" s="210" t="s">
        <v>181</v>
      </c>
      <c r="I115" s="123"/>
    </row>
    <row r="116" spans="1:9" ht="15" customHeight="1" x14ac:dyDescent="0.3">
      <c r="A116" s="291"/>
      <c r="B116" s="126"/>
      <c r="C116" s="45"/>
      <c r="D116" s="63"/>
      <c r="E116" s="45"/>
      <c r="F116" s="128"/>
      <c r="G116" s="128"/>
      <c r="H116" s="209" t="s">
        <v>185</v>
      </c>
      <c r="I116" s="123"/>
    </row>
    <row r="117" spans="1:9" ht="15" customHeight="1" x14ac:dyDescent="0.3">
      <c r="A117" s="291"/>
      <c r="B117" s="126">
        <v>45211</v>
      </c>
      <c r="C117" s="45"/>
      <c r="D117" s="63" t="s">
        <v>205</v>
      </c>
      <c r="E117" s="45"/>
      <c r="F117" s="128" t="s">
        <v>206</v>
      </c>
      <c r="G117" s="128"/>
      <c r="H117" s="212" t="s">
        <v>193</v>
      </c>
      <c r="I117" s="123">
        <v>620</v>
      </c>
    </row>
    <row r="118" spans="1:9" ht="15" customHeight="1" x14ac:dyDescent="0.3">
      <c r="A118" s="291"/>
      <c r="B118" s="126">
        <v>45211</v>
      </c>
      <c r="C118" s="45"/>
      <c r="D118" s="63" t="s">
        <v>78</v>
      </c>
      <c r="E118" s="45"/>
      <c r="F118" s="128" t="s">
        <v>207</v>
      </c>
      <c r="G118" s="128"/>
      <c r="H118" s="212" t="s">
        <v>193</v>
      </c>
      <c r="I118" s="123">
        <v>598</v>
      </c>
    </row>
    <row r="119" spans="1:9" ht="15" customHeight="1" x14ac:dyDescent="0.3">
      <c r="A119" s="291"/>
      <c r="B119" s="126">
        <v>45211</v>
      </c>
      <c r="C119" s="45"/>
      <c r="D119" s="118" t="s">
        <v>210</v>
      </c>
      <c r="E119" s="45"/>
      <c r="F119" s="128" t="s">
        <v>211</v>
      </c>
      <c r="G119" s="128"/>
      <c r="H119" s="212" t="s">
        <v>193</v>
      </c>
      <c r="I119" s="123">
        <v>356</v>
      </c>
    </row>
    <row r="120" spans="1:9" ht="15" customHeight="1" x14ac:dyDescent="0.3">
      <c r="A120" s="291"/>
      <c r="B120" s="126">
        <v>45272</v>
      </c>
      <c r="C120" s="45"/>
      <c r="D120" s="63" t="s">
        <v>78</v>
      </c>
      <c r="E120" s="45"/>
      <c r="F120" s="128" t="s">
        <v>208</v>
      </c>
      <c r="G120" s="128"/>
      <c r="H120" s="212" t="s">
        <v>193</v>
      </c>
      <c r="I120" s="123">
        <v>500</v>
      </c>
    </row>
    <row r="121" spans="1:9" ht="15" customHeight="1" x14ac:dyDescent="0.3">
      <c r="A121" s="291"/>
      <c r="B121" s="126">
        <v>45272</v>
      </c>
      <c r="C121" s="45"/>
      <c r="D121" s="63" t="s">
        <v>78</v>
      </c>
      <c r="E121" s="45"/>
      <c r="F121" s="128" t="s">
        <v>209</v>
      </c>
      <c r="G121" s="128"/>
      <c r="H121" s="212" t="s">
        <v>193</v>
      </c>
      <c r="I121" s="123">
        <v>500</v>
      </c>
    </row>
    <row r="122" spans="1:9" ht="15" customHeight="1" x14ac:dyDescent="0.3">
      <c r="A122" s="291"/>
      <c r="B122" s="126" t="s">
        <v>215</v>
      </c>
      <c r="C122" s="45"/>
      <c r="D122" s="118" t="s">
        <v>216</v>
      </c>
      <c r="E122" s="45"/>
      <c r="F122" s="128" t="s">
        <v>218</v>
      </c>
      <c r="G122" s="128"/>
      <c r="H122" s="214" t="s">
        <v>217</v>
      </c>
      <c r="I122" s="123">
        <v>2000</v>
      </c>
    </row>
    <row r="123" spans="1:9" ht="15" customHeight="1" x14ac:dyDescent="0.3">
      <c r="A123" s="291"/>
      <c r="B123" s="126" t="s">
        <v>223</v>
      </c>
      <c r="C123" s="45"/>
      <c r="D123" s="63">
        <v>7325</v>
      </c>
      <c r="E123" s="45"/>
      <c r="F123" s="128" t="s">
        <v>224</v>
      </c>
      <c r="G123" s="128"/>
      <c r="H123" s="208" t="s">
        <v>222</v>
      </c>
      <c r="I123" s="123">
        <v>2599</v>
      </c>
    </row>
    <row r="124" spans="1:9" ht="15" customHeight="1" x14ac:dyDescent="0.3">
      <c r="A124" s="291"/>
      <c r="B124" s="67"/>
      <c r="C124" s="68"/>
      <c r="D124" s="68"/>
      <c r="E124" s="45"/>
      <c r="F124" s="128"/>
      <c r="G124" s="128"/>
      <c r="H124" s="120"/>
      <c r="I124" s="124"/>
    </row>
    <row r="125" spans="1:9" ht="33" customHeight="1" x14ac:dyDescent="0.3">
      <c r="A125" s="291"/>
      <c r="B125" s="296" t="s">
        <v>8</v>
      </c>
      <c r="C125" s="297"/>
      <c r="D125" s="297"/>
      <c r="E125" s="297"/>
      <c r="F125" s="297"/>
      <c r="G125" s="297"/>
      <c r="H125" s="297"/>
      <c r="I125" s="297"/>
    </row>
    <row r="126" spans="1:9" ht="18" customHeight="1" x14ac:dyDescent="0.3">
      <c r="A126" s="291"/>
      <c r="B126" s="46"/>
      <c r="C126" s="47"/>
      <c r="D126" s="47"/>
      <c r="E126" s="298" t="s">
        <v>23</v>
      </c>
      <c r="F126" s="298"/>
      <c r="G126" s="298"/>
      <c r="H126" s="48"/>
      <c r="I126" s="49"/>
    </row>
    <row r="127" spans="1:9" ht="18" customHeight="1" x14ac:dyDescent="0.3">
      <c r="A127" s="291"/>
      <c r="B127" s="43"/>
      <c r="C127" s="14"/>
      <c r="D127" s="14"/>
      <c r="E127" s="299"/>
      <c r="F127" s="299"/>
      <c r="G127" s="299"/>
      <c r="H127" s="17"/>
      <c r="I127" s="50"/>
    </row>
    <row r="128" spans="1:9" ht="18" customHeight="1" x14ac:dyDescent="0.3">
      <c r="A128" s="291"/>
      <c r="B128" s="43"/>
      <c r="C128" s="14"/>
      <c r="D128" s="14"/>
      <c r="E128" s="299"/>
      <c r="F128" s="299"/>
      <c r="G128" s="299"/>
      <c r="H128" s="17"/>
      <c r="I128" s="50"/>
    </row>
    <row r="129" spans="1:10" ht="18" customHeight="1" x14ac:dyDescent="0.3">
      <c r="A129" s="291"/>
      <c r="B129" s="43"/>
      <c r="C129" s="14"/>
      <c r="D129" s="14"/>
      <c r="E129" s="299"/>
      <c r="F129" s="299"/>
      <c r="G129" s="299"/>
      <c r="H129" s="17"/>
      <c r="I129" s="50"/>
    </row>
    <row r="130" spans="1:10" ht="18" customHeight="1" x14ac:dyDescent="0.3">
      <c r="A130" s="291"/>
      <c r="B130" s="44"/>
      <c r="C130" s="17"/>
      <c r="D130" s="17"/>
      <c r="E130" s="299"/>
      <c r="F130" s="299"/>
      <c r="G130" s="299"/>
      <c r="H130" s="17"/>
      <c r="I130" s="50"/>
    </row>
    <row r="131" spans="1:10" ht="18" customHeight="1" x14ac:dyDescent="0.3">
      <c r="A131" s="291"/>
      <c r="B131" s="44"/>
      <c r="C131" s="17"/>
      <c r="D131" s="17"/>
      <c r="E131" s="17"/>
      <c r="F131" s="17"/>
      <c r="G131" s="17"/>
      <c r="H131" s="17"/>
      <c r="I131" s="50"/>
    </row>
    <row r="132" spans="1:10" ht="18" customHeight="1" x14ac:dyDescent="0.3">
      <c r="A132" s="291"/>
      <c r="B132" s="44"/>
      <c r="C132" s="17"/>
      <c r="D132" s="17"/>
      <c r="E132" s="14" t="s">
        <v>24</v>
      </c>
      <c r="F132" s="300" t="s">
        <v>12</v>
      </c>
      <c r="G132" s="300"/>
      <c r="H132" s="14"/>
      <c r="I132" s="51"/>
    </row>
    <row r="133" spans="1:10" ht="18" customHeight="1" x14ac:dyDescent="0.3">
      <c r="A133" s="291"/>
      <c r="B133" s="44"/>
      <c r="C133" s="17"/>
      <c r="D133" s="17"/>
      <c r="E133" s="17"/>
      <c r="F133" s="301" t="s">
        <v>25</v>
      </c>
      <c r="G133" s="301"/>
      <c r="H133" s="17"/>
      <c r="I133" s="50"/>
    </row>
    <row r="134" spans="1:10" ht="18" customHeight="1" x14ac:dyDescent="0.3">
      <c r="A134" s="291"/>
      <c r="B134" s="44"/>
      <c r="C134" s="17"/>
      <c r="D134" s="17"/>
      <c r="E134" s="17"/>
      <c r="F134" s="17"/>
      <c r="G134" s="17"/>
      <c r="H134" s="17"/>
      <c r="I134" s="50"/>
    </row>
    <row r="135" spans="1:10" ht="18" customHeight="1" x14ac:dyDescent="0.3">
      <c r="A135" s="291"/>
      <c r="B135" s="44"/>
      <c r="C135" s="17"/>
      <c r="D135" s="17"/>
      <c r="E135" s="17"/>
      <c r="F135" s="41" t="s">
        <v>64</v>
      </c>
      <c r="G135" s="55" t="s">
        <v>223</v>
      </c>
      <c r="H135" s="17"/>
      <c r="I135" s="50"/>
    </row>
    <row r="136" spans="1:10" ht="18" customHeight="1" x14ac:dyDescent="0.3">
      <c r="A136" s="291"/>
      <c r="B136" s="52"/>
      <c r="C136" s="53"/>
      <c r="D136" s="53"/>
      <c r="E136" s="53"/>
      <c r="F136" s="41" t="s">
        <v>26</v>
      </c>
      <c r="G136" s="41" t="s">
        <v>1</v>
      </c>
      <c r="H136" s="53"/>
      <c r="I136" s="54"/>
    </row>
    <row r="137" spans="1:10" ht="18" customHeight="1" x14ac:dyDescent="0.3">
      <c r="A137" s="19"/>
      <c r="B137" s="20"/>
      <c r="C137" s="20"/>
      <c r="D137" s="20"/>
    </row>
    <row r="138" spans="1:10" ht="18" customHeight="1" x14ac:dyDescent="0.3">
      <c r="A138" s="19"/>
    </row>
    <row r="139" spans="1:10" ht="18" customHeight="1" x14ac:dyDescent="0.3">
      <c r="A139" s="19"/>
    </row>
    <row r="140" spans="1:10" ht="18" customHeight="1" x14ac:dyDescent="0.3">
      <c r="A140" s="19"/>
    </row>
    <row r="141" spans="1:10" ht="18" customHeight="1" x14ac:dyDescent="0.3">
      <c r="A141" s="19"/>
    </row>
    <row r="142" spans="1:10" ht="23.1" customHeight="1" x14ac:dyDescent="0.3">
      <c r="A142" s="19"/>
    </row>
    <row r="143" spans="1:10" ht="15" customHeight="1" x14ac:dyDescent="0.3">
      <c r="A143" s="19"/>
      <c r="J143" s="18"/>
    </row>
    <row r="144" spans="1:10" x14ac:dyDescent="0.3">
      <c r="A144" s="19"/>
      <c r="J144" s="18"/>
    </row>
    <row r="145" spans="1:10" x14ac:dyDescent="0.3">
      <c r="A145" s="19"/>
      <c r="J145" s="18"/>
    </row>
    <row r="146" spans="1:10" x14ac:dyDescent="0.3">
      <c r="A146" s="19"/>
      <c r="J146" s="18"/>
    </row>
    <row r="147" spans="1:10" x14ac:dyDescent="0.3">
      <c r="A147" s="19"/>
    </row>
    <row r="148" spans="1:10" x14ac:dyDescent="0.3">
      <c r="A148" s="19"/>
    </row>
    <row r="149" spans="1:10" x14ac:dyDescent="0.3">
      <c r="A149" s="19"/>
    </row>
    <row r="150" spans="1:10" x14ac:dyDescent="0.3">
      <c r="A150" s="19"/>
    </row>
    <row r="151" spans="1:10" x14ac:dyDescent="0.3">
      <c r="A151" s="19"/>
    </row>
    <row r="152" spans="1:10" x14ac:dyDescent="0.3">
      <c r="A152" s="19"/>
    </row>
    <row r="153" spans="1:10" x14ac:dyDescent="0.3">
      <c r="A153" s="19"/>
    </row>
    <row r="154" spans="1:10" x14ac:dyDescent="0.3">
      <c r="A154" s="19"/>
    </row>
    <row r="155" spans="1:10" x14ac:dyDescent="0.3">
      <c r="A155" s="19"/>
    </row>
    <row r="156" spans="1:10" x14ac:dyDescent="0.3">
      <c r="A156" s="19"/>
    </row>
    <row r="157" spans="1:10" x14ac:dyDescent="0.3">
      <c r="A157" s="19"/>
    </row>
    <row r="158" spans="1:10" x14ac:dyDescent="0.3">
      <c r="A158" s="19"/>
    </row>
    <row r="159" spans="1:10" x14ac:dyDescent="0.3">
      <c r="A159" s="19"/>
    </row>
    <row r="160" spans="1:10" x14ac:dyDescent="0.3">
      <c r="A160" s="19"/>
    </row>
    <row r="161" spans="1:1" x14ac:dyDescent="0.3">
      <c r="A161" s="19"/>
    </row>
    <row r="162" spans="1:1" x14ac:dyDescent="0.3">
      <c r="A162" s="19"/>
    </row>
    <row r="163" spans="1:1" x14ac:dyDescent="0.3">
      <c r="A163" s="19"/>
    </row>
  </sheetData>
  <mergeCells count="15">
    <mergeCell ref="A1:A136"/>
    <mergeCell ref="B3:I3"/>
    <mergeCell ref="B4:I4"/>
    <mergeCell ref="B9:B10"/>
    <mergeCell ref="C9:C10"/>
    <mergeCell ref="D9:D10"/>
    <mergeCell ref="E9:E10"/>
    <mergeCell ref="F9:F10"/>
    <mergeCell ref="G9:G10"/>
    <mergeCell ref="H9:H10"/>
    <mergeCell ref="I9:I10"/>
    <mergeCell ref="B125:I125"/>
    <mergeCell ref="E126:G130"/>
    <mergeCell ref="F132:G132"/>
    <mergeCell ref="F133:G133"/>
  </mergeCells>
  <printOptions horizontalCentered="1"/>
  <pageMargins left="0" right="0" top="0.39370078740157483" bottom="0" header="0.31496062992125984" footer="0.31496062992125984"/>
  <pageSetup paperSize="9" scale="62" fitToHeight="10" orientation="portrait" r:id="rId1"/>
  <rowBreaks count="2" manualBreakCount="2">
    <brk id="86" max="8" man="1"/>
    <brk id="13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CB14-F196-427D-B6AF-420F81B4648F}">
  <dimension ref="A1:H43"/>
  <sheetViews>
    <sheetView view="pageBreakPreview" topLeftCell="A19" zoomScale="130" zoomScaleSheetLayoutView="130" workbookViewId="0">
      <selection activeCell="M42" sqref="M42"/>
    </sheetView>
  </sheetViews>
  <sheetFormatPr defaultRowHeight="13.2" x14ac:dyDescent="0.25"/>
  <cols>
    <col min="1" max="1" width="10" customWidth="1"/>
    <col min="2" max="2" width="18.33203125" customWidth="1"/>
    <col min="3" max="3" width="7.44140625" customWidth="1"/>
    <col min="4" max="4" width="7.109375" customWidth="1"/>
    <col min="5" max="5" width="15.5546875" customWidth="1"/>
    <col min="6" max="6" width="13.5546875" customWidth="1"/>
    <col min="7" max="7" width="6.109375" customWidth="1"/>
    <col min="8" max="8" width="12.44140625" customWidth="1"/>
  </cols>
  <sheetData>
    <row r="1" spans="1:8" x14ac:dyDescent="0.25">
      <c r="A1" s="303" t="s">
        <v>41</v>
      </c>
      <c r="B1" s="304"/>
      <c r="C1" s="304"/>
      <c r="D1" s="304"/>
      <c r="E1" s="304"/>
      <c r="F1" s="305"/>
      <c r="G1" s="22" t="s">
        <v>42</v>
      </c>
      <c r="H1" s="23"/>
    </row>
    <row r="2" spans="1:8" x14ac:dyDescent="0.25">
      <c r="A2" s="306"/>
      <c r="B2" s="307"/>
      <c r="C2" s="307"/>
      <c r="D2" s="307"/>
      <c r="E2" s="307"/>
      <c r="F2" s="308"/>
      <c r="G2" s="22" t="s">
        <v>1</v>
      </c>
      <c r="H2" s="114"/>
    </row>
    <row r="3" spans="1:8" x14ac:dyDescent="0.25">
      <c r="A3" s="309" t="s">
        <v>39</v>
      </c>
      <c r="B3" s="310"/>
      <c r="C3" s="310"/>
      <c r="D3" s="310"/>
      <c r="E3" s="310"/>
      <c r="F3" s="311"/>
      <c r="G3" s="312" t="s">
        <v>43</v>
      </c>
      <c r="H3" s="313"/>
    </row>
    <row r="4" spans="1:8" x14ac:dyDescent="0.25">
      <c r="A4" s="314" t="s">
        <v>44</v>
      </c>
      <c r="B4" s="315"/>
      <c r="C4" s="315"/>
      <c r="D4" s="315"/>
      <c r="E4" s="315"/>
      <c r="F4" s="316"/>
      <c r="G4" s="317" t="s">
        <v>38</v>
      </c>
      <c r="H4" s="318"/>
    </row>
    <row r="5" spans="1:8" x14ac:dyDescent="0.25">
      <c r="A5" s="24"/>
      <c r="B5" s="25"/>
      <c r="C5" s="25"/>
      <c r="D5" s="25"/>
      <c r="E5" s="25"/>
      <c r="F5" s="26"/>
      <c r="G5" s="24" t="s">
        <v>45</v>
      </c>
      <c r="H5" s="26"/>
    </row>
    <row r="6" spans="1:8" x14ac:dyDescent="0.25">
      <c r="A6" s="302" t="s">
        <v>46</v>
      </c>
      <c r="B6" s="302"/>
      <c r="C6" s="302"/>
      <c r="D6" s="302"/>
      <c r="E6" s="302"/>
      <c r="F6" s="302"/>
      <c r="G6" s="302" t="s">
        <v>6</v>
      </c>
      <c r="H6" s="302"/>
    </row>
    <row r="7" spans="1:8" x14ac:dyDescent="0.25">
      <c r="A7" s="302"/>
      <c r="B7" s="302"/>
      <c r="C7" s="302"/>
      <c r="D7" s="302"/>
      <c r="E7" s="302"/>
      <c r="F7" s="302"/>
      <c r="G7" s="302"/>
      <c r="H7" s="302"/>
    </row>
    <row r="8" spans="1:8" x14ac:dyDescent="0.25">
      <c r="A8" s="27"/>
      <c r="B8" s="28"/>
      <c r="C8" s="28"/>
      <c r="D8" s="28"/>
      <c r="E8" s="28"/>
      <c r="F8" s="29"/>
      <c r="G8" s="28"/>
      <c r="H8" s="29"/>
    </row>
    <row r="9" spans="1:8" x14ac:dyDescent="0.25">
      <c r="A9" s="191" t="s">
        <v>114</v>
      </c>
      <c r="F9" s="31"/>
      <c r="G9" s="113" t="s">
        <v>40</v>
      </c>
      <c r="H9" s="32">
        <v>30000</v>
      </c>
    </row>
    <row r="10" spans="1:8" x14ac:dyDescent="0.25">
      <c r="A10" s="191" t="s">
        <v>115</v>
      </c>
      <c r="F10" s="31"/>
      <c r="H10" s="31"/>
    </row>
    <row r="11" spans="1:8" x14ac:dyDescent="0.25">
      <c r="A11" s="191" t="s">
        <v>116</v>
      </c>
      <c r="F11" s="31"/>
      <c r="H11" s="31"/>
    </row>
    <row r="12" spans="1:8" x14ac:dyDescent="0.25">
      <c r="A12" s="191" t="s">
        <v>118</v>
      </c>
      <c r="F12" s="31"/>
      <c r="H12" s="31"/>
    </row>
    <row r="13" spans="1:8" x14ac:dyDescent="0.25">
      <c r="A13" s="191" t="s">
        <v>117</v>
      </c>
      <c r="F13" s="31"/>
      <c r="H13" s="31"/>
    </row>
    <row r="14" spans="1:8" x14ac:dyDescent="0.25">
      <c r="A14" s="30"/>
      <c r="D14" s="323"/>
      <c r="E14" s="323"/>
      <c r="F14" s="31"/>
      <c r="H14" s="31"/>
    </row>
    <row r="15" spans="1:8" x14ac:dyDescent="0.25">
      <c r="A15" s="30"/>
      <c r="D15" s="323"/>
      <c r="E15" s="323"/>
      <c r="F15" s="33"/>
      <c r="H15" s="31"/>
    </row>
    <row r="16" spans="1:8" x14ac:dyDescent="0.25">
      <c r="A16" s="30"/>
      <c r="D16" s="324"/>
      <c r="E16" s="315"/>
      <c r="F16" s="33"/>
      <c r="H16" s="31"/>
    </row>
    <row r="17" spans="1:8" x14ac:dyDescent="0.25">
      <c r="A17" s="30"/>
      <c r="D17" s="190"/>
      <c r="E17" s="189"/>
      <c r="F17" s="33"/>
      <c r="H17" s="31"/>
    </row>
    <row r="18" spans="1:8" x14ac:dyDescent="0.25">
      <c r="A18" s="30"/>
      <c r="D18" s="190"/>
      <c r="E18" s="189"/>
      <c r="F18" s="33"/>
      <c r="H18" s="31"/>
    </row>
    <row r="19" spans="1:8" x14ac:dyDescent="0.25">
      <c r="A19" s="30"/>
      <c r="D19" s="190"/>
      <c r="E19" s="189"/>
      <c r="F19" s="33"/>
      <c r="H19" s="31"/>
    </row>
    <row r="20" spans="1:8" x14ac:dyDescent="0.25">
      <c r="A20" s="30"/>
      <c r="D20" s="190"/>
      <c r="E20" s="189"/>
      <c r="F20" s="33"/>
      <c r="H20" s="31"/>
    </row>
    <row r="21" spans="1:8" x14ac:dyDescent="0.25">
      <c r="A21" s="30"/>
      <c r="D21" s="190"/>
      <c r="E21" s="189"/>
      <c r="F21" s="33"/>
      <c r="H21" s="31"/>
    </row>
    <row r="22" spans="1:8" x14ac:dyDescent="0.25">
      <c r="A22" s="30"/>
      <c r="D22" s="190"/>
      <c r="E22" s="189"/>
      <c r="F22" s="33"/>
      <c r="H22" s="31"/>
    </row>
    <row r="23" spans="1:8" x14ac:dyDescent="0.25">
      <c r="A23" s="30"/>
      <c r="D23" s="190"/>
      <c r="E23" s="189"/>
      <c r="F23" s="33"/>
      <c r="H23" s="31"/>
    </row>
    <row r="24" spans="1:8" x14ac:dyDescent="0.25">
      <c r="A24" s="30"/>
      <c r="F24" s="33"/>
      <c r="H24" s="31"/>
    </row>
    <row r="25" spans="1:8" x14ac:dyDescent="0.25">
      <c r="A25" s="30"/>
      <c r="F25" s="34"/>
      <c r="H25" s="31"/>
    </row>
    <row r="26" spans="1:8" x14ac:dyDescent="0.25">
      <c r="A26" s="30"/>
      <c r="F26" s="34"/>
      <c r="H26" s="31"/>
    </row>
    <row r="27" spans="1:8" x14ac:dyDescent="0.25">
      <c r="A27" s="30"/>
      <c r="F27" s="34"/>
      <c r="H27" s="31"/>
    </row>
    <row r="28" spans="1:8" x14ac:dyDescent="0.25">
      <c r="A28" s="30"/>
      <c r="F28" s="34"/>
      <c r="H28" s="31"/>
    </row>
    <row r="29" spans="1:8" x14ac:dyDescent="0.25">
      <c r="A29" s="30"/>
      <c r="F29" s="31"/>
      <c r="H29" s="31"/>
    </row>
    <row r="30" spans="1:8" x14ac:dyDescent="0.25">
      <c r="A30" s="24"/>
      <c r="B30" s="25"/>
      <c r="C30" s="25"/>
      <c r="D30" s="25"/>
      <c r="E30" s="25"/>
      <c r="F30" s="26"/>
      <c r="G30" s="25"/>
      <c r="H30" s="26"/>
    </row>
    <row r="31" spans="1:8" x14ac:dyDescent="0.25">
      <c r="A31" s="22" t="s">
        <v>47</v>
      </c>
      <c r="B31" s="35"/>
      <c r="C31" s="35"/>
      <c r="D31" s="35"/>
      <c r="E31" s="35"/>
      <c r="F31" s="23"/>
      <c r="G31" s="36" t="s">
        <v>40</v>
      </c>
      <c r="H31" s="37" t="e">
        <f>#REF!</f>
        <v>#REF!</v>
      </c>
    </row>
    <row r="32" spans="1:8" x14ac:dyDescent="0.25">
      <c r="A32" s="24" t="s">
        <v>48</v>
      </c>
      <c r="B32" s="25"/>
      <c r="C32" s="25"/>
      <c r="D32" s="25"/>
      <c r="E32" s="25"/>
      <c r="F32" s="26"/>
      <c r="G32" s="36" t="s">
        <v>40</v>
      </c>
      <c r="H32" s="38">
        <f>H9</f>
        <v>30000</v>
      </c>
    </row>
    <row r="33" spans="1:8" x14ac:dyDescent="0.25">
      <c r="A33" s="148" t="s">
        <v>109</v>
      </c>
      <c r="B33" s="25"/>
      <c r="C33" s="25"/>
      <c r="D33" s="25"/>
      <c r="E33" s="25"/>
      <c r="F33" s="26"/>
      <c r="G33" s="36" t="s">
        <v>40</v>
      </c>
      <c r="H33" s="38" t="e">
        <f>H32-H31</f>
        <v>#REF!</v>
      </c>
    </row>
    <row r="34" spans="1:8" x14ac:dyDescent="0.25">
      <c r="A34" s="24" t="s">
        <v>49</v>
      </c>
      <c r="B34" s="25"/>
      <c r="C34" s="25"/>
      <c r="D34" s="25"/>
      <c r="E34" s="25"/>
      <c r="F34" s="26"/>
      <c r="G34" s="36" t="s">
        <v>40</v>
      </c>
      <c r="H34" s="38">
        <v>0</v>
      </c>
    </row>
    <row r="35" spans="1:8" x14ac:dyDescent="0.25">
      <c r="A35" s="27" t="s">
        <v>50</v>
      </c>
      <c r="B35" s="29"/>
      <c r="C35" s="27" t="s">
        <v>51</v>
      </c>
      <c r="D35" s="28"/>
      <c r="E35" s="29"/>
      <c r="F35" s="27" t="s">
        <v>52</v>
      </c>
      <c r="G35" s="28"/>
      <c r="H35" s="29"/>
    </row>
    <row r="36" spans="1:8" x14ac:dyDescent="0.25">
      <c r="A36" s="39" t="s">
        <v>53</v>
      </c>
      <c r="B36" s="31"/>
      <c r="C36" s="39" t="s">
        <v>57</v>
      </c>
      <c r="E36" s="31"/>
      <c r="F36" s="39" t="s">
        <v>56</v>
      </c>
      <c r="H36" s="31"/>
    </row>
    <row r="37" spans="1:8" x14ac:dyDescent="0.25">
      <c r="A37" s="30"/>
      <c r="B37" s="31"/>
      <c r="C37" s="39" t="s">
        <v>58</v>
      </c>
      <c r="E37" s="31"/>
      <c r="F37" s="40" t="s">
        <v>54</v>
      </c>
      <c r="H37" s="31"/>
    </row>
    <row r="38" spans="1:8" x14ac:dyDescent="0.25">
      <c r="A38" s="30"/>
      <c r="B38" s="31"/>
      <c r="C38" s="30"/>
      <c r="E38" s="31"/>
      <c r="F38" s="30"/>
      <c r="H38" s="31"/>
    </row>
    <row r="39" spans="1:8" x14ac:dyDescent="0.25">
      <c r="A39" s="30"/>
      <c r="B39" s="31"/>
      <c r="C39" s="30"/>
      <c r="E39" s="31"/>
      <c r="F39" s="30"/>
      <c r="H39" s="31"/>
    </row>
    <row r="40" spans="1:8" x14ac:dyDescent="0.25">
      <c r="A40" s="30"/>
      <c r="B40" s="31"/>
      <c r="C40" s="30"/>
      <c r="E40" s="31"/>
      <c r="F40" s="30"/>
      <c r="H40" s="31"/>
    </row>
    <row r="41" spans="1:8" x14ac:dyDescent="0.25">
      <c r="A41" s="325" t="s">
        <v>12</v>
      </c>
      <c r="B41" s="326"/>
      <c r="C41" s="325" t="s">
        <v>120</v>
      </c>
      <c r="D41" s="327"/>
      <c r="E41" s="326"/>
      <c r="F41" s="325" t="s">
        <v>121</v>
      </c>
      <c r="G41" s="327"/>
      <c r="H41" s="326"/>
    </row>
    <row r="42" spans="1:8" x14ac:dyDescent="0.25">
      <c r="A42" s="314" t="s">
        <v>55</v>
      </c>
      <c r="B42" s="316"/>
      <c r="C42" s="319" t="s">
        <v>119</v>
      </c>
      <c r="D42" s="315"/>
      <c r="E42" s="316"/>
      <c r="F42" s="319" t="s">
        <v>122</v>
      </c>
      <c r="G42" s="315"/>
      <c r="H42" s="316"/>
    </row>
    <row r="43" spans="1:8" x14ac:dyDescent="0.25">
      <c r="A43" s="24"/>
      <c r="B43" s="26"/>
      <c r="C43" s="320" t="s">
        <v>113</v>
      </c>
      <c r="D43" s="321"/>
      <c r="E43" s="322"/>
      <c r="F43" s="24"/>
      <c r="G43" s="25"/>
      <c r="H43" s="26"/>
    </row>
  </sheetData>
  <mergeCells count="17">
    <mergeCell ref="A42:B42"/>
    <mergeCell ref="C42:E42"/>
    <mergeCell ref="F42:H42"/>
    <mergeCell ref="C43:E43"/>
    <mergeCell ref="D14:E14"/>
    <mergeCell ref="D15:E15"/>
    <mergeCell ref="D16:E16"/>
    <mergeCell ref="A41:B41"/>
    <mergeCell ref="C41:E41"/>
    <mergeCell ref="F41:H41"/>
    <mergeCell ref="A6:F7"/>
    <mergeCell ref="G6:H7"/>
    <mergeCell ref="A1:F2"/>
    <mergeCell ref="A3:F3"/>
    <mergeCell ref="G3:H3"/>
    <mergeCell ref="A4:F4"/>
    <mergeCell ref="G4:H4"/>
  </mergeCells>
  <printOptions horizontalCentered="1"/>
  <pageMargins left="0" right="0" top="0.51181102362204722" bottom="0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7F43-A7AE-488E-930F-77E808C3EAA7}">
  <dimension ref="A1:K48"/>
  <sheetViews>
    <sheetView showRuler="0" view="pageBreakPreview" zoomScale="115" zoomScaleNormal="115" zoomScaleSheetLayoutView="115" workbookViewId="0">
      <selection activeCell="M12" sqref="M12"/>
    </sheetView>
  </sheetViews>
  <sheetFormatPr defaultRowHeight="13.2" x14ac:dyDescent="0.25"/>
  <sheetData>
    <row r="1" spans="1:11" ht="13.8" x14ac:dyDescent="0.25">
      <c r="A1" s="329" t="s">
        <v>68</v>
      </c>
      <c r="B1" s="329"/>
      <c r="C1" s="329"/>
      <c r="D1" s="329"/>
      <c r="E1" s="329"/>
      <c r="F1" s="329"/>
      <c r="G1" s="329"/>
      <c r="H1" s="329"/>
      <c r="I1" s="329"/>
      <c r="J1" s="329"/>
      <c r="K1" s="130"/>
    </row>
    <row r="2" spans="1:11" ht="13.8" x14ac:dyDescent="0.25">
      <c r="A2" s="329" t="s">
        <v>69</v>
      </c>
      <c r="B2" s="329"/>
      <c r="C2" s="329"/>
      <c r="D2" s="329"/>
      <c r="E2" s="329"/>
      <c r="F2" s="329"/>
      <c r="G2" s="329"/>
      <c r="H2" s="329"/>
      <c r="I2" s="329"/>
      <c r="J2" s="329"/>
      <c r="K2" s="130"/>
    </row>
    <row r="3" spans="1:11" ht="13.8" x14ac:dyDescent="0.25">
      <c r="A3" s="330" t="s">
        <v>39</v>
      </c>
      <c r="B3" s="330"/>
      <c r="C3" s="330"/>
      <c r="D3" s="330"/>
      <c r="E3" s="330"/>
      <c r="F3" s="330"/>
      <c r="G3" s="330"/>
      <c r="H3" s="330"/>
      <c r="I3" s="330"/>
      <c r="J3" s="330"/>
      <c r="K3" s="131"/>
    </row>
    <row r="4" spans="1:11" ht="13.8" x14ac:dyDescent="0.25">
      <c r="A4" s="329" t="s">
        <v>70</v>
      </c>
      <c r="B4" s="329"/>
      <c r="C4" s="329"/>
      <c r="D4" s="329"/>
      <c r="E4" s="329"/>
      <c r="F4" s="329"/>
      <c r="G4" s="329"/>
      <c r="H4" s="329"/>
      <c r="I4" s="329"/>
      <c r="J4" s="329"/>
      <c r="K4" s="130"/>
    </row>
    <row r="5" spans="1:11" ht="14.4" x14ac:dyDescent="0.25">
      <c r="A5" s="331"/>
      <c r="B5" s="331"/>
      <c r="C5" s="331"/>
      <c r="D5" s="331"/>
      <c r="E5" s="331"/>
      <c r="F5" s="331"/>
      <c r="G5" s="331"/>
      <c r="H5" s="331"/>
      <c r="I5" s="331"/>
      <c r="J5" s="331"/>
      <c r="K5" s="132"/>
    </row>
    <row r="6" spans="1:11" ht="14.4" x14ac:dyDescent="0.25">
      <c r="A6" s="328" t="s">
        <v>8</v>
      </c>
      <c r="B6" s="328"/>
      <c r="C6" s="328"/>
      <c r="D6" s="328"/>
      <c r="E6" s="328"/>
      <c r="F6" s="328"/>
      <c r="G6" s="328"/>
      <c r="H6" s="328"/>
      <c r="I6" s="328"/>
      <c r="J6" s="328"/>
      <c r="K6" s="133"/>
    </row>
    <row r="7" spans="1:11" ht="14.4" x14ac:dyDescent="0.25">
      <c r="A7" s="134"/>
    </row>
    <row r="8" spans="1:11" ht="14.4" x14ac:dyDescent="0.25">
      <c r="A8" s="135" t="s">
        <v>71</v>
      </c>
    </row>
    <row r="9" spans="1:11" ht="14.4" x14ac:dyDescent="0.25">
      <c r="A9" s="135" t="s">
        <v>72</v>
      </c>
    </row>
    <row r="10" spans="1:11" ht="14.4" x14ac:dyDescent="0.25">
      <c r="A10" s="135"/>
    </row>
    <row r="11" spans="1:11" ht="14.4" x14ac:dyDescent="0.25">
      <c r="A11" s="135"/>
    </row>
    <row r="12" spans="1:11" ht="14.4" x14ac:dyDescent="0.25">
      <c r="A12" s="135" t="s">
        <v>73</v>
      </c>
    </row>
    <row r="13" spans="1:11" ht="14.4" x14ac:dyDescent="0.25">
      <c r="A13" s="135" t="s">
        <v>74</v>
      </c>
    </row>
    <row r="14" spans="1:11" ht="14.4" x14ac:dyDescent="0.25">
      <c r="A14" s="135"/>
    </row>
    <row r="15" spans="1:11" ht="14.4" x14ac:dyDescent="0.25">
      <c r="A15" s="135" t="s">
        <v>75</v>
      </c>
    </row>
    <row r="16" spans="1:11" ht="14.4" x14ac:dyDescent="0.25">
      <c r="A16" s="136"/>
    </row>
    <row r="17" spans="1:11" ht="14.4" x14ac:dyDescent="0.25">
      <c r="C17" s="137" t="s">
        <v>12</v>
      </c>
    </row>
    <row r="18" spans="1:11" ht="14.4" x14ac:dyDescent="0.25">
      <c r="C18" s="138" t="s">
        <v>76</v>
      </c>
    </row>
    <row r="19" spans="1:11" ht="14.4" x14ac:dyDescent="0.25">
      <c r="C19" s="138" t="s">
        <v>77</v>
      </c>
    </row>
    <row r="20" spans="1:11" ht="14.4" x14ac:dyDescent="0.25">
      <c r="C20" s="139"/>
    </row>
    <row r="21" spans="1:11" ht="14.4" x14ac:dyDescent="0.25">
      <c r="C21" s="139"/>
    </row>
    <row r="22" spans="1:11" ht="14.4" x14ac:dyDescent="0.25">
      <c r="C22" s="139"/>
    </row>
    <row r="23" spans="1:11" ht="14.4" x14ac:dyDescent="0.25">
      <c r="C23" s="139"/>
    </row>
    <row r="24" spans="1:11" ht="14.4" x14ac:dyDescent="0.25">
      <c r="C24" s="139"/>
    </row>
    <row r="25" spans="1:11" ht="14.4" x14ac:dyDescent="0.25">
      <c r="C25" s="139"/>
    </row>
    <row r="26" spans="1:11" ht="14.4" x14ac:dyDescent="0.25">
      <c r="C26" s="139"/>
    </row>
    <row r="27" spans="1:11" ht="14.4" x14ac:dyDescent="0.25">
      <c r="A27" s="140"/>
    </row>
    <row r="30" spans="1:11" ht="13.8" x14ac:dyDescent="0.25">
      <c r="A30" s="329" t="s">
        <v>68</v>
      </c>
      <c r="B30" s="329"/>
      <c r="C30" s="329"/>
      <c r="D30" s="329"/>
      <c r="E30" s="329"/>
      <c r="F30" s="329"/>
      <c r="G30" s="329"/>
      <c r="H30" s="329"/>
      <c r="I30" s="329"/>
      <c r="J30" s="329"/>
      <c r="K30" s="130"/>
    </row>
    <row r="31" spans="1:11" ht="13.8" x14ac:dyDescent="0.25">
      <c r="A31" s="329" t="s">
        <v>69</v>
      </c>
      <c r="B31" s="329"/>
      <c r="C31" s="329"/>
      <c r="D31" s="329"/>
      <c r="E31" s="329"/>
      <c r="F31" s="329"/>
      <c r="G31" s="329"/>
      <c r="H31" s="329"/>
      <c r="I31" s="329"/>
      <c r="J31" s="329"/>
      <c r="K31" s="130"/>
    </row>
    <row r="32" spans="1:11" ht="13.8" x14ac:dyDescent="0.25">
      <c r="A32" s="330" t="s">
        <v>39</v>
      </c>
      <c r="B32" s="330"/>
      <c r="C32" s="330"/>
      <c r="D32" s="330"/>
      <c r="E32" s="330"/>
      <c r="F32" s="330"/>
      <c r="G32" s="330"/>
      <c r="H32" s="330"/>
      <c r="I32" s="330"/>
      <c r="J32" s="330"/>
      <c r="K32" s="131"/>
    </row>
    <row r="33" spans="1:11" ht="13.8" x14ac:dyDescent="0.25">
      <c r="A33" s="329" t="s">
        <v>70</v>
      </c>
      <c r="B33" s="329"/>
      <c r="C33" s="329"/>
      <c r="D33" s="329"/>
      <c r="E33" s="329"/>
      <c r="F33" s="329"/>
      <c r="G33" s="329"/>
      <c r="H33" s="329"/>
      <c r="I33" s="329"/>
      <c r="J33" s="329"/>
      <c r="K33" s="130"/>
    </row>
    <row r="34" spans="1:11" ht="14.4" x14ac:dyDescent="0.25">
      <c r="A34" s="331"/>
      <c r="B34" s="331"/>
      <c r="C34" s="331"/>
      <c r="D34" s="331"/>
      <c r="E34" s="331"/>
      <c r="F34" s="331"/>
      <c r="G34" s="331"/>
      <c r="H34" s="331"/>
      <c r="I34" s="331"/>
      <c r="J34" s="331"/>
      <c r="K34" s="132"/>
    </row>
    <row r="35" spans="1:11" ht="14.4" x14ac:dyDescent="0.25">
      <c r="A35" s="328" t="s">
        <v>8</v>
      </c>
      <c r="B35" s="328"/>
      <c r="C35" s="328"/>
      <c r="D35" s="328"/>
      <c r="E35" s="328"/>
      <c r="F35" s="328"/>
      <c r="G35" s="328"/>
      <c r="H35" s="328"/>
      <c r="I35" s="328"/>
      <c r="J35" s="328"/>
      <c r="K35" s="133"/>
    </row>
    <row r="36" spans="1:11" ht="14.4" x14ac:dyDescent="0.25">
      <c r="A36" s="134"/>
    </row>
    <row r="37" spans="1:11" ht="14.4" x14ac:dyDescent="0.25">
      <c r="A37" s="135" t="s">
        <v>71</v>
      </c>
    </row>
    <row r="38" spans="1:11" ht="14.4" x14ac:dyDescent="0.25">
      <c r="A38" s="135" t="s">
        <v>72</v>
      </c>
    </row>
    <row r="39" spans="1:11" ht="14.4" x14ac:dyDescent="0.25">
      <c r="A39" s="135"/>
    </row>
    <row r="40" spans="1:11" ht="14.4" x14ac:dyDescent="0.25">
      <c r="A40" s="135"/>
    </row>
    <row r="41" spans="1:11" ht="14.4" x14ac:dyDescent="0.25">
      <c r="A41" s="135" t="s">
        <v>73</v>
      </c>
    </row>
    <row r="42" spans="1:11" ht="14.4" x14ac:dyDescent="0.25">
      <c r="A42" s="135" t="s">
        <v>74</v>
      </c>
    </row>
    <row r="43" spans="1:11" ht="14.4" x14ac:dyDescent="0.25">
      <c r="A43" s="135"/>
    </row>
    <row r="44" spans="1:11" ht="14.4" x14ac:dyDescent="0.25">
      <c r="A44" s="135" t="s">
        <v>75</v>
      </c>
    </row>
    <row r="45" spans="1:11" ht="14.4" x14ac:dyDescent="0.25">
      <c r="A45" s="136"/>
    </row>
    <row r="46" spans="1:11" ht="14.4" x14ac:dyDescent="0.25">
      <c r="C46" s="137" t="s">
        <v>12</v>
      </c>
    </row>
    <row r="47" spans="1:11" ht="14.4" x14ac:dyDescent="0.25">
      <c r="C47" s="138" t="s">
        <v>76</v>
      </c>
    </row>
    <row r="48" spans="1:11" ht="14.4" x14ac:dyDescent="0.25">
      <c r="C48" s="138" t="s">
        <v>77</v>
      </c>
    </row>
  </sheetData>
  <mergeCells count="12">
    <mergeCell ref="A35:J35"/>
    <mergeCell ref="A1:J1"/>
    <mergeCell ref="A2:J2"/>
    <mergeCell ref="A3:J3"/>
    <mergeCell ref="A4:J4"/>
    <mergeCell ref="A5:J5"/>
    <mergeCell ref="A6:J6"/>
    <mergeCell ref="A30:J30"/>
    <mergeCell ref="A31:J31"/>
    <mergeCell ref="A32:J32"/>
    <mergeCell ref="A33:J33"/>
    <mergeCell ref="A34:J34"/>
  </mergeCells>
  <printOptions verticalCentered="1"/>
  <pageMargins left="0.59055118110236227" right="0" top="0" bottom="0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CDEF-DCD6-45CB-B5F2-D1CD0001A745}">
  <dimension ref="A1:N70"/>
  <sheetViews>
    <sheetView view="pageBreakPreview" topLeftCell="A34" zoomScale="115" zoomScaleNormal="100" zoomScaleSheetLayoutView="115" workbookViewId="0">
      <selection activeCell="B43" sqref="B43:C43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96" t="s">
        <v>110</v>
      </c>
      <c r="C5" s="186"/>
      <c r="D5" s="144"/>
      <c r="E5" s="144"/>
      <c r="F5" s="144"/>
      <c r="G5" s="143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77" t="s">
        <v>399</v>
      </c>
      <c r="C6" s="378"/>
      <c r="D6" s="146" t="s">
        <v>86</v>
      </c>
      <c r="E6" s="197" t="s">
        <v>400</v>
      </c>
      <c r="F6" s="379" t="s">
        <v>88</v>
      </c>
      <c r="G6" s="379"/>
      <c r="H6" s="198"/>
      <c r="I6" s="146" t="s">
        <v>86</v>
      </c>
      <c r="J6" s="199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9</v>
      </c>
      <c r="C12" s="353"/>
      <c r="D12" s="202" t="s">
        <v>318</v>
      </c>
      <c r="E12" s="160"/>
      <c r="F12" s="160"/>
      <c r="G12" s="160"/>
      <c r="H12" s="160"/>
      <c r="I12" s="352">
        <v>2</v>
      </c>
      <c r="J12" s="353"/>
    </row>
    <row r="13" spans="1:14" ht="12" customHeight="1" x14ac:dyDescent="0.3">
      <c r="A13" s="153"/>
      <c r="B13" s="352" t="s">
        <v>9</v>
      </c>
      <c r="C13" s="353"/>
      <c r="D13" s="227" t="s">
        <v>319</v>
      </c>
      <c r="E13" s="160"/>
      <c r="F13" s="160"/>
      <c r="G13" s="160"/>
      <c r="H13" s="160"/>
      <c r="I13" s="352">
        <v>2</v>
      </c>
      <c r="J13" s="353"/>
    </row>
    <row r="14" spans="1:14" ht="12" customHeight="1" x14ac:dyDescent="0.3">
      <c r="A14" s="153"/>
      <c r="B14" s="352" t="s">
        <v>9</v>
      </c>
      <c r="C14" s="353"/>
      <c r="D14" s="227" t="s">
        <v>320</v>
      </c>
      <c r="E14" s="160"/>
      <c r="F14" s="160"/>
      <c r="G14" s="160"/>
      <c r="H14" s="160"/>
      <c r="I14" s="360">
        <v>1</v>
      </c>
      <c r="J14" s="361"/>
    </row>
    <row r="15" spans="1:14" ht="12" customHeight="1" x14ac:dyDescent="0.3">
      <c r="A15" s="153"/>
      <c r="B15" s="352"/>
      <c r="C15" s="353"/>
      <c r="D15" s="228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161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55"/>
      <c r="D17" s="16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7" t="s">
        <v>12</v>
      </c>
      <c r="G20" s="337"/>
      <c r="H20" s="338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96" t="s">
        <v>110</v>
      </c>
      <c r="C42" s="186"/>
      <c r="D42" s="144"/>
      <c r="E42" s="144"/>
      <c r="F42" s="144"/>
      <c r="G42" s="143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77" t="s">
        <v>399</v>
      </c>
      <c r="C43" s="378"/>
      <c r="D43" s="146" t="s">
        <v>86</v>
      </c>
      <c r="E43" s="197" t="s">
        <v>400</v>
      </c>
      <c r="F43" s="379" t="s">
        <v>88</v>
      </c>
      <c r="G43" s="379"/>
      <c r="H43" s="198"/>
      <c r="I43" s="146" t="s">
        <v>86</v>
      </c>
      <c r="J43" s="199"/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9</v>
      </c>
      <c r="C49" s="353"/>
      <c r="D49" s="202" t="s">
        <v>318</v>
      </c>
      <c r="E49" s="160"/>
      <c r="F49" s="160"/>
      <c r="G49" s="160"/>
      <c r="H49" s="160"/>
      <c r="I49" s="352">
        <v>2</v>
      </c>
      <c r="J49" s="353"/>
    </row>
    <row r="50" spans="1:14" ht="12" customHeight="1" x14ac:dyDescent="0.3">
      <c r="A50" s="153"/>
      <c r="B50" s="352" t="s">
        <v>9</v>
      </c>
      <c r="C50" s="353"/>
      <c r="D50" s="227" t="s">
        <v>319</v>
      </c>
      <c r="E50" s="160"/>
      <c r="F50" s="160"/>
      <c r="G50" s="160"/>
      <c r="H50" s="160"/>
      <c r="I50" s="352">
        <v>2</v>
      </c>
      <c r="J50" s="353"/>
    </row>
    <row r="51" spans="1:14" ht="12" customHeight="1" x14ac:dyDescent="0.3">
      <c r="A51" s="153"/>
      <c r="B51" s="352" t="s">
        <v>9</v>
      </c>
      <c r="C51" s="353"/>
      <c r="D51" s="227" t="s">
        <v>320</v>
      </c>
      <c r="E51" s="160"/>
      <c r="F51" s="160"/>
      <c r="G51" s="160"/>
      <c r="H51" s="160"/>
      <c r="I51" s="360">
        <v>1</v>
      </c>
      <c r="J51" s="361"/>
    </row>
    <row r="52" spans="1:14" ht="12" customHeight="1" x14ac:dyDescent="0.3">
      <c r="A52" s="153"/>
      <c r="B52" s="352"/>
      <c r="C52" s="353"/>
      <c r="D52" s="228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161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55"/>
      <c r="D54" s="16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7" t="s">
        <v>12</v>
      </c>
      <c r="G57" s="337"/>
      <c r="H57" s="338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H1:J1"/>
    <mergeCell ref="H2:J2"/>
    <mergeCell ref="A3:J3"/>
    <mergeCell ref="A4:J4"/>
    <mergeCell ref="B6:C6"/>
    <mergeCell ref="F6:G6"/>
    <mergeCell ref="A7:H7"/>
    <mergeCell ref="B9:C10"/>
    <mergeCell ref="D9:H10"/>
    <mergeCell ref="I9:J10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H38:J38"/>
    <mergeCell ref="H39:J39"/>
    <mergeCell ref="A40:J40"/>
    <mergeCell ref="A41:J41"/>
    <mergeCell ref="B43:C43"/>
    <mergeCell ref="F43:G43"/>
    <mergeCell ref="A44:H44"/>
    <mergeCell ref="B46:C47"/>
    <mergeCell ref="D46:H47"/>
    <mergeCell ref="I46:J47"/>
    <mergeCell ref="B49:C49"/>
    <mergeCell ref="I49:J49"/>
    <mergeCell ref="B50:C50"/>
    <mergeCell ref="I50:J50"/>
    <mergeCell ref="B51:C51"/>
    <mergeCell ref="I51:J51"/>
    <mergeCell ref="B52:C52"/>
    <mergeCell ref="I52:J52"/>
    <mergeCell ref="B53:C53"/>
    <mergeCell ref="I53:J53"/>
    <mergeCell ref="B54:C54"/>
    <mergeCell ref="I54:J54"/>
    <mergeCell ref="B55:C55"/>
    <mergeCell ref="I55:J55"/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65C4-A82C-47B5-BD34-56541C7769A7}">
  <dimension ref="A1:N70"/>
  <sheetViews>
    <sheetView view="pageBreakPreview" zoomScale="115" zoomScaleNormal="100" zoomScaleSheetLayoutView="115" workbookViewId="0">
      <selection activeCell="M12" sqref="M12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110</v>
      </c>
      <c r="C5" s="144"/>
      <c r="D5" s="144"/>
      <c r="E5" s="144"/>
      <c r="F5" s="144"/>
      <c r="G5" s="143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 t="s">
        <v>401</v>
      </c>
      <c r="C6" s="378"/>
      <c r="D6" s="146" t="s">
        <v>86</v>
      </c>
      <c r="E6" s="197" t="s">
        <v>402</v>
      </c>
      <c r="F6" s="379" t="s">
        <v>88</v>
      </c>
      <c r="G6" s="379"/>
      <c r="H6" s="198"/>
      <c r="I6" s="146" t="s">
        <v>86</v>
      </c>
      <c r="J6" s="201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229</v>
      </c>
      <c r="C12" s="353"/>
      <c r="D12" s="230" t="s">
        <v>227</v>
      </c>
      <c r="E12" s="160"/>
      <c r="F12" s="160"/>
      <c r="G12" s="160"/>
      <c r="H12" s="160"/>
      <c r="I12" s="352">
        <v>4</v>
      </c>
      <c r="J12" s="353"/>
    </row>
    <row r="13" spans="1:14" ht="12" customHeight="1" x14ac:dyDescent="0.3">
      <c r="A13" s="153"/>
      <c r="B13" s="352" t="s">
        <v>229</v>
      </c>
      <c r="C13" s="381"/>
      <c r="D13" s="202" t="s">
        <v>232</v>
      </c>
      <c r="E13" s="160"/>
      <c r="F13" s="160"/>
      <c r="G13" s="160"/>
      <c r="H13" s="160"/>
      <c r="I13" s="352">
        <v>2</v>
      </c>
      <c r="J13" s="353"/>
    </row>
    <row r="14" spans="1:14" ht="12" customHeight="1" x14ac:dyDescent="0.3">
      <c r="A14" s="153"/>
      <c r="B14" s="352" t="s">
        <v>9</v>
      </c>
      <c r="C14" s="381"/>
      <c r="D14" s="202" t="s">
        <v>230</v>
      </c>
      <c r="E14" s="160"/>
      <c r="F14" s="160"/>
      <c r="G14" s="160"/>
      <c r="H14" s="160"/>
      <c r="I14" s="352">
        <v>2</v>
      </c>
      <c r="J14" s="353"/>
    </row>
    <row r="15" spans="1:14" ht="12" customHeight="1" x14ac:dyDescent="0.3">
      <c r="A15" s="153"/>
      <c r="B15" s="352" t="s">
        <v>9</v>
      </c>
      <c r="C15" s="381"/>
      <c r="D15" s="202" t="s">
        <v>231</v>
      </c>
      <c r="E15" s="160"/>
      <c r="F15" s="160"/>
      <c r="G15" s="160"/>
      <c r="H15" s="160"/>
      <c r="I15" s="360">
        <v>2</v>
      </c>
      <c r="J15" s="361"/>
    </row>
    <row r="16" spans="1:14" ht="12" customHeight="1" x14ac:dyDescent="0.3">
      <c r="A16" s="153"/>
      <c r="B16" s="352" t="s">
        <v>234</v>
      </c>
      <c r="C16" s="353"/>
      <c r="D16" s="161" t="s">
        <v>233</v>
      </c>
      <c r="E16" s="160"/>
      <c r="F16" s="160"/>
      <c r="G16" s="160"/>
      <c r="H16" s="160"/>
      <c r="I16" s="352">
        <v>35</v>
      </c>
      <c r="J16" s="353"/>
    </row>
    <row r="17" spans="1:14" ht="12" customHeight="1" x14ac:dyDescent="0.3">
      <c r="A17" s="153"/>
      <c r="B17" s="354"/>
      <c r="C17" s="355"/>
      <c r="D17" s="16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110</v>
      </c>
      <c r="C42" s="144"/>
      <c r="D42" s="144"/>
      <c r="E42" s="144"/>
      <c r="F42" s="144"/>
      <c r="G42" s="143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 t="s">
        <v>401</v>
      </c>
      <c r="C43" s="378"/>
      <c r="D43" s="146" t="s">
        <v>86</v>
      </c>
      <c r="E43" s="197" t="s">
        <v>402</v>
      </c>
      <c r="F43" s="379" t="s">
        <v>88</v>
      </c>
      <c r="G43" s="379"/>
      <c r="H43" s="198"/>
      <c r="I43" s="146" t="s">
        <v>86</v>
      </c>
      <c r="J43" s="201"/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229</v>
      </c>
      <c r="C49" s="353"/>
      <c r="D49" s="230" t="s">
        <v>227</v>
      </c>
      <c r="E49" s="160"/>
      <c r="F49" s="160"/>
      <c r="G49" s="160"/>
      <c r="H49" s="160"/>
      <c r="I49" s="352">
        <v>4</v>
      </c>
      <c r="J49" s="353"/>
    </row>
    <row r="50" spans="1:14" ht="12" customHeight="1" x14ac:dyDescent="0.3">
      <c r="A50" s="153"/>
      <c r="B50" s="352" t="s">
        <v>229</v>
      </c>
      <c r="C50" s="381"/>
      <c r="D50" s="202" t="s">
        <v>232</v>
      </c>
      <c r="E50" s="160"/>
      <c r="F50" s="160"/>
      <c r="G50" s="160"/>
      <c r="H50" s="160"/>
      <c r="I50" s="352">
        <v>2</v>
      </c>
      <c r="J50" s="353"/>
    </row>
    <row r="51" spans="1:14" ht="12" customHeight="1" x14ac:dyDescent="0.3">
      <c r="A51" s="153"/>
      <c r="B51" s="352" t="s">
        <v>9</v>
      </c>
      <c r="C51" s="381"/>
      <c r="D51" s="202" t="s">
        <v>230</v>
      </c>
      <c r="E51" s="160"/>
      <c r="F51" s="160"/>
      <c r="G51" s="160"/>
      <c r="H51" s="160"/>
      <c r="I51" s="352">
        <v>2</v>
      </c>
      <c r="J51" s="353"/>
    </row>
    <row r="52" spans="1:14" ht="12" customHeight="1" x14ac:dyDescent="0.3">
      <c r="A52" s="153"/>
      <c r="B52" s="352" t="s">
        <v>9</v>
      </c>
      <c r="C52" s="381"/>
      <c r="D52" s="202" t="s">
        <v>231</v>
      </c>
      <c r="E52" s="160"/>
      <c r="F52" s="160"/>
      <c r="G52" s="160"/>
      <c r="H52" s="160"/>
      <c r="I52" s="360">
        <v>2</v>
      </c>
      <c r="J52" s="361"/>
    </row>
    <row r="53" spans="1:14" ht="12" customHeight="1" x14ac:dyDescent="0.3">
      <c r="A53" s="153"/>
      <c r="B53" s="352" t="s">
        <v>234</v>
      </c>
      <c r="C53" s="353"/>
      <c r="D53" s="161" t="s">
        <v>233</v>
      </c>
      <c r="E53" s="160"/>
      <c r="F53" s="160"/>
      <c r="G53" s="160"/>
      <c r="H53" s="160"/>
      <c r="I53" s="352">
        <v>35</v>
      </c>
      <c r="J53" s="353"/>
    </row>
    <row r="54" spans="1:14" ht="12" customHeight="1" x14ac:dyDescent="0.3">
      <c r="A54" s="153"/>
      <c r="B54" s="354"/>
      <c r="C54" s="355"/>
      <c r="D54" s="16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1:C51"/>
    <mergeCell ref="I51:J51"/>
    <mergeCell ref="B52:C52"/>
    <mergeCell ref="I52:J52"/>
    <mergeCell ref="B50:C50"/>
    <mergeCell ref="I50:J50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B8FA-CF09-448C-A1EC-A7CEF4D75405}">
  <dimension ref="A1:N70"/>
  <sheetViews>
    <sheetView view="pageBreakPreview" topLeftCell="A40" zoomScale="115" zoomScaleNormal="100" zoomScaleSheetLayoutView="115" workbookViewId="0">
      <selection activeCell="M55" sqref="M55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408</v>
      </c>
      <c r="C5" s="144"/>
      <c r="D5" s="144"/>
      <c r="E5" s="144"/>
      <c r="F5" s="144"/>
      <c r="G5" s="143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 t="s">
        <v>409</v>
      </c>
      <c r="C6" s="378"/>
      <c r="D6" s="146" t="s">
        <v>86</v>
      </c>
      <c r="E6" s="197" t="s">
        <v>258</v>
      </c>
      <c r="F6" s="379" t="s">
        <v>88</v>
      </c>
      <c r="G6" s="379"/>
      <c r="H6" s="198" t="s">
        <v>62</v>
      </c>
      <c r="I6" s="146" t="s">
        <v>86</v>
      </c>
      <c r="J6" s="201">
        <v>45385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53"/>
      <c r="D12" s="230" t="s">
        <v>403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53"/>
      <c r="D13" s="231" t="s">
        <v>404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53"/>
      <c r="D14" s="232" t="s">
        <v>405</v>
      </c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53"/>
      <c r="D15" s="233" t="s">
        <v>406</v>
      </c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232" t="s">
        <v>407</v>
      </c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55"/>
      <c r="D17" s="16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408</v>
      </c>
      <c r="C42" s="144"/>
      <c r="D42" s="144"/>
      <c r="E42" s="144"/>
      <c r="F42" s="144"/>
      <c r="G42" s="143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 t="s">
        <v>409</v>
      </c>
      <c r="C43" s="378"/>
      <c r="D43" s="146" t="s">
        <v>86</v>
      </c>
      <c r="E43" s="197" t="s">
        <v>258</v>
      </c>
      <c r="F43" s="379" t="s">
        <v>88</v>
      </c>
      <c r="G43" s="379"/>
      <c r="H43" s="198" t="s">
        <v>62</v>
      </c>
      <c r="I43" s="146" t="s">
        <v>86</v>
      </c>
      <c r="J43" s="201">
        <v>45385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53"/>
      <c r="D49" s="230" t="s">
        <v>403</v>
      </c>
      <c r="E49" s="160"/>
      <c r="F49" s="160"/>
      <c r="G49" s="160"/>
      <c r="H49" s="160"/>
      <c r="I49" s="352">
        <v>1</v>
      </c>
      <c r="J49" s="353"/>
    </row>
    <row r="50" spans="1:14" ht="12" customHeight="1" x14ac:dyDescent="0.3">
      <c r="A50" s="153"/>
      <c r="B50" s="352"/>
      <c r="C50" s="353"/>
      <c r="D50" s="231" t="s">
        <v>404</v>
      </c>
      <c r="E50" s="160"/>
      <c r="F50" s="160"/>
      <c r="G50" s="160"/>
      <c r="H50" s="160"/>
      <c r="I50" s="352"/>
      <c r="J50" s="353"/>
    </row>
    <row r="51" spans="1:14" ht="12" customHeight="1" x14ac:dyDescent="0.3">
      <c r="A51" s="153"/>
      <c r="B51" s="352"/>
      <c r="C51" s="353"/>
      <c r="D51" s="232" t="s">
        <v>405</v>
      </c>
      <c r="E51" s="160"/>
      <c r="F51" s="160"/>
      <c r="G51" s="160"/>
      <c r="H51" s="160"/>
      <c r="I51" s="360"/>
      <c r="J51" s="361"/>
    </row>
    <row r="52" spans="1:14" ht="12" customHeight="1" x14ac:dyDescent="0.3">
      <c r="A52" s="153"/>
      <c r="B52" s="352"/>
      <c r="C52" s="353"/>
      <c r="D52" s="233" t="s">
        <v>406</v>
      </c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232" t="s">
        <v>407</v>
      </c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55"/>
      <c r="D54" s="16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49CE-6456-4F3B-918B-21953003AB80}">
  <dimension ref="A1:N70"/>
  <sheetViews>
    <sheetView view="pageBreakPreview" zoomScale="115" zoomScaleNormal="100" zoomScaleSheetLayoutView="115" workbookViewId="0">
      <selection activeCell="N39" sqref="N39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410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 t="s">
        <v>411</v>
      </c>
      <c r="C6" s="378"/>
      <c r="D6" s="146" t="s">
        <v>86</v>
      </c>
      <c r="E6" s="197" t="s">
        <v>228</v>
      </c>
      <c r="F6" s="379" t="s">
        <v>88</v>
      </c>
      <c r="G6" s="379"/>
      <c r="H6" s="198">
        <v>34442</v>
      </c>
      <c r="I6" s="146" t="s">
        <v>86</v>
      </c>
      <c r="J6" s="201" t="s">
        <v>236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53"/>
      <c r="D12" s="234" t="s">
        <v>412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53"/>
      <c r="D13" s="234" t="s">
        <v>413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53"/>
      <c r="D14" s="169"/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53"/>
      <c r="D15" s="188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161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55"/>
      <c r="D17" s="16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410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 t="s">
        <v>411</v>
      </c>
      <c r="C43" s="378"/>
      <c r="D43" s="146" t="s">
        <v>86</v>
      </c>
      <c r="E43" s="197" t="s">
        <v>228</v>
      </c>
      <c r="F43" s="379" t="s">
        <v>88</v>
      </c>
      <c r="G43" s="379"/>
      <c r="H43" s="198">
        <v>34442</v>
      </c>
      <c r="I43" s="146" t="s">
        <v>86</v>
      </c>
      <c r="J43" s="201" t="s">
        <v>236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53"/>
      <c r="D49" s="234" t="s">
        <v>412</v>
      </c>
      <c r="E49" s="160"/>
      <c r="F49" s="160"/>
      <c r="G49" s="160"/>
      <c r="H49" s="160"/>
      <c r="I49" s="352">
        <v>1</v>
      </c>
      <c r="J49" s="353"/>
    </row>
    <row r="50" spans="1:14" ht="12" customHeight="1" x14ac:dyDescent="0.3">
      <c r="A50" s="153"/>
      <c r="B50" s="352"/>
      <c r="C50" s="353"/>
      <c r="D50" s="234" t="s">
        <v>413</v>
      </c>
      <c r="E50" s="160"/>
      <c r="F50" s="160"/>
      <c r="G50" s="160"/>
      <c r="H50" s="160"/>
      <c r="I50" s="352"/>
      <c r="J50" s="353"/>
    </row>
    <row r="51" spans="1:14" ht="12" customHeight="1" x14ac:dyDescent="0.3">
      <c r="A51" s="153"/>
      <c r="B51" s="352"/>
      <c r="C51" s="353"/>
      <c r="D51" s="169"/>
      <c r="E51" s="160"/>
      <c r="F51" s="160"/>
      <c r="G51" s="160"/>
      <c r="H51" s="160"/>
      <c r="I51" s="360"/>
      <c r="J51" s="361"/>
    </row>
    <row r="52" spans="1:14" ht="12" customHeight="1" x14ac:dyDescent="0.3">
      <c r="A52" s="153"/>
      <c r="B52" s="352"/>
      <c r="C52" s="353"/>
      <c r="D52" s="188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161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55"/>
      <c r="D54" s="16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C449-FB19-464B-8834-A930E4EC9027}">
  <dimension ref="A1:N70"/>
  <sheetViews>
    <sheetView view="pageBreakPreview" topLeftCell="A37" zoomScale="115" zoomScaleNormal="100" zoomScaleSheetLayoutView="115" workbookViewId="0">
      <selection activeCell="N48" sqref="N48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414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 t="s">
        <v>415</v>
      </c>
      <c r="C6" s="378"/>
      <c r="D6" s="146" t="s">
        <v>86</v>
      </c>
      <c r="E6" s="197">
        <v>45414</v>
      </c>
      <c r="F6" s="379" t="s">
        <v>88</v>
      </c>
      <c r="G6" s="379"/>
      <c r="H6" s="198" t="s">
        <v>62</v>
      </c>
      <c r="I6" s="146" t="s">
        <v>86</v>
      </c>
      <c r="J6" s="201" t="s">
        <v>239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53"/>
      <c r="D12" s="382" t="s">
        <v>240</v>
      </c>
      <c r="E12" s="383"/>
      <c r="F12" s="383"/>
      <c r="G12" s="383"/>
      <c r="H12" s="384"/>
      <c r="I12" s="352">
        <v>1</v>
      </c>
      <c r="J12" s="353"/>
    </row>
    <row r="13" spans="1:14" ht="12" customHeight="1" x14ac:dyDescent="0.3">
      <c r="A13" s="153"/>
      <c r="B13" s="352"/>
      <c r="C13" s="353"/>
      <c r="D13" s="385" t="s">
        <v>241</v>
      </c>
      <c r="E13" s="386"/>
      <c r="F13" s="386"/>
      <c r="G13" s="386"/>
      <c r="H13" s="387"/>
      <c r="I13" s="352"/>
      <c r="J13" s="353"/>
    </row>
    <row r="14" spans="1:14" ht="12" customHeight="1" x14ac:dyDescent="0.3">
      <c r="A14" s="153"/>
      <c r="B14" s="352"/>
      <c r="C14" s="353"/>
      <c r="D14" s="388" t="s">
        <v>416</v>
      </c>
      <c r="E14" s="389"/>
      <c r="F14" s="389"/>
      <c r="G14" s="389"/>
      <c r="H14" s="390"/>
      <c r="I14" s="360"/>
      <c r="J14" s="361"/>
    </row>
    <row r="15" spans="1:14" ht="12" customHeight="1" x14ac:dyDescent="0.3">
      <c r="A15" s="153"/>
      <c r="B15" s="352"/>
      <c r="C15" s="353"/>
      <c r="D15" s="188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161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55"/>
      <c r="D17" s="16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414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 t="s">
        <v>415</v>
      </c>
      <c r="C43" s="378"/>
      <c r="D43" s="146" t="s">
        <v>86</v>
      </c>
      <c r="E43" s="197">
        <v>45414</v>
      </c>
      <c r="F43" s="379" t="s">
        <v>88</v>
      </c>
      <c r="G43" s="379"/>
      <c r="H43" s="198" t="s">
        <v>62</v>
      </c>
      <c r="I43" s="146" t="s">
        <v>86</v>
      </c>
      <c r="J43" s="201" t="s">
        <v>239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53"/>
      <c r="D49" s="382" t="s">
        <v>240</v>
      </c>
      <c r="E49" s="383"/>
      <c r="F49" s="383"/>
      <c r="G49" s="383"/>
      <c r="H49" s="384"/>
      <c r="I49" s="352">
        <v>1</v>
      </c>
      <c r="J49" s="353"/>
    </row>
    <row r="50" spans="1:14" ht="12" customHeight="1" x14ac:dyDescent="0.3">
      <c r="A50" s="153"/>
      <c r="B50" s="352"/>
      <c r="C50" s="353"/>
      <c r="D50" s="385" t="s">
        <v>241</v>
      </c>
      <c r="E50" s="386"/>
      <c r="F50" s="386"/>
      <c r="G50" s="386"/>
      <c r="H50" s="387"/>
      <c r="I50" s="352"/>
      <c r="J50" s="353"/>
    </row>
    <row r="51" spans="1:14" ht="12" customHeight="1" x14ac:dyDescent="0.3">
      <c r="A51" s="153"/>
      <c r="B51" s="352"/>
      <c r="C51" s="353"/>
      <c r="D51" s="388" t="s">
        <v>416</v>
      </c>
      <c r="E51" s="389"/>
      <c r="F51" s="389"/>
      <c r="G51" s="389"/>
      <c r="H51" s="390"/>
      <c r="I51" s="360"/>
      <c r="J51" s="361"/>
    </row>
    <row r="52" spans="1:14" ht="12" customHeight="1" x14ac:dyDescent="0.3">
      <c r="A52" s="153"/>
      <c r="B52" s="352"/>
      <c r="C52" s="353"/>
      <c r="D52" s="188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161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55"/>
      <c r="D54" s="16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82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D50:H50"/>
    <mergeCell ref="D51:H51"/>
    <mergeCell ref="A44:H44"/>
    <mergeCell ref="B46:C47"/>
    <mergeCell ref="D46:H47"/>
    <mergeCell ref="I46:J47"/>
    <mergeCell ref="B49:C49"/>
    <mergeCell ref="I49:J49"/>
    <mergeCell ref="D49:H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D13:H13"/>
    <mergeCell ref="D14:H14"/>
    <mergeCell ref="A7:H7"/>
    <mergeCell ref="B9:C10"/>
    <mergeCell ref="D9:H10"/>
    <mergeCell ref="I9:J10"/>
    <mergeCell ref="B12:C12"/>
    <mergeCell ref="I12:J12"/>
    <mergeCell ref="D12:H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66F8-D2D7-439E-8943-4226DFAF285C}">
  <dimension ref="A1:N70"/>
  <sheetViews>
    <sheetView view="pageBreakPreview" topLeftCell="A40" zoomScale="115" zoomScaleNormal="100" zoomScaleSheetLayoutView="115" workbookViewId="0">
      <selection activeCell="N51" sqref="N51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417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 t="s">
        <v>418</v>
      </c>
      <c r="C6" s="378"/>
      <c r="D6" s="146" t="s">
        <v>86</v>
      </c>
      <c r="E6" s="197" t="s">
        <v>402</v>
      </c>
      <c r="F6" s="379" t="s">
        <v>88</v>
      </c>
      <c r="G6" s="379"/>
      <c r="H6" s="198" t="s">
        <v>62</v>
      </c>
      <c r="I6" s="146" t="s">
        <v>86</v>
      </c>
      <c r="J6" s="201" t="s">
        <v>242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81"/>
      <c r="D12" s="236" t="s">
        <v>419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81"/>
      <c r="D13" s="203" t="s">
        <v>420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81"/>
      <c r="D14" s="202" t="s">
        <v>421</v>
      </c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81"/>
      <c r="D15" s="235" t="s">
        <v>422</v>
      </c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81"/>
      <c r="D16" s="228" t="s">
        <v>423</v>
      </c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91"/>
      <c r="D17" s="228" t="s">
        <v>424</v>
      </c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417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 t="s">
        <v>418</v>
      </c>
      <c r="C43" s="378"/>
      <c r="D43" s="146" t="s">
        <v>86</v>
      </c>
      <c r="E43" s="197" t="s">
        <v>402</v>
      </c>
      <c r="F43" s="379" t="s">
        <v>88</v>
      </c>
      <c r="G43" s="379"/>
      <c r="H43" s="198" t="s">
        <v>62</v>
      </c>
      <c r="I43" s="146" t="s">
        <v>86</v>
      </c>
      <c r="J43" s="201" t="s">
        <v>242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81"/>
      <c r="D49" s="236" t="s">
        <v>419</v>
      </c>
      <c r="E49" s="160"/>
      <c r="F49" s="160"/>
      <c r="G49" s="160"/>
      <c r="H49" s="160"/>
      <c r="I49" s="352">
        <v>1</v>
      </c>
      <c r="J49" s="353"/>
    </row>
    <row r="50" spans="1:14" ht="12" customHeight="1" x14ac:dyDescent="0.3">
      <c r="A50" s="153"/>
      <c r="B50" s="352"/>
      <c r="C50" s="381"/>
      <c r="D50" s="203" t="s">
        <v>420</v>
      </c>
      <c r="E50" s="160"/>
      <c r="F50" s="160"/>
      <c r="G50" s="160"/>
      <c r="H50" s="160"/>
      <c r="I50" s="352"/>
      <c r="J50" s="353"/>
    </row>
    <row r="51" spans="1:14" ht="12" customHeight="1" x14ac:dyDescent="0.3">
      <c r="A51" s="153"/>
      <c r="B51" s="352"/>
      <c r="C51" s="381"/>
      <c r="D51" s="202" t="s">
        <v>421</v>
      </c>
      <c r="E51" s="160"/>
      <c r="F51" s="160"/>
      <c r="G51" s="160"/>
      <c r="H51" s="160"/>
      <c r="I51" s="360"/>
      <c r="J51" s="361"/>
    </row>
    <row r="52" spans="1:14" ht="12" customHeight="1" x14ac:dyDescent="0.3">
      <c r="A52" s="153"/>
      <c r="B52" s="352"/>
      <c r="C52" s="381"/>
      <c r="D52" s="235" t="s">
        <v>422</v>
      </c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81"/>
      <c r="D53" s="228" t="s">
        <v>423</v>
      </c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91"/>
      <c r="D54" s="228" t="s">
        <v>424</v>
      </c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5330-D99C-4AE9-919C-BFB525071F8A}">
  <dimension ref="A1:N76"/>
  <sheetViews>
    <sheetView view="pageBreakPreview" topLeftCell="A43" zoomScale="115" zoomScaleNormal="100" zoomScaleSheetLayoutView="115" workbookViewId="0">
      <selection activeCell="M67" sqref="M67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425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35799</v>
      </c>
      <c r="I6" s="146" t="s">
        <v>86</v>
      </c>
      <c r="J6" s="201" t="s">
        <v>242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81"/>
      <c r="D12" s="233" t="s">
        <v>426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81"/>
      <c r="D13" s="233" t="s">
        <v>427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81"/>
      <c r="D14" s="233" t="s">
        <v>428</v>
      </c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81"/>
      <c r="D15" s="233" t="s">
        <v>429</v>
      </c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81"/>
      <c r="D16" s="233" t="s">
        <v>430</v>
      </c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91"/>
      <c r="D17" s="237" t="s">
        <v>431</v>
      </c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92"/>
      <c r="D18" s="237" t="s">
        <v>432</v>
      </c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237" t="s">
        <v>433</v>
      </c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203"/>
      <c r="E20" s="7"/>
      <c r="F20" s="7"/>
      <c r="G20" s="7"/>
      <c r="H20" s="170"/>
      <c r="I20" s="171"/>
      <c r="J20" s="172"/>
      <c r="L20" s="8"/>
      <c r="M20" s="8"/>
      <c r="N20" s="56"/>
    </row>
    <row r="21" spans="1:14" s="167" customFormat="1" ht="12" customHeight="1" x14ac:dyDescent="0.3">
      <c r="A21" s="163"/>
      <c r="B21" s="163"/>
      <c r="C21" s="168"/>
      <c r="D21" s="203"/>
      <c r="E21" s="7"/>
      <c r="F21" s="7"/>
      <c r="G21" s="7"/>
      <c r="H21" s="170"/>
      <c r="I21" s="171"/>
      <c r="J21" s="172"/>
      <c r="L21" s="8"/>
      <c r="M21" s="8"/>
      <c r="N21" s="56"/>
    </row>
    <row r="22" spans="1:14" s="167" customFormat="1" ht="12" customHeight="1" x14ac:dyDescent="0.3">
      <c r="A22" s="163"/>
      <c r="B22" s="163"/>
      <c r="C22" s="168"/>
      <c r="D22" s="173"/>
      <c r="E22" s="159" t="s">
        <v>94</v>
      </c>
      <c r="F22" s="339" t="s">
        <v>12</v>
      </c>
      <c r="G22" s="339"/>
      <c r="H22" s="340"/>
      <c r="I22" s="171"/>
      <c r="J22" s="172"/>
      <c r="M22" s="56"/>
      <c r="N22" s="56"/>
    </row>
    <row r="23" spans="1:14" s="167" customFormat="1" ht="12" customHeight="1" x14ac:dyDescent="0.3">
      <c r="A23" s="163"/>
      <c r="B23" s="163"/>
      <c r="C23" s="168"/>
      <c r="D23" s="174"/>
      <c r="E23" s="159"/>
      <c r="F23" s="339" t="s">
        <v>96</v>
      </c>
      <c r="G23" s="339"/>
      <c r="H23" s="340"/>
      <c r="I23" s="341"/>
      <c r="J23" s="340"/>
    </row>
    <row r="24" spans="1:14" s="167" customFormat="1" ht="12" customHeight="1" x14ac:dyDescent="0.3">
      <c r="A24" s="163"/>
      <c r="B24" s="342"/>
      <c r="C24" s="343"/>
      <c r="D24" s="174"/>
      <c r="E24" s="159"/>
      <c r="F24" s="175"/>
      <c r="G24" s="175"/>
      <c r="H24" s="176"/>
      <c r="I24" s="341"/>
      <c r="J24" s="340"/>
    </row>
    <row r="25" spans="1:14" ht="6" customHeight="1" x14ac:dyDescent="0.25">
      <c r="A25" s="148"/>
      <c r="B25" s="148"/>
      <c r="C25" s="149"/>
      <c r="D25" s="144"/>
      <c r="E25" s="144"/>
      <c r="F25" s="177"/>
      <c r="G25" s="144"/>
      <c r="H25" s="149"/>
      <c r="I25" s="148"/>
      <c r="J25" s="149"/>
    </row>
    <row r="26" spans="1:14" ht="6" customHeight="1" x14ac:dyDescent="0.25">
      <c r="A26" s="148"/>
      <c r="B26" s="148"/>
      <c r="C26" s="149"/>
      <c r="D26" s="148"/>
      <c r="E26" s="144"/>
      <c r="F26" s="177"/>
      <c r="G26" s="144"/>
      <c r="H26" s="149"/>
      <c r="I26" s="148"/>
      <c r="J26" s="149"/>
    </row>
    <row r="27" spans="1:14" ht="15.75" customHeight="1" x14ac:dyDescent="0.25">
      <c r="A27" s="178" t="s">
        <v>97</v>
      </c>
      <c r="B27" s="179"/>
      <c r="C27" s="179"/>
      <c r="D27" s="180"/>
      <c r="E27" s="181"/>
      <c r="F27" s="344" t="s">
        <v>98</v>
      </c>
      <c r="G27" s="344"/>
      <c r="H27" s="344"/>
      <c r="I27" s="344"/>
      <c r="J27" s="345"/>
    </row>
    <row r="28" spans="1:14" ht="17.25" customHeight="1" x14ac:dyDescent="0.25">
      <c r="A28" s="21" t="s">
        <v>99</v>
      </c>
      <c r="B28" s="182"/>
      <c r="C28" s="182"/>
      <c r="D28" s="182"/>
      <c r="E28" s="183"/>
      <c r="F28" s="182" t="s">
        <v>100</v>
      </c>
      <c r="G28" s="182"/>
      <c r="H28" s="182"/>
      <c r="I28" s="182"/>
      <c r="J28" s="183"/>
    </row>
    <row r="29" spans="1:14" ht="7.5" customHeight="1" x14ac:dyDescent="0.25">
      <c r="A29" s="21"/>
      <c r="B29" s="182"/>
      <c r="C29" s="182"/>
      <c r="D29" s="182"/>
      <c r="E29" s="183"/>
      <c r="F29" s="182"/>
      <c r="G29" s="182"/>
      <c r="H29" s="182"/>
      <c r="I29" s="182"/>
      <c r="J29" s="183"/>
    </row>
    <row r="30" spans="1:14" x14ac:dyDescent="0.25">
      <c r="A30" s="184" t="s">
        <v>101</v>
      </c>
      <c r="D30" s="182"/>
      <c r="E30" s="182"/>
      <c r="F30" s="21"/>
      <c r="G30" s="346" t="s">
        <v>102</v>
      </c>
      <c r="H30" s="346"/>
      <c r="I30" s="182"/>
      <c r="J30" s="183"/>
    </row>
    <row r="31" spans="1:14" x14ac:dyDescent="0.25">
      <c r="A31" s="184" t="s">
        <v>103</v>
      </c>
      <c r="D31" s="182"/>
      <c r="E31" s="182"/>
      <c r="F31" s="21"/>
      <c r="G31" s="182"/>
      <c r="H31" s="182" t="s">
        <v>90</v>
      </c>
      <c r="I31" s="182"/>
      <c r="J31" s="183"/>
    </row>
    <row r="32" spans="1:14" x14ac:dyDescent="0.25">
      <c r="A32" s="21"/>
      <c r="B32" s="182"/>
      <c r="C32" s="182"/>
      <c r="D32" s="182"/>
      <c r="E32" s="182"/>
      <c r="F32" s="21"/>
      <c r="G32" s="347" t="s">
        <v>104</v>
      </c>
      <c r="H32" s="347"/>
      <c r="I32" s="182"/>
      <c r="J32" s="183"/>
    </row>
    <row r="33" spans="1:10" ht="18" customHeight="1" x14ac:dyDescent="0.25">
      <c r="A33" s="348" t="s">
        <v>105</v>
      </c>
      <c r="B33" s="349"/>
      <c r="C33" s="350" t="s">
        <v>95</v>
      </c>
      <c r="D33" s="350"/>
      <c r="E33" s="351"/>
      <c r="F33" s="182"/>
      <c r="G33" s="350" t="s">
        <v>12</v>
      </c>
      <c r="H33" s="350"/>
      <c r="I33" s="350"/>
      <c r="J33" s="351"/>
    </row>
    <row r="34" spans="1:10" x14ac:dyDescent="0.25">
      <c r="A34" s="332" t="s">
        <v>106</v>
      </c>
      <c r="B34" s="333"/>
      <c r="C34" s="334" t="s">
        <v>107</v>
      </c>
      <c r="D34" s="334"/>
      <c r="E34" s="335"/>
      <c r="F34" s="182"/>
      <c r="G34" s="333" t="s">
        <v>108</v>
      </c>
      <c r="H34" s="333"/>
      <c r="I34" s="333"/>
      <c r="J34" s="336"/>
    </row>
    <row r="35" spans="1:10" ht="9.75" customHeight="1" x14ac:dyDescent="0.25">
      <c r="A35" s="185"/>
      <c r="B35" s="186"/>
      <c r="C35" s="186"/>
      <c r="D35" s="186"/>
      <c r="E35" s="187"/>
      <c r="F35" s="186"/>
      <c r="G35" s="186"/>
      <c r="H35" s="186"/>
      <c r="I35" s="186"/>
      <c r="J35" s="187"/>
    </row>
    <row r="42" spans="1:10" x14ac:dyDescent="0.25">
      <c r="H42" s="369" t="s">
        <v>81</v>
      </c>
      <c r="I42" s="369"/>
      <c r="J42" s="369"/>
    </row>
    <row r="43" spans="1:10" x14ac:dyDescent="0.25">
      <c r="H43" s="370" t="s">
        <v>82</v>
      </c>
      <c r="I43" s="370"/>
      <c r="J43" s="370"/>
    </row>
    <row r="44" spans="1:10" ht="20.25" customHeight="1" x14ac:dyDescent="0.25">
      <c r="A44" s="371" t="s">
        <v>39</v>
      </c>
      <c r="B44" s="372"/>
      <c r="C44" s="372"/>
      <c r="D44" s="372"/>
      <c r="E44" s="372"/>
      <c r="F44" s="372"/>
      <c r="G44" s="372"/>
      <c r="H44" s="372"/>
      <c r="I44" s="372"/>
      <c r="J44" s="373"/>
    </row>
    <row r="45" spans="1:10" ht="15.75" customHeight="1" thickBot="1" x14ac:dyDescent="0.3">
      <c r="A45" s="374" t="s">
        <v>83</v>
      </c>
      <c r="B45" s="375"/>
      <c r="C45" s="375"/>
      <c r="D45" s="375"/>
      <c r="E45" s="375"/>
      <c r="F45" s="375"/>
      <c r="G45" s="375"/>
      <c r="H45" s="375"/>
      <c r="I45" s="375"/>
      <c r="J45" s="376"/>
    </row>
    <row r="46" spans="1:10" ht="18" customHeight="1" thickTop="1" x14ac:dyDescent="0.25">
      <c r="A46" s="21" t="s">
        <v>84</v>
      </c>
      <c r="B46" s="186" t="s">
        <v>425</v>
      </c>
      <c r="C46" s="144"/>
      <c r="D46" s="144"/>
      <c r="E46" s="144"/>
      <c r="F46" s="144"/>
      <c r="G46" s="182" t="s">
        <v>85</v>
      </c>
      <c r="H46" s="145"/>
      <c r="I46" s="146" t="s">
        <v>86</v>
      </c>
      <c r="J46" s="147"/>
    </row>
    <row r="47" spans="1:10" ht="17.25" customHeight="1" x14ac:dyDescent="0.25">
      <c r="A47" s="21" t="s">
        <v>87</v>
      </c>
      <c r="B47" s="380"/>
      <c r="C47" s="378"/>
      <c r="D47" s="146" t="s">
        <v>86</v>
      </c>
      <c r="E47" s="197"/>
      <c r="F47" s="379" t="s">
        <v>88</v>
      </c>
      <c r="G47" s="379"/>
      <c r="H47" s="198">
        <v>35799</v>
      </c>
      <c r="I47" s="146" t="s">
        <v>86</v>
      </c>
      <c r="J47" s="201" t="s">
        <v>242</v>
      </c>
    </row>
    <row r="48" spans="1:10" ht="17.25" customHeight="1" x14ac:dyDescent="0.25">
      <c r="A48" s="362" t="s">
        <v>89</v>
      </c>
      <c r="B48" s="346"/>
      <c r="C48" s="346"/>
      <c r="D48" s="346"/>
      <c r="E48" s="346"/>
      <c r="F48" s="346"/>
      <c r="G48" s="346"/>
      <c r="H48" s="346"/>
      <c r="I48" s="144"/>
      <c r="J48" s="147" t="s">
        <v>90</v>
      </c>
    </row>
    <row r="49" spans="1:14" ht="5.25" customHeight="1" x14ac:dyDescent="0.25">
      <c r="A49" s="148"/>
      <c r="B49" s="144"/>
      <c r="C49" s="144"/>
      <c r="D49" s="144"/>
      <c r="E49" s="144"/>
      <c r="F49" s="144"/>
      <c r="G49" s="144"/>
      <c r="H49" s="144"/>
      <c r="I49" s="144"/>
      <c r="J49" s="149"/>
    </row>
    <row r="50" spans="1:14" x14ac:dyDescent="0.25">
      <c r="A50" s="150" t="s">
        <v>91</v>
      </c>
      <c r="B50" s="363" t="s">
        <v>4</v>
      </c>
      <c r="C50" s="364"/>
      <c r="D50" s="363" t="s">
        <v>92</v>
      </c>
      <c r="E50" s="367"/>
      <c r="F50" s="367"/>
      <c r="G50" s="367"/>
      <c r="H50" s="364"/>
      <c r="I50" s="363" t="s">
        <v>93</v>
      </c>
      <c r="J50" s="364"/>
    </row>
    <row r="51" spans="1:14" ht="12" customHeight="1" x14ac:dyDescent="0.25">
      <c r="A51" s="151" t="s">
        <v>42</v>
      </c>
      <c r="B51" s="365"/>
      <c r="C51" s="366"/>
      <c r="D51" s="365"/>
      <c r="E51" s="368"/>
      <c r="F51" s="368"/>
      <c r="G51" s="368"/>
      <c r="H51" s="366"/>
      <c r="I51" s="365"/>
      <c r="J51" s="366"/>
      <c r="N51" s="152"/>
    </row>
    <row r="52" spans="1:14" ht="12" customHeight="1" x14ac:dyDescent="0.25">
      <c r="A52" s="153"/>
      <c r="B52" s="154"/>
      <c r="C52" s="155"/>
      <c r="D52" s="156"/>
      <c r="E52" s="156"/>
      <c r="F52" s="156"/>
      <c r="G52" s="156"/>
      <c r="H52" s="157"/>
      <c r="I52" s="154"/>
      <c r="J52" s="158"/>
    </row>
    <row r="53" spans="1:14" ht="12" customHeight="1" x14ac:dyDescent="0.3">
      <c r="A53" s="153"/>
      <c r="B53" s="352" t="s">
        <v>7</v>
      </c>
      <c r="C53" s="381"/>
      <c r="D53" s="233" t="s">
        <v>426</v>
      </c>
      <c r="E53" s="160"/>
      <c r="F53" s="160"/>
      <c r="G53" s="160"/>
      <c r="H53" s="160"/>
      <c r="I53" s="352">
        <v>1</v>
      </c>
      <c r="J53" s="353"/>
    </row>
    <row r="54" spans="1:14" ht="12" customHeight="1" x14ac:dyDescent="0.3">
      <c r="A54" s="153"/>
      <c r="B54" s="352"/>
      <c r="C54" s="381"/>
      <c r="D54" s="233" t="s">
        <v>427</v>
      </c>
      <c r="E54" s="160"/>
      <c r="F54" s="160"/>
      <c r="G54" s="160"/>
      <c r="H54" s="160"/>
      <c r="I54" s="352"/>
      <c r="J54" s="353"/>
    </row>
    <row r="55" spans="1:14" ht="12" customHeight="1" x14ac:dyDescent="0.3">
      <c r="A55" s="153"/>
      <c r="B55" s="352"/>
      <c r="C55" s="381"/>
      <c r="D55" s="233" t="s">
        <v>428</v>
      </c>
      <c r="E55" s="160"/>
      <c r="F55" s="160"/>
      <c r="G55" s="160"/>
      <c r="H55" s="160"/>
      <c r="I55" s="360"/>
      <c r="J55" s="361"/>
    </row>
    <row r="56" spans="1:14" ht="12" customHeight="1" x14ac:dyDescent="0.3">
      <c r="A56" s="153"/>
      <c r="B56" s="352"/>
      <c r="C56" s="381"/>
      <c r="D56" s="233" t="s">
        <v>429</v>
      </c>
      <c r="E56" s="160"/>
      <c r="F56" s="160"/>
      <c r="G56" s="160"/>
      <c r="H56" s="160"/>
      <c r="I56" s="352"/>
      <c r="J56" s="353"/>
    </row>
    <row r="57" spans="1:14" ht="12" customHeight="1" x14ac:dyDescent="0.3">
      <c r="A57" s="153"/>
      <c r="B57" s="352"/>
      <c r="C57" s="381"/>
      <c r="D57" s="233" t="s">
        <v>430</v>
      </c>
      <c r="E57" s="160"/>
      <c r="F57" s="160"/>
      <c r="G57" s="160"/>
      <c r="H57" s="160"/>
      <c r="I57" s="352"/>
      <c r="J57" s="353"/>
    </row>
    <row r="58" spans="1:14" ht="12" customHeight="1" x14ac:dyDescent="0.3">
      <c r="A58" s="153"/>
      <c r="B58" s="354"/>
      <c r="C58" s="391"/>
      <c r="D58" s="237" t="s">
        <v>431</v>
      </c>
      <c r="E58" s="160"/>
      <c r="F58" s="160"/>
      <c r="G58" s="160"/>
      <c r="H58" s="160"/>
      <c r="I58" s="352"/>
      <c r="J58" s="353"/>
    </row>
    <row r="59" spans="1:14" s="167" customFormat="1" ht="12" customHeight="1" x14ac:dyDescent="0.3">
      <c r="A59" s="163"/>
      <c r="B59" s="356"/>
      <c r="C59" s="392"/>
      <c r="D59" s="237" t="s">
        <v>432</v>
      </c>
      <c r="E59" s="164"/>
      <c r="F59" s="164"/>
      <c r="G59" s="164"/>
      <c r="H59" s="165"/>
      <c r="I59" s="358"/>
      <c r="J59" s="359"/>
      <c r="K59" s="166"/>
      <c r="L59" s="164"/>
      <c r="M59" s="8"/>
      <c r="N59" s="8"/>
    </row>
    <row r="60" spans="1:14" s="167" customFormat="1" ht="12" customHeight="1" x14ac:dyDescent="0.3">
      <c r="A60" s="163"/>
      <c r="B60" s="163"/>
      <c r="C60" s="168"/>
      <c r="D60" s="237" t="s">
        <v>433</v>
      </c>
      <c r="E60" s="7"/>
      <c r="F60" s="7"/>
      <c r="G60" s="7"/>
      <c r="H60" s="170"/>
      <c r="I60" s="171"/>
      <c r="J60" s="172"/>
      <c r="L60" s="8"/>
      <c r="M60" s="8"/>
      <c r="N60" s="56"/>
    </row>
    <row r="61" spans="1:14" s="167" customFormat="1" ht="12" customHeight="1" x14ac:dyDescent="0.3">
      <c r="A61" s="163"/>
      <c r="B61" s="163"/>
      <c r="C61" s="168"/>
      <c r="D61" s="203"/>
      <c r="E61" s="7"/>
      <c r="F61" s="7"/>
      <c r="G61" s="7"/>
      <c r="H61" s="170"/>
      <c r="I61" s="171"/>
      <c r="J61" s="172"/>
      <c r="L61" s="8"/>
      <c r="M61" s="8"/>
      <c r="N61" s="56"/>
    </row>
    <row r="62" spans="1:14" s="167" customFormat="1" ht="12" customHeight="1" x14ac:dyDescent="0.3">
      <c r="A62" s="163"/>
      <c r="B62" s="163"/>
      <c r="C62" s="168"/>
      <c r="D62" s="203"/>
      <c r="E62" s="7"/>
      <c r="F62" s="7"/>
      <c r="G62" s="7"/>
      <c r="H62" s="170"/>
      <c r="I62" s="171"/>
      <c r="J62" s="172"/>
      <c r="L62" s="8"/>
      <c r="M62" s="8"/>
      <c r="N62" s="56"/>
    </row>
    <row r="63" spans="1:14" s="167" customFormat="1" ht="12" customHeight="1" x14ac:dyDescent="0.3">
      <c r="A63" s="163"/>
      <c r="B63" s="163"/>
      <c r="C63" s="168"/>
      <c r="D63" s="173"/>
      <c r="E63" s="159" t="s">
        <v>94</v>
      </c>
      <c r="F63" s="339" t="s">
        <v>12</v>
      </c>
      <c r="G63" s="339"/>
      <c r="H63" s="340"/>
      <c r="I63" s="171"/>
      <c r="J63" s="172"/>
      <c r="M63" s="56"/>
      <c r="N63" s="56"/>
    </row>
    <row r="64" spans="1:14" s="167" customFormat="1" ht="12" customHeight="1" x14ac:dyDescent="0.3">
      <c r="A64" s="163"/>
      <c r="B64" s="163"/>
      <c r="C64" s="168"/>
      <c r="D64" s="174"/>
      <c r="E64" s="159"/>
      <c r="F64" s="339" t="s">
        <v>96</v>
      </c>
      <c r="G64" s="339"/>
      <c r="H64" s="340"/>
      <c r="I64" s="341"/>
      <c r="J64" s="340"/>
    </row>
    <row r="65" spans="1:10" s="167" customFormat="1" ht="12" customHeight="1" x14ac:dyDescent="0.3">
      <c r="A65" s="163"/>
      <c r="B65" s="342"/>
      <c r="C65" s="343"/>
      <c r="D65" s="174"/>
      <c r="E65" s="159"/>
      <c r="F65" s="175"/>
      <c r="G65" s="175"/>
      <c r="H65" s="176"/>
      <c r="I65" s="341"/>
      <c r="J65" s="340"/>
    </row>
    <row r="66" spans="1:10" ht="6" customHeight="1" x14ac:dyDescent="0.25">
      <c r="A66" s="148"/>
      <c r="B66" s="148"/>
      <c r="C66" s="149"/>
      <c r="D66" s="144"/>
      <c r="E66" s="144"/>
      <c r="F66" s="177"/>
      <c r="G66" s="144"/>
      <c r="H66" s="149"/>
      <c r="I66" s="148"/>
      <c r="J66" s="149"/>
    </row>
    <row r="67" spans="1:10" ht="6" customHeight="1" x14ac:dyDescent="0.25">
      <c r="A67" s="148"/>
      <c r="B67" s="148"/>
      <c r="C67" s="149"/>
      <c r="D67" s="148"/>
      <c r="E67" s="144"/>
      <c r="F67" s="177"/>
      <c r="G67" s="144"/>
      <c r="H67" s="149"/>
      <c r="I67" s="148"/>
      <c r="J67" s="149"/>
    </row>
    <row r="68" spans="1:10" ht="15.75" customHeight="1" x14ac:dyDescent="0.25">
      <c r="A68" s="178" t="s">
        <v>97</v>
      </c>
      <c r="B68" s="179"/>
      <c r="C68" s="179"/>
      <c r="D68" s="180"/>
      <c r="E68" s="181"/>
      <c r="F68" s="344" t="s">
        <v>98</v>
      </c>
      <c r="G68" s="344"/>
      <c r="H68" s="344"/>
      <c r="I68" s="344"/>
      <c r="J68" s="345"/>
    </row>
    <row r="69" spans="1:10" ht="17.25" customHeight="1" x14ac:dyDescent="0.25">
      <c r="A69" s="21" t="s">
        <v>99</v>
      </c>
      <c r="B69" s="182"/>
      <c r="C69" s="182"/>
      <c r="D69" s="182"/>
      <c r="E69" s="183"/>
      <c r="F69" s="182" t="s">
        <v>100</v>
      </c>
      <c r="G69" s="182"/>
      <c r="H69" s="182"/>
      <c r="I69" s="182"/>
      <c r="J69" s="183"/>
    </row>
    <row r="70" spans="1:10" ht="7.5" customHeight="1" x14ac:dyDescent="0.25">
      <c r="A70" s="21"/>
      <c r="B70" s="182"/>
      <c r="C70" s="182"/>
      <c r="D70" s="182"/>
      <c r="E70" s="183"/>
      <c r="F70" s="182"/>
      <c r="G70" s="182"/>
      <c r="H70" s="182"/>
      <c r="I70" s="182"/>
      <c r="J70" s="183"/>
    </row>
    <row r="71" spans="1:10" x14ac:dyDescent="0.25">
      <c r="A71" s="184" t="s">
        <v>101</v>
      </c>
      <c r="D71" s="182"/>
      <c r="E71" s="182"/>
      <c r="F71" s="21"/>
      <c r="G71" s="346" t="s">
        <v>102</v>
      </c>
      <c r="H71" s="346"/>
      <c r="I71" s="182"/>
      <c r="J71" s="183"/>
    </row>
    <row r="72" spans="1:10" x14ac:dyDescent="0.25">
      <c r="A72" s="184" t="s">
        <v>103</v>
      </c>
      <c r="D72" s="182"/>
      <c r="E72" s="182"/>
      <c r="F72" s="21"/>
      <c r="G72" s="182"/>
      <c r="H72" s="182" t="s">
        <v>90</v>
      </c>
      <c r="I72" s="182"/>
      <c r="J72" s="183"/>
    </row>
    <row r="73" spans="1:10" x14ac:dyDescent="0.25">
      <c r="A73" s="21"/>
      <c r="B73" s="182"/>
      <c r="C73" s="182"/>
      <c r="D73" s="182"/>
      <c r="E73" s="182"/>
      <c r="F73" s="21"/>
      <c r="G73" s="347" t="s">
        <v>104</v>
      </c>
      <c r="H73" s="347"/>
      <c r="I73" s="182"/>
      <c r="J73" s="183"/>
    </row>
    <row r="74" spans="1:10" ht="18" customHeight="1" x14ac:dyDescent="0.25">
      <c r="A74" s="348" t="s">
        <v>105</v>
      </c>
      <c r="B74" s="349"/>
      <c r="C74" s="350" t="s">
        <v>95</v>
      </c>
      <c r="D74" s="350"/>
      <c r="E74" s="351"/>
      <c r="F74" s="182"/>
      <c r="G74" s="350" t="s">
        <v>12</v>
      </c>
      <c r="H74" s="350"/>
      <c r="I74" s="350"/>
      <c r="J74" s="351"/>
    </row>
    <row r="75" spans="1:10" x14ac:dyDescent="0.25">
      <c r="A75" s="332" t="s">
        <v>106</v>
      </c>
      <c r="B75" s="333"/>
      <c r="C75" s="334" t="s">
        <v>107</v>
      </c>
      <c r="D75" s="334"/>
      <c r="E75" s="335"/>
      <c r="F75" s="182"/>
      <c r="G75" s="333" t="s">
        <v>108</v>
      </c>
      <c r="H75" s="333"/>
      <c r="I75" s="333"/>
      <c r="J75" s="336"/>
    </row>
    <row r="76" spans="1:10" ht="9.75" customHeight="1" x14ac:dyDescent="0.25">
      <c r="A76" s="185"/>
      <c r="B76" s="186"/>
      <c r="C76" s="186"/>
      <c r="D76" s="186"/>
      <c r="E76" s="187"/>
      <c r="F76" s="186"/>
      <c r="G76" s="186"/>
      <c r="H76" s="186"/>
      <c r="I76" s="186"/>
      <c r="J76" s="187"/>
    </row>
  </sheetData>
  <mergeCells count="76">
    <mergeCell ref="F63:H63"/>
    <mergeCell ref="F64:H64"/>
    <mergeCell ref="B57:C57"/>
    <mergeCell ref="I57:J57"/>
    <mergeCell ref="B58:C58"/>
    <mergeCell ref="I58:J58"/>
    <mergeCell ref="B59:C59"/>
    <mergeCell ref="I59:J59"/>
    <mergeCell ref="I64:J64"/>
    <mergeCell ref="B54:C54"/>
    <mergeCell ref="I54:J54"/>
    <mergeCell ref="B55:C55"/>
    <mergeCell ref="I55:J55"/>
    <mergeCell ref="B56:C56"/>
    <mergeCell ref="I56:J56"/>
    <mergeCell ref="A48:H48"/>
    <mergeCell ref="B50:C51"/>
    <mergeCell ref="D50:H51"/>
    <mergeCell ref="I50:J51"/>
    <mergeCell ref="B53:C53"/>
    <mergeCell ref="I53:J53"/>
    <mergeCell ref="H42:J42"/>
    <mergeCell ref="H43:J43"/>
    <mergeCell ref="A44:J44"/>
    <mergeCell ref="A45:J45"/>
    <mergeCell ref="B47:C47"/>
    <mergeCell ref="F47:G47"/>
    <mergeCell ref="A34:B34"/>
    <mergeCell ref="C34:E34"/>
    <mergeCell ref="G34:J34"/>
    <mergeCell ref="F22:H22"/>
    <mergeCell ref="F23:H23"/>
    <mergeCell ref="I23:J23"/>
    <mergeCell ref="B24:C24"/>
    <mergeCell ref="I24:J24"/>
    <mergeCell ref="F27:J27"/>
    <mergeCell ref="G30:H30"/>
    <mergeCell ref="G32:H32"/>
    <mergeCell ref="A33:B33"/>
    <mergeCell ref="C33:E33"/>
    <mergeCell ref="G33:J33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  <mergeCell ref="B65:C65"/>
    <mergeCell ref="I65:J65"/>
    <mergeCell ref="F68:J68"/>
    <mergeCell ref="G73:H73"/>
    <mergeCell ref="G71:H71"/>
    <mergeCell ref="A74:B74"/>
    <mergeCell ref="C74:E74"/>
    <mergeCell ref="G74:J74"/>
    <mergeCell ref="A75:B75"/>
    <mergeCell ref="C75:E75"/>
    <mergeCell ref="G75:J75"/>
  </mergeCells>
  <printOptions horizontalCentered="1"/>
  <pageMargins left="0" right="0" top="0.39370078740157483" bottom="0" header="0.19685039370078741" footer="0.27559055118110237"/>
  <pageSetup paperSize="281" scale="9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564F-1244-457A-99D7-085CB2F88320}">
  <dimension ref="A1:N70"/>
  <sheetViews>
    <sheetView view="pageBreakPreview" zoomScale="115" zoomScaleNormal="100" zoomScaleSheetLayoutView="115" workbookViewId="0">
      <selection activeCell="M37" sqref="M37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434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66580</v>
      </c>
      <c r="I6" s="146" t="s">
        <v>86</v>
      </c>
      <c r="J6" s="201" t="s">
        <v>260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53"/>
      <c r="D12" s="233" t="s">
        <v>261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53"/>
      <c r="D13" s="238" t="s">
        <v>435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53"/>
      <c r="D14" s="234" t="s">
        <v>436</v>
      </c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53"/>
      <c r="D15" s="188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161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55"/>
      <c r="D17" s="16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434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66580</v>
      </c>
      <c r="I43" s="146" t="s">
        <v>86</v>
      </c>
      <c r="J43" s="201" t="s">
        <v>260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53"/>
      <c r="D49" s="233" t="s">
        <v>261</v>
      </c>
      <c r="E49" s="160"/>
      <c r="F49" s="160"/>
      <c r="G49" s="160"/>
      <c r="H49" s="160"/>
      <c r="I49" s="352">
        <v>1</v>
      </c>
      <c r="J49" s="353"/>
    </row>
    <row r="50" spans="1:14" ht="12" customHeight="1" x14ac:dyDescent="0.3">
      <c r="A50" s="153"/>
      <c r="B50" s="352"/>
      <c r="C50" s="353"/>
      <c r="D50" s="238" t="s">
        <v>435</v>
      </c>
      <c r="E50" s="160"/>
      <c r="F50" s="160"/>
      <c r="G50" s="160"/>
      <c r="H50" s="160"/>
      <c r="I50" s="352"/>
      <c r="J50" s="353"/>
    </row>
    <row r="51" spans="1:14" ht="12" customHeight="1" x14ac:dyDescent="0.3">
      <c r="A51" s="153"/>
      <c r="B51" s="352"/>
      <c r="C51" s="353"/>
      <c r="D51" s="234" t="s">
        <v>436</v>
      </c>
      <c r="E51" s="160"/>
      <c r="F51" s="160"/>
      <c r="G51" s="160"/>
      <c r="H51" s="160"/>
      <c r="I51" s="360"/>
      <c r="J51" s="361"/>
    </row>
    <row r="52" spans="1:14" ht="12" customHeight="1" x14ac:dyDescent="0.3">
      <c r="A52" s="153"/>
      <c r="B52" s="352"/>
      <c r="C52" s="353"/>
      <c r="D52" s="188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161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55"/>
      <c r="D54" s="16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3C24-12EA-4FD5-9F66-E43867DE5DE3}">
  <dimension ref="A1:N70"/>
  <sheetViews>
    <sheetView view="pageBreakPreview" topLeftCell="A31" zoomScale="115" zoomScaleNormal="100" zoomScaleSheetLayoutView="115" workbookViewId="0">
      <selection activeCell="M42" sqref="M42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437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 t="s">
        <v>62</v>
      </c>
      <c r="I6" s="146" t="s">
        <v>86</v>
      </c>
      <c r="J6" s="201">
        <v>45507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53"/>
      <c r="D12" s="239" t="s">
        <v>263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53"/>
      <c r="D13" s="240" t="s">
        <v>264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53"/>
      <c r="D14" s="202"/>
      <c r="E14" s="160"/>
      <c r="F14" s="160"/>
      <c r="G14" s="160"/>
      <c r="H14" s="160"/>
      <c r="I14" s="352"/>
      <c r="J14" s="353"/>
    </row>
    <row r="15" spans="1:14" ht="12" customHeight="1" x14ac:dyDescent="0.3">
      <c r="A15" s="153"/>
      <c r="B15" s="352"/>
      <c r="C15" s="353"/>
      <c r="D15" s="202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202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2"/>
      <c r="C17" s="353"/>
      <c r="D17" s="20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437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 t="s">
        <v>62</v>
      </c>
      <c r="I43" s="146" t="s">
        <v>86</v>
      </c>
      <c r="J43" s="201">
        <v>45507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53"/>
      <c r="D49" s="239" t="s">
        <v>263</v>
      </c>
      <c r="E49" s="160"/>
      <c r="F49" s="160"/>
      <c r="G49" s="160"/>
      <c r="H49" s="160"/>
      <c r="I49" s="352">
        <v>1</v>
      </c>
      <c r="J49" s="353"/>
    </row>
    <row r="50" spans="1:14" ht="12" customHeight="1" x14ac:dyDescent="0.3">
      <c r="A50" s="153"/>
      <c r="B50" s="352"/>
      <c r="C50" s="353"/>
      <c r="D50" s="240" t="s">
        <v>264</v>
      </c>
      <c r="E50" s="160"/>
      <c r="F50" s="160"/>
      <c r="G50" s="160"/>
      <c r="H50" s="160"/>
      <c r="I50" s="352"/>
      <c r="J50" s="353"/>
    </row>
    <row r="51" spans="1:14" ht="12" customHeight="1" x14ac:dyDescent="0.3">
      <c r="A51" s="153"/>
      <c r="B51" s="352"/>
      <c r="C51" s="353"/>
      <c r="D51" s="202"/>
      <c r="E51" s="160"/>
      <c r="F51" s="160"/>
      <c r="G51" s="160"/>
      <c r="H51" s="160"/>
      <c r="I51" s="352"/>
      <c r="J51" s="353"/>
    </row>
    <row r="52" spans="1:14" ht="12" customHeight="1" x14ac:dyDescent="0.3">
      <c r="A52" s="153"/>
      <c r="B52" s="352"/>
      <c r="C52" s="353"/>
      <c r="D52" s="202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202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2"/>
      <c r="C54" s="353"/>
      <c r="D54" s="20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1CA2-85DD-4506-92D6-1CA993C902CE}">
  <dimension ref="A1:N70"/>
  <sheetViews>
    <sheetView view="pageBreakPreview" topLeftCell="A37" zoomScale="115" zoomScaleNormal="100" zoomScaleSheetLayoutView="115" workbookViewId="0">
      <selection activeCell="O48" sqref="O48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414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 t="s">
        <v>62</v>
      </c>
      <c r="I6" s="146" t="s">
        <v>86</v>
      </c>
      <c r="J6" s="201" t="s">
        <v>242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53"/>
      <c r="D12" s="382" t="s">
        <v>240</v>
      </c>
      <c r="E12" s="383"/>
      <c r="F12" s="383"/>
      <c r="G12" s="383"/>
      <c r="H12" s="384"/>
      <c r="I12" s="352">
        <v>1</v>
      </c>
      <c r="J12" s="353"/>
    </row>
    <row r="13" spans="1:14" ht="12" customHeight="1" x14ac:dyDescent="0.3">
      <c r="A13" s="153"/>
      <c r="B13" s="352"/>
      <c r="C13" s="353"/>
      <c r="D13" s="385" t="s">
        <v>266</v>
      </c>
      <c r="E13" s="386"/>
      <c r="F13" s="386"/>
      <c r="G13" s="386"/>
      <c r="H13" s="387"/>
      <c r="I13" s="352"/>
      <c r="J13" s="353"/>
    </row>
    <row r="14" spans="1:14" ht="12" customHeight="1" x14ac:dyDescent="0.3">
      <c r="A14" s="153"/>
      <c r="B14" s="352"/>
      <c r="C14" s="353"/>
      <c r="D14" s="388" t="s">
        <v>438</v>
      </c>
      <c r="E14" s="389"/>
      <c r="F14" s="389"/>
      <c r="G14" s="389"/>
      <c r="H14" s="390"/>
      <c r="I14" s="360"/>
      <c r="J14" s="361"/>
    </row>
    <row r="15" spans="1:14" ht="12" customHeight="1" x14ac:dyDescent="0.3">
      <c r="A15" s="153"/>
      <c r="B15" s="352"/>
      <c r="C15" s="353"/>
      <c r="D15" s="385" t="s">
        <v>439</v>
      </c>
      <c r="E15" s="386"/>
      <c r="F15" s="386"/>
      <c r="G15" s="386"/>
      <c r="H15" s="387"/>
      <c r="I15" s="352"/>
      <c r="J15" s="353"/>
    </row>
    <row r="16" spans="1:14" ht="12" customHeight="1" x14ac:dyDescent="0.3">
      <c r="A16" s="153"/>
      <c r="B16" s="352"/>
      <c r="C16" s="353"/>
      <c r="D16" s="393" t="s">
        <v>440</v>
      </c>
      <c r="E16" s="394"/>
      <c r="F16" s="394"/>
      <c r="G16" s="394"/>
      <c r="H16" s="395"/>
      <c r="I16" s="352"/>
      <c r="J16" s="353"/>
    </row>
    <row r="17" spans="1:14" ht="12" customHeight="1" x14ac:dyDescent="0.3">
      <c r="A17" s="153"/>
      <c r="B17" s="354"/>
      <c r="C17" s="355"/>
      <c r="D17" s="16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414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 t="s">
        <v>62</v>
      </c>
      <c r="I43" s="146" t="s">
        <v>86</v>
      </c>
      <c r="J43" s="201" t="s">
        <v>242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53"/>
      <c r="D49" s="382" t="s">
        <v>240</v>
      </c>
      <c r="E49" s="383"/>
      <c r="F49" s="383"/>
      <c r="G49" s="383"/>
      <c r="H49" s="384"/>
      <c r="I49" s="352">
        <v>1</v>
      </c>
      <c r="J49" s="353"/>
    </row>
    <row r="50" spans="1:14" ht="12" customHeight="1" x14ac:dyDescent="0.3">
      <c r="A50" s="153"/>
      <c r="B50" s="352"/>
      <c r="C50" s="353"/>
      <c r="D50" s="385" t="s">
        <v>266</v>
      </c>
      <c r="E50" s="386"/>
      <c r="F50" s="386"/>
      <c r="G50" s="386"/>
      <c r="H50" s="387"/>
      <c r="I50" s="352"/>
      <c r="J50" s="353"/>
    </row>
    <row r="51" spans="1:14" ht="12" customHeight="1" x14ac:dyDescent="0.3">
      <c r="A51" s="153"/>
      <c r="B51" s="352"/>
      <c r="C51" s="353"/>
      <c r="D51" s="388" t="s">
        <v>438</v>
      </c>
      <c r="E51" s="389"/>
      <c r="F51" s="389"/>
      <c r="G51" s="389"/>
      <c r="H51" s="390"/>
      <c r="I51" s="360"/>
      <c r="J51" s="361"/>
    </row>
    <row r="52" spans="1:14" ht="12" customHeight="1" x14ac:dyDescent="0.3">
      <c r="A52" s="153"/>
      <c r="B52" s="352"/>
      <c r="C52" s="353"/>
      <c r="D52" s="385" t="s">
        <v>439</v>
      </c>
      <c r="E52" s="386"/>
      <c r="F52" s="386"/>
      <c r="G52" s="386"/>
      <c r="H52" s="387"/>
      <c r="I52" s="352"/>
      <c r="J52" s="353"/>
    </row>
    <row r="53" spans="1:14" ht="12" customHeight="1" x14ac:dyDescent="0.3">
      <c r="A53" s="153"/>
      <c r="B53" s="352"/>
      <c r="C53" s="353"/>
      <c r="D53" s="393" t="s">
        <v>440</v>
      </c>
      <c r="E53" s="394"/>
      <c r="F53" s="394"/>
      <c r="G53" s="394"/>
      <c r="H53" s="395"/>
      <c r="I53" s="352"/>
      <c r="J53" s="353"/>
    </row>
    <row r="54" spans="1:14" ht="12" customHeight="1" x14ac:dyDescent="0.3">
      <c r="A54" s="153"/>
      <c r="B54" s="354"/>
      <c r="C54" s="355"/>
      <c r="D54" s="16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8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D53:H53"/>
    <mergeCell ref="B50:C50"/>
    <mergeCell ref="I50:J50"/>
    <mergeCell ref="B51:C51"/>
    <mergeCell ref="I51:J51"/>
    <mergeCell ref="B52:C52"/>
    <mergeCell ref="I52:J52"/>
    <mergeCell ref="D50:H50"/>
    <mergeCell ref="D51:H51"/>
    <mergeCell ref="D52:H52"/>
    <mergeCell ref="A44:H44"/>
    <mergeCell ref="B46:C47"/>
    <mergeCell ref="D46:H47"/>
    <mergeCell ref="I46:J47"/>
    <mergeCell ref="B49:C49"/>
    <mergeCell ref="I49:J49"/>
    <mergeCell ref="D49:H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D16:H16"/>
    <mergeCell ref="B13:C13"/>
    <mergeCell ref="I13:J13"/>
    <mergeCell ref="B14:C14"/>
    <mergeCell ref="I14:J14"/>
    <mergeCell ref="B15:C15"/>
    <mergeCell ref="I15:J15"/>
    <mergeCell ref="D13:H13"/>
    <mergeCell ref="D14:H14"/>
    <mergeCell ref="D15:H15"/>
    <mergeCell ref="A7:H7"/>
    <mergeCell ref="B9:C10"/>
    <mergeCell ref="D9:H10"/>
    <mergeCell ref="I9:J10"/>
    <mergeCell ref="B12:C12"/>
    <mergeCell ref="I12:J12"/>
    <mergeCell ref="D12:H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C5B1-8F7B-49E6-A9BB-CC40AA8A1690}">
  <dimension ref="A1:N70"/>
  <sheetViews>
    <sheetView view="pageBreakPreview" topLeftCell="A46" zoomScale="115" zoomScaleNormal="100" zoomScaleSheetLayoutView="115" workbookViewId="0">
      <selection activeCell="O51" sqref="O51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110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/>
      <c r="I6" s="146" t="s">
        <v>86</v>
      </c>
      <c r="J6" s="201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79</v>
      </c>
      <c r="C12" s="353"/>
      <c r="D12" s="234" t="s">
        <v>268</v>
      </c>
      <c r="E12" s="160"/>
      <c r="F12" s="160"/>
      <c r="G12" s="160"/>
      <c r="H12" s="160"/>
      <c r="I12" s="352">
        <v>2</v>
      </c>
      <c r="J12" s="353"/>
    </row>
    <row r="13" spans="1:14" ht="12" customHeight="1" x14ac:dyDescent="0.3">
      <c r="A13" s="153"/>
      <c r="B13" s="352" t="s">
        <v>9</v>
      </c>
      <c r="C13" s="353"/>
      <c r="D13" s="234" t="s">
        <v>270</v>
      </c>
      <c r="E13" s="160"/>
      <c r="F13" s="160"/>
      <c r="G13" s="160"/>
      <c r="H13" s="160"/>
      <c r="I13" s="352">
        <v>10</v>
      </c>
      <c r="J13" s="353"/>
    </row>
    <row r="14" spans="1:14" ht="12" customHeight="1" x14ac:dyDescent="0.3">
      <c r="A14" s="153"/>
      <c r="B14" s="352" t="s">
        <v>9</v>
      </c>
      <c r="C14" s="353"/>
      <c r="D14" s="234" t="s">
        <v>273</v>
      </c>
      <c r="E14" s="160"/>
      <c r="F14" s="160"/>
      <c r="G14" s="160"/>
      <c r="H14" s="160"/>
      <c r="I14" s="352">
        <v>10</v>
      </c>
      <c r="J14" s="353"/>
    </row>
    <row r="15" spans="1:14" ht="12" customHeight="1" x14ac:dyDescent="0.3">
      <c r="A15" s="153"/>
      <c r="B15" s="352"/>
      <c r="C15" s="353"/>
      <c r="D15" s="202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202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2"/>
      <c r="C17" s="353"/>
      <c r="D17" s="20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110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/>
      <c r="I43" s="146" t="s">
        <v>86</v>
      </c>
      <c r="J43" s="201"/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79</v>
      </c>
      <c r="C49" s="353"/>
      <c r="D49" s="234" t="s">
        <v>268</v>
      </c>
      <c r="E49" s="160"/>
      <c r="F49" s="160"/>
      <c r="G49" s="160"/>
      <c r="H49" s="160"/>
      <c r="I49" s="352">
        <v>2</v>
      </c>
      <c r="J49" s="353"/>
    </row>
    <row r="50" spans="1:14" ht="12" customHeight="1" x14ac:dyDescent="0.3">
      <c r="A50" s="153"/>
      <c r="B50" s="352" t="s">
        <v>9</v>
      </c>
      <c r="C50" s="353"/>
      <c r="D50" s="234" t="s">
        <v>270</v>
      </c>
      <c r="E50" s="160"/>
      <c r="F50" s="160"/>
      <c r="G50" s="160"/>
      <c r="H50" s="160"/>
      <c r="I50" s="352">
        <v>10</v>
      </c>
      <c r="J50" s="353"/>
    </row>
    <row r="51" spans="1:14" ht="12" customHeight="1" x14ac:dyDescent="0.3">
      <c r="A51" s="153"/>
      <c r="B51" s="352" t="s">
        <v>9</v>
      </c>
      <c r="C51" s="353"/>
      <c r="D51" s="234" t="s">
        <v>273</v>
      </c>
      <c r="E51" s="160"/>
      <c r="F51" s="160"/>
      <c r="G51" s="160"/>
      <c r="H51" s="160"/>
      <c r="I51" s="352">
        <v>10</v>
      </c>
      <c r="J51" s="353"/>
    </row>
    <row r="52" spans="1:14" ht="12" customHeight="1" x14ac:dyDescent="0.3">
      <c r="A52" s="153"/>
      <c r="B52" s="352"/>
      <c r="C52" s="353"/>
      <c r="D52" s="202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202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2"/>
      <c r="C54" s="353"/>
      <c r="D54" s="20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12C9-6489-4B9B-821F-787C6964B677}">
  <dimension ref="A1:N70"/>
  <sheetViews>
    <sheetView view="pageBreakPreview" topLeftCell="A40" zoomScale="115" zoomScaleNormal="100" zoomScaleSheetLayoutView="115" workbookViewId="0">
      <selection activeCell="N49" sqref="N49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441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6074</v>
      </c>
      <c r="I6" s="146" t="s">
        <v>86</v>
      </c>
      <c r="J6" s="201" t="s">
        <v>228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9</v>
      </c>
      <c r="C12" s="353"/>
      <c r="D12" s="239" t="s">
        <v>275</v>
      </c>
      <c r="E12" s="160"/>
      <c r="F12" s="160"/>
      <c r="G12" s="160"/>
      <c r="H12" s="160"/>
      <c r="I12" s="352">
        <v>6</v>
      </c>
      <c r="J12" s="353"/>
    </row>
    <row r="13" spans="1:14" ht="12" customHeight="1" x14ac:dyDescent="0.3">
      <c r="A13" s="153"/>
      <c r="B13" s="352" t="s">
        <v>9</v>
      </c>
      <c r="C13" s="353"/>
      <c r="D13" s="240" t="s">
        <v>276</v>
      </c>
      <c r="E13" s="160"/>
      <c r="F13" s="160"/>
      <c r="G13" s="160"/>
      <c r="H13" s="160"/>
      <c r="I13" s="352">
        <v>8</v>
      </c>
      <c r="J13" s="353"/>
    </row>
    <row r="14" spans="1:14" ht="12" customHeight="1" x14ac:dyDescent="0.3">
      <c r="A14" s="153"/>
      <c r="B14" s="352"/>
      <c r="C14" s="353"/>
      <c r="D14" s="202"/>
      <c r="E14" s="160"/>
      <c r="F14" s="160"/>
      <c r="G14" s="160"/>
      <c r="H14" s="160"/>
      <c r="I14" s="352"/>
      <c r="J14" s="353"/>
    </row>
    <row r="15" spans="1:14" ht="12" customHeight="1" x14ac:dyDescent="0.3">
      <c r="A15" s="153"/>
      <c r="B15" s="352"/>
      <c r="C15" s="353"/>
      <c r="D15" s="202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202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2"/>
      <c r="C17" s="353"/>
      <c r="D17" s="20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441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6074</v>
      </c>
      <c r="I43" s="146" t="s">
        <v>86</v>
      </c>
      <c r="J43" s="201" t="s">
        <v>228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9</v>
      </c>
      <c r="C49" s="353"/>
      <c r="D49" s="239" t="s">
        <v>275</v>
      </c>
      <c r="E49" s="160"/>
      <c r="F49" s="160"/>
      <c r="G49" s="160"/>
      <c r="H49" s="160"/>
      <c r="I49" s="352">
        <v>6</v>
      </c>
      <c r="J49" s="353"/>
    </row>
    <row r="50" spans="1:14" ht="12" customHeight="1" x14ac:dyDescent="0.3">
      <c r="A50" s="153"/>
      <c r="B50" s="352" t="s">
        <v>9</v>
      </c>
      <c r="C50" s="353"/>
      <c r="D50" s="240" t="s">
        <v>276</v>
      </c>
      <c r="E50" s="160"/>
      <c r="F50" s="160"/>
      <c r="G50" s="160"/>
      <c r="H50" s="160"/>
      <c r="I50" s="352">
        <v>8</v>
      </c>
      <c r="J50" s="353"/>
    </row>
    <row r="51" spans="1:14" ht="12" customHeight="1" x14ac:dyDescent="0.3">
      <c r="A51" s="153"/>
      <c r="B51" s="352"/>
      <c r="C51" s="353"/>
      <c r="D51" s="202"/>
      <c r="E51" s="160"/>
      <c r="F51" s="160"/>
      <c r="G51" s="160"/>
      <c r="H51" s="160"/>
      <c r="I51" s="352"/>
      <c r="J51" s="353"/>
    </row>
    <row r="52" spans="1:14" ht="12" customHeight="1" x14ac:dyDescent="0.3">
      <c r="A52" s="153"/>
      <c r="B52" s="352"/>
      <c r="C52" s="353"/>
      <c r="D52" s="202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202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2"/>
      <c r="C54" s="353"/>
      <c r="D54" s="20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A741-ACAB-450A-9546-92EC95E9C2A2}">
  <dimension ref="A1:N82"/>
  <sheetViews>
    <sheetView view="pageBreakPreview" zoomScale="115" zoomScaleNormal="100" zoomScaleSheetLayoutView="115" workbookViewId="0">
      <selection activeCell="N21" sqref="N21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442</v>
      </c>
      <c r="C5" s="144"/>
      <c r="D5" s="144"/>
      <c r="E5" s="144"/>
      <c r="F5" s="144"/>
      <c r="G5" s="143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77"/>
      <c r="C6" s="378"/>
      <c r="D6" s="146" t="s">
        <v>86</v>
      </c>
      <c r="E6" s="197"/>
      <c r="F6" s="379" t="s">
        <v>88</v>
      </c>
      <c r="G6" s="379"/>
      <c r="H6" s="198">
        <v>193174</v>
      </c>
      <c r="I6" s="146" t="s">
        <v>86</v>
      </c>
      <c r="J6" s="201" t="s">
        <v>258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96" t="s">
        <v>9</v>
      </c>
      <c r="C12" s="397"/>
      <c r="D12" s="243" t="s">
        <v>248</v>
      </c>
      <c r="E12" s="160"/>
      <c r="F12" s="160"/>
      <c r="G12" s="160"/>
      <c r="H12" s="160"/>
      <c r="I12" s="398">
        <v>10</v>
      </c>
      <c r="J12" s="399"/>
    </row>
    <row r="13" spans="1:14" ht="12" customHeight="1" x14ac:dyDescent="0.3">
      <c r="A13" s="153"/>
      <c r="B13" s="400" t="s">
        <v>9</v>
      </c>
      <c r="C13" s="399"/>
      <c r="D13" s="243" t="s">
        <v>249</v>
      </c>
      <c r="E13" s="160"/>
      <c r="F13" s="160"/>
      <c r="G13" s="160"/>
      <c r="H13" s="160"/>
      <c r="I13" s="398">
        <v>25</v>
      </c>
      <c r="J13" s="399"/>
    </row>
    <row r="14" spans="1:14" ht="12" customHeight="1" x14ac:dyDescent="0.3">
      <c r="A14" s="153"/>
      <c r="B14" s="400" t="s">
        <v>9</v>
      </c>
      <c r="C14" s="399"/>
      <c r="D14" s="243" t="s">
        <v>250</v>
      </c>
      <c r="E14" s="160"/>
      <c r="F14" s="160"/>
      <c r="G14" s="160"/>
      <c r="H14" s="160"/>
      <c r="I14" s="398">
        <v>25</v>
      </c>
      <c r="J14" s="399"/>
    </row>
    <row r="15" spans="1:14" ht="12" customHeight="1" x14ac:dyDescent="0.3">
      <c r="A15" s="153"/>
      <c r="B15" s="400" t="s">
        <v>9</v>
      </c>
      <c r="C15" s="399"/>
      <c r="D15" s="243" t="s">
        <v>251</v>
      </c>
      <c r="E15" s="160"/>
      <c r="F15" s="160"/>
      <c r="G15" s="160"/>
      <c r="H15" s="160"/>
      <c r="I15" s="398">
        <v>30</v>
      </c>
      <c r="J15" s="399"/>
    </row>
    <row r="16" spans="1:14" ht="12" customHeight="1" x14ac:dyDescent="0.3">
      <c r="A16" s="153"/>
      <c r="B16" s="396" t="s">
        <v>9</v>
      </c>
      <c r="C16" s="397"/>
      <c r="D16" s="243" t="s">
        <v>252</v>
      </c>
      <c r="E16" s="160"/>
      <c r="F16" s="160"/>
      <c r="G16" s="160"/>
      <c r="H16" s="160"/>
      <c r="I16" s="398">
        <v>2</v>
      </c>
      <c r="J16" s="399"/>
    </row>
    <row r="17" spans="1:14" ht="12" customHeight="1" x14ac:dyDescent="0.3">
      <c r="A17" s="153"/>
      <c r="B17" s="396" t="s">
        <v>257</v>
      </c>
      <c r="C17" s="397"/>
      <c r="D17" s="243" t="s">
        <v>253</v>
      </c>
      <c r="E17" s="160"/>
      <c r="F17" s="160"/>
      <c r="G17" s="160"/>
      <c r="H17" s="160"/>
      <c r="I17" s="398">
        <v>1</v>
      </c>
      <c r="J17" s="399"/>
    </row>
    <row r="18" spans="1:14" s="167" customFormat="1" ht="12" customHeight="1" x14ac:dyDescent="0.3">
      <c r="A18" s="163"/>
      <c r="B18" s="396" t="s">
        <v>257</v>
      </c>
      <c r="C18" s="397"/>
      <c r="D18" s="243" t="s">
        <v>254</v>
      </c>
      <c r="E18" s="164"/>
      <c r="F18" s="164"/>
      <c r="G18" s="164"/>
      <c r="H18" s="165"/>
      <c r="I18" s="398">
        <v>1</v>
      </c>
      <c r="J18" s="399"/>
      <c r="K18" s="166"/>
      <c r="L18" s="164"/>
      <c r="M18" s="8"/>
      <c r="N18" s="8"/>
    </row>
    <row r="19" spans="1:14" s="167" customFormat="1" ht="12" customHeight="1" x14ac:dyDescent="0.3">
      <c r="A19" s="163"/>
      <c r="B19" s="396" t="s">
        <v>257</v>
      </c>
      <c r="C19" s="397"/>
      <c r="D19" s="243" t="s">
        <v>255</v>
      </c>
      <c r="E19" s="7"/>
      <c r="F19" s="7"/>
      <c r="G19" s="7"/>
      <c r="H19" s="7"/>
      <c r="I19" s="398">
        <v>1</v>
      </c>
      <c r="J19" s="399"/>
      <c r="L19" s="8"/>
      <c r="M19" s="8"/>
      <c r="N19" s="56"/>
    </row>
    <row r="20" spans="1:14" s="167" customFormat="1" ht="12" customHeight="1" x14ac:dyDescent="0.3">
      <c r="A20" s="163"/>
      <c r="B20" s="403" t="s">
        <v>257</v>
      </c>
      <c r="C20" s="404"/>
      <c r="D20" s="244" t="s">
        <v>256</v>
      </c>
      <c r="E20" s="7"/>
      <c r="F20" s="7"/>
      <c r="G20" s="7"/>
      <c r="H20" s="7"/>
      <c r="I20" s="401">
        <v>2</v>
      </c>
      <c r="J20" s="402"/>
      <c r="L20" s="8"/>
      <c r="M20" s="8"/>
      <c r="N20" s="56"/>
    </row>
    <row r="21" spans="1:14" s="167" customFormat="1" ht="12" customHeight="1" x14ac:dyDescent="0.3">
      <c r="A21" s="163"/>
      <c r="B21" s="163"/>
      <c r="C21" s="168"/>
      <c r="D21" s="207"/>
      <c r="E21" s="7"/>
      <c r="F21" s="7"/>
      <c r="G21" s="7"/>
      <c r="H21" s="7"/>
      <c r="I21" s="171"/>
      <c r="J21" s="172"/>
      <c r="L21" s="8"/>
      <c r="M21" s="8"/>
      <c r="N21" s="56"/>
    </row>
    <row r="22" spans="1:14" s="167" customFormat="1" ht="12" customHeight="1" x14ac:dyDescent="0.3">
      <c r="A22" s="163"/>
      <c r="B22" s="163"/>
      <c r="C22" s="168"/>
      <c r="D22" s="206"/>
      <c r="E22" s="7"/>
      <c r="F22" s="7"/>
      <c r="G22" s="7"/>
      <c r="H22" s="170"/>
      <c r="I22" s="171"/>
      <c r="J22" s="172"/>
      <c r="L22" s="8"/>
      <c r="M22" s="8"/>
      <c r="N22" s="56"/>
    </row>
    <row r="23" spans="1:14" s="167" customFormat="1" ht="12" customHeight="1" x14ac:dyDescent="0.3">
      <c r="A23" s="163"/>
      <c r="B23" s="163"/>
      <c r="C23" s="168"/>
      <c r="D23" s="207"/>
      <c r="E23" s="7"/>
      <c r="F23" s="7"/>
      <c r="G23" s="7"/>
      <c r="H23" s="170"/>
      <c r="I23" s="171"/>
      <c r="J23" s="172"/>
      <c r="L23" s="8"/>
      <c r="M23" s="8"/>
      <c r="N23" s="56"/>
    </row>
    <row r="24" spans="1:14" s="167" customFormat="1" ht="12" customHeight="1" x14ac:dyDescent="0.3">
      <c r="A24" s="163"/>
      <c r="B24" s="163"/>
      <c r="C24" s="168"/>
      <c r="D24" s="204"/>
      <c r="E24" s="7"/>
      <c r="F24" s="7"/>
      <c r="G24" s="7"/>
      <c r="H24" s="170"/>
      <c r="I24" s="171"/>
      <c r="J24" s="172"/>
      <c r="L24" s="8"/>
      <c r="M24" s="8"/>
      <c r="N24" s="56"/>
    </row>
    <row r="25" spans="1:14" s="167" customFormat="1" ht="12" customHeight="1" x14ac:dyDescent="0.3">
      <c r="A25" s="163"/>
      <c r="B25" s="163"/>
      <c r="C25" s="168"/>
      <c r="D25" s="204"/>
      <c r="E25" s="159" t="s">
        <v>94</v>
      </c>
      <c r="F25" s="339" t="s">
        <v>12</v>
      </c>
      <c r="G25" s="339"/>
      <c r="H25" s="340"/>
      <c r="I25" s="171"/>
      <c r="J25" s="172"/>
      <c r="M25" s="56"/>
      <c r="N25" s="56"/>
    </row>
    <row r="26" spans="1:14" s="167" customFormat="1" ht="12" customHeight="1" x14ac:dyDescent="0.3">
      <c r="A26" s="163"/>
      <c r="B26" s="163"/>
      <c r="C26" s="168"/>
      <c r="D26" s="174"/>
      <c r="E26" s="159"/>
      <c r="F26" s="339" t="s">
        <v>96</v>
      </c>
      <c r="G26" s="339"/>
      <c r="H26" s="340"/>
      <c r="I26" s="341"/>
      <c r="J26" s="340"/>
    </row>
    <row r="27" spans="1:14" s="167" customFormat="1" ht="12" customHeight="1" x14ac:dyDescent="0.3">
      <c r="A27" s="163"/>
      <c r="B27" s="342"/>
      <c r="C27" s="343"/>
      <c r="D27" s="174"/>
      <c r="E27" s="159"/>
      <c r="F27" s="175"/>
      <c r="G27" s="175"/>
      <c r="H27" s="176"/>
      <c r="I27" s="341"/>
      <c r="J27" s="340"/>
    </row>
    <row r="28" spans="1:14" ht="6" customHeight="1" x14ac:dyDescent="0.25">
      <c r="A28" s="148"/>
      <c r="B28" s="148"/>
      <c r="C28" s="149"/>
      <c r="D28" s="144"/>
      <c r="E28" s="144"/>
      <c r="F28" s="177"/>
      <c r="G28" s="144"/>
      <c r="H28" s="149"/>
      <c r="I28" s="148"/>
      <c r="J28" s="149"/>
    </row>
    <row r="29" spans="1:14" ht="6" customHeight="1" x14ac:dyDescent="0.25">
      <c r="A29" s="148"/>
      <c r="B29" s="148"/>
      <c r="C29" s="149"/>
      <c r="D29" s="148"/>
      <c r="E29" s="144"/>
      <c r="F29" s="177"/>
      <c r="G29" s="144"/>
      <c r="H29" s="149"/>
      <c r="I29" s="148"/>
      <c r="J29" s="149"/>
    </row>
    <row r="30" spans="1:14" ht="15.75" customHeight="1" x14ac:dyDescent="0.25">
      <c r="A30" s="178" t="s">
        <v>97</v>
      </c>
      <c r="B30" s="179"/>
      <c r="C30" s="179"/>
      <c r="D30" s="180"/>
      <c r="E30" s="181"/>
      <c r="F30" s="344" t="s">
        <v>98</v>
      </c>
      <c r="G30" s="344"/>
      <c r="H30" s="344"/>
      <c r="I30" s="344"/>
      <c r="J30" s="345"/>
    </row>
    <row r="31" spans="1:14" ht="17.25" customHeight="1" x14ac:dyDescent="0.25">
      <c r="A31" s="21" t="s">
        <v>99</v>
      </c>
      <c r="B31" s="182"/>
      <c r="C31" s="182"/>
      <c r="D31" s="182"/>
      <c r="E31" s="183"/>
      <c r="F31" s="182" t="s">
        <v>100</v>
      </c>
      <c r="G31" s="182"/>
      <c r="H31" s="182"/>
      <c r="I31" s="182"/>
      <c r="J31" s="183"/>
    </row>
    <row r="32" spans="1:14" ht="7.5" customHeight="1" x14ac:dyDescent="0.25">
      <c r="A32" s="21"/>
      <c r="B32" s="182"/>
      <c r="C32" s="182"/>
      <c r="D32" s="182"/>
      <c r="E32" s="183"/>
      <c r="F32" s="182"/>
      <c r="G32" s="182"/>
      <c r="H32" s="182"/>
      <c r="I32" s="182"/>
      <c r="J32" s="183"/>
    </row>
    <row r="33" spans="1:10" x14ac:dyDescent="0.25">
      <c r="A33" s="184" t="s">
        <v>101</v>
      </c>
      <c r="D33" s="182"/>
      <c r="E33" s="182"/>
      <c r="F33" s="21"/>
      <c r="G33" s="346" t="s">
        <v>102</v>
      </c>
      <c r="H33" s="346"/>
      <c r="I33" s="182"/>
      <c r="J33" s="183"/>
    </row>
    <row r="34" spans="1:10" x14ac:dyDescent="0.25">
      <c r="A34" s="184" t="s">
        <v>103</v>
      </c>
      <c r="D34" s="182"/>
      <c r="E34" s="182"/>
      <c r="F34" s="21"/>
      <c r="G34" s="182"/>
      <c r="H34" s="182" t="s">
        <v>90</v>
      </c>
      <c r="I34" s="182"/>
      <c r="J34" s="183"/>
    </row>
    <row r="35" spans="1:10" x14ac:dyDescent="0.25">
      <c r="A35" s="21"/>
      <c r="B35" s="182"/>
      <c r="C35" s="182"/>
      <c r="D35" s="182"/>
      <c r="E35" s="182"/>
      <c r="F35" s="21"/>
      <c r="G35" s="347" t="s">
        <v>104</v>
      </c>
      <c r="H35" s="347"/>
      <c r="I35" s="182"/>
      <c r="J35" s="183"/>
    </row>
    <row r="36" spans="1:10" ht="18" customHeight="1" x14ac:dyDescent="0.25">
      <c r="A36" s="348" t="s">
        <v>105</v>
      </c>
      <c r="B36" s="349"/>
      <c r="C36" s="350" t="s">
        <v>95</v>
      </c>
      <c r="D36" s="350"/>
      <c r="E36" s="351"/>
      <c r="F36" s="182"/>
      <c r="G36" s="350" t="s">
        <v>12</v>
      </c>
      <c r="H36" s="350"/>
      <c r="I36" s="350"/>
      <c r="J36" s="351"/>
    </row>
    <row r="37" spans="1:10" x14ac:dyDescent="0.25">
      <c r="A37" s="332" t="s">
        <v>106</v>
      </c>
      <c r="B37" s="333"/>
      <c r="C37" s="334" t="s">
        <v>107</v>
      </c>
      <c r="D37" s="334"/>
      <c r="E37" s="335"/>
      <c r="F37" s="182"/>
      <c r="G37" s="333" t="s">
        <v>108</v>
      </c>
      <c r="H37" s="333"/>
      <c r="I37" s="333"/>
      <c r="J37" s="336"/>
    </row>
    <row r="38" spans="1:10" ht="9.75" customHeight="1" x14ac:dyDescent="0.25">
      <c r="A38" s="185"/>
      <c r="B38" s="186"/>
      <c r="C38" s="186"/>
      <c r="D38" s="186"/>
      <c r="E38" s="187"/>
      <c r="F38" s="186"/>
      <c r="G38" s="186"/>
      <c r="H38" s="186"/>
      <c r="I38" s="186"/>
      <c r="J38" s="187"/>
    </row>
    <row r="45" spans="1:10" x14ac:dyDescent="0.25">
      <c r="H45" s="369" t="s">
        <v>81</v>
      </c>
      <c r="I45" s="369"/>
      <c r="J45" s="369"/>
    </row>
    <row r="46" spans="1:10" x14ac:dyDescent="0.25">
      <c r="H46" s="370" t="s">
        <v>82</v>
      </c>
      <c r="I46" s="370"/>
      <c r="J46" s="370"/>
    </row>
    <row r="47" spans="1:10" ht="20.25" customHeight="1" x14ac:dyDescent="0.25">
      <c r="A47" s="371" t="s">
        <v>39</v>
      </c>
      <c r="B47" s="372"/>
      <c r="C47" s="372"/>
      <c r="D47" s="372"/>
      <c r="E47" s="372"/>
      <c r="F47" s="372"/>
      <c r="G47" s="372"/>
      <c r="H47" s="372"/>
      <c r="I47" s="372"/>
      <c r="J47" s="373"/>
    </row>
    <row r="48" spans="1:10" ht="15.75" customHeight="1" thickBot="1" x14ac:dyDescent="0.3">
      <c r="A48" s="374" t="s">
        <v>83</v>
      </c>
      <c r="B48" s="375"/>
      <c r="C48" s="375"/>
      <c r="D48" s="375"/>
      <c r="E48" s="375"/>
      <c r="F48" s="375"/>
      <c r="G48" s="375"/>
      <c r="H48" s="375"/>
      <c r="I48" s="375"/>
      <c r="J48" s="376"/>
    </row>
    <row r="49" spans="1:14" ht="18" customHeight="1" thickTop="1" x14ac:dyDescent="0.25">
      <c r="A49" s="21" t="s">
        <v>84</v>
      </c>
      <c r="B49" s="186" t="s">
        <v>442</v>
      </c>
      <c r="C49" s="144"/>
      <c r="D49" s="144"/>
      <c r="E49" s="144"/>
      <c r="F49" s="144"/>
      <c r="G49" s="143" t="s">
        <v>85</v>
      </c>
      <c r="H49" s="145"/>
      <c r="I49" s="146" t="s">
        <v>86</v>
      </c>
      <c r="J49" s="147"/>
    </row>
    <row r="50" spans="1:14" ht="17.25" customHeight="1" x14ac:dyDescent="0.25">
      <c r="A50" s="21" t="s">
        <v>87</v>
      </c>
      <c r="B50" s="377"/>
      <c r="C50" s="378"/>
      <c r="D50" s="146" t="s">
        <v>86</v>
      </c>
      <c r="E50" s="197"/>
      <c r="F50" s="379" t="s">
        <v>88</v>
      </c>
      <c r="G50" s="379"/>
      <c r="H50" s="198">
        <v>193174</v>
      </c>
      <c r="I50" s="146" t="s">
        <v>86</v>
      </c>
      <c r="J50" s="201" t="s">
        <v>258</v>
      </c>
    </row>
    <row r="51" spans="1:14" ht="17.25" customHeight="1" x14ac:dyDescent="0.25">
      <c r="A51" s="362" t="s">
        <v>89</v>
      </c>
      <c r="B51" s="346"/>
      <c r="C51" s="346"/>
      <c r="D51" s="346"/>
      <c r="E51" s="346"/>
      <c r="F51" s="346"/>
      <c r="G51" s="346"/>
      <c r="H51" s="346"/>
      <c r="I51" s="144"/>
      <c r="J51" s="147" t="s">
        <v>90</v>
      </c>
    </row>
    <row r="52" spans="1:14" ht="5.25" customHeight="1" x14ac:dyDescent="0.25">
      <c r="A52" s="148"/>
      <c r="B52" s="144"/>
      <c r="C52" s="144"/>
      <c r="D52" s="144"/>
      <c r="E52" s="144"/>
      <c r="F52" s="144"/>
      <c r="G52" s="144"/>
      <c r="H52" s="144"/>
      <c r="I52" s="144"/>
      <c r="J52" s="149"/>
    </row>
    <row r="53" spans="1:14" x14ac:dyDescent="0.25">
      <c r="A53" s="150" t="s">
        <v>91</v>
      </c>
      <c r="B53" s="363" t="s">
        <v>4</v>
      </c>
      <c r="C53" s="364"/>
      <c r="D53" s="363" t="s">
        <v>92</v>
      </c>
      <c r="E53" s="367"/>
      <c r="F53" s="367"/>
      <c r="G53" s="367"/>
      <c r="H53" s="364"/>
      <c r="I53" s="363" t="s">
        <v>93</v>
      </c>
      <c r="J53" s="364"/>
    </row>
    <row r="54" spans="1:14" ht="12" customHeight="1" x14ac:dyDescent="0.25">
      <c r="A54" s="151" t="s">
        <v>42</v>
      </c>
      <c r="B54" s="365"/>
      <c r="C54" s="366"/>
      <c r="D54" s="365"/>
      <c r="E54" s="368"/>
      <c r="F54" s="368"/>
      <c r="G54" s="368"/>
      <c r="H54" s="366"/>
      <c r="I54" s="365"/>
      <c r="J54" s="366"/>
      <c r="N54" s="152"/>
    </row>
    <row r="55" spans="1:14" ht="12" customHeight="1" x14ac:dyDescent="0.25">
      <c r="A55" s="153"/>
      <c r="B55" s="154"/>
      <c r="C55" s="155"/>
      <c r="D55" s="156"/>
      <c r="E55" s="156"/>
      <c r="F55" s="156"/>
      <c r="G55" s="156"/>
      <c r="H55" s="157"/>
      <c r="I55" s="154"/>
      <c r="J55" s="158"/>
    </row>
    <row r="56" spans="1:14" ht="12" customHeight="1" x14ac:dyDescent="0.3">
      <c r="A56" s="153"/>
      <c r="B56" s="396" t="s">
        <v>9</v>
      </c>
      <c r="C56" s="397"/>
      <c r="D56" s="243" t="s">
        <v>248</v>
      </c>
      <c r="E56" s="160"/>
      <c r="F56" s="160"/>
      <c r="G56" s="160"/>
      <c r="H56" s="160"/>
      <c r="I56" s="398">
        <v>10</v>
      </c>
      <c r="J56" s="399"/>
    </row>
    <row r="57" spans="1:14" ht="12" customHeight="1" x14ac:dyDescent="0.3">
      <c r="A57" s="153"/>
      <c r="B57" s="400" t="s">
        <v>9</v>
      </c>
      <c r="C57" s="399"/>
      <c r="D57" s="243" t="s">
        <v>249</v>
      </c>
      <c r="E57" s="160"/>
      <c r="F57" s="160"/>
      <c r="G57" s="160"/>
      <c r="H57" s="160"/>
      <c r="I57" s="398">
        <v>25</v>
      </c>
      <c r="J57" s="399"/>
    </row>
    <row r="58" spans="1:14" ht="12" customHeight="1" x14ac:dyDescent="0.3">
      <c r="A58" s="153"/>
      <c r="B58" s="400" t="s">
        <v>9</v>
      </c>
      <c r="C58" s="399"/>
      <c r="D58" s="243" t="s">
        <v>250</v>
      </c>
      <c r="E58" s="160"/>
      <c r="F58" s="160"/>
      <c r="G58" s="160"/>
      <c r="H58" s="160"/>
      <c r="I58" s="398">
        <v>25</v>
      </c>
      <c r="J58" s="399"/>
    </row>
    <row r="59" spans="1:14" ht="12" customHeight="1" x14ac:dyDescent="0.3">
      <c r="A59" s="153"/>
      <c r="B59" s="400" t="s">
        <v>9</v>
      </c>
      <c r="C59" s="399"/>
      <c r="D59" s="243" t="s">
        <v>251</v>
      </c>
      <c r="E59" s="160"/>
      <c r="F59" s="160"/>
      <c r="G59" s="160"/>
      <c r="H59" s="160"/>
      <c r="I59" s="398">
        <v>30</v>
      </c>
      <c r="J59" s="399"/>
    </row>
    <row r="60" spans="1:14" ht="12" customHeight="1" x14ac:dyDescent="0.3">
      <c r="A60" s="153"/>
      <c r="B60" s="396" t="s">
        <v>9</v>
      </c>
      <c r="C60" s="397"/>
      <c r="D60" s="243" t="s">
        <v>252</v>
      </c>
      <c r="E60" s="160"/>
      <c r="F60" s="160"/>
      <c r="G60" s="160"/>
      <c r="H60" s="160"/>
      <c r="I60" s="398">
        <v>2</v>
      </c>
      <c r="J60" s="399"/>
    </row>
    <row r="61" spans="1:14" ht="12" customHeight="1" x14ac:dyDescent="0.3">
      <c r="A61" s="153"/>
      <c r="B61" s="396" t="s">
        <v>257</v>
      </c>
      <c r="C61" s="397"/>
      <c r="D61" s="243" t="s">
        <v>253</v>
      </c>
      <c r="E61" s="160"/>
      <c r="F61" s="160"/>
      <c r="G61" s="160"/>
      <c r="H61" s="160"/>
      <c r="I61" s="398">
        <v>1</v>
      </c>
      <c r="J61" s="399"/>
    </row>
    <row r="62" spans="1:14" s="167" customFormat="1" ht="12" customHeight="1" x14ac:dyDescent="0.3">
      <c r="A62" s="163"/>
      <c r="B62" s="396" t="s">
        <v>257</v>
      </c>
      <c r="C62" s="397"/>
      <c r="D62" s="243" t="s">
        <v>254</v>
      </c>
      <c r="E62" s="164"/>
      <c r="F62" s="164"/>
      <c r="G62" s="164"/>
      <c r="H62" s="165"/>
      <c r="I62" s="398">
        <v>1</v>
      </c>
      <c r="J62" s="399"/>
      <c r="K62" s="166"/>
      <c r="L62" s="164"/>
      <c r="M62" s="8"/>
      <c r="N62" s="8"/>
    </row>
    <row r="63" spans="1:14" s="167" customFormat="1" ht="12" customHeight="1" x14ac:dyDescent="0.3">
      <c r="A63" s="163"/>
      <c r="B63" s="396" t="s">
        <v>257</v>
      </c>
      <c r="C63" s="397"/>
      <c r="D63" s="243" t="s">
        <v>255</v>
      </c>
      <c r="E63" s="7"/>
      <c r="F63" s="7"/>
      <c r="G63" s="7"/>
      <c r="H63" s="7"/>
      <c r="I63" s="398">
        <v>1</v>
      </c>
      <c r="J63" s="399"/>
      <c r="L63" s="8"/>
      <c r="M63" s="8"/>
      <c r="N63" s="56"/>
    </row>
    <row r="64" spans="1:14" s="167" customFormat="1" ht="12" customHeight="1" x14ac:dyDescent="0.3">
      <c r="A64" s="163"/>
      <c r="B64" s="403" t="s">
        <v>257</v>
      </c>
      <c r="C64" s="404"/>
      <c r="D64" s="244" t="s">
        <v>256</v>
      </c>
      <c r="E64" s="7"/>
      <c r="F64" s="7"/>
      <c r="G64" s="7"/>
      <c r="H64" s="7"/>
      <c r="I64" s="401">
        <v>2</v>
      </c>
      <c r="J64" s="402"/>
      <c r="L64" s="8"/>
      <c r="M64" s="8"/>
      <c r="N64" s="56"/>
    </row>
    <row r="65" spans="1:14" s="167" customFormat="1" ht="12" customHeight="1" x14ac:dyDescent="0.3">
      <c r="A65" s="163"/>
      <c r="B65" s="163"/>
      <c r="C65" s="168"/>
      <c r="D65" s="207"/>
      <c r="E65" s="7"/>
      <c r="F65" s="7"/>
      <c r="G65" s="7"/>
      <c r="H65" s="7"/>
      <c r="I65" s="171"/>
      <c r="J65" s="172"/>
      <c r="L65" s="8"/>
      <c r="M65" s="8"/>
      <c r="N65" s="56"/>
    </row>
    <row r="66" spans="1:14" s="167" customFormat="1" ht="12" customHeight="1" x14ac:dyDescent="0.3">
      <c r="A66" s="163"/>
      <c r="B66" s="163"/>
      <c r="C66" s="168"/>
      <c r="D66" s="206"/>
      <c r="E66" s="7"/>
      <c r="F66" s="7"/>
      <c r="G66" s="7"/>
      <c r="H66" s="170"/>
      <c r="I66" s="171"/>
      <c r="J66" s="172"/>
      <c r="L66" s="8"/>
      <c r="M66" s="8"/>
      <c r="N66" s="56"/>
    </row>
    <row r="67" spans="1:14" s="167" customFormat="1" ht="12" customHeight="1" x14ac:dyDescent="0.3">
      <c r="A67" s="163"/>
      <c r="B67" s="163"/>
      <c r="C67" s="168"/>
      <c r="D67" s="207"/>
      <c r="E67" s="7"/>
      <c r="F67" s="7"/>
      <c r="G67" s="7"/>
      <c r="H67" s="170"/>
      <c r="I67" s="171"/>
      <c r="J67" s="172"/>
      <c r="L67" s="8"/>
      <c r="M67" s="8"/>
      <c r="N67" s="56"/>
    </row>
    <row r="68" spans="1:14" s="167" customFormat="1" ht="12" customHeight="1" x14ac:dyDescent="0.3">
      <c r="A68" s="163"/>
      <c r="B68" s="163"/>
      <c r="C68" s="168"/>
      <c r="D68" s="204"/>
      <c r="E68" s="7"/>
      <c r="F68" s="7"/>
      <c r="G68" s="7"/>
      <c r="H68" s="170"/>
      <c r="I68" s="171"/>
      <c r="J68" s="172"/>
      <c r="L68" s="8"/>
      <c r="M68" s="8"/>
      <c r="N68" s="56"/>
    </row>
    <row r="69" spans="1:14" s="167" customFormat="1" ht="12" customHeight="1" x14ac:dyDescent="0.3">
      <c r="A69" s="163"/>
      <c r="B69" s="163"/>
      <c r="C69" s="168"/>
      <c r="D69" s="204"/>
      <c r="E69" s="159" t="s">
        <v>94</v>
      </c>
      <c r="F69" s="339" t="s">
        <v>12</v>
      </c>
      <c r="G69" s="339"/>
      <c r="H69" s="340"/>
      <c r="I69" s="171"/>
      <c r="J69" s="172"/>
      <c r="M69" s="56"/>
      <c r="N69" s="56"/>
    </row>
    <row r="70" spans="1:14" s="167" customFormat="1" ht="12" customHeight="1" x14ac:dyDescent="0.3">
      <c r="A70" s="163"/>
      <c r="B70" s="163"/>
      <c r="C70" s="168"/>
      <c r="D70" s="174"/>
      <c r="E70" s="159"/>
      <c r="F70" s="339" t="s">
        <v>96</v>
      </c>
      <c r="G70" s="339"/>
      <c r="H70" s="340"/>
      <c r="I70" s="341"/>
      <c r="J70" s="340"/>
    </row>
    <row r="71" spans="1:14" s="167" customFormat="1" ht="12" customHeight="1" x14ac:dyDescent="0.3">
      <c r="A71" s="163"/>
      <c r="B71" s="342"/>
      <c r="C71" s="343"/>
      <c r="D71" s="174"/>
      <c r="E71" s="159"/>
      <c r="F71" s="175"/>
      <c r="G71" s="175"/>
      <c r="H71" s="176"/>
      <c r="I71" s="341"/>
      <c r="J71" s="340"/>
    </row>
    <row r="72" spans="1:14" ht="6" customHeight="1" x14ac:dyDescent="0.25">
      <c r="A72" s="148"/>
      <c r="B72" s="148"/>
      <c r="C72" s="149"/>
      <c r="D72" s="144"/>
      <c r="E72" s="144"/>
      <c r="F72" s="177"/>
      <c r="G72" s="144"/>
      <c r="H72" s="149"/>
      <c r="I72" s="148"/>
      <c r="J72" s="149"/>
    </row>
    <row r="73" spans="1:14" ht="6" customHeight="1" x14ac:dyDescent="0.25">
      <c r="A73" s="148"/>
      <c r="B73" s="148"/>
      <c r="C73" s="149"/>
      <c r="D73" s="148"/>
      <c r="E73" s="144"/>
      <c r="F73" s="177"/>
      <c r="G73" s="144"/>
      <c r="H73" s="149"/>
      <c r="I73" s="148"/>
      <c r="J73" s="149"/>
    </row>
    <row r="74" spans="1:14" ht="15.75" customHeight="1" x14ac:dyDescent="0.25">
      <c r="A74" s="178" t="s">
        <v>97</v>
      </c>
      <c r="B74" s="179"/>
      <c r="C74" s="179"/>
      <c r="D74" s="180"/>
      <c r="E74" s="181"/>
      <c r="F74" s="344" t="s">
        <v>98</v>
      </c>
      <c r="G74" s="344"/>
      <c r="H74" s="344"/>
      <c r="I74" s="344"/>
      <c r="J74" s="345"/>
    </row>
    <row r="75" spans="1:14" ht="17.25" customHeight="1" x14ac:dyDescent="0.25">
      <c r="A75" s="21" t="s">
        <v>99</v>
      </c>
      <c r="B75" s="182"/>
      <c r="C75" s="182"/>
      <c r="D75" s="182"/>
      <c r="E75" s="183"/>
      <c r="F75" s="182" t="s">
        <v>100</v>
      </c>
      <c r="G75" s="182"/>
      <c r="H75" s="182"/>
      <c r="I75" s="182"/>
      <c r="J75" s="183"/>
    </row>
    <row r="76" spans="1:14" ht="7.5" customHeight="1" x14ac:dyDescent="0.25">
      <c r="A76" s="21"/>
      <c r="B76" s="182"/>
      <c r="C76" s="182"/>
      <c r="D76" s="182"/>
      <c r="E76" s="183"/>
      <c r="F76" s="182"/>
      <c r="G76" s="182"/>
      <c r="H76" s="182"/>
      <c r="I76" s="182"/>
      <c r="J76" s="183"/>
    </row>
    <row r="77" spans="1:14" x14ac:dyDescent="0.25">
      <c r="A77" s="184" t="s">
        <v>101</v>
      </c>
      <c r="D77" s="182"/>
      <c r="E77" s="182"/>
      <c r="F77" s="21"/>
      <c r="G77" s="346" t="s">
        <v>102</v>
      </c>
      <c r="H77" s="346"/>
      <c r="I77" s="182"/>
      <c r="J77" s="183"/>
    </row>
    <row r="78" spans="1:14" x14ac:dyDescent="0.25">
      <c r="A78" s="184" t="s">
        <v>103</v>
      </c>
      <c r="D78" s="182"/>
      <c r="E78" s="182"/>
      <c r="F78" s="21"/>
      <c r="G78" s="182"/>
      <c r="H78" s="182" t="s">
        <v>90</v>
      </c>
      <c r="I78" s="182"/>
      <c r="J78" s="183"/>
    </row>
    <row r="79" spans="1:14" x14ac:dyDescent="0.25">
      <c r="A79" s="21"/>
      <c r="B79" s="182"/>
      <c r="C79" s="182"/>
      <c r="D79" s="182"/>
      <c r="E79" s="182"/>
      <c r="F79" s="21"/>
      <c r="G79" s="347" t="s">
        <v>104</v>
      </c>
      <c r="H79" s="347"/>
      <c r="I79" s="182"/>
      <c r="J79" s="183"/>
    </row>
    <row r="80" spans="1:14" ht="18" customHeight="1" x14ac:dyDescent="0.25">
      <c r="A80" s="348" t="s">
        <v>105</v>
      </c>
      <c r="B80" s="349"/>
      <c r="C80" s="350" t="s">
        <v>95</v>
      </c>
      <c r="D80" s="350"/>
      <c r="E80" s="351"/>
      <c r="F80" s="182"/>
      <c r="G80" s="350" t="s">
        <v>12</v>
      </c>
      <c r="H80" s="350"/>
      <c r="I80" s="350"/>
      <c r="J80" s="351"/>
    </row>
    <row r="81" spans="1:10" x14ac:dyDescent="0.25">
      <c r="A81" s="332" t="s">
        <v>106</v>
      </c>
      <c r="B81" s="333"/>
      <c r="C81" s="334" t="s">
        <v>107</v>
      </c>
      <c r="D81" s="334"/>
      <c r="E81" s="335"/>
      <c r="F81" s="182"/>
      <c r="G81" s="333" t="s">
        <v>108</v>
      </c>
      <c r="H81" s="333"/>
      <c r="I81" s="333"/>
      <c r="J81" s="336"/>
    </row>
    <row r="82" spans="1:10" ht="9.75" customHeight="1" x14ac:dyDescent="0.25">
      <c r="A82" s="185"/>
      <c r="B82" s="186"/>
      <c r="C82" s="186"/>
      <c r="D82" s="186"/>
      <c r="E82" s="187"/>
      <c r="F82" s="186"/>
      <c r="G82" s="186"/>
      <c r="H82" s="186"/>
      <c r="I82" s="186"/>
      <c r="J82" s="187"/>
    </row>
  </sheetData>
  <mergeCells count="84">
    <mergeCell ref="B19:C19"/>
    <mergeCell ref="I19:J19"/>
    <mergeCell ref="B20:C20"/>
    <mergeCell ref="I20:J20"/>
    <mergeCell ref="A81:B81"/>
    <mergeCell ref="C81:E81"/>
    <mergeCell ref="G81:J81"/>
    <mergeCell ref="F69:H69"/>
    <mergeCell ref="F70:H70"/>
    <mergeCell ref="I70:J70"/>
    <mergeCell ref="B71:C71"/>
    <mergeCell ref="I71:J71"/>
    <mergeCell ref="F74:J74"/>
    <mergeCell ref="G77:H77"/>
    <mergeCell ref="G79:H79"/>
    <mergeCell ref="A80:B80"/>
    <mergeCell ref="C80:E80"/>
    <mergeCell ref="G80:J80"/>
    <mergeCell ref="B60:C60"/>
    <mergeCell ref="I60:J60"/>
    <mergeCell ref="B61:C61"/>
    <mergeCell ref="I61:J61"/>
    <mergeCell ref="B62:C62"/>
    <mergeCell ref="I62:J62"/>
    <mergeCell ref="I63:J63"/>
    <mergeCell ref="I64:J64"/>
    <mergeCell ref="B63:C63"/>
    <mergeCell ref="B64:C64"/>
    <mergeCell ref="B57:C57"/>
    <mergeCell ref="I57:J57"/>
    <mergeCell ref="B58:C58"/>
    <mergeCell ref="I58:J58"/>
    <mergeCell ref="B59:C59"/>
    <mergeCell ref="I59:J59"/>
    <mergeCell ref="A51:H51"/>
    <mergeCell ref="B53:C54"/>
    <mergeCell ref="D53:H54"/>
    <mergeCell ref="I53:J54"/>
    <mergeCell ref="B56:C56"/>
    <mergeCell ref="I56:J56"/>
    <mergeCell ref="H45:J45"/>
    <mergeCell ref="H46:J46"/>
    <mergeCell ref="A47:J47"/>
    <mergeCell ref="A48:J48"/>
    <mergeCell ref="B50:C50"/>
    <mergeCell ref="F50:G50"/>
    <mergeCell ref="A37:B37"/>
    <mergeCell ref="C37:E37"/>
    <mergeCell ref="G37:J37"/>
    <mergeCell ref="F25:H25"/>
    <mergeCell ref="F26:H26"/>
    <mergeCell ref="I26:J26"/>
    <mergeCell ref="B27:C27"/>
    <mergeCell ref="I27:J27"/>
    <mergeCell ref="F30:J30"/>
    <mergeCell ref="G33:H33"/>
    <mergeCell ref="G35:H35"/>
    <mergeCell ref="A36:B36"/>
    <mergeCell ref="C36:E36"/>
    <mergeCell ref="G36:J36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39370078740157483" bottom="0" header="0.19685039370078741" footer="0.27559055118110237"/>
  <pageSetup paperSize="281" scale="8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4984-D804-40F7-A283-0567E4348A25}">
  <dimension ref="A1:N82"/>
  <sheetViews>
    <sheetView view="pageBreakPreview" zoomScale="115" zoomScaleNormal="100" zoomScaleSheetLayoutView="115" workbookViewId="0">
      <selection activeCell="M9" sqref="M9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110</v>
      </c>
      <c r="C5" s="144"/>
      <c r="D5" s="144"/>
      <c r="E5" s="144"/>
      <c r="F5" s="144"/>
      <c r="G5" s="143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77"/>
      <c r="C6" s="378"/>
      <c r="D6" s="146" t="s">
        <v>86</v>
      </c>
      <c r="E6" s="197"/>
      <c r="F6" s="379" t="s">
        <v>88</v>
      </c>
      <c r="G6" s="379"/>
      <c r="H6" s="198"/>
      <c r="I6" s="146" t="s">
        <v>86</v>
      </c>
      <c r="J6" s="201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81"/>
      <c r="D12" s="230" t="s">
        <v>308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81"/>
      <c r="D13" s="245" t="s">
        <v>309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81"/>
      <c r="D14" s="232" t="s">
        <v>310</v>
      </c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81"/>
      <c r="D15" s="233" t="s">
        <v>443</v>
      </c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81"/>
      <c r="D16" s="232" t="s">
        <v>444</v>
      </c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 t="s">
        <v>7</v>
      </c>
      <c r="C17" s="391"/>
      <c r="D17" s="230" t="s">
        <v>308</v>
      </c>
      <c r="E17" s="160"/>
      <c r="F17" s="160"/>
      <c r="G17" s="160"/>
      <c r="H17" s="160"/>
      <c r="I17" s="352">
        <v>1</v>
      </c>
      <c r="J17" s="353"/>
    </row>
    <row r="18" spans="1:14" s="167" customFormat="1" ht="12" customHeight="1" x14ac:dyDescent="0.3">
      <c r="A18" s="163"/>
      <c r="B18" s="356"/>
      <c r="C18" s="392"/>
      <c r="D18" s="245" t="s">
        <v>311</v>
      </c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232" t="s">
        <v>312</v>
      </c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233" t="s">
        <v>445</v>
      </c>
      <c r="E20" s="7"/>
      <c r="F20" s="7"/>
      <c r="G20" s="7"/>
      <c r="H20" s="170"/>
      <c r="I20" s="171"/>
      <c r="J20" s="172"/>
      <c r="L20" s="8"/>
      <c r="M20" s="8"/>
      <c r="N20" s="56"/>
    </row>
    <row r="21" spans="1:14" s="167" customFormat="1" ht="12" customHeight="1" x14ac:dyDescent="0.3">
      <c r="A21" s="163"/>
      <c r="B21" s="163"/>
      <c r="C21" s="168"/>
      <c r="D21" s="232" t="s">
        <v>446</v>
      </c>
      <c r="E21" s="7"/>
      <c r="F21" s="7"/>
      <c r="G21" s="7"/>
      <c r="H21" s="170"/>
      <c r="I21" s="171"/>
      <c r="J21" s="172"/>
      <c r="L21" s="8"/>
      <c r="M21" s="8"/>
      <c r="N21" s="56"/>
    </row>
    <row r="22" spans="1:14" s="167" customFormat="1" ht="12" customHeight="1" x14ac:dyDescent="0.3">
      <c r="A22" s="163"/>
      <c r="B22" s="163"/>
      <c r="C22" s="168"/>
      <c r="D22" s="205"/>
      <c r="E22" s="7"/>
      <c r="F22" s="7"/>
      <c r="G22" s="7"/>
      <c r="H22" s="170"/>
      <c r="I22" s="171"/>
      <c r="J22" s="172"/>
      <c r="L22" s="8"/>
      <c r="M22" s="8"/>
      <c r="N22" s="56"/>
    </row>
    <row r="23" spans="1:14" s="167" customFormat="1" ht="12" customHeight="1" x14ac:dyDescent="0.3">
      <c r="A23" s="163"/>
      <c r="B23" s="163"/>
      <c r="C23" s="168"/>
      <c r="D23" s="204"/>
      <c r="E23" s="7"/>
      <c r="F23" s="7"/>
      <c r="G23" s="7"/>
      <c r="H23" s="170"/>
      <c r="I23" s="171"/>
      <c r="J23" s="172"/>
      <c r="L23" s="8"/>
      <c r="M23" s="8"/>
      <c r="N23" s="56"/>
    </row>
    <row r="24" spans="1:14" s="167" customFormat="1" ht="12" customHeight="1" x14ac:dyDescent="0.3">
      <c r="A24" s="163"/>
      <c r="B24" s="163"/>
      <c r="C24" s="168"/>
      <c r="D24" s="204"/>
      <c r="E24" s="7"/>
      <c r="F24" s="7"/>
      <c r="G24" s="7"/>
      <c r="H24" s="170"/>
      <c r="I24" s="171"/>
      <c r="J24" s="172"/>
      <c r="L24" s="8"/>
      <c r="M24" s="8"/>
      <c r="N24" s="56"/>
    </row>
    <row r="25" spans="1:14" s="167" customFormat="1" ht="12" customHeight="1" x14ac:dyDescent="0.3">
      <c r="A25" s="163"/>
      <c r="B25" s="163"/>
      <c r="C25" s="168"/>
      <c r="D25" s="204"/>
      <c r="E25" s="159" t="s">
        <v>94</v>
      </c>
      <c r="F25" s="339" t="s">
        <v>12</v>
      </c>
      <c r="G25" s="339"/>
      <c r="H25" s="340"/>
      <c r="I25" s="171"/>
      <c r="J25" s="172"/>
      <c r="M25" s="56"/>
      <c r="N25" s="56"/>
    </row>
    <row r="26" spans="1:14" s="167" customFormat="1" ht="12" customHeight="1" x14ac:dyDescent="0.3">
      <c r="A26" s="163"/>
      <c r="B26" s="163"/>
      <c r="C26" s="168"/>
      <c r="D26" s="174"/>
      <c r="E26" s="159"/>
      <c r="F26" s="339" t="s">
        <v>96</v>
      </c>
      <c r="G26" s="339"/>
      <c r="H26" s="340"/>
      <c r="I26" s="341"/>
      <c r="J26" s="340"/>
    </row>
    <row r="27" spans="1:14" s="167" customFormat="1" ht="12" customHeight="1" x14ac:dyDescent="0.3">
      <c r="A27" s="163"/>
      <c r="B27" s="342"/>
      <c r="C27" s="343"/>
      <c r="D27" s="174"/>
      <c r="E27" s="159"/>
      <c r="F27" s="175"/>
      <c r="G27" s="175"/>
      <c r="H27" s="176"/>
      <c r="I27" s="341"/>
      <c r="J27" s="340"/>
    </row>
    <row r="28" spans="1:14" ht="6" customHeight="1" x14ac:dyDescent="0.25">
      <c r="A28" s="148"/>
      <c r="B28" s="148"/>
      <c r="C28" s="149"/>
      <c r="D28" s="144"/>
      <c r="E28" s="144"/>
      <c r="F28" s="177"/>
      <c r="G28" s="144"/>
      <c r="H28" s="149"/>
      <c r="I28" s="148"/>
      <c r="J28" s="149"/>
    </row>
    <row r="29" spans="1:14" ht="6" customHeight="1" x14ac:dyDescent="0.25">
      <c r="A29" s="148"/>
      <c r="B29" s="148"/>
      <c r="C29" s="149"/>
      <c r="D29" s="148"/>
      <c r="E29" s="144"/>
      <c r="F29" s="177"/>
      <c r="G29" s="144"/>
      <c r="H29" s="149"/>
      <c r="I29" s="148"/>
      <c r="J29" s="149"/>
    </row>
    <row r="30" spans="1:14" ht="15.75" customHeight="1" x14ac:dyDescent="0.25">
      <c r="A30" s="178" t="s">
        <v>97</v>
      </c>
      <c r="B30" s="179"/>
      <c r="C30" s="179"/>
      <c r="D30" s="180"/>
      <c r="E30" s="181"/>
      <c r="F30" s="344" t="s">
        <v>98</v>
      </c>
      <c r="G30" s="344"/>
      <c r="H30" s="344"/>
      <c r="I30" s="344"/>
      <c r="J30" s="345"/>
    </row>
    <row r="31" spans="1:14" ht="17.25" customHeight="1" x14ac:dyDescent="0.25">
      <c r="A31" s="21" t="s">
        <v>99</v>
      </c>
      <c r="B31" s="182"/>
      <c r="C31" s="182"/>
      <c r="D31" s="182"/>
      <c r="E31" s="183"/>
      <c r="F31" s="182" t="s">
        <v>100</v>
      </c>
      <c r="G31" s="182"/>
      <c r="H31" s="182"/>
      <c r="I31" s="182"/>
      <c r="J31" s="183"/>
    </row>
    <row r="32" spans="1:14" ht="7.5" customHeight="1" x14ac:dyDescent="0.25">
      <c r="A32" s="21"/>
      <c r="B32" s="182"/>
      <c r="C32" s="182"/>
      <c r="D32" s="182"/>
      <c r="E32" s="183"/>
      <c r="F32" s="182"/>
      <c r="G32" s="182"/>
      <c r="H32" s="182"/>
      <c r="I32" s="182"/>
      <c r="J32" s="183"/>
    </row>
    <row r="33" spans="1:10" x14ac:dyDescent="0.25">
      <c r="A33" s="184" t="s">
        <v>101</v>
      </c>
      <c r="D33" s="182"/>
      <c r="E33" s="182"/>
      <c r="F33" s="21"/>
      <c r="G33" s="346" t="s">
        <v>102</v>
      </c>
      <c r="H33" s="346"/>
      <c r="I33" s="182"/>
      <c r="J33" s="183"/>
    </row>
    <row r="34" spans="1:10" x14ac:dyDescent="0.25">
      <c r="A34" s="184" t="s">
        <v>103</v>
      </c>
      <c r="D34" s="182"/>
      <c r="E34" s="182"/>
      <c r="F34" s="21"/>
      <c r="G34" s="182"/>
      <c r="H34" s="182" t="s">
        <v>90</v>
      </c>
      <c r="I34" s="182"/>
      <c r="J34" s="183"/>
    </row>
    <row r="35" spans="1:10" x14ac:dyDescent="0.25">
      <c r="A35" s="21"/>
      <c r="B35" s="182"/>
      <c r="C35" s="182"/>
      <c r="D35" s="182"/>
      <c r="E35" s="182"/>
      <c r="F35" s="21"/>
      <c r="G35" s="347" t="s">
        <v>104</v>
      </c>
      <c r="H35" s="347"/>
      <c r="I35" s="182"/>
      <c r="J35" s="183"/>
    </row>
    <row r="36" spans="1:10" ht="18" customHeight="1" x14ac:dyDescent="0.25">
      <c r="A36" s="348" t="s">
        <v>105</v>
      </c>
      <c r="B36" s="349"/>
      <c r="C36" s="350" t="s">
        <v>95</v>
      </c>
      <c r="D36" s="350"/>
      <c r="E36" s="351"/>
      <c r="F36" s="182"/>
      <c r="G36" s="350" t="s">
        <v>12</v>
      </c>
      <c r="H36" s="350"/>
      <c r="I36" s="350"/>
      <c r="J36" s="351"/>
    </row>
    <row r="37" spans="1:10" x14ac:dyDescent="0.25">
      <c r="A37" s="332" t="s">
        <v>106</v>
      </c>
      <c r="B37" s="333"/>
      <c r="C37" s="334" t="s">
        <v>107</v>
      </c>
      <c r="D37" s="334"/>
      <c r="E37" s="335"/>
      <c r="F37" s="182"/>
      <c r="G37" s="333" t="s">
        <v>108</v>
      </c>
      <c r="H37" s="333"/>
      <c r="I37" s="333"/>
      <c r="J37" s="336"/>
    </row>
    <row r="38" spans="1:10" ht="9.75" customHeight="1" x14ac:dyDescent="0.25">
      <c r="A38" s="185"/>
      <c r="B38" s="186"/>
      <c r="C38" s="186"/>
      <c r="D38" s="186"/>
      <c r="E38" s="187"/>
      <c r="F38" s="186"/>
      <c r="G38" s="186"/>
      <c r="H38" s="186"/>
      <c r="I38" s="186"/>
      <c r="J38" s="187"/>
    </row>
    <row r="45" spans="1:10" x14ac:dyDescent="0.25">
      <c r="H45" s="369" t="s">
        <v>81</v>
      </c>
      <c r="I45" s="369"/>
      <c r="J45" s="369"/>
    </row>
    <row r="46" spans="1:10" x14ac:dyDescent="0.25">
      <c r="H46" s="370" t="s">
        <v>82</v>
      </c>
      <c r="I46" s="370"/>
      <c r="J46" s="370"/>
    </row>
    <row r="47" spans="1:10" ht="20.25" customHeight="1" x14ac:dyDescent="0.25">
      <c r="A47" s="371" t="s">
        <v>39</v>
      </c>
      <c r="B47" s="372"/>
      <c r="C47" s="372"/>
      <c r="D47" s="372"/>
      <c r="E47" s="372"/>
      <c r="F47" s="372"/>
      <c r="G47" s="372"/>
      <c r="H47" s="372"/>
      <c r="I47" s="372"/>
      <c r="J47" s="373"/>
    </row>
    <row r="48" spans="1:10" ht="15.75" customHeight="1" thickBot="1" x14ac:dyDescent="0.3">
      <c r="A48" s="374" t="s">
        <v>83</v>
      </c>
      <c r="B48" s="375"/>
      <c r="C48" s="375"/>
      <c r="D48" s="375"/>
      <c r="E48" s="375"/>
      <c r="F48" s="375"/>
      <c r="G48" s="375"/>
      <c r="H48" s="375"/>
      <c r="I48" s="375"/>
      <c r="J48" s="376"/>
    </row>
    <row r="49" spans="1:14" ht="18" customHeight="1" thickTop="1" x14ac:dyDescent="0.25">
      <c r="A49" s="21" t="s">
        <v>84</v>
      </c>
      <c r="B49" s="186" t="s">
        <v>110</v>
      </c>
      <c r="C49" s="144"/>
      <c r="D49" s="144"/>
      <c r="E49" s="144"/>
      <c r="F49" s="144"/>
      <c r="G49" s="143" t="s">
        <v>85</v>
      </c>
      <c r="H49" s="145"/>
      <c r="I49" s="146" t="s">
        <v>86</v>
      </c>
      <c r="J49" s="147"/>
    </row>
    <row r="50" spans="1:14" ht="17.25" customHeight="1" x14ac:dyDescent="0.25">
      <c r="A50" s="21" t="s">
        <v>87</v>
      </c>
      <c r="B50" s="377"/>
      <c r="C50" s="378"/>
      <c r="D50" s="146" t="s">
        <v>86</v>
      </c>
      <c r="E50" s="197"/>
      <c r="F50" s="379" t="s">
        <v>88</v>
      </c>
      <c r="G50" s="379"/>
      <c r="H50" s="198"/>
      <c r="I50" s="146" t="s">
        <v>86</v>
      </c>
      <c r="J50" s="201"/>
    </row>
    <row r="51" spans="1:14" ht="17.25" customHeight="1" x14ac:dyDescent="0.25">
      <c r="A51" s="362" t="s">
        <v>89</v>
      </c>
      <c r="B51" s="346"/>
      <c r="C51" s="346"/>
      <c r="D51" s="346"/>
      <c r="E51" s="346"/>
      <c r="F51" s="346"/>
      <c r="G51" s="346"/>
      <c r="H51" s="346"/>
      <c r="I51" s="144"/>
      <c r="J51" s="147" t="s">
        <v>90</v>
      </c>
    </row>
    <row r="52" spans="1:14" ht="5.25" customHeight="1" x14ac:dyDescent="0.25">
      <c r="A52" s="148"/>
      <c r="B52" s="144"/>
      <c r="C52" s="144"/>
      <c r="D52" s="144"/>
      <c r="E52" s="144"/>
      <c r="F52" s="144"/>
      <c r="G52" s="144"/>
      <c r="H52" s="144"/>
      <c r="I52" s="144"/>
      <c r="J52" s="149"/>
    </row>
    <row r="53" spans="1:14" x14ac:dyDescent="0.25">
      <c r="A53" s="150" t="s">
        <v>91</v>
      </c>
      <c r="B53" s="363" t="s">
        <v>4</v>
      </c>
      <c r="C53" s="364"/>
      <c r="D53" s="363" t="s">
        <v>92</v>
      </c>
      <c r="E53" s="367"/>
      <c r="F53" s="367"/>
      <c r="G53" s="367"/>
      <c r="H53" s="364"/>
      <c r="I53" s="363" t="s">
        <v>93</v>
      </c>
      <c r="J53" s="364"/>
    </row>
    <row r="54" spans="1:14" ht="12" customHeight="1" x14ac:dyDescent="0.25">
      <c r="A54" s="151" t="s">
        <v>42</v>
      </c>
      <c r="B54" s="365"/>
      <c r="C54" s="366"/>
      <c r="D54" s="365"/>
      <c r="E54" s="368"/>
      <c r="F54" s="368"/>
      <c r="G54" s="368"/>
      <c r="H54" s="366"/>
      <c r="I54" s="365"/>
      <c r="J54" s="366"/>
      <c r="N54" s="152"/>
    </row>
    <row r="55" spans="1:14" ht="12" customHeight="1" x14ac:dyDescent="0.25">
      <c r="A55" s="153"/>
      <c r="B55" s="154"/>
      <c r="C55" s="155"/>
      <c r="D55" s="156"/>
      <c r="E55" s="156"/>
      <c r="F55" s="156"/>
      <c r="G55" s="156"/>
      <c r="H55" s="157"/>
      <c r="I55" s="154"/>
      <c r="J55" s="158"/>
    </row>
    <row r="56" spans="1:14" ht="12" customHeight="1" x14ac:dyDescent="0.3">
      <c r="A56" s="153"/>
      <c r="B56" s="352" t="s">
        <v>7</v>
      </c>
      <c r="C56" s="381"/>
      <c r="D56" s="230" t="s">
        <v>308</v>
      </c>
      <c r="E56" s="160"/>
      <c r="F56" s="160"/>
      <c r="G56" s="160"/>
      <c r="H56" s="160"/>
      <c r="I56" s="352">
        <v>1</v>
      </c>
      <c r="J56" s="353"/>
    </row>
    <row r="57" spans="1:14" ht="12" customHeight="1" x14ac:dyDescent="0.3">
      <c r="A57" s="153"/>
      <c r="B57" s="352"/>
      <c r="C57" s="381"/>
      <c r="D57" s="245" t="s">
        <v>309</v>
      </c>
      <c r="E57" s="160"/>
      <c r="F57" s="160"/>
      <c r="G57" s="160"/>
      <c r="H57" s="160"/>
      <c r="I57" s="352"/>
      <c r="J57" s="353"/>
    </row>
    <row r="58" spans="1:14" ht="12" customHeight="1" x14ac:dyDescent="0.3">
      <c r="A58" s="153"/>
      <c r="B58" s="352"/>
      <c r="C58" s="381"/>
      <c r="D58" s="232" t="s">
        <v>310</v>
      </c>
      <c r="E58" s="160"/>
      <c r="F58" s="160"/>
      <c r="G58" s="160"/>
      <c r="H58" s="160"/>
      <c r="I58" s="360"/>
      <c r="J58" s="361"/>
    </row>
    <row r="59" spans="1:14" ht="12" customHeight="1" x14ac:dyDescent="0.3">
      <c r="A59" s="153"/>
      <c r="B59" s="352"/>
      <c r="C59" s="381"/>
      <c r="D59" s="233" t="s">
        <v>443</v>
      </c>
      <c r="E59" s="160"/>
      <c r="F59" s="160"/>
      <c r="G59" s="160"/>
      <c r="H59" s="160"/>
      <c r="I59" s="352"/>
      <c r="J59" s="353"/>
    </row>
    <row r="60" spans="1:14" ht="12" customHeight="1" x14ac:dyDescent="0.3">
      <c r="A60" s="153"/>
      <c r="B60" s="352"/>
      <c r="C60" s="381"/>
      <c r="D60" s="232" t="s">
        <v>444</v>
      </c>
      <c r="E60" s="160"/>
      <c r="F60" s="160"/>
      <c r="G60" s="160"/>
      <c r="H60" s="160"/>
      <c r="I60" s="352"/>
      <c r="J60" s="353"/>
    </row>
    <row r="61" spans="1:14" ht="12" customHeight="1" x14ac:dyDescent="0.3">
      <c r="A61" s="153"/>
      <c r="B61" s="354" t="s">
        <v>7</v>
      </c>
      <c r="C61" s="391"/>
      <c r="D61" s="230" t="s">
        <v>308</v>
      </c>
      <c r="E61" s="160"/>
      <c r="F61" s="160"/>
      <c r="G61" s="160"/>
      <c r="H61" s="160"/>
      <c r="I61" s="352">
        <v>1</v>
      </c>
      <c r="J61" s="353"/>
    </row>
    <row r="62" spans="1:14" s="167" customFormat="1" ht="12" customHeight="1" x14ac:dyDescent="0.3">
      <c r="A62" s="163"/>
      <c r="B62" s="356"/>
      <c r="C62" s="392"/>
      <c r="D62" s="245" t="s">
        <v>311</v>
      </c>
      <c r="E62" s="164"/>
      <c r="F62" s="164"/>
      <c r="G62" s="164"/>
      <c r="H62" s="165"/>
      <c r="I62" s="358"/>
      <c r="J62" s="359"/>
      <c r="K62" s="166"/>
      <c r="L62" s="164"/>
      <c r="M62" s="8"/>
      <c r="N62" s="8"/>
    </row>
    <row r="63" spans="1:14" s="167" customFormat="1" ht="12" customHeight="1" x14ac:dyDescent="0.3">
      <c r="A63" s="163"/>
      <c r="B63" s="163"/>
      <c r="C63" s="168"/>
      <c r="D63" s="232" t="s">
        <v>312</v>
      </c>
      <c r="E63" s="7"/>
      <c r="F63" s="7"/>
      <c r="G63" s="7"/>
      <c r="H63" s="170"/>
      <c r="I63" s="171"/>
      <c r="J63" s="172"/>
      <c r="L63" s="8"/>
      <c r="M63" s="8"/>
      <c r="N63" s="56"/>
    </row>
    <row r="64" spans="1:14" s="167" customFormat="1" ht="12" customHeight="1" x14ac:dyDescent="0.3">
      <c r="A64" s="163"/>
      <c r="B64" s="163"/>
      <c r="C64" s="168"/>
      <c r="D64" s="233" t="s">
        <v>445</v>
      </c>
      <c r="E64" s="7"/>
      <c r="F64" s="7"/>
      <c r="G64" s="7"/>
      <c r="H64" s="170"/>
      <c r="I64" s="171"/>
      <c r="J64" s="172"/>
      <c r="L64" s="8"/>
      <c r="M64" s="8"/>
      <c r="N64" s="56"/>
    </row>
    <row r="65" spans="1:14" s="167" customFormat="1" ht="12" customHeight="1" x14ac:dyDescent="0.3">
      <c r="A65" s="163"/>
      <c r="B65" s="163"/>
      <c r="C65" s="168"/>
      <c r="D65" s="232" t="s">
        <v>446</v>
      </c>
      <c r="E65" s="7"/>
      <c r="F65" s="7"/>
      <c r="G65" s="7"/>
      <c r="H65" s="170"/>
      <c r="I65" s="171"/>
      <c r="J65" s="172"/>
      <c r="L65" s="8"/>
      <c r="M65" s="8"/>
      <c r="N65" s="56"/>
    </row>
    <row r="66" spans="1:14" s="167" customFormat="1" ht="12" customHeight="1" x14ac:dyDescent="0.3">
      <c r="A66" s="163"/>
      <c r="B66" s="163"/>
      <c r="C66" s="168"/>
      <c r="D66" s="205"/>
      <c r="E66" s="7"/>
      <c r="F66" s="7"/>
      <c r="G66" s="7"/>
      <c r="H66" s="170"/>
      <c r="I66" s="171"/>
      <c r="J66" s="172"/>
      <c r="L66" s="8"/>
      <c r="M66" s="8"/>
      <c r="N66" s="56"/>
    </row>
    <row r="67" spans="1:14" s="167" customFormat="1" ht="12" customHeight="1" x14ac:dyDescent="0.3">
      <c r="A67" s="163"/>
      <c r="B67" s="163"/>
      <c r="C67" s="168"/>
      <c r="D67" s="204"/>
      <c r="E67" s="7"/>
      <c r="F67" s="7"/>
      <c r="G67" s="7"/>
      <c r="H67" s="170"/>
      <c r="I67" s="171"/>
      <c r="J67" s="172"/>
      <c r="L67" s="8"/>
      <c r="M67" s="8"/>
      <c r="N67" s="56"/>
    </row>
    <row r="68" spans="1:14" s="167" customFormat="1" ht="12" customHeight="1" x14ac:dyDescent="0.3">
      <c r="A68" s="163"/>
      <c r="B68" s="163"/>
      <c r="C68" s="168"/>
      <c r="D68" s="204"/>
      <c r="E68" s="7"/>
      <c r="F68" s="7"/>
      <c r="G68" s="7"/>
      <c r="H68" s="170"/>
      <c r="I68" s="171"/>
      <c r="J68" s="172"/>
      <c r="L68" s="8"/>
      <c r="M68" s="8"/>
      <c r="N68" s="56"/>
    </row>
    <row r="69" spans="1:14" s="167" customFormat="1" ht="12" customHeight="1" x14ac:dyDescent="0.3">
      <c r="A69" s="163"/>
      <c r="B69" s="163"/>
      <c r="C69" s="168"/>
      <c r="D69" s="204"/>
      <c r="E69" s="159" t="s">
        <v>94</v>
      </c>
      <c r="F69" s="339" t="s">
        <v>12</v>
      </c>
      <c r="G69" s="339"/>
      <c r="H69" s="340"/>
      <c r="I69" s="171"/>
      <c r="J69" s="172"/>
      <c r="M69" s="56"/>
      <c r="N69" s="56"/>
    </row>
    <row r="70" spans="1:14" s="167" customFormat="1" ht="12" customHeight="1" x14ac:dyDescent="0.3">
      <c r="A70" s="163"/>
      <c r="B70" s="163"/>
      <c r="C70" s="168"/>
      <c r="D70" s="174"/>
      <c r="E70" s="159"/>
      <c r="F70" s="339" t="s">
        <v>96</v>
      </c>
      <c r="G70" s="339"/>
      <c r="H70" s="340"/>
      <c r="I70" s="341"/>
      <c r="J70" s="340"/>
    </row>
    <row r="71" spans="1:14" s="167" customFormat="1" ht="12" customHeight="1" x14ac:dyDescent="0.3">
      <c r="A71" s="163"/>
      <c r="B71" s="342"/>
      <c r="C71" s="343"/>
      <c r="D71" s="174"/>
      <c r="E71" s="159"/>
      <c r="F71" s="175"/>
      <c r="G71" s="175"/>
      <c r="H71" s="176"/>
      <c r="I71" s="341"/>
      <c r="J71" s="340"/>
    </row>
    <row r="72" spans="1:14" ht="6" customHeight="1" x14ac:dyDescent="0.25">
      <c r="A72" s="148"/>
      <c r="B72" s="148"/>
      <c r="C72" s="149"/>
      <c r="D72" s="144"/>
      <c r="E72" s="144"/>
      <c r="F72" s="177"/>
      <c r="G72" s="144"/>
      <c r="H72" s="149"/>
      <c r="I72" s="148"/>
      <c r="J72" s="149"/>
    </row>
    <row r="73" spans="1:14" ht="6" customHeight="1" x14ac:dyDescent="0.25">
      <c r="A73" s="148"/>
      <c r="B73" s="148"/>
      <c r="C73" s="149"/>
      <c r="D73" s="148"/>
      <c r="E73" s="144"/>
      <c r="F73" s="177"/>
      <c r="G73" s="144"/>
      <c r="H73" s="149"/>
      <c r="I73" s="148"/>
      <c r="J73" s="149"/>
    </row>
    <row r="74" spans="1:14" ht="15.75" customHeight="1" x14ac:dyDescent="0.25">
      <c r="A74" s="178" t="s">
        <v>97</v>
      </c>
      <c r="B74" s="179"/>
      <c r="C74" s="179"/>
      <c r="D74" s="180"/>
      <c r="E74" s="181"/>
      <c r="F74" s="344" t="s">
        <v>98</v>
      </c>
      <c r="G74" s="344"/>
      <c r="H74" s="344"/>
      <c r="I74" s="344"/>
      <c r="J74" s="345"/>
    </row>
    <row r="75" spans="1:14" ht="17.25" customHeight="1" x14ac:dyDescent="0.25">
      <c r="A75" s="21" t="s">
        <v>99</v>
      </c>
      <c r="B75" s="182"/>
      <c r="C75" s="182"/>
      <c r="D75" s="182"/>
      <c r="E75" s="183"/>
      <c r="F75" s="182" t="s">
        <v>100</v>
      </c>
      <c r="G75" s="182"/>
      <c r="H75" s="182"/>
      <c r="I75" s="182"/>
      <c r="J75" s="183"/>
    </row>
    <row r="76" spans="1:14" ht="7.5" customHeight="1" x14ac:dyDescent="0.25">
      <c r="A76" s="21"/>
      <c r="B76" s="182"/>
      <c r="C76" s="182"/>
      <c r="D76" s="182"/>
      <c r="E76" s="183"/>
      <c r="F76" s="182"/>
      <c r="G76" s="182"/>
      <c r="H76" s="182"/>
      <c r="I76" s="182"/>
      <c r="J76" s="183"/>
    </row>
    <row r="77" spans="1:14" x14ac:dyDescent="0.25">
      <c r="A77" s="184" t="s">
        <v>101</v>
      </c>
      <c r="D77" s="182"/>
      <c r="E77" s="182"/>
      <c r="F77" s="21"/>
      <c r="G77" s="346" t="s">
        <v>102</v>
      </c>
      <c r="H77" s="346"/>
      <c r="I77" s="182"/>
      <c r="J77" s="183"/>
    </row>
    <row r="78" spans="1:14" x14ac:dyDescent="0.25">
      <c r="A78" s="184" t="s">
        <v>103</v>
      </c>
      <c r="D78" s="182"/>
      <c r="E78" s="182"/>
      <c r="F78" s="21"/>
      <c r="G78" s="182"/>
      <c r="H78" s="182" t="s">
        <v>90</v>
      </c>
      <c r="I78" s="182"/>
      <c r="J78" s="183"/>
    </row>
    <row r="79" spans="1:14" x14ac:dyDescent="0.25">
      <c r="A79" s="21"/>
      <c r="B79" s="182"/>
      <c r="C79" s="182"/>
      <c r="D79" s="182"/>
      <c r="E79" s="182"/>
      <c r="F79" s="21"/>
      <c r="G79" s="347" t="s">
        <v>104</v>
      </c>
      <c r="H79" s="347"/>
      <c r="I79" s="182"/>
      <c r="J79" s="183"/>
    </row>
    <row r="80" spans="1:14" ht="18" customHeight="1" x14ac:dyDescent="0.25">
      <c r="A80" s="348" t="s">
        <v>105</v>
      </c>
      <c r="B80" s="349"/>
      <c r="C80" s="350" t="s">
        <v>95</v>
      </c>
      <c r="D80" s="350"/>
      <c r="E80" s="351"/>
      <c r="F80" s="182"/>
      <c r="G80" s="350" t="s">
        <v>12</v>
      </c>
      <c r="H80" s="350"/>
      <c r="I80" s="350"/>
      <c r="J80" s="351"/>
    </row>
    <row r="81" spans="1:10" x14ac:dyDescent="0.25">
      <c r="A81" s="332" t="s">
        <v>106</v>
      </c>
      <c r="B81" s="333"/>
      <c r="C81" s="334" t="s">
        <v>107</v>
      </c>
      <c r="D81" s="334"/>
      <c r="E81" s="335"/>
      <c r="F81" s="182"/>
      <c r="G81" s="333" t="s">
        <v>108</v>
      </c>
      <c r="H81" s="333"/>
      <c r="I81" s="333"/>
      <c r="J81" s="336"/>
    </row>
    <row r="82" spans="1:10" ht="9.75" customHeight="1" x14ac:dyDescent="0.25">
      <c r="A82" s="185"/>
      <c r="B82" s="186"/>
      <c r="C82" s="186"/>
      <c r="D82" s="186"/>
      <c r="E82" s="187"/>
      <c r="F82" s="186"/>
      <c r="G82" s="186"/>
      <c r="H82" s="186"/>
      <c r="I82" s="186"/>
      <c r="J82" s="187"/>
    </row>
  </sheetData>
  <mergeCells count="76">
    <mergeCell ref="A81:B81"/>
    <mergeCell ref="C81:E81"/>
    <mergeCell ref="G81:J81"/>
    <mergeCell ref="I71:J71"/>
    <mergeCell ref="F74:J74"/>
    <mergeCell ref="G77:H77"/>
    <mergeCell ref="G79:H79"/>
    <mergeCell ref="A80:B80"/>
    <mergeCell ref="C80:E80"/>
    <mergeCell ref="G80:J80"/>
    <mergeCell ref="F69:H69"/>
    <mergeCell ref="F70:H70"/>
    <mergeCell ref="I70:J70"/>
    <mergeCell ref="B71:C71"/>
    <mergeCell ref="B60:C60"/>
    <mergeCell ref="I60:J60"/>
    <mergeCell ref="B61:C61"/>
    <mergeCell ref="I61:J61"/>
    <mergeCell ref="B62:C62"/>
    <mergeCell ref="I62:J62"/>
    <mergeCell ref="B57:C57"/>
    <mergeCell ref="I57:J57"/>
    <mergeCell ref="B58:C58"/>
    <mergeCell ref="I58:J58"/>
    <mergeCell ref="B59:C59"/>
    <mergeCell ref="I59:J59"/>
    <mergeCell ref="A51:H51"/>
    <mergeCell ref="B53:C54"/>
    <mergeCell ref="D53:H54"/>
    <mergeCell ref="I53:J54"/>
    <mergeCell ref="B56:C56"/>
    <mergeCell ref="I56:J56"/>
    <mergeCell ref="H45:J45"/>
    <mergeCell ref="H46:J46"/>
    <mergeCell ref="A47:J47"/>
    <mergeCell ref="A48:J48"/>
    <mergeCell ref="B50:C50"/>
    <mergeCell ref="F50:G50"/>
    <mergeCell ref="A37:B37"/>
    <mergeCell ref="C37:E37"/>
    <mergeCell ref="G37:J37"/>
    <mergeCell ref="F25:H25"/>
    <mergeCell ref="F26:H26"/>
    <mergeCell ref="I26:J26"/>
    <mergeCell ref="B27:C27"/>
    <mergeCell ref="I27:J27"/>
    <mergeCell ref="F30:J30"/>
    <mergeCell ref="G33:H33"/>
    <mergeCell ref="G35:H35"/>
    <mergeCell ref="A36:B36"/>
    <mergeCell ref="C36:E36"/>
    <mergeCell ref="G36:J36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39370078740157483" bottom="0" header="0.19685039370078741" footer="0.27559055118110237"/>
  <pageSetup paperSize="281" scale="8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68ED-FB96-4DBC-9C0E-42124D510016}">
  <dimension ref="A1:N70"/>
  <sheetViews>
    <sheetView view="pageBreakPreview" zoomScale="115" zoomScaleNormal="100" zoomScaleSheetLayoutView="115" workbookViewId="0">
      <selection activeCell="M13" sqref="M13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110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/>
      <c r="I6" s="146" t="s">
        <v>86</v>
      </c>
      <c r="J6" s="201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297</v>
      </c>
      <c r="C12" s="353"/>
      <c r="D12" s="165" t="s">
        <v>278</v>
      </c>
      <c r="E12" s="160"/>
      <c r="F12" s="160"/>
      <c r="G12" s="160"/>
      <c r="H12" s="160"/>
      <c r="I12" s="352">
        <v>10</v>
      </c>
      <c r="J12" s="353"/>
    </row>
    <row r="13" spans="1:14" ht="12" customHeight="1" x14ac:dyDescent="0.3">
      <c r="A13" s="153"/>
      <c r="B13" s="352" t="s">
        <v>9</v>
      </c>
      <c r="C13" s="353"/>
      <c r="D13" s="234" t="s">
        <v>270</v>
      </c>
      <c r="E13" s="160"/>
      <c r="F13" s="160"/>
      <c r="G13" s="160"/>
      <c r="H13" s="160"/>
      <c r="I13" s="352">
        <v>2</v>
      </c>
      <c r="J13" s="353"/>
    </row>
    <row r="14" spans="1:14" ht="12" customHeight="1" x14ac:dyDescent="0.3">
      <c r="A14" s="153"/>
      <c r="B14" s="352" t="s">
        <v>229</v>
      </c>
      <c r="C14" s="353"/>
      <c r="D14" s="246" t="s">
        <v>279</v>
      </c>
      <c r="E14" s="160"/>
      <c r="F14" s="160"/>
      <c r="G14" s="160"/>
      <c r="H14" s="160"/>
      <c r="I14" s="352">
        <v>1</v>
      </c>
      <c r="J14" s="353"/>
    </row>
    <row r="15" spans="1:14" ht="12" customHeight="1" x14ac:dyDescent="0.3">
      <c r="A15" s="153"/>
      <c r="B15" s="352" t="s">
        <v>9</v>
      </c>
      <c r="C15" s="353"/>
      <c r="D15" s="246" t="s">
        <v>280</v>
      </c>
      <c r="E15" s="160"/>
      <c r="F15" s="160"/>
      <c r="G15" s="160"/>
      <c r="H15" s="160"/>
      <c r="I15" s="352">
        <v>1</v>
      </c>
      <c r="J15" s="353"/>
    </row>
    <row r="16" spans="1:14" ht="12" customHeight="1" x14ac:dyDescent="0.3">
      <c r="A16" s="153"/>
      <c r="B16" s="352"/>
      <c r="C16" s="353"/>
      <c r="D16" s="202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2"/>
      <c r="C17" s="353"/>
      <c r="D17" s="20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110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/>
      <c r="I43" s="146" t="s">
        <v>86</v>
      </c>
      <c r="J43" s="201"/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297</v>
      </c>
      <c r="C49" s="353"/>
      <c r="D49" s="165" t="s">
        <v>278</v>
      </c>
      <c r="E49" s="160"/>
      <c r="F49" s="160"/>
      <c r="G49" s="160"/>
      <c r="H49" s="160"/>
      <c r="I49" s="352">
        <v>10</v>
      </c>
      <c r="J49" s="353"/>
    </row>
    <row r="50" spans="1:14" ht="12" customHeight="1" x14ac:dyDescent="0.3">
      <c r="A50" s="153"/>
      <c r="B50" s="352" t="s">
        <v>9</v>
      </c>
      <c r="C50" s="353"/>
      <c r="D50" s="234" t="s">
        <v>270</v>
      </c>
      <c r="E50" s="160"/>
      <c r="F50" s="160"/>
      <c r="G50" s="160"/>
      <c r="H50" s="160"/>
      <c r="I50" s="352">
        <v>2</v>
      </c>
      <c r="J50" s="353"/>
    </row>
    <row r="51" spans="1:14" ht="12" customHeight="1" x14ac:dyDescent="0.3">
      <c r="A51" s="153"/>
      <c r="B51" s="352" t="s">
        <v>229</v>
      </c>
      <c r="C51" s="353"/>
      <c r="D51" s="246" t="s">
        <v>279</v>
      </c>
      <c r="E51" s="160"/>
      <c r="F51" s="160"/>
      <c r="G51" s="160"/>
      <c r="H51" s="160"/>
      <c r="I51" s="352">
        <v>1</v>
      </c>
      <c r="J51" s="353"/>
    </row>
    <row r="52" spans="1:14" ht="12" customHeight="1" x14ac:dyDescent="0.3">
      <c r="A52" s="153"/>
      <c r="B52" s="352" t="s">
        <v>9</v>
      </c>
      <c r="C52" s="353"/>
      <c r="D52" s="246" t="s">
        <v>280</v>
      </c>
      <c r="E52" s="160"/>
      <c r="F52" s="160"/>
      <c r="G52" s="160"/>
      <c r="H52" s="160"/>
      <c r="I52" s="352">
        <v>1</v>
      </c>
      <c r="J52" s="353"/>
    </row>
    <row r="53" spans="1:14" ht="12" customHeight="1" x14ac:dyDescent="0.3">
      <c r="A53" s="153"/>
      <c r="B53" s="352"/>
      <c r="C53" s="353"/>
      <c r="D53" s="202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2"/>
      <c r="C54" s="353"/>
      <c r="D54" s="20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0015-4E34-4BE4-A8E1-167D82EF4E89}">
  <dimension ref="A1:N70"/>
  <sheetViews>
    <sheetView view="pageBreakPreview" topLeftCell="A40" zoomScale="115" zoomScaleNormal="100" zoomScaleSheetLayoutView="115" workbookViewId="0">
      <selection activeCell="M42" sqref="M42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447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 t="s">
        <v>448</v>
      </c>
      <c r="C6" s="378"/>
      <c r="D6" s="146" t="s">
        <v>86</v>
      </c>
      <c r="E6" s="197" t="s">
        <v>449</v>
      </c>
      <c r="F6" s="379" t="s">
        <v>88</v>
      </c>
      <c r="G6" s="379"/>
      <c r="H6" s="198">
        <v>5375</v>
      </c>
      <c r="I6" s="146" t="s">
        <v>86</v>
      </c>
      <c r="J6" s="201" t="s">
        <v>284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257</v>
      </c>
      <c r="C12" s="353"/>
      <c r="D12" s="382" t="s">
        <v>450</v>
      </c>
      <c r="E12" s="383"/>
      <c r="F12" s="383"/>
      <c r="G12" s="383"/>
      <c r="H12" s="384"/>
      <c r="I12" s="352">
        <v>2</v>
      </c>
      <c r="J12" s="353"/>
    </row>
    <row r="13" spans="1:14" ht="12" customHeight="1" x14ac:dyDescent="0.3">
      <c r="A13" s="153"/>
      <c r="B13" s="352"/>
      <c r="C13" s="353"/>
      <c r="D13" s="247"/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53"/>
      <c r="D14" s="161"/>
      <c r="E14" s="160"/>
      <c r="F14" s="160"/>
      <c r="G14" s="160"/>
      <c r="H14" s="160"/>
      <c r="I14" s="352"/>
      <c r="J14" s="353"/>
    </row>
    <row r="15" spans="1:14" ht="12" customHeight="1" x14ac:dyDescent="0.3">
      <c r="A15" s="153"/>
      <c r="B15" s="352"/>
      <c r="C15" s="353"/>
      <c r="D15" s="161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202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2"/>
      <c r="C17" s="353"/>
      <c r="D17" s="20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447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 t="s">
        <v>448</v>
      </c>
      <c r="C43" s="378"/>
      <c r="D43" s="146" t="s">
        <v>86</v>
      </c>
      <c r="E43" s="197" t="s">
        <v>449</v>
      </c>
      <c r="F43" s="379" t="s">
        <v>88</v>
      </c>
      <c r="G43" s="379"/>
      <c r="H43" s="198">
        <v>5375</v>
      </c>
      <c r="I43" s="146" t="s">
        <v>86</v>
      </c>
      <c r="J43" s="201" t="s">
        <v>284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257</v>
      </c>
      <c r="C49" s="353"/>
      <c r="D49" s="382" t="s">
        <v>450</v>
      </c>
      <c r="E49" s="383"/>
      <c r="F49" s="383"/>
      <c r="G49" s="383"/>
      <c r="H49" s="384"/>
      <c r="I49" s="352">
        <v>2</v>
      </c>
      <c r="J49" s="353"/>
    </row>
    <row r="50" spans="1:14" ht="12" customHeight="1" x14ac:dyDescent="0.3">
      <c r="A50" s="153"/>
      <c r="B50" s="352"/>
      <c r="C50" s="353"/>
      <c r="D50" s="247"/>
      <c r="E50" s="160"/>
      <c r="F50" s="160"/>
      <c r="G50" s="160"/>
      <c r="H50" s="160"/>
      <c r="I50" s="352"/>
      <c r="J50" s="353"/>
    </row>
    <row r="51" spans="1:14" ht="12" customHeight="1" x14ac:dyDescent="0.3">
      <c r="A51" s="153"/>
      <c r="B51" s="352"/>
      <c r="C51" s="353"/>
      <c r="D51" s="161"/>
      <c r="E51" s="160"/>
      <c r="F51" s="160"/>
      <c r="G51" s="160"/>
      <c r="H51" s="160"/>
      <c r="I51" s="352"/>
      <c r="J51" s="353"/>
    </row>
    <row r="52" spans="1:14" ht="12" customHeight="1" x14ac:dyDescent="0.3">
      <c r="A52" s="153"/>
      <c r="B52" s="352"/>
      <c r="C52" s="353"/>
      <c r="D52" s="161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202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2"/>
      <c r="C54" s="353"/>
      <c r="D54" s="20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8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D49:H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D12:H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0702-A66E-490E-A865-52A8E7F03284}">
  <dimension ref="A1:N70"/>
  <sheetViews>
    <sheetView view="pageBreakPreview" topLeftCell="A40" zoomScale="115" zoomScaleNormal="100" zoomScaleSheetLayoutView="115" workbookViewId="0">
      <selection activeCell="M50" sqref="M50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451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 t="s">
        <v>290</v>
      </c>
      <c r="I6" s="146" t="s">
        <v>86</v>
      </c>
      <c r="J6" s="201">
        <v>45385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53"/>
      <c r="D12" s="236" t="s">
        <v>292</v>
      </c>
      <c r="E12" s="250"/>
      <c r="F12" s="250"/>
      <c r="G12" s="250"/>
      <c r="H12" s="249"/>
      <c r="I12" s="352">
        <v>5</v>
      </c>
      <c r="J12" s="353"/>
    </row>
    <row r="13" spans="1:14" ht="12" customHeight="1" x14ac:dyDescent="0.3">
      <c r="A13" s="153"/>
      <c r="B13" s="352"/>
      <c r="C13" s="353"/>
      <c r="D13" s="228" t="s">
        <v>452</v>
      </c>
      <c r="E13" s="241"/>
      <c r="F13" s="241"/>
      <c r="G13" s="241"/>
      <c r="H13" s="242"/>
      <c r="I13" s="352"/>
      <c r="J13" s="353"/>
    </row>
    <row r="14" spans="1:14" ht="12" customHeight="1" x14ac:dyDescent="0.3">
      <c r="A14" s="153"/>
      <c r="B14" s="352"/>
      <c r="C14" s="353"/>
      <c r="D14" s="228" t="s">
        <v>453</v>
      </c>
      <c r="E14" s="241"/>
      <c r="F14" s="241"/>
      <c r="G14" s="241"/>
      <c r="H14" s="242"/>
      <c r="I14" s="352"/>
      <c r="J14" s="353"/>
    </row>
    <row r="15" spans="1:14" ht="12" customHeight="1" x14ac:dyDescent="0.3">
      <c r="A15" s="153"/>
      <c r="B15" s="352"/>
      <c r="C15" s="353"/>
      <c r="D15" s="161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53"/>
      <c r="D16" s="202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2"/>
      <c r="C17" s="353"/>
      <c r="D17" s="202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451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 t="s">
        <v>290</v>
      </c>
      <c r="I43" s="146" t="s">
        <v>86</v>
      </c>
      <c r="J43" s="201">
        <v>45385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7</v>
      </c>
      <c r="C49" s="353"/>
      <c r="D49" s="236" t="s">
        <v>292</v>
      </c>
      <c r="E49" s="250"/>
      <c r="F49" s="250"/>
      <c r="G49" s="250"/>
      <c r="H49" s="249"/>
      <c r="I49" s="352">
        <v>5</v>
      </c>
      <c r="J49" s="353"/>
    </row>
    <row r="50" spans="1:14" ht="12" customHeight="1" x14ac:dyDescent="0.3">
      <c r="A50" s="153"/>
      <c r="B50" s="352"/>
      <c r="C50" s="353"/>
      <c r="D50" s="228" t="s">
        <v>452</v>
      </c>
      <c r="E50" s="241"/>
      <c r="F50" s="241"/>
      <c r="G50" s="241"/>
      <c r="H50" s="242"/>
      <c r="I50" s="352"/>
      <c r="J50" s="353"/>
    </row>
    <row r="51" spans="1:14" ht="12" customHeight="1" x14ac:dyDescent="0.3">
      <c r="A51" s="153"/>
      <c r="B51" s="352"/>
      <c r="C51" s="353"/>
      <c r="D51" s="228" t="s">
        <v>453</v>
      </c>
      <c r="E51" s="241"/>
      <c r="F51" s="241"/>
      <c r="G51" s="241"/>
      <c r="H51" s="242"/>
      <c r="I51" s="352"/>
      <c r="J51" s="353"/>
    </row>
    <row r="52" spans="1:14" ht="12" customHeight="1" x14ac:dyDescent="0.3">
      <c r="A52" s="153"/>
      <c r="B52" s="352"/>
      <c r="C52" s="353"/>
      <c r="D52" s="161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53"/>
      <c r="D53" s="202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2"/>
      <c r="C54" s="353"/>
      <c r="D54" s="202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1378-FE0D-4F66-9F9D-9EEC656B4B70}">
  <dimension ref="A1:N70"/>
  <sheetViews>
    <sheetView view="pageBreakPreview" zoomScale="115" zoomScaleNormal="100" zoomScaleSheetLayoutView="115" workbookViewId="0">
      <selection activeCell="O13" sqref="O13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454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4509</v>
      </c>
      <c r="I6" s="146" t="s">
        <v>86</v>
      </c>
      <c r="J6" s="201" t="s">
        <v>295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9</v>
      </c>
      <c r="C12" s="381"/>
      <c r="D12" s="236" t="s">
        <v>293</v>
      </c>
      <c r="E12" s="160"/>
      <c r="F12" s="160"/>
      <c r="G12" s="160"/>
      <c r="H12" s="160"/>
      <c r="I12" s="352">
        <v>20</v>
      </c>
      <c r="J12" s="353"/>
    </row>
    <row r="13" spans="1:14" ht="12" customHeight="1" x14ac:dyDescent="0.3">
      <c r="A13" s="153"/>
      <c r="B13" s="352"/>
      <c r="C13" s="381"/>
      <c r="D13" s="203"/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81"/>
      <c r="D14" s="202"/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81"/>
      <c r="D15" s="235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81"/>
      <c r="D16" s="228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454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4509</v>
      </c>
      <c r="I43" s="146" t="s">
        <v>86</v>
      </c>
      <c r="J43" s="201" t="s">
        <v>295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9</v>
      </c>
      <c r="C49" s="381"/>
      <c r="D49" s="236" t="s">
        <v>293</v>
      </c>
      <c r="E49" s="160"/>
      <c r="F49" s="160"/>
      <c r="G49" s="160"/>
      <c r="H49" s="160"/>
      <c r="I49" s="352">
        <v>20</v>
      </c>
      <c r="J49" s="353"/>
    </row>
    <row r="50" spans="1:14" ht="12" customHeight="1" x14ac:dyDescent="0.3">
      <c r="A50" s="153"/>
      <c r="B50" s="352"/>
      <c r="C50" s="381"/>
      <c r="D50" s="203"/>
      <c r="E50" s="160"/>
      <c r="F50" s="160"/>
      <c r="G50" s="160"/>
      <c r="H50" s="160"/>
      <c r="I50" s="352"/>
      <c r="J50" s="353"/>
    </row>
    <row r="51" spans="1:14" ht="12" customHeight="1" x14ac:dyDescent="0.3">
      <c r="A51" s="153"/>
      <c r="B51" s="352"/>
      <c r="C51" s="381"/>
      <c r="D51" s="202"/>
      <c r="E51" s="160"/>
      <c r="F51" s="160"/>
      <c r="G51" s="160"/>
      <c r="H51" s="160"/>
      <c r="I51" s="360"/>
      <c r="J51" s="361"/>
    </row>
    <row r="52" spans="1:14" ht="12" customHeight="1" x14ac:dyDescent="0.3">
      <c r="A52" s="153"/>
      <c r="B52" s="352"/>
      <c r="C52" s="381"/>
      <c r="D52" s="235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81"/>
      <c r="D53" s="228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C97D-F949-4C59-88E0-3333FC727B8C}">
  <dimension ref="A1:N70"/>
  <sheetViews>
    <sheetView view="pageBreakPreview" topLeftCell="A43" zoomScale="115" zoomScaleNormal="100" zoomScaleSheetLayoutView="115" workbookViewId="0">
      <selection activeCell="M63" sqref="M63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110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/>
      <c r="I6" s="146" t="s">
        <v>86</v>
      </c>
      <c r="J6" s="201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9</v>
      </c>
      <c r="C12" s="381"/>
      <c r="D12" s="202" t="s">
        <v>299</v>
      </c>
      <c r="E12" s="160"/>
      <c r="F12" s="160"/>
      <c r="G12" s="160"/>
      <c r="H12" s="160"/>
      <c r="I12" s="352">
        <v>25</v>
      </c>
      <c r="J12" s="353"/>
    </row>
    <row r="13" spans="1:14" ht="12" customHeight="1" x14ac:dyDescent="0.3">
      <c r="A13" s="153"/>
      <c r="B13" s="352" t="s">
        <v>9</v>
      </c>
      <c r="C13" s="381"/>
      <c r="D13" s="202" t="s">
        <v>300</v>
      </c>
      <c r="E13" s="160"/>
      <c r="F13" s="160"/>
      <c r="G13" s="160"/>
      <c r="H13" s="160"/>
      <c r="I13" s="352">
        <v>20</v>
      </c>
      <c r="J13" s="353"/>
    </row>
    <row r="14" spans="1:14" ht="12" customHeight="1" x14ac:dyDescent="0.3">
      <c r="A14" s="153"/>
      <c r="B14" s="352"/>
      <c r="C14" s="381"/>
      <c r="D14" s="202"/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81"/>
      <c r="D15" s="235"/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81"/>
      <c r="D16" s="228"/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110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/>
      <c r="I43" s="146" t="s">
        <v>86</v>
      </c>
      <c r="J43" s="201"/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352" t="s">
        <v>9</v>
      </c>
      <c r="C49" s="381"/>
      <c r="D49" s="202" t="s">
        <v>299</v>
      </c>
      <c r="E49" s="160"/>
      <c r="F49" s="160"/>
      <c r="G49" s="160"/>
      <c r="H49" s="160"/>
      <c r="I49" s="352">
        <v>25</v>
      </c>
      <c r="J49" s="353"/>
    </row>
    <row r="50" spans="1:14" ht="12" customHeight="1" x14ac:dyDescent="0.3">
      <c r="A50" s="153"/>
      <c r="B50" s="352" t="s">
        <v>9</v>
      </c>
      <c r="C50" s="381"/>
      <c r="D50" s="202" t="s">
        <v>300</v>
      </c>
      <c r="E50" s="160"/>
      <c r="F50" s="160"/>
      <c r="G50" s="160"/>
      <c r="H50" s="160"/>
      <c r="I50" s="352">
        <v>20</v>
      </c>
      <c r="J50" s="353"/>
    </row>
    <row r="51" spans="1:14" ht="12" customHeight="1" x14ac:dyDescent="0.3">
      <c r="A51" s="153"/>
      <c r="B51" s="352"/>
      <c r="C51" s="381"/>
      <c r="D51" s="202"/>
      <c r="E51" s="160"/>
      <c r="F51" s="160"/>
      <c r="G51" s="160"/>
      <c r="H51" s="160"/>
      <c r="I51" s="360"/>
      <c r="J51" s="361"/>
    </row>
    <row r="52" spans="1:14" ht="12" customHeight="1" x14ac:dyDescent="0.3">
      <c r="A52" s="153"/>
      <c r="B52" s="352"/>
      <c r="C52" s="381"/>
      <c r="D52" s="235"/>
      <c r="E52" s="160"/>
      <c r="F52" s="160"/>
      <c r="G52" s="160"/>
      <c r="H52" s="160"/>
      <c r="I52" s="352"/>
      <c r="J52" s="353"/>
    </row>
    <row r="53" spans="1:14" ht="12" customHeight="1" x14ac:dyDescent="0.3">
      <c r="A53" s="153"/>
      <c r="B53" s="352"/>
      <c r="C53" s="381"/>
      <c r="D53" s="228"/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07E9-48AB-4D41-AC51-9AAEAEB30F75}">
  <dimension ref="A1:N70"/>
  <sheetViews>
    <sheetView view="pageBreakPreview" topLeftCell="A4" zoomScale="115" zoomScaleNormal="100" zoomScaleSheetLayoutView="115" workbookViewId="0">
      <selection activeCell="N13" sqref="N13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441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8636</v>
      </c>
      <c r="I6" s="146" t="s">
        <v>86</v>
      </c>
      <c r="J6" s="201" t="s">
        <v>258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9</v>
      </c>
      <c r="C12" s="406"/>
      <c r="D12" s="232" t="s">
        <v>305</v>
      </c>
      <c r="E12" s="160"/>
      <c r="F12" s="160"/>
      <c r="G12" s="160"/>
      <c r="H12" s="160"/>
      <c r="I12" s="407">
        <v>16</v>
      </c>
      <c r="J12" s="408"/>
    </row>
    <row r="13" spans="1:14" ht="12" customHeight="1" x14ac:dyDescent="0.3">
      <c r="A13" s="153"/>
      <c r="B13" s="405" t="s">
        <v>63</v>
      </c>
      <c r="C13" s="406"/>
      <c r="D13" s="232" t="s">
        <v>301</v>
      </c>
      <c r="E13" s="160"/>
      <c r="F13" s="160"/>
      <c r="G13" s="160"/>
      <c r="H13" s="160"/>
      <c r="I13" s="407">
        <v>1</v>
      </c>
      <c r="J13" s="408"/>
    </row>
    <row r="14" spans="1:14" ht="12" customHeight="1" x14ac:dyDescent="0.3">
      <c r="A14" s="153"/>
      <c r="B14" s="405" t="s">
        <v>297</v>
      </c>
      <c r="C14" s="406"/>
      <c r="D14" s="232" t="s">
        <v>302</v>
      </c>
      <c r="E14" s="160"/>
      <c r="F14" s="160"/>
      <c r="G14" s="160"/>
      <c r="H14" s="160"/>
      <c r="I14" s="409">
        <v>50</v>
      </c>
      <c r="J14" s="410"/>
    </row>
    <row r="15" spans="1:14" ht="12" customHeight="1" x14ac:dyDescent="0.3">
      <c r="A15" s="153"/>
      <c r="B15" s="411" t="s">
        <v>9</v>
      </c>
      <c r="C15" s="412"/>
      <c r="D15" s="251" t="s">
        <v>303</v>
      </c>
      <c r="E15" s="160"/>
      <c r="F15" s="160"/>
      <c r="G15" s="160"/>
      <c r="H15" s="160"/>
      <c r="I15" s="413">
        <v>2</v>
      </c>
      <c r="J15" s="412"/>
    </row>
    <row r="16" spans="1:14" ht="12" customHeight="1" x14ac:dyDescent="0.3">
      <c r="A16" s="153"/>
      <c r="B16" s="411" t="s">
        <v>9</v>
      </c>
      <c r="C16" s="414"/>
      <c r="D16" s="232" t="s">
        <v>304</v>
      </c>
      <c r="E16" s="160"/>
      <c r="F16" s="160"/>
      <c r="G16" s="160"/>
      <c r="H16" s="160"/>
      <c r="I16" s="413">
        <v>1</v>
      </c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441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8636</v>
      </c>
      <c r="I43" s="146" t="s">
        <v>86</v>
      </c>
      <c r="J43" s="201" t="s">
        <v>258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9</v>
      </c>
      <c r="C49" s="406"/>
      <c r="D49" s="232" t="s">
        <v>305</v>
      </c>
      <c r="E49" s="160"/>
      <c r="F49" s="160"/>
      <c r="G49" s="160"/>
      <c r="H49" s="160"/>
      <c r="I49" s="407">
        <v>16</v>
      </c>
      <c r="J49" s="408"/>
    </row>
    <row r="50" spans="1:14" ht="12" customHeight="1" x14ac:dyDescent="0.3">
      <c r="A50" s="153"/>
      <c r="B50" s="405" t="s">
        <v>63</v>
      </c>
      <c r="C50" s="406"/>
      <c r="D50" s="232" t="s">
        <v>301</v>
      </c>
      <c r="E50" s="160"/>
      <c r="F50" s="160"/>
      <c r="G50" s="160"/>
      <c r="H50" s="160"/>
      <c r="I50" s="407">
        <v>1</v>
      </c>
      <c r="J50" s="408"/>
    </row>
    <row r="51" spans="1:14" ht="12" customHeight="1" x14ac:dyDescent="0.3">
      <c r="A51" s="153"/>
      <c r="B51" s="405" t="s">
        <v>297</v>
      </c>
      <c r="C51" s="406"/>
      <c r="D51" s="232" t="s">
        <v>302</v>
      </c>
      <c r="E51" s="160"/>
      <c r="F51" s="160"/>
      <c r="G51" s="160"/>
      <c r="H51" s="160"/>
      <c r="I51" s="409">
        <v>50</v>
      </c>
      <c r="J51" s="410"/>
    </row>
    <row r="52" spans="1:14" ht="12" customHeight="1" x14ac:dyDescent="0.3">
      <c r="A52" s="153"/>
      <c r="B52" s="411" t="s">
        <v>9</v>
      </c>
      <c r="C52" s="412"/>
      <c r="D52" s="251" t="s">
        <v>303</v>
      </c>
      <c r="E52" s="160"/>
      <c r="F52" s="160"/>
      <c r="G52" s="160"/>
      <c r="H52" s="160"/>
      <c r="I52" s="413">
        <v>2</v>
      </c>
      <c r="J52" s="412"/>
    </row>
    <row r="53" spans="1:14" ht="12" customHeight="1" x14ac:dyDescent="0.3">
      <c r="A53" s="153"/>
      <c r="B53" s="411" t="s">
        <v>9</v>
      </c>
      <c r="C53" s="414"/>
      <c r="D53" s="232" t="s">
        <v>304</v>
      </c>
      <c r="E53" s="160"/>
      <c r="F53" s="160"/>
      <c r="G53" s="160"/>
      <c r="H53" s="160"/>
      <c r="I53" s="413">
        <v>1</v>
      </c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43B8-5A73-422A-9990-A816D66E8330}">
  <dimension ref="A1:N70"/>
  <sheetViews>
    <sheetView view="pageBreakPreview" topLeftCell="A37" zoomScale="115" zoomScaleNormal="100" zoomScaleSheetLayoutView="115" workbookViewId="0">
      <selection activeCell="M51" sqref="M51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455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3836</v>
      </c>
      <c r="I6" s="146" t="s">
        <v>86</v>
      </c>
      <c r="J6" s="201" t="s">
        <v>236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7</v>
      </c>
      <c r="C12" s="406"/>
      <c r="D12" s="252" t="s">
        <v>306</v>
      </c>
      <c r="E12" s="160"/>
      <c r="F12" s="160"/>
      <c r="G12" s="160"/>
      <c r="H12" s="160"/>
      <c r="I12" s="407">
        <v>1</v>
      </c>
      <c r="J12" s="408"/>
    </row>
    <row r="13" spans="1:14" ht="12" customHeight="1" x14ac:dyDescent="0.3">
      <c r="A13" s="153"/>
      <c r="B13" s="405"/>
      <c r="C13" s="406"/>
      <c r="D13" s="252"/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/>
      <c r="C14" s="406"/>
      <c r="D14" s="252"/>
      <c r="E14" s="160"/>
      <c r="F14" s="160"/>
      <c r="G14" s="160"/>
      <c r="H14" s="160"/>
      <c r="I14" s="409"/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455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3836</v>
      </c>
      <c r="I43" s="146" t="s">
        <v>86</v>
      </c>
      <c r="J43" s="201" t="s">
        <v>236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7</v>
      </c>
      <c r="C49" s="406"/>
      <c r="D49" s="252" t="s">
        <v>306</v>
      </c>
      <c r="E49" s="160"/>
      <c r="F49" s="160"/>
      <c r="G49" s="160"/>
      <c r="H49" s="160"/>
      <c r="I49" s="407">
        <v>1</v>
      </c>
      <c r="J49" s="408"/>
    </row>
    <row r="50" spans="1:14" ht="12" customHeight="1" x14ac:dyDescent="0.3">
      <c r="A50" s="153"/>
      <c r="B50" s="405"/>
      <c r="C50" s="406"/>
      <c r="D50" s="252"/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/>
      <c r="C51" s="406"/>
      <c r="D51" s="252"/>
      <c r="E51" s="160"/>
      <c r="F51" s="160"/>
      <c r="G51" s="160"/>
      <c r="H51" s="160"/>
      <c r="I51" s="409"/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0A3-16D7-49B0-85EF-768F5F524B09}">
  <dimension ref="A1:N70"/>
  <sheetViews>
    <sheetView view="pageBreakPreview" zoomScale="115" zoomScaleNormal="100" zoomScaleSheetLayoutView="115" workbookViewId="0">
      <selection activeCell="N11" sqref="N11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456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38628</v>
      </c>
      <c r="I6" s="146" t="s">
        <v>86</v>
      </c>
      <c r="J6" s="201">
        <v>45415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7</v>
      </c>
      <c r="C12" s="406"/>
      <c r="D12" s="252" t="s">
        <v>321</v>
      </c>
      <c r="E12" s="160"/>
      <c r="F12" s="160"/>
      <c r="G12" s="160"/>
      <c r="H12" s="160"/>
      <c r="I12" s="407">
        <v>1</v>
      </c>
      <c r="J12" s="408"/>
    </row>
    <row r="13" spans="1:14" ht="12" customHeight="1" x14ac:dyDescent="0.3">
      <c r="A13" s="153"/>
      <c r="B13" s="405"/>
      <c r="C13" s="406"/>
      <c r="D13" s="252"/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/>
      <c r="C14" s="406"/>
      <c r="D14" s="252"/>
      <c r="E14" s="160"/>
      <c r="F14" s="160"/>
      <c r="G14" s="160"/>
      <c r="H14" s="160"/>
      <c r="I14" s="409"/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456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38628</v>
      </c>
      <c r="I43" s="146" t="s">
        <v>86</v>
      </c>
      <c r="J43" s="201">
        <v>45415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7</v>
      </c>
      <c r="C49" s="406"/>
      <c r="D49" s="252" t="s">
        <v>321</v>
      </c>
      <c r="E49" s="160"/>
      <c r="F49" s="160"/>
      <c r="G49" s="160"/>
      <c r="H49" s="160"/>
      <c r="I49" s="407">
        <v>1</v>
      </c>
      <c r="J49" s="408"/>
    </row>
    <row r="50" spans="1:14" ht="12" customHeight="1" x14ac:dyDescent="0.3">
      <c r="A50" s="153"/>
      <c r="B50" s="405"/>
      <c r="C50" s="406"/>
      <c r="D50" s="252"/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/>
      <c r="C51" s="406"/>
      <c r="D51" s="252"/>
      <c r="E51" s="160"/>
      <c r="F51" s="160"/>
      <c r="G51" s="160"/>
      <c r="H51" s="160"/>
      <c r="I51" s="409"/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D690-904A-4483-AABC-4D326B12DF95}">
  <dimension ref="A1:N70"/>
  <sheetViews>
    <sheetView view="pageBreakPreview" zoomScale="115" zoomScaleNormal="100" zoomScaleSheetLayoutView="115" workbookViewId="0">
      <selection activeCell="N11" sqref="N11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456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38628</v>
      </c>
      <c r="I6" s="146" t="s">
        <v>86</v>
      </c>
      <c r="J6" s="201">
        <v>45415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7</v>
      </c>
      <c r="C12" s="406"/>
      <c r="D12" s="252" t="s">
        <v>321</v>
      </c>
      <c r="E12" s="160"/>
      <c r="F12" s="160"/>
      <c r="G12" s="160"/>
      <c r="H12" s="160"/>
      <c r="I12" s="407">
        <v>1</v>
      </c>
      <c r="J12" s="408"/>
    </row>
    <row r="13" spans="1:14" ht="12" customHeight="1" x14ac:dyDescent="0.3">
      <c r="A13" s="153"/>
      <c r="B13" s="405"/>
      <c r="C13" s="406"/>
      <c r="D13" s="252"/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/>
      <c r="C14" s="406"/>
      <c r="D14" s="252"/>
      <c r="E14" s="160"/>
      <c r="F14" s="160"/>
      <c r="G14" s="160"/>
      <c r="H14" s="160"/>
      <c r="I14" s="409"/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456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38628</v>
      </c>
      <c r="I43" s="146" t="s">
        <v>86</v>
      </c>
      <c r="J43" s="201">
        <v>45415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7</v>
      </c>
      <c r="C49" s="406"/>
      <c r="D49" s="252" t="s">
        <v>321</v>
      </c>
      <c r="E49" s="160"/>
      <c r="F49" s="160"/>
      <c r="G49" s="160"/>
      <c r="H49" s="160"/>
      <c r="I49" s="407">
        <v>1</v>
      </c>
      <c r="J49" s="408"/>
    </row>
    <row r="50" spans="1:14" ht="12" customHeight="1" x14ac:dyDescent="0.3">
      <c r="A50" s="153"/>
      <c r="B50" s="405"/>
      <c r="C50" s="406"/>
      <c r="D50" s="252"/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/>
      <c r="C51" s="406"/>
      <c r="D51" s="252"/>
      <c r="E51" s="160"/>
      <c r="F51" s="160"/>
      <c r="G51" s="160"/>
      <c r="H51" s="160"/>
      <c r="I51" s="409"/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6ED-24B3-4A35-B7A7-C8CB0C046F54}">
  <dimension ref="A1:N70"/>
  <sheetViews>
    <sheetView view="pageBreakPreview" topLeftCell="A40" zoomScale="115" zoomScaleNormal="100" zoomScaleSheetLayoutView="115" workbookViewId="0">
      <selection activeCell="N38" sqref="N38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457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 t="s">
        <v>458</v>
      </c>
      <c r="C6" s="378"/>
      <c r="D6" s="146" t="s">
        <v>86</v>
      </c>
      <c r="E6" s="197" t="s">
        <v>295</v>
      </c>
      <c r="F6" s="379" t="s">
        <v>88</v>
      </c>
      <c r="G6" s="379"/>
      <c r="H6" s="198" t="s">
        <v>459</v>
      </c>
      <c r="I6" s="146" t="s">
        <v>86</v>
      </c>
      <c r="J6" s="201" t="s">
        <v>260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9</v>
      </c>
      <c r="C12" s="415"/>
      <c r="D12" s="202" t="s">
        <v>287</v>
      </c>
      <c r="E12" s="160"/>
      <c r="F12" s="160"/>
      <c r="G12" s="160"/>
      <c r="H12" s="160"/>
      <c r="I12" s="407">
        <v>20</v>
      </c>
      <c r="J12" s="408"/>
    </row>
    <row r="13" spans="1:14" ht="12" customHeight="1" x14ac:dyDescent="0.3">
      <c r="A13" s="153"/>
      <c r="B13" s="405"/>
      <c r="C13" s="415"/>
      <c r="D13" s="254" t="s">
        <v>288</v>
      </c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/>
      <c r="C14" s="406"/>
      <c r="D14" s="252"/>
      <c r="E14" s="160"/>
      <c r="F14" s="160"/>
      <c r="G14" s="160"/>
      <c r="H14" s="160"/>
      <c r="I14" s="409"/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457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 t="s">
        <v>458</v>
      </c>
      <c r="C43" s="378"/>
      <c r="D43" s="146" t="s">
        <v>86</v>
      </c>
      <c r="E43" s="197" t="s">
        <v>295</v>
      </c>
      <c r="F43" s="379" t="s">
        <v>88</v>
      </c>
      <c r="G43" s="379"/>
      <c r="H43" s="198" t="s">
        <v>459</v>
      </c>
      <c r="I43" s="146" t="s">
        <v>86</v>
      </c>
      <c r="J43" s="201" t="s">
        <v>260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9</v>
      </c>
      <c r="C49" s="415"/>
      <c r="D49" s="202" t="s">
        <v>287</v>
      </c>
      <c r="E49" s="160"/>
      <c r="F49" s="160"/>
      <c r="G49" s="160"/>
      <c r="H49" s="160"/>
      <c r="I49" s="407">
        <v>20</v>
      </c>
      <c r="J49" s="408"/>
    </row>
    <row r="50" spans="1:14" ht="12" customHeight="1" x14ac:dyDescent="0.3">
      <c r="A50" s="153"/>
      <c r="B50" s="405"/>
      <c r="C50" s="415"/>
      <c r="D50" s="254" t="s">
        <v>288</v>
      </c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/>
      <c r="C51" s="406"/>
      <c r="D51" s="252"/>
      <c r="E51" s="160"/>
      <c r="F51" s="160"/>
      <c r="G51" s="160"/>
      <c r="H51" s="160"/>
      <c r="I51" s="409"/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D4A1-375F-44C7-84D8-9CA591302EE1}">
  <dimension ref="A1:N70"/>
  <sheetViews>
    <sheetView view="pageBreakPreview" topLeftCell="A37" zoomScale="115" zoomScaleNormal="100" zoomScaleSheetLayoutView="115" workbookViewId="0">
      <selection activeCell="O52" sqref="O52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460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>
        <v>38214</v>
      </c>
      <c r="I6" s="146" t="s">
        <v>86</v>
      </c>
      <c r="J6" s="201" t="s">
        <v>258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7</v>
      </c>
      <c r="C12" s="415"/>
      <c r="D12" s="202" t="s">
        <v>324</v>
      </c>
      <c r="E12" s="160"/>
      <c r="F12" s="160"/>
      <c r="G12" s="160"/>
      <c r="H12" s="160"/>
      <c r="I12" s="407">
        <v>1</v>
      </c>
      <c r="J12" s="408"/>
    </row>
    <row r="13" spans="1:14" ht="12" customHeight="1" x14ac:dyDescent="0.3">
      <c r="A13" s="153"/>
      <c r="B13" s="405"/>
      <c r="C13" s="415"/>
      <c r="D13" s="254"/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/>
      <c r="C14" s="406"/>
      <c r="D14" s="252"/>
      <c r="E14" s="160"/>
      <c r="F14" s="160"/>
      <c r="G14" s="160"/>
      <c r="H14" s="160"/>
      <c r="I14" s="409"/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460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>
        <v>38214</v>
      </c>
      <c r="I43" s="146" t="s">
        <v>86</v>
      </c>
      <c r="J43" s="201" t="s">
        <v>258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7</v>
      </c>
      <c r="C49" s="415"/>
      <c r="D49" s="202" t="s">
        <v>324</v>
      </c>
      <c r="E49" s="160"/>
      <c r="F49" s="160"/>
      <c r="G49" s="160"/>
      <c r="H49" s="160"/>
      <c r="I49" s="407">
        <v>1</v>
      </c>
      <c r="J49" s="408"/>
    </row>
    <row r="50" spans="1:14" ht="12" customHeight="1" x14ac:dyDescent="0.3">
      <c r="A50" s="153"/>
      <c r="B50" s="405"/>
      <c r="C50" s="415"/>
      <c r="D50" s="254"/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/>
      <c r="C51" s="406"/>
      <c r="D51" s="252"/>
      <c r="E51" s="160"/>
      <c r="F51" s="160"/>
      <c r="G51" s="160"/>
      <c r="H51" s="160"/>
      <c r="I51" s="409"/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0139-ED68-47AD-B536-EB8F731E8676}">
  <dimension ref="A1:N70"/>
  <sheetViews>
    <sheetView view="pageBreakPreview" zoomScale="115" zoomScaleNormal="100" zoomScaleSheetLayoutView="115" workbookViewId="0">
      <selection activeCell="N5" sqref="N5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461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 t="s">
        <v>62</v>
      </c>
      <c r="I6" s="146" t="s">
        <v>86</v>
      </c>
      <c r="J6" s="201">
        <v>45385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7</v>
      </c>
      <c r="C12" s="415"/>
      <c r="D12" s="202" t="s">
        <v>326</v>
      </c>
      <c r="E12" s="160"/>
      <c r="F12" s="160"/>
      <c r="G12" s="160"/>
      <c r="H12" s="160"/>
      <c r="I12" s="407">
        <v>1</v>
      </c>
      <c r="J12" s="408"/>
    </row>
    <row r="13" spans="1:14" ht="12" customHeight="1" x14ac:dyDescent="0.3">
      <c r="A13" s="153"/>
      <c r="B13" s="405"/>
      <c r="C13" s="415"/>
      <c r="D13" s="254" t="s">
        <v>327</v>
      </c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/>
      <c r="C14" s="406"/>
      <c r="D14" s="252"/>
      <c r="E14" s="160"/>
      <c r="F14" s="160"/>
      <c r="G14" s="160"/>
      <c r="H14" s="160"/>
      <c r="I14" s="409"/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461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 t="s">
        <v>62</v>
      </c>
      <c r="I43" s="146" t="s">
        <v>86</v>
      </c>
      <c r="J43" s="201">
        <v>45385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7</v>
      </c>
      <c r="C49" s="415"/>
      <c r="D49" s="202" t="s">
        <v>326</v>
      </c>
      <c r="E49" s="160"/>
      <c r="F49" s="160"/>
      <c r="G49" s="160"/>
      <c r="H49" s="160"/>
      <c r="I49" s="407">
        <v>1</v>
      </c>
      <c r="J49" s="408"/>
    </row>
    <row r="50" spans="1:14" ht="12" customHeight="1" x14ac:dyDescent="0.3">
      <c r="A50" s="153"/>
      <c r="B50" s="405"/>
      <c r="C50" s="415"/>
      <c r="D50" s="254" t="s">
        <v>327</v>
      </c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/>
      <c r="C51" s="406"/>
      <c r="D51" s="252"/>
      <c r="E51" s="160"/>
      <c r="F51" s="160"/>
      <c r="G51" s="160"/>
      <c r="H51" s="160"/>
      <c r="I51" s="409"/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9C81-946B-4120-8BBF-E142C32D65C5}">
  <dimension ref="A1:N70"/>
  <sheetViews>
    <sheetView view="pageBreakPreview" topLeftCell="A31" zoomScale="115" zoomScaleNormal="100" zoomScaleSheetLayoutView="115" workbookViewId="0">
      <selection activeCell="L40" sqref="L40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110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/>
      <c r="I6" s="146" t="s">
        <v>86</v>
      </c>
      <c r="J6" s="201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7</v>
      </c>
      <c r="C12" s="415"/>
      <c r="D12" s="254" t="s">
        <v>330</v>
      </c>
      <c r="E12" s="160"/>
      <c r="F12" s="160"/>
      <c r="G12" s="160"/>
      <c r="H12" s="160"/>
      <c r="I12" s="407">
        <v>1</v>
      </c>
      <c r="J12" s="408"/>
    </row>
    <row r="13" spans="1:14" ht="12" customHeight="1" x14ac:dyDescent="0.3">
      <c r="A13" s="153"/>
      <c r="B13" s="405"/>
      <c r="C13" s="415"/>
      <c r="D13" s="254" t="s">
        <v>331</v>
      </c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 t="s">
        <v>297</v>
      </c>
      <c r="C14" s="415"/>
      <c r="D14" s="254" t="s">
        <v>298</v>
      </c>
      <c r="E14" s="160"/>
      <c r="F14" s="160"/>
      <c r="G14" s="160"/>
      <c r="H14" s="160"/>
      <c r="I14" s="409">
        <v>8</v>
      </c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110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/>
      <c r="I43" s="146" t="s">
        <v>86</v>
      </c>
      <c r="J43" s="201"/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7</v>
      </c>
      <c r="C49" s="415"/>
      <c r="D49" s="254" t="s">
        <v>330</v>
      </c>
      <c r="E49" s="160"/>
      <c r="F49" s="160"/>
      <c r="G49" s="160"/>
      <c r="H49" s="160"/>
      <c r="I49" s="407">
        <v>1</v>
      </c>
      <c r="J49" s="408"/>
    </row>
    <row r="50" spans="1:14" ht="12" customHeight="1" x14ac:dyDescent="0.3">
      <c r="A50" s="153"/>
      <c r="B50" s="405"/>
      <c r="C50" s="415"/>
      <c r="D50" s="254" t="s">
        <v>331</v>
      </c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 t="s">
        <v>297</v>
      </c>
      <c r="C51" s="415"/>
      <c r="D51" s="254" t="s">
        <v>298</v>
      </c>
      <c r="E51" s="160"/>
      <c r="F51" s="160"/>
      <c r="G51" s="160"/>
      <c r="H51" s="160"/>
      <c r="I51" s="409">
        <v>8</v>
      </c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86BF-01B2-4379-B1CD-EED8E59A9649}">
  <dimension ref="A1:N72"/>
  <sheetViews>
    <sheetView view="pageBreakPreview" topLeftCell="A46" zoomScale="115" zoomScaleNormal="100" zoomScaleSheetLayoutView="115" workbookViewId="0">
      <selection activeCell="O72" sqref="O72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462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 t="s">
        <v>463</v>
      </c>
      <c r="I6" s="146" t="s">
        <v>86</v>
      </c>
      <c r="J6" s="201">
        <v>45385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333</v>
      </c>
      <c r="C12" s="381"/>
      <c r="D12" s="173" t="s">
        <v>464</v>
      </c>
      <c r="E12" s="160"/>
      <c r="F12" s="160"/>
      <c r="G12" s="160"/>
      <c r="H12" s="160"/>
      <c r="I12" s="352">
        <v>10</v>
      </c>
      <c r="J12" s="353"/>
    </row>
    <row r="13" spans="1:14" ht="12" customHeight="1" x14ac:dyDescent="0.3">
      <c r="A13" s="153"/>
      <c r="B13" s="352"/>
      <c r="C13" s="381"/>
      <c r="D13" s="173" t="s">
        <v>465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81"/>
      <c r="D14" s="200" t="s">
        <v>466</v>
      </c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/>
      <c r="C15" s="381"/>
      <c r="D15" s="200" t="s">
        <v>467</v>
      </c>
      <c r="E15" s="160"/>
      <c r="F15" s="160"/>
      <c r="G15" s="160"/>
      <c r="H15" s="160"/>
      <c r="I15" s="352"/>
      <c r="J15" s="353"/>
    </row>
    <row r="16" spans="1:14" ht="12" customHeight="1" x14ac:dyDescent="0.3">
      <c r="A16" s="153"/>
      <c r="B16" s="352"/>
      <c r="C16" s="381"/>
      <c r="D16" s="202" t="s">
        <v>468</v>
      </c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91"/>
      <c r="D17" s="248" t="s">
        <v>469</v>
      </c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92"/>
      <c r="D18" s="248" t="s">
        <v>470</v>
      </c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224"/>
      <c r="C19" s="229"/>
      <c r="D19" s="228"/>
      <c r="E19" s="164"/>
      <c r="F19" s="164"/>
      <c r="G19" s="164"/>
      <c r="H19" s="165"/>
      <c r="I19" s="225"/>
      <c r="J19" s="226"/>
      <c r="K19" s="166"/>
      <c r="L19" s="164"/>
      <c r="M19" s="8"/>
      <c r="N19" s="8"/>
    </row>
    <row r="20" spans="1:14" s="167" customFormat="1" ht="12" customHeight="1" x14ac:dyDescent="0.3">
      <c r="A20" s="163"/>
      <c r="B20" s="163"/>
      <c r="C20" s="168"/>
      <c r="D20" s="169"/>
      <c r="E20" s="7"/>
      <c r="F20" s="7"/>
      <c r="G20" s="7"/>
      <c r="H20" s="170"/>
      <c r="I20" s="171"/>
      <c r="J20" s="172"/>
      <c r="L20" s="8"/>
      <c r="M20" s="8"/>
      <c r="N20" s="56"/>
    </row>
    <row r="21" spans="1:14" s="167" customFormat="1" ht="12" customHeight="1" x14ac:dyDescent="0.3">
      <c r="A21" s="163"/>
      <c r="B21" s="163"/>
      <c r="C21" s="168"/>
      <c r="D21" s="173"/>
      <c r="E21" s="159" t="s">
        <v>94</v>
      </c>
      <c r="F21" s="339" t="s">
        <v>12</v>
      </c>
      <c r="G21" s="339"/>
      <c r="H21" s="340"/>
      <c r="I21" s="171"/>
      <c r="J21" s="172"/>
      <c r="M21" s="56"/>
      <c r="N21" s="56"/>
    </row>
    <row r="22" spans="1:14" s="167" customFormat="1" ht="12" customHeight="1" x14ac:dyDescent="0.3">
      <c r="A22" s="163"/>
      <c r="B22" s="163"/>
      <c r="C22" s="168"/>
      <c r="D22" s="174"/>
      <c r="E22" s="159"/>
      <c r="F22" s="339" t="s">
        <v>96</v>
      </c>
      <c r="G22" s="339"/>
      <c r="H22" s="340"/>
      <c r="I22" s="341"/>
      <c r="J22" s="340"/>
    </row>
    <row r="23" spans="1:14" s="167" customFormat="1" ht="12" customHeight="1" x14ac:dyDescent="0.3">
      <c r="A23" s="163"/>
      <c r="B23" s="342"/>
      <c r="C23" s="343"/>
      <c r="D23" s="174"/>
      <c r="E23" s="159"/>
      <c r="F23" s="175"/>
      <c r="G23" s="175"/>
      <c r="H23" s="176"/>
      <c r="I23" s="341"/>
      <c r="J23" s="340"/>
    </row>
    <row r="24" spans="1:14" ht="6" customHeight="1" x14ac:dyDescent="0.25">
      <c r="A24" s="148"/>
      <c r="B24" s="148"/>
      <c r="C24" s="149"/>
      <c r="D24" s="144"/>
      <c r="E24" s="144"/>
      <c r="F24" s="177"/>
      <c r="G24" s="144"/>
      <c r="H24" s="149"/>
      <c r="I24" s="148"/>
      <c r="J24" s="149"/>
    </row>
    <row r="25" spans="1:14" ht="6" customHeight="1" x14ac:dyDescent="0.25">
      <c r="A25" s="148"/>
      <c r="B25" s="148"/>
      <c r="C25" s="149"/>
      <c r="D25" s="148"/>
      <c r="E25" s="144"/>
      <c r="F25" s="177"/>
      <c r="G25" s="144"/>
      <c r="H25" s="149"/>
      <c r="I25" s="148"/>
      <c r="J25" s="149"/>
    </row>
    <row r="26" spans="1:14" ht="15.75" customHeight="1" x14ac:dyDescent="0.25">
      <c r="A26" s="178" t="s">
        <v>97</v>
      </c>
      <c r="B26" s="179"/>
      <c r="C26" s="179"/>
      <c r="D26" s="180"/>
      <c r="E26" s="181"/>
      <c r="F26" s="344" t="s">
        <v>98</v>
      </c>
      <c r="G26" s="344"/>
      <c r="H26" s="344"/>
      <c r="I26" s="344"/>
      <c r="J26" s="345"/>
    </row>
    <row r="27" spans="1:14" ht="17.25" customHeight="1" x14ac:dyDescent="0.25">
      <c r="A27" s="21" t="s">
        <v>99</v>
      </c>
      <c r="B27" s="182"/>
      <c r="C27" s="182"/>
      <c r="D27" s="182"/>
      <c r="E27" s="183"/>
      <c r="F27" s="182" t="s">
        <v>100</v>
      </c>
      <c r="G27" s="182"/>
      <c r="H27" s="182"/>
      <c r="I27" s="182"/>
      <c r="J27" s="183"/>
    </row>
    <row r="28" spans="1:14" ht="7.5" customHeight="1" x14ac:dyDescent="0.25">
      <c r="A28" s="21"/>
      <c r="B28" s="182"/>
      <c r="C28" s="182"/>
      <c r="D28" s="182"/>
      <c r="E28" s="183"/>
      <c r="F28" s="182"/>
      <c r="G28" s="182"/>
      <c r="H28" s="182"/>
      <c r="I28" s="182"/>
      <c r="J28" s="183"/>
    </row>
    <row r="29" spans="1:14" x14ac:dyDescent="0.25">
      <c r="A29" s="184" t="s">
        <v>101</v>
      </c>
      <c r="D29" s="182"/>
      <c r="E29" s="182"/>
      <c r="F29" s="21"/>
      <c r="G29" s="346" t="s">
        <v>102</v>
      </c>
      <c r="H29" s="346"/>
      <c r="I29" s="182"/>
      <c r="J29" s="183"/>
    </row>
    <row r="30" spans="1:14" x14ac:dyDescent="0.25">
      <c r="A30" s="184" t="s">
        <v>103</v>
      </c>
      <c r="D30" s="182"/>
      <c r="E30" s="182"/>
      <c r="F30" s="21"/>
      <c r="G30" s="182"/>
      <c r="H30" s="182" t="s">
        <v>90</v>
      </c>
      <c r="I30" s="182"/>
      <c r="J30" s="183"/>
    </row>
    <row r="31" spans="1:14" x14ac:dyDescent="0.25">
      <c r="A31" s="21"/>
      <c r="B31" s="182"/>
      <c r="C31" s="182"/>
      <c r="D31" s="182"/>
      <c r="E31" s="182"/>
      <c r="F31" s="21"/>
      <c r="G31" s="347" t="s">
        <v>104</v>
      </c>
      <c r="H31" s="347"/>
      <c r="I31" s="182"/>
      <c r="J31" s="183"/>
    </row>
    <row r="32" spans="1:14" ht="18" customHeight="1" x14ac:dyDescent="0.25">
      <c r="A32" s="348" t="s">
        <v>105</v>
      </c>
      <c r="B32" s="349"/>
      <c r="C32" s="350" t="s">
        <v>95</v>
      </c>
      <c r="D32" s="350"/>
      <c r="E32" s="351"/>
      <c r="F32" s="182"/>
      <c r="G32" s="350" t="s">
        <v>12</v>
      </c>
      <c r="H32" s="350"/>
      <c r="I32" s="350"/>
      <c r="J32" s="351"/>
    </row>
    <row r="33" spans="1:14" x14ac:dyDescent="0.25">
      <c r="A33" s="332" t="s">
        <v>106</v>
      </c>
      <c r="B33" s="333"/>
      <c r="C33" s="334" t="s">
        <v>107</v>
      </c>
      <c r="D33" s="334"/>
      <c r="E33" s="335"/>
      <c r="F33" s="182"/>
      <c r="G33" s="333" t="s">
        <v>108</v>
      </c>
      <c r="H33" s="333"/>
      <c r="I33" s="333"/>
      <c r="J33" s="336"/>
    </row>
    <row r="34" spans="1:14" ht="9.75" customHeight="1" x14ac:dyDescent="0.25">
      <c r="A34" s="185"/>
      <c r="B34" s="186"/>
      <c r="C34" s="186"/>
      <c r="D34" s="186"/>
      <c r="E34" s="187"/>
      <c r="F34" s="186"/>
      <c r="G34" s="186"/>
      <c r="H34" s="186"/>
      <c r="I34" s="186"/>
      <c r="J34" s="187"/>
    </row>
    <row r="39" spans="1:14" x14ac:dyDescent="0.25">
      <c r="H39" s="369" t="s">
        <v>81</v>
      </c>
      <c r="I39" s="369"/>
      <c r="J39" s="369"/>
    </row>
    <row r="40" spans="1:14" x14ac:dyDescent="0.25">
      <c r="H40" s="370" t="s">
        <v>82</v>
      </c>
      <c r="I40" s="370"/>
      <c r="J40" s="370"/>
    </row>
    <row r="41" spans="1:14" ht="20.25" customHeight="1" x14ac:dyDescent="0.25">
      <c r="A41" s="371" t="s">
        <v>39</v>
      </c>
      <c r="B41" s="372"/>
      <c r="C41" s="372"/>
      <c r="D41" s="372"/>
      <c r="E41" s="372"/>
      <c r="F41" s="372"/>
      <c r="G41" s="372"/>
      <c r="H41" s="372"/>
      <c r="I41" s="372"/>
      <c r="J41" s="373"/>
    </row>
    <row r="42" spans="1:14" ht="15.75" customHeight="1" thickBot="1" x14ac:dyDescent="0.3">
      <c r="A42" s="374" t="s">
        <v>83</v>
      </c>
      <c r="B42" s="375"/>
      <c r="C42" s="375"/>
      <c r="D42" s="375"/>
      <c r="E42" s="375"/>
      <c r="F42" s="375"/>
      <c r="G42" s="375"/>
      <c r="H42" s="375"/>
      <c r="I42" s="375"/>
      <c r="J42" s="376"/>
    </row>
    <row r="43" spans="1:14" ht="18" customHeight="1" thickTop="1" x14ac:dyDescent="0.25">
      <c r="A43" s="21" t="s">
        <v>84</v>
      </c>
      <c r="B43" s="186" t="s">
        <v>462</v>
      </c>
      <c r="C43" s="144"/>
      <c r="D43" s="144"/>
      <c r="E43" s="144"/>
      <c r="F43" s="144"/>
      <c r="G43" s="182" t="s">
        <v>85</v>
      </c>
      <c r="H43" s="145"/>
      <c r="I43" s="146" t="s">
        <v>86</v>
      </c>
      <c r="J43" s="147"/>
    </row>
    <row r="44" spans="1:14" ht="17.25" customHeight="1" x14ac:dyDescent="0.25">
      <c r="A44" s="21" t="s">
        <v>87</v>
      </c>
      <c r="B44" s="380"/>
      <c r="C44" s="378"/>
      <c r="D44" s="146" t="s">
        <v>86</v>
      </c>
      <c r="E44" s="197"/>
      <c r="F44" s="379" t="s">
        <v>88</v>
      </c>
      <c r="G44" s="379"/>
      <c r="H44" s="198" t="s">
        <v>463</v>
      </c>
      <c r="I44" s="146" t="s">
        <v>86</v>
      </c>
      <c r="J44" s="201">
        <v>45385</v>
      </c>
    </row>
    <row r="45" spans="1:14" ht="17.25" customHeight="1" x14ac:dyDescent="0.25">
      <c r="A45" s="362" t="s">
        <v>89</v>
      </c>
      <c r="B45" s="346"/>
      <c r="C45" s="346"/>
      <c r="D45" s="346"/>
      <c r="E45" s="346"/>
      <c r="F45" s="346"/>
      <c r="G45" s="346"/>
      <c r="H45" s="346"/>
      <c r="I45" s="144"/>
      <c r="J45" s="147" t="s">
        <v>90</v>
      </c>
    </row>
    <row r="46" spans="1:14" ht="5.25" customHeight="1" x14ac:dyDescent="0.25">
      <c r="A46" s="148"/>
      <c r="B46" s="144"/>
      <c r="C46" s="144"/>
      <c r="D46" s="144"/>
      <c r="E46" s="144"/>
      <c r="F46" s="144"/>
      <c r="G46" s="144"/>
      <c r="H46" s="144"/>
      <c r="I46" s="144"/>
      <c r="J46" s="149"/>
    </row>
    <row r="47" spans="1:14" x14ac:dyDescent="0.25">
      <c r="A47" s="150" t="s">
        <v>91</v>
      </c>
      <c r="B47" s="363" t="s">
        <v>4</v>
      </c>
      <c r="C47" s="364"/>
      <c r="D47" s="363" t="s">
        <v>92</v>
      </c>
      <c r="E47" s="367"/>
      <c r="F47" s="367"/>
      <c r="G47" s="367"/>
      <c r="H47" s="364"/>
      <c r="I47" s="363" t="s">
        <v>93</v>
      </c>
      <c r="J47" s="364"/>
    </row>
    <row r="48" spans="1:14" ht="12" customHeight="1" x14ac:dyDescent="0.25">
      <c r="A48" s="151" t="s">
        <v>42</v>
      </c>
      <c r="B48" s="365"/>
      <c r="C48" s="366"/>
      <c r="D48" s="365"/>
      <c r="E48" s="368"/>
      <c r="F48" s="368"/>
      <c r="G48" s="368"/>
      <c r="H48" s="366"/>
      <c r="I48" s="365"/>
      <c r="J48" s="366"/>
      <c r="N48" s="152"/>
    </row>
    <row r="49" spans="1:14" ht="12" customHeight="1" x14ac:dyDescent="0.25">
      <c r="A49" s="153"/>
      <c r="B49" s="154"/>
      <c r="C49" s="155"/>
      <c r="D49" s="156"/>
      <c r="E49" s="156"/>
      <c r="F49" s="156"/>
      <c r="G49" s="156"/>
      <c r="H49" s="157"/>
      <c r="I49" s="154"/>
      <c r="J49" s="158"/>
    </row>
    <row r="50" spans="1:14" ht="12" customHeight="1" x14ac:dyDescent="0.3">
      <c r="A50" s="153"/>
      <c r="B50" s="352" t="s">
        <v>333</v>
      </c>
      <c r="C50" s="381"/>
      <c r="D50" s="173" t="s">
        <v>464</v>
      </c>
      <c r="E50" s="160"/>
      <c r="F50" s="160"/>
      <c r="G50" s="160"/>
      <c r="H50" s="160"/>
      <c r="I50" s="352">
        <v>10</v>
      </c>
      <c r="J50" s="353"/>
    </row>
    <row r="51" spans="1:14" ht="12" customHeight="1" x14ac:dyDescent="0.3">
      <c r="A51" s="153"/>
      <c r="B51" s="352"/>
      <c r="C51" s="381"/>
      <c r="D51" s="173" t="s">
        <v>465</v>
      </c>
      <c r="E51" s="160"/>
      <c r="F51" s="160"/>
      <c r="G51" s="160"/>
      <c r="H51" s="160"/>
      <c r="I51" s="352"/>
      <c r="J51" s="353"/>
    </row>
    <row r="52" spans="1:14" ht="12" customHeight="1" x14ac:dyDescent="0.3">
      <c r="A52" s="153"/>
      <c r="B52" s="352"/>
      <c r="C52" s="381"/>
      <c r="D52" s="200" t="s">
        <v>466</v>
      </c>
      <c r="E52" s="160"/>
      <c r="F52" s="160"/>
      <c r="G52" s="160"/>
      <c r="H52" s="160"/>
      <c r="I52" s="360"/>
      <c r="J52" s="361"/>
    </row>
    <row r="53" spans="1:14" ht="12" customHeight="1" x14ac:dyDescent="0.3">
      <c r="A53" s="153"/>
      <c r="B53" s="352"/>
      <c r="C53" s="381"/>
      <c r="D53" s="200" t="s">
        <v>467</v>
      </c>
      <c r="E53" s="160"/>
      <c r="F53" s="160"/>
      <c r="G53" s="160"/>
      <c r="H53" s="160"/>
      <c r="I53" s="352"/>
      <c r="J53" s="353"/>
    </row>
    <row r="54" spans="1:14" ht="12" customHeight="1" x14ac:dyDescent="0.3">
      <c r="A54" s="153"/>
      <c r="B54" s="352"/>
      <c r="C54" s="381"/>
      <c r="D54" s="202" t="s">
        <v>468</v>
      </c>
      <c r="E54" s="160"/>
      <c r="F54" s="160"/>
      <c r="G54" s="160"/>
      <c r="H54" s="160"/>
      <c r="I54" s="352"/>
      <c r="J54" s="353"/>
    </row>
    <row r="55" spans="1:14" ht="12" customHeight="1" x14ac:dyDescent="0.3">
      <c r="A55" s="153"/>
      <c r="B55" s="354"/>
      <c r="C55" s="391"/>
      <c r="D55" s="248" t="s">
        <v>469</v>
      </c>
      <c r="E55" s="160"/>
      <c r="F55" s="160"/>
      <c r="G55" s="160"/>
      <c r="H55" s="160"/>
      <c r="I55" s="352"/>
      <c r="J55" s="353"/>
    </row>
    <row r="56" spans="1:14" s="167" customFormat="1" ht="12" customHeight="1" x14ac:dyDescent="0.3">
      <c r="A56" s="163"/>
      <c r="B56" s="356"/>
      <c r="C56" s="392"/>
      <c r="D56" s="248" t="s">
        <v>470</v>
      </c>
      <c r="E56" s="164"/>
      <c r="F56" s="164"/>
      <c r="G56" s="164"/>
      <c r="H56" s="165"/>
      <c r="I56" s="358"/>
      <c r="J56" s="359"/>
      <c r="K56" s="166"/>
      <c r="L56" s="164"/>
      <c r="M56" s="8"/>
      <c r="N56" s="8"/>
    </row>
    <row r="57" spans="1:14" s="167" customFormat="1" ht="12" customHeight="1" x14ac:dyDescent="0.3">
      <c r="A57" s="163"/>
      <c r="B57" s="224"/>
      <c r="C57" s="229"/>
      <c r="D57" s="228"/>
      <c r="E57" s="164"/>
      <c r="F57" s="164"/>
      <c r="G57" s="164"/>
      <c r="H57" s="165"/>
      <c r="I57" s="225"/>
      <c r="J57" s="226"/>
      <c r="K57" s="166"/>
      <c r="L57" s="164"/>
      <c r="M57" s="8"/>
      <c r="N57" s="8"/>
    </row>
    <row r="58" spans="1:14" s="167" customFormat="1" ht="12" customHeight="1" x14ac:dyDescent="0.3">
      <c r="A58" s="163"/>
      <c r="B58" s="163"/>
      <c r="C58" s="168"/>
      <c r="D58" s="169"/>
      <c r="E58" s="7"/>
      <c r="F58" s="7"/>
      <c r="G58" s="7"/>
      <c r="H58" s="170"/>
      <c r="I58" s="171"/>
      <c r="J58" s="172"/>
      <c r="L58" s="8"/>
      <c r="M58" s="8"/>
      <c r="N58" s="56"/>
    </row>
    <row r="59" spans="1:14" s="167" customFormat="1" ht="12" customHeight="1" x14ac:dyDescent="0.3">
      <c r="A59" s="163"/>
      <c r="B59" s="163"/>
      <c r="C59" s="168"/>
      <c r="D59" s="173"/>
      <c r="E59" s="159" t="s">
        <v>94</v>
      </c>
      <c r="F59" s="339" t="s">
        <v>12</v>
      </c>
      <c r="G59" s="339"/>
      <c r="H59" s="340"/>
      <c r="I59" s="171"/>
      <c r="J59" s="172"/>
      <c r="M59" s="56"/>
      <c r="N59" s="56"/>
    </row>
    <row r="60" spans="1:14" s="167" customFormat="1" ht="12" customHeight="1" x14ac:dyDescent="0.3">
      <c r="A60" s="163"/>
      <c r="B60" s="163"/>
      <c r="C60" s="168"/>
      <c r="D60" s="174"/>
      <c r="E60" s="159"/>
      <c r="F60" s="339" t="s">
        <v>96</v>
      </c>
      <c r="G60" s="339"/>
      <c r="H60" s="340"/>
      <c r="I60" s="341"/>
      <c r="J60" s="340"/>
    </row>
    <row r="61" spans="1:14" s="167" customFormat="1" ht="12" customHeight="1" x14ac:dyDescent="0.3">
      <c r="A61" s="163"/>
      <c r="B61" s="342"/>
      <c r="C61" s="343"/>
      <c r="D61" s="174"/>
      <c r="E61" s="159"/>
      <c r="F61" s="175"/>
      <c r="G61" s="175"/>
      <c r="H61" s="176"/>
      <c r="I61" s="341"/>
      <c r="J61" s="340"/>
    </row>
    <row r="62" spans="1:14" ht="6" customHeight="1" x14ac:dyDescent="0.25">
      <c r="A62" s="148"/>
      <c r="B62" s="148"/>
      <c r="C62" s="149"/>
      <c r="D62" s="144"/>
      <c r="E62" s="144"/>
      <c r="F62" s="177"/>
      <c r="G62" s="144"/>
      <c r="H62" s="149"/>
      <c r="I62" s="148"/>
      <c r="J62" s="149"/>
    </row>
    <row r="63" spans="1:14" ht="6" customHeight="1" x14ac:dyDescent="0.25">
      <c r="A63" s="148"/>
      <c r="B63" s="148"/>
      <c r="C63" s="149"/>
      <c r="D63" s="148"/>
      <c r="E63" s="144"/>
      <c r="F63" s="177"/>
      <c r="G63" s="144"/>
      <c r="H63" s="149"/>
      <c r="I63" s="148"/>
      <c r="J63" s="149"/>
    </row>
    <row r="64" spans="1:14" ht="15.75" customHeight="1" x14ac:dyDescent="0.25">
      <c r="A64" s="178" t="s">
        <v>97</v>
      </c>
      <c r="B64" s="179"/>
      <c r="C64" s="179"/>
      <c r="D64" s="180"/>
      <c r="E64" s="181"/>
      <c r="F64" s="344" t="s">
        <v>98</v>
      </c>
      <c r="G64" s="344"/>
      <c r="H64" s="344"/>
      <c r="I64" s="344"/>
      <c r="J64" s="345"/>
    </row>
    <row r="65" spans="1:10" ht="17.25" customHeight="1" x14ac:dyDescent="0.25">
      <c r="A65" s="21" t="s">
        <v>99</v>
      </c>
      <c r="B65" s="182"/>
      <c r="C65" s="182"/>
      <c r="D65" s="182"/>
      <c r="E65" s="183"/>
      <c r="F65" s="182" t="s">
        <v>100</v>
      </c>
      <c r="G65" s="182"/>
      <c r="H65" s="182"/>
      <c r="I65" s="182"/>
      <c r="J65" s="183"/>
    </row>
    <row r="66" spans="1:10" ht="7.5" customHeight="1" x14ac:dyDescent="0.25">
      <c r="A66" s="21"/>
      <c r="B66" s="182"/>
      <c r="C66" s="182"/>
      <c r="D66" s="182"/>
      <c r="E66" s="183"/>
      <c r="F66" s="182"/>
      <c r="G66" s="182"/>
      <c r="H66" s="182"/>
      <c r="I66" s="182"/>
      <c r="J66" s="183"/>
    </row>
    <row r="67" spans="1:10" x14ac:dyDescent="0.25">
      <c r="A67" s="184" t="s">
        <v>101</v>
      </c>
      <c r="D67" s="182"/>
      <c r="E67" s="182"/>
      <c r="F67" s="21"/>
      <c r="G67" s="346" t="s">
        <v>102</v>
      </c>
      <c r="H67" s="346"/>
      <c r="I67" s="182"/>
      <c r="J67" s="183"/>
    </row>
    <row r="68" spans="1:10" x14ac:dyDescent="0.25">
      <c r="A68" s="184" t="s">
        <v>103</v>
      </c>
      <c r="D68" s="182"/>
      <c r="E68" s="182"/>
      <c r="F68" s="21"/>
      <c r="G68" s="182"/>
      <c r="H68" s="182" t="s">
        <v>90</v>
      </c>
      <c r="I68" s="182"/>
      <c r="J68" s="183"/>
    </row>
    <row r="69" spans="1:10" x14ac:dyDescent="0.25">
      <c r="A69" s="21"/>
      <c r="B69" s="182"/>
      <c r="C69" s="182"/>
      <c r="D69" s="182"/>
      <c r="E69" s="182"/>
      <c r="F69" s="21"/>
      <c r="G69" s="347" t="s">
        <v>104</v>
      </c>
      <c r="H69" s="347"/>
      <c r="I69" s="182"/>
      <c r="J69" s="183"/>
    </row>
    <row r="70" spans="1:10" ht="18" customHeight="1" x14ac:dyDescent="0.25">
      <c r="A70" s="348" t="s">
        <v>105</v>
      </c>
      <c r="B70" s="349"/>
      <c r="C70" s="350" t="s">
        <v>95</v>
      </c>
      <c r="D70" s="350"/>
      <c r="E70" s="351"/>
      <c r="F70" s="182"/>
      <c r="G70" s="350" t="s">
        <v>12</v>
      </c>
      <c r="H70" s="350"/>
      <c r="I70" s="350"/>
      <c r="J70" s="351"/>
    </row>
    <row r="71" spans="1:10" x14ac:dyDescent="0.25">
      <c r="A71" s="332" t="s">
        <v>106</v>
      </c>
      <c r="B71" s="333"/>
      <c r="C71" s="334" t="s">
        <v>107</v>
      </c>
      <c r="D71" s="334"/>
      <c r="E71" s="335"/>
      <c r="F71" s="182"/>
      <c r="G71" s="333" t="s">
        <v>108</v>
      </c>
      <c r="H71" s="333"/>
      <c r="I71" s="333"/>
      <c r="J71" s="336"/>
    </row>
    <row r="72" spans="1:10" ht="9.75" customHeight="1" x14ac:dyDescent="0.25">
      <c r="A72" s="185"/>
      <c r="B72" s="186"/>
      <c r="C72" s="186"/>
      <c r="D72" s="186"/>
      <c r="E72" s="187"/>
      <c r="F72" s="186"/>
      <c r="G72" s="186"/>
      <c r="H72" s="186"/>
      <c r="I72" s="186"/>
      <c r="J72" s="187"/>
    </row>
  </sheetData>
  <mergeCells count="76">
    <mergeCell ref="A71:B71"/>
    <mergeCell ref="C71:E71"/>
    <mergeCell ref="G71:J71"/>
    <mergeCell ref="F59:H59"/>
    <mergeCell ref="F60:H60"/>
    <mergeCell ref="I60:J60"/>
    <mergeCell ref="B61:C61"/>
    <mergeCell ref="I61:J61"/>
    <mergeCell ref="F64:J64"/>
    <mergeCell ref="G67:H67"/>
    <mergeCell ref="G69:H69"/>
    <mergeCell ref="A70:B70"/>
    <mergeCell ref="C70:E70"/>
    <mergeCell ref="G70:J70"/>
    <mergeCell ref="B54:C54"/>
    <mergeCell ref="I54:J54"/>
    <mergeCell ref="B55:C55"/>
    <mergeCell ref="I55:J55"/>
    <mergeCell ref="B56:C56"/>
    <mergeCell ref="I56:J56"/>
    <mergeCell ref="B51:C51"/>
    <mergeCell ref="I51:J51"/>
    <mergeCell ref="B52:C52"/>
    <mergeCell ref="I52:J52"/>
    <mergeCell ref="B53:C53"/>
    <mergeCell ref="I53:J53"/>
    <mergeCell ref="A45:H45"/>
    <mergeCell ref="B47:C48"/>
    <mergeCell ref="D47:H48"/>
    <mergeCell ref="I47:J48"/>
    <mergeCell ref="B50:C50"/>
    <mergeCell ref="I50:J50"/>
    <mergeCell ref="H39:J39"/>
    <mergeCell ref="H40:J40"/>
    <mergeCell ref="A41:J41"/>
    <mergeCell ref="A42:J42"/>
    <mergeCell ref="B44:C44"/>
    <mergeCell ref="F44:G44"/>
    <mergeCell ref="A33:B33"/>
    <mergeCell ref="C33:E33"/>
    <mergeCell ref="G33:J33"/>
    <mergeCell ref="F21:H21"/>
    <mergeCell ref="F22:H22"/>
    <mergeCell ref="I22:J22"/>
    <mergeCell ref="B23:C23"/>
    <mergeCell ref="I23:J23"/>
    <mergeCell ref="F26:J26"/>
    <mergeCell ref="G29:H29"/>
    <mergeCell ref="G31:H31"/>
    <mergeCell ref="A32:B32"/>
    <mergeCell ref="C32:E32"/>
    <mergeCell ref="G32:J32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scale="98"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7136-DDEB-4E94-89B6-170B5CFB7308}">
  <dimension ref="A1:N70"/>
  <sheetViews>
    <sheetView view="pageBreakPreview" topLeftCell="A52" zoomScale="115" zoomScaleNormal="100" zoomScaleSheetLayoutView="115" workbookViewId="0">
      <selection activeCell="L62" sqref="L62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471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 t="s">
        <v>335</v>
      </c>
      <c r="I6" s="146" t="s">
        <v>86</v>
      </c>
      <c r="J6" s="201" t="s">
        <v>295</v>
      </c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156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405" t="s">
        <v>7</v>
      </c>
      <c r="C12" s="415"/>
      <c r="D12" s="254" t="s">
        <v>336</v>
      </c>
      <c r="E12" s="160"/>
      <c r="F12" s="160"/>
      <c r="G12" s="160"/>
      <c r="H12" s="160"/>
      <c r="I12" s="407">
        <v>1</v>
      </c>
      <c r="J12" s="408"/>
    </row>
    <row r="13" spans="1:14" ht="12" customHeight="1" x14ac:dyDescent="0.3">
      <c r="A13" s="153"/>
      <c r="B13" s="405"/>
      <c r="C13" s="415"/>
      <c r="D13" s="254"/>
      <c r="E13" s="160"/>
      <c r="F13" s="160"/>
      <c r="G13" s="160"/>
      <c r="H13" s="160"/>
      <c r="I13" s="407"/>
      <c r="J13" s="408"/>
    </row>
    <row r="14" spans="1:14" ht="12" customHeight="1" x14ac:dyDescent="0.3">
      <c r="A14" s="153"/>
      <c r="B14" s="405"/>
      <c r="C14" s="415"/>
      <c r="D14" s="254"/>
      <c r="E14" s="160"/>
      <c r="F14" s="160"/>
      <c r="G14" s="160"/>
      <c r="H14" s="160"/>
      <c r="I14" s="409"/>
      <c r="J14" s="410"/>
    </row>
    <row r="15" spans="1:14" ht="12" customHeight="1" x14ac:dyDescent="0.3">
      <c r="A15" s="153"/>
      <c r="B15" s="411"/>
      <c r="C15" s="412"/>
      <c r="D15" s="253"/>
      <c r="E15" s="160"/>
      <c r="F15" s="160"/>
      <c r="G15" s="160"/>
      <c r="H15" s="160"/>
      <c r="I15" s="413"/>
      <c r="J15" s="412"/>
    </row>
    <row r="16" spans="1:14" ht="12" customHeight="1" x14ac:dyDescent="0.3">
      <c r="A16" s="153"/>
      <c r="B16" s="411"/>
      <c r="C16" s="414"/>
      <c r="D16" s="252"/>
      <c r="E16" s="160"/>
      <c r="F16" s="160"/>
      <c r="G16" s="160"/>
      <c r="H16" s="160"/>
      <c r="I16" s="413"/>
      <c r="J16" s="412"/>
    </row>
    <row r="17" spans="1:14" ht="12" customHeight="1" x14ac:dyDescent="0.3">
      <c r="A17" s="153"/>
      <c r="B17" s="354"/>
      <c r="C17" s="391"/>
      <c r="D17" s="228"/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57"/>
      <c r="D18" s="161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163"/>
      <c r="C19" s="168"/>
      <c r="D19" s="169"/>
      <c r="E19" s="7"/>
      <c r="F19" s="7"/>
      <c r="G19" s="7"/>
      <c r="H19" s="170"/>
      <c r="I19" s="171"/>
      <c r="J19" s="172"/>
      <c r="L19" s="8"/>
      <c r="M19" s="8"/>
      <c r="N19" s="56"/>
    </row>
    <row r="20" spans="1:14" s="167" customFormat="1" ht="12" customHeight="1" x14ac:dyDescent="0.3">
      <c r="A20" s="163"/>
      <c r="B20" s="163"/>
      <c r="C20" s="168"/>
      <c r="D20" s="173"/>
      <c r="E20" s="159" t="s">
        <v>94</v>
      </c>
      <c r="F20" s="339" t="s">
        <v>12</v>
      </c>
      <c r="G20" s="339"/>
      <c r="H20" s="340"/>
      <c r="I20" s="171"/>
      <c r="J20" s="172"/>
      <c r="M20" s="56"/>
      <c r="N20" s="56"/>
    </row>
    <row r="21" spans="1:14" s="167" customFormat="1" ht="12" customHeight="1" x14ac:dyDescent="0.3">
      <c r="A21" s="163"/>
      <c r="B21" s="163"/>
      <c r="C21" s="168"/>
      <c r="D21" s="174"/>
      <c r="E21" s="159"/>
      <c r="F21" s="339" t="s">
        <v>96</v>
      </c>
      <c r="G21" s="339"/>
      <c r="H21" s="340"/>
      <c r="I21" s="341"/>
      <c r="J21" s="340"/>
    </row>
    <row r="22" spans="1:14" s="167" customFormat="1" ht="12" customHeight="1" x14ac:dyDescent="0.3">
      <c r="A22" s="163"/>
      <c r="B22" s="342"/>
      <c r="C22" s="343"/>
      <c r="D22" s="174"/>
      <c r="E22" s="159"/>
      <c r="F22" s="175"/>
      <c r="G22" s="175"/>
      <c r="H22" s="176"/>
      <c r="I22" s="341"/>
      <c r="J22" s="340"/>
    </row>
    <row r="23" spans="1:14" ht="6" customHeight="1" x14ac:dyDescent="0.25">
      <c r="A23" s="148"/>
      <c r="B23" s="148"/>
      <c r="C23" s="149"/>
      <c r="D23" s="144"/>
      <c r="E23" s="144"/>
      <c r="F23" s="177"/>
      <c r="G23" s="144"/>
      <c r="H23" s="149"/>
      <c r="I23" s="148"/>
      <c r="J23" s="149"/>
    </row>
    <row r="24" spans="1:14" ht="6" customHeight="1" x14ac:dyDescent="0.25">
      <c r="A24" s="148"/>
      <c r="B24" s="148"/>
      <c r="C24" s="149"/>
      <c r="D24" s="148"/>
      <c r="E24" s="144"/>
      <c r="F24" s="177"/>
      <c r="G24" s="144"/>
      <c r="H24" s="149"/>
      <c r="I24" s="148"/>
      <c r="J24" s="149"/>
    </row>
    <row r="25" spans="1:14" ht="15.75" customHeight="1" x14ac:dyDescent="0.25">
      <c r="A25" s="178" t="s">
        <v>97</v>
      </c>
      <c r="B25" s="179"/>
      <c r="C25" s="179"/>
      <c r="D25" s="180"/>
      <c r="E25" s="181"/>
      <c r="F25" s="344" t="s">
        <v>98</v>
      </c>
      <c r="G25" s="344"/>
      <c r="H25" s="344"/>
      <c r="I25" s="344"/>
      <c r="J25" s="345"/>
    </row>
    <row r="26" spans="1:14" ht="17.25" customHeight="1" x14ac:dyDescent="0.25">
      <c r="A26" s="21" t="s">
        <v>99</v>
      </c>
      <c r="B26" s="182"/>
      <c r="C26" s="182"/>
      <c r="D26" s="182"/>
      <c r="E26" s="183"/>
      <c r="F26" s="182" t="s">
        <v>100</v>
      </c>
      <c r="G26" s="182"/>
      <c r="H26" s="182"/>
      <c r="I26" s="182"/>
      <c r="J26" s="183"/>
    </row>
    <row r="27" spans="1:14" ht="7.5" customHeight="1" x14ac:dyDescent="0.25">
      <c r="A27" s="21"/>
      <c r="B27" s="182"/>
      <c r="C27" s="182"/>
      <c r="D27" s="182"/>
      <c r="E27" s="183"/>
      <c r="F27" s="182"/>
      <c r="G27" s="182"/>
      <c r="H27" s="182"/>
      <c r="I27" s="182"/>
      <c r="J27" s="183"/>
    </row>
    <row r="28" spans="1:14" x14ac:dyDescent="0.25">
      <c r="A28" s="184" t="s">
        <v>101</v>
      </c>
      <c r="D28" s="182"/>
      <c r="E28" s="182"/>
      <c r="F28" s="21"/>
      <c r="G28" s="346" t="s">
        <v>102</v>
      </c>
      <c r="H28" s="346"/>
      <c r="I28" s="182"/>
      <c r="J28" s="183"/>
    </row>
    <row r="29" spans="1:14" x14ac:dyDescent="0.25">
      <c r="A29" s="184" t="s">
        <v>103</v>
      </c>
      <c r="D29" s="182"/>
      <c r="E29" s="182"/>
      <c r="F29" s="21"/>
      <c r="G29" s="182"/>
      <c r="H29" s="182" t="s">
        <v>90</v>
      </c>
      <c r="I29" s="182"/>
      <c r="J29" s="183"/>
    </row>
    <row r="30" spans="1:14" x14ac:dyDescent="0.25">
      <c r="A30" s="21"/>
      <c r="B30" s="182"/>
      <c r="C30" s="182"/>
      <c r="D30" s="182"/>
      <c r="E30" s="182"/>
      <c r="F30" s="21"/>
      <c r="G30" s="347" t="s">
        <v>104</v>
      </c>
      <c r="H30" s="347"/>
      <c r="I30" s="182"/>
      <c r="J30" s="183"/>
    </row>
    <row r="31" spans="1:14" ht="18" customHeight="1" x14ac:dyDescent="0.25">
      <c r="A31" s="348" t="s">
        <v>105</v>
      </c>
      <c r="B31" s="349"/>
      <c r="C31" s="350" t="s">
        <v>95</v>
      </c>
      <c r="D31" s="350"/>
      <c r="E31" s="351"/>
      <c r="F31" s="182"/>
      <c r="G31" s="350" t="s">
        <v>12</v>
      </c>
      <c r="H31" s="350"/>
      <c r="I31" s="350"/>
      <c r="J31" s="351"/>
    </row>
    <row r="32" spans="1:14" x14ac:dyDescent="0.25">
      <c r="A32" s="332" t="s">
        <v>106</v>
      </c>
      <c r="B32" s="333"/>
      <c r="C32" s="334" t="s">
        <v>107</v>
      </c>
      <c r="D32" s="334"/>
      <c r="E32" s="335"/>
      <c r="F32" s="182"/>
      <c r="G32" s="333" t="s">
        <v>108</v>
      </c>
      <c r="H32" s="333"/>
      <c r="I32" s="333"/>
      <c r="J32" s="336"/>
    </row>
    <row r="33" spans="1:14" ht="9.75" customHeight="1" x14ac:dyDescent="0.25">
      <c r="A33" s="185"/>
      <c r="B33" s="186"/>
      <c r="C33" s="186"/>
      <c r="D33" s="186"/>
      <c r="E33" s="187"/>
      <c r="F33" s="186"/>
      <c r="G33" s="186"/>
      <c r="H33" s="186"/>
      <c r="I33" s="186"/>
      <c r="J33" s="187"/>
    </row>
    <row r="38" spans="1:14" x14ac:dyDescent="0.25">
      <c r="H38" s="369" t="s">
        <v>81</v>
      </c>
      <c r="I38" s="369"/>
      <c r="J38" s="369"/>
    </row>
    <row r="39" spans="1:14" x14ac:dyDescent="0.25">
      <c r="H39" s="370" t="s">
        <v>82</v>
      </c>
      <c r="I39" s="370"/>
      <c r="J39" s="370"/>
    </row>
    <row r="40" spans="1:14" ht="20.25" customHeight="1" x14ac:dyDescent="0.25">
      <c r="A40" s="371" t="s">
        <v>39</v>
      </c>
      <c r="B40" s="372"/>
      <c r="C40" s="372"/>
      <c r="D40" s="372"/>
      <c r="E40" s="372"/>
      <c r="F40" s="372"/>
      <c r="G40" s="372"/>
      <c r="H40" s="372"/>
      <c r="I40" s="372"/>
      <c r="J40" s="373"/>
    </row>
    <row r="41" spans="1:14" ht="15.75" customHeight="1" thickBot="1" x14ac:dyDescent="0.3">
      <c r="A41" s="374" t="s">
        <v>83</v>
      </c>
      <c r="B41" s="375"/>
      <c r="C41" s="375"/>
      <c r="D41" s="375"/>
      <c r="E41" s="375"/>
      <c r="F41" s="375"/>
      <c r="G41" s="375"/>
      <c r="H41" s="375"/>
      <c r="I41" s="375"/>
      <c r="J41" s="376"/>
    </row>
    <row r="42" spans="1:14" ht="18" customHeight="1" thickTop="1" x14ac:dyDescent="0.25">
      <c r="A42" s="21" t="s">
        <v>84</v>
      </c>
      <c r="B42" s="186" t="s">
        <v>471</v>
      </c>
      <c r="C42" s="144"/>
      <c r="D42" s="144"/>
      <c r="E42" s="144"/>
      <c r="F42" s="144"/>
      <c r="G42" s="182" t="s">
        <v>85</v>
      </c>
      <c r="H42" s="145"/>
      <c r="I42" s="146" t="s">
        <v>86</v>
      </c>
      <c r="J42" s="147"/>
    </row>
    <row r="43" spans="1:14" ht="17.25" customHeight="1" x14ac:dyDescent="0.25">
      <c r="A43" s="21" t="s">
        <v>87</v>
      </c>
      <c r="B43" s="380"/>
      <c r="C43" s="378"/>
      <c r="D43" s="146" t="s">
        <v>86</v>
      </c>
      <c r="E43" s="197"/>
      <c r="F43" s="379" t="s">
        <v>88</v>
      </c>
      <c r="G43" s="379"/>
      <c r="H43" s="198" t="s">
        <v>335</v>
      </c>
      <c r="I43" s="146" t="s">
        <v>86</v>
      </c>
      <c r="J43" s="201" t="s">
        <v>295</v>
      </c>
    </row>
    <row r="44" spans="1:14" ht="17.25" customHeight="1" x14ac:dyDescent="0.25">
      <c r="A44" s="362" t="s">
        <v>89</v>
      </c>
      <c r="B44" s="346"/>
      <c r="C44" s="346"/>
      <c r="D44" s="346"/>
      <c r="E44" s="346"/>
      <c r="F44" s="346"/>
      <c r="G44" s="346"/>
      <c r="H44" s="346"/>
      <c r="I44" s="144"/>
      <c r="J44" s="147" t="s">
        <v>90</v>
      </c>
    </row>
    <row r="45" spans="1:14" ht="5.25" customHeight="1" x14ac:dyDescent="0.25">
      <c r="A45" s="148"/>
      <c r="B45" s="144"/>
      <c r="C45" s="144"/>
      <c r="D45" s="144"/>
      <c r="E45" s="144"/>
      <c r="F45" s="144"/>
      <c r="G45" s="144"/>
      <c r="H45" s="144"/>
      <c r="I45" s="144"/>
      <c r="J45" s="149"/>
    </row>
    <row r="46" spans="1:14" x14ac:dyDescent="0.25">
      <c r="A46" s="150" t="s">
        <v>91</v>
      </c>
      <c r="B46" s="363" t="s">
        <v>4</v>
      </c>
      <c r="C46" s="364"/>
      <c r="D46" s="363" t="s">
        <v>92</v>
      </c>
      <c r="E46" s="367"/>
      <c r="F46" s="367"/>
      <c r="G46" s="367"/>
      <c r="H46" s="364"/>
      <c r="I46" s="363" t="s">
        <v>93</v>
      </c>
      <c r="J46" s="364"/>
    </row>
    <row r="47" spans="1:14" ht="12" customHeight="1" x14ac:dyDescent="0.25">
      <c r="A47" s="151" t="s">
        <v>42</v>
      </c>
      <c r="B47" s="365"/>
      <c r="C47" s="366"/>
      <c r="D47" s="365"/>
      <c r="E47" s="368"/>
      <c r="F47" s="368"/>
      <c r="G47" s="368"/>
      <c r="H47" s="366"/>
      <c r="I47" s="365"/>
      <c r="J47" s="366"/>
      <c r="N47" s="152"/>
    </row>
    <row r="48" spans="1:14" ht="12" customHeight="1" x14ac:dyDescent="0.25">
      <c r="A48" s="153"/>
      <c r="B48" s="154"/>
      <c r="C48" s="155"/>
      <c r="D48" s="156"/>
      <c r="E48" s="156"/>
      <c r="F48" s="156"/>
      <c r="G48" s="156"/>
      <c r="H48" s="157"/>
      <c r="I48" s="154"/>
      <c r="J48" s="158"/>
    </row>
    <row r="49" spans="1:14" ht="12" customHeight="1" x14ac:dyDescent="0.3">
      <c r="A49" s="153"/>
      <c r="B49" s="405" t="s">
        <v>7</v>
      </c>
      <c r="C49" s="415"/>
      <c r="D49" s="254" t="s">
        <v>336</v>
      </c>
      <c r="E49" s="160"/>
      <c r="F49" s="160"/>
      <c r="G49" s="160"/>
      <c r="H49" s="160"/>
      <c r="I49" s="407">
        <v>1</v>
      </c>
      <c r="J49" s="408"/>
    </row>
    <row r="50" spans="1:14" ht="12" customHeight="1" x14ac:dyDescent="0.3">
      <c r="A50" s="153"/>
      <c r="B50" s="405"/>
      <c r="C50" s="415"/>
      <c r="D50" s="254"/>
      <c r="E50" s="160"/>
      <c r="F50" s="160"/>
      <c r="G50" s="160"/>
      <c r="H50" s="160"/>
      <c r="I50" s="407"/>
      <c r="J50" s="408"/>
    </row>
    <row r="51" spans="1:14" ht="12" customHeight="1" x14ac:dyDescent="0.3">
      <c r="A51" s="153"/>
      <c r="B51" s="405"/>
      <c r="C51" s="415"/>
      <c r="D51" s="254"/>
      <c r="E51" s="160"/>
      <c r="F51" s="160"/>
      <c r="G51" s="160"/>
      <c r="H51" s="160"/>
      <c r="I51" s="409"/>
      <c r="J51" s="410"/>
    </row>
    <row r="52" spans="1:14" ht="12" customHeight="1" x14ac:dyDescent="0.3">
      <c r="A52" s="153"/>
      <c r="B52" s="411"/>
      <c r="C52" s="412"/>
      <c r="D52" s="253"/>
      <c r="E52" s="160"/>
      <c r="F52" s="160"/>
      <c r="G52" s="160"/>
      <c r="H52" s="160"/>
      <c r="I52" s="413"/>
      <c r="J52" s="412"/>
    </row>
    <row r="53" spans="1:14" ht="12" customHeight="1" x14ac:dyDescent="0.3">
      <c r="A53" s="153"/>
      <c r="B53" s="411"/>
      <c r="C53" s="414"/>
      <c r="D53" s="252"/>
      <c r="E53" s="160"/>
      <c r="F53" s="160"/>
      <c r="G53" s="160"/>
      <c r="H53" s="160"/>
      <c r="I53" s="413"/>
      <c r="J53" s="412"/>
    </row>
    <row r="54" spans="1:14" ht="12" customHeight="1" x14ac:dyDescent="0.3">
      <c r="A54" s="153"/>
      <c r="B54" s="354"/>
      <c r="C54" s="391"/>
      <c r="D54" s="228"/>
      <c r="E54" s="160"/>
      <c r="F54" s="160"/>
      <c r="G54" s="160"/>
      <c r="H54" s="160"/>
      <c r="I54" s="352"/>
      <c r="J54" s="353"/>
    </row>
    <row r="55" spans="1:14" s="167" customFormat="1" ht="12" customHeight="1" x14ac:dyDescent="0.3">
      <c r="A55" s="163"/>
      <c r="B55" s="356"/>
      <c r="C55" s="357"/>
      <c r="D55" s="161"/>
      <c r="E55" s="164"/>
      <c r="F55" s="164"/>
      <c r="G55" s="164"/>
      <c r="H55" s="165"/>
      <c r="I55" s="358"/>
      <c r="J55" s="359"/>
      <c r="K55" s="166"/>
      <c r="L55" s="164"/>
      <c r="M55" s="8"/>
      <c r="N55" s="8"/>
    </row>
    <row r="56" spans="1:14" s="167" customFormat="1" ht="12" customHeight="1" x14ac:dyDescent="0.3">
      <c r="A56" s="163"/>
      <c r="B56" s="163"/>
      <c r="C56" s="168"/>
      <c r="D56" s="169"/>
      <c r="E56" s="7"/>
      <c r="F56" s="7"/>
      <c r="G56" s="7"/>
      <c r="H56" s="170"/>
      <c r="I56" s="171"/>
      <c r="J56" s="172"/>
      <c r="L56" s="8"/>
      <c r="M56" s="8"/>
      <c r="N56" s="56"/>
    </row>
    <row r="57" spans="1:14" s="167" customFormat="1" ht="12" customHeight="1" x14ac:dyDescent="0.3">
      <c r="A57" s="163"/>
      <c r="B57" s="163"/>
      <c r="C57" s="168"/>
      <c r="D57" s="173"/>
      <c r="E57" s="159" t="s">
        <v>94</v>
      </c>
      <c r="F57" s="339" t="s">
        <v>12</v>
      </c>
      <c r="G57" s="339"/>
      <c r="H57" s="340"/>
      <c r="I57" s="171"/>
      <c r="J57" s="172"/>
      <c r="M57" s="56"/>
      <c r="N57" s="56"/>
    </row>
    <row r="58" spans="1:14" s="167" customFormat="1" ht="12" customHeight="1" x14ac:dyDescent="0.3">
      <c r="A58" s="163"/>
      <c r="B58" s="163"/>
      <c r="C58" s="168"/>
      <c r="D58" s="174"/>
      <c r="E58" s="159"/>
      <c r="F58" s="339" t="s">
        <v>96</v>
      </c>
      <c r="G58" s="339"/>
      <c r="H58" s="340"/>
      <c r="I58" s="341"/>
      <c r="J58" s="340"/>
    </row>
    <row r="59" spans="1:14" s="167" customFormat="1" ht="12" customHeight="1" x14ac:dyDescent="0.3">
      <c r="A59" s="163"/>
      <c r="B59" s="342"/>
      <c r="C59" s="343"/>
      <c r="D59" s="174"/>
      <c r="E59" s="159"/>
      <c r="F59" s="175"/>
      <c r="G59" s="175"/>
      <c r="H59" s="176"/>
      <c r="I59" s="341"/>
      <c r="J59" s="340"/>
    </row>
    <row r="60" spans="1:14" ht="6" customHeight="1" x14ac:dyDescent="0.25">
      <c r="A60" s="148"/>
      <c r="B60" s="148"/>
      <c r="C60" s="149"/>
      <c r="D60" s="144"/>
      <c r="E60" s="144"/>
      <c r="F60" s="177"/>
      <c r="G60" s="144"/>
      <c r="H60" s="149"/>
      <c r="I60" s="148"/>
      <c r="J60" s="149"/>
    </row>
    <row r="61" spans="1:14" ht="6" customHeight="1" x14ac:dyDescent="0.25">
      <c r="A61" s="148"/>
      <c r="B61" s="148"/>
      <c r="C61" s="149"/>
      <c r="D61" s="148"/>
      <c r="E61" s="144"/>
      <c r="F61" s="177"/>
      <c r="G61" s="144"/>
      <c r="H61" s="149"/>
      <c r="I61" s="148"/>
      <c r="J61" s="149"/>
    </row>
    <row r="62" spans="1:14" ht="15.75" customHeight="1" x14ac:dyDescent="0.25">
      <c r="A62" s="178" t="s">
        <v>97</v>
      </c>
      <c r="B62" s="179"/>
      <c r="C62" s="179"/>
      <c r="D62" s="180"/>
      <c r="E62" s="181"/>
      <c r="F62" s="344" t="s">
        <v>98</v>
      </c>
      <c r="G62" s="344"/>
      <c r="H62" s="344"/>
      <c r="I62" s="344"/>
      <c r="J62" s="345"/>
    </row>
    <row r="63" spans="1:14" ht="17.25" customHeight="1" x14ac:dyDescent="0.25">
      <c r="A63" s="21" t="s">
        <v>99</v>
      </c>
      <c r="B63" s="182"/>
      <c r="C63" s="182"/>
      <c r="D63" s="182"/>
      <c r="E63" s="183"/>
      <c r="F63" s="182" t="s">
        <v>100</v>
      </c>
      <c r="G63" s="182"/>
      <c r="H63" s="182"/>
      <c r="I63" s="182"/>
      <c r="J63" s="183"/>
    </row>
    <row r="64" spans="1:14" ht="7.5" customHeight="1" x14ac:dyDescent="0.25">
      <c r="A64" s="21"/>
      <c r="B64" s="182"/>
      <c r="C64" s="182"/>
      <c r="D64" s="182"/>
      <c r="E64" s="183"/>
      <c r="F64" s="182"/>
      <c r="G64" s="182"/>
      <c r="H64" s="182"/>
      <c r="I64" s="182"/>
      <c r="J64" s="183"/>
    </row>
    <row r="65" spans="1:10" x14ac:dyDescent="0.25">
      <c r="A65" s="184" t="s">
        <v>101</v>
      </c>
      <c r="D65" s="182"/>
      <c r="E65" s="182"/>
      <c r="F65" s="21"/>
      <c r="G65" s="346" t="s">
        <v>102</v>
      </c>
      <c r="H65" s="346"/>
      <c r="I65" s="182"/>
      <c r="J65" s="183"/>
    </row>
    <row r="66" spans="1:10" x14ac:dyDescent="0.25">
      <c r="A66" s="184" t="s">
        <v>103</v>
      </c>
      <c r="D66" s="182"/>
      <c r="E66" s="182"/>
      <c r="F66" s="21"/>
      <c r="G66" s="182"/>
      <c r="H66" s="182" t="s">
        <v>90</v>
      </c>
      <c r="I66" s="182"/>
      <c r="J66" s="183"/>
    </row>
    <row r="67" spans="1:10" x14ac:dyDescent="0.25">
      <c r="A67" s="21"/>
      <c r="B67" s="182"/>
      <c r="C67" s="182"/>
      <c r="D67" s="182"/>
      <c r="E67" s="182"/>
      <c r="F67" s="21"/>
      <c r="G67" s="347" t="s">
        <v>104</v>
      </c>
      <c r="H67" s="347"/>
      <c r="I67" s="182"/>
      <c r="J67" s="183"/>
    </row>
    <row r="68" spans="1:10" ht="18" customHeight="1" x14ac:dyDescent="0.25">
      <c r="A68" s="348" t="s">
        <v>105</v>
      </c>
      <c r="B68" s="349"/>
      <c r="C68" s="350" t="s">
        <v>95</v>
      </c>
      <c r="D68" s="350"/>
      <c r="E68" s="351"/>
      <c r="F68" s="182"/>
      <c r="G68" s="350" t="s">
        <v>12</v>
      </c>
      <c r="H68" s="350"/>
      <c r="I68" s="350"/>
      <c r="J68" s="351"/>
    </row>
    <row r="69" spans="1:10" x14ac:dyDescent="0.25">
      <c r="A69" s="332" t="s">
        <v>106</v>
      </c>
      <c r="B69" s="333"/>
      <c r="C69" s="334" t="s">
        <v>107</v>
      </c>
      <c r="D69" s="334"/>
      <c r="E69" s="335"/>
      <c r="F69" s="182"/>
      <c r="G69" s="333" t="s">
        <v>108</v>
      </c>
      <c r="H69" s="333"/>
      <c r="I69" s="333"/>
      <c r="J69" s="336"/>
    </row>
    <row r="70" spans="1:10" ht="9.75" customHeight="1" x14ac:dyDescent="0.25">
      <c r="A70" s="185"/>
      <c r="B70" s="186"/>
      <c r="C70" s="186"/>
      <c r="D70" s="186"/>
      <c r="E70" s="187"/>
      <c r="F70" s="186"/>
      <c r="G70" s="186"/>
      <c r="H70" s="186"/>
      <c r="I70" s="186"/>
      <c r="J70" s="187"/>
    </row>
  </sheetData>
  <mergeCells count="76">
    <mergeCell ref="A69:B69"/>
    <mergeCell ref="C69:E69"/>
    <mergeCell ref="G69:J69"/>
    <mergeCell ref="F57:H57"/>
    <mergeCell ref="F58:H58"/>
    <mergeCell ref="I58:J58"/>
    <mergeCell ref="B59:C59"/>
    <mergeCell ref="I59:J59"/>
    <mergeCell ref="F62:J62"/>
    <mergeCell ref="G65:H65"/>
    <mergeCell ref="G67:H67"/>
    <mergeCell ref="A68:B68"/>
    <mergeCell ref="C68:E68"/>
    <mergeCell ref="G68:J68"/>
    <mergeCell ref="B53:C53"/>
    <mergeCell ref="I53:J53"/>
    <mergeCell ref="B54:C54"/>
    <mergeCell ref="I54:J54"/>
    <mergeCell ref="B55:C55"/>
    <mergeCell ref="I55:J55"/>
    <mergeCell ref="B50:C50"/>
    <mergeCell ref="I50:J50"/>
    <mergeCell ref="B51:C51"/>
    <mergeCell ref="I51:J51"/>
    <mergeCell ref="B52:C52"/>
    <mergeCell ref="I52:J52"/>
    <mergeCell ref="A44:H44"/>
    <mergeCell ref="B46:C47"/>
    <mergeCell ref="D46:H47"/>
    <mergeCell ref="I46:J47"/>
    <mergeCell ref="B49:C49"/>
    <mergeCell ref="I49:J49"/>
    <mergeCell ref="H38:J38"/>
    <mergeCell ref="H39:J39"/>
    <mergeCell ref="A40:J40"/>
    <mergeCell ref="A41:J41"/>
    <mergeCell ref="B43:C43"/>
    <mergeCell ref="F43:G43"/>
    <mergeCell ref="A32:B32"/>
    <mergeCell ref="C32:E32"/>
    <mergeCell ref="G32:J32"/>
    <mergeCell ref="F20:H20"/>
    <mergeCell ref="F21:H21"/>
    <mergeCell ref="I21:J21"/>
    <mergeCell ref="B22:C22"/>
    <mergeCell ref="I22:J22"/>
    <mergeCell ref="F25:J25"/>
    <mergeCell ref="G28:H28"/>
    <mergeCell ref="G30:H30"/>
    <mergeCell ref="A31:B31"/>
    <mergeCell ref="C31:E31"/>
    <mergeCell ref="G31:J31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30B1-E96A-4731-9492-A3A8DB6DC072}">
  <dimension ref="A1:N72"/>
  <sheetViews>
    <sheetView view="pageBreakPreview" topLeftCell="A40" zoomScale="115" zoomScaleNormal="100" zoomScaleSheetLayoutView="115" workbookViewId="0">
      <selection activeCell="N55" sqref="N55"/>
    </sheetView>
  </sheetViews>
  <sheetFormatPr defaultColWidth="9.109375" defaultRowHeight="13.2" x14ac:dyDescent="0.25"/>
  <cols>
    <col min="1" max="1" width="17" style="143" customWidth="1"/>
    <col min="2" max="2" width="9.6640625" style="143" customWidth="1"/>
    <col min="3" max="3" width="6" style="143" customWidth="1"/>
    <col min="4" max="4" width="6.33203125" style="143" customWidth="1"/>
    <col min="5" max="5" width="12.5546875" style="143" customWidth="1"/>
    <col min="6" max="6" width="9.109375" style="143"/>
    <col min="7" max="7" width="6.88671875" style="143" customWidth="1"/>
    <col min="8" max="8" width="11.5546875" style="143" customWidth="1"/>
    <col min="9" max="9" width="5.33203125" style="143" customWidth="1"/>
    <col min="10" max="10" width="10.6640625" style="143" customWidth="1"/>
    <col min="11" max="16384" width="9.109375" style="143"/>
  </cols>
  <sheetData>
    <row r="1" spans="1:14" x14ac:dyDescent="0.25">
      <c r="H1" s="369" t="s">
        <v>81</v>
      </c>
      <c r="I1" s="369"/>
      <c r="J1" s="369"/>
    </row>
    <row r="2" spans="1:14" x14ac:dyDescent="0.25">
      <c r="H2" s="370" t="s">
        <v>82</v>
      </c>
      <c r="I2" s="370"/>
      <c r="J2" s="370"/>
    </row>
    <row r="3" spans="1:14" ht="20.25" customHeight="1" x14ac:dyDescent="0.25">
      <c r="A3" s="371" t="s">
        <v>39</v>
      </c>
      <c r="B3" s="372"/>
      <c r="C3" s="372"/>
      <c r="D3" s="372"/>
      <c r="E3" s="372"/>
      <c r="F3" s="372"/>
      <c r="G3" s="372"/>
      <c r="H3" s="372"/>
      <c r="I3" s="372"/>
      <c r="J3" s="373"/>
    </row>
    <row r="4" spans="1:14" ht="15.75" customHeight="1" thickBot="1" x14ac:dyDescent="0.3">
      <c r="A4" s="374" t="s">
        <v>83</v>
      </c>
      <c r="B4" s="375"/>
      <c r="C4" s="375"/>
      <c r="D4" s="375"/>
      <c r="E4" s="375"/>
      <c r="F4" s="375"/>
      <c r="G4" s="375"/>
      <c r="H4" s="375"/>
      <c r="I4" s="375"/>
      <c r="J4" s="376"/>
    </row>
    <row r="5" spans="1:14" ht="18" customHeight="1" thickTop="1" x14ac:dyDescent="0.25">
      <c r="A5" s="21" t="s">
        <v>84</v>
      </c>
      <c r="B5" s="186" t="s">
        <v>110</v>
      </c>
      <c r="C5" s="144"/>
      <c r="D5" s="144"/>
      <c r="E5" s="144"/>
      <c r="F5" s="144"/>
      <c r="G5" s="182" t="s">
        <v>85</v>
      </c>
      <c r="H5" s="145"/>
      <c r="I5" s="146" t="s">
        <v>86</v>
      </c>
      <c r="J5" s="147"/>
    </row>
    <row r="6" spans="1:14" ht="17.25" customHeight="1" x14ac:dyDescent="0.25">
      <c r="A6" s="21" t="s">
        <v>87</v>
      </c>
      <c r="B6" s="380"/>
      <c r="C6" s="378"/>
      <c r="D6" s="146" t="s">
        <v>86</v>
      </c>
      <c r="E6" s="197"/>
      <c r="F6" s="379" t="s">
        <v>88</v>
      </c>
      <c r="G6" s="379"/>
      <c r="H6" s="198"/>
      <c r="I6" s="146" t="s">
        <v>86</v>
      </c>
      <c r="J6" s="201"/>
    </row>
    <row r="7" spans="1:14" ht="17.25" customHeight="1" x14ac:dyDescent="0.25">
      <c r="A7" s="362" t="s">
        <v>89</v>
      </c>
      <c r="B7" s="346"/>
      <c r="C7" s="346"/>
      <c r="D7" s="346"/>
      <c r="E7" s="346"/>
      <c r="F7" s="346"/>
      <c r="G7" s="346"/>
      <c r="H7" s="346"/>
      <c r="I7" s="144"/>
      <c r="J7" s="147" t="s">
        <v>90</v>
      </c>
    </row>
    <row r="8" spans="1:14" ht="5.25" customHeight="1" x14ac:dyDescent="0.25">
      <c r="A8" s="148"/>
      <c r="B8" s="144"/>
      <c r="C8" s="144"/>
      <c r="D8" s="144"/>
      <c r="E8" s="144"/>
      <c r="F8" s="144"/>
      <c r="G8" s="144"/>
      <c r="H8" s="144"/>
      <c r="I8" s="144"/>
      <c r="J8" s="149"/>
    </row>
    <row r="9" spans="1:14" x14ac:dyDescent="0.25">
      <c r="A9" s="150" t="s">
        <v>91</v>
      </c>
      <c r="B9" s="363" t="s">
        <v>4</v>
      </c>
      <c r="C9" s="364"/>
      <c r="D9" s="363" t="s">
        <v>92</v>
      </c>
      <c r="E9" s="367"/>
      <c r="F9" s="367"/>
      <c r="G9" s="367"/>
      <c r="H9" s="364"/>
      <c r="I9" s="363" t="s">
        <v>93</v>
      </c>
      <c r="J9" s="364"/>
    </row>
    <row r="10" spans="1:14" ht="12" customHeight="1" x14ac:dyDescent="0.25">
      <c r="A10" s="151" t="s">
        <v>42</v>
      </c>
      <c r="B10" s="365"/>
      <c r="C10" s="366"/>
      <c r="D10" s="365"/>
      <c r="E10" s="368"/>
      <c r="F10" s="368"/>
      <c r="G10" s="368"/>
      <c r="H10" s="366"/>
      <c r="I10" s="365"/>
      <c r="J10" s="366"/>
      <c r="N10" s="152"/>
    </row>
    <row r="11" spans="1:14" ht="12" customHeight="1" x14ac:dyDescent="0.25">
      <c r="A11" s="153"/>
      <c r="B11" s="154"/>
      <c r="C11" s="155"/>
      <c r="D11" s="255"/>
      <c r="E11" s="156"/>
      <c r="F11" s="156"/>
      <c r="G11" s="156"/>
      <c r="H11" s="157"/>
      <c r="I11" s="154"/>
      <c r="J11" s="158"/>
    </row>
    <row r="12" spans="1:14" ht="12" customHeight="1" x14ac:dyDescent="0.3">
      <c r="A12" s="153"/>
      <c r="B12" s="352" t="s">
        <v>7</v>
      </c>
      <c r="C12" s="381"/>
      <c r="D12" s="247" t="s">
        <v>472</v>
      </c>
      <c r="E12" s="160"/>
      <c r="F12" s="160"/>
      <c r="G12" s="160"/>
      <c r="H12" s="160"/>
      <c r="I12" s="352">
        <v>1</v>
      </c>
      <c r="J12" s="353"/>
    </row>
    <row r="13" spans="1:14" ht="12" customHeight="1" x14ac:dyDescent="0.3">
      <c r="A13" s="153"/>
      <c r="B13" s="352"/>
      <c r="C13" s="381"/>
      <c r="D13" s="247" t="s">
        <v>473</v>
      </c>
      <c r="E13" s="160"/>
      <c r="F13" s="160"/>
      <c r="G13" s="160"/>
      <c r="H13" s="160"/>
      <c r="I13" s="352"/>
      <c r="J13" s="353"/>
    </row>
    <row r="14" spans="1:14" ht="12" customHeight="1" x14ac:dyDescent="0.3">
      <c r="A14" s="153"/>
      <c r="B14" s="352"/>
      <c r="C14" s="381"/>
      <c r="D14" s="256" t="s">
        <v>474</v>
      </c>
      <c r="E14" s="160"/>
      <c r="F14" s="160"/>
      <c r="G14" s="160"/>
      <c r="H14" s="160"/>
      <c r="I14" s="360"/>
      <c r="J14" s="361"/>
    </row>
    <row r="15" spans="1:14" ht="12" customHeight="1" x14ac:dyDescent="0.3">
      <c r="A15" s="153"/>
      <c r="B15" s="352" t="s">
        <v>7</v>
      </c>
      <c r="C15" s="381"/>
      <c r="D15" s="247" t="s">
        <v>475</v>
      </c>
      <c r="E15" s="160"/>
      <c r="F15" s="160"/>
      <c r="G15" s="160"/>
      <c r="H15" s="160"/>
      <c r="I15" s="352">
        <v>1</v>
      </c>
      <c r="J15" s="353"/>
    </row>
    <row r="16" spans="1:14" ht="12" customHeight="1" x14ac:dyDescent="0.3">
      <c r="A16" s="153"/>
      <c r="B16" s="352"/>
      <c r="C16" s="381"/>
      <c r="D16" s="247" t="s">
        <v>476</v>
      </c>
      <c r="E16" s="160"/>
      <c r="F16" s="160"/>
      <c r="G16" s="160"/>
      <c r="H16" s="160"/>
      <c r="I16" s="352"/>
      <c r="J16" s="353"/>
    </row>
    <row r="17" spans="1:14" ht="12" customHeight="1" x14ac:dyDescent="0.3">
      <c r="A17" s="153"/>
      <c r="B17" s="354"/>
      <c r="C17" s="391"/>
      <c r="D17" s="257" t="s">
        <v>477</v>
      </c>
      <c r="E17" s="160"/>
      <c r="F17" s="160"/>
      <c r="G17" s="160"/>
      <c r="H17" s="160"/>
      <c r="I17" s="352"/>
      <c r="J17" s="353"/>
    </row>
    <row r="18" spans="1:14" s="167" customFormat="1" ht="12" customHeight="1" x14ac:dyDescent="0.3">
      <c r="A18" s="163"/>
      <c r="B18" s="356"/>
      <c r="C18" s="392"/>
      <c r="D18" s="228"/>
      <c r="E18" s="164"/>
      <c r="F18" s="164"/>
      <c r="G18" s="164"/>
      <c r="H18" s="165"/>
      <c r="I18" s="358"/>
      <c r="J18" s="359"/>
      <c r="K18" s="166"/>
      <c r="L18" s="164"/>
      <c r="M18" s="8"/>
      <c r="N18" s="8"/>
    </row>
    <row r="19" spans="1:14" s="167" customFormat="1" ht="12" customHeight="1" x14ac:dyDescent="0.3">
      <c r="A19" s="163"/>
      <c r="B19" s="224"/>
      <c r="C19" s="229"/>
      <c r="D19" s="228"/>
      <c r="E19" s="164"/>
      <c r="F19" s="164"/>
      <c r="G19" s="164"/>
      <c r="H19" s="165"/>
      <c r="I19" s="225"/>
      <c r="J19" s="226"/>
      <c r="K19" s="166"/>
      <c r="L19" s="164"/>
      <c r="M19" s="8"/>
      <c r="N19" s="8"/>
    </row>
    <row r="20" spans="1:14" s="167" customFormat="1" ht="12" customHeight="1" x14ac:dyDescent="0.3">
      <c r="A20" s="163"/>
      <c r="B20" s="163"/>
      <c r="C20" s="168"/>
      <c r="D20" s="169"/>
      <c r="E20" s="7"/>
      <c r="F20" s="7"/>
      <c r="G20" s="7"/>
      <c r="H20" s="170"/>
      <c r="I20" s="171"/>
      <c r="J20" s="172"/>
      <c r="L20" s="8"/>
      <c r="M20" s="8"/>
      <c r="N20" s="56"/>
    </row>
    <row r="21" spans="1:14" s="167" customFormat="1" ht="12" customHeight="1" x14ac:dyDescent="0.3">
      <c r="A21" s="163"/>
      <c r="B21" s="163"/>
      <c r="C21" s="168"/>
      <c r="D21" s="173"/>
      <c r="E21" s="159" t="s">
        <v>94</v>
      </c>
      <c r="F21" s="339" t="s">
        <v>12</v>
      </c>
      <c r="G21" s="339"/>
      <c r="H21" s="340"/>
      <c r="I21" s="171"/>
      <c r="J21" s="172"/>
      <c r="M21" s="56"/>
      <c r="N21" s="56"/>
    </row>
    <row r="22" spans="1:14" s="167" customFormat="1" ht="12" customHeight="1" x14ac:dyDescent="0.3">
      <c r="A22" s="163"/>
      <c r="B22" s="163"/>
      <c r="C22" s="168"/>
      <c r="D22" s="174"/>
      <c r="E22" s="159"/>
      <c r="F22" s="339" t="s">
        <v>96</v>
      </c>
      <c r="G22" s="339"/>
      <c r="H22" s="340"/>
      <c r="I22" s="341"/>
      <c r="J22" s="340"/>
    </row>
    <row r="23" spans="1:14" s="167" customFormat="1" ht="12" customHeight="1" x14ac:dyDescent="0.3">
      <c r="A23" s="163"/>
      <c r="B23" s="342"/>
      <c r="C23" s="343"/>
      <c r="D23" s="174"/>
      <c r="E23" s="159"/>
      <c r="F23" s="175"/>
      <c r="G23" s="175"/>
      <c r="H23" s="176"/>
      <c r="I23" s="341"/>
      <c r="J23" s="340"/>
    </row>
    <row r="24" spans="1:14" ht="6" customHeight="1" x14ac:dyDescent="0.25">
      <c r="A24" s="148"/>
      <c r="B24" s="148"/>
      <c r="C24" s="149"/>
      <c r="D24" s="144"/>
      <c r="E24" s="144"/>
      <c r="F24" s="177"/>
      <c r="G24" s="144"/>
      <c r="H24" s="149"/>
      <c r="I24" s="148"/>
      <c r="J24" s="149"/>
    </row>
    <row r="25" spans="1:14" ht="6" customHeight="1" x14ac:dyDescent="0.25">
      <c r="A25" s="148"/>
      <c r="B25" s="148"/>
      <c r="C25" s="149"/>
      <c r="D25" s="148"/>
      <c r="E25" s="144"/>
      <c r="F25" s="177"/>
      <c r="G25" s="144"/>
      <c r="H25" s="149"/>
      <c r="I25" s="148"/>
      <c r="J25" s="149"/>
    </row>
    <row r="26" spans="1:14" ht="15.75" customHeight="1" x14ac:dyDescent="0.25">
      <c r="A26" s="178" t="s">
        <v>97</v>
      </c>
      <c r="B26" s="179"/>
      <c r="C26" s="179"/>
      <c r="D26" s="180"/>
      <c r="E26" s="181"/>
      <c r="F26" s="344" t="s">
        <v>98</v>
      </c>
      <c r="G26" s="344"/>
      <c r="H26" s="344"/>
      <c r="I26" s="344"/>
      <c r="J26" s="345"/>
    </row>
    <row r="27" spans="1:14" ht="17.25" customHeight="1" x14ac:dyDescent="0.25">
      <c r="A27" s="21" t="s">
        <v>99</v>
      </c>
      <c r="B27" s="182"/>
      <c r="C27" s="182"/>
      <c r="D27" s="182"/>
      <c r="E27" s="183"/>
      <c r="F27" s="182" t="s">
        <v>100</v>
      </c>
      <c r="G27" s="182"/>
      <c r="H27" s="182"/>
      <c r="I27" s="182"/>
      <c r="J27" s="183"/>
    </row>
    <row r="28" spans="1:14" ht="7.5" customHeight="1" x14ac:dyDescent="0.25">
      <c r="A28" s="21"/>
      <c r="B28" s="182"/>
      <c r="C28" s="182"/>
      <c r="D28" s="182"/>
      <c r="E28" s="183"/>
      <c r="F28" s="182"/>
      <c r="G28" s="182"/>
      <c r="H28" s="182"/>
      <c r="I28" s="182"/>
      <c r="J28" s="183"/>
    </row>
    <row r="29" spans="1:14" x14ac:dyDescent="0.25">
      <c r="A29" s="184" t="s">
        <v>101</v>
      </c>
      <c r="D29" s="182"/>
      <c r="E29" s="182"/>
      <c r="F29" s="21"/>
      <c r="G29" s="346" t="s">
        <v>102</v>
      </c>
      <c r="H29" s="346"/>
      <c r="I29" s="182"/>
      <c r="J29" s="183"/>
    </row>
    <row r="30" spans="1:14" x14ac:dyDescent="0.25">
      <c r="A30" s="184" t="s">
        <v>103</v>
      </c>
      <c r="D30" s="182"/>
      <c r="E30" s="182"/>
      <c r="F30" s="21"/>
      <c r="G30" s="182"/>
      <c r="H30" s="182" t="s">
        <v>90</v>
      </c>
      <c r="I30" s="182"/>
      <c r="J30" s="183"/>
    </row>
    <row r="31" spans="1:14" x14ac:dyDescent="0.25">
      <c r="A31" s="21"/>
      <c r="B31" s="182"/>
      <c r="C31" s="182"/>
      <c r="D31" s="182"/>
      <c r="E31" s="182"/>
      <c r="F31" s="21"/>
      <c r="G31" s="347" t="s">
        <v>104</v>
      </c>
      <c r="H31" s="347"/>
      <c r="I31" s="182"/>
      <c r="J31" s="183"/>
    </row>
    <row r="32" spans="1:14" ht="18" customHeight="1" x14ac:dyDescent="0.25">
      <c r="A32" s="348" t="s">
        <v>105</v>
      </c>
      <c r="B32" s="349"/>
      <c r="C32" s="350" t="s">
        <v>95</v>
      </c>
      <c r="D32" s="350"/>
      <c r="E32" s="351"/>
      <c r="F32" s="182"/>
      <c r="G32" s="350" t="s">
        <v>12</v>
      </c>
      <c r="H32" s="350"/>
      <c r="I32" s="350"/>
      <c r="J32" s="351"/>
    </row>
    <row r="33" spans="1:14" x14ac:dyDescent="0.25">
      <c r="A33" s="332" t="s">
        <v>106</v>
      </c>
      <c r="B33" s="333"/>
      <c r="C33" s="334" t="s">
        <v>107</v>
      </c>
      <c r="D33" s="334"/>
      <c r="E33" s="335"/>
      <c r="F33" s="182"/>
      <c r="G33" s="333" t="s">
        <v>108</v>
      </c>
      <c r="H33" s="333"/>
      <c r="I33" s="333"/>
      <c r="J33" s="336"/>
    </row>
    <row r="34" spans="1:14" ht="9.75" customHeight="1" x14ac:dyDescent="0.25">
      <c r="A34" s="185"/>
      <c r="B34" s="186"/>
      <c r="C34" s="186"/>
      <c r="D34" s="186"/>
      <c r="E34" s="187"/>
      <c r="F34" s="186"/>
      <c r="G34" s="186"/>
      <c r="H34" s="186"/>
      <c r="I34" s="186"/>
      <c r="J34" s="187"/>
    </row>
    <row r="39" spans="1:14" x14ac:dyDescent="0.25">
      <c r="H39" s="369" t="s">
        <v>81</v>
      </c>
      <c r="I39" s="369"/>
      <c r="J39" s="369"/>
    </row>
    <row r="40" spans="1:14" x14ac:dyDescent="0.25">
      <c r="H40" s="370" t="s">
        <v>82</v>
      </c>
      <c r="I40" s="370"/>
      <c r="J40" s="370"/>
    </row>
    <row r="41" spans="1:14" ht="20.25" customHeight="1" x14ac:dyDescent="0.25">
      <c r="A41" s="371" t="s">
        <v>39</v>
      </c>
      <c r="B41" s="372"/>
      <c r="C41" s="372"/>
      <c r="D41" s="372"/>
      <c r="E41" s="372"/>
      <c r="F41" s="372"/>
      <c r="G41" s="372"/>
      <c r="H41" s="372"/>
      <c r="I41" s="372"/>
      <c r="J41" s="373"/>
    </row>
    <row r="42" spans="1:14" ht="15.75" customHeight="1" thickBot="1" x14ac:dyDescent="0.3">
      <c r="A42" s="374" t="s">
        <v>83</v>
      </c>
      <c r="B42" s="375"/>
      <c r="C42" s="375"/>
      <c r="D42" s="375"/>
      <c r="E42" s="375"/>
      <c r="F42" s="375"/>
      <c r="G42" s="375"/>
      <c r="H42" s="375"/>
      <c r="I42" s="375"/>
      <c r="J42" s="376"/>
    </row>
    <row r="43" spans="1:14" ht="18" customHeight="1" thickTop="1" x14ac:dyDescent="0.25">
      <c r="A43" s="21" t="s">
        <v>84</v>
      </c>
      <c r="B43" s="186" t="s">
        <v>110</v>
      </c>
      <c r="C43" s="144"/>
      <c r="D43" s="144"/>
      <c r="E43" s="144"/>
      <c r="F43" s="144"/>
      <c r="G43" s="182" t="s">
        <v>85</v>
      </c>
      <c r="H43" s="145"/>
      <c r="I43" s="146" t="s">
        <v>86</v>
      </c>
      <c r="J43" s="147"/>
    </row>
    <row r="44" spans="1:14" ht="17.25" customHeight="1" x14ac:dyDescent="0.25">
      <c r="A44" s="21" t="s">
        <v>87</v>
      </c>
      <c r="B44" s="380"/>
      <c r="C44" s="378"/>
      <c r="D44" s="146" t="s">
        <v>86</v>
      </c>
      <c r="E44" s="197"/>
      <c r="F44" s="379" t="s">
        <v>88</v>
      </c>
      <c r="G44" s="379"/>
      <c r="H44" s="198"/>
      <c r="I44" s="146" t="s">
        <v>86</v>
      </c>
      <c r="J44" s="201"/>
    </row>
    <row r="45" spans="1:14" ht="17.25" customHeight="1" x14ac:dyDescent="0.25">
      <c r="A45" s="362" t="s">
        <v>89</v>
      </c>
      <c r="B45" s="346"/>
      <c r="C45" s="346"/>
      <c r="D45" s="346"/>
      <c r="E45" s="346"/>
      <c r="F45" s="346"/>
      <c r="G45" s="346"/>
      <c r="H45" s="346"/>
      <c r="I45" s="144"/>
      <c r="J45" s="147" t="s">
        <v>90</v>
      </c>
    </row>
    <row r="46" spans="1:14" ht="5.25" customHeight="1" x14ac:dyDescent="0.25">
      <c r="A46" s="148"/>
      <c r="B46" s="144"/>
      <c r="C46" s="144"/>
      <c r="D46" s="144"/>
      <c r="E46" s="144"/>
      <c r="F46" s="144"/>
      <c r="G46" s="144"/>
      <c r="H46" s="144"/>
      <c r="I46" s="144"/>
      <c r="J46" s="149"/>
    </row>
    <row r="47" spans="1:14" x14ac:dyDescent="0.25">
      <c r="A47" s="150" t="s">
        <v>91</v>
      </c>
      <c r="B47" s="363" t="s">
        <v>4</v>
      </c>
      <c r="C47" s="364"/>
      <c r="D47" s="363" t="s">
        <v>92</v>
      </c>
      <c r="E47" s="367"/>
      <c r="F47" s="367"/>
      <c r="G47" s="367"/>
      <c r="H47" s="364"/>
      <c r="I47" s="363" t="s">
        <v>93</v>
      </c>
      <c r="J47" s="364"/>
    </row>
    <row r="48" spans="1:14" ht="12" customHeight="1" x14ac:dyDescent="0.25">
      <c r="A48" s="151" t="s">
        <v>42</v>
      </c>
      <c r="B48" s="365"/>
      <c r="C48" s="366"/>
      <c r="D48" s="365"/>
      <c r="E48" s="368"/>
      <c r="F48" s="368"/>
      <c r="G48" s="368"/>
      <c r="H48" s="366"/>
      <c r="I48" s="365"/>
      <c r="J48" s="366"/>
      <c r="N48" s="152"/>
    </row>
    <row r="49" spans="1:14" ht="12" customHeight="1" x14ac:dyDescent="0.25">
      <c r="A49" s="153"/>
      <c r="B49" s="154"/>
      <c r="C49" s="155"/>
      <c r="D49" s="255"/>
      <c r="E49" s="156"/>
      <c r="F49" s="156"/>
      <c r="G49" s="156"/>
      <c r="H49" s="157"/>
      <c r="I49" s="154"/>
      <c r="J49" s="158"/>
    </row>
    <row r="50" spans="1:14" ht="12" customHeight="1" x14ac:dyDescent="0.3">
      <c r="A50" s="153"/>
      <c r="B50" s="352" t="s">
        <v>7</v>
      </c>
      <c r="C50" s="381"/>
      <c r="D50" s="247" t="s">
        <v>472</v>
      </c>
      <c r="E50" s="160"/>
      <c r="F50" s="160"/>
      <c r="G50" s="160"/>
      <c r="H50" s="160"/>
      <c r="I50" s="352">
        <v>1</v>
      </c>
      <c r="J50" s="353"/>
    </row>
    <row r="51" spans="1:14" ht="12" customHeight="1" x14ac:dyDescent="0.3">
      <c r="A51" s="153"/>
      <c r="B51" s="352"/>
      <c r="C51" s="381"/>
      <c r="D51" s="247" t="s">
        <v>473</v>
      </c>
      <c r="E51" s="160"/>
      <c r="F51" s="160"/>
      <c r="G51" s="160"/>
      <c r="H51" s="160"/>
      <c r="I51" s="352"/>
      <c r="J51" s="353"/>
    </row>
    <row r="52" spans="1:14" ht="12" customHeight="1" x14ac:dyDescent="0.3">
      <c r="A52" s="153"/>
      <c r="B52" s="352"/>
      <c r="C52" s="381"/>
      <c r="D52" s="256" t="s">
        <v>474</v>
      </c>
      <c r="E52" s="160"/>
      <c r="F52" s="160"/>
      <c r="G52" s="160"/>
      <c r="H52" s="160"/>
      <c r="I52" s="360"/>
      <c r="J52" s="361"/>
    </row>
    <row r="53" spans="1:14" ht="12" customHeight="1" x14ac:dyDescent="0.3">
      <c r="A53" s="153"/>
      <c r="B53" s="352" t="s">
        <v>7</v>
      </c>
      <c r="C53" s="381"/>
      <c r="D53" s="247" t="s">
        <v>475</v>
      </c>
      <c r="E53" s="160"/>
      <c r="F53" s="160"/>
      <c r="G53" s="160"/>
      <c r="H53" s="160"/>
      <c r="I53" s="352">
        <v>1</v>
      </c>
      <c r="J53" s="353"/>
    </row>
    <row r="54" spans="1:14" ht="12" customHeight="1" x14ac:dyDescent="0.3">
      <c r="A54" s="153"/>
      <c r="B54" s="352"/>
      <c r="C54" s="381"/>
      <c r="D54" s="247" t="s">
        <v>476</v>
      </c>
      <c r="E54" s="160"/>
      <c r="F54" s="160"/>
      <c r="G54" s="160"/>
      <c r="H54" s="160"/>
      <c r="I54" s="352"/>
      <c r="J54" s="353"/>
    </row>
    <row r="55" spans="1:14" ht="12" customHeight="1" x14ac:dyDescent="0.3">
      <c r="A55" s="153"/>
      <c r="B55" s="354"/>
      <c r="C55" s="391"/>
      <c r="D55" s="257" t="s">
        <v>477</v>
      </c>
      <c r="E55" s="160"/>
      <c r="F55" s="160"/>
      <c r="G55" s="160"/>
      <c r="H55" s="160"/>
      <c r="I55" s="352"/>
      <c r="J55" s="353"/>
    </row>
    <row r="56" spans="1:14" s="167" customFormat="1" ht="12" customHeight="1" x14ac:dyDescent="0.3">
      <c r="A56" s="163"/>
      <c r="B56" s="356"/>
      <c r="C56" s="392"/>
      <c r="D56" s="228"/>
      <c r="E56" s="164"/>
      <c r="F56" s="164"/>
      <c r="G56" s="164"/>
      <c r="H56" s="165"/>
      <c r="I56" s="358"/>
      <c r="J56" s="359"/>
      <c r="K56" s="166"/>
      <c r="L56" s="164"/>
      <c r="M56" s="8"/>
      <c r="N56" s="8"/>
    </row>
    <row r="57" spans="1:14" s="167" customFormat="1" ht="12" customHeight="1" x14ac:dyDescent="0.3">
      <c r="A57" s="163"/>
      <c r="B57" s="224"/>
      <c r="C57" s="229"/>
      <c r="D57" s="228"/>
      <c r="E57" s="164"/>
      <c r="F57" s="164"/>
      <c r="G57" s="164"/>
      <c r="H57" s="165"/>
      <c r="I57" s="225"/>
      <c r="J57" s="226"/>
      <c r="K57" s="166"/>
      <c r="L57" s="164"/>
      <c r="M57" s="8"/>
      <c r="N57" s="8"/>
    </row>
    <row r="58" spans="1:14" s="167" customFormat="1" ht="12" customHeight="1" x14ac:dyDescent="0.3">
      <c r="A58" s="163"/>
      <c r="B58" s="163"/>
      <c r="C58" s="168"/>
      <c r="D58" s="169"/>
      <c r="E58" s="7"/>
      <c r="F58" s="7"/>
      <c r="G58" s="7"/>
      <c r="H58" s="170"/>
      <c r="I58" s="171"/>
      <c r="J58" s="172"/>
      <c r="L58" s="8"/>
      <c r="M58" s="8"/>
      <c r="N58" s="56"/>
    </row>
    <row r="59" spans="1:14" s="167" customFormat="1" ht="12" customHeight="1" x14ac:dyDescent="0.3">
      <c r="A59" s="163"/>
      <c r="B59" s="163"/>
      <c r="C59" s="168"/>
      <c r="D59" s="173"/>
      <c r="E59" s="159" t="s">
        <v>94</v>
      </c>
      <c r="F59" s="339" t="s">
        <v>12</v>
      </c>
      <c r="G59" s="339"/>
      <c r="H59" s="340"/>
      <c r="I59" s="171"/>
      <c r="J59" s="172"/>
      <c r="M59" s="56"/>
      <c r="N59" s="56"/>
    </row>
    <row r="60" spans="1:14" s="167" customFormat="1" ht="12" customHeight="1" x14ac:dyDescent="0.3">
      <c r="A60" s="163"/>
      <c r="B60" s="163"/>
      <c r="C60" s="168"/>
      <c r="D60" s="174"/>
      <c r="E60" s="159"/>
      <c r="F60" s="339" t="s">
        <v>96</v>
      </c>
      <c r="G60" s="339"/>
      <c r="H60" s="340"/>
      <c r="I60" s="341"/>
      <c r="J60" s="340"/>
    </row>
    <row r="61" spans="1:14" s="167" customFormat="1" ht="12" customHeight="1" x14ac:dyDescent="0.3">
      <c r="A61" s="163"/>
      <c r="B61" s="342"/>
      <c r="C61" s="343"/>
      <c r="D61" s="174"/>
      <c r="E61" s="159"/>
      <c r="F61" s="175"/>
      <c r="G61" s="175"/>
      <c r="H61" s="176"/>
      <c r="I61" s="341"/>
      <c r="J61" s="340"/>
    </row>
    <row r="62" spans="1:14" ht="6" customHeight="1" x14ac:dyDescent="0.25">
      <c r="A62" s="148"/>
      <c r="B62" s="148"/>
      <c r="C62" s="149"/>
      <c r="D62" s="144"/>
      <c r="E62" s="144"/>
      <c r="F62" s="177"/>
      <c r="G62" s="144"/>
      <c r="H62" s="149"/>
      <c r="I62" s="148"/>
      <c r="J62" s="149"/>
    </row>
    <row r="63" spans="1:14" ht="6" customHeight="1" x14ac:dyDescent="0.25">
      <c r="A63" s="148"/>
      <c r="B63" s="148"/>
      <c r="C63" s="149"/>
      <c r="D63" s="148"/>
      <c r="E63" s="144"/>
      <c r="F63" s="177"/>
      <c r="G63" s="144"/>
      <c r="H63" s="149"/>
      <c r="I63" s="148"/>
      <c r="J63" s="149"/>
    </row>
    <row r="64" spans="1:14" ht="15.75" customHeight="1" x14ac:dyDescent="0.25">
      <c r="A64" s="178" t="s">
        <v>97</v>
      </c>
      <c r="B64" s="179"/>
      <c r="C64" s="179"/>
      <c r="D64" s="180"/>
      <c r="E64" s="181"/>
      <c r="F64" s="344" t="s">
        <v>98</v>
      </c>
      <c r="G64" s="344"/>
      <c r="H64" s="344"/>
      <c r="I64" s="344"/>
      <c r="J64" s="345"/>
    </row>
    <row r="65" spans="1:10" ht="17.25" customHeight="1" x14ac:dyDescent="0.25">
      <c r="A65" s="21" t="s">
        <v>99</v>
      </c>
      <c r="B65" s="182"/>
      <c r="C65" s="182"/>
      <c r="D65" s="182"/>
      <c r="E65" s="183"/>
      <c r="F65" s="182" t="s">
        <v>100</v>
      </c>
      <c r="G65" s="182"/>
      <c r="H65" s="182"/>
      <c r="I65" s="182"/>
      <c r="J65" s="183"/>
    </row>
    <row r="66" spans="1:10" ht="7.5" customHeight="1" x14ac:dyDescent="0.25">
      <c r="A66" s="21"/>
      <c r="B66" s="182"/>
      <c r="C66" s="182"/>
      <c r="D66" s="182"/>
      <c r="E66" s="183"/>
      <c r="F66" s="182"/>
      <c r="G66" s="182"/>
      <c r="H66" s="182"/>
      <c r="I66" s="182"/>
      <c r="J66" s="183"/>
    </row>
    <row r="67" spans="1:10" x14ac:dyDescent="0.25">
      <c r="A67" s="184" t="s">
        <v>101</v>
      </c>
      <c r="D67" s="182"/>
      <c r="E67" s="182"/>
      <c r="F67" s="21"/>
      <c r="G67" s="346" t="s">
        <v>102</v>
      </c>
      <c r="H67" s="346"/>
      <c r="I67" s="182"/>
      <c r="J67" s="183"/>
    </row>
    <row r="68" spans="1:10" x14ac:dyDescent="0.25">
      <c r="A68" s="184" t="s">
        <v>103</v>
      </c>
      <c r="D68" s="182"/>
      <c r="E68" s="182"/>
      <c r="F68" s="21"/>
      <c r="G68" s="182"/>
      <c r="H68" s="182" t="s">
        <v>90</v>
      </c>
      <c r="I68" s="182"/>
      <c r="J68" s="183"/>
    </row>
    <row r="69" spans="1:10" x14ac:dyDescent="0.25">
      <c r="A69" s="21"/>
      <c r="B69" s="182"/>
      <c r="C69" s="182"/>
      <c r="D69" s="182"/>
      <c r="E69" s="182"/>
      <c r="F69" s="21"/>
      <c r="G69" s="347" t="s">
        <v>104</v>
      </c>
      <c r="H69" s="347"/>
      <c r="I69" s="182"/>
      <c r="J69" s="183"/>
    </row>
    <row r="70" spans="1:10" ht="18" customHeight="1" x14ac:dyDescent="0.25">
      <c r="A70" s="348" t="s">
        <v>105</v>
      </c>
      <c r="B70" s="349"/>
      <c r="C70" s="350" t="s">
        <v>95</v>
      </c>
      <c r="D70" s="350"/>
      <c r="E70" s="351"/>
      <c r="F70" s="182"/>
      <c r="G70" s="350" t="s">
        <v>12</v>
      </c>
      <c r="H70" s="350"/>
      <c r="I70" s="350"/>
      <c r="J70" s="351"/>
    </row>
    <row r="71" spans="1:10" x14ac:dyDescent="0.25">
      <c r="A71" s="332" t="s">
        <v>106</v>
      </c>
      <c r="B71" s="333"/>
      <c r="C71" s="334" t="s">
        <v>107</v>
      </c>
      <c r="D71" s="334"/>
      <c r="E71" s="335"/>
      <c r="F71" s="182"/>
      <c r="G71" s="333" t="s">
        <v>108</v>
      </c>
      <c r="H71" s="333"/>
      <c r="I71" s="333"/>
      <c r="J71" s="336"/>
    </row>
    <row r="72" spans="1:10" ht="9.75" customHeight="1" x14ac:dyDescent="0.25">
      <c r="A72" s="185"/>
      <c r="B72" s="186"/>
      <c r="C72" s="186"/>
      <c r="D72" s="186"/>
      <c r="E72" s="187"/>
      <c r="F72" s="186"/>
      <c r="G72" s="186"/>
      <c r="H72" s="186"/>
      <c r="I72" s="186"/>
      <c r="J72" s="187"/>
    </row>
  </sheetData>
  <mergeCells count="76">
    <mergeCell ref="A71:B71"/>
    <mergeCell ref="C71:E71"/>
    <mergeCell ref="G71:J71"/>
    <mergeCell ref="F59:H59"/>
    <mergeCell ref="F60:H60"/>
    <mergeCell ref="I60:J60"/>
    <mergeCell ref="B61:C61"/>
    <mergeCell ref="I61:J61"/>
    <mergeCell ref="F64:J64"/>
    <mergeCell ref="G67:H67"/>
    <mergeCell ref="G69:H69"/>
    <mergeCell ref="A70:B70"/>
    <mergeCell ref="C70:E70"/>
    <mergeCell ref="G70:J70"/>
    <mergeCell ref="B54:C54"/>
    <mergeCell ref="I54:J54"/>
    <mergeCell ref="B55:C55"/>
    <mergeCell ref="I55:J55"/>
    <mergeCell ref="B56:C56"/>
    <mergeCell ref="I56:J56"/>
    <mergeCell ref="B51:C51"/>
    <mergeCell ref="I51:J51"/>
    <mergeCell ref="B52:C52"/>
    <mergeCell ref="I52:J52"/>
    <mergeCell ref="B53:C53"/>
    <mergeCell ref="I53:J53"/>
    <mergeCell ref="A45:H45"/>
    <mergeCell ref="B47:C48"/>
    <mergeCell ref="D47:H48"/>
    <mergeCell ref="I47:J48"/>
    <mergeCell ref="B50:C50"/>
    <mergeCell ref="I50:J50"/>
    <mergeCell ref="H39:J39"/>
    <mergeCell ref="H40:J40"/>
    <mergeCell ref="A41:J41"/>
    <mergeCell ref="A42:J42"/>
    <mergeCell ref="B44:C44"/>
    <mergeCell ref="F44:G44"/>
    <mergeCell ref="A33:B33"/>
    <mergeCell ref="C33:E33"/>
    <mergeCell ref="G33:J33"/>
    <mergeCell ref="F21:H21"/>
    <mergeCell ref="F22:H22"/>
    <mergeCell ref="I22:J22"/>
    <mergeCell ref="B23:C23"/>
    <mergeCell ref="I23:J23"/>
    <mergeCell ref="F26:J26"/>
    <mergeCell ref="G29:H29"/>
    <mergeCell ref="G31:H31"/>
    <mergeCell ref="A32:B32"/>
    <mergeCell ref="C32:E32"/>
    <mergeCell ref="G32:J32"/>
    <mergeCell ref="B16:C16"/>
    <mergeCell ref="I16:J16"/>
    <mergeCell ref="B17:C17"/>
    <mergeCell ref="I17:J17"/>
    <mergeCell ref="B18:C18"/>
    <mergeCell ref="I18:J18"/>
    <mergeCell ref="B13:C13"/>
    <mergeCell ref="I13:J13"/>
    <mergeCell ref="B14:C14"/>
    <mergeCell ref="I14:J14"/>
    <mergeCell ref="B15:C15"/>
    <mergeCell ref="I15:J15"/>
    <mergeCell ref="A7:H7"/>
    <mergeCell ref="B9:C10"/>
    <mergeCell ref="D9:H10"/>
    <mergeCell ref="I9:J10"/>
    <mergeCell ref="B12:C12"/>
    <mergeCell ref="I12:J12"/>
    <mergeCell ref="H1:J1"/>
    <mergeCell ref="H2:J2"/>
    <mergeCell ref="A3:J3"/>
    <mergeCell ref="A4:J4"/>
    <mergeCell ref="B6:C6"/>
    <mergeCell ref="F6:G6"/>
  </mergeCells>
  <printOptions horizontalCentered="1"/>
  <pageMargins left="0" right="0" top="0.78740157480314965" bottom="0" header="0.19685039370078741" footer="0.27559055118110237"/>
  <pageSetup paperSize="281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37</vt:i4>
      </vt:variant>
    </vt:vector>
  </HeadingPairs>
  <TitlesOfParts>
    <vt:vector size="72" baseType="lpstr">
      <vt:lpstr>summary of expenses</vt:lpstr>
      <vt:lpstr>CashDR</vt:lpstr>
      <vt:lpstr>RCDisb</vt:lpstr>
      <vt:lpstr>liquidation (2)</vt:lpstr>
      <vt:lpstr>certification</vt:lpstr>
      <vt:lpstr>iar (4)</vt:lpstr>
      <vt:lpstr>iar (5)</vt:lpstr>
      <vt:lpstr>iar (6)</vt:lpstr>
      <vt:lpstr>iar (7)</vt:lpstr>
      <vt:lpstr>iar (9)</vt:lpstr>
      <vt:lpstr>iar (10)</vt:lpstr>
      <vt:lpstr>iar (8)</vt:lpstr>
      <vt:lpstr>iar (11)</vt:lpstr>
      <vt:lpstr>iar (13)</vt:lpstr>
      <vt:lpstr>iar (12)</vt:lpstr>
      <vt:lpstr>iar (15)</vt:lpstr>
      <vt:lpstr>iar (16)</vt:lpstr>
      <vt:lpstr>iar (17)</vt:lpstr>
      <vt:lpstr>iar (14)</vt:lpstr>
      <vt:lpstr>iar (18)</vt:lpstr>
      <vt:lpstr>iar (19)</vt:lpstr>
      <vt:lpstr>iar (20)</vt:lpstr>
      <vt:lpstr>iar (21)</vt:lpstr>
      <vt:lpstr>iar (22)</vt:lpstr>
      <vt:lpstr>iar (23)</vt:lpstr>
      <vt:lpstr>iar (24)</vt:lpstr>
      <vt:lpstr>iar (25)</vt:lpstr>
      <vt:lpstr>iar (26)</vt:lpstr>
      <vt:lpstr>iar (27)</vt:lpstr>
      <vt:lpstr>iar (28)</vt:lpstr>
      <vt:lpstr>iar (29)</vt:lpstr>
      <vt:lpstr>iar (30)</vt:lpstr>
      <vt:lpstr>iar (32)</vt:lpstr>
      <vt:lpstr>iar (31)</vt:lpstr>
      <vt:lpstr>iar (33)</vt:lpstr>
      <vt:lpstr>CashDR!Print_Area</vt:lpstr>
      <vt:lpstr>certification!Print_Area</vt:lpstr>
      <vt:lpstr>'iar (10)'!Print_Area</vt:lpstr>
      <vt:lpstr>'iar (11)'!Print_Area</vt:lpstr>
      <vt:lpstr>'iar (12)'!Print_Area</vt:lpstr>
      <vt:lpstr>'iar (13)'!Print_Area</vt:lpstr>
      <vt:lpstr>'iar (14)'!Print_Area</vt:lpstr>
      <vt:lpstr>'iar (15)'!Print_Area</vt:lpstr>
      <vt:lpstr>'iar (16)'!Print_Area</vt:lpstr>
      <vt:lpstr>'iar (17)'!Print_Area</vt:lpstr>
      <vt:lpstr>'iar (18)'!Print_Area</vt:lpstr>
      <vt:lpstr>'iar (19)'!Print_Area</vt:lpstr>
      <vt:lpstr>'iar (20)'!Print_Area</vt:lpstr>
      <vt:lpstr>'iar (21)'!Print_Area</vt:lpstr>
      <vt:lpstr>'iar (22)'!Print_Area</vt:lpstr>
      <vt:lpstr>'iar (23)'!Print_Area</vt:lpstr>
      <vt:lpstr>'iar (24)'!Print_Area</vt:lpstr>
      <vt:lpstr>'iar (25)'!Print_Area</vt:lpstr>
      <vt:lpstr>'iar (26)'!Print_Area</vt:lpstr>
      <vt:lpstr>'iar (27)'!Print_Area</vt:lpstr>
      <vt:lpstr>'iar (28)'!Print_Area</vt:lpstr>
      <vt:lpstr>'iar (29)'!Print_Area</vt:lpstr>
      <vt:lpstr>'iar (30)'!Print_Area</vt:lpstr>
      <vt:lpstr>'iar (31)'!Print_Area</vt:lpstr>
      <vt:lpstr>'iar (32)'!Print_Area</vt:lpstr>
      <vt:lpstr>'iar (33)'!Print_Area</vt:lpstr>
      <vt:lpstr>'iar (4)'!Print_Area</vt:lpstr>
      <vt:lpstr>'iar (5)'!Print_Area</vt:lpstr>
      <vt:lpstr>'iar (6)'!Print_Area</vt:lpstr>
      <vt:lpstr>'iar (7)'!Print_Area</vt:lpstr>
      <vt:lpstr>'iar (8)'!Print_Area</vt:lpstr>
      <vt:lpstr>'iar (9)'!Print_Area</vt:lpstr>
      <vt:lpstr>RCDisb!Print_Area</vt:lpstr>
      <vt:lpstr>'summary of expenses'!Print_Area</vt:lpstr>
      <vt:lpstr>CashDR!Print_Titles</vt:lpstr>
      <vt:lpstr>RCDisb!Print_Titles</vt:lpstr>
      <vt:lpstr>'summary of expenses'!Print_Titles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picts</dc:creator>
  <cp:lastModifiedBy>PTRI TCMO</cp:lastModifiedBy>
  <cp:lastPrinted>2024-04-08T01:29:44Z</cp:lastPrinted>
  <dcterms:created xsi:type="dcterms:W3CDTF">2019-05-31T01:01:39Z</dcterms:created>
  <dcterms:modified xsi:type="dcterms:W3CDTF">2024-04-08T01:29:52Z</dcterms:modified>
</cp:coreProperties>
</file>