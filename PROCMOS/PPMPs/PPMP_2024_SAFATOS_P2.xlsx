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PTRI\Desktop\"/>
    </mc:Choice>
  </mc:AlternateContent>
  <xr:revisionPtr revIDLastSave="0" documentId="13_ncr:1_{38F4B60D-D0AB-4CD9-87E8-B8CAA0029A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PMP Sample 1 (2)" sheetId="1" r:id="rId1"/>
  </sheets>
  <definedNames>
    <definedName name="_xlnm.Print_Titles" localSheetId="0">'PPMP Sample 1 (2)'!$1:$9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+4Kys7lVe7ntmJXdSJn+Fmww7HA8h3lcMCkUsGl7l7o="/>
    </ext>
  </extLst>
</workbook>
</file>

<file path=xl/calcChain.xml><?xml version="1.0" encoding="utf-8"?>
<calcChain xmlns="http://schemas.openxmlformats.org/spreadsheetml/2006/main">
  <c r="E81" i="1" l="1"/>
  <c r="E80" i="1"/>
  <c r="E110" i="1"/>
  <c r="E60" i="1"/>
  <c r="E65" i="1"/>
  <c r="E52" i="1"/>
  <c r="E51" i="1"/>
  <c r="E11" i="1"/>
  <c r="E12" i="1"/>
  <c r="E13" i="1"/>
  <c r="E14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15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6" i="1"/>
  <c r="E45" i="1"/>
  <c r="E47" i="1"/>
  <c r="E48" i="1"/>
  <c r="E49" i="1"/>
  <c r="E50" i="1"/>
  <c r="E53" i="1"/>
  <c r="E54" i="1"/>
  <c r="E55" i="1"/>
  <c r="E56" i="1"/>
  <c r="E57" i="1"/>
  <c r="E58" i="1"/>
  <c r="E59" i="1"/>
  <c r="E63" i="1"/>
  <c r="E64" i="1"/>
  <c r="E66" i="1"/>
  <c r="E79" i="1"/>
  <c r="E67" i="1"/>
  <c r="E68" i="1"/>
  <c r="E69" i="1"/>
  <c r="E70" i="1"/>
  <c r="E71" i="1"/>
  <c r="E72" i="1"/>
  <c r="E73" i="1"/>
  <c r="E74" i="1"/>
  <c r="E75" i="1"/>
  <c r="E76" i="1"/>
  <c r="E77" i="1"/>
  <c r="E78" i="1"/>
  <c r="E85" i="1"/>
  <c r="E86" i="1"/>
  <c r="E87" i="1"/>
  <c r="E88" i="1"/>
  <c r="E92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1" i="1"/>
  <c r="E124" i="1"/>
  <c r="E112" i="1"/>
  <c r="E113" i="1"/>
  <c r="E122" i="1"/>
  <c r="E123" i="1"/>
  <c r="E114" i="1"/>
  <c r="E121" i="1"/>
  <c r="E115" i="1"/>
  <c r="E120" i="1"/>
  <c r="E116" i="1"/>
  <c r="E117" i="1"/>
  <c r="E118" i="1"/>
  <c r="E119" i="1"/>
  <c r="E125" i="1"/>
  <c r="E126" i="1"/>
  <c r="E127" i="1"/>
  <c r="C166" i="1"/>
  <c r="C167" i="1"/>
  <c r="C168" i="1"/>
  <c r="C169" i="1"/>
  <c r="D127" i="1"/>
  <c r="D1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73" authorId="0" shapeId="0" xr:uid="{00000000-0006-0000-0000-000002000000}">
      <text>
        <r>
          <rPr>
            <sz val="11"/>
            <color theme="1"/>
            <rFont val="Arial"/>
            <scheme val="minor"/>
          </rPr>
          <t>======
ID#AAABEI7QK6w
upmnih    (2021-04-08 04:25:07)
Prepared by: Project Staff/ Research Associate</t>
        </r>
      </text>
    </comment>
    <comment ref="C173" authorId="0" shapeId="0" xr:uid="{00000000-0006-0000-0000-000001000000}">
      <text>
        <r>
          <rPr>
            <sz val="11"/>
            <color theme="1"/>
            <rFont val="Arial"/>
            <scheme val="minor"/>
          </rPr>
          <t>======
ID#AAABEI7QK6s
upmnih    (2021-04-08 04:25:07)
Submitted by: Project Leader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eK0hRnIyXSGaLx+Ta/XUou4vMQw=="/>
    </ext>
  </extLst>
</comments>
</file>

<file path=xl/sharedStrings.xml><?xml version="1.0" encoding="utf-8"?>
<sst xmlns="http://schemas.openxmlformats.org/spreadsheetml/2006/main" count="312" uniqueCount="217">
  <si>
    <t xml:space="preserve">  PROJECT PROCUREMENT MANAGEMENT PLAN (PPMP) 2024</t>
  </si>
  <si>
    <t>For 1st Quarter of CY 2024</t>
  </si>
  <si>
    <t>END-USER/UNIT: RDD-CDABUS</t>
  </si>
  <si>
    <t>Charged to: 3D Warp-Knitted Natural Textile Fiber-Based Spacer Fabrics for the Local Footwear Industry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</si>
  <si>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</si>
  <si>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</si>
  <si>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</si>
  <si>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</si>
  <si>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</si>
  <si>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</si>
  <si>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</si>
  <si>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</si>
  <si>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</si>
  <si>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</si>
  <si>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</si>
  <si>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</si>
  <si>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</si>
  <si>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</si>
  <si>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</si>
  <si>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</si>
  <si>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</si>
  <si>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</si>
  <si>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</si>
  <si>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</si>
  <si>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</si>
  <si>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</si>
  <si>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</si>
  <si>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</si>
  <si>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</si>
  <si>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>32gb OTG flashdrive</t>
  </si>
  <si>
    <t>20 pieces</t>
  </si>
  <si>
    <t>Small Value Procurement</t>
  </si>
  <si>
    <t>16GB microSD card</t>
  </si>
  <si>
    <t>5 pieces</t>
  </si>
  <si>
    <t>Powerbank</t>
  </si>
  <si>
    <t>External hard drive, 1TB</t>
  </si>
  <si>
    <t>Wireless mouse</t>
  </si>
  <si>
    <t>Binder Clip 4 per pack black</t>
  </si>
  <si>
    <t>20 packs</t>
  </si>
  <si>
    <t>Shopping</t>
  </si>
  <si>
    <t>Binder clip 2 per pack black</t>
  </si>
  <si>
    <t>15 packs</t>
  </si>
  <si>
    <t>Paper clip vinyl coated assorted 100s</t>
  </si>
  <si>
    <t>5 packs</t>
  </si>
  <si>
    <t>Envelope document 5/pack</t>
  </si>
  <si>
    <t>10 packs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</si>
  <si>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</si>
  <si>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</si>
  <si>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</si>
  <si>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</si>
  <si>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</si>
  <si>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</si>
  <si>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</si>
  <si>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</si>
  <si>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</si>
  <si>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</si>
  <si>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</si>
  <si>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Certificate paper</t>
  </si>
  <si>
    <t>100 pieces</t>
  </si>
  <si>
    <t>ID and ID laces</t>
  </si>
  <si>
    <t>Manila paper</t>
  </si>
  <si>
    <t>50 pieces</t>
  </si>
  <si>
    <t>A4 paper/500 pcs/ream</t>
  </si>
  <si>
    <t>30 reams</t>
  </si>
  <si>
    <t>Paper shredder</t>
  </si>
  <si>
    <t>1 unit</t>
  </si>
  <si>
    <t>Metal fasteners</t>
  </si>
  <si>
    <t>3 packs</t>
  </si>
  <si>
    <t>Regular pens</t>
  </si>
  <si>
    <t>Permanent markers</t>
  </si>
  <si>
    <t>Transparent tape</t>
  </si>
  <si>
    <t>Stapler</t>
  </si>
  <si>
    <t>3 pieces</t>
  </si>
  <si>
    <t>Staple wires</t>
  </si>
  <si>
    <t>10 boxes</t>
  </si>
  <si>
    <t>10 pieces</t>
  </si>
  <si>
    <t>Scissors</t>
  </si>
  <si>
    <t>Sign Pen (Blue)</t>
  </si>
  <si>
    <t>Ink (for stamp pad) 50 mL</t>
  </si>
  <si>
    <t>5 bottles</t>
  </si>
  <si>
    <t>Desktop (Office Use)</t>
  </si>
  <si>
    <t>2 units</t>
  </si>
  <si>
    <t>Negotiated Procurement</t>
  </si>
  <si>
    <t>Laptop</t>
  </si>
  <si>
    <t>4 units</t>
  </si>
  <si>
    <t>Wireless Mouse</t>
  </si>
  <si>
    <t>Printer (Inkjet)</t>
  </si>
  <si>
    <t>Ruler</t>
  </si>
  <si>
    <t>Note Pad (Stick-on)</t>
  </si>
  <si>
    <t>Record Book (500 pages)</t>
  </si>
  <si>
    <t>File Tab/Index Divider (Bristol Board, Legal)</t>
  </si>
  <si>
    <t>Marker (Permanent, Black)</t>
  </si>
  <si>
    <t>5 boxes</t>
  </si>
  <si>
    <t>Marker (Permanenent, Blue)</t>
  </si>
  <si>
    <t>Marker (Permanent, Red)</t>
  </si>
  <si>
    <t>Stamp Pad (Felt)</t>
  </si>
  <si>
    <t>Paper (Multicopy, A4 Size)</t>
  </si>
  <si>
    <t>Paper (Multicopy, Legall Size)</t>
  </si>
  <si>
    <t>Laboratory Supplies</t>
  </si>
  <si>
    <t>70% Isopropyl alcohol</t>
  </si>
  <si>
    <t>20 units</t>
  </si>
  <si>
    <t>Sodium Hydroxide, Technical grade, ≥48% purity, 30kg/cby</t>
  </si>
  <si>
    <t>30 cby</t>
  </si>
  <si>
    <t>Glacial Acetic Acid, Technical grade, ≥98% purity, 30 kg/cby</t>
  </si>
  <si>
    <t>10 cby</t>
  </si>
  <si>
    <t>Hydrogen Peroxide, Technical grade, ≥48% purity, 35 kg/cby</t>
  </si>
  <si>
    <t>20 cby</t>
  </si>
  <si>
    <t>Nylon Bags Dimensions: 35 cm x 41.5 cm 10 pcs per pack</t>
  </si>
  <si>
    <t>Cellulase Enzyme</t>
  </si>
  <si>
    <t>Yarns for Raschel Knitting Machine</t>
  </si>
  <si>
    <t>1 lot</t>
  </si>
  <si>
    <t>Warping Beams</t>
  </si>
  <si>
    <t>24 units</t>
  </si>
  <si>
    <t>NTF Yarns</t>
  </si>
  <si>
    <t>Cleanmate</t>
  </si>
  <si>
    <t>25 units</t>
  </si>
  <si>
    <t>Sodium Metabisulfite, Technical Grade, 25kg/bag</t>
  </si>
  <si>
    <t>5 bags</t>
  </si>
  <si>
    <t>Sodium Silicate, Technical Grade, 4L/gal</t>
  </si>
  <si>
    <t>10 gal</t>
  </si>
  <si>
    <t>Sulfuric Acid, 98% Concentration, Macron-2876-69, 2.5L/btl</t>
  </si>
  <si>
    <t>5 btls</t>
  </si>
  <si>
    <t>Sodium Hydrosulfite, Technical Grade, 1kg/pack</t>
  </si>
  <si>
    <t>Ferrous Sulphate, Technical Grade, 1kg/pack</t>
  </si>
  <si>
    <t>Sodium Alginate, AR Grade, CAS No. 9005-38-3 1kg/btl</t>
  </si>
  <si>
    <t>2 btls</t>
  </si>
  <si>
    <t>Chitosan, from crab shell, CAS:9012-76-4, 500g/btl</t>
  </si>
  <si>
    <t xml:space="preserve">Other Professional Services </t>
  </si>
  <si>
    <t>Laborers, Hazard Pay, Gratuity Pay</t>
  </si>
  <si>
    <t>Travelling Expenses</t>
  </si>
  <si>
    <t>Foreign travel</t>
  </si>
  <si>
    <t>Local Travel</t>
  </si>
  <si>
    <t>Other Supplies and Materials</t>
  </si>
  <si>
    <t>Fire Extinguisher</t>
  </si>
  <si>
    <t>Monobloc Chair</t>
  </si>
  <si>
    <t>30 pieces</t>
  </si>
  <si>
    <t>Electric Fan (Industrial, Ground Type)</t>
  </si>
  <si>
    <t>Electric Fan (Stand Type)</t>
  </si>
  <si>
    <t>Tissue (Interfolded Paper Towel, 150 pulls)</t>
  </si>
  <si>
    <t>Toilet Tissue Paper (2ply)</t>
  </si>
  <si>
    <t>50 rolls</t>
  </si>
  <si>
    <t>Ink Cartridge, EPSON C13T664100 (T6641), Black</t>
  </si>
  <si>
    <t>Ink Cartridge, EPSON C13T664200 (T6642), Cyan</t>
  </si>
  <si>
    <t>Ink Cartridge, EPSON C13T664300 (T6643), Magenta</t>
  </si>
  <si>
    <t>Ink Cartridge, EPSON C13T664400 (T6644), Yellow</t>
  </si>
  <si>
    <t>Air Freshener (Aerosol Type, 150g)</t>
  </si>
  <si>
    <t>20 bottles</t>
  </si>
  <si>
    <t>Cleaner (Toilet Bowl and Urinal)</t>
  </si>
  <si>
    <t>Detergent Bar</t>
  </si>
  <si>
    <t>Detergent Powder (1kg)</t>
  </si>
  <si>
    <t>Disinfectant Spray (Aerosol Type)</t>
  </si>
  <si>
    <t>Liquid Hand Soap (150 mL)</t>
  </si>
  <si>
    <t>Mop Bucket</t>
  </si>
  <si>
    <t>Mop Handle</t>
  </si>
  <si>
    <t>Mop Head</t>
  </si>
  <si>
    <t>Rags (All Cotton)</t>
  </si>
  <si>
    <t>Trashbag (Black, XL)</t>
  </si>
  <si>
    <t>Waste Basket</t>
  </si>
  <si>
    <t>Air Conditioning Unit, Window Inverter Type</t>
  </si>
  <si>
    <t>White Board</t>
  </si>
  <si>
    <t>Smart Television</t>
  </si>
  <si>
    <t>Microphone</t>
  </si>
  <si>
    <t>Speakers</t>
  </si>
  <si>
    <t>Indigo Powder (1kg)</t>
  </si>
  <si>
    <t>Network Routers</t>
  </si>
  <si>
    <t>5 units</t>
  </si>
  <si>
    <t>Scanner (Colored, Double-sided, Feeder Type)</t>
  </si>
  <si>
    <t>Sustainable Shoes</t>
  </si>
  <si>
    <t>Shoe Prototypes</t>
  </si>
  <si>
    <t>Spacer Fabrics</t>
  </si>
  <si>
    <t>Utilities Expenses</t>
  </si>
  <si>
    <t xml:space="preserve">Water </t>
  </si>
  <si>
    <t xml:space="preserve">1 lot </t>
  </si>
  <si>
    <t>Electricity</t>
  </si>
  <si>
    <t>Communication Expenses</t>
  </si>
  <si>
    <t>Telephone and Mobile Phone</t>
  </si>
  <si>
    <t xml:space="preserve">Postage and Courier </t>
  </si>
  <si>
    <t>Internet Subscription</t>
  </si>
  <si>
    <t>Repair and Maintenance</t>
  </si>
  <si>
    <t>Repair and Maintenance Expenses (Transportation)</t>
  </si>
  <si>
    <t>Repair and Maintenance Expenses (Furniture and Fixtures)</t>
  </si>
  <si>
    <t>Repair and Maintenance Expenses (Machinery and Equipment)</t>
  </si>
  <si>
    <t>Repair and Maintenance Expenses (Buildings and Other Structures)</t>
  </si>
  <si>
    <t>Others</t>
  </si>
  <si>
    <t>Representation Expenses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</si>
  <si>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</si>
  <si>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</si>
  <si>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</si>
  <si>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</si>
  <si>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</si>
  <si>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</si>
  <si>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</si>
  <si>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</si>
  <si>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</si>
  <si>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________________________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</si>
  <si>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</si>
  <si>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</si>
  <si>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</si>
  <si>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</si>
  <si>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</si>
  <si>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</si>
  <si>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</si>
  <si>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</si>
  <si>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Folder for Legal size documents, 10 pcs per pack</t>
  </si>
  <si>
    <t>Masking Tape</t>
  </si>
  <si>
    <t>Sticker Paper</t>
  </si>
  <si>
    <t>Specialty Paper</t>
  </si>
  <si>
    <t>Vellum Board</t>
  </si>
  <si>
    <t>30 kgs</t>
  </si>
  <si>
    <t>Double-sided Tape</t>
  </si>
  <si>
    <t>Tailor's Chalk</t>
  </si>
  <si>
    <t>Enzyme finishing of fabrics (350 kgs in total)</t>
  </si>
  <si>
    <t>Knitting services (800 m in total)</t>
  </si>
  <si>
    <t>Yarn Finishing services (mercerization, dyeing) (20 kgs in total)</t>
  </si>
  <si>
    <t>20 boxes</t>
  </si>
  <si>
    <t>pH Paper (100 strips/box)</t>
  </si>
  <si>
    <t>Zip Lock Bags (Clear, 20 x 30 inches) (100 pieces)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</si>
</sst>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4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  <scheme val="minor"/>
    </font>
    <font>
      <sz val="11"/>
      <color theme="1"/>
      <name val="Arial"/>
    </font>
    <font>
      <sz val="11"/>
      <color rgb="FF1F1F1F"/>
      <name val="Arial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b/>
      <u/>
      <sz val="10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/>
    </xf>
    <xf numFmtId="4" fontId="11" fillId="0" borderId="12" xfId="0" applyNumberFormat="1" applyFont="1" applyBorder="1" applyAlignment="1">
      <alignment horizontal="right"/>
    </xf>
    <xf numFmtId="0" fontId="11" fillId="0" borderId="12" xfId="0" applyFont="1" applyBorder="1"/>
    <xf numFmtId="0" fontId="2" fillId="0" borderId="13" xfId="0" applyFont="1" applyBorder="1"/>
    <xf numFmtId="0" fontId="11" fillId="0" borderId="14" xfId="0" applyFont="1" applyBorder="1" applyAlignment="1">
      <alignment horizontal="center"/>
    </xf>
    <xf numFmtId="4" fontId="11" fillId="0" borderId="14" xfId="0" applyNumberFormat="1" applyFont="1" applyBorder="1" applyAlignment="1">
      <alignment horizontal="right"/>
    </xf>
    <xf numFmtId="0" fontId="11" fillId="0" borderId="15" xfId="0" applyFont="1" applyBorder="1"/>
    <xf numFmtId="0" fontId="11" fillId="0" borderId="16" xfId="0" applyFont="1" applyBorder="1" applyAlignment="1">
      <alignment horizontal="center"/>
    </xf>
    <xf numFmtId="4" fontId="11" fillId="0" borderId="16" xfId="0" applyNumberFormat="1" applyFont="1" applyBorder="1" applyAlignment="1">
      <alignment horizontal="right"/>
    </xf>
    <xf numFmtId="0" fontId="13" fillId="0" borderId="13" xfId="0" applyFont="1" applyBorder="1"/>
    <xf numFmtId="0" fontId="2" fillId="0" borderId="10" xfId="0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right" vertical="center" wrapText="1"/>
    </xf>
    <xf numFmtId="164" fontId="2" fillId="0" borderId="10" xfId="0" applyNumberFormat="1" applyFont="1" applyBorder="1" applyAlignment="1">
      <alignment horizontal="right" vertical="center" wrapText="1"/>
    </xf>
    <xf numFmtId="0" fontId="10" fillId="2" borderId="17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/>
    </xf>
    <xf numFmtId="4" fontId="2" fillId="2" borderId="13" xfId="0" applyNumberFormat="1" applyFont="1" applyFill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3" xfId="0" applyFont="1" applyFill="1" applyBorder="1"/>
    <xf numFmtId="0" fontId="2" fillId="0" borderId="15" xfId="0" applyFont="1" applyBorder="1"/>
    <xf numFmtId="49" fontId="14" fillId="3" borderId="13" xfId="0" applyNumberFormat="1" applyFont="1" applyFill="1" applyBorder="1"/>
    <xf numFmtId="49" fontId="11" fillId="3" borderId="13" xfId="0" applyNumberFormat="1" applyFont="1" applyFill="1" applyBorder="1" applyAlignment="1">
      <alignment horizontal="left"/>
    </xf>
    <xf numFmtId="0" fontId="11" fillId="3" borderId="13" xfId="0" applyFont="1" applyFill="1" applyBorder="1" applyAlignment="1">
      <alignment horizontal="left"/>
    </xf>
    <xf numFmtId="49" fontId="2" fillId="0" borderId="13" xfId="0" applyNumberFormat="1" applyFont="1" applyBorder="1" applyAlignment="1">
      <alignment wrapText="1"/>
    </xf>
    <xf numFmtId="3" fontId="2" fillId="0" borderId="12" xfId="0" applyNumberFormat="1" applyFont="1" applyBorder="1" applyAlignment="1">
      <alignment horizontal="center"/>
    </xf>
    <xf numFmtId="164" fontId="2" fillId="0" borderId="12" xfId="0" applyNumberFormat="1" applyFont="1" applyBorder="1"/>
    <xf numFmtId="3" fontId="2" fillId="0" borderId="15" xfId="0" applyNumberFormat="1" applyFont="1" applyBorder="1" applyAlignment="1">
      <alignment horizontal="center"/>
    </xf>
    <xf numFmtId="164" fontId="2" fillId="0" borderId="15" xfId="0" applyNumberFormat="1" applyFont="1" applyBorder="1"/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4" fontId="2" fillId="0" borderId="15" xfId="0" applyNumberFormat="1" applyFont="1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4" fontId="2" fillId="0" borderId="14" xfId="0" applyNumberFormat="1" applyFont="1" applyBorder="1" applyAlignment="1">
      <alignment horizontal="right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/>
    </xf>
    <xf numFmtId="4" fontId="2" fillId="3" borderId="10" xfId="0" applyNumberFormat="1" applyFont="1" applyFill="1" applyBorder="1" applyAlignment="1">
      <alignment horizontal="right"/>
    </xf>
    <xf numFmtId="0" fontId="2" fillId="3" borderId="10" xfId="0" applyFont="1" applyFill="1" applyBorder="1" applyAlignment="1">
      <alignment horizontal="right"/>
    </xf>
    <xf numFmtId="0" fontId="2" fillId="3" borderId="13" xfId="0" applyFont="1" applyFill="1" applyBorder="1"/>
    <xf numFmtId="0" fontId="13" fillId="0" borderId="16" xfId="0" applyFont="1" applyBorder="1" applyAlignment="1">
      <alignment horizontal="center"/>
    </xf>
    <xf numFmtId="164" fontId="2" fillId="0" borderId="16" xfId="0" applyNumberFormat="1" applyFont="1" applyBorder="1" applyAlignment="1">
      <alignment horizontal="right" vertical="center" wrapText="1"/>
    </xf>
    <xf numFmtId="0" fontId="2" fillId="2" borderId="16" xfId="0" applyFont="1" applyFill="1" applyBorder="1" applyAlignment="1">
      <alignment horizontal="center"/>
    </xf>
    <xf numFmtId="4" fontId="2" fillId="2" borderId="16" xfId="0" applyNumberFormat="1" applyFont="1" applyFill="1" applyBorder="1" applyAlignment="1">
      <alignment horizontal="right"/>
    </xf>
    <xf numFmtId="0" fontId="2" fillId="3" borderId="16" xfId="0" applyFont="1" applyFill="1" applyBorder="1" applyAlignment="1">
      <alignment horizontal="center"/>
    </xf>
    <xf numFmtId="4" fontId="2" fillId="3" borderId="16" xfId="0" applyNumberFormat="1" applyFont="1" applyFill="1" applyBorder="1" applyAlignment="1">
      <alignment horizontal="right"/>
    </xf>
    <xf numFmtId="0" fontId="2" fillId="3" borderId="13" xfId="0" applyFont="1" applyFill="1" applyBorder="1" applyAlignment="1">
      <alignment horizontal="right"/>
    </xf>
    <xf numFmtId="0" fontId="13" fillId="0" borderId="13" xfId="0" applyFont="1" applyBorder="1" applyAlignment="1">
      <alignment horizontal="right"/>
    </xf>
    <xf numFmtId="0" fontId="10" fillId="0" borderId="1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 wrapText="1"/>
    </xf>
    <xf numFmtId="4" fontId="2" fillId="0" borderId="13" xfId="0" applyNumberFormat="1" applyFont="1" applyBorder="1" applyAlignment="1">
      <alignment horizontal="right" vertical="center" wrapText="1"/>
    </xf>
    <xf numFmtId="164" fontId="2" fillId="0" borderId="13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4" fontId="2" fillId="0" borderId="22" xfId="0" applyNumberFormat="1" applyFont="1" applyBorder="1" applyAlignment="1">
      <alignment horizontal="right"/>
    </xf>
    <xf numFmtId="0" fontId="16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6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15" fillId="0" borderId="0" xfId="0" applyFont="1"/>
    <xf numFmtId="164" fontId="15" fillId="0" borderId="0" xfId="0" applyNumberFormat="1" applyFont="1" applyAlignment="1">
      <alignment horizont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" fontId="15" fillId="0" borderId="0" xfId="0" applyNumberFormat="1" applyFont="1" applyAlignment="1">
      <alignment horizontal="right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4" fontId="20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21" fillId="0" borderId="0" xfId="0" applyFont="1" applyAlignment="1">
      <alignment horizontal="left" vertical="center" wrapText="1"/>
    </xf>
    <xf numFmtId="0" fontId="2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6" xfId="0" applyFont="1" applyBorder="1"/>
    <xf numFmtId="0" fontId="6" fillId="0" borderId="2" xfId="0" applyFont="1" applyBorder="1" applyAlignment="1">
      <alignment horizontal="center" vertical="center" wrapText="1"/>
    </xf>
    <xf numFmtId="0" fontId="8" fillId="0" borderId="7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164" fontId="1" fillId="0" borderId="20" xfId="0" applyNumberFormat="1" applyFont="1" applyBorder="1" applyAlignment="1">
      <alignment horizontal="center"/>
    </xf>
    <xf numFmtId="0" fontId="8" fillId="0" borderId="21" xfId="0" applyFont="1" applyBorder="1"/>
    <xf numFmtId="0" fontId="8" fillId="0" borderId="12" xfId="0" applyFont="1" applyBorder="1"/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164" fontId="1" fillId="0" borderId="0" xfId="0" applyNumberFormat="1" applyFont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0" fontId="8" fillId="0" borderId="24" xfId="0" applyFont="1" applyBorder="1"/>
    <xf numFmtId="0" fontId="8" fillId="0" borderId="15" xfId="0" applyFont="1" applyBorder="1"/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wrapText="1"/>
    </xf>
    <xf numFmtId="164" fontId="23" fillId="0" borderId="0" xfId="0" applyNumberFormat="1" applyFont="1" applyAlignment="1">
      <alignment horizontal="left" vertical="center" wrapText="1"/>
    </xf>
    <xf numFmtId="164" fontId="15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25" xfId="0" applyFont="1" applyBorder="1"/>
    <xf numFmtId="0" fontId="7" fillId="0" borderId="26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4" fontId="6" fillId="2" borderId="10" xfId="0" applyNumberFormat="1" applyFont="1" applyFill="1" applyBorder="1" applyAlignment="1">
      <alignment horizontal="right" vertical="center" wrapText="1"/>
    </xf>
    <xf numFmtId="164" fontId="6" fillId="2" borderId="10" xfId="0" applyNumberFormat="1" applyFont="1" applyFill="1" applyBorder="1" applyAlignment="1">
      <alignment horizontal="right" vertical="center" wrapText="1"/>
    </xf>
    <xf numFmtId="0" fontId="11" fillId="0" borderId="17" xfId="0" applyFont="1" applyBorder="1" applyAlignment="1">
      <alignment horizontal="left"/>
    </xf>
    <xf numFmtId="0" fontId="2" fillId="0" borderId="27" xfId="0" applyFont="1" applyBorder="1"/>
    <xf numFmtId="49" fontId="11" fillId="0" borderId="17" xfId="0" applyNumberFormat="1" applyFont="1" applyBorder="1"/>
    <xf numFmtId="49" fontId="11" fillId="0" borderId="17" xfId="0" applyNumberFormat="1" applyFont="1" applyBorder="1" applyAlignment="1">
      <alignment horizontal="left"/>
    </xf>
    <xf numFmtId="49" fontId="2" fillId="0" borderId="17" xfId="0" applyNumberFormat="1" applyFont="1" applyBorder="1"/>
    <xf numFmtId="0" fontId="2" fillId="2" borderId="27" xfId="0" applyFont="1" applyFill="1" applyBorder="1"/>
    <xf numFmtId="49" fontId="2" fillId="0" borderId="17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wrapText="1"/>
    </xf>
    <xf numFmtId="0" fontId="10" fillId="3" borderId="17" xfId="0" applyFont="1" applyFill="1" applyBorder="1" applyAlignment="1">
      <alignment horizontal="left" vertical="center"/>
    </xf>
    <xf numFmtId="0" fontId="2" fillId="3" borderId="27" xfId="0" applyFont="1" applyFill="1" applyBorder="1"/>
    <xf numFmtId="0" fontId="13" fillId="0" borderId="27" xfId="0" applyFont="1" applyBorder="1"/>
    <xf numFmtId="0" fontId="11" fillId="0" borderId="17" xfId="0" applyFont="1" applyBorder="1"/>
    <xf numFmtId="0" fontId="13" fillId="0" borderId="17" xfId="0" applyFont="1" applyBorder="1"/>
    <xf numFmtId="0" fontId="2" fillId="3" borderId="17" xfId="0" applyFont="1" applyFill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11" fillId="0" borderId="15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8" xfId="0" applyFont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11" fillId="0" borderId="15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left"/>
    </xf>
    <xf numFmtId="0" fontId="2" fillId="0" borderId="20" xfId="0" applyFont="1" applyBorder="1"/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087"/>
  <sheetViews>
    <sheetView tabSelected="1" topLeftCell="A49" zoomScale="60" zoomScaleNormal="60" workbookViewId="0">
      <selection activeCell="D69" sqref="D69"/>
    </sheetView>
  </sheetViews>
  <sheetFormatPr defaultColWidth="12.59765625" defaultRowHeight="15" customHeight="1" x14ac:dyDescent="0.25"/>
  <cols>
    <col min="1" max="1" width="7.59765625" customWidth="1"/>
    <col min="2" max="2" width="61.09765625" customWidth="1"/>
    <col min="3" max="3" width="11.59765625" customWidth="1"/>
    <col min="4" max="4" width="11.69921875" customWidth="1"/>
    <col min="5" max="5" width="12.69921875" customWidth="1"/>
    <col min="6" max="6" width="23.19921875" customWidth="1"/>
    <col min="7" max="7" width="10.3984375" customWidth="1"/>
    <col min="8" max="10" width="7.59765625" style="176" customWidth="1"/>
    <col min="11" max="12" width="7.59765625" customWidth="1"/>
    <col min="13" max="13" width="11.3984375" customWidth="1"/>
    <col min="14" max="15" width="7.59765625" customWidth="1"/>
    <col min="16" max="16" width="10.19921875" customWidth="1"/>
    <col min="17" max="17" width="9.19921875" customWidth="1"/>
    <col min="18" max="18" width="7.59765625" customWidth="1"/>
    <col min="19" max="19" width="9.5" customWidth="1"/>
    <col min="20" max="20" width="9.8984375" customWidth="1"/>
    <col min="21" max="21" width="11.19921875" customWidth="1"/>
  </cols>
  <sheetData>
    <row r="1" spans="1:21" ht="15.6" x14ac:dyDescent="0.25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</row>
    <row r="2" spans="1:21" ht="13.8" x14ac:dyDescent="0.25">
      <c r="A2" s="102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</row>
    <row r="3" spans="1:21" ht="13.8" x14ac:dyDescent="0.25">
      <c r="A3" s="103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</row>
    <row r="4" spans="1:21" ht="15.6" x14ac:dyDescent="0.25">
      <c r="A4" s="3" t="s">
        <v>2</v>
      </c>
      <c r="B4" s="4"/>
      <c r="C4" s="5"/>
      <c r="D4" s="6"/>
      <c r="E4" s="7"/>
      <c r="F4" s="4"/>
      <c r="G4" s="4"/>
      <c r="H4" s="2"/>
      <c r="I4" s="2"/>
      <c r="J4" s="2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5.6" x14ac:dyDescent="0.25">
      <c r="A5" s="8"/>
      <c r="B5" s="4"/>
      <c r="C5" s="2"/>
      <c r="D5" s="9"/>
      <c r="E5" s="10"/>
      <c r="F5" s="11"/>
      <c r="G5" s="11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6" x14ac:dyDescent="0.25">
      <c r="A6" s="3" t="s">
        <v>3</v>
      </c>
      <c r="B6" s="4"/>
      <c r="C6" s="2"/>
      <c r="D6" s="9"/>
      <c r="E6" s="10"/>
      <c r="F6" s="11"/>
      <c r="G6" s="11"/>
      <c r="H6" s="2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6" x14ac:dyDescent="0.25">
      <c r="A7" s="8" t="s">
        <v>4</v>
      </c>
      <c r="B7" s="4"/>
      <c r="C7" s="2"/>
      <c r="D7" s="9"/>
      <c r="E7" s="10"/>
      <c r="F7" s="11"/>
      <c r="G7" s="11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22.5" customHeight="1" x14ac:dyDescent="0.25">
      <c r="A8" s="104" t="s">
        <v>5</v>
      </c>
      <c r="B8" s="106" t="s">
        <v>6</v>
      </c>
      <c r="C8" s="12" t="s">
        <v>7</v>
      </c>
      <c r="D8" s="108" t="s">
        <v>8</v>
      </c>
      <c r="E8" s="109" t="s">
        <v>9</v>
      </c>
      <c r="F8" s="120" t="s">
        <v>10</v>
      </c>
      <c r="G8" s="106" t="s">
        <v>11</v>
      </c>
      <c r="H8" s="110" t="s">
        <v>12</v>
      </c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35"/>
    </row>
    <row r="9" spans="1:21" ht="39.6" x14ac:dyDescent="0.25">
      <c r="A9" s="105"/>
      <c r="B9" s="107"/>
      <c r="C9" s="13" t="s">
        <v>13</v>
      </c>
      <c r="D9" s="107"/>
      <c r="E9" s="107"/>
      <c r="F9" s="107"/>
      <c r="G9" s="107"/>
      <c r="H9" s="177" t="s">
        <v>14</v>
      </c>
      <c r="I9" s="177" t="s">
        <v>15</v>
      </c>
      <c r="J9" s="177" t="s">
        <v>16</v>
      </c>
      <c r="K9" s="14" t="s">
        <v>17</v>
      </c>
      <c r="L9" s="14" t="s">
        <v>18</v>
      </c>
      <c r="M9" s="14" t="s">
        <v>19</v>
      </c>
      <c r="N9" s="14" t="s">
        <v>20</v>
      </c>
      <c r="O9" s="14" t="s">
        <v>21</v>
      </c>
      <c r="P9" s="14" t="s">
        <v>22</v>
      </c>
      <c r="Q9" s="14" t="s">
        <v>23</v>
      </c>
      <c r="R9" s="14" t="s">
        <v>24</v>
      </c>
      <c r="S9" s="14" t="s">
        <v>25</v>
      </c>
      <c r="T9" s="14" t="s">
        <v>26</v>
      </c>
      <c r="U9" s="136" t="s">
        <v>27</v>
      </c>
    </row>
    <row r="10" spans="1:21" ht="13.8" x14ac:dyDescent="0.25">
      <c r="A10" s="15"/>
      <c r="B10" s="16" t="s">
        <v>28</v>
      </c>
      <c r="C10" s="137"/>
      <c r="D10" s="138"/>
      <c r="E10" s="139"/>
      <c r="F10" s="17"/>
      <c r="G10" s="17"/>
      <c r="H10" s="178"/>
      <c r="I10" s="178"/>
      <c r="J10" s="178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66"/>
    </row>
    <row r="11" spans="1:21" ht="13.8" x14ac:dyDescent="0.25">
      <c r="A11" s="18"/>
      <c r="B11" s="140" t="s">
        <v>29</v>
      </c>
      <c r="C11" s="19" t="s">
        <v>30</v>
      </c>
      <c r="D11" s="20">
        <v>625</v>
      </c>
      <c r="E11" s="20">
        <f t="shared" ref="E11:E42" si="0">D11*H11</f>
        <v>12500</v>
      </c>
      <c r="F11" s="156" t="s">
        <v>31</v>
      </c>
      <c r="G11" s="21"/>
      <c r="H11" s="19">
        <v>20</v>
      </c>
      <c r="I11" s="167"/>
      <c r="J11" s="168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141"/>
    </row>
    <row r="12" spans="1:21" ht="13.8" x14ac:dyDescent="0.25">
      <c r="A12" s="18"/>
      <c r="B12" s="140" t="s">
        <v>32</v>
      </c>
      <c r="C12" s="23" t="s">
        <v>33</v>
      </c>
      <c r="D12" s="24">
        <v>600</v>
      </c>
      <c r="E12" s="20">
        <f t="shared" si="0"/>
        <v>3000</v>
      </c>
      <c r="F12" s="157"/>
      <c r="G12" s="21"/>
      <c r="H12" s="19">
        <v>5</v>
      </c>
      <c r="I12" s="167"/>
      <c r="J12" s="168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141"/>
    </row>
    <row r="13" spans="1:21" ht="13.8" x14ac:dyDescent="0.25">
      <c r="A13" s="18"/>
      <c r="B13" s="142" t="s">
        <v>34</v>
      </c>
      <c r="C13" s="26" t="s">
        <v>33</v>
      </c>
      <c r="D13" s="27">
        <v>1000</v>
      </c>
      <c r="E13" s="20">
        <f t="shared" si="0"/>
        <v>5000</v>
      </c>
      <c r="F13" s="157"/>
      <c r="G13" s="21"/>
      <c r="H13" s="19">
        <v>5</v>
      </c>
      <c r="I13" s="167"/>
      <c r="J13" s="168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141"/>
    </row>
    <row r="14" spans="1:21" ht="13.8" x14ac:dyDescent="0.25">
      <c r="A14" s="18"/>
      <c r="B14" s="143" t="s">
        <v>35</v>
      </c>
      <c r="C14" s="26" t="s">
        <v>33</v>
      </c>
      <c r="D14" s="27">
        <v>5000</v>
      </c>
      <c r="E14" s="20">
        <f t="shared" si="0"/>
        <v>25000</v>
      </c>
      <c r="F14" s="157"/>
      <c r="G14" s="25"/>
      <c r="H14" s="155">
        <v>5</v>
      </c>
      <c r="I14" s="167"/>
      <c r="J14" s="168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141"/>
    </row>
    <row r="15" spans="1:21" ht="15.75" customHeight="1" x14ac:dyDescent="0.25">
      <c r="A15" s="18"/>
      <c r="B15" s="142" t="s">
        <v>64</v>
      </c>
      <c r="C15" s="26" t="s">
        <v>65</v>
      </c>
      <c r="D15" s="27">
        <v>5000</v>
      </c>
      <c r="E15" s="20">
        <f>D15*H15</f>
        <v>5000</v>
      </c>
      <c r="F15" s="157"/>
      <c r="G15" s="22"/>
      <c r="H15" s="168">
        <v>1</v>
      </c>
      <c r="I15" s="167"/>
      <c r="J15" s="168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41"/>
    </row>
    <row r="16" spans="1:21" ht="13.8" x14ac:dyDescent="0.25">
      <c r="A16" s="18"/>
      <c r="B16" s="143" t="s">
        <v>36</v>
      </c>
      <c r="C16" s="26" t="s">
        <v>33</v>
      </c>
      <c r="D16" s="27">
        <v>500</v>
      </c>
      <c r="E16" s="20">
        <f t="shared" si="0"/>
        <v>2500</v>
      </c>
      <c r="F16" s="158"/>
      <c r="G16" s="21"/>
      <c r="H16" s="19">
        <v>5</v>
      </c>
      <c r="I16" s="167"/>
      <c r="J16" s="16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141"/>
    </row>
    <row r="17" spans="1:21" ht="13.8" x14ac:dyDescent="0.25">
      <c r="A17" s="18"/>
      <c r="B17" s="142" t="s">
        <v>37</v>
      </c>
      <c r="C17" s="26" t="s">
        <v>38</v>
      </c>
      <c r="D17" s="27">
        <v>25</v>
      </c>
      <c r="E17" s="20">
        <f t="shared" si="0"/>
        <v>500</v>
      </c>
      <c r="F17" s="156" t="s">
        <v>39</v>
      </c>
      <c r="G17" s="25"/>
      <c r="H17" s="155">
        <v>20</v>
      </c>
      <c r="I17" s="167"/>
      <c r="J17" s="16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141"/>
    </row>
    <row r="18" spans="1:21" ht="13.8" x14ac:dyDescent="0.25">
      <c r="A18" s="18"/>
      <c r="B18" s="142" t="s">
        <v>40</v>
      </c>
      <c r="C18" s="26" t="s">
        <v>41</v>
      </c>
      <c r="D18" s="27">
        <v>20</v>
      </c>
      <c r="E18" s="20">
        <f t="shared" si="0"/>
        <v>300</v>
      </c>
      <c r="F18" s="157"/>
      <c r="G18" s="21"/>
      <c r="H18" s="19">
        <v>15</v>
      </c>
      <c r="I18" s="167"/>
      <c r="J18" s="169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141"/>
    </row>
    <row r="19" spans="1:21" ht="13.8" x14ac:dyDescent="0.25">
      <c r="A19" s="18"/>
      <c r="B19" s="142" t="s">
        <v>42</v>
      </c>
      <c r="C19" s="26" t="s">
        <v>43</v>
      </c>
      <c r="D19" s="27">
        <v>30</v>
      </c>
      <c r="E19" s="20">
        <f t="shared" si="0"/>
        <v>150</v>
      </c>
      <c r="F19" s="157"/>
      <c r="G19" s="21"/>
      <c r="H19" s="19">
        <v>5</v>
      </c>
      <c r="I19" s="167"/>
      <c r="J19" s="168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141"/>
    </row>
    <row r="20" spans="1:21" ht="13.8" x14ac:dyDescent="0.25">
      <c r="A20" s="18"/>
      <c r="B20" s="140" t="s">
        <v>44</v>
      </c>
      <c r="C20" s="26" t="s">
        <v>45</v>
      </c>
      <c r="D20" s="27">
        <v>30</v>
      </c>
      <c r="E20" s="20">
        <f t="shared" si="0"/>
        <v>300</v>
      </c>
      <c r="F20" s="157"/>
      <c r="G20" s="22"/>
      <c r="H20" s="168">
        <v>10</v>
      </c>
      <c r="I20" s="167"/>
      <c r="J20" s="168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141"/>
    </row>
    <row r="21" spans="1:21" ht="15.75" customHeight="1" x14ac:dyDescent="0.25">
      <c r="A21" s="18"/>
      <c r="B21" s="142" t="s">
        <v>46</v>
      </c>
      <c r="C21" s="26" t="s">
        <v>47</v>
      </c>
      <c r="D21" s="27">
        <v>10</v>
      </c>
      <c r="E21" s="20">
        <f t="shared" si="0"/>
        <v>300</v>
      </c>
      <c r="F21" s="157"/>
      <c r="G21" s="22"/>
      <c r="H21" s="168">
        <v>30</v>
      </c>
      <c r="I21" s="167"/>
      <c r="J21" s="168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141"/>
    </row>
    <row r="22" spans="1:21" ht="15.75" customHeight="1" x14ac:dyDescent="0.25">
      <c r="A22" s="18"/>
      <c r="B22" s="142" t="s">
        <v>48</v>
      </c>
      <c r="C22" s="26" t="s">
        <v>38</v>
      </c>
      <c r="D22" s="27">
        <v>100</v>
      </c>
      <c r="E22" s="20">
        <f t="shared" si="0"/>
        <v>2000</v>
      </c>
      <c r="F22" s="157"/>
      <c r="G22" s="22"/>
      <c r="H22" s="168">
        <v>20</v>
      </c>
      <c r="I22" s="167"/>
      <c r="J22" s="168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141"/>
    </row>
    <row r="23" spans="1:21" ht="15.75" customHeight="1" x14ac:dyDescent="0.25">
      <c r="A23" s="18"/>
      <c r="B23" s="143" t="s">
        <v>49</v>
      </c>
      <c r="C23" s="26" t="s">
        <v>33</v>
      </c>
      <c r="D23" s="27">
        <v>15</v>
      </c>
      <c r="E23" s="20">
        <f t="shared" si="0"/>
        <v>75</v>
      </c>
      <c r="F23" s="157"/>
      <c r="G23" s="22"/>
      <c r="H23" s="168">
        <v>5</v>
      </c>
      <c r="I23" s="167"/>
      <c r="J23" s="168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141"/>
    </row>
    <row r="24" spans="1:21" ht="15.75" customHeight="1" x14ac:dyDescent="0.25">
      <c r="A24" s="18"/>
      <c r="B24" s="143" t="s">
        <v>50</v>
      </c>
      <c r="C24" s="26" t="s">
        <v>45</v>
      </c>
      <c r="D24" s="27">
        <v>30</v>
      </c>
      <c r="E24" s="20">
        <f t="shared" si="0"/>
        <v>300</v>
      </c>
      <c r="F24" s="157"/>
      <c r="G24" s="22"/>
      <c r="H24" s="168">
        <v>10</v>
      </c>
      <c r="I24" s="167"/>
      <c r="J24" s="168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141"/>
    </row>
    <row r="25" spans="1:21" ht="15.75" customHeight="1" x14ac:dyDescent="0.25">
      <c r="A25" s="18"/>
      <c r="B25" s="142" t="s">
        <v>51</v>
      </c>
      <c r="C25" s="26" t="s">
        <v>52</v>
      </c>
      <c r="D25" s="27">
        <v>20</v>
      </c>
      <c r="E25" s="20">
        <f t="shared" si="0"/>
        <v>1000</v>
      </c>
      <c r="F25" s="157"/>
      <c r="G25" s="22"/>
      <c r="H25" s="168">
        <v>50</v>
      </c>
      <c r="I25" s="167"/>
      <c r="J25" s="168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141"/>
    </row>
    <row r="26" spans="1:21" ht="15.75" customHeight="1" x14ac:dyDescent="0.25">
      <c r="A26" s="18"/>
      <c r="B26" s="142" t="s">
        <v>53</v>
      </c>
      <c r="C26" s="26" t="s">
        <v>54</v>
      </c>
      <c r="D26" s="27">
        <v>133.33000000000001</v>
      </c>
      <c r="E26" s="20">
        <f t="shared" si="0"/>
        <v>1999.9500000000003</v>
      </c>
      <c r="F26" s="157"/>
      <c r="G26" s="22"/>
      <c r="H26" s="168">
        <v>15</v>
      </c>
      <c r="I26" s="167"/>
      <c r="J26" s="168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141"/>
    </row>
    <row r="27" spans="1:21" ht="15.75" customHeight="1" x14ac:dyDescent="0.25">
      <c r="A27" s="18"/>
      <c r="B27" s="142" t="s">
        <v>55</v>
      </c>
      <c r="C27" s="26" t="s">
        <v>56</v>
      </c>
      <c r="D27" s="27">
        <v>1000</v>
      </c>
      <c r="E27" s="20">
        <f t="shared" si="0"/>
        <v>1000</v>
      </c>
      <c r="F27" s="157"/>
      <c r="G27" s="22"/>
      <c r="H27" s="168">
        <v>1</v>
      </c>
      <c r="I27" s="167"/>
      <c r="J27" s="168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141"/>
    </row>
    <row r="28" spans="1:21" ht="15.75" customHeight="1" x14ac:dyDescent="0.25">
      <c r="A28" s="18"/>
      <c r="B28" s="143" t="s">
        <v>57</v>
      </c>
      <c r="C28" s="26" t="s">
        <v>58</v>
      </c>
      <c r="D28" s="27">
        <v>10</v>
      </c>
      <c r="E28" s="20">
        <f t="shared" si="0"/>
        <v>1000</v>
      </c>
      <c r="F28" s="157"/>
      <c r="G28" s="22"/>
      <c r="H28" s="168">
        <v>100</v>
      </c>
      <c r="I28" s="167"/>
      <c r="J28" s="168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141"/>
    </row>
    <row r="29" spans="1:21" ht="15.75" customHeight="1" x14ac:dyDescent="0.25">
      <c r="A29" s="18"/>
      <c r="B29" s="143" t="s">
        <v>59</v>
      </c>
      <c r="C29" s="26" t="s">
        <v>58</v>
      </c>
      <c r="D29" s="27">
        <v>20</v>
      </c>
      <c r="E29" s="20">
        <f t="shared" si="0"/>
        <v>2000</v>
      </c>
      <c r="F29" s="157"/>
      <c r="G29" s="22"/>
      <c r="H29" s="168">
        <v>100</v>
      </c>
      <c r="I29" s="167"/>
      <c r="J29" s="168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141"/>
    </row>
    <row r="30" spans="1:21" ht="15.75" customHeight="1" x14ac:dyDescent="0.25">
      <c r="A30" s="18"/>
      <c r="B30" s="142" t="s">
        <v>60</v>
      </c>
      <c r="C30" s="26" t="s">
        <v>61</v>
      </c>
      <c r="D30" s="27">
        <v>5</v>
      </c>
      <c r="E30" s="20">
        <f t="shared" si="0"/>
        <v>250</v>
      </c>
      <c r="F30" s="157"/>
      <c r="G30" s="22"/>
      <c r="H30" s="168">
        <v>50</v>
      </c>
      <c r="I30" s="167"/>
      <c r="J30" s="168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141"/>
    </row>
    <row r="31" spans="1:21" ht="15.75" customHeight="1" x14ac:dyDescent="0.25">
      <c r="A31" s="18"/>
      <c r="B31" s="142" t="s">
        <v>62</v>
      </c>
      <c r="C31" s="26" t="s">
        <v>63</v>
      </c>
      <c r="D31" s="27">
        <v>183.33</v>
      </c>
      <c r="E31" s="20">
        <f t="shared" si="0"/>
        <v>5499.9000000000005</v>
      </c>
      <c r="F31" s="158"/>
      <c r="G31" s="22"/>
      <c r="H31" s="168">
        <v>30</v>
      </c>
      <c r="I31" s="167"/>
      <c r="J31" s="168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141"/>
    </row>
    <row r="32" spans="1:21" ht="15.75" customHeight="1" x14ac:dyDescent="0.25">
      <c r="A32" s="18"/>
      <c r="B32" s="142" t="s">
        <v>66</v>
      </c>
      <c r="C32" s="26" t="s">
        <v>67</v>
      </c>
      <c r="D32" s="27">
        <v>66.67</v>
      </c>
      <c r="E32" s="20">
        <f t="shared" si="0"/>
        <v>200.01</v>
      </c>
      <c r="F32" s="156" t="s">
        <v>39</v>
      </c>
      <c r="G32" s="22"/>
      <c r="H32" s="168">
        <v>3</v>
      </c>
      <c r="I32" s="167"/>
      <c r="J32" s="168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141"/>
    </row>
    <row r="33" spans="1:21" ht="15.75" customHeight="1" x14ac:dyDescent="0.25">
      <c r="A33" s="18"/>
      <c r="B33" s="142" t="s">
        <v>203</v>
      </c>
      <c r="C33" s="26" t="s">
        <v>38</v>
      </c>
      <c r="D33" s="27">
        <v>50</v>
      </c>
      <c r="E33" s="20">
        <f t="shared" si="0"/>
        <v>1000</v>
      </c>
      <c r="F33" s="157"/>
      <c r="G33" s="22"/>
      <c r="H33" s="168">
        <v>20</v>
      </c>
      <c r="I33" s="167"/>
      <c r="J33" s="168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141"/>
    </row>
    <row r="34" spans="1:21" ht="15.75" customHeight="1" x14ac:dyDescent="0.25">
      <c r="A34" s="18"/>
      <c r="B34" s="142" t="s">
        <v>68</v>
      </c>
      <c r="C34" s="26" t="s">
        <v>58</v>
      </c>
      <c r="D34" s="27">
        <v>10</v>
      </c>
      <c r="E34" s="20">
        <f t="shared" si="0"/>
        <v>1000</v>
      </c>
      <c r="F34" s="157"/>
      <c r="G34" s="22"/>
      <c r="H34" s="168">
        <v>100</v>
      </c>
      <c r="I34" s="167"/>
      <c r="J34" s="168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141"/>
    </row>
    <row r="35" spans="1:21" ht="15.75" customHeight="1" x14ac:dyDescent="0.25">
      <c r="A35" s="18"/>
      <c r="B35" s="142" t="s">
        <v>69</v>
      </c>
      <c r="C35" s="26" t="s">
        <v>61</v>
      </c>
      <c r="D35" s="27">
        <v>20</v>
      </c>
      <c r="E35" s="20">
        <f t="shared" si="0"/>
        <v>1000</v>
      </c>
      <c r="F35" s="157"/>
      <c r="G35" s="22"/>
      <c r="H35" s="168">
        <v>50</v>
      </c>
      <c r="I35" s="167"/>
      <c r="J35" s="168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141"/>
    </row>
    <row r="36" spans="1:21" ht="15.75" customHeight="1" x14ac:dyDescent="0.25">
      <c r="A36" s="18"/>
      <c r="B36" s="142" t="s">
        <v>70</v>
      </c>
      <c r="C36" s="26" t="s">
        <v>30</v>
      </c>
      <c r="D36" s="27">
        <v>20</v>
      </c>
      <c r="E36" s="20">
        <f t="shared" si="0"/>
        <v>400</v>
      </c>
      <c r="F36" s="157"/>
      <c r="G36" s="22"/>
      <c r="H36" s="168">
        <v>20</v>
      </c>
      <c r="I36" s="167"/>
      <c r="J36" s="168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141"/>
    </row>
    <row r="37" spans="1:21" ht="15.75" customHeight="1" x14ac:dyDescent="0.25">
      <c r="A37" s="18"/>
      <c r="B37" s="142" t="s">
        <v>71</v>
      </c>
      <c r="C37" s="26" t="s">
        <v>72</v>
      </c>
      <c r="D37" s="27">
        <v>100</v>
      </c>
      <c r="E37" s="20">
        <f t="shared" si="0"/>
        <v>300</v>
      </c>
      <c r="F37" s="157"/>
      <c r="G37" s="22"/>
      <c r="H37" s="168">
        <v>3</v>
      </c>
      <c r="I37" s="167"/>
      <c r="J37" s="168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141"/>
    </row>
    <row r="38" spans="1:21" ht="15.75" customHeight="1" x14ac:dyDescent="0.25">
      <c r="A38" s="18"/>
      <c r="B38" s="142" t="s">
        <v>73</v>
      </c>
      <c r="C38" s="26" t="s">
        <v>74</v>
      </c>
      <c r="D38" s="27">
        <v>50</v>
      </c>
      <c r="E38" s="20">
        <f t="shared" si="0"/>
        <v>500</v>
      </c>
      <c r="F38" s="157"/>
      <c r="G38" s="22"/>
      <c r="H38" s="168">
        <v>10</v>
      </c>
      <c r="I38" s="167"/>
      <c r="J38" s="168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141"/>
    </row>
    <row r="39" spans="1:21" ht="15.75" customHeight="1" x14ac:dyDescent="0.25">
      <c r="A39" s="18"/>
      <c r="B39" s="142" t="s">
        <v>204</v>
      </c>
      <c r="C39" s="26" t="s">
        <v>75</v>
      </c>
      <c r="D39" s="27">
        <v>30</v>
      </c>
      <c r="E39" s="20">
        <f t="shared" si="0"/>
        <v>300</v>
      </c>
      <c r="F39" s="157"/>
      <c r="G39" s="22"/>
      <c r="H39" s="168">
        <v>10</v>
      </c>
      <c r="I39" s="167"/>
      <c r="J39" s="168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141"/>
    </row>
    <row r="40" spans="1:21" ht="15.75" customHeight="1" x14ac:dyDescent="0.25">
      <c r="A40" s="18"/>
      <c r="B40" s="142" t="s">
        <v>76</v>
      </c>
      <c r="C40" s="26" t="s">
        <v>75</v>
      </c>
      <c r="D40" s="27">
        <v>30</v>
      </c>
      <c r="E40" s="20">
        <f t="shared" si="0"/>
        <v>300</v>
      </c>
      <c r="F40" s="157"/>
      <c r="G40" s="22"/>
      <c r="H40" s="168">
        <v>10</v>
      </c>
      <c r="I40" s="167"/>
      <c r="J40" s="168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141"/>
    </row>
    <row r="41" spans="1:21" ht="15.75" customHeight="1" x14ac:dyDescent="0.25">
      <c r="A41" s="18"/>
      <c r="B41" s="142" t="s">
        <v>77</v>
      </c>
      <c r="C41" s="26" t="s">
        <v>74</v>
      </c>
      <c r="D41" s="27">
        <v>200</v>
      </c>
      <c r="E41" s="20">
        <f t="shared" si="0"/>
        <v>2000</v>
      </c>
      <c r="F41" s="157"/>
      <c r="G41" s="22"/>
      <c r="H41" s="168">
        <v>10</v>
      </c>
      <c r="I41" s="167"/>
      <c r="J41" s="168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141"/>
    </row>
    <row r="42" spans="1:21" ht="15.75" customHeight="1" x14ac:dyDescent="0.25">
      <c r="A42" s="18"/>
      <c r="B42" s="142" t="s">
        <v>78</v>
      </c>
      <c r="C42" s="26" t="s">
        <v>79</v>
      </c>
      <c r="D42" s="27">
        <v>90</v>
      </c>
      <c r="E42" s="20">
        <f t="shared" si="0"/>
        <v>450</v>
      </c>
      <c r="F42" s="158"/>
      <c r="G42" s="22"/>
      <c r="H42" s="168">
        <v>5</v>
      </c>
      <c r="I42" s="167"/>
      <c r="J42" s="168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141"/>
    </row>
    <row r="43" spans="1:21" ht="15.75" customHeight="1" x14ac:dyDescent="0.25">
      <c r="A43" s="18"/>
      <c r="B43" s="142" t="s">
        <v>80</v>
      </c>
      <c r="C43" s="26" t="s">
        <v>81</v>
      </c>
      <c r="D43" s="27">
        <v>60000</v>
      </c>
      <c r="E43" s="20">
        <f t="shared" ref="E43:E45" si="1">D43*I43</f>
        <v>120000</v>
      </c>
      <c r="F43" s="156" t="s">
        <v>82</v>
      </c>
      <c r="G43" s="22"/>
      <c r="H43" s="168"/>
      <c r="I43" s="168">
        <v>2</v>
      </c>
      <c r="J43" s="168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141"/>
    </row>
    <row r="44" spans="1:21" ht="15.75" customHeight="1" x14ac:dyDescent="0.25">
      <c r="A44" s="18"/>
      <c r="B44" s="142" t="s">
        <v>83</v>
      </c>
      <c r="C44" s="26" t="s">
        <v>84</v>
      </c>
      <c r="D44" s="27">
        <v>50000</v>
      </c>
      <c r="E44" s="20">
        <f t="shared" si="1"/>
        <v>200000</v>
      </c>
      <c r="F44" s="157"/>
      <c r="G44" s="22"/>
      <c r="H44" s="168"/>
      <c r="I44" s="168">
        <v>4</v>
      </c>
      <c r="J44" s="168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141"/>
    </row>
    <row r="45" spans="1:21" ht="15.75" customHeight="1" x14ac:dyDescent="0.25">
      <c r="A45" s="18"/>
      <c r="B45" s="142" t="s">
        <v>86</v>
      </c>
      <c r="C45" s="26" t="s">
        <v>81</v>
      </c>
      <c r="D45" s="27">
        <v>40000</v>
      </c>
      <c r="E45" s="20">
        <f t="shared" si="1"/>
        <v>80000</v>
      </c>
      <c r="F45" s="158"/>
      <c r="G45" s="22"/>
      <c r="H45" s="168"/>
      <c r="I45" s="168">
        <v>2</v>
      </c>
      <c r="J45" s="168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141"/>
    </row>
    <row r="46" spans="1:21" ht="15.75" customHeight="1" x14ac:dyDescent="0.25">
      <c r="A46" s="18"/>
      <c r="B46" s="142" t="s">
        <v>85</v>
      </c>
      <c r="C46" s="26" t="s">
        <v>33</v>
      </c>
      <c r="D46" s="27">
        <v>500</v>
      </c>
      <c r="E46" s="20">
        <f>D46*I46</f>
        <v>2500</v>
      </c>
      <c r="F46" s="156" t="s">
        <v>39</v>
      </c>
      <c r="G46" s="22"/>
      <c r="H46" s="168"/>
      <c r="I46" s="168">
        <v>5</v>
      </c>
      <c r="J46" s="168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141"/>
    </row>
    <row r="47" spans="1:21" ht="15.75" customHeight="1" x14ac:dyDescent="0.25">
      <c r="A47" s="18"/>
      <c r="B47" s="142" t="s">
        <v>87</v>
      </c>
      <c r="C47" s="26" t="s">
        <v>75</v>
      </c>
      <c r="D47" s="27">
        <v>50</v>
      </c>
      <c r="E47" s="20">
        <f t="shared" ref="E47:E60" si="2">D47*H47</f>
        <v>500</v>
      </c>
      <c r="F47" s="157"/>
      <c r="G47" s="22"/>
      <c r="H47" s="168">
        <v>10</v>
      </c>
      <c r="I47" s="167"/>
      <c r="J47" s="168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41"/>
    </row>
    <row r="48" spans="1:21" ht="15.75" customHeight="1" x14ac:dyDescent="0.25">
      <c r="A48" s="18"/>
      <c r="B48" s="142" t="s">
        <v>88</v>
      </c>
      <c r="C48" s="26" t="s">
        <v>45</v>
      </c>
      <c r="D48" s="27">
        <v>350</v>
      </c>
      <c r="E48" s="20">
        <f t="shared" si="2"/>
        <v>3500</v>
      </c>
      <c r="F48" s="157"/>
      <c r="G48" s="22"/>
      <c r="H48" s="168">
        <v>10</v>
      </c>
      <c r="I48" s="167"/>
      <c r="J48" s="168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141"/>
    </row>
    <row r="49" spans="1:21" ht="15.75" customHeight="1" x14ac:dyDescent="0.25">
      <c r="A49" s="18"/>
      <c r="B49" s="142" t="s">
        <v>89</v>
      </c>
      <c r="C49" s="26" t="s">
        <v>75</v>
      </c>
      <c r="D49" s="27">
        <v>200</v>
      </c>
      <c r="E49" s="20">
        <f t="shared" si="2"/>
        <v>2000</v>
      </c>
      <c r="F49" s="157"/>
      <c r="G49" s="22"/>
      <c r="H49" s="168">
        <v>10</v>
      </c>
      <c r="I49" s="167"/>
      <c r="J49" s="168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141"/>
    </row>
    <row r="50" spans="1:21" ht="15.75" customHeight="1" x14ac:dyDescent="0.25">
      <c r="A50" s="18"/>
      <c r="B50" s="144" t="s">
        <v>205</v>
      </c>
      <c r="C50" s="29" t="s">
        <v>45</v>
      </c>
      <c r="D50" s="30">
        <v>200</v>
      </c>
      <c r="E50" s="20">
        <f t="shared" si="2"/>
        <v>2000</v>
      </c>
      <c r="F50" s="157"/>
      <c r="G50" s="22"/>
      <c r="H50" s="168">
        <v>10</v>
      </c>
      <c r="I50" s="167"/>
      <c r="J50" s="168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141"/>
    </row>
    <row r="51" spans="1:21" ht="15.75" customHeight="1" x14ac:dyDescent="0.25">
      <c r="A51" s="18"/>
      <c r="B51" s="144" t="s">
        <v>206</v>
      </c>
      <c r="C51" s="29" t="s">
        <v>45</v>
      </c>
      <c r="D51" s="30">
        <v>200</v>
      </c>
      <c r="E51" s="20">
        <f t="shared" ref="E51" si="3">D51*H51</f>
        <v>2000</v>
      </c>
      <c r="F51" s="157"/>
      <c r="G51" s="22"/>
      <c r="H51" s="168">
        <v>10</v>
      </c>
      <c r="I51" s="167"/>
      <c r="J51" s="168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141"/>
    </row>
    <row r="52" spans="1:21" ht="15.75" customHeight="1" x14ac:dyDescent="0.25">
      <c r="A52" s="18"/>
      <c r="B52" s="144" t="s">
        <v>207</v>
      </c>
      <c r="C52" s="29" t="s">
        <v>75</v>
      </c>
      <c r="D52" s="30">
        <v>200</v>
      </c>
      <c r="E52" s="20">
        <f t="shared" ref="E52" si="4">D52*H52</f>
        <v>0</v>
      </c>
      <c r="F52" s="157"/>
      <c r="G52" s="22"/>
      <c r="H52" s="168"/>
      <c r="I52" s="167"/>
      <c r="J52" s="168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141"/>
    </row>
    <row r="53" spans="1:21" ht="15.75" customHeight="1" x14ac:dyDescent="0.25">
      <c r="A53" s="18"/>
      <c r="B53" s="144" t="s">
        <v>90</v>
      </c>
      <c r="C53" s="29" t="s">
        <v>75</v>
      </c>
      <c r="D53" s="30">
        <v>70</v>
      </c>
      <c r="E53" s="20">
        <f t="shared" si="2"/>
        <v>700</v>
      </c>
      <c r="F53" s="157"/>
      <c r="G53" s="22"/>
      <c r="H53" s="168">
        <v>10</v>
      </c>
      <c r="I53" s="167"/>
      <c r="J53" s="168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141"/>
    </row>
    <row r="54" spans="1:21" ht="15.75" customHeight="1" x14ac:dyDescent="0.25">
      <c r="A54" s="18"/>
      <c r="B54" s="144" t="s">
        <v>91</v>
      </c>
      <c r="C54" s="29" t="s">
        <v>92</v>
      </c>
      <c r="D54" s="30">
        <v>400</v>
      </c>
      <c r="E54" s="20">
        <f t="shared" si="2"/>
        <v>2000</v>
      </c>
      <c r="F54" s="157"/>
      <c r="G54" s="22"/>
      <c r="H54" s="168">
        <v>5</v>
      </c>
      <c r="I54" s="167"/>
      <c r="J54" s="168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141"/>
    </row>
    <row r="55" spans="1:21" ht="15.75" customHeight="1" x14ac:dyDescent="0.25">
      <c r="A55" s="18"/>
      <c r="B55" s="144" t="s">
        <v>93</v>
      </c>
      <c r="C55" s="29" t="s">
        <v>92</v>
      </c>
      <c r="D55" s="30">
        <v>400</v>
      </c>
      <c r="E55" s="20">
        <f t="shared" si="2"/>
        <v>2000</v>
      </c>
      <c r="F55" s="157"/>
      <c r="G55" s="22"/>
      <c r="H55" s="168">
        <v>5</v>
      </c>
      <c r="I55" s="167"/>
      <c r="J55" s="168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141"/>
    </row>
    <row r="56" spans="1:21" ht="15.75" customHeight="1" x14ac:dyDescent="0.25">
      <c r="A56" s="18"/>
      <c r="B56" s="144" t="s">
        <v>94</v>
      </c>
      <c r="C56" s="29" t="s">
        <v>92</v>
      </c>
      <c r="D56" s="30">
        <v>400</v>
      </c>
      <c r="E56" s="20">
        <f t="shared" si="2"/>
        <v>2000</v>
      </c>
      <c r="F56" s="157"/>
      <c r="G56" s="22"/>
      <c r="H56" s="168">
        <v>5</v>
      </c>
      <c r="I56" s="167"/>
      <c r="J56" s="168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141"/>
    </row>
    <row r="57" spans="1:21" ht="15.75" customHeight="1" x14ac:dyDescent="0.25">
      <c r="A57" s="18"/>
      <c r="B57" s="144" t="s">
        <v>95</v>
      </c>
      <c r="C57" s="29" t="s">
        <v>33</v>
      </c>
      <c r="D57" s="30">
        <v>150</v>
      </c>
      <c r="E57" s="20">
        <f t="shared" si="2"/>
        <v>750</v>
      </c>
      <c r="F57" s="157"/>
      <c r="G57" s="22"/>
      <c r="H57" s="168">
        <v>5</v>
      </c>
      <c r="I57" s="167"/>
      <c r="J57" s="168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141"/>
    </row>
    <row r="58" spans="1:21" ht="15.75" customHeight="1" x14ac:dyDescent="0.25">
      <c r="A58" s="18"/>
      <c r="B58" s="144" t="s">
        <v>96</v>
      </c>
      <c r="C58" s="29" t="s">
        <v>74</v>
      </c>
      <c r="D58" s="30">
        <v>300</v>
      </c>
      <c r="E58" s="20">
        <f t="shared" si="2"/>
        <v>3000</v>
      </c>
      <c r="F58" s="157"/>
      <c r="G58" s="22"/>
      <c r="H58" s="168">
        <v>10</v>
      </c>
      <c r="I58" s="167"/>
      <c r="J58" s="168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141"/>
    </row>
    <row r="59" spans="1:21" ht="15.75" customHeight="1" x14ac:dyDescent="0.25">
      <c r="A59" s="18"/>
      <c r="B59" s="144" t="s">
        <v>97</v>
      </c>
      <c r="C59" s="29" t="s">
        <v>74</v>
      </c>
      <c r="D59" s="30">
        <v>400</v>
      </c>
      <c r="E59" s="20">
        <f t="shared" si="2"/>
        <v>4000</v>
      </c>
      <c r="F59" s="158"/>
      <c r="G59" s="22"/>
      <c r="H59" s="168">
        <v>10</v>
      </c>
      <c r="I59" s="167"/>
      <c r="J59" s="168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141"/>
    </row>
    <row r="60" spans="1:21" ht="15.75" customHeight="1" x14ac:dyDescent="0.25">
      <c r="A60" s="18"/>
      <c r="B60" s="144" t="s">
        <v>209</v>
      </c>
      <c r="C60" s="29" t="s">
        <v>75</v>
      </c>
      <c r="D60" s="30">
        <v>150</v>
      </c>
      <c r="E60" s="27">
        <f t="shared" si="2"/>
        <v>1500</v>
      </c>
      <c r="F60" s="179"/>
      <c r="G60" s="22"/>
      <c r="H60" s="168">
        <v>10</v>
      </c>
      <c r="I60" s="167"/>
      <c r="J60" s="168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141"/>
    </row>
    <row r="61" spans="1:21" ht="15.6" customHeight="1" x14ac:dyDescent="0.25">
      <c r="A61" s="18"/>
      <c r="B61" s="144"/>
      <c r="C61" s="29"/>
      <c r="D61" s="30"/>
      <c r="E61" s="31"/>
      <c r="F61" s="21"/>
      <c r="G61" s="22"/>
      <c r="H61" s="168"/>
      <c r="I61" s="168"/>
      <c r="J61" s="168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141"/>
    </row>
    <row r="62" spans="1:21" ht="15.75" customHeight="1" x14ac:dyDescent="0.25">
      <c r="A62" s="18"/>
      <c r="B62" s="32" t="s">
        <v>98</v>
      </c>
      <c r="C62" s="33"/>
      <c r="D62" s="34"/>
      <c r="E62" s="35"/>
      <c r="F62" s="36"/>
      <c r="G62" s="36"/>
      <c r="H62" s="33"/>
      <c r="I62" s="33"/>
      <c r="J62" s="33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145"/>
    </row>
    <row r="63" spans="1:21" ht="15.75" customHeight="1" x14ac:dyDescent="0.25">
      <c r="A63" s="18"/>
      <c r="B63" s="140" t="s">
        <v>99</v>
      </c>
      <c r="C63" s="26" t="s">
        <v>100</v>
      </c>
      <c r="D63" s="27">
        <v>28</v>
      </c>
      <c r="E63" s="27">
        <f t="shared" ref="E63:E78" si="5">D63*I63</f>
        <v>560</v>
      </c>
      <c r="F63" s="159" t="s">
        <v>31</v>
      </c>
      <c r="G63" s="21"/>
      <c r="H63" s="162"/>
      <c r="I63" s="19">
        <v>20</v>
      </c>
      <c r="J63" s="168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141"/>
    </row>
    <row r="64" spans="1:21" ht="15.75" customHeight="1" x14ac:dyDescent="0.25">
      <c r="A64" s="18"/>
      <c r="B64" s="38" t="s">
        <v>101</v>
      </c>
      <c r="C64" s="29" t="s">
        <v>102</v>
      </c>
      <c r="D64" s="30">
        <v>3500</v>
      </c>
      <c r="E64" s="27">
        <f t="shared" si="5"/>
        <v>105000</v>
      </c>
      <c r="F64" s="160"/>
      <c r="G64" s="22"/>
      <c r="H64" s="162"/>
      <c r="I64" s="168">
        <v>30</v>
      </c>
      <c r="J64" s="168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141"/>
    </row>
    <row r="65" spans="1:21" ht="15.75" customHeight="1" x14ac:dyDescent="0.25">
      <c r="A65" s="18"/>
      <c r="B65" s="39" t="s">
        <v>103</v>
      </c>
      <c r="C65" s="29" t="s">
        <v>104</v>
      </c>
      <c r="D65" s="30">
        <v>9500</v>
      </c>
      <c r="E65" s="27">
        <f t="shared" si="5"/>
        <v>95000</v>
      </c>
      <c r="F65" s="160"/>
      <c r="G65" s="22"/>
      <c r="H65" s="162"/>
      <c r="I65" s="168">
        <v>10</v>
      </c>
      <c r="J65" s="168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141"/>
    </row>
    <row r="66" spans="1:21" ht="15.75" customHeight="1" x14ac:dyDescent="0.25">
      <c r="A66" s="18"/>
      <c r="B66" s="40" t="s">
        <v>105</v>
      </c>
      <c r="C66" s="29" t="s">
        <v>106</v>
      </c>
      <c r="D66" s="30">
        <v>8000</v>
      </c>
      <c r="E66" s="27">
        <f t="shared" si="5"/>
        <v>160000</v>
      </c>
      <c r="F66" s="160"/>
      <c r="G66" s="22"/>
      <c r="H66" s="162"/>
      <c r="I66" s="168">
        <v>20</v>
      </c>
      <c r="J66" s="168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141"/>
    </row>
    <row r="67" spans="1:21" ht="15.75" customHeight="1" x14ac:dyDescent="0.25">
      <c r="A67" s="18"/>
      <c r="B67" s="146" t="s">
        <v>108</v>
      </c>
      <c r="C67" s="29" t="s">
        <v>208</v>
      </c>
      <c r="D67" s="30">
        <v>1500</v>
      </c>
      <c r="E67" s="27">
        <f t="shared" si="5"/>
        <v>45000</v>
      </c>
      <c r="F67" s="160"/>
      <c r="G67" s="22"/>
      <c r="H67" s="168"/>
      <c r="I67" s="168">
        <v>30</v>
      </c>
      <c r="J67" s="168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141"/>
    </row>
    <row r="68" spans="1:21" ht="15.75" customHeight="1" x14ac:dyDescent="0.25">
      <c r="A68" s="18"/>
      <c r="B68" s="144" t="s">
        <v>109</v>
      </c>
      <c r="C68" s="29" t="s">
        <v>110</v>
      </c>
      <c r="D68" s="30">
        <v>560000</v>
      </c>
      <c r="E68" s="27">
        <f t="shared" si="5"/>
        <v>560000</v>
      </c>
      <c r="F68" s="160"/>
      <c r="G68" s="22"/>
      <c r="H68" s="168"/>
      <c r="I68" s="168">
        <v>1</v>
      </c>
      <c r="J68" s="168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141"/>
    </row>
    <row r="69" spans="1:21" ht="15.75" customHeight="1" x14ac:dyDescent="0.25">
      <c r="A69" s="18"/>
      <c r="B69" s="144" t="s">
        <v>111</v>
      </c>
      <c r="C69" s="29" t="s">
        <v>112</v>
      </c>
      <c r="D69" s="30">
        <v>15000</v>
      </c>
      <c r="E69" s="27">
        <f t="shared" si="5"/>
        <v>360000</v>
      </c>
      <c r="F69" s="160"/>
      <c r="G69" s="22"/>
      <c r="H69" s="168"/>
      <c r="I69" s="168">
        <v>24</v>
      </c>
      <c r="J69" s="168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141"/>
    </row>
    <row r="70" spans="1:21" ht="15.75" customHeight="1" x14ac:dyDescent="0.25">
      <c r="A70" s="18"/>
      <c r="B70" s="144" t="s">
        <v>113</v>
      </c>
      <c r="C70" s="29"/>
      <c r="D70" s="30"/>
      <c r="E70" s="27">
        <f t="shared" si="5"/>
        <v>0</v>
      </c>
      <c r="F70" s="160"/>
      <c r="G70" s="22"/>
      <c r="H70" s="168"/>
      <c r="I70" s="168"/>
      <c r="J70" s="168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141"/>
    </row>
    <row r="71" spans="1:21" ht="15.75" customHeight="1" x14ac:dyDescent="0.25">
      <c r="A71" s="18"/>
      <c r="B71" s="144" t="s">
        <v>114</v>
      </c>
      <c r="C71" s="29" t="s">
        <v>115</v>
      </c>
      <c r="D71" s="30"/>
      <c r="E71" s="27">
        <f t="shared" si="5"/>
        <v>0</v>
      </c>
      <c r="F71" s="160"/>
      <c r="G71" s="22"/>
      <c r="H71" s="168"/>
      <c r="I71" s="168">
        <v>25</v>
      </c>
      <c r="J71" s="168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141"/>
    </row>
    <row r="72" spans="1:21" ht="15.6" customHeight="1" x14ac:dyDescent="0.25">
      <c r="A72" s="18"/>
      <c r="B72" s="41" t="s">
        <v>116</v>
      </c>
      <c r="C72" s="42" t="s">
        <v>117</v>
      </c>
      <c r="D72" s="43">
        <v>8000</v>
      </c>
      <c r="E72" s="27">
        <f t="shared" si="5"/>
        <v>40000</v>
      </c>
      <c r="F72" s="160"/>
      <c r="G72" s="22"/>
      <c r="H72" s="168"/>
      <c r="I72" s="168">
        <v>5</v>
      </c>
      <c r="J72" s="168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141"/>
    </row>
    <row r="73" spans="1:21" ht="15.75" customHeight="1" x14ac:dyDescent="0.25">
      <c r="A73" s="18"/>
      <c r="B73" s="147" t="s">
        <v>118</v>
      </c>
      <c r="C73" s="44" t="s">
        <v>119</v>
      </c>
      <c r="D73" s="45">
        <v>2000</v>
      </c>
      <c r="E73" s="27">
        <f t="shared" si="5"/>
        <v>20000</v>
      </c>
      <c r="F73" s="160"/>
      <c r="G73" s="22"/>
      <c r="H73" s="168"/>
      <c r="I73" s="168">
        <v>10</v>
      </c>
      <c r="J73" s="168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141"/>
    </row>
    <row r="74" spans="1:21" ht="15.75" customHeight="1" x14ac:dyDescent="0.25">
      <c r="A74" s="18"/>
      <c r="B74" s="144" t="s">
        <v>120</v>
      </c>
      <c r="C74" s="46" t="s">
        <v>121</v>
      </c>
      <c r="D74" s="45">
        <v>1200</v>
      </c>
      <c r="E74" s="27">
        <f t="shared" si="5"/>
        <v>6000</v>
      </c>
      <c r="F74" s="160"/>
      <c r="G74" s="22"/>
      <c r="H74" s="168"/>
      <c r="I74" s="168">
        <v>5</v>
      </c>
      <c r="J74" s="168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141"/>
    </row>
    <row r="75" spans="1:21" ht="15.75" customHeight="1" x14ac:dyDescent="0.25">
      <c r="A75" s="18"/>
      <c r="B75" s="144" t="s">
        <v>122</v>
      </c>
      <c r="C75" s="46" t="s">
        <v>45</v>
      </c>
      <c r="D75" s="45">
        <v>700</v>
      </c>
      <c r="E75" s="27">
        <f t="shared" si="5"/>
        <v>7000</v>
      </c>
      <c r="F75" s="160"/>
      <c r="G75" s="22"/>
      <c r="H75" s="168"/>
      <c r="I75" s="168">
        <v>10</v>
      </c>
      <c r="J75" s="168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141"/>
    </row>
    <row r="76" spans="1:21" ht="15.75" customHeight="1" x14ac:dyDescent="0.25">
      <c r="A76" s="18"/>
      <c r="B76" s="144" t="s">
        <v>123</v>
      </c>
      <c r="C76" s="46" t="s">
        <v>52</v>
      </c>
      <c r="D76" s="45">
        <v>200</v>
      </c>
      <c r="E76" s="27">
        <f t="shared" si="5"/>
        <v>10000</v>
      </c>
      <c r="F76" s="160"/>
      <c r="G76" s="22"/>
      <c r="H76" s="168"/>
      <c r="I76" s="168">
        <v>50</v>
      </c>
      <c r="J76" s="168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141"/>
    </row>
    <row r="77" spans="1:21" ht="15.75" customHeight="1" x14ac:dyDescent="0.25">
      <c r="A77" s="18"/>
      <c r="B77" s="144" t="s">
        <v>124</v>
      </c>
      <c r="C77" s="47" t="s">
        <v>125</v>
      </c>
      <c r="D77" s="48">
        <v>15500</v>
      </c>
      <c r="E77" s="27">
        <f t="shared" si="5"/>
        <v>31000</v>
      </c>
      <c r="F77" s="160"/>
      <c r="G77" s="22"/>
      <c r="H77" s="168"/>
      <c r="I77" s="168">
        <v>2</v>
      </c>
      <c r="J77" s="168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141"/>
    </row>
    <row r="78" spans="1:21" ht="15.75" customHeight="1" x14ac:dyDescent="0.25">
      <c r="A78" s="18"/>
      <c r="B78" s="144" t="s">
        <v>126</v>
      </c>
      <c r="C78" s="49" t="s">
        <v>125</v>
      </c>
      <c r="D78" s="50">
        <v>3000</v>
      </c>
      <c r="E78" s="27">
        <f t="shared" si="5"/>
        <v>6000</v>
      </c>
      <c r="F78" s="161"/>
      <c r="G78" s="22"/>
      <c r="H78" s="183"/>
      <c r="I78" s="168">
        <v>2</v>
      </c>
      <c r="J78" s="168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141"/>
    </row>
    <row r="79" spans="1:21" ht="15.75" customHeight="1" x14ac:dyDescent="0.25">
      <c r="A79" s="18"/>
      <c r="B79" s="40" t="s">
        <v>107</v>
      </c>
      <c r="C79" s="29" t="s">
        <v>45</v>
      </c>
      <c r="D79" s="30">
        <v>270</v>
      </c>
      <c r="E79" s="27">
        <f>D79*I79</f>
        <v>2700</v>
      </c>
      <c r="F79" s="156" t="s">
        <v>39</v>
      </c>
      <c r="G79" s="181"/>
      <c r="H79" s="184"/>
      <c r="I79" s="182">
        <v>10</v>
      </c>
      <c r="J79" s="168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141"/>
    </row>
    <row r="80" spans="1:21" ht="15.75" customHeight="1" x14ac:dyDescent="0.25">
      <c r="A80" s="18"/>
      <c r="B80" s="180" t="s">
        <v>215</v>
      </c>
      <c r="C80" s="29" t="s">
        <v>214</v>
      </c>
      <c r="D80" s="30">
        <v>300</v>
      </c>
      <c r="E80" s="27">
        <f>D80*I80</f>
        <v>6000</v>
      </c>
      <c r="F80" s="157"/>
      <c r="G80" s="181"/>
      <c r="H80" s="184"/>
      <c r="I80" s="182">
        <v>20</v>
      </c>
      <c r="J80" s="168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141"/>
    </row>
    <row r="81" spans="1:21" ht="15.75" customHeight="1" x14ac:dyDescent="0.25">
      <c r="A81" s="18"/>
      <c r="B81" s="180" t="s">
        <v>216</v>
      </c>
      <c r="C81" s="29" t="s">
        <v>110</v>
      </c>
      <c r="D81" s="30">
        <v>15000</v>
      </c>
      <c r="E81" s="27">
        <f>D81*I81</f>
        <v>15000</v>
      </c>
      <c r="F81" s="158"/>
      <c r="G81" s="181"/>
      <c r="H81" s="184"/>
      <c r="I81" s="182">
        <v>1</v>
      </c>
      <c r="J81" s="168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141"/>
    </row>
    <row r="82" spans="1:21" ht="15.75" customHeight="1" x14ac:dyDescent="0.25">
      <c r="A82" s="18"/>
      <c r="B82" s="180"/>
      <c r="C82" s="29"/>
      <c r="D82" s="30"/>
      <c r="E82" s="27"/>
      <c r="F82" s="179"/>
      <c r="G82" s="22"/>
      <c r="H82" s="169"/>
      <c r="I82" s="168"/>
      <c r="J82" s="168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141"/>
    </row>
    <row r="83" spans="1:21" ht="15.75" customHeight="1" x14ac:dyDescent="0.25">
      <c r="A83" s="18"/>
      <c r="B83" s="144"/>
      <c r="C83" s="29"/>
      <c r="D83" s="30"/>
      <c r="E83" s="31"/>
      <c r="F83" s="37"/>
      <c r="G83" s="22"/>
      <c r="H83" s="168"/>
      <c r="I83" s="168"/>
      <c r="J83" s="168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141"/>
    </row>
    <row r="84" spans="1:21" ht="15.75" customHeight="1" x14ac:dyDescent="0.25">
      <c r="A84" s="18"/>
      <c r="B84" s="32" t="s">
        <v>127</v>
      </c>
      <c r="C84" s="33"/>
      <c r="D84" s="34"/>
      <c r="E84" s="35"/>
      <c r="F84" s="36"/>
      <c r="G84" s="36"/>
      <c r="H84" s="33"/>
      <c r="I84" s="33"/>
      <c r="J84" s="33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145"/>
    </row>
    <row r="85" spans="1:21" ht="15.75" customHeight="1" x14ac:dyDescent="0.25">
      <c r="A85" s="18"/>
      <c r="B85" s="144" t="s">
        <v>211</v>
      </c>
      <c r="C85" s="29" t="s">
        <v>110</v>
      </c>
      <c r="D85" s="30">
        <v>52500</v>
      </c>
      <c r="E85" s="31">
        <f t="shared" ref="E85:E87" si="6">D85*J85</f>
        <v>52500</v>
      </c>
      <c r="F85" s="159" t="s">
        <v>31</v>
      </c>
      <c r="G85" s="22"/>
      <c r="H85" s="168"/>
      <c r="I85" s="169"/>
      <c r="J85" s="168">
        <v>1</v>
      </c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141"/>
    </row>
    <row r="86" spans="1:21" ht="15.75" customHeight="1" x14ac:dyDescent="0.25">
      <c r="A86" s="18"/>
      <c r="B86" s="144" t="s">
        <v>212</v>
      </c>
      <c r="C86" s="29" t="s">
        <v>110</v>
      </c>
      <c r="D86" s="30">
        <v>80000</v>
      </c>
      <c r="E86" s="31">
        <f t="shared" si="6"/>
        <v>80000</v>
      </c>
      <c r="F86" s="160"/>
      <c r="G86" s="22"/>
      <c r="H86" s="168"/>
      <c r="I86" s="162"/>
      <c r="J86" s="168">
        <v>1</v>
      </c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141"/>
    </row>
    <row r="87" spans="1:21" ht="15.75" customHeight="1" x14ac:dyDescent="0.25">
      <c r="A87" s="18"/>
      <c r="B87" s="144" t="s">
        <v>213</v>
      </c>
      <c r="C87" s="29" t="s">
        <v>110</v>
      </c>
      <c r="D87" s="30">
        <v>40000</v>
      </c>
      <c r="E87" s="31">
        <f t="shared" si="6"/>
        <v>40000</v>
      </c>
      <c r="F87" s="161"/>
      <c r="G87" s="22"/>
      <c r="H87" s="168"/>
      <c r="I87" s="162"/>
      <c r="J87" s="162">
        <v>1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141"/>
    </row>
    <row r="88" spans="1:21" ht="15.75" customHeight="1" x14ac:dyDescent="0.25">
      <c r="A88" s="18"/>
      <c r="B88" s="144" t="s">
        <v>128</v>
      </c>
      <c r="C88" s="29" t="s">
        <v>110</v>
      </c>
      <c r="D88" s="30">
        <v>500000</v>
      </c>
      <c r="E88" s="31">
        <f>D88*I88</f>
        <v>500000</v>
      </c>
      <c r="F88" s="37" t="s">
        <v>82</v>
      </c>
      <c r="G88" s="22"/>
      <c r="H88" s="168"/>
      <c r="I88" s="168">
        <v>1</v>
      </c>
      <c r="J88" s="168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141"/>
    </row>
    <row r="89" spans="1:21" ht="15.75" customHeight="1" x14ac:dyDescent="0.25">
      <c r="A89" s="18"/>
      <c r="B89" s="144"/>
      <c r="C89" s="29"/>
      <c r="D89" s="30"/>
      <c r="E89" s="31"/>
      <c r="F89" s="22"/>
      <c r="G89" s="22"/>
      <c r="H89" s="168"/>
      <c r="I89" s="168"/>
      <c r="J89" s="168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141"/>
    </row>
    <row r="90" spans="1:21" ht="15.75" customHeight="1" x14ac:dyDescent="0.25">
      <c r="A90" s="18"/>
      <c r="B90" s="32" t="s">
        <v>129</v>
      </c>
      <c r="C90" s="33"/>
      <c r="D90" s="34"/>
      <c r="E90" s="35"/>
      <c r="F90" s="36"/>
      <c r="G90" s="36"/>
      <c r="H90" s="33"/>
      <c r="I90" s="33"/>
      <c r="J90" s="33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145"/>
    </row>
    <row r="91" spans="1:21" ht="15.75" customHeight="1" x14ac:dyDescent="0.25">
      <c r="A91" s="18"/>
      <c r="B91" s="144" t="s">
        <v>130</v>
      </c>
      <c r="C91" s="29" t="s">
        <v>110</v>
      </c>
      <c r="D91" s="30">
        <v>600000</v>
      </c>
      <c r="E91" s="31">
        <v>1200000</v>
      </c>
      <c r="F91" s="159" t="s">
        <v>31</v>
      </c>
      <c r="G91" s="22"/>
      <c r="H91" s="168"/>
      <c r="I91" s="168">
        <v>1</v>
      </c>
      <c r="J91" s="168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141"/>
    </row>
    <row r="92" spans="1:21" ht="15.75" customHeight="1" x14ac:dyDescent="0.25">
      <c r="A92" s="18"/>
      <c r="B92" s="144" t="s">
        <v>131</v>
      </c>
      <c r="C92" s="29" t="s">
        <v>110</v>
      </c>
      <c r="D92" s="30">
        <v>200000</v>
      </c>
      <c r="E92" s="31">
        <f t="shared" ref="E92" si="7">D92*I92</f>
        <v>200000</v>
      </c>
      <c r="F92" s="161"/>
      <c r="G92" s="22"/>
      <c r="H92" s="168"/>
      <c r="I92" s="168">
        <v>1</v>
      </c>
      <c r="J92" s="168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141"/>
    </row>
    <row r="93" spans="1:21" ht="15.75" customHeight="1" x14ac:dyDescent="0.25">
      <c r="A93" s="51"/>
      <c r="B93" s="148"/>
      <c r="C93" s="52"/>
      <c r="D93" s="53"/>
      <c r="E93" s="54"/>
      <c r="F93" s="55"/>
      <c r="G93" s="55"/>
      <c r="H93" s="170"/>
      <c r="I93" s="170"/>
      <c r="J93" s="170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149"/>
    </row>
    <row r="94" spans="1:21" ht="15.75" customHeight="1" x14ac:dyDescent="0.25">
      <c r="A94" s="18"/>
      <c r="B94" s="32" t="s">
        <v>132</v>
      </c>
      <c r="C94" s="33"/>
      <c r="D94" s="34"/>
      <c r="E94" s="35"/>
      <c r="F94" s="36"/>
      <c r="G94" s="36"/>
      <c r="H94" s="33"/>
      <c r="I94" s="33"/>
      <c r="J94" s="33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145"/>
    </row>
    <row r="95" spans="1:21" ht="15.75" customHeight="1" x14ac:dyDescent="0.25">
      <c r="A95" s="18"/>
      <c r="B95" s="143" t="s">
        <v>133</v>
      </c>
      <c r="C95" s="26" t="s">
        <v>33</v>
      </c>
      <c r="D95" s="27">
        <v>4000</v>
      </c>
      <c r="E95" s="31">
        <f t="shared" ref="E95:E114" si="8">D95*I95</f>
        <v>20000</v>
      </c>
      <c r="F95" s="156" t="s">
        <v>31</v>
      </c>
      <c r="G95" s="22"/>
      <c r="H95" s="168"/>
      <c r="I95" s="168">
        <v>5</v>
      </c>
      <c r="J95" s="168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141"/>
    </row>
    <row r="96" spans="1:21" ht="15.75" customHeight="1" x14ac:dyDescent="0.25">
      <c r="A96" s="18"/>
      <c r="B96" s="143" t="s">
        <v>134</v>
      </c>
      <c r="C96" s="26" t="s">
        <v>135</v>
      </c>
      <c r="D96" s="27">
        <v>350</v>
      </c>
      <c r="E96" s="31">
        <f t="shared" si="8"/>
        <v>10500</v>
      </c>
      <c r="F96" s="157"/>
      <c r="G96" s="22"/>
      <c r="H96" s="168"/>
      <c r="I96" s="168">
        <v>30</v>
      </c>
      <c r="J96" s="168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141"/>
    </row>
    <row r="97" spans="1:21" ht="15.75" customHeight="1" x14ac:dyDescent="0.25">
      <c r="A97" s="18"/>
      <c r="B97" s="143" t="s">
        <v>136</v>
      </c>
      <c r="C97" s="26" t="s">
        <v>75</v>
      </c>
      <c r="D97" s="27">
        <v>3000</v>
      </c>
      <c r="E97" s="31">
        <f t="shared" si="8"/>
        <v>30000</v>
      </c>
      <c r="F97" s="157"/>
      <c r="G97" s="22"/>
      <c r="H97" s="168"/>
      <c r="I97" s="168">
        <v>10</v>
      </c>
      <c r="J97" s="168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141"/>
    </row>
    <row r="98" spans="1:21" ht="15.75" customHeight="1" x14ac:dyDescent="0.25">
      <c r="A98" s="18"/>
      <c r="B98" s="143" t="s">
        <v>137</v>
      </c>
      <c r="C98" s="26" t="s">
        <v>75</v>
      </c>
      <c r="D98" s="27">
        <v>2000</v>
      </c>
      <c r="E98" s="31">
        <f t="shared" si="8"/>
        <v>20000</v>
      </c>
      <c r="F98" s="157"/>
      <c r="G98" s="22"/>
      <c r="H98" s="168"/>
      <c r="I98" s="168">
        <v>10</v>
      </c>
      <c r="J98" s="168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141"/>
    </row>
    <row r="99" spans="1:21" ht="15.75" customHeight="1" x14ac:dyDescent="0.25">
      <c r="A99" s="18"/>
      <c r="B99" s="143" t="s">
        <v>138</v>
      </c>
      <c r="C99" s="26" t="s">
        <v>74</v>
      </c>
      <c r="D99" s="27">
        <v>5000</v>
      </c>
      <c r="E99" s="31">
        <f t="shared" si="8"/>
        <v>50000</v>
      </c>
      <c r="F99" s="157"/>
      <c r="G99" s="22"/>
      <c r="H99" s="168"/>
      <c r="I99" s="168">
        <v>10</v>
      </c>
      <c r="J99" s="168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141"/>
    </row>
    <row r="100" spans="1:21" ht="15.75" customHeight="1" x14ac:dyDescent="0.25">
      <c r="A100" s="18"/>
      <c r="B100" s="143" t="s">
        <v>139</v>
      </c>
      <c r="C100" s="26" t="s">
        <v>140</v>
      </c>
      <c r="D100" s="27">
        <v>150</v>
      </c>
      <c r="E100" s="31">
        <f t="shared" si="8"/>
        <v>7500</v>
      </c>
      <c r="F100" s="157"/>
      <c r="G100" s="22"/>
      <c r="H100" s="168"/>
      <c r="I100" s="168">
        <v>50</v>
      </c>
      <c r="J100" s="168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141"/>
    </row>
    <row r="101" spans="1:21" ht="15.75" customHeight="1" x14ac:dyDescent="0.25">
      <c r="A101" s="18"/>
      <c r="B101" s="140" t="s">
        <v>141</v>
      </c>
      <c r="C101" s="26" t="s">
        <v>30</v>
      </c>
      <c r="D101" s="27">
        <v>600</v>
      </c>
      <c r="E101" s="31">
        <f t="shared" si="8"/>
        <v>12000</v>
      </c>
      <c r="F101" s="157"/>
      <c r="G101" s="28"/>
      <c r="H101" s="162"/>
      <c r="I101" s="162">
        <v>20</v>
      </c>
      <c r="J101" s="162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150"/>
    </row>
    <row r="102" spans="1:21" ht="15.75" customHeight="1" x14ac:dyDescent="0.25">
      <c r="A102" s="18"/>
      <c r="B102" s="140" t="s">
        <v>142</v>
      </c>
      <c r="C102" s="26" t="s">
        <v>30</v>
      </c>
      <c r="D102" s="27">
        <v>500</v>
      </c>
      <c r="E102" s="31">
        <f t="shared" si="8"/>
        <v>10000</v>
      </c>
      <c r="F102" s="157"/>
      <c r="G102" s="28"/>
      <c r="H102" s="162"/>
      <c r="I102" s="162">
        <v>20</v>
      </c>
      <c r="J102" s="162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50"/>
    </row>
    <row r="103" spans="1:21" ht="15.75" customHeight="1" x14ac:dyDescent="0.25">
      <c r="A103" s="18"/>
      <c r="B103" s="140" t="s">
        <v>143</v>
      </c>
      <c r="C103" s="26" t="s">
        <v>30</v>
      </c>
      <c r="D103" s="27">
        <v>500</v>
      </c>
      <c r="E103" s="31">
        <f t="shared" si="8"/>
        <v>10000</v>
      </c>
      <c r="F103" s="157"/>
      <c r="G103" s="28"/>
      <c r="H103" s="162"/>
      <c r="I103" s="162">
        <v>20</v>
      </c>
      <c r="J103" s="162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150"/>
    </row>
    <row r="104" spans="1:21" ht="15.75" customHeight="1" x14ac:dyDescent="0.25">
      <c r="A104" s="18"/>
      <c r="B104" s="140" t="s">
        <v>144</v>
      </c>
      <c r="C104" s="26" t="s">
        <v>30</v>
      </c>
      <c r="D104" s="27">
        <v>500</v>
      </c>
      <c r="E104" s="31">
        <f t="shared" si="8"/>
        <v>10000</v>
      </c>
      <c r="F104" s="158"/>
      <c r="G104" s="28"/>
      <c r="H104" s="162"/>
      <c r="I104" s="162">
        <v>20</v>
      </c>
      <c r="J104" s="162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150"/>
    </row>
    <row r="105" spans="1:21" ht="15.75" customHeight="1" x14ac:dyDescent="0.25">
      <c r="A105" s="18"/>
      <c r="B105" s="151" t="s">
        <v>145</v>
      </c>
      <c r="C105" s="26" t="s">
        <v>146</v>
      </c>
      <c r="D105" s="27">
        <v>200</v>
      </c>
      <c r="E105" s="31">
        <f t="shared" si="8"/>
        <v>4000</v>
      </c>
      <c r="F105" s="156" t="s">
        <v>39</v>
      </c>
      <c r="G105" s="28"/>
      <c r="H105" s="162"/>
      <c r="I105" s="162">
        <v>20</v>
      </c>
      <c r="J105" s="162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150"/>
    </row>
    <row r="106" spans="1:21" ht="15.75" customHeight="1" x14ac:dyDescent="0.25">
      <c r="A106" s="18"/>
      <c r="B106" s="151" t="s">
        <v>147</v>
      </c>
      <c r="C106" s="26" t="s">
        <v>146</v>
      </c>
      <c r="D106" s="27">
        <v>100</v>
      </c>
      <c r="E106" s="31">
        <f t="shared" si="8"/>
        <v>2000</v>
      </c>
      <c r="F106" s="157"/>
      <c r="G106" s="28"/>
      <c r="H106" s="162"/>
      <c r="I106" s="162">
        <v>20</v>
      </c>
      <c r="J106" s="162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150"/>
    </row>
    <row r="107" spans="1:21" ht="15.75" customHeight="1" x14ac:dyDescent="0.25">
      <c r="A107" s="18"/>
      <c r="B107" s="151" t="s">
        <v>148</v>
      </c>
      <c r="C107" s="26" t="s">
        <v>75</v>
      </c>
      <c r="D107" s="27">
        <v>15</v>
      </c>
      <c r="E107" s="31">
        <f t="shared" si="8"/>
        <v>150</v>
      </c>
      <c r="F107" s="157"/>
      <c r="G107" s="28"/>
      <c r="H107" s="162"/>
      <c r="I107" s="162">
        <v>10</v>
      </c>
      <c r="J107" s="162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150"/>
    </row>
    <row r="108" spans="1:21" ht="15.75" customHeight="1" x14ac:dyDescent="0.25">
      <c r="A108" s="18"/>
      <c r="B108" s="151" t="s">
        <v>149</v>
      </c>
      <c r="C108" s="26" t="s">
        <v>30</v>
      </c>
      <c r="D108" s="27">
        <v>200</v>
      </c>
      <c r="E108" s="31">
        <f t="shared" si="8"/>
        <v>4000</v>
      </c>
      <c r="F108" s="157"/>
      <c r="G108" s="28"/>
      <c r="H108" s="162"/>
      <c r="I108" s="162">
        <v>20</v>
      </c>
      <c r="J108" s="162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150"/>
    </row>
    <row r="109" spans="1:21" ht="15.75" customHeight="1" x14ac:dyDescent="0.25">
      <c r="A109" s="18"/>
      <c r="B109" s="151" t="s">
        <v>150</v>
      </c>
      <c r="C109" s="26" t="s">
        <v>146</v>
      </c>
      <c r="D109" s="27">
        <v>250</v>
      </c>
      <c r="E109" s="31">
        <f t="shared" si="8"/>
        <v>5000</v>
      </c>
      <c r="F109" s="157"/>
      <c r="G109" s="28"/>
      <c r="H109" s="162"/>
      <c r="I109" s="162">
        <v>20</v>
      </c>
      <c r="J109" s="162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150"/>
    </row>
    <row r="110" spans="1:21" ht="15.75" customHeight="1" x14ac:dyDescent="0.25">
      <c r="A110" s="18"/>
      <c r="B110" s="151" t="s">
        <v>210</v>
      </c>
      <c r="C110" s="26" t="s">
        <v>75</v>
      </c>
      <c r="D110" s="27">
        <v>70</v>
      </c>
      <c r="E110" s="31">
        <f t="shared" si="8"/>
        <v>700</v>
      </c>
      <c r="F110" s="157"/>
      <c r="G110" s="28"/>
      <c r="H110" s="162"/>
      <c r="I110" s="162">
        <v>10</v>
      </c>
      <c r="J110" s="162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50"/>
    </row>
    <row r="111" spans="1:21" ht="15.75" customHeight="1" x14ac:dyDescent="0.25">
      <c r="A111" s="18"/>
      <c r="B111" s="151" t="s">
        <v>151</v>
      </c>
      <c r="C111" s="26" t="s">
        <v>38</v>
      </c>
      <c r="D111" s="27">
        <v>100</v>
      </c>
      <c r="E111" s="31">
        <f t="shared" si="8"/>
        <v>2000</v>
      </c>
      <c r="F111" s="157"/>
      <c r="G111" s="28"/>
      <c r="H111" s="162"/>
      <c r="I111" s="162">
        <v>20</v>
      </c>
      <c r="J111" s="162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50"/>
    </row>
    <row r="112" spans="1:21" ht="15.75" customHeight="1" x14ac:dyDescent="0.25">
      <c r="A112" s="18"/>
      <c r="B112" s="151" t="s">
        <v>153</v>
      </c>
      <c r="C112" s="26" t="s">
        <v>75</v>
      </c>
      <c r="D112" s="27">
        <v>200</v>
      </c>
      <c r="E112" s="31">
        <f t="shared" si="8"/>
        <v>2000</v>
      </c>
      <c r="F112" s="157"/>
      <c r="G112" s="28"/>
      <c r="H112" s="162"/>
      <c r="I112" s="162">
        <v>10</v>
      </c>
      <c r="J112" s="162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50"/>
    </row>
    <row r="113" spans="1:21" ht="15.75" customHeight="1" x14ac:dyDescent="0.25">
      <c r="A113" s="18"/>
      <c r="B113" s="151" t="s">
        <v>154</v>
      </c>
      <c r="C113" s="26" t="s">
        <v>75</v>
      </c>
      <c r="D113" s="27">
        <v>200</v>
      </c>
      <c r="E113" s="31">
        <f t="shared" si="8"/>
        <v>2000</v>
      </c>
      <c r="F113" s="157"/>
      <c r="G113" s="28"/>
      <c r="H113" s="162"/>
      <c r="I113" s="162">
        <v>10</v>
      </c>
      <c r="J113" s="162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150"/>
    </row>
    <row r="114" spans="1:21" ht="15.75" customHeight="1" x14ac:dyDescent="0.25">
      <c r="A114" s="18"/>
      <c r="B114" s="151" t="s">
        <v>157</v>
      </c>
      <c r="C114" s="26" t="s">
        <v>75</v>
      </c>
      <c r="D114" s="27">
        <v>100</v>
      </c>
      <c r="E114" s="31">
        <f t="shared" si="8"/>
        <v>1000</v>
      </c>
      <c r="F114" s="157"/>
      <c r="G114" s="28"/>
      <c r="H114" s="162"/>
      <c r="I114" s="162">
        <v>10</v>
      </c>
      <c r="J114" s="162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150"/>
    </row>
    <row r="115" spans="1:21" ht="15.75" customHeight="1" x14ac:dyDescent="0.25">
      <c r="A115" s="18"/>
      <c r="B115" s="152" t="s">
        <v>159</v>
      </c>
      <c r="C115" s="56" t="s">
        <v>75</v>
      </c>
      <c r="D115" s="27">
        <v>400</v>
      </c>
      <c r="E115" s="31">
        <f>D115*I115</f>
        <v>4000</v>
      </c>
      <c r="F115" s="157"/>
      <c r="G115" s="28"/>
      <c r="H115" s="162"/>
      <c r="I115" s="162">
        <v>10</v>
      </c>
      <c r="J115" s="162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150"/>
    </row>
    <row r="116" spans="1:21" ht="15.75" customHeight="1" x14ac:dyDescent="0.25">
      <c r="A116" s="18"/>
      <c r="B116" s="152" t="s">
        <v>161</v>
      </c>
      <c r="C116" s="56" t="s">
        <v>75</v>
      </c>
      <c r="D116" s="27">
        <v>5000</v>
      </c>
      <c r="E116" s="31">
        <f t="shared" ref="E116:E117" si="9">D116*J116</f>
        <v>50000</v>
      </c>
      <c r="F116" s="157"/>
      <c r="G116" s="28"/>
      <c r="H116" s="162"/>
      <c r="I116" s="162"/>
      <c r="J116" s="162">
        <v>10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150"/>
    </row>
    <row r="117" spans="1:21" ht="15.75" customHeight="1" x14ac:dyDescent="0.25">
      <c r="A117" s="18"/>
      <c r="B117" s="152" t="s">
        <v>162</v>
      </c>
      <c r="C117" s="56" t="s">
        <v>81</v>
      </c>
      <c r="D117" s="27">
        <v>10000</v>
      </c>
      <c r="E117" s="31">
        <f t="shared" si="9"/>
        <v>20000</v>
      </c>
      <c r="F117" s="157"/>
      <c r="G117" s="28"/>
      <c r="H117" s="162"/>
      <c r="I117" s="162"/>
      <c r="J117" s="162">
        <v>2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150"/>
    </row>
    <row r="118" spans="1:21" ht="15.75" customHeight="1" x14ac:dyDescent="0.25">
      <c r="A118" s="18"/>
      <c r="B118" s="152" t="s">
        <v>163</v>
      </c>
      <c r="C118" s="56" t="s">
        <v>45</v>
      </c>
      <c r="D118" s="27">
        <v>7000</v>
      </c>
      <c r="E118" s="31">
        <f t="shared" ref="E118:E125" si="10">D118*I118</f>
        <v>70000</v>
      </c>
      <c r="F118" s="157"/>
      <c r="G118" s="28"/>
      <c r="H118" s="162"/>
      <c r="I118" s="162">
        <v>10</v>
      </c>
      <c r="J118" s="162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150"/>
    </row>
    <row r="119" spans="1:21" ht="15.75" customHeight="1" x14ac:dyDescent="0.25">
      <c r="A119" s="18"/>
      <c r="B119" s="152" t="s">
        <v>164</v>
      </c>
      <c r="C119" s="56" t="s">
        <v>165</v>
      </c>
      <c r="D119" s="27">
        <v>2000</v>
      </c>
      <c r="E119" s="31">
        <f t="shared" si="10"/>
        <v>10000</v>
      </c>
      <c r="F119" s="158"/>
      <c r="G119" s="28"/>
      <c r="H119" s="162"/>
      <c r="I119" s="162">
        <v>5</v>
      </c>
      <c r="J119" s="162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150"/>
    </row>
    <row r="120" spans="1:21" ht="15.75" customHeight="1" x14ac:dyDescent="0.25">
      <c r="A120" s="18"/>
      <c r="B120" s="152" t="s">
        <v>160</v>
      </c>
      <c r="C120" s="56" t="s">
        <v>65</v>
      </c>
      <c r="D120" s="27">
        <v>70000</v>
      </c>
      <c r="E120" s="31">
        <f>D120*J120</f>
        <v>70000</v>
      </c>
      <c r="F120" s="156" t="s">
        <v>31</v>
      </c>
      <c r="G120" s="28"/>
      <c r="H120" s="162"/>
      <c r="I120" s="162"/>
      <c r="J120" s="162">
        <v>1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50"/>
    </row>
    <row r="121" spans="1:21" ht="15.75" customHeight="1" x14ac:dyDescent="0.25">
      <c r="A121" s="18"/>
      <c r="B121" s="152" t="s">
        <v>158</v>
      </c>
      <c r="C121" s="56" t="s">
        <v>65</v>
      </c>
      <c r="D121" s="27">
        <v>50000</v>
      </c>
      <c r="E121" s="31">
        <f>D121*J121</f>
        <v>50000</v>
      </c>
      <c r="F121" s="157"/>
      <c r="G121" s="28"/>
      <c r="H121" s="162"/>
      <c r="I121" s="162"/>
      <c r="J121" s="162">
        <v>1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150"/>
    </row>
    <row r="122" spans="1:21" ht="15.75" customHeight="1" x14ac:dyDescent="0.25">
      <c r="A122" s="18"/>
      <c r="B122" s="151" t="s">
        <v>155</v>
      </c>
      <c r="C122" s="26" t="s">
        <v>61</v>
      </c>
      <c r="D122" s="27">
        <v>200</v>
      </c>
      <c r="E122" s="31">
        <f>D122*I122</f>
        <v>10000</v>
      </c>
      <c r="F122" s="157"/>
      <c r="G122" s="28"/>
      <c r="H122" s="162"/>
      <c r="I122" s="162">
        <v>50</v>
      </c>
      <c r="J122" s="162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150"/>
    </row>
    <row r="123" spans="1:21" ht="15.75" customHeight="1" x14ac:dyDescent="0.25">
      <c r="A123" s="18"/>
      <c r="B123" s="151" t="s">
        <v>156</v>
      </c>
      <c r="C123" s="26" t="s">
        <v>140</v>
      </c>
      <c r="D123" s="27">
        <v>250</v>
      </c>
      <c r="E123" s="31">
        <f>D123*I123</f>
        <v>12500</v>
      </c>
      <c r="F123" s="157"/>
      <c r="G123" s="28"/>
      <c r="H123" s="162"/>
      <c r="I123" s="162">
        <v>50</v>
      </c>
      <c r="J123" s="162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150"/>
    </row>
    <row r="124" spans="1:21" ht="15.75" customHeight="1" x14ac:dyDescent="0.25">
      <c r="A124" s="18"/>
      <c r="B124" s="151" t="s">
        <v>152</v>
      </c>
      <c r="C124" s="26" t="s">
        <v>72</v>
      </c>
      <c r="D124" s="27">
        <v>3500</v>
      </c>
      <c r="E124" s="31">
        <f>D124*I124</f>
        <v>10500</v>
      </c>
      <c r="F124" s="157"/>
      <c r="G124" s="28"/>
      <c r="H124" s="162"/>
      <c r="I124" s="162">
        <v>3</v>
      </c>
      <c r="J124" s="162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150"/>
    </row>
    <row r="125" spans="1:21" ht="15.75" customHeight="1" x14ac:dyDescent="0.25">
      <c r="A125" s="18"/>
      <c r="B125" s="152" t="s">
        <v>166</v>
      </c>
      <c r="C125" s="56" t="s">
        <v>81</v>
      </c>
      <c r="D125" s="27">
        <v>25000</v>
      </c>
      <c r="E125" s="31">
        <f t="shared" si="10"/>
        <v>50000</v>
      </c>
      <c r="F125" s="157"/>
      <c r="G125" s="28"/>
      <c r="H125" s="162"/>
      <c r="I125" s="162">
        <v>2</v>
      </c>
      <c r="J125" s="162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150"/>
    </row>
    <row r="126" spans="1:21" ht="15.75" customHeight="1" x14ac:dyDescent="0.25">
      <c r="A126" s="18"/>
      <c r="B126" s="152" t="s">
        <v>167</v>
      </c>
      <c r="C126" s="56" t="s">
        <v>110</v>
      </c>
      <c r="D126" s="27">
        <f t="shared" ref="D126:E126" si="11">2500*62</f>
        <v>155000</v>
      </c>
      <c r="E126" s="27">
        <f t="shared" si="11"/>
        <v>155000</v>
      </c>
      <c r="F126" s="157"/>
      <c r="G126" s="28"/>
      <c r="H126" s="162"/>
      <c r="I126" s="162">
        <v>1</v>
      </c>
      <c r="J126" s="162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150"/>
    </row>
    <row r="127" spans="1:21" ht="15.75" customHeight="1" x14ac:dyDescent="0.25">
      <c r="A127" s="18"/>
      <c r="B127" s="152" t="s">
        <v>168</v>
      </c>
      <c r="C127" s="56" t="s">
        <v>110</v>
      </c>
      <c r="D127" s="27">
        <f t="shared" ref="D127:E127" si="12">2500*62</f>
        <v>155000</v>
      </c>
      <c r="E127" s="27">
        <f t="shared" si="12"/>
        <v>155000</v>
      </c>
      <c r="F127" s="157"/>
      <c r="G127" s="28"/>
      <c r="H127" s="162"/>
      <c r="I127" s="162">
        <v>1</v>
      </c>
      <c r="J127" s="162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150"/>
    </row>
    <row r="128" spans="1:21" ht="15.75" customHeight="1" x14ac:dyDescent="0.25">
      <c r="A128" s="18"/>
      <c r="B128" s="152" t="s">
        <v>169</v>
      </c>
      <c r="C128" s="56" t="s">
        <v>110</v>
      </c>
      <c r="D128" s="27">
        <v>300000</v>
      </c>
      <c r="E128" s="57">
        <v>300000</v>
      </c>
      <c r="F128" s="158"/>
      <c r="G128" s="28"/>
      <c r="H128" s="162"/>
      <c r="I128" s="162"/>
      <c r="J128" s="162">
        <v>1</v>
      </c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150"/>
    </row>
    <row r="129" spans="1:21" ht="15.75" customHeight="1" x14ac:dyDescent="0.25">
      <c r="A129" s="18"/>
      <c r="B129" s="152"/>
      <c r="C129" s="56"/>
      <c r="D129" s="27"/>
      <c r="E129" s="31"/>
      <c r="F129" s="28"/>
      <c r="G129" s="28"/>
      <c r="H129" s="162"/>
      <c r="I129" s="162"/>
      <c r="J129" s="162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150"/>
    </row>
    <row r="130" spans="1:21" ht="15.75" customHeight="1" x14ac:dyDescent="0.25">
      <c r="A130" s="18"/>
      <c r="B130" s="32" t="s">
        <v>170</v>
      </c>
      <c r="C130" s="33"/>
      <c r="D130" s="34"/>
      <c r="E130" s="34"/>
      <c r="F130" s="36"/>
      <c r="G130" s="36"/>
      <c r="H130" s="33"/>
      <c r="I130" s="33"/>
      <c r="J130" s="33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145"/>
    </row>
    <row r="131" spans="1:21" ht="15.75" customHeight="1" x14ac:dyDescent="0.25">
      <c r="A131" s="18"/>
      <c r="B131" s="152" t="s">
        <v>171</v>
      </c>
      <c r="C131" s="56" t="s">
        <v>172</v>
      </c>
      <c r="D131" s="27">
        <v>50000</v>
      </c>
      <c r="E131" s="27">
        <v>50000</v>
      </c>
      <c r="F131" s="163" t="s">
        <v>31</v>
      </c>
      <c r="G131" s="28">
        <v>1</v>
      </c>
      <c r="H131" s="162"/>
      <c r="I131" s="162"/>
      <c r="J131" s="162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150"/>
    </row>
    <row r="132" spans="1:21" ht="15.75" customHeight="1" x14ac:dyDescent="0.25">
      <c r="A132" s="18"/>
      <c r="B132" s="152" t="s">
        <v>173</v>
      </c>
      <c r="C132" s="56" t="s">
        <v>110</v>
      </c>
      <c r="D132" s="27">
        <v>100000</v>
      </c>
      <c r="E132" s="27">
        <v>100000</v>
      </c>
      <c r="F132" s="164"/>
      <c r="G132" s="28">
        <v>1</v>
      </c>
      <c r="H132" s="162"/>
      <c r="I132" s="162"/>
      <c r="J132" s="162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150"/>
    </row>
    <row r="133" spans="1:21" ht="15.75" customHeight="1" x14ac:dyDescent="0.25">
      <c r="A133" s="18"/>
      <c r="B133" s="152"/>
      <c r="C133" s="56"/>
      <c r="D133" s="27"/>
      <c r="E133" s="31"/>
      <c r="F133" s="28"/>
      <c r="G133" s="28"/>
      <c r="H133" s="162"/>
      <c r="I133" s="162"/>
      <c r="J133" s="162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150"/>
    </row>
    <row r="134" spans="1:21" ht="15.75" customHeight="1" x14ac:dyDescent="0.25">
      <c r="A134" s="18"/>
      <c r="B134" s="32" t="s">
        <v>174</v>
      </c>
      <c r="C134" s="58"/>
      <c r="D134" s="59"/>
      <c r="E134" s="59"/>
      <c r="F134" s="36"/>
      <c r="G134" s="36"/>
      <c r="H134" s="33"/>
      <c r="I134" s="33"/>
      <c r="J134" s="33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145"/>
    </row>
    <row r="135" spans="1:21" ht="15.75" customHeight="1" x14ac:dyDescent="0.25">
      <c r="A135" s="51"/>
      <c r="B135" s="153" t="s">
        <v>175</v>
      </c>
      <c r="C135" s="60" t="s">
        <v>110</v>
      </c>
      <c r="D135" s="61">
        <v>50000</v>
      </c>
      <c r="E135" s="61">
        <v>50000</v>
      </c>
      <c r="F135" s="163" t="s">
        <v>31</v>
      </c>
      <c r="G135" s="55"/>
      <c r="H135" s="170">
        <v>1</v>
      </c>
      <c r="I135" s="170"/>
      <c r="J135" s="170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149"/>
    </row>
    <row r="136" spans="1:21" ht="15.75" customHeight="1" x14ac:dyDescent="0.25">
      <c r="A136" s="51"/>
      <c r="B136" s="153" t="s">
        <v>176</v>
      </c>
      <c r="C136" s="60" t="s">
        <v>110</v>
      </c>
      <c r="D136" s="61">
        <v>30000</v>
      </c>
      <c r="E136" s="61">
        <v>30000</v>
      </c>
      <c r="F136" s="165"/>
      <c r="G136" s="55"/>
      <c r="H136" s="170">
        <v>1</v>
      </c>
      <c r="I136" s="170"/>
      <c r="J136" s="170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149"/>
    </row>
    <row r="137" spans="1:21" ht="15.75" customHeight="1" x14ac:dyDescent="0.25">
      <c r="A137" s="51"/>
      <c r="B137" s="153" t="s">
        <v>177</v>
      </c>
      <c r="C137" s="60" t="s">
        <v>110</v>
      </c>
      <c r="D137" s="61">
        <v>140000</v>
      </c>
      <c r="E137" s="61">
        <v>140000</v>
      </c>
      <c r="F137" s="164"/>
      <c r="G137" s="55"/>
      <c r="H137" s="170">
        <v>1</v>
      </c>
      <c r="I137" s="170"/>
      <c r="J137" s="170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149"/>
    </row>
    <row r="138" spans="1:21" ht="15.75" customHeight="1" x14ac:dyDescent="0.25">
      <c r="A138" s="51"/>
      <c r="B138" s="148"/>
      <c r="C138" s="60"/>
      <c r="D138" s="61"/>
      <c r="E138" s="62"/>
      <c r="F138" s="55"/>
      <c r="G138" s="55"/>
      <c r="H138" s="170"/>
      <c r="I138" s="170"/>
      <c r="J138" s="170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149"/>
    </row>
    <row r="139" spans="1:21" ht="15.75" customHeight="1" x14ac:dyDescent="0.25">
      <c r="A139" s="18"/>
      <c r="B139" s="32" t="s">
        <v>178</v>
      </c>
      <c r="C139" s="33"/>
      <c r="D139" s="34"/>
      <c r="E139" s="35"/>
      <c r="F139" s="36"/>
      <c r="G139" s="36"/>
      <c r="H139" s="33"/>
      <c r="I139" s="33"/>
      <c r="J139" s="33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145"/>
    </row>
    <row r="140" spans="1:21" ht="15.75" customHeight="1" x14ac:dyDescent="0.25">
      <c r="A140" s="18"/>
      <c r="B140" s="152" t="s">
        <v>179</v>
      </c>
      <c r="C140" s="56" t="s">
        <v>110</v>
      </c>
      <c r="D140" s="27">
        <v>30000</v>
      </c>
      <c r="E140" s="27">
        <v>30000</v>
      </c>
      <c r="F140" s="163" t="s">
        <v>31</v>
      </c>
      <c r="G140" s="28"/>
      <c r="H140" s="162">
        <v>1</v>
      </c>
      <c r="I140" s="162"/>
      <c r="J140" s="162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150"/>
    </row>
    <row r="141" spans="1:21" ht="15.75" customHeight="1" x14ac:dyDescent="0.25">
      <c r="A141" s="18"/>
      <c r="B141" s="152" t="s">
        <v>180</v>
      </c>
      <c r="C141" s="56" t="s">
        <v>110</v>
      </c>
      <c r="D141" s="27">
        <v>100000</v>
      </c>
      <c r="E141" s="27">
        <v>100000</v>
      </c>
      <c r="F141" s="165"/>
      <c r="G141" s="28"/>
      <c r="H141" s="162">
        <v>1</v>
      </c>
      <c r="I141" s="162"/>
      <c r="J141" s="162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150"/>
    </row>
    <row r="142" spans="1:21" ht="15.75" customHeight="1" x14ac:dyDescent="0.25">
      <c r="A142" s="18"/>
      <c r="B142" s="152" t="s">
        <v>181</v>
      </c>
      <c r="C142" s="56" t="s">
        <v>110</v>
      </c>
      <c r="D142" s="27">
        <v>50000</v>
      </c>
      <c r="E142" s="27">
        <v>50000</v>
      </c>
      <c r="F142" s="165"/>
      <c r="G142" s="28"/>
      <c r="H142" s="162">
        <v>1</v>
      </c>
      <c r="I142" s="162"/>
      <c r="J142" s="162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150"/>
    </row>
    <row r="143" spans="1:21" ht="15.75" customHeight="1" x14ac:dyDescent="0.25">
      <c r="A143" s="18"/>
      <c r="B143" s="152" t="s">
        <v>182</v>
      </c>
      <c r="C143" s="56" t="s">
        <v>110</v>
      </c>
      <c r="D143" s="27">
        <v>450000</v>
      </c>
      <c r="E143" s="27">
        <v>450000</v>
      </c>
      <c r="F143" s="164"/>
      <c r="G143" s="28"/>
      <c r="H143" s="162">
        <v>1</v>
      </c>
      <c r="I143" s="162"/>
      <c r="J143" s="162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150"/>
    </row>
    <row r="144" spans="1:21" ht="15.75" customHeight="1" x14ac:dyDescent="0.25">
      <c r="A144" s="51"/>
      <c r="B144" s="148"/>
      <c r="C144" s="60"/>
      <c r="D144" s="61"/>
      <c r="E144" s="62"/>
      <c r="F144" s="55"/>
      <c r="G144" s="55"/>
      <c r="H144" s="170"/>
      <c r="I144" s="170"/>
      <c r="J144" s="170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149"/>
    </row>
    <row r="145" spans="1:21" ht="15.75" customHeight="1" x14ac:dyDescent="0.25">
      <c r="A145" s="18"/>
      <c r="B145" s="32" t="s">
        <v>183</v>
      </c>
      <c r="C145" s="33"/>
      <c r="D145" s="34"/>
      <c r="E145" s="35"/>
      <c r="F145" s="36"/>
      <c r="G145" s="36"/>
      <c r="H145" s="33"/>
      <c r="I145" s="33"/>
      <c r="J145" s="33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145"/>
    </row>
    <row r="146" spans="1:21" ht="15.75" customHeight="1" x14ac:dyDescent="0.25">
      <c r="A146" s="18"/>
      <c r="B146" s="152" t="s">
        <v>184</v>
      </c>
      <c r="C146" s="56" t="s">
        <v>110</v>
      </c>
      <c r="D146" s="27">
        <v>1000000</v>
      </c>
      <c r="E146" s="27">
        <v>1000000</v>
      </c>
      <c r="F146" s="28" t="s">
        <v>31</v>
      </c>
      <c r="G146" s="28"/>
      <c r="H146" s="162">
        <v>1</v>
      </c>
      <c r="I146" s="162"/>
      <c r="J146" s="162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150"/>
    </row>
    <row r="147" spans="1:21" ht="15.75" customHeight="1" x14ac:dyDescent="0.25">
      <c r="A147" s="18"/>
      <c r="B147" s="152"/>
      <c r="C147" s="56"/>
      <c r="D147" s="27"/>
      <c r="E147" s="63"/>
      <c r="F147" s="28"/>
      <c r="G147" s="28"/>
      <c r="H147" s="162"/>
      <c r="I147" s="162"/>
      <c r="J147" s="162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150"/>
    </row>
    <row r="148" spans="1:21" ht="15.75" hidden="1" customHeight="1" x14ac:dyDescent="0.25">
      <c r="A148" s="18"/>
      <c r="B148" s="154"/>
      <c r="C148" s="29"/>
      <c r="D148" s="30"/>
      <c r="E148" s="31"/>
      <c r="F148" s="22"/>
      <c r="G148" s="22"/>
      <c r="H148" s="168"/>
      <c r="I148" s="168"/>
      <c r="J148" s="168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141"/>
    </row>
    <row r="149" spans="1:21" ht="15.75" hidden="1" customHeight="1" x14ac:dyDescent="0.25">
      <c r="A149" s="18"/>
      <c r="B149" s="154"/>
      <c r="C149" s="29"/>
      <c r="D149" s="30"/>
      <c r="E149" s="31"/>
      <c r="F149" s="22"/>
      <c r="G149" s="22"/>
      <c r="H149" s="168"/>
      <c r="I149" s="168"/>
      <c r="J149" s="168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141"/>
    </row>
    <row r="150" spans="1:21" ht="15.75" hidden="1" customHeight="1" x14ac:dyDescent="0.25">
      <c r="A150" s="18"/>
      <c r="B150" s="154"/>
      <c r="C150" s="29"/>
      <c r="D150" s="30"/>
      <c r="E150" s="31"/>
      <c r="F150" s="22"/>
      <c r="G150" s="22"/>
      <c r="H150" s="168"/>
      <c r="I150" s="168"/>
      <c r="J150" s="168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141"/>
    </row>
    <row r="151" spans="1:21" ht="15.75" hidden="1" customHeight="1" x14ac:dyDescent="0.25">
      <c r="A151" s="18"/>
      <c r="B151" s="154"/>
      <c r="C151" s="29"/>
      <c r="D151" s="30"/>
      <c r="E151" s="31"/>
      <c r="F151" s="22"/>
      <c r="G151" s="22"/>
      <c r="H151" s="168"/>
      <c r="I151" s="168"/>
      <c r="J151" s="168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141"/>
    </row>
    <row r="152" spans="1:21" ht="15.75" hidden="1" customHeight="1" x14ac:dyDescent="0.25">
      <c r="A152" s="18"/>
      <c r="B152" s="154"/>
      <c r="C152" s="29"/>
      <c r="D152" s="30"/>
      <c r="E152" s="31"/>
      <c r="F152" s="22"/>
      <c r="G152" s="22"/>
      <c r="H152" s="168"/>
      <c r="I152" s="168"/>
      <c r="J152" s="168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141"/>
    </row>
    <row r="153" spans="1:21" ht="15.75" hidden="1" customHeight="1" x14ac:dyDescent="0.25">
      <c r="A153" s="18"/>
      <c r="B153" s="154"/>
      <c r="C153" s="29"/>
      <c r="D153" s="30"/>
      <c r="E153" s="31"/>
      <c r="F153" s="22"/>
      <c r="G153" s="22"/>
      <c r="H153" s="168"/>
      <c r="I153" s="168"/>
      <c r="J153" s="168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141"/>
    </row>
    <row r="154" spans="1:21" ht="15.75" hidden="1" customHeight="1" x14ac:dyDescent="0.25">
      <c r="A154" s="64"/>
      <c r="B154" s="65"/>
      <c r="C154" s="66"/>
      <c r="D154" s="67"/>
      <c r="E154" s="68"/>
      <c r="F154" s="22"/>
      <c r="G154" s="22"/>
      <c r="H154" s="168"/>
      <c r="I154" s="168"/>
      <c r="J154" s="168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141"/>
    </row>
    <row r="155" spans="1:21" ht="15.75" hidden="1" customHeight="1" x14ac:dyDescent="0.25">
      <c r="A155" s="18"/>
      <c r="B155" s="32"/>
      <c r="C155" s="33"/>
      <c r="D155" s="34"/>
      <c r="E155" s="35"/>
      <c r="F155" s="36"/>
      <c r="G155" s="36"/>
      <c r="H155" s="33"/>
      <c r="I155" s="33"/>
      <c r="J155" s="33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145"/>
    </row>
    <row r="156" spans="1:21" ht="15.75" hidden="1" customHeight="1" x14ac:dyDescent="0.25">
      <c r="A156" s="18"/>
      <c r="B156" s="154"/>
      <c r="C156" s="29"/>
      <c r="D156" s="30"/>
      <c r="E156" s="31"/>
      <c r="F156" s="22"/>
      <c r="G156" s="22"/>
      <c r="H156" s="168"/>
      <c r="I156" s="168"/>
      <c r="J156" s="168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141"/>
    </row>
    <row r="157" spans="1:21" ht="15.75" hidden="1" customHeight="1" x14ac:dyDescent="0.25">
      <c r="A157" s="18"/>
      <c r="B157" s="154"/>
      <c r="C157" s="29"/>
      <c r="D157" s="30"/>
      <c r="E157" s="31"/>
      <c r="F157" s="22"/>
      <c r="G157" s="22"/>
      <c r="H157" s="168"/>
      <c r="I157" s="168"/>
      <c r="J157" s="168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141"/>
    </row>
    <row r="158" spans="1:21" ht="15.75" hidden="1" customHeight="1" x14ac:dyDescent="0.25">
      <c r="A158" s="18"/>
      <c r="B158" s="154"/>
      <c r="C158" s="29"/>
      <c r="D158" s="30"/>
      <c r="E158" s="31"/>
      <c r="F158" s="22"/>
      <c r="G158" s="22"/>
      <c r="H158" s="168"/>
      <c r="I158" s="168"/>
      <c r="J158" s="168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141"/>
    </row>
    <row r="159" spans="1:21" ht="15.75" hidden="1" customHeight="1" x14ac:dyDescent="0.25">
      <c r="A159" s="18"/>
      <c r="B159" s="154"/>
      <c r="C159" s="29"/>
      <c r="D159" s="30"/>
      <c r="E159" s="31"/>
      <c r="F159" s="22"/>
      <c r="G159" s="22"/>
      <c r="H159" s="168"/>
      <c r="I159" s="168"/>
      <c r="J159" s="168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141"/>
    </row>
    <row r="160" spans="1:21" ht="15.75" hidden="1" customHeight="1" x14ac:dyDescent="0.25">
      <c r="A160" s="18"/>
      <c r="B160" s="32"/>
      <c r="C160" s="33"/>
      <c r="D160" s="34"/>
      <c r="E160" s="35"/>
      <c r="F160" s="36"/>
      <c r="G160" s="36"/>
      <c r="H160" s="33"/>
      <c r="I160" s="33"/>
      <c r="J160" s="33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145"/>
    </row>
    <row r="161" spans="1:21" ht="15.75" hidden="1" customHeight="1" x14ac:dyDescent="0.25">
      <c r="A161" s="18"/>
      <c r="B161" s="154"/>
      <c r="C161" s="29"/>
      <c r="D161" s="30"/>
      <c r="E161" s="31"/>
      <c r="F161" s="22"/>
      <c r="G161" s="22"/>
      <c r="H161" s="168"/>
      <c r="I161" s="168"/>
      <c r="J161" s="168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141"/>
    </row>
    <row r="162" spans="1:21" ht="15.75" hidden="1" customHeight="1" x14ac:dyDescent="0.25">
      <c r="A162" s="18"/>
      <c r="B162" s="154"/>
      <c r="C162" s="29"/>
      <c r="D162" s="30"/>
      <c r="E162" s="31"/>
      <c r="F162" s="22"/>
      <c r="G162" s="22"/>
      <c r="H162" s="168"/>
      <c r="I162" s="168"/>
      <c r="J162" s="168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141"/>
    </row>
    <row r="163" spans="1:21" ht="15.75" hidden="1" customHeight="1" x14ac:dyDescent="0.25">
      <c r="A163" s="18"/>
      <c r="B163" s="154"/>
      <c r="C163" s="29"/>
      <c r="D163" s="30"/>
      <c r="E163" s="31"/>
      <c r="F163" s="22"/>
      <c r="G163" s="22"/>
      <c r="H163" s="168"/>
      <c r="I163" s="168"/>
      <c r="J163" s="168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141"/>
    </row>
    <row r="164" spans="1:21" ht="15.75" customHeight="1" x14ac:dyDescent="0.25">
      <c r="A164" s="64"/>
      <c r="B164" s="121"/>
      <c r="C164" s="113"/>
      <c r="D164" s="113"/>
      <c r="E164" s="113"/>
      <c r="F164" s="113"/>
      <c r="G164" s="113"/>
      <c r="H164" s="113"/>
      <c r="I164" s="114"/>
      <c r="J164" s="168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141"/>
    </row>
    <row r="165" spans="1:21" ht="15.75" customHeight="1" x14ac:dyDescent="0.25">
      <c r="A165" s="69"/>
      <c r="B165" s="70"/>
      <c r="C165" s="2"/>
      <c r="D165" s="9"/>
      <c r="E165" s="71"/>
      <c r="F165" s="11"/>
      <c r="G165" s="11"/>
      <c r="H165" s="2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 x14ac:dyDescent="0.3">
      <c r="A166" s="72" t="s">
        <v>185</v>
      </c>
      <c r="B166" s="4"/>
      <c r="C166" s="122">
        <f>SUM(E11:E147)</f>
        <v>7217184.8599999994</v>
      </c>
      <c r="D166" s="101"/>
      <c r="E166" s="101"/>
      <c r="F166" s="11"/>
      <c r="G166" s="11"/>
      <c r="H166" s="2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hidden="1" customHeight="1" x14ac:dyDescent="0.3">
      <c r="A167" s="73" t="s">
        <v>186</v>
      </c>
      <c r="B167" s="74"/>
      <c r="C167" s="123">
        <f>PRODUCT(C166,0.1)</f>
        <v>721718.48600000003</v>
      </c>
      <c r="D167" s="124"/>
      <c r="E167" s="125"/>
      <c r="F167" s="11"/>
      <c r="G167" s="11"/>
      <c r="H167" s="171"/>
      <c r="I167" s="172"/>
      <c r="J167" s="126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75"/>
    </row>
    <row r="168" spans="1:21" ht="15.75" hidden="1" customHeight="1" x14ac:dyDescent="0.3">
      <c r="A168" s="76" t="s">
        <v>187</v>
      </c>
      <c r="B168" s="77"/>
      <c r="C168" s="112">
        <f>PRODUCT(C166,0.1)</f>
        <v>721718.48600000003</v>
      </c>
      <c r="D168" s="113"/>
      <c r="E168" s="114"/>
      <c r="F168" s="11"/>
      <c r="G168" s="11"/>
      <c r="H168" s="88"/>
      <c r="I168" s="88"/>
      <c r="J168" s="133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79"/>
    </row>
    <row r="169" spans="1:21" ht="15.75" hidden="1" customHeight="1" x14ac:dyDescent="0.3">
      <c r="A169" s="76" t="s">
        <v>188</v>
      </c>
      <c r="B169" s="77"/>
      <c r="C169" s="112">
        <f>SUM(C166:E168)</f>
        <v>8660621.8319999985</v>
      </c>
      <c r="D169" s="113"/>
      <c r="E169" s="114"/>
      <c r="F169" s="11"/>
      <c r="G169" s="11"/>
      <c r="H169" s="88"/>
      <c r="I169" s="88"/>
      <c r="J169" s="133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79"/>
    </row>
    <row r="170" spans="1:21" ht="15.75" customHeight="1" x14ac:dyDescent="0.25">
      <c r="A170" s="80"/>
      <c r="B170" s="4"/>
      <c r="C170" s="2"/>
      <c r="D170" s="9"/>
      <c r="E170" s="10"/>
      <c r="F170" s="11"/>
      <c r="G170" s="11"/>
      <c r="H170" s="88"/>
      <c r="I170" s="88"/>
      <c r="J170" s="133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79"/>
    </row>
    <row r="171" spans="1:21" ht="15.75" customHeight="1" x14ac:dyDescent="0.25">
      <c r="A171" s="81" t="s">
        <v>189</v>
      </c>
      <c r="B171" s="4"/>
      <c r="C171" s="2"/>
      <c r="D171" s="9"/>
      <c r="E171" s="10"/>
      <c r="F171" s="11"/>
      <c r="G171" s="11"/>
      <c r="H171" s="2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 x14ac:dyDescent="0.25">
      <c r="A172" s="82"/>
      <c r="B172" s="4"/>
      <c r="C172" s="2"/>
      <c r="D172" s="9"/>
      <c r="E172" s="10"/>
      <c r="F172" s="11"/>
      <c r="G172" s="11"/>
      <c r="H172" s="2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 x14ac:dyDescent="0.25">
      <c r="A173" s="83" t="s">
        <v>190</v>
      </c>
      <c r="B173" s="70"/>
      <c r="C173" s="115" t="s">
        <v>191</v>
      </c>
      <c r="D173" s="101"/>
      <c r="E173" s="101"/>
      <c r="F173" s="78"/>
      <c r="G173" s="78"/>
      <c r="H173" s="2"/>
      <c r="I173" s="134" t="s">
        <v>192</v>
      </c>
      <c r="J173" s="101"/>
      <c r="K173" s="101"/>
      <c r="L173" s="101"/>
      <c r="M173" s="101"/>
      <c r="N173" s="101"/>
      <c r="O173" s="1"/>
      <c r="P173" s="1"/>
      <c r="Q173" s="134" t="s">
        <v>193</v>
      </c>
      <c r="R173" s="101"/>
      <c r="S173" s="101"/>
      <c r="T173" s="101"/>
      <c r="U173" s="1"/>
    </row>
    <row r="174" spans="1:21" ht="15.75" customHeight="1" x14ac:dyDescent="0.25">
      <c r="A174" s="83"/>
      <c r="B174" s="70"/>
      <c r="C174" s="84"/>
      <c r="D174" s="86"/>
      <c r="E174" s="87"/>
      <c r="F174" s="78"/>
      <c r="G174" s="78"/>
      <c r="H174" s="2"/>
      <c r="I174" s="92"/>
      <c r="J174" s="92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</row>
    <row r="175" spans="1:21" ht="15.75" customHeight="1" x14ac:dyDescent="0.25">
      <c r="A175" s="70"/>
      <c r="B175" s="70"/>
      <c r="C175" s="88"/>
      <c r="D175" s="89"/>
      <c r="E175" s="90"/>
      <c r="F175" s="78"/>
      <c r="G175" s="78"/>
      <c r="H175" s="2"/>
      <c r="I175" s="88"/>
      <c r="J175" s="92"/>
      <c r="K175" s="91"/>
      <c r="L175" s="91"/>
      <c r="M175" s="91"/>
      <c r="N175" s="91"/>
      <c r="O175" s="91"/>
      <c r="P175" s="91"/>
      <c r="Q175" s="78"/>
      <c r="R175" s="91"/>
      <c r="S175" s="78"/>
      <c r="T175" s="78"/>
      <c r="U175" s="78"/>
    </row>
    <row r="176" spans="1:21" ht="15.75" customHeight="1" x14ac:dyDescent="0.25">
      <c r="A176" s="116" t="s">
        <v>194</v>
      </c>
      <c r="B176" s="101"/>
      <c r="C176" s="117" t="s">
        <v>195</v>
      </c>
      <c r="D176" s="101"/>
      <c r="E176" s="101"/>
      <c r="F176" s="101"/>
      <c r="G176" s="1"/>
      <c r="H176" s="2"/>
      <c r="I176" s="127" t="s">
        <v>196</v>
      </c>
      <c r="J176" s="101"/>
      <c r="K176" s="101"/>
      <c r="L176" s="101"/>
      <c r="M176" s="101"/>
      <c r="N176" s="101"/>
      <c r="O176" s="1"/>
      <c r="P176" s="1"/>
      <c r="Q176" s="127" t="s">
        <v>197</v>
      </c>
      <c r="R176" s="101"/>
      <c r="S176" s="101"/>
      <c r="T176" s="101"/>
      <c r="U176" s="1"/>
    </row>
    <row r="177" spans="1:21" ht="15" customHeight="1" x14ac:dyDescent="0.25">
      <c r="A177" s="118" t="s">
        <v>198</v>
      </c>
      <c r="B177" s="101"/>
      <c r="C177" s="119" t="s">
        <v>199</v>
      </c>
      <c r="D177" s="101"/>
      <c r="E177" s="101"/>
      <c r="F177" s="101"/>
      <c r="G177" s="93"/>
      <c r="H177" s="2"/>
      <c r="I177" s="128" t="s">
        <v>200</v>
      </c>
      <c r="J177" s="101"/>
      <c r="K177" s="101"/>
      <c r="L177" s="101"/>
      <c r="M177" s="101"/>
      <c r="N177" s="101"/>
      <c r="O177" s="1"/>
      <c r="P177" s="1"/>
      <c r="Q177" s="129" t="s">
        <v>201</v>
      </c>
      <c r="R177" s="101"/>
      <c r="S177" s="101"/>
      <c r="T177" s="101"/>
      <c r="U177" s="1"/>
    </row>
    <row r="178" spans="1:21" ht="15.75" customHeight="1" x14ac:dyDescent="0.25">
      <c r="A178" s="1"/>
      <c r="B178" s="1"/>
      <c r="C178" s="2"/>
      <c r="D178" s="9"/>
      <c r="E178" s="94"/>
      <c r="F178" s="1"/>
      <c r="G178" s="1"/>
      <c r="H178" s="2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 x14ac:dyDescent="0.25">
      <c r="A179" s="1" t="s">
        <v>202</v>
      </c>
      <c r="B179" s="1"/>
      <c r="C179" s="2" t="s">
        <v>202</v>
      </c>
      <c r="D179" s="9"/>
      <c r="E179" s="94"/>
      <c r="F179" s="1"/>
      <c r="G179" s="1"/>
      <c r="H179" s="2"/>
      <c r="I179" s="2" t="s">
        <v>202</v>
      </c>
      <c r="J179" s="2"/>
      <c r="K179" s="1"/>
      <c r="L179" s="1"/>
      <c r="M179" s="1"/>
      <c r="N179" s="1"/>
      <c r="O179" s="1"/>
      <c r="P179" s="1"/>
      <c r="Q179" s="1" t="s">
        <v>202</v>
      </c>
      <c r="R179" s="1"/>
      <c r="S179" s="1"/>
      <c r="T179" s="1"/>
      <c r="U179" s="1"/>
    </row>
    <row r="180" spans="1:21" ht="15.75" customHeight="1" x14ac:dyDescent="0.3">
      <c r="C180" s="95"/>
      <c r="D180" s="96"/>
      <c r="E180" s="97"/>
      <c r="H180" s="130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</row>
    <row r="181" spans="1:21" ht="15.75" customHeight="1" x14ac:dyDescent="0.3">
      <c r="C181" s="95"/>
      <c r="D181" s="96"/>
      <c r="E181" s="97"/>
      <c r="H181" s="174"/>
      <c r="I181" s="174"/>
      <c r="J181" s="174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</row>
    <row r="182" spans="1:21" ht="15.75" customHeight="1" x14ac:dyDescent="0.3">
      <c r="C182" s="95"/>
      <c r="D182" s="96"/>
      <c r="E182" s="97"/>
      <c r="H182" s="173"/>
      <c r="I182" s="174"/>
      <c r="J182" s="175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</row>
    <row r="183" spans="1:21" ht="15.75" customHeight="1" x14ac:dyDescent="0.3">
      <c r="C183" s="95"/>
      <c r="D183" s="96"/>
      <c r="E183" s="97"/>
      <c r="H183" s="13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</row>
    <row r="184" spans="1:21" ht="15.75" customHeight="1" x14ac:dyDescent="0.3">
      <c r="C184" s="95"/>
      <c r="D184" s="96"/>
      <c r="E184" s="97"/>
      <c r="H184" s="132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</row>
    <row r="185" spans="1:21" ht="15.75" customHeight="1" x14ac:dyDescent="0.3">
      <c r="C185" s="95"/>
      <c r="D185" s="96"/>
      <c r="E185" s="97"/>
    </row>
    <row r="186" spans="1:21" ht="15.75" customHeight="1" x14ac:dyDescent="0.3">
      <c r="C186" s="95"/>
      <c r="D186" s="96"/>
      <c r="E186" s="97"/>
    </row>
    <row r="187" spans="1:21" ht="15.75" customHeight="1" x14ac:dyDescent="0.3">
      <c r="C187" s="95"/>
      <c r="D187" s="96"/>
      <c r="E187" s="97"/>
    </row>
    <row r="188" spans="1:21" ht="15.75" customHeight="1" x14ac:dyDescent="0.3">
      <c r="C188" s="95"/>
      <c r="D188" s="96"/>
      <c r="E188" s="97"/>
    </row>
    <row r="189" spans="1:21" ht="15.75" customHeight="1" x14ac:dyDescent="0.3">
      <c r="C189" s="95"/>
      <c r="D189" s="96"/>
      <c r="E189" s="97"/>
    </row>
    <row r="190" spans="1:21" ht="15.75" customHeight="1" x14ac:dyDescent="0.3">
      <c r="C190" s="95"/>
      <c r="D190" s="96"/>
      <c r="E190" s="97"/>
    </row>
    <row r="191" spans="1:21" ht="15.75" customHeight="1" x14ac:dyDescent="0.3">
      <c r="C191" s="95"/>
      <c r="D191" s="96"/>
      <c r="E191" s="97"/>
    </row>
    <row r="192" spans="1:21" ht="15.75" customHeight="1" x14ac:dyDescent="0.3">
      <c r="C192" s="95"/>
      <c r="D192" s="96"/>
      <c r="E192" s="97"/>
    </row>
    <row r="193" spans="3:5" ht="15.75" customHeight="1" x14ac:dyDescent="0.3">
      <c r="C193" s="95"/>
      <c r="D193" s="96"/>
      <c r="E193" s="97"/>
    </row>
    <row r="194" spans="3:5" ht="15.75" customHeight="1" x14ac:dyDescent="0.3">
      <c r="C194" s="95"/>
      <c r="D194" s="96"/>
      <c r="E194" s="97"/>
    </row>
    <row r="195" spans="3:5" ht="15.75" customHeight="1" x14ac:dyDescent="0.3">
      <c r="C195" s="95"/>
      <c r="D195" s="96"/>
      <c r="E195" s="97"/>
    </row>
    <row r="196" spans="3:5" ht="15.75" customHeight="1" x14ac:dyDescent="0.3">
      <c r="C196" s="95"/>
      <c r="D196" s="96"/>
      <c r="E196" s="97"/>
    </row>
    <row r="197" spans="3:5" ht="15.75" customHeight="1" x14ac:dyDescent="0.3">
      <c r="C197" s="95"/>
      <c r="D197" s="96"/>
      <c r="E197" s="97"/>
    </row>
    <row r="198" spans="3:5" ht="15.75" customHeight="1" x14ac:dyDescent="0.3">
      <c r="C198" s="95"/>
      <c r="D198" s="96"/>
      <c r="E198" s="97"/>
    </row>
    <row r="199" spans="3:5" ht="15.75" customHeight="1" x14ac:dyDescent="0.3">
      <c r="C199" s="95"/>
      <c r="D199" s="96"/>
      <c r="E199" s="97"/>
    </row>
    <row r="200" spans="3:5" ht="15.75" customHeight="1" x14ac:dyDescent="0.3">
      <c r="C200" s="95"/>
      <c r="D200" s="96"/>
      <c r="E200" s="97"/>
    </row>
    <row r="201" spans="3:5" ht="15.75" customHeight="1" x14ac:dyDescent="0.3">
      <c r="C201" s="95"/>
      <c r="D201" s="96"/>
      <c r="E201" s="97"/>
    </row>
    <row r="202" spans="3:5" ht="15.75" customHeight="1" x14ac:dyDescent="0.3">
      <c r="C202" s="95"/>
      <c r="D202" s="96"/>
      <c r="E202" s="97"/>
    </row>
    <row r="203" spans="3:5" ht="15.75" customHeight="1" x14ac:dyDescent="0.3">
      <c r="C203" s="95"/>
      <c r="D203" s="96"/>
      <c r="E203" s="97"/>
    </row>
    <row r="204" spans="3:5" ht="15.75" customHeight="1" x14ac:dyDescent="0.3">
      <c r="C204" s="95"/>
      <c r="D204" s="96"/>
      <c r="E204" s="97"/>
    </row>
    <row r="205" spans="3:5" ht="15.75" customHeight="1" x14ac:dyDescent="0.3">
      <c r="C205" s="95"/>
      <c r="D205" s="96"/>
      <c r="E205" s="97"/>
    </row>
    <row r="206" spans="3:5" ht="15.75" customHeight="1" x14ac:dyDescent="0.3">
      <c r="C206" s="95"/>
      <c r="D206" s="96"/>
      <c r="E206" s="97"/>
    </row>
    <row r="207" spans="3:5" ht="15.75" customHeight="1" x14ac:dyDescent="0.3">
      <c r="C207" s="95"/>
      <c r="D207" s="96"/>
      <c r="E207" s="97"/>
    </row>
    <row r="208" spans="3:5" ht="15.75" customHeight="1" x14ac:dyDescent="0.3">
      <c r="C208" s="95"/>
      <c r="D208" s="96"/>
      <c r="E208" s="97"/>
    </row>
    <row r="209" spans="3:5" ht="15.75" customHeight="1" x14ac:dyDescent="0.3">
      <c r="C209" s="95"/>
      <c r="D209" s="96"/>
      <c r="E209" s="97"/>
    </row>
    <row r="210" spans="3:5" ht="15.75" customHeight="1" x14ac:dyDescent="0.3">
      <c r="C210" s="95"/>
      <c r="D210" s="96"/>
      <c r="E210" s="97"/>
    </row>
    <row r="211" spans="3:5" ht="15.75" customHeight="1" x14ac:dyDescent="0.3">
      <c r="C211" s="95"/>
      <c r="D211" s="96"/>
      <c r="E211" s="97"/>
    </row>
    <row r="212" spans="3:5" ht="15.75" customHeight="1" x14ac:dyDescent="0.3">
      <c r="C212" s="95"/>
      <c r="D212" s="96"/>
      <c r="E212" s="97"/>
    </row>
    <row r="213" spans="3:5" ht="15.75" customHeight="1" x14ac:dyDescent="0.3">
      <c r="C213" s="95"/>
      <c r="D213" s="96"/>
      <c r="E213" s="97"/>
    </row>
    <row r="214" spans="3:5" ht="15.75" customHeight="1" x14ac:dyDescent="0.3">
      <c r="C214" s="95"/>
      <c r="D214" s="96"/>
      <c r="E214" s="97"/>
    </row>
    <row r="215" spans="3:5" ht="15.75" customHeight="1" x14ac:dyDescent="0.3">
      <c r="C215" s="95"/>
      <c r="D215" s="96"/>
      <c r="E215" s="97"/>
    </row>
    <row r="216" spans="3:5" ht="15.75" customHeight="1" x14ac:dyDescent="0.3">
      <c r="C216" s="95"/>
      <c r="D216" s="96"/>
      <c r="E216" s="97"/>
    </row>
    <row r="217" spans="3:5" ht="15.75" customHeight="1" x14ac:dyDescent="0.3">
      <c r="C217" s="95"/>
      <c r="D217" s="96"/>
      <c r="E217" s="97"/>
    </row>
    <row r="218" spans="3:5" ht="15.75" customHeight="1" x14ac:dyDescent="0.3">
      <c r="C218" s="95"/>
      <c r="D218" s="96"/>
      <c r="E218" s="97"/>
    </row>
    <row r="219" spans="3:5" ht="15.75" customHeight="1" x14ac:dyDescent="0.3">
      <c r="C219" s="95"/>
      <c r="D219" s="96"/>
      <c r="E219" s="97"/>
    </row>
    <row r="220" spans="3:5" ht="15.75" customHeight="1" x14ac:dyDescent="0.3">
      <c r="C220" s="95"/>
      <c r="D220" s="96"/>
      <c r="E220" s="97"/>
    </row>
    <row r="221" spans="3:5" ht="15.75" customHeight="1" x14ac:dyDescent="0.3">
      <c r="C221" s="95"/>
      <c r="D221" s="96"/>
      <c r="E221" s="97"/>
    </row>
    <row r="222" spans="3:5" ht="15.75" customHeight="1" x14ac:dyDescent="0.3">
      <c r="C222" s="95"/>
      <c r="D222" s="96"/>
      <c r="E222" s="97"/>
    </row>
    <row r="223" spans="3:5" ht="15.75" customHeight="1" x14ac:dyDescent="0.3">
      <c r="C223" s="95"/>
      <c r="D223" s="96"/>
      <c r="E223" s="97"/>
    </row>
    <row r="224" spans="3:5" ht="15.75" customHeight="1" x14ac:dyDescent="0.3">
      <c r="C224" s="95"/>
      <c r="D224" s="96"/>
      <c r="E224" s="97"/>
    </row>
    <row r="225" spans="3:5" ht="15.75" customHeight="1" x14ac:dyDescent="0.3">
      <c r="C225" s="95"/>
      <c r="D225" s="96"/>
      <c r="E225" s="97"/>
    </row>
    <row r="226" spans="3:5" ht="15.75" customHeight="1" x14ac:dyDescent="0.3">
      <c r="C226" s="95"/>
      <c r="D226" s="96"/>
      <c r="E226" s="97"/>
    </row>
    <row r="227" spans="3:5" ht="15.75" customHeight="1" x14ac:dyDescent="0.3">
      <c r="C227" s="95"/>
      <c r="D227" s="96"/>
      <c r="E227" s="97"/>
    </row>
    <row r="228" spans="3:5" ht="15.75" customHeight="1" x14ac:dyDescent="0.3">
      <c r="C228" s="95"/>
      <c r="D228" s="96"/>
      <c r="E228" s="97"/>
    </row>
    <row r="229" spans="3:5" ht="15.75" customHeight="1" x14ac:dyDescent="0.3">
      <c r="C229" s="95"/>
      <c r="D229" s="96"/>
      <c r="E229" s="97"/>
    </row>
    <row r="230" spans="3:5" ht="15.75" customHeight="1" x14ac:dyDescent="0.3">
      <c r="C230" s="95"/>
      <c r="D230" s="96"/>
      <c r="E230" s="97"/>
    </row>
    <row r="231" spans="3:5" ht="15.75" customHeight="1" x14ac:dyDescent="0.3">
      <c r="C231" s="95"/>
      <c r="D231" s="96"/>
      <c r="E231" s="97"/>
    </row>
    <row r="232" spans="3:5" ht="15.75" customHeight="1" x14ac:dyDescent="0.3">
      <c r="C232" s="95"/>
      <c r="D232" s="96"/>
      <c r="E232" s="97"/>
    </row>
    <row r="233" spans="3:5" ht="15.75" customHeight="1" x14ac:dyDescent="0.3">
      <c r="C233" s="95"/>
      <c r="D233" s="96"/>
      <c r="E233" s="97"/>
    </row>
    <row r="234" spans="3:5" ht="15.75" customHeight="1" x14ac:dyDescent="0.3">
      <c r="C234" s="95"/>
      <c r="D234" s="96"/>
      <c r="E234" s="97"/>
    </row>
    <row r="235" spans="3:5" ht="15.75" customHeight="1" x14ac:dyDescent="0.3">
      <c r="C235" s="95"/>
      <c r="D235" s="96"/>
      <c r="E235" s="97"/>
    </row>
    <row r="236" spans="3:5" ht="15.75" customHeight="1" x14ac:dyDescent="0.3">
      <c r="C236" s="95"/>
      <c r="D236" s="96"/>
      <c r="E236" s="97"/>
    </row>
    <row r="237" spans="3:5" ht="15.75" customHeight="1" x14ac:dyDescent="0.3">
      <c r="C237" s="95"/>
      <c r="D237" s="96"/>
      <c r="E237" s="97"/>
    </row>
    <row r="238" spans="3:5" ht="15.75" customHeight="1" x14ac:dyDescent="0.3">
      <c r="C238" s="95"/>
      <c r="D238" s="96"/>
      <c r="E238" s="97"/>
    </row>
    <row r="239" spans="3:5" ht="15.75" customHeight="1" x14ac:dyDescent="0.3">
      <c r="C239" s="95"/>
      <c r="D239" s="96"/>
      <c r="E239" s="97"/>
    </row>
    <row r="240" spans="3:5" ht="15.75" customHeight="1" x14ac:dyDescent="0.3">
      <c r="C240" s="95"/>
      <c r="D240" s="96"/>
      <c r="E240" s="97"/>
    </row>
    <row r="241" spans="3:5" ht="15.75" customHeight="1" x14ac:dyDescent="0.3">
      <c r="C241" s="95"/>
      <c r="D241" s="96"/>
      <c r="E241" s="97"/>
    </row>
    <row r="242" spans="3:5" ht="15.75" customHeight="1" x14ac:dyDescent="0.3">
      <c r="C242" s="95"/>
      <c r="D242" s="96"/>
      <c r="E242" s="97"/>
    </row>
    <row r="243" spans="3:5" ht="15.75" customHeight="1" x14ac:dyDescent="0.3">
      <c r="C243" s="95"/>
      <c r="D243" s="96"/>
      <c r="E243" s="97"/>
    </row>
    <row r="244" spans="3:5" ht="15.75" customHeight="1" x14ac:dyDescent="0.3">
      <c r="C244" s="95"/>
      <c r="D244" s="96"/>
      <c r="E244" s="97"/>
    </row>
    <row r="245" spans="3:5" ht="15.75" customHeight="1" x14ac:dyDescent="0.3">
      <c r="C245" s="95"/>
      <c r="D245" s="96"/>
      <c r="E245" s="97"/>
    </row>
    <row r="246" spans="3:5" ht="15.75" customHeight="1" x14ac:dyDescent="0.3">
      <c r="C246" s="95"/>
      <c r="D246" s="96"/>
      <c r="E246" s="97"/>
    </row>
    <row r="247" spans="3:5" ht="15.75" customHeight="1" x14ac:dyDescent="0.3">
      <c r="C247" s="95"/>
      <c r="D247" s="96"/>
      <c r="E247" s="97"/>
    </row>
    <row r="248" spans="3:5" ht="15.75" customHeight="1" x14ac:dyDescent="0.3">
      <c r="C248" s="95"/>
      <c r="D248" s="96"/>
      <c r="E248" s="97"/>
    </row>
    <row r="249" spans="3:5" ht="15.75" customHeight="1" x14ac:dyDescent="0.3">
      <c r="C249" s="95"/>
      <c r="D249" s="96"/>
      <c r="E249" s="97"/>
    </row>
    <row r="250" spans="3:5" ht="15.75" customHeight="1" x14ac:dyDescent="0.3">
      <c r="C250" s="95"/>
      <c r="D250" s="96"/>
      <c r="E250" s="97"/>
    </row>
    <row r="251" spans="3:5" ht="15.75" customHeight="1" x14ac:dyDescent="0.3">
      <c r="C251" s="95"/>
      <c r="D251" s="96"/>
      <c r="E251" s="97"/>
    </row>
    <row r="252" spans="3:5" ht="15.75" customHeight="1" x14ac:dyDescent="0.3">
      <c r="C252" s="95"/>
      <c r="D252" s="96"/>
      <c r="E252" s="97"/>
    </row>
    <row r="253" spans="3:5" ht="15.75" customHeight="1" x14ac:dyDescent="0.3">
      <c r="C253" s="95"/>
      <c r="D253" s="96"/>
      <c r="E253" s="97"/>
    </row>
    <row r="254" spans="3:5" ht="15.75" customHeight="1" x14ac:dyDescent="0.3">
      <c r="C254" s="95"/>
      <c r="D254" s="96"/>
      <c r="E254" s="97"/>
    </row>
    <row r="255" spans="3:5" ht="15.75" customHeight="1" x14ac:dyDescent="0.3">
      <c r="C255" s="95"/>
      <c r="D255" s="96"/>
      <c r="E255" s="97"/>
    </row>
    <row r="256" spans="3:5" ht="15.75" customHeight="1" x14ac:dyDescent="0.3">
      <c r="C256" s="95"/>
      <c r="D256" s="96"/>
      <c r="E256" s="97"/>
    </row>
    <row r="257" spans="3:5" ht="15.75" customHeight="1" x14ac:dyDescent="0.3">
      <c r="C257" s="95"/>
      <c r="D257" s="96"/>
      <c r="E257" s="97"/>
    </row>
    <row r="258" spans="3:5" ht="15.75" customHeight="1" x14ac:dyDescent="0.3">
      <c r="C258" s="95"/>
      <c r="D258" s="96"/>
      <c r="E258" s="97"/>
    </row>
    <row r="259" spans="3:5" ht="15.75" customHeight="1" x14ac:dyDescent="0.3">
      <c r="C259" s="95"/>
      <c r="D259" s="96"/>
      <c r="E259" s="97"/>
    </row>
    <row r="260" spans="3:5" ht="15.75" customHeight="1" x14ac:dyDescent="0.3">
      <c r="C260" s="95"/>
      <c r="D260" s="96"/>
      <c r="E260" s="97"/>
    </row>
    <row r="261" spans="3:5" ht="15.75" customHeight="1" x14ac:dyDescent="0.3">
      <c r="C261" s="95"/>
      <c r="D261" s="96"/>
      <c r="E261" s="97"/>
    </row>
    <row r="262" spans="3:5" ht="15.75" customHeight="1" x14ac:dyDescent="0.3">
      <c r="C262" s="95"/>
      <c r="D262" s="96"/>
      <c r="E262" s="97"/>
    </row>
    <row r="263" spans="3:5" ht="15.75" customHeight="1" x14ac:dyDescent="0.3">
      <c r="C263" s="95"/>
      <c r="D263" s="96"/>
      <c r="E263" s="97"/>
    </row>
    <row r="264" spans="3:5" ht="15.75" customHeight="1" x14ac:dyDescent="0.3">
      <c r="C264" s="95"/>
      <c r="D264" s="96"/>
      <c r="E264" s="97"/>
    </row>
    <row r="265" spans="3:5" ht="15.75" customHeight="1" x14ac:dyDescent="0.3">
      <c r="C265" s="95"/>
      <c r="D265" s="96"/>
      <c r="E265" s="97"/>
    </row>
    <row r="266" spans="3:5" ht="15.75" customHeight="1" x14ac:dyDescent="0.3">
      <c r="C266" s="95"/>
      <c r="D266" s="96"/>
      <c r="E266" s="97"/>
    </row>
    <row r="267" spans="3:5" ht="15.75" customHeight="1" x14ac:dyDescent="0.3">
      <c r="C267" s="95"/>
      <c r="D267" s="96"/>
      <c r="E267" s="97"/>
    </row>
    <row r="268" spans="3:5" ht="15.75" customHeight="1" x14ac:dyDescent="0.3">
      <c r="C268" s="95"/>
      <c r="D268" s="96"/>
      <c r="E268" s="97"/>
    </row>
    <row r="269" spans="3:5" ht="15.75" customHeight="1" x14ac:dyDescent="0.3">
      <c r="C269" s="95"/>
      <c r="D269" s="96"/>
      <c r="E269" s="97"/>
    </row>
    <row r="270" spans="3:5" ht="15.75" customHeight="1" x14ac:dyDescent="0.3">
      <c r="C270" s="95"/>
      <c r="D270" s="96"/>
      <c r="E270" s="97"/>
    </row>
    <row r="271" spans="3:5" ht="15.75" customHeight="1" x14ac:dyDescent="0.3">
      <c r="C271" s="95"/>
      <c r="D271" s="96"/>
      <c r="E271" s="97"/>
    </row>
    <row r="272" spans="3:5" ht="15.75" customHeight="1" x14ac:dyDescent="0.3">
      <c r="C272" s="95"/>
      <c r="D272" s="96"/>
      <c r="E272" s="97"/>
    </row>
    <row r="273" spans="3:5" ht="15.75" customHeight="1" x14ac:dyDescent="0.3">
      <c r="C273" s="95"/>
      <c r="D273" s="96"/>
      <c r="E273" s="97"/>
    </row>
    <row r="274" spans="3:5" ht="15.75" customHeight="1" x14ac:dyDescent="0.3">
      <c r="C274" s="95"/>
      <c r="D274" s="96"/>
      <c r="E274" s="97"/>
    </row>
    <row r="275" spans="3:5" ht="15.75" customHeight="1" x14ac:dyDescent="0.3">
      <c r="C275" s="95"/>
      <c r="D275" s="96"/>
      <c r="E275" s="97"/>
    </row>
    <row r="276" spans="3:5" ht="15.75" customHeight="1" x14ac:dyDescent="0.3">
      <c r="C276" s="95"/>
      <c r="D276" s="96"/>
      <c r="E276" s="97"/>
    </row>
    <row r="277" spans="3:5" ht="15.75" customHeight="1" x14ac:dyDescent="0.3">
      <c r="C277" s="95"/>
      <c r="D277" s="96"/>
      <c r="E277" s="97"/>
    </row>
    <row r="278" spans="3:5" ht="15.75" customHeight="1" x14ac:dyDescent="0.3">
      <c r="C278" s="95"/>
      <c r="D278" s="96"/>
      <c r="E278" s="97"/>
    </row>
    <row r="279" spans="3:5" ht="15.75" customHeight="1" x14ac:dyDescent="0.3">
      <c r="C279" s="95"/>
      <c r="D279" s="96"/>
      <c r="E279" s="97"/>
    </row>
    <row r="280" spans="3:5" ht="15.75" customHeight="1" x14ac:dyDescent="0.3">
      <c r="C280" s="95"/>
      <c r="D280" s="96"/>
      <c r="E280" s="97"/>
    </row>
    <row r="281" spans="3:5" ht="15.75" customHeight="1" x14ac:dyDescent="0.3">
      <c r="C281" s="95"/>
      <c r="D281" s="96"/>
      <c r="E281" s="97"/>
    </row>
    <row r="282" spans="3:5" ht="15.75" customHeight="1" x14ac:dyDescent="0.3">
      <c r="C282" s="95"/>
      <c r="D282" s="96"/>
      <c r="E282" s="97"/>
    </row>
    <row r="283" spans="3:5" ht="15.75" customHeight="1" x14ac:dyDescent="0.3">
      <c r="C283" s="95"/>
      <c r="D283" s="96"/>
      <c r="E283" s="97"/>
    </row>
    <row r="284" spans="3:5" ht="15.75" customHeight="1" x14ac:dyDescent="0.3">
      <c r="C284" s="95"/>
      <c r="D284" s="96"/>
      <c r="E284" s="97"/>
    </row>
    <row r="285" spans="3:5" ht="15.75" customHeight="1" x14ac:dyDescent="0.3">
      <c r="C285" s="95"/>
      <c r="D285" s="96"/>
      <c r="E285" s="97"/>
    </row>
    <row r="286" spans="3:5" ht="15.75" customHeight="1" x14ac:dyDescent="0.3">
      <c r="C286" s="95"/>
      <c r="D286" s="96"/>
      <c r="E286" s="97"/>
    </row>
    <row r="287" spans="3:5" ht="15.75" customHeight="1" x14ac:dyDescent="0.3">
      <c r="C287" s="95"/>
      <c r="D287" s="96"/>
      <c r="E287" s="97"/>
    </row>
    <row r="288" spans="3:5" ht="15.75" customHeight="1" x14ac:dyDescent="0.3">
      <c r="C288" s="95"/>
      <c r="D288" s="96"/>
      <c r="E288" s="97"/>
    </row>
    <row r="289" spans="3:5" ht="15.75" customHeight="1" x14ac:dyDescent="0.3">
      <c r="C289" s="95"/>
      <c r="D289" s="96"/>
      <c r="E289" s="97"/>
    </row>
    <row r="290" spans="3:5" ht="15.75" customHeight="1" x14ac:dyDescent="0.3">
      <c r="C290" s="95"/>
      <c r="D290" s="96"/>
      <c r="E290" s="97"/>
    </row>
    <row r="291" spans="3:5" ht="15.75" customHeight="1" x14ac:dyDescent="0.3">
      <c r="C291" s="95"/>
      <c r="D291" s="96"/>
      <c r="E291" s="97"/>
    </row>
    <row r="292" spans="3:5" ht="15.75" customHeight="1" x14ac:dyDescent="0.3">
      <c r="C292" s="95"/>
      <c r="D292" s="96"/>
      <c r="E292" s="97"/>
    </row>
    <row r="293" spans="3:5" ht="15.75" customHeight="1" x14ac:dyDescent="0.3">
      <c r="C293" s="95"/>
      <c r="D293" s="96"/>
      <c r="E293" s="97"/>
    </row>
    <row r="294" spans="3:5" ht="15.75" customHeight="1" x14ac:dyDescent="0.3">
      <c r="C294" s="95"/>
      <c r="D294" s="96"/>
      <c r="E294" s="97"/>
    </row>
    <row r="295" spans="3:5" ht="15.75" customHeight="1" x14ac:dyDescent="0.3">
      <c r="C295" s="95"/>
      <c r="D295" s="96"/>
      <c r="E295" s="97"/>
    </row>
    <row r="296" spans="3:5" ht="15.75" customHeight="1" x14ac:dyDescent="0.3">
      <c r="C296" s="95"/>
      <c r="D296" s="96"/>
      <c r="E296" s="97"/>
    </row>
    <row r="297" spans="3:5" ht="15.75" customHeight="1" x14ac:dyDescent="0.3">
      <c r="C297" s="95"/>
      <c r="D297" s="96"/>
      <c r="E297" s="97"/>
    </row>
    <row r="298" spans="3:5" ht="15.75" customHeight="1" x14ac:dyDescent="0.3">
      <c r="C298" s="95"/>
      <c r="D298" s="96"/>
      <c r="E298" s="97"/>
    </row>
    <row r="299" spans="3:5" ht="15.75" customHeight="1" x14ac:dyDescent="0.3">
      <c r="C299" s="95"/>
      <c r="D299" s="96"/>
      <c r="E299" s="97"/>
    </row>
    <row r="300" spans="3:5" ht="15.75" customHeight="1" x14ac:dyDescent="0.3">
      <c r="C300" s="95"/>
      <c r="D300" s="96"/>
      <c r="E300" s="97"/>
    </row>
    <row r="301" spans="3:5" ht="15.75" customHeight="1" x14ac:dyDescent="0.3">
      <c r="C301" s="95"/>
      <c r="D301" s="96"/>
      <c r="E301" s="97"/>
    </row>
    <row r="302" spans="3:5" ht="15.75" customHeight="1" x14ac:dyDescent="0.3">
      <c r="C302" s="95"/>
      <c r="D302" s="96"/>
      <c r="E302" s="97"/>
    </row>
    <row r="303" spans="3:5" ht="15.75" customHeight="1" x14ac:dyDescent="0.3">
      <c r="C303" s="95"/>
      <c r="D303" s="96"/>
      <c r="E303" s="97"/>
    </row>
    <row r="304" spans="3:5" ht="15.75" customHeight="1" x14ac:dyDescent="0.3">
      <c r="C304" s="95"/>
      <c r="D304" s="96"/>
      <c r="E304" s="97"/>
    </row>
    <row r="305" spans="3:5" ht="15.75" customHeight="1" x14ac:dyDescent="0.3">
      <c r="C305" s="95"/>
      <c r="D305" s="96"/>
      <c r="E305" s="97"/>
    </row>
    <row r="306" spans="3:5" ht="15.75" customHeight="1" x14ac:dyDescent="0.3">
      <c r="C306" s="95"/>
      <c r="D306" s="96"/>
      <c r="E306" s="97"/>
    </row>
    <row r="307" spans="3:5" ht="15.75" customHeight="1" x14ac:dyDescent="0.3">
      <c r="C307" s="95"/>
      <c r="D307" s="96"/>
      <c r="E307" s="97"/>
    </row>
    <row r="308" spans="3:5" ht="15.75" customHeight="1" x14ac:dyDescent="0.3">
      <c r="C308" s="95"/>
      <c r="D308" s="96"/>
      <c r="E308" s="97"/>
    </row>
    <row r="309" spans="3:5" ht="15.75" customHeight="1" x14ac:dyDescent="0.3">
      <c r="C309" s="95"/>
      <c r="D309" s="96"/>
      <c r="E309" s="97"/>
    </row>
    <row r="310" spans="3:5" ht="15.75" customHeight="1" x14ac:dyDescent="0.3">
      <c r="C310" s="95"/>
      <c r="D310" s="96"/>
      <c r="E310" s="97"/>
    </row>
    <row r="311" spans="3:5" ht="15.75" customHeight="1" x14ac:dyDescent="0.3">
      <c r="C311" s="95"/>
      <c r="D311" s="96"/>
      <c r="E311" s="97"/>
    </row>
    <row r="312" spans="3:5" ht="15.75" customHeight="1" x14ac:dyDescent="0.3">
      <c r="C312" s="95"/>
      <c r="D312" s="96"/>
      <c r="E312" s="97"/>
    </row>
    <row r="313" spans="3:5" ht="15.75" customHeight="1" x14ac:dyDescent="0.3">
      <c r="C313" s="95"/>
      <c r="D313" s="96"/>
      <c r="E313" s="97"/>
    </row>
    <row r="314" spans="3:5" ht="15.75" customHeight="1" x14ac:dyDescent="0.3">
      <c r="C314" s="95"/>
      <c r="D314" s="96"/>
      <c r="E314" s="97"/>
    </row>
    <row r="315" spans="3:5" ht="15.75" customHeight="1" x14ac:dyDescent="0.3">
      <c r="C315" s="95"/>
      <c r="D315" s="96"/>
      <c r="E315" s="97"/>
    </row>
    <row r="316" spans="3:5" ht="15.75" customHeight="1" x14ac:dyDescent="0.3">
      <c r="C316" s="95"/>
      <c r="D316" s="96"/>
      <c r="E316" s="97"/>
    </row>
    <row r="317" spans="3:5" ht="15.75" customHeight="1" x14ac:dyDescent="0.3">
      <c r="C317" s="95"/>
      <c r="D317" s="96"/>
      <c r="E317" s="97"/>
    </row>
    <row r="318" spans="3:5" ht="15.75" customHeight="1" x14ac:dyDescent="0.3">
      <c r="C318" s="95"/>
      <c r="D318" s="96"/>
      <c r="E318" s="97"/>
    </row>
    <row r="319" spans="3:5" ht="15.75" customHeight="1" x14ac:dyDescent="0.3">
      <c r="C319" s="95"/>
      <c r="D319" s="96"/>
      <c r="E319" s="97"/>
    </row>
    <row r="320" spans="3:5" ht="15.75" customHeight="1" x14ac:dyDescent="0.3">
      <c r="C320" s="95"/>
      <c r="D320" s="96"/>
      <c r="E320" s="97"/>
    </row>
    <row r="321" spans="3:5" ht="15.75" customHeight="1" x14ac:dyDescent="0.3">
      <c r="C321" s="95"/>
      <c r="D321" s="96"/>
      <c r="E321" s="97"/>
    </row>
    <row r="322" spans="3:5" ht="15.75" customHeight="1" x14ac:dyDescent="0.3">
      <c r="C322" s="95"/>
      <c r="D322" s="96"/>
      <c r="E322" s="97"/>
    </row>
    <row r="323" spans="3:5" ht="15.75" customHeight="1" x14ac:dyDescent="0.3">
      <c r="C323" s="95"/>
      <c r="D323" s="96"/>
      <c r="E323" s="97"/>
    </row>
    <row r="324" spans="3:5" ht="15.75" customHeight="1" x14ac:dyDescent="0.3">
      <c r="C324" s="95"/>
      <c r="D324" s="96"/>
      <c r="E324" s="97"/>
    </row>
    <row r="325" spans="3:5" ht="15.75" customHeight="1" x14ac:dyDescent="0.3">
      <c r="C325" s="95"/>
      <c r="D325" s="96"/>
      <c r="E325" s="97"/>
    </row>
    <row r="326" spans="3:5" ht="15.75" customHeight="1" x14ac:dyDescent="0.3">
      <c r="C326" s="95"/>
      <c r="D326" s="96"/>
      <c r="E326" s="97"/>
    </row>
    <row r="327" spans="3:5" ht="15.75" customHeight="1" x14ac:dyDescent="0.3">
      <c r="C327" s="95"/>
      <c r="D327" s="96"/>
      <c r="E327" s="97"/>
    </row>
    <row r="328" spans="3:5" ht="15.75" customHeight="1" x14ac:dyDescent="0.3">
      <c r="C328" s="95"/>
      <c r="D328" s="96"/>
      <c r="E328" s="97"/>
    </row>
    <row r="329" spans="3:5" ht="15.75" customHeight="1" x14ac:dyDescent="0.3">
      <c r="C329" s="95"/>
      <c r="D329" s="96"/>
      <c r="E329" s="97"/>
    </row>
    <row r="330" spans="3:5" ht="15.75" customHeight="1" x14ac:dyDescent="0.3">
      <c r="C330" s="95"/>
      <c r="D330" s="96"/>
      <c r="E330" s="97"/>
    </row>
    <row r="331" spans="3:5" ht="15.75" customHeight="1" x14ac:dyDescent="0.3">
      <c r="C331" s="95"/>
      <c r="D331" s="96"/>
      <c r="E331" s="97"/>
    </row>
    <row r="332" spans="3:5" ht="15.75" customHeight="1" x14ac:dyDescent="0.3">
      <c r="C332" s="95"/>
      <c r="D332" s="96"/>
      <c r="E332" s="97"/>
    </row>
    <row r="333" spans="3:5" ht="15.75" customHeight="1" x14ac:dyDescent="0.3">
      <c r="C333" s="95"/>
      <c r="D333" s="96"/>
      <c r="E333" s="97"/>
    </row>
    <row r="334" spans="3:5" ht="15.75" customHeight="1" x14ac:dyDescent="0.3">
      <c r="C334" s="95"/>
      <c r="D334" s="96"/>
      <c r="E334" s="97"/>
    </row>
    <row r="335" spans="3:5" ht="15.75" customHeight="1" x14ac:dyDescent="0.3">
      <c r="C335" s="95"/>
      <c r="D335" s="96"/>
      <c r="E335" s="97"/>
    </row>
    <row r="336" spans="3:5" ht="15.75" customHeight="1" x14ac:dyDescent="0.3">
      <c r="C336" s="95"/>
      <c r="D336" s="96"/>
      <c r="E336" s="97"/>
    </row>
    <row r="337" spans="3:5" ht="15.75" customHeight="1" x14ac:dyDescent="0.3">
      <c r="C337" s="95"/>
      <c r="D337" s="96"/>
      <c r="E337" s="97"/>
    </row>
    <row r="338" spans="3:5" ht="15.75" customHeight="1" x14ac:dyDescent="0.3">
      <c r="C338" s="95"/>
      <c r="D338" s="96"/>
      <c r="E338" s="97"/>
    </row>
    <row r="339" spans="3:5" ht="15.75" customHeight="1" x14ac:dyDescent="0.3">
      <c r="C339" s="95"/>
      <c r="D339" s="96"/>
      <c r="E339" s="97"/>
    </row>
    <row r="340" spans="3:5" ht="15.75" customHeight="1" x14ac:dyDescent="0.3">
      <c r="C340" s="95"/>
      <c r="D340" s="96"/>
      <c r="E340" s="97"/>
    </row>
    <row r="341" spans="3:5" ht="15.75" customHeight="1" x14ac:dyDescent="0.3">
      <c r="C341" s="95"/>
      <c r="D341" s="96"/>
      <c r="E341" s="97"/>
    </row>
    <row r="342" spans="3:5" ht="15.75" customHeight="1" x14ac:dyDescent="0.3">
      <c r="C342" s="95"/>
      <c r="D342" s="96"/>
      <c r="E342" s="97"/>
    </row>
    <row r="343" spans="3:5" ht="15.75" customHeight="1" x14ac:dyDescent="0.3">
      <c r="C343" s="95"/>
      <c r="D343" s="96"/>
      <c r="E343" s="97"/>
    </row>
    <row r="344" spans="3:5" ht="15.75" customHeight="1" x14ac:dyDescent="0.3">
      <c r="C344" s="95"/>
      <c r="D344" s="96"/>
      <c r="E344" s="97"/>
    </row>
    <row r="345" spans="3:5" ht="15.75" customHeight="1" x14ac:dyDescent="0.3">
      <c r="C345" s="95"/>
      <c r="D345" s="96"/>
      <c r="E345" s="97"/>
    </row>
    <row r="346" spans="3:5" ht="15.75" customHeight="1" x14ac:dyDescent="0.3">
      <c r="C346" s="95"/>
      <c r="D346" s="96"/>
      <c r="E346" s="97"/>
    </row>
    <row r="347" spans="3:5" ht="15.75" customHeight="1" x14ac:dyDescent="0.3">
      <c r="C347" s="95"/>
      <c r="D347" s="96"/>
      <c r="E347" s="97"/>
    </row>
    <row r="348" spans="3:5" ht="15.75" customHeight="1" x14ac:dyDescent="0.3">
      <c r="C348" s="95"/>
      <c r="D348" s="96"/>
      <c r="E348" s="97"/>
    </row>
    <row r="349" spans="3:5" ht="15.75" customHeight="1" x14ac:dyDescent="0.3">
      <c r="C349" s="95"/>
      <c r="D349" s="96"/>
      <c r="E349" s="97"/>
    </row>
    <row r="350" spans="3:5" ht="15.75" customHeight="1" x14ac:dyDescent="0.3">
      <c r="C350" s="95"/>
      <c r="D350" s="96"/>
      <c r="E350" s="97"/>
    </row>
    <row r="351" spans="3:5" ht="15.75" customHeight="1" x14ac:dyDescent="0.3">
      <c r="C351" s="95"/>
      <c r="D351" s="96"/>
      <c r="E351" s="97"/>
    </row>
    <row r="352" spans="3:5" ht="15.75" customHeight="1" x14ac:dyDescent="0.3">
      <c r="C352" s="95"/>
      <c r="D352" s="96"/>
      <c r="E352" s="97"/>
    </row>
    <row r="353" spans="3:5" ht="15.75" customHeight="1" x14ac:dyDescent="0.3">
      <c r="C353" s="95"/>
      <c r="D353" s="96"/>
      <c r="E353" s="97"/>
    </row>
    <row r="354" spans="3:5" ht="15.75" customHeight="1" x14ac:dyDescent="0.3">
      <c r="C354" s="95"/>
      <c r="D354" s="96"/>
      <c r="E354" s="97"/>
    </row>
    <row r="355" spans="3:5" ht="15.75" customHeight="1" x14ac:dyDescent="0.3">
      <c r="C355" s="95"/>
      <c r="D355" s="96"/>
      <c r="E355" s="97"/>
    </row>
    <row r="356" spans="3:5" ht="15.75" customHeight="1" x14ac:dyDescent="0.3">
      <c r="C356" s="95"/>
      <c r="D356" s="96"/>
      <c r="E356" s="97"/>
    </row>
    <row r="357" spans="3:5" ht="15.75" customHeight="1" x14ac:dyDescent="0.3">
      <c r="C357" s="95"/>
      <c r="D357" s="96"/>
      <c r="E357" s="97"/>
    </row>
    <row r="358" spans="3:5" ht="15.75" customHeight="1" x14ac:dyDescent="0.3">
      <c r="C358" s="95"/>
      <c r="D358" s="96"/>
      <c r="E358" s="97"/>
    </row>
    <row r="359" spans="3:5" ht="15.75" customHeight="1" x14ac:dyDescent="0.3">
      <c r="C359" s="95"/>
      <c r="D359" s="96"/>
      <c r="E359" s="97"/>
    </row>
    <row r="360" spans="3:5" ht="15.75" customHeight="1" x14ac:dyDescent="0.3">
      <c r="C360" s="95"/>
      <c r="D360" s="96"/>
      <c r="E360" s="97"/>
    </row>
    <row r="361" spans="3:5" ht="15.75" customHeight="1" x14ac:dyDescent="0.3">
      <c r="C361" s="95"/>
      <c r="D361" s="96"/>
      <c r="E361" s="97"/>
    </row>
    <row r="362" spans="3:5" ht="15.75" customHeight="1" x14ac:dyDescent="0.3">
      <c r="C362" s="95"/>
      <c r="D362" s="96"/>
      <c r="E362" s="97"/>
    </row>
    <row r="363" spans="3:5" ht="15.75" customHeight="1" x14ac:dyDescent="0.3">
      <c r="C363" s="95"/>
      <c r="D363" s="96"/>
      <c r="E363" s="97"/>
    </row>
    <row r="364" spans="3:5" ht="15.75" customHeight="1" x14ac:dyDescent="0.3">
      <c r="C364" s="95"/>
      <c r="D364" s="96"/>
      <c r="E364" s="97"/>
    </row>
    <row r="365" spans="3:5" ht="15.75" customHeight="1" x14ac:dyDescent="0.3">
      <c r="C365" s="95"/>
      <c r="D365" s="96"/>
      <c r="E365" s="97"/>
    </row>
    <row r="366" spans="3:5" ht="15.75" customHeight="1" x14ac:dyDescent="0.3">
      <c r="C366" s="95"/>
      <c r="D366" s="96"/>
      <c r="E366" s="97"/>
    </row>
    <row r="367" spans="3:5" ht="15.75" customHeight="1" x14ac:dyDescent="0.3">
      <c r="C367" s="95"/>
      <c r="D367" s="96"/>
      <c r="E367" s="97"/>
    </row>
    <row r="368" spans="3:5" ht="15.75" customHeight="1" x14ac:dyDescent="0.3">
      <c r="C368" s="95"/>
      <c r="D368" s="96"/>
      <c r="E368" s="97"/>
    </row>
    <row r="369" spans="3:5" ht="15.75" customHeight="1" x14ac:dyDescent="0.3">
      <c r="C369" s="95"/>
      <c r="D369" s="96"/>
      <c r="E369" s="97"/>
    </row>
    <row r="370" spans="3:5" ht="15.75" customHeight="1" x14ac:dyDescent="0.3">
      <c r="C370" s="95"/>
      <c r="D370" s="96"/>
      <c r="E370" s="97"/>
    </row>
    <row r="371" spans="3:5" ht="15.75" customHeight="1" x14ac:dyDescent="0.3">
      <c r="C371" s="95"/>
      <c r="D371" s="96"/>
      <c r="E371" s="97"/>
    </row>
    <row r="372" spans="3:5" ht="15.75" customHeight="1" x14ac:dyDescent="0.3">
      <c r="C372" s="95"/>
      <c r="D372" s="96"/>
      <c r="E372" s="97"/>
    </row>
    <row r="373" spans="3:5" ht="15.75" customHeight="1" x14ac:dyDescent="0.3">
      <c r="C373" s="95"/>
      <c r="D373" s="96"/>
      <c r="E373" s="97"/>
    </row>
    <row r="374" spans="3:5" ht="15.75" customHeight="1" x14ac:dyDescent="0.3">
      <c r="C374" s="95"/>
      <c r="D374" s="96"/>
      <c r="E374" s="97"/>
    </row>
    <row r="375" spans="3:5" ht="15.75" customHeight="1" x14ac:dyDescent="0.3">
      <c r="C375" s="95"/>
      <c r="D375" s="96"/>
      <c r="E375" s="97"/>
    </row>
    <row r="376" spans="3:5" ht="15.75" customHeight="1" x14ac:dyDescent="0.3">
      <c r="C376" s="95"/>
      <c r="D376" s="96"/>
      <c r="E376" s="97"/>
    </row>
    <row r="377" spans="3:5" ht="15.75" customHeight="1" x14ac:dyDescent="0.3">
      <c r="C377" s="95"/>
      <c r="D377" s="96"/>
      <c r="E377" s="97"/>
    </row>
    <row r="378" spans="3:5" ht="15.75" customHeight="1" x14ac:dyDescent="0.3">
      <c r="C378" s="95"/>
      <c r="D378" s="96"/>
      <c r="E378" s="97"/>
    </row>
    <row r="379" spans="3:5" ht="15.75" customHeight="1" x14ac:dyDescent="0.3">
      <c r="C379" s="95"/>
      <c r="D379" s="96"/>
      <c r="E379" s="97"/>
    </row>
    <row r="380" spans="3:5" ht="15.75" customHeight="1" x14ac:dyDescent="0.25">
      <c r="C380" s="95"/>
      <c r="E380" s="97"/>
    </row>
    <row r="381" spans="3:5" ht="15.75" customHeight="1" x14ac:dyDescent="0.25">
      <c r="C381" s="95"/>
      <c r="E381" s="97"/>
    </row>
    <row r="382" spans="3:5" ht="15.75" customHeight="1" x14ac:dyDescent="0.25">
      <c r="C382" s="95"/>
      <c r="E382" s="97"/>
    </row>
    <row r="383" spans="3:5" ht="15.75" customHeight="1" x14ac:dyDescent="0.25">
      <c r="C383" s="95"/>
      <c r="E383" s="97"/>
    </row>
    <row r="384" spans="3:5" ht="15.75" customHeight="1" x14ac:dyDescent="0.25">
      <c r="C384" s="95"/>
      <c r="E384" s="97"/>
    </row>
    <row r="385" spans="3:5" ht="15.75" customHeight="1" x14ac:dyDescent="0.25">
      <c r="C385" s="95"/>
      <c r="E385" s="97"/>
    </row>
    <row r="386" spans="3:5" ht="15.75" customHeight="1" x14ac:dyDescent="0.25">
      <c r="C386" s="95"/>
      <c r="E386" s="97"/>
    </row>
    <row r="387" spans="3:5" ht="15.75" customHeight="1" x14ac:dyDescent="0.25">
      <c r="C387" s="95"/>
      <c r="E387" s="97"/>
    </row>
    <row r="388" spans="3:5" ht="15.75" customHeight="1" x14ac:dyDescent="0.25">
      <c r="C388" s="95"/>
      <c r="E388" s="97"/>
    </row>
    <row r="389" spans="3:5" ht="15.75" customHeight="1" x14ac:dyDescent="0.25">
      <c r="C389" s="95"/>
      <c r="E389" s="97"/>
    </row>
    <row r="390" spans="3:5" ht="15.75" customHeight="1" x14ac:dyDescent="0.25">
      <c r="C390" s="95"/>
      <c r="E390" s="97"/>
    </row>
    <row r="391" spans="3:5" ht="15.75" customHeight="1" x14ac:dyDescent="0.25">
      <c r="C391" s="95"/>
      <c r="E391" s="97"/>
    </row>
    <row r="392" spans="3:5" ht="15.75" customHeight="1" x14ac:dyDescent="0.25">
      <c r="C392" s="95"/>
      <c r="E392" s="97"/>
    </row>
    <row r="393" spans="3:5" ht="15.75" customHeight="1" x14ac:dyDescent="0.25">
      <c r="C393" s="95"/>
      <c r="E393" s="97"/>
    </row>
    <row r="394" spans="3:5" ht="15.75" customHeight="1" x14ac:dyDescent="0.25">
      <c r="C394" s="95"/>
      <c r="E394" s="97"/>
    </row>
    <row r="395" spans="3:5" ht="15.75" customHeight="1" x14ac:dyDescent="0.25">
      <c r="C395" s="95"/>
      <c r="E395" s="97"/>
    </row>
    <row r="396" spans="3:5" ht="15.75" customHeight="1" x14ac:dyDescent="0.25">
      <c r="C396" s="95"/>
      <c r="E396" s="97"/>
    </row>
    <row r="397" spans="3:5" ht="15.75" customHeight="1" x14ac:dyDescent="0.25">
      <c r="C397" s="95"/>
      <c r="E397" s="97"/>
    </row>
    <row r="398" spans="3:5" ht="15.75" customHeight="1" x14ac:dyDescent="0.25">
      <c r="C398" s="95"/>
      <c r="E398" s="97"/>
    </row>
    <row r="399" spans="3:5" ht="15.75" customHeight="1" x14ac:dyDescent="0.25">
      <c r="C399" s="95"/>
      <c r="E399" s="97"/>
    </row>
    <row r="400" spans="3:5" ht="15.75" customHeight="1" x14ac:dyDescent="0.25">
      <c r="C400" s="95"/>
      <c r="E400" s="97"/>
    </row>
    <row r="401" spans="3:5" ht="15.75" customHeight="1" x14ac:dyDescent="0.25">
      <c r="C401" s="95"/>
      <c r="E401" s="97"/>
    </row>
    <row r="402" spans="3:5" ht="15.75" customHeight="1" x14ac:dyDescent="0.25">
      <c r="C402" s="95"/>
      <c r="E402" s="97"/>
    </row>
    <row r="403" spans="3:5" ht="15.75" customHeight="1" x14ac:dyDescent="0.25">
      <c r="C403" s="95"/>
      <c r="E403" s="97"/>
    </row>
    <row r="404" spans="3:5" ht="15.75" customHeight="1" x14ac:dyDescent="0.25">
      <c r="C404" s="95"/>
      <c r="E404" s="97"/>
    </row>
    <row r="405" spans="3:5" ht="15.75" customHeight="1" x14ac:dyDescent="0.25">
      <c r="C405" s="95"/>
      <c r="E405" s="97"/>
    </row>
    <row r="406" spans="3:5" ht="15.75" customHeight="1" x14ac:dyDescent="0.25">
      <c r="C406" s="95"/>
      <c r="E406" s="97"/>
    </row>
    <row r="407" spans="3:5" ht="15.75" customHeight="1" x14ac:dyDescent="0.25">
      <c r="C407" s="95"/>
      <c r="E407" s="97"/>
    </row>
    <row r="408" spans="3:5" ht="15.75" customHeight="1" x14ac:dyDescent="0.25">
      <c r="C408" s="95"/>
      <c r="E408" s="97"/>
    </row>
    <row r="409" spans="3:5" ht="15.75" customHeight="1" x14ac:dyDescent="0.25">
      <c r="C409" s="95"/>
      <c r="E409" s="97"/>
    </row>
    <row r="410" spans="3:5" ht="15.75" customHeight="1" x14ac:dyDescent="0.25">
      <c r="C410" s="95"/>
      <c r="E410" s="97"/>
    </row>
    <row r="411" spans="3:5" ht="15.75" customHeight="1" x14ac:dyDescent="0.25">
      <c r="C411" s="95"/>
      <c r="E411" s="97"/>
    </row>
    <row r="412" spans="3:5" ht="15.75" customHeight="1" x14ac:dyDescent="0.25">
      <c r="C412" s="95"/>
      <c r="E412" s="97"/>
    </row>
    <row r="413" spans="3:5" ht="15.75" customHeight="1" x14ac:dyDescent="0.25">
      <c r="C413" s="95"/>
      <c r="E413" s="97"/>
    </row>
    <row r="414" spans="3:5" ht="15.75" customHeight="1" x14ac:dyDescent="0.25">
      <c r="C414" s="95"/>
      <c r="E414" s="97"/>
    </row>
    <row r="415" spans="3:5" ht="15.75" customHeight="1" x14ac:dyDescent="0.25">
      <c r="C415" s="95"/>
      <c r="E415" s="97"/>
    </row>
    <row r="416" spans="3:5" ht="15.75" customHeight="1" x14ac:dyDescent="0.25">
      <c r="C416" s="95"/>
      <c r="E416" s="97"/>
    </row>
    <row r="417" spans="3:5" ht="15.75" customHeight="1" x14ac:dyDescent="0.25">
      <c r="C417" s="95"/>
      <c r="E417" s="97"/>
    </row>
    <row r="418" spans="3:5" ht="15.75" customHeight="1" x14ac:dyDescent="0.25">
      <c r="C418" s="95"/>
      <c r="E418" s="97"/>
    </row>
    <row r="419" spans="3:5" ht="15.75" customHeight="1" x14ac:dyDescent="0.25">
      <c r="C419" s="95"/>
      <c r="E419" s="97"/>
    </row>
    <row r="420" spans="3:5" ht="15.75" customHeight="1" x14ac:dyDescent="0.25">
      <c r="C420" s="95"/>
      <c r="E420" s="97"/>
    </row>
    <row r="421" spans="3:5" ht="15.75" customHeight="1" x14ac:dyDescent="0.25">
      <c r="C421" s="95"/>
      <c r="E421" s="97"/>
    </row>
    <row r="422" spans="3:5" ht="15.75" customHeight="1" x14ac:dyDescent="0.25">
      <c r="C422" s="95"/>
      <c r="E422" s="97"/>
    </row>
    <row r="423" spans="3:5" ht="15.75" customHeight="1" x14ac:dyDescent="0.25">
      <c r="C423" s="95"/>
      <c r="E423" s="97"/>
    </row>
    <row r="424" spans="3:5" ht="15.75" customHeight="1" x14ac:dyDescent="0.25">
      <c r="C424" s="95"/>
      <c r="E424" s="97"/>
    </row>
    <row r="425" spans="3:5" ht="15.75" customHeight="1" x14ac:dyDescent="0.25">
      <c r="C425" s="95"/>
      <c r="E425" s="97"/>
    </row>
    <row r="426" spans="3:5" ht="15.75" customHeight="1" x14ac:dyDescent="0.25">
      <c r="C426" s="95"/>
      <c r="E426" s="97"/>
    </row>
    <row r="427" spans="3:5" ht="15.75" customHeight="1" x14ac:dyDescent="0.25">
      <c r="C427" s="95"/>
      <c r="E427" s="97"/>
    </row>
    <row r="428" spans="3:5" ht="15.75" customHeight="1" x14ac:dyDescent="0.25">
      <c r="C428" s="95"/>
      <c r="E428" s="97"/>
    </row>
    <row r="429" spans="3:5" ht="15.75" customHeight="1" x14ac:dyDescent="0.25">
      <c r="C429" s="95"/>
      <c r="E429" s="97"/>
    </row>
    <row r="430" spans="3:5" ht="15.75" customHeight="1" x14ac:dyDescent="0.25">
      <c r="C430" s="95"/>
      <c r="E430" s="97"/>
    </row>
    <row r="431" spans="3:5" ht="15.75" customHeight="1" x14ac:dyDescent="0.25">
      <c r="C431" s="95"/>
      <c r="E431" s="97"/>
    </row>
    <row r="432" spans="3:5" ht="15.75" customHeight="1" x14ac:dyDescent="0.25">
      <c r="C432" s="95"/>
      <c r="E432" s="97"/>
    </row>
    <row r="433" spans="3:5" ht="15.75" customHeight="1" x14ac:dyDescent="0.25">
      <c r="C433" s="95"/>
      <c r="E433" s="97"/>
    </row>
    <row r="434" spans="3:5" ht="15.75" customHeight="1" x14ac:dyDescent="0.25">
      <c r="C434" s="95"/>
      <c r="E434" s="97"/>
    </row>
    <row r="435" spans="3:5" ht="15.75" customHeight="1" x14ac:dyDescent="0.25">
      <c r="C435" s="95"/>
      <c r="E435" s="97"/>
    </row>
    <row r="436" spans="3:5" ht="15.75" customHeight="1" x14ac:dyDescent="0.25">
      <c r="C436" s="95"/>
      <c r="E436" s="97"/>
    </row>
    <row r="437" spans="3:5" ht="15.75" customHeight="1" x14ac:dyDescent="0.25">
      <c r="C437" s="95"/>
      <c r="E437" s="97"/>
    </row>
    <row r="438" spans="3:5" ht="15.75" customHeight="1" x14ac:dyDescent="0.25">
      <c r="C438" s="95"/>
      <c r="E438" s="97"/>
    </row>
    <row r="439" spans="3:5" ht="15.75" customHeight="1" x14ac:dyDescent="0.25">
      <c r="C439" s="95"/>
      <c r="E439" s="97"/>
    </row>
    <row r="440" spans="3:5" ht="15.75" customHeight="1" x14ac:dyDescent="0.25">
      <c r="C440" s="95"/>
      <c r="E440" s="97"/>
    </row>
    <row r="441" spans="3:5" ht="15.75" customHeight="1" x14ac:dyDescent="0.25">
      <c r="C441" s="95"/>
      <c r="E441" s="97"/>
    </row>
    <row r="442" spans="3:5" ht="15.75" customHeight="1" x14ac:dyDescent="0.25">
      <c r="C442" s="95"/>
      <c r="E442" s="97"/>
    </row>
    <row r="443" spans="3:5" ht="15.75" customHeight="1" x14ac:dyDescent="0.25">
      <c r="C443" s="95"/>
      <c r="E443" s="97"/>
    </row>
    <row r="444" spans="3:5" ht="15.75" customHeight="1" x14ac:dyDescent="0.25">
      <c r="C444" s="95"/>
      <c r="E444" s="97"/>
    </row>
    <row r="445" spans="3:5" ht="15.75" customHeight="1" x14ac:dyDescent="0.25">
      <c r="C445" s="95"/>
      <c r="E445" s="97"/>
    </row>
    <row r="446" spans="3:5" ht="15.75" customHeight="1" x14ac:dyDescent="0.25">
      <c r="C446" s="95"/>
      <c r="E446" s="97"/>
    </row>
    <row r="447" spans="3:5" ht="15.75" customHeight="1" x14ac:dyDescent="0.25">
      <c r="C447" s="95"/>
      <c r="E447" s="97"/>
    </row>
    <row r="448" spans="3:5" ht="15.75" customHeight="1" x14ac:dyDescent="0.25">
      <c r="C448" s="95"/>
      <c r="E448" s="97"/>
    </row>
    <row r="449" spans="3:5" ht="15.75" customHeight="1" x14ac:dyDescent="0.25">
      <c r="C449" s="95"/>
      <c r="E449" s="97"/>
    </row>
    <row r="450" spans="3:5" ht="15.75" customHeight="1" x14ac:dyDescent="0.25">
      <c r="C450" s="95"/>
      <c r="E450" s="97"/>
    </row>
    <row r="451" spans="3:5" ht="15.75" customHeight="1" x14ac:dyDescent="0.25">
      <c r="C451" s="95"/>
      <c r="E451" s="97"/>
    </row>
    <row r="452" spans="3:5" ht="15.75" customHeight="1" x14ac:dyDescent="0.25">
      <c r="C452" s="95"/>
      <c r="E452" s="97"/>
    </row>
    <row r="453" spans="3:5" ht="15.75" customHeight="1" x14ac:dyDescent="0.25">
      <c r="C453" s="95"/>
      <c r="E453" s="97"/>
    </row>
    <row r="454" spans="3:5" ht="15.75" customHeight="1" x14ac:dyDescent="0.25">
      <c r="C454" s="95"/>
      <c r="E454" s="97"/>
    </row>
    <row r="455" spans="3:5" ht="15.75" customHeight="1" x14ac:dyDescent="0.25">
      <c r="C455" s="95"/>
      <c r="E455" s="97"/>
    </row>
    <row r="456" spans="3:5" ht="15.75" customHeight="1" x14ac:dyDescent="0.25">
      <c r="C456" s="95"/>
      <c r="E456" s="97"/>
    </row>
    <row r="457" spans="3:5" ht="15.75" customHeight="1" x14ac:dyDescent="0.25">
      <c r="C457" s="95"/>
      <c r="E457" s="97"/>
    </row>
    <row r="458" spans="3:5" ht="15.75" customHeight="1" x14ac:dyDescent="0.25">
      <c r="C458" s="95"/>
      <c r="E458" s="97"/>
    </row>
    <row r="459" spans="3:5" ht="15.75" customHeight="1" x14ac:dyDescent="0.25">
      <c r="C459" s="95"/>
      <c r="E459" s="97"/>
    </row>
    <row r="460" spans="3:5" ht="15.75" customHeight="1" x14ac:dyDescent="0.25">
      <c r="C460" s="95"/>
      <c r="E460" s="97"/>
    </row>
    <row r="461" spans="3:5" ht="15.75" customHeight="1" x14ac:dyDescent="0.25">
      <c r="C461" s="95"/>
      <c r="E461" s="97"/>
    </row>
    <row r="462" spans="3:5" ht="15.75" customHeight="1" x14ac:dyDescent="0.25">
      <c r="C462" s="95"/>
      <c r="E462" s="97"/>
    </row>
    <row r="463" spans="3:5" ht="15.75" customHeight="1" x14ac:dyDescent="0.25">
      <c r="C463" s="95"/>
      <c r="E463" s="97"/>
    </row>
    <row r="464" spans="3:5" ht="15.75" customHeight="1" x14ac:dyDescent="0.25">
      <c r="C464" s="95"/>
      <c r="E464" s="97"/>
    </row>
    <row r="465" spans="3:5" ht="15.75" customHeight="1" x14ac:dyDescent="0.25">
      <c r="C465" s="95"/>
      <c r="E465" s="97"/>
    </row>
    <row r="466" spans="3:5" ht="15.75" customHeight="1" x14ac:dyDescent="0.25">
      <c r="C466" s="95"/>
      <c r="E466" s="97"/>
    </row>
    <row r="467" spans="3:5" ht="15.75" customHeight="1" x14ac:dyDescent="0.25">
      <c r="C467" s="95"/>
      <c r="E467" s="97"/>
    </row>
    <row r="468" spans="3:5" ht="15.75" customHeight="1" x14ac:dyDescent="0.25">
      <c r="C468" s="95"/>
      <c r="E468" s="97"/>
    </row>
    <row r="469" spans="3:5" ht="15.75" customHeight="1" x14ac:dyDescent="0.25">
      <c r="C469" s="95"/>
      <c r="E469" s="97"/>
    </row>
    <row r="470" spans="3:5" ht="15.75" customHeight="1" x14ac:dyDescent="0.25">
      <c r="C470" s="95"/>
      <c r="E470" s="97"/>
    </row>
    <row r="471" spans="3:5" ht="15.75" customHeight="1" x14ac:dyDescent="0.25">
      <c r="C471" s="95"/>
      <c r="E471" s="97"/>
    </row>
    <row r="472" spans="3:5" ht="15.75" customHeight="1" x14ac:dyDescent="0.25">
      <c r="C472" s="95"/>
      <c r="E472" s="97"/>
    </row>
    <row r="473" spans="3:5" ht="15.75" customHeight="1" x14ac:dyDescent="0.25">
      <c r="C473" s="95"/>
      <c r="E473" s="97"/>
    </row>
    <row r="474" spans="3:5" ht="15.75" customHeight="1" x14ac:dyDescent="0.25">
      <c r="C474" s="95"/>
      <c r="E474" s="97"/>
    </row>
    <row r="475" spans="3:5" ht="15.75" customHeight="1" x14ac:dyDescent="0.25">
      <c r="C475" s="95"/>
      <c r="E475" s="97"/>
    </row>
    <row r="476" spans="3:5" ht="15.75" customHeight="1" x14ac:dyDescent="0.25">
      <c r="C476" s="95"/>
      <c r="E476" s="97"/>
    </row>
    <row r="477" spans="3:5" ht="15.75" customHeight="1" x14ac:dyDescent="0.25">
      <c r="C477" s="95"/>
      <c r="E477" s="97"/>
    </row>
    <row r="478" spans="3:5" ht="15.75" customHeight="1" x14ac:dyDescent="0.25">
      <c r="C478" s="95"/>
      <c r="E478" s="97"/>
    </row>
    <row r="479" spans="3:5" ht="15.75" customHeight="1" x14ac:dyDescent="0.25">
      <c r="C479" s="95"/>
      <c r="E479" s="97"/>
    </row>
    <row r="480" spans="3:5" ht="15.75" customHeight="1" x14ac:dyDescent="0.25">
      <c r="C480" s="95"/>
      <c r="E480" s="97"/>
    </row>
    <row r="481" spans="3:5" ht="15.75" customHeight="1" x14ac:dyDescent="0.25">
      <c r="C481" s="95"/>
      <c r="E481" s="97"/>
    </row>
    <row r="482" spans="3:5" ht="15.75" customHeight="1" x14ac:dyDescent="0.25">
      <c r="C482" s="95"/>
      <c r="E482" s="97"/>
    </row>
    <row r="483" spans="3:5" ht="15.75" customHeight="1" x14ac:dyDescent="0.25">
      <c r="C483" s="95"/>
      <c r="E483" s="97"/>
    </row>
    <row r="484" spans="3:5" ht="15.75" customHeight="1" x14ac:dyDescent="0.25">
      <c r="C484" s="95"/>
      <c r="E484" s="97"/>
    </row>
    <row r="485" spans="3:5" ht="15.75" customHeight="1" x14ac:dyDescent="0.25">
      <c r="C485" s="95"/>
      <c r="E485" s="97"/>
    </row>
    <row r="486" spans="3:5" ht="15.75" customHeight="1" x14ac:dyDescent="0.25">
      <c r="C486" s="95"/>
      <c r="E486" s="97"/>
    </row>
    <row r="487" spans="3:5" ht="15.75" customHeight="1" x14ac:dyDescent="0.25">
      <c r="C487" s="95"/>
      <c r="E487" s="97"/>
    </row>
    <row r="488" spans="3:5" ht="15.75" customHeight="1" x14ac:dyDescent="0.25">
      <c r="C488" s="95"/>
      <c r="E488" s="97"/>
    </row>
    <row r="489" spans="3:5" ht="15.75" customHeight="1" x14ac:dyDescent="0.25">
      <c r="C489" s="95"/>
      <c r="E489" s="97"/>
    </row>
    <row r="490" spans="3:5" ht="15.75" customHeight="1" x14ac:dyDescent="0.25">
      <c r="C490" s="95"/>
      <c r="E490" s="97"/>
    </row>
    <row r="491" spans="3:5" ht="15.75" customHeight="1" x14ac:dyDescent="0.25">
      <c r="C491" s="95"/>
      <c r="E491" s="97"/>
    </row>
    <row r="492" spans="3:5" ht="15.75" customHeight="1" x14ac:dyDescent="0.25">
      <c r="C492" s="95"/>
      <c r="E492" s="97"/>
    </row>
    <row r="493" spans="3:5" ht="15.75" customHeight="1" x14ac:dyDescent="0.25">
      <c r="C493" s="95"/>
      <c r="E493" s="97"/>
    </row>
    <row r="494" spans="3:5" ht="15.75" customHeight="1" x14ac:dyDescent="0.25">
      <c r="C494" s="95"/>
      <c r="E494" s="97"/>
    </row>
    <row r="495" spans="3:5" ht="15.75" customHeight="1" x14ac:dyDescent="0.25">
      <c r="C495" s="95"/>
      <c r="E495" s="97"/>
    </row>
    <row r="496" spans="3:5" ht="15.75" customHeight="1" x14ac:dyDescent="0.25">
      <c r="C496" s="95"/>
      <c r="E496" s="97"/>
    </row>
    <row r="497" spans="3:5" ht="15.75" customHeight="1" x14ac:dyDescent="0.25">
      <c r="C497" s="95"/>
      <c r="E497" s="97"/>
    </row>
    <row r="498" spans="3:5" ht="15.75" customHeight="1" x14ac:dyDescent="0.25">
      <c r="C498" s="95"/>
      <c r="E498" s="97"/>
    </row>
    <row r="499" spans="3:5" ht="15.75" customHeight="1" x14ac:dyDescent="0.25">
      <c r="C499" s="95"/>
      <c r="E499" s="97"/>
    </row>
    <row r="500" spans="3:5" ht="15.75" customHeight="1" x14ac:dyDescent="0.25">
      <c r="C500" s="95"/>
      <c r="E500" s="97"/>
    </row>
    <row r="501" spans="3:5" ht="15.75" customHeight="1" x14ac:dyDescent="0.25">
      <c r="C501" s="95"/>
      <c r="E501" s="97"/>
    </row>
    <row r="502" spans="3:5" ht="15.75" customHeight="1" x14ac:dyDescent="0.25">
      <c r="C502" s="95"/>
      <c r="E502" s="97"/>
    </row>
    <row r="503" spans="3:5" ht="15.75" customHeight="1" x14ac:dyDescent="0.25">
      <c r="C503" s="95"/>
      <c r="E503" s="97"/>
    </row>
    <row r="504" spans="3:5" ht="15.75" customHeight="1" x14ac:dyDescent="0.25">
      <c r="C504" s="95"/>
      <c r="E504" s="97"/>
    </row>
    <row r="505" spans="3:5" ht="15.75" customHeight="1" x14ac:dyDescent="0.25">
      <c r="C505" s="95"/>
      <c r="E505" s="97"/>
    </row>
    <row r="506" spans="3:5" ht="15.75" customHeight="1" x14ac:dyDescent="0.25">
      <c r="C506" s="95"/>
      <c r="E506" s="97"/>
    </row>
    <row r="507" spans="3:5" ht="15.75" customHeight="1" x14ac:dyDescent="0.25">
      <c r="C507" s="95"/>
      <c r="E507" s="97"/>
    </row>
    <row r="508" spans="3:5" ht="15.75" customHeight="1" x14ac:dyDescent="0.25">
      <c r="C508" s="95"/>
      <c r="E508" s="97"/>
    </row>
    <row r="509" spans="3:5" ht="15.75" customHeight="1" x14ac:dyDescent="0.25">
      <c r="C509" s="95"/>
      <c r="E509" s="97"/>
    </row>
    <row r="510" spans="3:5" ht="15.75" customHeight="1" x14ac:dyDescent="0.25">
      <c r="C510" s="95"/>
      <c r="E510" s="97"/>
    </row>
    <row r="511" spans="3:5" ht="15.75" customHeight="1" x14ac:dyDescent="0.25">
      <c r="C511" s="95"/>
      <c r="E511" s="97"/>
    </row>
    <row r="512" spans="3:5" ht="15.75" customHeight="1" x14ac:dyDescent="0.25">
      <c r="C512" s="95"/>
      <c r="E512" s="97"/>
    </row>
    <row r="513" spans="3:5" ht="15.75" customHeight="1" x14ac:dyDescent="0.25">
      <c r="C513" s="95"/>
      <c r="E513" s="97"/>
    </row>
    <row r="514" spans="3:5" ht="15.75" customHeight="1" x14ac:dyDescent="0.25">
      <c r="C514" s="95"/>
      <c r="E514" s="97"/>
    </row>
    <row r="515" spans="3:5" ht="15.75" customHeight="1" x14ac:dyDescent="0.25">
      <c r="C515" s="95"/>
      <c r="E515" s="97"/>
    </row>
    <row r="516" spans="3:5" ht="15.75" customHeight="1" x14ac:dyDescent="0.25">
      <c r="C516" s="95"/>
      <c r="E516" s="97"/>
    </row>
    <row r="517" spans="3:5" ht="15.75" customHeight="1" x14ac:dyDescent="0.25">
      <c r="C517" s="95"/>
      <c r="E517" s="97"/>
    </row>
    <row r="518" spans="3:5" ht="15.75" customHeight="1" x14ac:dyDescent="0.25">
      <c r="C518" s="95"/>
      <c r="E518" s="97"/>
    </row>
    <row r="519" spans="3:5" ht="15.75" customHeight="1" x14ac:dyDescent="0.25">
      <c r="C519" s="95"/>
      <c r="E519" s="97"/>
    </row>
    <row r="520" spans="3:5" ht="15.75" customHeight="1" x14ac:dyDescent="0.25">
      <c r="C520" s="95"/>
      <c r="E520" s="97"/>
    </row>
    <row r="521" spans="3:5" ht="15.75" customHeight="1" x14ac:dyDescent="0.25">
      <c r="C521" s="95"/>
      <c r="E521" s="97"/>
    </row>
    <row r="522" spans="3:5" ht="15.75" customHeight="1" x14ac:dyDescent="0.25">
      <c r="C522" s="95"/>
      <c r="E522" s="97"/>
    </row>
    <row r="523" spans="3:5" ht="15.75" customHeight="1" x14ac:dyDescent="0.25">
      <c r="C523" s="95"/>
      <c r="E523" s="97"/>
    </row>
    <row r="524" spans="3:5" ht="15.75" customHeight="1" x14ac:dyDescent="0.25">
      <c r="C524" s="95"/>
      <c r="E524" s="97"/>
    </row>
    <row r="525" spans="3:5" ht="15.75" customHeight="1" x14ac:dyDescent="0.25">
      <c r="C525" s="95"/>
      <c r="E525" s="97"/>
    </row>
    <row r="526" spans="3:5" ht="15.75" customHeight="1" x14ac:dyDescent="0.25">
      <c r="C526" s="95"/>
      <c r="E526" s="97"/>
    </row>
    <row r="527" spans="3:5" ht="15.75" customHeight="1" x14ac:dyDescent="0.25">
      <c r="C527" s="95"/>
      <c r="E527" s="97"/>
    </row>
    <row r="528" spans="3:5" ht="15.75" customHeight="1" x14ac:dyDescent="0.25">
      <c r="C528" s="95"/>
      <c r="E528" s="97"/>
    </row>
    <row r="529" spans="3:5" ht="15.75" customHeight="1" x14ac:dyDescent="0.25">
      <c r="C529" s="95"/>
      <c r="E529" s="97"/>
    </row>
    <row r="530" spans="3:5" ht="15.75" customHeight="1" x14ac:dyDescent="0.25">
      <c r="C530" s="95"/>
      <c r="E530" s="97"/>
    </row>
    <row r="531" spans="3:5" ht="15.75" customHeight="1" x14ac:dyDescent="0.25">
      <c r="C531" s="95"/>
      <c r="E531" s="97"/>
    </row>
    <row r="532" spans="3:5" ht="15.75" customHeight="1" x14ac:dyDescent="0.25">
      <c r="C532" s="95"/>
      <c r="E532" s="97"/>
    </row>
    <row r="533" spans="3:5" ht="15.75" customHeight="1" x14ac:dyDescent="0.25">
      <c r="C533" s="95"/>
      <c r="E533" s="97"/>
    </row>
    <row r="534" spans="3:5" ht="15.75" customHeight="1" x14ac:dyDescent="0.25">
      <c r="C534" s="95"/>
      <c r="E534" s="97"/>
    </row>
    <row r="535" spans="3:5" ht="15.75" customHeight="1" x14ac:dyDescent="0.25">
      <c r="C535" s="95"/>
      <c r="E535" s="97"/>
    </row>
    <row r="536" spans="3:5" ht="15.75" customHeight="1" x14ac:dyDescent="0.25">
      <c r="C536" s="95"/>
      <c r="E536" s="97"/>
    </row>
    <row r="537" spans="3:5" ht="15.75" customHeight="1" x14ac:dyDescent="0.25">
      <c r="C537" s="95"/>
      <c r="E537" s="97"/>
    </row>
    <row r="538" spans="3:5" ht="15.75" customHeight="1" x14ac:dyDescent="0.25">
      <c r="C538" s="95"/>
      <c r="E538" s="97"/>
    </row>
    <row r="539" spans="3:5" ht="15.75" customHeight="1" x14ac:dyDescent="0.25">
      <c r="C539" s="95"/>
      <c r="E539" s="97"/>
    </row>
    <row r="540" spans="3:5" ht="15.75" customHeight="1" x14ac:dyDescent="0.25">
      <c r="C540" s="95"/>
      <c r="E540" s="97"/>
    </row>
    <row r="541" spans="3:5" ht="15.75" customHeight="1" x14ac:dyDescent="0.25">
      <c r="C541" s="95"/>
      <c r="E541" s="97"/>
    </row>
    <row r="542" spans="3:5" ht="15.75" customHeight="1" x14ac:dyDescent="0.25">
      <c r="C542" s="95"/>
      <c r="E542" s="97"/>
    </row>
    <row r="543" spans="3:5" ht="15.75" customHeight="1" x14ac:dyDescent="0.25">
      <c r="C543" s="95"/>
      <c r="E543" s="97"/>
    </row>
    <row r="544" spans="3:5" ht="15.75" customHeight="1" x14ac:dyDescent="0.25">
      <c r="C544" s="95"/>
      <c r="E544" s="97"/>
    </row>
    <row r="545" spans="3:5" ht="15.75" customHeight="1" x14ac:dyDescent="0.25">
      <c r="C545" s="95"/>
      <c r="E545" s="97"/>
    </row>
    <row r="546" spans="3:5" ht="15.75" customHeight="1" x14ac:dyDescent="0.25">
      <c r="C546" s="95"/>
      <c r="E546" s="97"/>
    </row>
    <row r="547" spans="3:5" ht="15.75" customHeight="1" x14ac:dyDescent="0.25">
      <c r="C547" s="95"/>
      <c r="E547" s="97"/>
    </row>
    <row r="548" spans="3:5" ht="15.75" customHeight="1" x14ac:dyDescent="0.25">
      <c r="C548" s="95"/>
      <c r="E548" s="97"/>
    </row>
    <row r="549" spans="3:5" ht="15.75" customHeight="1" x14ac:dyDescent="0.25">
      <c r="C549" s="95"/>
      <c r="E549" s="97"/>
    </row>
    <row r="550" spans="3:5" ht="15.75" customHeight="1" x14ac:dyDescent="0.25">
      <c r="C550" s="95"/>
      <c r="E550" s="97"/>
    </row>
    <row r="551" spans="3:5" ht="15.75" customHeight="1" x14ac:dyDescent="0.25">
      <c r="C551" s="95"/>
      <c r="E551" s="97"/>
    </row>
    <row r="552" spans="3:5" ht="15.75" customHeight="1" x14ac:dyDescent="0.25">
      <c r="C552" s="95"/>
      <c r="E552" s="97"/>
    </row>
    <row r="553" spans="3:5" ht="15.75" customHeight="1" x14ac:dyDescent="0.25">
      <c r="C553" s="95"/>
      <c r="E553" s="97"/>
    </row>
    <row r="554" spans="3:5" ht="15.75" customHeight="1" x14ac:dyDescent="0.25">
      <c r="C554" s="95"/>
      <c r="E554" s="97"/>
    </row>
    <row r="555" spans="3:5" ht="15.75" customHeight="1" x14ac:dyDescent="0.25">
      <c r="C555" s="95"/>
      <c r="E555" s="97"/>
    </row>
    <row r="556" spans="3:5" ht="15.75" customHeight="1" x14ac:dyDescent="0.25">
      <c r="C556" s="95"/>
      <c r="E556" s="97"/>
    </row>
    <row r="557" spans="3:5" ht="15.75" customHeight="1" x14ac:dyDescent="0.25">
      <c r="C557" s="95"/>
      <c r="E557" s="97"/>
    </row>
    <row r="558" spans="3:5" ht="15.75" customHeight="1" x14ac:dyDescent="0.25">
      <c r="C558" s="95"/>
      <c r="E558" s="97"/>
    </row>
    <row r="559" spans="3:5" ht="15.75" customHeight="1" x14ac:dyDescent="0.25">
      <c r="C559" s="95"/>
      <c r="E559" s="97"/>
    </row>
    <row r="560" spans="3:5" ht="15.75" customHeight="1" x14ac:dyDescent="0.25">
      <c r="C560" s="95"/>
      <c r="E560" s="97"/>
    </row>
    <row r="561" spans="3:5" ht="15.75" customHeight="1" x14ac:dyDescent="0.25">
      <c r="C561" s="95"/>
      <c r="E561" s="97"/>
    </row>
    <row r="562" spans="3:5" ht="15.75" customHeight="1" x14ac:dyDescent="0.25">
      <c r="C562" s="95"/>
      <c r="E562" s="97"/>
    </row>
    <row r="563" spans="3:5" ht="15.75" customHeight="1" x14ac:dyDescent="0.25">
      <c r="C563" s="95"/>
      <c r="E563" s="97"/>
    </row>
    <row r="564" spans="3:5" ht="15.75" customHeight="1" x14ac:dyDescent="0.25">
      <c r="C564" s="95"/>
      <c r="E564" s="97"/>
    </row>
    <row r="565" spans="3:5" ht="15.75" customHeight="1" x14ac:dyDescent="0.25">
      <c r="C565" s="95"/>
      <c r="E565" s="97"/>
    </row>
    <row r="566" spans="3:5" ht="15.75" customHeight="1" x14ac:dyDescent="0.25">
      <c r="C566" s="95"/>
      <c r="E566" s="97"/>
    </row>
    <row r="567" spans="3:5" ht="15.75" customHeight="1" x14ac:dyDescent="0.25">
      <c r="C567" s="95"/>
      <c r="E567" s="97"/>
    </row>
    <row r="568" spans="3:5" ht="15.75" customHeight="1" x14ac:dyDescent="0.25">
      <c r="C568" s="95"/>
      <c r="E568" s="97"/>
    </row>
    <row r="569" spans="3:5" ht="15.75" customHeight="1" x14ac:dyDescent="0.25">
      <c r="C569" s="95"/>
      <c r="E569" s="97"/>
    </row>
    <row r="570" spans="3:5" ht="15.75" customHeight="1" x14ac:dyDescent="0.25">
      <c r="C570" s="95"/>
      <c r="E570" s="97"/>
    </row>
    <row r="571" spans="3:5" ht="15.75" customHeight="1" x14ac:dyDescent="0.25">
      <c r="C571" s="95"/>
      <c r="E571" s="97"/>
    </row>
    <row r="572" spans="3:5" ht="15.75" customHeight="1" x14ac:dyDescent="0.25">
      <c r="C572" s="95"/>
      <c r="E572" s="97"/>
    </row>
    <row r="573" spans="3:5" ht="15.75" customHeight="1" x14ac:dyDescent="0.25">
      <c r="C573" s="95"/>
      <c r="E573" s="97"/>
    </row>
    <row r="574" spans="3:5" ht="15.75" customHeight="1" x14ac:dyDescent="0.25">
      <c r="C574" s="95"/>
      <c r="E574" s="97"/>
    </row>
    <row r="575" spans="3:5" ht="15.75" customHeight="1" x14ac:dyDescent="0.25">
      <c r="C575" s="95"/>
      <c r="E575" s="97"/>
    </row>
    <row r="576" spans="3:5" ht="15.75" customHeight="1" x14ac:dyDescent="0.25">
      <c r="C576" s="95"/>
      <c r="E576" s="97"/>
    </row>
    <row r="577" spans="3:5" ht="15.75" customHeight="1" x14ac:dyDescent="0.25">
      <c r="C577" s="95"/>
      <c r="E577" s="97"/>
    </row>
    <row r="578" spans="3:5" ht="15.75" customHeight="1" x14ac:dyDescent="0.25">
      <c r="C578" s="95"/>
      <c r="E578" s="97"/>
    </row>
    <row r="579" spans="3:5" ht="15.75" customHeight="1" x14ac:dyDescent="0.25">
      <c r="C579" s="95"/>
      <c r="E579" s="97"/>
    </row>
    <row r="580" spans="3:5" ht="15.75" customHeight="1" x14ac:dyDescent="0.25">
      <c r="C580" s="95"/>
      <c r="E580" s="97"/>
    </row>
    <row r="581" spans="3:5" ht="15.75" customHeight="1" x14ac:dyDescent="0.25">
      <c r="C581" s="95"/>
      <c r="E581" s="97"/>
    </row>
    <row r="582" spans="3:5" ht="15.75" customHeight="1" x14ac:dyDescent="0.25">
      <c r="C582" s="95"/>
      <c r="E582" s="97"/>
    </row>
    <row r="583" spans="3:5" ht="15.75" customHeight="1" x14ac:dyDescent="0.25">
      <c r="C583" s="95"/>
      <c r="E583" s="97"/>
    </row>
    <row r="584" spans="3:5" ht="15.75" customHeight="1" x14ac:dyDescent="0.25">
      <c r="C584" s="95"/>
      <c r="E584" s="97"/>
    </row>
    <row r="585" spans="3:5" ht="15.75" customHeight="1" x14ac:dyDescent="0.25">
      <c r="C585" s="95"/>
      <c r="E585" s="97"/>
    </row>
    <row r="586" spans="3:5" ht="15.75" customHeight="1" x14ac:dyDescent="0.25">
      <c r="C586" s="95"/>
      <c r="E586" s="97"/>
    </row>
    <row r="587" spans="3:5" ht="15.75" customHeight="1" x14ac:dyDescent="0.25">
      <c r="C587" s="95"/>
      <c r="E587" s="97"/>
    </row>
    <row r="588" spans="3:5" ht="15.75" customHeight="1" x14ac:dyDescent="0.25">
      <c r="C588" s="95"/>
      <c r="E588" s="97"/>
    </row>
    <row r="589" spans="3:5" ht="15.75" customHeight="1" x14ac:dyDescent="0.25">
      <c r="C589" s="95"/>
      <c r="E589" s="97"/>
    </row>
    <row r="590" spans="3:5" ht="15.75" customHeight="1" x14ac:dyDescent="0.25">
      <c r="C590" s="95"/>
      <c r="E590" s="97"/>
    </row>
    <row r="591" spans="3:5" ht="15.75" customHeight="1" x14ac:dyDescent="0.25">
      <c r="C591" s="95"/>
      <c r="E591" s="97"/>
    </row>
    <row r="592" spans="3:5" ht="15.75" customHeight="1" x14ac:dyDescent="0.25">
      <c r="C592" s="95"/>
      <c r="E592" s="97"/>
    </row>
    <row r="593" spans="3:5" ht="15.75" customHeight="1" x14ac:dyDescent="0.25">
      <c r="C593" s="95"/>
      <c r="E593" s="97"/>
    </row>
    <row r="594" spans="3:5" ht="15.75" customHeight="1" x14ac:dyDescent="0.25">
      <c r="C594" s="95"/>
      <c r="E594" s="97"/>
    </row>
    <row r="595" spans="3:5" ht="15.75" customHeight="1" x14ac:dyDescent="0.25">
      <c r="C595" s="95"/>
      <c r="E595" s="97"/>
    </row>
    <row r="596" spans="3:5" ht="15.75" customHeight="1" x14ac:dyDescent="0.25">
      <c r="C596" s="95"/>
      <c r="E596" s="97"/>
    </row>
    <row r="597" spans="3:5" ht="15.75" customHeight="1" x14ac:dyDescent="0.25">
      <c r="C597" s="95"/>
      <c r="E597" s="97"/>
    </row>
    <row r="598" spans="3:5" ht="15.75" customHeight="1" x14ac:dyDescent="0.25">
      <c r="C598" s="95"/>
      <c r="E598" s="97"/>
    </row>
    <row r="599" spans="3:5" ht="15.75" customHeight="1" x14ac:dyDescent="0.25">
      <c r="C599" s="95"/>
      <c r="E599" s="97"/>
    </row>
    <row r="600" spans="3:5" ht="15.75" customHeight="1" x14ac:dyDescent="0.25">
      <c r="C600" s="95"/>
      <c r="E600" s="97"/>
    </row>
    <row r="601" spans="3:5" ht="15.75" customHeight="1" x14ac:dyDescent="0.25">
      <c r="C601" s="95"/>
      <c r="E601" s="97"/>
    </row>
    <row r="602" spans="3:5" ht="15.75" customHeight="1" x14ac:dyDescent="0.25">
      <c r="C602" s="95"/>
      <c r="E602" s="97"/>
    </row>
    <row r="603" spans="3:5" ht="15.75" customHeight="1" x14ac:dyDescent="0.25">
      <c r="C603" s="95"/>
      <c r="E603" s="97"/>
    </row>
    <row r="604" spans="3:5" ht="15.75" customHeight="1" x14ac:dyDescent="0.25">
      <c r="C604" s="95"/>
      <c r="E604" s="97"/>
    </row>
    <row r="605" spans="3:5" ht="15.75" customHeight="1" x14ac:dyDescent="0.25">
      <c r="C605" s="95"/>
      <c r="E605" s="97"/>
    </row>
    <row r="606" spans="3:5" ht="15.75" customHeight="1" x14ac:dyDescent="0.25">
      <c r="C606" s="95"/>
      <c r="E606" s="97"/>
    </row>
    <row r="607" spans="3:5" ht="15.75" customHeight="1" x14ac:dyDescent="0.25">
      <c r="C607" s="95"/>
      <c r="E607" s="97"/>
    </row>
    <row r="608" spans="3:5" ht="15.75" customHeight="1" x14ac:dyDescent="0.25">
      <c r="C608" s="95"/>
      <c r="E608" s="97"/>
    </row>
    <row r="609" spans="3:5" ht="15.75" customHeight="1" x14ac:dyDescent="0.25">
      <c r="C609" s="95"/>
      <c r="E609" s="97"/>
    </row>
    <row r="610" spans="3:5" ht="15.75" customHeight="1" x14ac:dyDescent="0.25">
      <c r="C610" s="95"/>
      <c r="E610" s="97"/>
    </row>
    <row r="611" spans="3:5" ht="15.75" customHeight="1" x14ac:dyDescent="0.25">
      <c r="C611" s="95"/>
      <c r="E611" s="97"/>
    </row>
    <row r="612" spans="3:5" ht="15.75" customHeight="1" x14ac:dyDescent="0.25">
      <c r="C612" s="95"/>
      <c r="E612" s="97"/>
    </row>
    <row r="613" spans="3:5" ht="15.75" customHeight="1" x14ac:dyDescent="0.25">
      <c r="C613" s="95"/>
      <c r="E613" s="97"/>
    </row>
    <row r="614" spans="3:5" ht="15.75" customHeight="1" x14ac:dyDescent="0.25">
      <c r="C614" s="95"/>
      <c r="E614" s="97"/>
    </row>
    <row r="615" spans="3:5" ht="15.75" customHeight="1" x14ac:dyDescent="0.25">
      <c r="C615" s="95"/>
      <c r="E615" s="97"/>
    </row>
    <row r="616" spans="3:5" ht="15.75" customHeight="1" x14ac:dyDescent="0.25">
      <c r="C616" s="95"/>
      <c r="E616" s="97"/>
    </row>
    <row r="617" spans="3:5" ht="15.75" customHeight="1" x14ac:dyDescent="0.25">
      <c r="C617" s="95"/>
      <c r="E617" s="97"/>
    </row>
    <row r="618" spans="3:5" ht="15.75" customHeight="1" x14ac:dyDescent="0.25">
      <c r="C618" s="95"/>
      <c r="E618" s="97"/>
    </row>
    <row r="619" spans="3:5" ht="15.75" customHeight="1" x14ac:dyDescent="0.25">
      <c r="C619" s="95"/>
      <c r="E619" s="97"/>
    </row>
    <row r="620" spans="3:5" ht="15.75" customHeight="1" x14ac:dyDescent="0.25">
      <c r="C620" s="95"/>
      <c r="E620" s="97"/>
    </row>
    <row r="621" spans="3:5" ht="15.75" customHeight="1" x14ac:dyDescent="0.25">
      <c r="C621" s="95"/>
      <c r="E621" s="97"/>
    </row>
    <row r="622" spans="3:5" ht="15.75" customHeight="1" x14ac:dyDescent="0.25">
      <c r="C622" s="95"/>
      <c r="E622" s="97"/>
    </row>
    <row r="623" spans="3:5" ht="15.75" customHeight="1" x14ac:dyDescent="0.25">
      <c r="C623" s="95"/>
      <c r="E623" s="97"/>
    </row>
    <row r="624" spans="3:5" ht="15.75" customHeight="1" x14ac:dyDescent="0.25">
      <c r="C624" s="95"/>
      <c r="E624" s="97"/>
    </row>
    <row r="625" spans="3:5" ht="15.75" customHeight="1" x14ac:dyDescent="0.25">
      <c r="C625" s="95"/>
      <c r="E625" s="97"/>
    </row>
    <row r="626" spans="3:5" ht="15.75" customHeight="1" x14ac:dyDescent="0.25">
      <c r="C626" s="95"/>
      <c r="E626" s="97"/>
    </row>
    <row r="627" spans="3:5" ht="15.75" customHeight="1" x14ac:dyDescent="0.25">
      <c r="C627" s="95"/>
      <c r="E627" s="97"/>
    </row>
    <row r="628" spans="3:5" ht="15.75" customHeight="1" x14ac:dyDescent="0.25">
      <c r="C628" s="95"/>
      <c r="E628" s="97"/>
    </row>
    <row r="629" spans="3:5" ht="15.75" customHeight="1" x14ac:dyDescent="0.25">
      <c r="C629" s="95"/>
      <c r="E629" s="97"/>
    </row>
    <row r="630" spans="3:5" ht="15.75" customHeight="1" x14ac:dyDescent="0.25">
      <c r="C630" s="95"/>
      <c r="E630" s="97"/>
    </row>
    <row r="631" spans="3:5" ht="15.75" customHeight="1" x14ac:dyDescent="0.25">
      <c r="C631" s="95"/>
      <c r="E631" s="97"/>
    </row>
    <row r="632" spans="3:5" ht="15.75" customHeight="1" x14ac:dyDescent="0.25">
      <c r="C632" s="95"/>
      <c r="E632" s="97"/>
    </row>
    <row r="633" spans="3:5" ht="15.75" customHeight="1" x14ac:dyDescent="0.25">
      <c r="C633" s="95"/>
      <c r="E633" s="97"/>
    </row>
    <row r="634" spans="3:5" ht="15.75" customHeight="1" x14ac:dyDescent="0.25">
      <c r="C634" s="95"/>
      <c r="E634" s="97"/>
    </row>
    <row r="635" spans="3:5" ht="15.75" customHeight="1" x14ac:dyDescent="0.25">
      <c r="C635" s="95"/>
      <c r="E635" s="97"/>
    </row>
    <row r="636" spans="3:5" ht="15.75" customHeight="1" x14ac:dyDescent="0.25">
      <c r="C636" s="95"/>
      <c r="E636" s="97"/>
    </row>
    <row r="637" spans="3:5" ht="15.75" customHeight="1" x14ac:dyDescent="0.25">
      <c r="C637" s="95"/>
      <c r="E637" s="97"/>
    </row>
    <row r="638" spans="3:5" ht="15.75" customHeight="1" x14ac:dyDescent="0.25">
      <c r="C638" s="95"/>
      <c r="E638" s="97"/>
    </row>
    <row r="639" spans="3:5" ht="15.75" customHeight="1" x14ac:dyDescent="0.25">
      <c r="C639" s="95"/>
      <c r="E639" s="97"/>
    </row>
    <row r="640" spans="3:5" ht="15.75" customHeight="1" x14ac:dyDescent="0.25">
      <c r="C640" s="95"/>
      <c r="E640" s="97"/>
    </row>
    <row r="641" spans="3:5" ht="15.75" customHeight="1" x14ac:dyDescent="0.25">
      <c r="C641" s="95"/>
      <c r="E641" s="97"/>
    </row>
    <row r="642" spans="3:5" ht="15.75" customHeight="1" x14ac:dyDescent="0.25">
      <c r="C642" s="95"/>
      <c r="E642" s="97"/>
    </row>
    <row r="643" spans="3:5" ht="15.75" customHeight="1" x14ac:dyDescent="0.25">
      <c r="C643" s="95"/>
      <c r="E643" s="97"/>
    </row>
    <row r="644" spans="3:5" ht="15.75" customHeight="1" x14ac:dyDescent="0.25">
      <c r="C644" s="95"/>
      <c r="E644" s="97"/>
    </row>
    <row r="645" spans="3:5" ht="15.75" customHeight="1" x14ac:dyDescent="0.25">
      <c r="C645" s="95"/>
      <c r="E645" s="97"/>
    </row>
    <row r="646" spans="3:5" ht="15.75" customHeight="1" x14ac:dyDescent="0.25">
      <c r="C646" s="95"/>
      <c r="E646" s="97"/>
    </row>
    <row r="647" spans="3:5" ht="15.75" customHeight="1" x14ac:dyDescent="0.25">
      <c r="C647" s="95"/>
      <c r="E647" s="97"/>
    </row>
    <row r="648" spans="3:5" ht="15.75" customHeight="1" x14ac:dyDescent="0.25">
      <c r="C648" s="95"/>
      <c r="E648" s="97"/>
    </row>
    <row r="649" spans="3:5" ht="15.75" customHeight="1" x14ac:dyDescent="0.25">
      <c r="C649" s="95"/>
      <c r="E649" s="97"/>
    </row>
    <row r="650" spans="3:5" ht="15.75" customHeight="1" x14ac:dyDescent="0.25">
      <c r="C650" s="95"/>
      <c r="E650" s="97"/>
    </row>
    <row r="651" spans="3:5" ht="15.75" customHeight="1" x14ac:dyDescent="0.25">
      <c r="C651" s="95"/>
      <c r="E651" s="97"/>
    </row>
    <row r="652" spans="3:5" ht="15.75" customHeight="1" x14ac:dyDescent="0.25">
      <c r="C652" s="95"/>
      <c r="E652" s="97"/>
    </row>
    <row r="653" spans="3:5" ht="15.75" customHeight="1" x14ac:dyDescent="0.25">
      <c r="C653" s="95"/>
      <c r="E653" s="97"/>
    </row>
    <row r="654" spans="3:5" ht="15.75" customHeight="1" x14ac:dyDescent="0.25">
      <c r="C654" s="95"/>
      <c r="E654" s="97"/>
    </row>
    <row r="655" spans="3:5" ht="15.75" customHeight="1" x14ac:dyDescent="0.25">
      <c r="C655" s="95"/>
      <c r="E655" s="97"/>
    </row>
    <row r="656" spans="3:5" ht="15.75" customHeight="1" x14ac:dyDescent="0.25">
      <c r="C656" s="95"/>
      <c r="E656" s="97"/>
    </row>
    <row r="657" spans="3:5" ht="15.75" customHeight="1" x14ac:dyDescent="0.25">
      <c r="C657" s="95"/>
      <c r="E657" s="97"/>
    </row>
    <row r="658" spans="3:5" ht="15.75" customHeight="1" x14ac:dyDescent="0.25">
      <c r="C658" s="95"/>
      <c r="E658" s="97"/>
    </row>
    <row r="659" spans="3:5" ht="15.75" customHeight="1" x14ac:dyDescent="0.25">
      <c r="C659" s="95"/>
      <c r="E659" s="97"/>
    </row>
    <row r="660" spans="3:5" ht="15.75" customHeight="1" x14ac:dyDescent="0.25">
      <c r="C660" s="95"/>
      <c r="E660" s="97"/>
    </row>
    <row r="661" spans="3:5" ht="15.75" customHeight="1" x14ac:dyDescent="0.25">
      <c r="C661" s="95"/>
      <c r="E661" s="97"/>
    </row>
    <row r="662" spans="3:5" ht="15.75" customHeight="1" x14ac:dyDescent="0.25">
      <c r="C662" s="95"/>
      <c r="E662" s="97"/>
    </row>
    <row r="663" spans="3:5" ht="15.75" customHeight="1" x14ac:dyDescent="0.25">
      <c r="C663" s="95"/>
      <c r="E663" s="97"/>
    </row>
    <row r="664" spans="3:5" ht="15.75" customHeight="1" x14ac:dyDescent="0.25">
      <c r="C664" s="95"/>
      <c r="E664" s="97"/>
    </row>
    <row r="665" spans="3:5" ht="15.75" customHeight="1" x14ac:dyDescent="0.25">
      <c r="C665" s="95"/>
      <c r="E665" s="97"/>
    </row>
    <row r="666" spans="3:5" ht="15.75" customHeight="1" x14ac:dyDescent="0.25">
      <c r="C666" s="95"/>
      <c r="E666" s="97"/>
    </row>
    <row r="667" spans="3:5" ht="15.75" customHeight="1" x14ac:dyDescent="0.25">
      <c r="C667" s="95"/>
      <c r="E667" s="97"/>
    </row>
    <row r="668" spans="3:5" ht="15.75" customHeight="1" x14ac:dyDescent="0.25">
      <c r="C668" s="95"/>
      <c r="E668" s="97"/>
    </row>
    <row r="669" spans="3:5" ht="15.75" customHeight="1" x14ac:dyDescent="0.25">
      <c r="C669" s="95"/>
      <c r="E669" s="97"/>
    </row>
    <row r="670" spans="3:5" ht="15.75" customHeight="1" x14ac:dyDescent="0.25">
      <c r="C670" s="95"/>
      <c r="E670" s="97"/>
    </row>
    <row r="671" spans="3:5" ht="15.75" customHeight="1" x14ac:dyDescent="0.25">
      <c r="C671" s="95"/>
      <c r="E671" s="97"/>
    </row>
    <row r="672" spans="3:5" ht="15.75" customHeight="1" x14ac:dyDescent="0.25">
      <c r="C672" s="95"/>
      <c r="E672" s="97"/>
    </row>
    <row r="673" spans="3:5" ht="15.75" customHeight="1" x14ac:dyDescent="0.25">
      <c r="C673" s="95"/>
      <c r="E673" s="97"/>
    </row>
    <row r="674" spans="3:5" ht="15.75" customHeight="1" x14ac:dyDescent="0.25">
      <c r="C674" s="95"/>
      <c r="E674" s="97"/>
    </row>
    <row r="675" spans="3:5" ht="15.75" customHeight="1" x14ac:dyDescent="0.25">
      <c r="C675" s="95"/>
      <c r="E675" s="97"/>
    </row>
    <row r="676" spans="3:5" ht="15.75" customHeight="1" x14ac:dyDescent="0.25">
      <c r="C676" s="95"/>
      <c r="E676" s="97"/>
    </row>
    <row r="677" spans="3:5" ht="15.75" customHeight="1" x14ac:dyDescent="0.25">
      <c r="C677" s="95"/>
      <c r="E677" s="97"/>
    </row>
    <row r="678" spans="3:5" ht="15.75" customHeight="1" x14ac:dyDescent="0.25">
      <c r="C678" s="95"/>
      <c r="E678" s="97"/>
    </row>
    <row r="679" spans="3:5" ht="15.75" customHeight="1" x14ac:dyDescent="0.25">
      <c r="C679" s="95"/>
      <c r="E679" s="97"/>
    </row>
    <row r="680" spans="3:5" ht="15.75" customHeight="1" x14ac:dyDescent="0.25">
      <c r="C680" s="95"/>
      <c r="E680" s="97"/>
    </row>
    <row r="681" spans="3:5" ht="15.75" customHeight="1" x14ac:dyDescent="0.25">
      <c r="C681" s="95"/>
      <c r="E681" s="97"/>
    </row>
    <row r="682" spans="3:5" ht="15.75" customHeight="1" x14ac:dyDescent="0.25">
      <c r="C682" s="95"/>
      <c r="E682" s="97"/>
    </row>
    <row r="683" spans="3:5" ht="15.75" customHeight="1" x14ac:dyDescent="0.25">
      <c r="C683" s="95"/>
      <c r="E683" s="97"/>
    </row>
    <row r="684" spans="3:5" ht="15.75" customHeight="1" x14ac:dyDescent="0.25">
      <c r="C684" s="95"/>
      <c r="E684" s="97"/>
    </row>
    <row r="685" spans="3:5" ht="15.75" customHeight="1" x14ac:dyDescent="0.25">
      <c r="C685" s="95"/>
      <c r="E685" s="97"/>
    </row>
    <row r="686" spans="3:5" ht="15.75" customHeight="1" x14ac:dyDescent="0.25">
      <c r="C686" s="95"/>
      <c r="E686" s="97"/>
    </row>
    <row r="687" spans="3:5" ht="15.75" customHeight="1" x14ac:dyDescent="0.25">
      <c r="C687" s="95"/>
      <c r="E687" s="97"/>
    </row>
    <row r="688" spans="3:5" ht="15.75" customHeight="1" x14ac:dyDescent="0.25">
      <c r="C688" s="95"/>
      <c r="E688" s="97"/>
    </row>
    <row r="689" spans="3:5" ht="15.75" customHeight="1" x14ac:dyDescent="0.25">
      <c r="C689" s="95"/>
      <c r="E689" s="97"/>
    </row>
    <row r="690" spans="3:5" ht="15.75" customHeight="1" x14ac:dyDescent="0.25">
      <c r="C690" s="95"/>
      <c r="E690" s="97"/>
    </row>
    <row r="691" spans="3:5" ht="15.75" customHeight="1" x14ac:dyDescent="0.25">
      <c r="C691" s="95"/>
      <c r="E691" s="97"/>
    </row>
    <row r="692" spans="3:5" ht="15.75" customHeight="1" x14ac:dyDescent="0.25">
      <c r="C692" s="95"/>
      <c r="E692" s="97"/>
    </row>
    <row r="693" spans="3:5" ht="15.75" customHeight="1" x14ac:dyDescent="0.25">
      <c r="C693" s="95"/>
      <c r="E693" s="97"/>
    </row>
    <row r="694" spans="3:5" ht="15.75" customHeight="1" x14ac:dyDescent="0.25">
      <c r="C694" s="95"/>
      <c r="E694" s="97"/>
    </row>
    <row r="695" spans="3:5" ht="15.75" customHeight="1" x14ac:dyDescent="0.25">
      <c r="C695" s="95"/>
      <c r="E695" s="97"/>
    </row>
    <row r="696" spans="3:5" ht="15.75" customHeight="1" x14ac:dyDescent="0.25">
      <c r="C696" s="95"/>
      <c r="E696" s="97"/>
    </row>
    <row r="697" spans="3:5" ht="15.75" customHeight="1" x14ac:dyDescent="0.25">
      <c r="C697" s="95"/>
      <c r="E697" s="97"/>
    </row>
    <row r="698" spans="3:5" ht="15.75" customHeight="1" x14ac:dyDescent="0.25">
      <c r="C698" s="95"/>
      <c r="E698" s="97"/>
    </row>
    <row r="699" spans="3:5" ht="15.75" customHeight="1" x14ac:dyDescent="0.25">
      <c r="C699" s="95"/>
      <c r="E699" s="97"/>
    </row>
    <row r="700" spans="3:5" ht="15.75" customHeight="1" x14ac:dyDescent="0.25">
      <c r="C700" s="95"/>
      <c r="E700" s="97"/>
    </row>
    <row r="701" spans="3:5" ht="15.75" customHeight="1" x14ac:dyDescent="0.25">
      <c r="C701" s="95"/>
      <c r="E701" s="97"/>
    </row>
    <row r="702" spans="3:5" ht="15.75" customHeight="1" x14ac:dyDescent="0.25">
      <c r="C702" s="95"/>
      <c r="E702" s="97"/>
    </row>
    <row r="703" spans="3:5" ht="15.75" customHeight="1" x14ac:dyDescent="0.25">
      <c r="C703" s="95"/>
      <c r="E703" s="97"/>
    </row>
    <row r="704" spans="3:5" ht="15.75" customHeight="1" x14ac:dyDescent="0.25">
      <c r="C704" s="95"/>
      <c r="E704" s="97"/>
    </row>
    <row r="705" spans="3:5" ht="15.75" customHeight="1" x14ac:dyDescent="0.25">
      <c r="C705" s="95"/>
      <c r="E705" s="97"/>
    </row>
    <row r="706" spans="3:5" ht="15.75" customHeight="1" x14ac:dyDescent="0.25">
      <c r="C706" s="95"/>
      <c r="E706" s="97"/>
    </row>
    <row r="707" spans="3:5" ht="15.75" customHeight="1" x14ac:dyDescent="0.25">
      <c r="C707" s="95"/>
      <c r="E707" s="97"/>
    </row>
    <row r="708" spans="3:5" ht="15.75" customHeight="1" x14ac:dyDescent="0.25">
      <c r="C708" s="95"/>
      <c r="E708" s="97"/>
    </row>
    <row r="709" spans="3:5" ht="15.75" customHeight="1" x14ac:dyDescent="0.25">
      <c r="C709" s="95"/>
      <c r="E709" s="97"/>
    </row>
    <row r="710" spans="3:5" ht="15.75" customHeight="1" x14ac:dyDescent="0.25">
      <c r="C710" s="95"/>
      <c r="E710" s="97"/>
    </row>
    <row r="711" spans="3:5" ht="15.75" customHeight="1" x14ac:dyDescent="0.25">
      <c r="C711" s="95"/>
      <c r="E711" s="97"/>
    </row>
    <row r="712" spans="3:5" ht="15.75" customHeight="1" x14ac:dyDescent="0.25">
      <c r="C712" s="95"/>
      <c r="E712" s="97"/>
    </row>
    <row r="713" spans="3:5" ht="15.75" customHeight="1" x14ac:dyDescent="0.25">
      <c r="C713" s="95"/>
      <c r="E713" s="97"/>
    </row>
    <row r="714" spans="3:5" ht="15.75" customHeight="1" x14ac:dyDescent="0.25">
      <c r="C714" s="95"/>
      <c r="E714" s="97"/>
    </row>
    <row r="715" spans="3:5" ht="15.75" customHeight="1" x14ac:dyDescent="0.25">
      <c r="C715" s="95"/>
      <c r="E715" s="97"/>
    </row>
    <row r="716" spans="3:5" ht="15.75" customHeight="1" x14ac:dyDescent="0.25">
      <c r="C716" s="95"/>
      <c r="E716" s="97"/>
    </row>
    <row r="717" spans="3:5" ht="15.75" customHeight="1" x14ac:dyDescent="0.25">
      <c r="C717" s="95"/>
      <c r="E717" s="97"/>
    </row>
    <row r="718" spans="3:5" ht="15.75" customHeight="1" x14ac:dyDescent="0.25">
      <c r="C718" s="95"/>
      <c r="E718" s="97"/>
    </row>
    <row r="719" spans="3:5" ht="15.75" customHeight="1" x14ac:dyDescent="0.25">
      <c r="C719" s="95"/>
      <c r="E719" s="97"/>
    </row>
    <row r="720" spans="3:5" ht="15.75" customHeight="1" x14ac:dyDescent="0.25">
      <c r="C720" s="95"/>
      <c r="E720" s="97"/>
    </row>
    <row r="721" spans="3:5" ht="15.75" customHeight="1" x14ac:dyDescent="0.25">
      <c r="C721" s="95"/>
      <c r="E721" s="97"/>
    </row>
    <row r="722" spans="3:5" ht="15.75" customHeight="1" x14ac:dyDescent="0.25">
      <c r="C722" s="95"/>
      <c r="E722" s="97"/>
    </row>
    <row r="723" spans="3:5" ht="15.75" customHeight="1" x14ac:dyDescent="0.25">
      <c r="C723" s="95"/>
      <c r="E723" s="97"/>
    </row>
    <row r="724" spans="3:5" ht="15.75" customHeight="1" x14ac:dyDescent="0.25">
      <c r="C724" s="95"/>
      <c r="E724" s="97"/>
    </row>
    <row r="725" spans="3:5" ht="15.75" customHeight="1" x14ac:dyDescent="0.25">
      <c r="C725" s="95"/>
      <c r="E725" s="97"/>
    </row>
    <row r="726" spans="3:5" ht="15.75" customHeight="1" x14ac:dyDescent="0.25">
      <c r="C726" s="95"/>
      <c r="E726" s="97"/>
    </row>
    <row r="727" spans="3:5" ht="15.75" customHeight="1" x14ac:dyDescent="0.25">
      <c r="C727" s="95"/>
      <c r="E727" s="97"/>
    </row>
    <row r="728" spans="3:5" ht="15.75" customHeight="1" x14ac:dyDescent="0.25">
      <c r="C728" s="95"/>
      <c r="E728" s="97"/>
    </row>
    <row r="729" spans="3:5" ht="15.75" customHeight="1" x14ac:dyDescent="0.25">
      <c r="C729" s="95"/>
      <c r="E729" s="97"/>
    </row>
    <row r="730" spans="3:5" ht="15.75" customHeight="1" x14ac:dyDescent="0.25">
      <c r="C730" s="95"/>
      <c r="E730" s="97"/>
    </row>
    <row r="731" spans="3:5" ht="15.75" customHeight="1" x14ac:dyDescent="0.25">
      <c r="C731" s="95"/>
      <c r="E731" s="97"/>
    </row>
    <row r="732" spans="3:5" ht="15.75" customHeight="1" x14ac:dyDescent="0.25">
      <c r="C732" s="95"/>
      <c r="E732" s="97"/>
    </row>
    <row r="733" spans="3:5" ht="15.75" customHeight="1" x14ac:dyDescent="0.25">
      <c r="C733" s="95"/>
      <c r="E733" s="97"/>
    </row>
    <row r="734" spans="3:5" ht="15.75" customHeight="1" x14ac:dyDescent="0.25">
      <c r="C734" s="95"/>
      <c r="E734" s="97"/>
    </row>
    <row r="735" spans="3:5" ht="15.75" customHeight="1" x14ac:dyDescent="0.25">
      <c r="C735" s="95"/>
      <c r="E735" s="97"/>
    </row>
    <row r="736" spans="3:5" ht="15.75" customHeight="1" x14ac:dyDescent="0.25">
      <c r="C736" s="95"/>
      <c r="E736" s="97"/>
    </row>
    <row r="737" spans="3:5" ht="15.75" customHeight="1" x14ac:dyDescent="0.25">
      <c r="C737" s="95"/>
      <c r="E737" s="97"/>
    </row>
    <row r="738" spans="3:5" ht="15.75" customHeight="1" x14ac:dyDescent="0.25">
      <c r="C738" s="95"/>
      <c r="E738" s="97"/>
    </row>
    <row r="739" spans="3:5" ht="15.75" customHeight="1" x14ac:dyDescent="0.25">
      <c r="C739" s="95"/>
      <c r="E739" s="97"/>
    </row>
    <row r="740" spans="3:5" ht="15.75" customHeight="1" x14ac:dyDescent="0.25">
      <c r="C740" s="95"/>
      <c r="E740" s="97"/>
    </row>
    <row r="741" spans="3:5" ht="15.75" customHeight="1" x14ac:dyDescent="0.25">
      <c r="C741" s="95"/>
      <c r="E741" s="97"/>
    </row>
    <row r="742" spans="3:5" ht="15.75" customHeight="1" x14ac:dyDescent="0.25">
      <c r="C742" s="95"/>
      <c r="E742" s="97"/>
    </row>
    <row r="743" spans="3:5" ht="15.75" customHeight="1" x14ac:dyDescent="0.25">
      <c r="C743" s="95"/>
      <c r="E743" s="97"/>
    </row>
    <row r="744" spans="3:5" ht="15.75" customHeight="1" x14ac:dyDescent="0.25">
      <c r="C744" s="95"/>
      <c r="E744" s="97"/>
    </row>
    <row r="745" spans="3:5" ht="15.75" customHeight="1" x14ac:dyDescent="0.25">
      <c r="C745" s="95"/>
      <c r="E745" s="97"/>
    </row>
    <row r="746" spans="3:5" ht="15.75" customHeight="1" x14ac:dyDescent="0.25">
      <c r="C746" s="95"/>
      <c r="E746" s="97"/>
    </row>
    <row r="747" spans="3:5" ht="15.75" customHeight="1" x14ac:dyDescent="0.25">
      <c r="C747" s="95"/>
      <c r="E747" s="97"/>
    </row>
    <row r="748" spans="3:5" ht="15.75" customHeight="1" x14ac:dyDescent="0.25">
      <c r="C748" s="95"/>
      <c r="E748" s="97"/>
    </row>
    <row r="749" spans="3:5" ht="15.75" customHeight="1" x14ac:dyDescent="0.25">
      <c r="C749" s="95"/>
      <c r="E749" s="97"/>
    </row>
    <row r="750" spans="3:5" ht="15.75" customHeight="1" x14ac:dyDescent="0.25">
      <c r="C750" s="95"/>
      <c r="E750" s="97"/>
    </row>
    <row r="751" spans="3:5" ht="15.75" customHeight="1" x14ac:dyDescent="0.25">
      <c r="C751" s="95"/>
      <c r="E751" s="97"/>
    </row>
    <row r="752" spans="3:5" ht="15.75" customHeight="1" x14ac:dyDescent="0.25">
      <c r="C752" s="95"/>
      <c r="E752" s="97"/>
    </row>
    <row r="753" spans="3:5" ht="15.75" customHeight="1" x14ac:dyDescent="0.25">
      <c r="C753" s="95"/>
      <c r="E753" s="97"/>
    </row>
    <row r="754" spans="3:5" ht="15.75" customHeight="1" x14ac:dyDescent="0.25">
      <c r="C754" s="95"/>
      <c r="E754" s="97"/>
    </row>
    <row r="755" spans="3:5" ht="15.75" customHeight="1" x14ac:dyDescent="0.25">
      <c r="C755" s="95"/>
      <c r="E755" s="97"/>
    </row>
    <row r="756" spans="3:5" ht="15.75" customHeight="1" x14ac:dyDescent="0.25">
      <c r="C756" s="95"/>
      <c r="E756" s="97"/>
    </row>
    <row r="757" spans="3:5" ht="15.75" customHeight="1" x14ac:dyDescent="0.25">
      <c r="C757" s="95"/>
      <c r="E757" s="97"/>
    </row>
    <row r="758" spans="3:5" ht="15.75" customHeight="1" x14ac:dyDescent="0.25">
      <c r="C758" s="95"/>
      <c r="E758" s="97"/>
    </row>
    <row r="759" spans="3:5" ht="15.75" customHeight="1" x14ac:dyDescent="0.25">
      <c r="C759" s="95"/>
      <c r="E759" s="97"/>
    </row>
    <row r="760" spans="3:5" ht="15.75" customHeight="1" x14ac:dyDescent="0.25">
      <c r="C760" s="95"/>
      <c r="E760" s="97"/>
    </row>
    <row r="761" spans="3:5" ht="15.75" customHeight="1" x14ac:dyDescent="0.25">
      <c r="C761" s="95"/>
      <c r="E761" s="97"/>
    </row>
    <row r="762" spans="3:5" ht="15.75" customHeight="1" x14ac:dyDescent="0.25">
      <c r="C762" s="95"/>
      <c r="E762" s="97"/>
    </row>
    <row r="763" spans="3:5" ht="15.75" customHeight="1" x14ac:dyDescent="0.25">
      <c r="C763" s="95"/>
      <c r="E763" s="97"/>
    </row>
    <row r="764" spans="3:5" ht="15.75" customHeight="1" x14ac:dyDescent="0.25">
      <c r="C764" s="95"/>
      <c r="E764" s="97"/>
    </row>
    <row r="765" spans="3:5" ht="15.75" customHeight="1" x14ac:dyDescent="0.25">
      <c r="C765" s="95"/>
      <c r="E765" s="97"/>
    </row>
    <row r="766" spans="3:5" ht="15.75" customHeight="1" x14ac:dyDescent="0.25">
      <c r="C766" s="95"/>
      <c r="E766" s="97"/>
    </row>
    <row r="767" spans="3:5" ht="15.75" customHeight="1" x14ac:dyDescent="0.25">
      <c r="C767" s="95"/>
      <c r="E767" s="97"/>
    </row>
    <row r="768" spans="3:5" ht="15.75" customHeight="1" x14ac:dyDescent="0.25">
      <c r="C768" s="95"/>
      <c r="E768" s="97"/>
    </row>
    <row r="769" spans="3:5" ht="15.75" customHeight="1" x14ac:dyDescent="0.25">
      <c r="C769" s="95"/>
      <c r="E769" s="97"/>
    </row>
    <row r="770" spans="3:5" ht="15.75" customHeight="1" x14ac:dyDescent="0.25">
      <c r="C770" s="95"/>
      <c r="E770" s="97"/>
    </row>
    <row r="771" spans="3:5" ht="15.75" customHeight="1" x14ac:dyDescent="0.25">
      <c r="C771" s="95"/>
      <c r="E771" s="97"/>
    </row>
    <row r="772" spans="3:5" ht="15.75" customHeight="1" x14ac:dyDescent="0.25">
      <c r="C772" s="95"/>
      <c r="E772" s="97"/>
    </row>
    <row r="773" spans="3:5" ht="15.75" customHeight="1" x14ac:dyDescent="0.25">
      <c r="C773" s="95"/>
      <c r="E773" s="97"/>
    </row>
    <row r="774" spans="3:5" ht="15.75" customHeight="1" x14ac:dyDescent="0.25">
      <c r="C774" s="95"/>
      <c r="E774" s="97"/>
    </row>
    <row r="775" spans="3:5" ht="15.75" customHeight="1" x14ac:dyDescent="0.25">
      <c r="C775" s="95"/>
      <c r="E775" s="97"/>
    </row>
    <row r="776" spans="3:5" ht="15.75" customHeight="1" x14ac:dyDescent="0.25">
      <c r="C776" s="95"/>
      <c r="E776" s="97"/>
    </row>
    <row r="777" spans="3:5" ht="15.75" customHeight="1" x14ac:dyDescent="0.25">
      <c r="C777" s="95"/>
      <c r="E777" s="97"/>
    </row>
    <row r="778" spans="3:5" ht="15.75" customHeight="1" x14ac:dyDescent="0.25">
      <c r="C778" s="95"/>
      <c r="E778" s="97"/>
    </row>
    <row r="779" spans="3:5" ht="15.75" customHeight="1" x14ac:dyDescent="0.25">
      <c r="C779" s="95"/>
      <c r="E779" s="97"/>
    </row>
    <row r="780" spans="3:5" ht="15.75" customHeight="1" x14ac:dyDescent="0.25">
      <c r="C780" s="95"/>
      <c r="E780" s="97"/>
    </row>
    <row r="781" spans="3:5" ht="15.75" customHeight="1" x14ac:dyDescent="0.25">
      <c r="C781" s="95"/>
      <c r="E781" s="97"/>
    </row>
    <row r="782" spans="3:5" ht="15.75" customHeight="1" x14ac:dyDescent="0.25">
      <c r="C782" s="95"/>
      <c r="E782" s="97"/>
    </row>
    <row r="783" spans="3:5" ht="15.75" customHeight="1" x14ac:dyDescent="0.25">
      <c r="C783" s="95"/>
      <c r="E783" s="97"/>
    </row>
    <row r="784" spans="3:5" ht="15.75" customHeight="1" x14ac:dyDescent="0.25">
      <c r="C784" s="95"/>
      <c r="E784" s="97"/>
    </row>
    <row r="785" spans="3:5" ht="15.75" customHeight="1" x14ac:dyDescent="0.25">
      <c r="C785" s="95"/>
      <c r="E785" s="97"/>
    </row>
    <row r="786" spans="3:5" ht="15.75" customHeight="1" x14ac:dyDescent="0.25">
      <c r="C786" s="95"/>
      <c r="E786" s="97"/>
    </row>
    <row r="787" spans="3:5" ht="15.75" customHeight="1" x14ac:dyDescent="0.25">
      <c r="C787" s="95"/>
      <c r="E787" s="97"/>
    </row>
    <row r="788" spans="3:5" ht="15.75" customHeight="1" x14ac:dyDescent="0.25">
      <c r="C788" s="95"/>
      <c r="E788" s="97"/>
    </row>
    <row r="789" spans="3:5" ht="15.75" customHeight="1" x14ac:dyDescent="0.25">
      <c r="C789" s="95"/>
      <c r="E789" s="97"/>
    </row>
    <row r="790" spans="3:5" ht="15.75" customHeight="1" x14ac:dyDescent="0.25">
      <c r="C790" s="95"/>
      <c r="E790" s="97"/>
    </row>
    <row r="791" spans="3:5" ht="15.75" customHeight="1" x14ac:dyDescent="0.25">
      <c r="C791" s="95"/>
      <c r="E791" s="97"/>
    </row>
    <row r="792" spans="3:5" ht="15.75" customHeight="1" x14ac:dyDescent="0.25">
      <c r="C792" s="95"/>
      <c r="E792" s="97"/>
    </row>
    <row r="793" spans="3:5" ht="15.75" customHeight="1" x14ac:dyDescent="0.25">
      <c r="C793" s="95"/>
      <c r="E793" s="97"/>
    </row>
    <row r="794" spans="3:5" ht="15.75" customHeight="1" x14ac:dyDescent="0.25">
      <c r="C794" s="95"/>
      <c r="E794" s="97"/>
    </row>
    <row r="795" spans="3:5" ht="15.75" customHeight="1" x14ac:dyDescent="0.25">
      <c r="C795" s="95"/>
      <c r="E795" s="97"/>
    </row>
    <row r="796" spans="3:5" ht="15.75" customHeight="1" x14ac:dyDescent="0.25">
      <c r="C796" s="95"/>
      <c r="E796" s="97"/>
    </row>
    <row r="797" spans="3:5" ht="15.75" customHeight="1" x14ac:dyDescent="0.25">
      <c r="C797" s="95"/>
      <c r="E797" s="97"/>
    </row>
    <row r="798" spans="3:5" ht="15.75" customHeight="1" x14ac:dyDescent="0.25">
      <c r="C798" s="95"/>
      <c r="E798" s="97"/>
    </row>
    <row r="799" spans="3:5" ht="15.75" customHeight="1" x14ac:dyDescent="0.25">
      <c r="C799" s="95"/>
      <c r="E799" s="97"/>
    </row>
    <row r="800" spans="3:5" ht="15.75" customHeight="1" x14ac:dyDescent="0.25">
      <c r="C800" s="95"/>
      <c r="E800" s="97"/>
    </row>
    <row r="801" spans="3:5" ht="15.75" customHeight="1" x14ac:dyDescent="0.25">
      <c r="C801" s="95"/>
      <c r="E801" s="97"/>
    </row>
    <row r="802" spans="3:5" ht="15.75" customHeight="1" x14ac:dyDescent="0.25">
      <c r="C802" s="95"/>
      <c r="E802" s="97"/>
    </row>
    <row r="803" spans="3:5" ht="15.75" customHeight="1" x14ac:dyDescent="0.25">
      <c r="C803" s="95"/>
      <c r="E803" s="97"/>
    </row>
    <row r="804" spans="3:5" ht="15.75" customHeight="1" x14ac:dyDescent="0.25">
      <c r="C804" s="95"/>
      <c r="E804" s="97"/>
    </row>
    <row r="805" spans="3:5" ht="15.75" customHeight="1" x14ac:dyDescent="0.25">
      <c r="C805" s="95"/>
      <c r="E805" s="97"/>
    </row>
    <row r="806" spans="3:5" ht="15.75" customHeight="1" x14ac:dyDescent="0.25">
      <c r="C806" s="95"/>
      <c r="E806" s="97"/>
    </row>
    <row r="807" spans="3:5" ht="15.75" customHeight="1" x14ac:dyDescent="0.25">
      <c r="C807" s="95"/>
      <c r="E807" s="97"/>
    </row>
    <row r="808" spans="3:5" ht="15.75" customHeight="1" x14ac:dyDescent="0.25">
      <c r="C808" s="95"/>
      <c r="E808" s="97"/>
    </row>
    <row r="809" spans="3:5" ht="15.75" customHeight="1" x14ac:dyDescent="0.25">
      <c r="C809" s="95"/>
      <c r="E809" s="97"/>
    </row>
    <row r="810" spans="3:5" ht="15.75" customHeight="1" x14ac:dyDescent="0.25">
      <c r="C810" s="95"/>
      <c r="E810" s="97"/>
    </row>
    <row r="811" spans="3:5" ht="15.75" customHeight="1" x14ac:dyDescent="0.25">
      <c r="C811" s="95"/>
      <c r="E811" s="97"/>
    </row>
    <row r="812" spans="3:5" ht="15.75" customHeight="1" x14ac:dyDescent="0.25">
      <c r="C812" s="95"/>
      <c r="E812" s="97"/>
    </row>
    <row r="813" spans="3:5" ht="15.75" customHeight="1" x14ac:dyDescent="0.25">
      <c r="C813" s="95"/>
      <c r="E813" s="97"/>
    </row>
    <row r="814" spans="3:5" ht="15.75" customHeight="1" x14ac:dyDescent="0.25">
      <c r="C814" s="95"/>
      <c r="E814" s="97"/>
    </row>
    <row r="815" spans="3:5" ht="15.75" customHeight="1" x14ac:dyDescent="0.25">
      <c r="C815" s="95"/>
      <c r="E815" s="97"/>
    </row>
    <row r="816" spans="3:5" ht="15.75" customHeight="1" x14ac:dyDescent="0.25">
      <c r="C816" s="95"/>
      <c r="E816" s="97"/>
    </row>
    <row r="817" spans="3:5" ht="15.75" customHeight="1" x14ac:dyDescent="0.25">
      <c r="C817" s="95"/>
      <c r="E817" s="97"/>
    </row>
    <row r="818" spans="3:5" ht="15.75" customHeight="1" x14ac:dyDescent="0.25">
      <c r="C818" s="95"/>
      <c r="E818" s="97"/>
    </row>
    <row r="819" spans="3:5" ht="15.75" customHeight="1" x14ac:dyDescent="0.25">
      <c r="C819" s="95"/>
      <c r="E819" s="97"/>
    </row>
    <row r="820" spans="3:5" ht="15.75" customHeight="1" x14ac:dyDescent="0.25">
      <c r="C820" s="95"/>
      <c r="E820" s="97"/>
    </row>
    <row r="821" spans="3:5" ht="15.75" customHeight="1" x14ac:dyDescent="0.25">
      <c r="C821" s="95"/>
      <c r="E821" s="97"/>
    </row>
    <row r="822" spans="3:5" ht="15.75" customHeight="1" x14ac:dyDescent="0.25">
      <c r="C822" s="95"/>
      <c r="E822" s="97"/>
    </row>
    <row r="823" spans="3:5" ht="15.75" customHeight="1" x14ac:dyDescent="0.25">
      <c r="C823" s="95"/>
      <c r="E823" s="97"/>
    </row>
    <row r="824" spans="3:5" ht="15.75" customHeight="1" x14ac:dyDescent="0.25">
      <c r="C824" s="95"/>
      <c r="E824" s="97"/>
    </row>
    <row r="825" spans="3:5" ht="15.75" customHeight="1" x14ac:dyDescent="0.25">
      <c r="C825" s="95"/>
      <c r="E825" s="97"/>
    </row>
    <row r="826" spans="3:5" ht="15.75" customHeight="1" x14ac:dyDescent="0.25">
      <c r="C826" s="95"/>
      <c r="E826" s="97"/>
    </row>
    <row r="827" spans="3:5" ht="15.75" customHeight="1" x14ac:dyDescent="0.25">
      <c r="C827" s="95"/>
      <c r="E827" s="97"/>
    </row>
    <row r="828" spans="3:5" ht="15.75" customHeight="1" x14ac:dyDescent="0.25">
      <c r="C828" s="95"/>
      <c r="E828" s="97"/>
    </row>
    <row r="829" spans="3:5" ht="15.75" customHeight="1" x14ac:dyDescent="0.25">
      <c r="C829" s="95"/>
      <c r="E829" s="97"/>
    </row>
    <row r="830" spans="3:5" ht="15.75" customHeight="1" x14ac:dyDescent="0.25">
      <c r="C830" s="95"/>
      <c r="E830" s="97"/>
    </row>
    <row r="831" spans="3:5" ht="15.75" customHeight="1" x14ac:dyDescent="0.25">
      <c r="C831" s="95"/>
      <c r="E831" s="97"/>
    </row>
    <row r="832" spans="3:5" ht="15.75" customHeight="1" x14ac:dyDescent="0.25">
      <c r="C832" s="95"/>
      <c r="E832" s="97"/>
    </row>
    <row r="833" spans="3:5" ht="15.75" customHeight="1" x14ac:dyDescent="0.25">
      <c r="C833" s="95"/>
      <c r="E833" s="97"/>
    </row>
    <row r="834" spans="3:5" ht="15.75" customHeight="1" x14ac:dyDescent="0.25">
      <c r="C834" s="95"/>
      <c r="E834" s="97"/>
    </row>
    <row r="835" spans="3:5" ht="15.75" customHeight="1" x14ac:dyDescent="0.25">
      <c r="C835" s="95"/>
      <c r="E835" s="97"/>
    </row>
    <row r="836" spans="3:5" ht="15.75" customHeight="1" x14ac:dyDescent="0.25">
      <c r="C836" s="95"/>
      <c r="E836" s="97"/>
    </row>
    <row r="837" spans="3:5" ht="15.75" customHeight="1" x14ac:dyDescent="0.25">
      <c r="C837" s="95"/>
      <c r="E837" s="97"/>
    </row>
    <row r="838" spans="3:5" ht="15.75" customHeight="1" x14ac:dyDescent="0.25">
      <c r="C838" s="95"/>
      <c r="E838" s="97"/>
    </row>
    <row r="839" spans="3:5" ht="15.75" customHeight="1" x14ac:dyDescent="0.25">
      <c r="C839" s="95"/>
      <c r="E839" s="97"/>
    </row>
    <row r="840" spans="3:5" ht="15.75" customHeight="1" x14ac:dyDescent="0.25">
      <c r="C840" s="95"/>
      <c r="E840" s="97"/>
    </row>
    <row r="841" spans="3:5" ht="15.75" customHeight="1" x14ac:dyDescent="0.25">
      <c r="C841" s="95"/>
      <c r="E841" s="97"/>
    </row>
    <row r="842" spans="3:5" ht="15.75" customHeight="1" x14ac:dyDescent="0.25">
      <c r="C842" s="95"/>
      <c r="E842" s="97"/>
    </row>
    <row r="843" spans="3:5" ht="15.75" customHeight="1" x14ac:dyDescent="0.25">
      <c r="C843" s="95"/>
      <c r="E843" s="97"/>
    </row>
    <row r="844" spans="3:5" ht="15.75" customHeight="1" x14ac:dyDescent="0.25">
      <c r="C844" s="95"/>
      <c r="E844" s="97"/>
    </row>
    <row r="845" spans="3:5" ht="15.75" customHeight="1" x14ac:dyDescent="0.25">
      <c r="C845" s="95"/>
      <c r="E845" s="97"/>
    </row>
    <row r="846" spans="3:5" ht="15.75" customHeight="1" x14ac:dyDescent="0.25">
      <c r="C846" s="95"/>
      <c r="E846" s="97"/>
    </row>
    <row r="847" spans="3:5" ht="15.75" customHeight="1" x14ac:dyDescent="0.25">
      <c r="C847" s="95"/>
      <c r="E847" s="97"/>
    </row>
    <row r="848" spans="3:5" ht="15.75" customHeight="1" x14ac:dyDescent="0.25">
      <c r="C848" s="95"/>
      <c r="E848" s="97"/>
    </row>
    <row r="849" spans="3:5" ht="15.75" customHeight="1" x14ac:dyDescent="0.25">
      <c r="C849" s="95"/>
      <c r="E849" s="97"/>
    </row>
    <row r="850" spans="3:5" ht="15.75" customHeight="1" x14ac:dyDescent="0.25">
      <c r="C850" s="95"/>
      <c r="E850" s="97"/>
    </row>
    <row r="851" spans="3:5" ht="15.75" customHeight="1" x14ac:dyDescent="0.25">
      <c r="C851" s="95"/>
      <c r="E851" s="97"/>
    </row>
    <row r="852" spans="3:5" ht="15.75" customHeight="1" x14ac:dyDescent="0.25">
      <c r="C852" s="95"/>
      <c r="E852" s="97"/>
    </row>
    <row r="853" spans="3:5" ht="15.75" customHeight="1" x14ac:dyDescent="0.25">
      <c r="C853" s="95"/>
      <c r="E853" s="97"/>
    </row>
    <row r="854" spans="3:5" ht="15.75" customHeight="1" x14ac:dyDescent="0.25">
      <c r="C854" s="95"/>
      <c r="E854" s="97"/>
    </row>
    <row r="855" spans="3:5" ht="15.75" customHeight="1" x14ac:dyDescent="0.25">
      <c r="C855" s="95"/>
      <c r="E855" s="97"/>
    </row>
    <row r="856" spans="3:5" ht="15.75" customHeight="1" x14ac:dyDescent="0.25">
      <c r="C856" s="95"/>
      <c r="E856" s="97"/>
    </row>
    <row r="857" spans="3:5" ht="15.75" customHeight="1" x14ac:dyDescent="0.25">
      <c r="C857" s="95"/>
      <c r="E857" s="97"/>
    </row>
    <row r="858" spans="3:5" ht="15.75" customHeight="1" x14ac:dyDescent="0.25">
      <c r="C858" s="95"/>
      <c r="E858" s="97"/>
    </row>
    <row r="859" spans="3:5" ht="15.75" customHeight="1" x14ac:dyDescent="0.25">
      <c r="C859" s="95"/>
      <c r="E859" s="97"/>
    </row>
    <row r="860" spans="3:5" ht="15.75" customHeight="1" x14ac:dyDescent="0.25">
      <c r="C860" s="95"/>
      <c r="E860" s="97"/>
    </row>
    <row r="861" spans="3:5" ht="15.75" customHeight="1" x14ac:dyDescent="0.25">
      <c r="C861" s="95"/>
      <c r="E861" s="97"/>
    </row>
    <row r="862" spans="3:5" ht="15.75" customHeight="1" x14ac:dyDescent="0.25">
      <c r="C862" s="95"/>
      <c r="E862" s="97"/>
    </row>
    <row r="863" spans="3:5" ht="15.75" customHeight="1" x14ac:dyDescent="0.25">
      <c r="C863" s="95"/>
      <c r="E863" s="97"/>
    </row>
    <row r="864" spans="3:5" ht="15.75" customHeight="1" x14ac:dyDescent="0.25">
      <c r="C864" s="95"/>
      <c r="E864" s="97"/>
    </row>
    <row r="865" spans="3:5" ht="15.75" customHeight="1" x14ac:dyDescent="0.25">
      <c r="C865" s="95"/>
      <c r="E865" s="97"/>
    </row>
    <row r="866" spans="3:5" ht="15.75" customHeight="1" x14ac:dyDescent="0.25">
      <c r="C866" s="95"/>
      <c r="E866" s="97"/>
    </row>
    <row r="867" spans="3:5" ht="15.75" customHeight="1" x14ac:dyDescent="0.25">
      <c r="C867" s="95"/>
      <c r="E867" s="97"/>
    </row>
    <row r="868" spans="3:5" ht="15.75" customHeight="1" x14ac:dyDescent="0.25">
      <c r="C868" s="95"/>
      <c r="E868" s="97"/>
    </row>
    <row r="869" spans="3:5" ht="15.75" customHeight="1" x14ac:dyDescent="0.25">
      <c r="C869" s="95"/>
      <c r="E869" s="97"/>
    </row>
    <row r="870" spans="3:5" ht="15.75" customHeight="1" x14ac:dyDescent="0.25">
      <c r="C870" s="95"/>
      <c r="E870" s="97"/>
    </row>
    <row r="871" spans="3:5" ht="15.75" customHeight="1" x14ac:dyDescent="0.25">
      <c r="C871" s="95"/>
      <c r="E871" s="97"/>
    </row>
    <row r="872" spans="3:5" ht="15.75" customHeight="1" x14ac:dyDescent="0.25">
      <c r="C872" s="95"/>
      <c r="E872" s="97"/>
    </row>
    <row r="873" spans="3:5" ht="15.75" customHeight="1" x14ac:dyDescent="0.25">
      <c r="C873" s="95"/>
      <c r="E873" s="97"/>
    </row>
    <row r="874" spans="3:5" ht="15.75" customHeight="1" x14ac:dyDescent="0.25">
      <c r="C874" s="95"/>
      <c r="E874" s="97"/>
    </row>
    <row r="875" spans="3:5" ht="15.75" customHeight="1" x14ac:dyDescent="0.25">
      <c r="C875" s="95"/>
      <c r="E875" s="97"/>
    </row>
    <row r="876" spans="3:5" ht="15.75" customHeight="1" x14ac:dyDescent="0.25">
      <c r="C876" s="95"/>
      <c r="E876" s="97"/>
    </row>
    <row r="877" spans="3:5" ht="15.75" customHeight="1" x14ac:dyDescent="0.25">
      <c r="C877" s="95"/>
      <c r="E877" s="97"/>
    </row>
    <row r="878" spans="3:5" ht="15.75" customHeight="1" x14ac:dyDescent="0.25">
      <c r="C878" s="95"/>
      <c r="E878" s="97"/>
    </row>
    <row r="879" spans="3:5" ht="15.75" customHeight="1" x14ac:dyDescent="0.25">
      <c r="C879" s="95"/>
      <c r="E879" s="97"/>
    </row>
    <row r="880" spans="3:5" ht="15.75" customHeight="1" x14ac:dyDescent="0.25">
      <c r="C880" s="95"/>
      <c r="E880" s="97"/>
    </row>
    <row r="881" spans="3:5" ht="15.75" customHeight="1" x14ac:dyDescent="0.25">
      <c r="C881" s="95"/>
      <c r="E881" s="97"/>
    </row>
    <row r="882" spans="3:5" ht="15.75" customHeight="1" x14ac:dyDescent="0.25">
      <c r="C882" s="95"/>
      <c r="E882" s="97"/>
    </row>
    <row r="883" spans="3:5" ht="15.75" customHeight="1" x14ac:dyDescent="0.25">
      <c r="C883" s="95"/>
      <c r="E883" s="97"/>
    </row>
    <row r="884" spans="3:5" ht="15.75" customHeight="1" x14ac:dyDescent="0.25">
      <c r="C884" s="95"/>
      <c r="E884" s="97"/>
    </row>
    <row r="885" spans="3:5" ht="15.75" customHeight="1" x14ac:dyDescent="0.25">
      <c r="C885" s="95"/>
      <c r="E885" s="97"/>
    </row>
    <row r="886" spans="3:5" ht="15.75" customHeight="1" x14ac:dyDescent="0.25">
      <c r="C886" s="95"/>
      <c r="E886" s="97"/>
    </row>
    <row r="887" spans="3:5" ht="15.75" customHeight="1" x14ac:dyDescent="0.25">
      <c r="C887" s="95"/>
      <c r="E887" s="97"/>
    </row>
    <row r="888" spans="3:5" ht="15.75" customHeight="1" x14ac:dyDescent="0.25">
      <c r="C888" s="95"/>
      <c r="E888" s="97"/>
    </row>
    <row r="889" spans="3:5" ht="15.75" customHeight="1" x14ac:dyDescent="0.25">
      <c r="C889" s="95"/>
      <c r="E889" s="97"/>
    </row>
    <row r="890" spans="3:5" ht="15.75" customHeight="1" x14ac:dyDescent="0.25">
      <c r="C890" s="95"/>
      <c r="E890" s="97"/>
    </row>
    <row r="891" spans="3:5" ht="15.75" customHeight="1" x14ac:dyDescent="0.25">
      <c r="C891" s="95"/>
      <c r="E891" s="97"/>
    </row>
    <row r="892" spans="3:5" ht="15.75" customHeight="1" x14ac:dyDescent="0.25">
      <c r="C892" s="95"/>
      <c r="E892" s="97"/>
    </row>
    <row r="893" spans="3:5" ht="15.75" customHeight="1" x14ac:dyDescent="0.25">
      <c r="C893" s="95"/>
      <c r="E893" s="97"/>
    </row>
    <row r="894" spans="3:5" ht="15.75" customHeight="1" x14ac:dyDescent="0.25">
      <c r="C894" s="95"/>
      <c r="E894" s="97"/>
    </row>
    <row r="895" spans="3:5" ht="15.75" customHeight="1" x14ac:dyDescent="0.25">
      <c r="C895" s="95"/>
      <c r="E895" s="97"/>
    </row>
    <row r="896" spans="3:5" ht="15.75" customHeight="1" x14ac:dyDescent="0.25">
      <c r="C896" s="95"/>
      <c r="E896" s="97"/>
    </row>
    <row r="897" spans="3:5" ht="15.75" customHeight="1" x14ac:dyDescent="0.25">
      <c r="C897" s="95"/>
      <c r="E897" s="97"/>
    </row>
    <row r="898" spans="3:5" ht="15.75" customHeight="1" x14ac:dyDescent="0.25">
      <c r="C898" s="95"/>
      <c r="E898" s="97"/>
    </row>
    <row r="899" spans="3:5" ht="15.75" customHeight="1" x14ac:dyDescent="0.25">
      <c r="C899" s="95"/>
      <c r="E899" s="97"/>
    </row>
    <row r="900" spans="3:5" ht="15.75" customHeight="1" x14ac:dyDescent="0.25">
      <c r="C900" s="95"/>
      <c r="E900" s="97"/>
    </row>
    <row r="901" spans="3:5" ht="15.75" customHeight="1" x14ac:dyDescent="0.25">
      <c r="C901" s="95"/>
      <c r="E901" s="97"/>
    </row>
    <row r="902" spans="3:5" ht="15.75" customHeight="1" x14ac:dyDescent="0.25">
      <c r="C902" s="95"/>
      <c r="E902" s="97"/>
    </row>
    <row r="903" spans="3:5" ht="15.75" customHeight="1" x14ac:dyDescent="0.25">
      <c r="C903" s="95"/>
      <c r="E903" s="97"/>
    </row>
    <row r="904" spans="3:5" ht="15.75" customHeight="1" x14ac:dyDescent="0.25">
      <c r="C904" s="95"/>
      <c r="E904" s="97"/>
    </row>
    <row r="905" spans="3:5" ht="15.75" customHeight="1" x14ac:dyDescent="0.25">
      <c r="C905" s="95"/>
      <c r="E905" s="97"/>
    </row>
    <row r="906" spans="3:5" ht="15.75" customHeight="1" x14ac:dyDescent="0.25">
      <c r="C906" s="95"/>
      <c r="E906" s="97"/>
    </row>
    <row r="907" spans="3:5" ht="15.75" customHeight="1" x14ac:dyDescent="0.25">
      <c r="C907" s="95"/>
      <c r="E907" s="97"/>
    </row>
    <row r="908" spans="3:5" ht="15.75" customHeight="1" x14ac:dyDescent="0.25">
      <c r="C908" s="95"/>
      <c r="E908" s="97"/>
    </row>
    <row r="909" spans="3:5" ht="15.75" customHeight="1" x14ac:dyDescent="0.25">
      <c r="C909" s="95"/>
      <c r="E909" s="97"/>
    </row>
    <row r="910" spans="3:5" ht="15.75" customHeight="1" x14ac:dyDescent="0.25">
      <c r="C910" s="95"/>
      <c r="E910" s="97"/>
    </row>
    <row r="911" spans="3:5" ht="15.75" customHeight="1" x14ac:dyDescent="0.25">
      <c r="C911" s="95"/>
      <c r="E911" s="97"/>
    </row>
    <row r="912" spans="3:5" ht="15.75" customHeight="1" x14ac:dyDescent="0.25">
      <c r="C912" s="95"/>
      <c r="E912" s="97"/>
    </row>
    <row r="913" spans="3:5" ht="15.75" customHeight="1" x14ac:dyDescent="0.25">
      <c r="C913" s="95"/>
      <c r="E913" s="97"/>
    </row>
    <row r="914" spans="3:5" ht="15.75" customHeight="1" x14ac:dyDescent="0.25">
      <c r="C914" s="95"/>
      <c r="E914" s="97"/>
    </row>
    <row r="915" spans="3:5" ht="15.75" customHeight="1" x14ac:dyDescent="0.25">
      <c r="C915" s="95"/>
      <c r="E915" s="97"/>
    </row>
    <row r="916" spans="3:5" ht="15.75" customHeight="1" x14ac:dyDescent="0.25">
      <c r="C916" s="95"/>
      <c r="E916" s="97"/>
    </row>
    <row r="917" spans="3:5" ht="15.75" customHeight="1" x14ac:dyDescent="0.25">
      <c r="C917" s="95"/>
      <c r="E917" s="97"/>
    </row>
    <row r="918" spans="3:5" ht="15.75" customHeight="1" x14ac:dyDescent="0.25">
      <c r="C918" s="95"/>
      <c r="E918" s="97"/>
    </row>
    <row r="919" spans="3:5" ht="15.75" customHeight="1" x14ac:dyDescent="0.25">
      <c r="C919" s="95"/>
      <c r="E919" s="97"/>
    </row>
    <row r="920" spans="3:5" ht="15.75" customHeight="1" x14ac:dyDescent="0.25">
      <c r="C920" s="95"/>
      <c r="E920" s="97"/>
    </row>
    <row r="921" spans="3:5" ht="15.75" customHeight="1" x14ac:dyDescent="0.25">
      <c r="C921" s="95"/>
      <c r="E921" s="97"/>
    </row>
    <row r="922" spans="3:5" ht="15.75" customHeight="1" x14ac:dyDescent="0.25">
      <c r="C922" s="95"/>
      <c r="E922" s="97"/>
    </row>
    <row r="923" spans="3:5" ht="15.75" customHeight="1" x14ac:dyDescent="0.25">
      <c r="C923" s="95"/>
      <c r="E923" s="97"/>
    </row>
    <row r="924" spans="3:5" ht="15.75" customHeight="1" x14ac:dyDescent="0.25">
      <c r="C924" s="95"/>
      <c r="E924" s="97"/>
    </row>
    <row r="925" spans="3:5" ht="15.75" customHeight="1" x14ac:dyDescent="0.25">
      <c r="C925" s="95"/>
      <c r="E925" s="97"/>
    </row>
    <row r="926" spans="3:5" ht="15.75" customHeight="1" x14ac:dyDescent="0.25">
      <c r="C926" s="95"/>
      <c r="E926" s="97"/>
    </row>
    <row r="927" spans="3:5" ht="15.75" customHeight="1" x14ac:dyDescent="0.25">
      <c r="C927" s="95"/>
      <c r="E927" s="97"/>
    </row>
    <row r="928" spans="3:5" ht="15.75" customHeight="1" x14ac:dyDescent="0.25">
      <c r="C928" s="95"/>
      <c r="E928" s="97"/>
    </row>
    <row r="929" spans="3:5" ht="15.75" customHeight="1" x14ac:dyDescent="0.25">
      <c r="C929" s="95"/>
      <c r="E929" s="97"/>
    </row>
    <row r="930" spans="3:5" ht="15.75" customHeight="1" x14ac:dyDescent="0.25">
      <c r="C930" s="95"/>
      <c r="E930" s="97"/>
    </row>
    <row r="931" spans="3:5" ht="15.75" customHeight="1" x14ac:dyDescent="0.25">
      <c r="C931" s="95"/>
      <c r="E931" s="97"/>
    </row>
    <row r="932" spans="3:5" ht="15.75" customHeight="1" x14ac:dyDescent="0.25">
      <c r="C932" s="95"/>
      <c r="E932" s="97"/>
    </row>
    <row r="933" spans="3:5" ht="15.75" customHeight="1" x14ac:dyDescent="0.25">
      <c r="C933" s="95"/>
      <c r="E933" s="97"/>
    </row>
    <row r="934" spans="3:5" ht="15.75" customHeight="1" x14ac:dyDescent="0.25">
      <c r="C934" s="95"/>
      <c r="E934" s="97"/>
    </row>
    <row r="935" spans="3:5" ht="15.75" customHeight="1" x14ac:dyDescent="0.25">
      <c r="C935" s="95"/>
      <c r="E935" s="97"/>
    </row>
    <row r="936" spans="3:5" ht="15.75" customHeight="1" x14ac:dyDescent="0.25">
      <c r="C936" s="95"/>
      <c r="E936" s="97"/>
    </row>
    <row r="937" spans="3:5" ht="15.75" customHeight="1" x14ac:dyDescent="0.25">
      <c r="C937" s="95"/>
      <c r="E937" s="97"/>
    </row>
    <row r="938" spans="3:5" ht="15.75" customHeight="1" x14ac:dyDescent="0.25">
      <c r="C938" s="95"/>
      <c r="E938" s="97"/>
    </row>
    <row r="939" spans="3:5" ht="15.75" customHeight="1" x14ac:dyDescent="0.25">
      <c r="C939" s="95"/>
      <c r="E939" s="97"/>
    </row>
    <row r="940" spans="3:5" ht="15.75" customHeight="1" x14ac:dyDescent="0.25">
      <c r="C940" s="95"/>
      <c r="E940" s="97"/>
    </row>
    <row r="941" spans="3:5" ht="15.75" customHeight="1" x14ac:dyDescent="0.25">
      <c r="C941" s="95"/>
      <c r="E941" s="97"/>
    </row>
    <row r="942" spans="3:5" ht="15.75" customHeight="1" x14ac:dyDescent="0.25">
      <c r="C942" s="95"/>
      <c r="E942" s="97"/>
    </row>
    <row r="943" spans="3:5" ht="15.75" customHeight="1" x14ac:dyDescent="0.25">
      <c r="C943" s="95"/>
      <c r="E943" s="97"/>
    </row>
    <row r="944" spans="3:5" ht="15.75" customHeight="1" x14ac:dyDescent="0.25">
      <c r="C944" s="95"/>
      <c r="E944" s="97"/>
    </row>
    <row r="945" spans="3:5" ht="15.75" customHeight="1" x14ac:dyDescent="0.25">
      <c r="C945" s="95"/>
      <c r="E945" s="97"/>
    </row>
    <row r="946" spans="3:5" ht="15.75" customHeight="1" x14ac:dyDescent="0.25">
      <c r="C946" s="95"/>
      <c r="E946" s="97"/>
    </row>
    <row r="947" spans="3:5" ht="15.75" customHeight="1" x14ac:dyDescent="0.25">
      <c r="C947" s="95"/>
      <c r="E947" s="97"/>
    </row>
    <row r="948" spans="3:5" ht="15.75" customHeight="1" x14ac:dyDescent="0.25">
      <c r="C948" s="95"/>
      <c r="E948" s="97"/>
    </row>
    <row r="949" spans="3:5" ht="15.75" customHeight="1" x14ac:dyDescent="0.25">
      <c r="C949" s="95"/>
      <c r="E949" s="97"/>
    </row>
    <row r="950" spans="3:5" ht="15.75" customHeight="1" x14ac:dyDescent="0.25">
      <c r="C950" s="95"/>
      <c r="E950" s="97"/>
    </row>
    <row r="951" spans="3:5" ht="15.75" customHeight="1" x14ac:dyDescent="0.25">
      <c r="C951" s="95"/>
      <c r="E951" s="97"/>
    </row>
    <row r="952" spans="3:5" ht="15.75" customHeight="1" x14ac:dyDescent="0.25">
      <c r="C952" s="95"/>
      <c r="E952" s="97"/>
    </row>
    <row r="953" spans="3:5" ht="15.75" customHeight="1" x14ac:dyDescent="0.25">
      <c r="C953" s="95"/>
      <c r="E953" s="97"/>
    </row>
    <row r="954" spans="3:5" ht="15.75" customHeight="1" x14ac:dyDescent="0.25">
      <c r="C954" s="95"/>
      <c r="E954" s="97"/>
    </row>
    <row r="955" spans="3:5" ht="15.75" customHeight="1" x14ac:dyDescent="0.25">
      <c r="C955" s="95"/>
      <c r="E955" s="97"/>
    </row>
    <row r="956" spans="3:5" ht="15.75" customHeight="1" x14ac:dyDescent="0.25">
      <c r="C956" s="95"/>
      <c r="E956" s="97"/>
    </row>
    <row r="957" spans="3:5" ht="15.75" customHeight="1" x14ac:dyDescent="0.25">
      <c r="C957" s="95"/>
      <c r="E957" s="97"/>
    </row>
    <row r="958" spans="3:5" ht="15.75" customHeight="1" x14ac:dyDescent="0.25">
      <c r="C958" s="95"/>
      <c r="E958" s="97"/>
    </row>
    <row r="959" spans="3:5" ht="15.75" customHeight="1" x14ac:dyDescent="0.25">
      <c r="C959" s="95"/>
      <c r="E959" s="97"/>
    </row>
    <row r="960" spans="3:5" ht="15.75" customHeight="1" x14ac:dyDescent="0.25">
      <c r="C960" s="95"/>
      <c r="E960" s="97"/>
    </row>
    <row r="961" spans="3:5" ht="15.75" customHeight="1" x14ac:dyDescent="0.25">
      <c r="C961" s="95"/>
      <c r="E961" s="97"/>
    </row>
    <row r="962" spans="3:5" ht="15.75" customHeight="1" x14ac:dyDescent="0.25">
      <c r="C962" s="95"/>
      <c r="E962" s="97"/>
    </row>
    <row r="963" spans="3:5" ht="15.75" customHeight="1" x14ac:dyDescent="0.25">
      <c r="C963" s="95"/>
      <c r="E963" s="97"/>
    </row>
    <row r="964" spans="3:5" ht="15.75" customHeight="1" x14ac:dyDescent="0.25">
      <c r="C964" s="95"/>
      <c r="E964" s="97"/>
    </row>
    <row r="965" spans="3:5" ht="15.75" customHeight="1" x14ac:dyDescent="0.25">
      <c r="C965" s="95"/>
      <c r="E965" s="97"/>
    </row>
    <row r="966" spans="3:5" ht="15.75" customHeight="1" x14ac:dyDescent="0.25">
      <c r="C966" s="95"/>
      <c r="E966" s="97"/>
    </row>
    <row r="967" spans="3:5" ht="15.75" customHeight="1" x14ac:dyDescent="0.25">
      <c r="C967" s="95"/>
      <c r="E967" s="97"/>
    </row>
    <row r="968" spans="3:5" ht="15.75" customHeight="1" x14ac:dyDescent="0.25">
      <c r="C968" s="95"/>
      <c r="E968" s="97"/>
    </row>
    <row r="969" spans="3:5" ht="15.75" customHeight="1" x14ac:dyDescent="0.25">
      <c r="C969" s="95"/>
      <c r="E969" s="97"/>
    </row>
    <row r="970" spans="3:5" ht="15.75" customHeight="1" x14ac:dyDescent="0.25">
      <c r="C970" s="95"/>
      <c r="E970" s="97"/>
    </row>
    <row r="971" spans="3:5" ht="15.75" customHeight="1" x14ac:dyDescent="0.25">
      <c r="C971" s="95"/>
      <c r="E971" s="97"/>
    </row>
    <row r="972" spans="3:5" ht="15.75" customHeight="1" x14ac:dyDescent="0.25">
      <c r="C972" s="95"/>
      <c r="E972" s="97"/>
    </row>
    <row r="973" spans="3:5" ht="15.75" customHeight="1" x14ac:dyDescent="0.25">
      <c r="C973" s="95"/>
      <c r="E973" s="97"/>
    </row>
    <row r="974" spans="3:5" ht="15.75" customHeight="1" x14ac:dyDescent="0.25">
      <c r="C974" s="95"/>
      <c r="E974" s="97"/>
    </row>
    <row r="975" spans="3:5" ht="15.75" customHeight="1" x14ac:dyDescent="0.25">
      <c r="C975" s="95"/>
      <c r="E975" s="97"/>
    </row>
    <row r="976" spans="3:5" ht="15.75" customHeight="1" x14ac:dyDescent="0.25">
      <c r="C976" s="95"/>
      <c r="E976" s="97"/>
    </row>
    <row r="977" spans="3:5" ht="15.75" customHeight="1" x14ac:dyDescent="0.25">
      <c r="C977" s="95"/>
      <c r="E977" s="97"/>
    </row>
    <row r="978" spans="3:5" ht="15.75" customHeight="1" x14ac:dyDescent="0.25">
      <c r="C978" s="95"/>
      <c r="E978" s="97"/>
    </row>
    <row r="979" spans="3:5" ht="15.75" customHeight="1" x14ac:dyDescent="0.25">
      <c r="C979" s="95"/>
      <c r="E979" s="97"/>
    </row>
    <row r="980" spans="3:5" ht="15.75" customHeight="1" x14ac:dyDescent="0.25">
      <c r="C980" s="95"/>
      <c r="E980" s="97"/>
    </row>
    <row r="981" spans="3:5" ht="15.75" customHeight="1" x14ac:dyDescent="0.25">
      <c r="C981" s="95"/>
      <c r="E981" s="97"/>
    </row>
    <row r="982" spans="3:5" ht="15.75" customHeight="1" x14ac:dyDescent="0.25">
      <c r="C982" s="95"/>
      <c r="E982" s="97"/>
    </row>
    <row r="983" spans="3:5" ht="15.75" customHeight="1" x14ac:dyDescent="0.25">
      <c r="C983" s="95"/>
      <c r="E983" s="97"/>
    </row>
    <row r="984" spans="3:5" ht="15.75" customHeight="1" x14ac:dyDescent="0.25">
      <c r="C984" s="95"/>
      <c r="E984" s="97"/>
    </row>
    <row r="985" spans="3:5" ht="15.75" customHeight="1" x14ac:dyDescent="0.25">
      <c r="C985" s="95"/>
      <c r="E985" s="97"/>
    </row>
    <row r="986" spans="3:5" ht="15.75" customHeight="1" x14ac:dyDescent="0.25">
      <c r="C986" s="95"/>
      <c r="E986" s="97"/>
    </row>
    <row r="987" spans="3:5" ht="15.75" customHeight="1" x14ac:dyDescent="0.25">
      <c r="C987" s="95"/>
      <c r="E987" s="97"/>
    </row>
    <row r="988" spans="3:5" ht="15.75" customHeight="1" x14ac:dyDescent="0.25">
      <c r="C988" s="95"/>
      <c r="E988" s="97"/>
    </row>
    <row r="989" spans="3:5" ht="15.75" customHeight="1" x14ac:dyDescent="0.25">
      <c r="C989" s="95"/>
      <c r="E989" s="97"/>
    </row>
    <row r="990" spans="3:5" ht="15.75" customHeight="1" x14ac:dyDescent="0.25">
      <c r="C990" s="95"/>
      <c r="E990" s="97"/>
    </row>
    <row r="991" spans="3:5" ht="15.75" customHeight="1" x14ac:dyDescent="0.25">
      <c r="C991" s="95"/>
      <c r="E991" s="97"/>
    </row>
    <row r="992" spans="3:5" ht="15.75" customHeight="1" x14ac:dyDescent="0.25">
      <c r="C992" s="95"/>
      <c r="E992" s="97"/>
    </row>
    <row r="993" spans="3:5" ht="15.75" customHeight="1" x14ac:dyDescent="0.25">
      <c r="C993" s="95"/>
      <c r="E993" s="97"/>
    </row>
    <row r="994" spans="3:5" ht="15.75" customHeight="1" x14ac:dyDescent="0.25">
      <c r="C994" s="95"/>
      <c r="E994" s="97"/>
    </row>
    <row r="995" spans="3:5" ht="15.75" customHeight="1" x14ac:dyDescent="0.25">
      <c r="C995" s="95"/>
      <c r="E995" s="97"/>
    </row>
    <row r="996" spans="3:5" ht="15.75" customHeight="1" x14ac:dyDescent="0.25">
      <c r="C996" s="95"/>
      <c r="E996" s="97"/>
    </row>
    <row r="997" spans="3:5" ht="15.75" customHeight="1" x14ac:dyDescent="0.25">
      <c r="C997" s="95"/>
      <c r="E997" s="97"/>
    </row>
    <row r="998" spans="3:5" ht="15.75" customHeight="1" x14ac:dyDescent="0.25">
      <c r="C998" s="95"/>
      <c r="E998" s="97"/>
    </row>
    <row r="999" spans="3:5" ht="15.75" customHeight="1" x14ac:dyDescent="0.25">
      <c r="C999" s="95"/>
      <c r="E999" s="97"/>
    </row>
    <row r="1000" spans="3:5" ht="15.75" customHeight="1" x14ac:dyDescent="0.25">
      <c r="C1000" s="95"/>
      <c r="E1000" s="97"/>
    </row>
    <row r="1001" spans="3:5" ht="15.75" customHeight="1" x14ac:dyDescent="0.25">
      <c r="C1001" s="95"/>
      <c r="E1001" s="97"/>
    </row>
    <row r="1002" spans="3:5" ht="15.75" customHeight="1" x14ac:dyDescent="0.25">
      <c r="C1002" s="95"/>
      <c r="E1002" s="97"/>
    </row>
    <row r="1003" spans="3:5" ht="15.75" customHeight="1" x14ac:dyDescent="0.25">
      <c r="C1003" s="95"/>
      <c r="E1003" s="97"/>
    </row>
    <row r="1004" spans="3:5" ht="15.75" customHeight="1" x14ac:dyDescent="0.25">
      <c r="C1004" s="95"/>
      <c r="E1004" s="97"/>
    </row>
    <row r="1005" spans="3:5" ht="15.75" customHeight="1" x14ac:dyDescent="0.25">
      <c r="C1005" s="95"/>
      <c r="E1005" s="97"/>
    </row>
    <row r="1006" spans="3:5" ht="15.75" customHeight="1" x14ac:dyDescent="0.25">
      <c r="C1006" s="95"/>
      <c r="E1006" s="97"/>
    </row>
    <row r="1007" spans="3:5" ht="15.75" customHeight="1" x14ac:dyDescent="0.25">
      <c r="C1007" s="95"/>
      <c r="E1007" s="97"/>
    </row>
    <row r="1008" spans="3:5" ht="15.75" customHeight="1" x14ac:dyDescent="0.25">
      <c r="C1008" s="95"/>
      <c r="E1008" s="97"/>
    </row>
    <row r="1009" spans="3:5" ht="15.75" customHeight="1" x14ac:dyDescent="0.25">
      <c r="C1009" s="95"/>
      <c r="E1009" s="97"/>
    </row>
    <row r="1010" spans="3:5" ht="15.75" customHeight="1" x14ac:dyDescent="0.25">
      <c r="C1010" s="95"/>
      <c r="E1010" s="97"/>
    </row>
    <row r="1011" spans="3:5" ht="15.75" customHeight="1" x14ac:dyDescent="0.25">
      <c r="C1011" s="95"/>
      <c r="E1011" s="97"/>
    </row>
    <row r="1012" spans="3:5" ht="15.75" customHeight="1" x14ac:dyDescent="0.25">
      <c r="C1012" s="95"/>
      <c r="E1012" s="97"/>
    </row>
    <row r="1013" spans="3:5" ht="15.75" customHeight="1" x14ac:dyDescent="0.25">
      <c r="C1013" s="95"/>
      <c r="E1013" s="97"/>
    </row>
    <row r="1014" spans="3:5" ht="15.75" customHeight="1" x14ac:dyDescent="0.25">
      <c r="C1014" s="95"/>
      <c r="E1014" s="97"/>
    </row>
    <row r="1015" spans="3:5" ht="15.75" customHeight="1" x14ac:dyDescent="0.25">
      <c r="C1015" s="95"/>
      <c r="E1015" s="97"/>
    </row>
    <row r="1016" spans="3:5" ht="15.75" customHeight="1" x14ac:dyDescent="0.25">
      <c r="C1016" s="95"/>
      <c r="E1016" s="97"/>
    </row>
    <row r="1017" spans="3:5" ht="15.75" customHeight="1" x14ac:dyDescent="0.25">
      <c r="C1017" s="95"/>
      <c r="E1017" s="97"/>
    </row>
    <row r="1018" spans="3:5" ht="15.75" customHeight="1" x14ac:dyDescent="0.25">
      <c r="C1018" s="95"/>
      <c r="E1018" s="97"/>
    </row>
    <row r="1019" spans="3:5" ht="15.75" customHeight="1" x14ac:dyDescent="0.25">
      <c r="C1019" s="95"/>
      <c r="E1019" s="97"/>
    </row>
    <row r="1020" spans="3:5" ht="15.75" customHeight="1" x14ac:dyDescent="0.25">
      <c r="C1020" s="95"/>
      <c r="E1020" s="97"/>
    </row>
    <row r="1021" spans="3:5" ht="15.75" customHeight="1" x14ac:dyDescent="0.25">
      <c r="C1021" s="95"/>
      <c r="E1021" s="97"/>
    </row>
    <row r="1022" spans="3:5" ht="15.75" customHeight="1" x14ac:dyDescent="0.25">
      <c r="C1022" s="95"/>
      <c r="E1022" s="97"/>
    </row>
    <row r="1023" spans="3:5" ht="15.75" customHeight="1" x14ac:dyDescent="0.25">
      <c r="C1023" s="95"/>
      <c r="E1023" s="97"/>
    </row>
    <row r="1024" spans="3:5" ht="15.75" customHeight="1" x14ac:dyDescent="0.25">
      <c r="C1024" s="95"/>
      <c r="E1024" s="97"/>
    </row>
    <row r="1025" spans="3:5" ht="15.75" customHeight="1" x14ac:dyDescent="0.25">
      <c r="C1025" s="95"/>
      <c r="E1025" s="97"/>
    </row>
    <row r="1026" spans="3:5" ht="15.75" customHeight="1" x14ac:dyDescent="0.25">
      <c r="C1026" s="95"/>
      <c r="E1026" s="97"/>
    </row>
    <row r="1027" spans="3:5" ht="15.75" customHeight="1" x14ac:dyDescent="0.25">
      <c r="C1027" s="95"/>
      <c r="E1027" s="97"/>
    </row>
    <row r="1028" spans="3:5" ht="15.75" customHeight="1" x14ac:dyDescent="0.25">
      <c r="C1028" s="95"/>
      <c r="E1028" s="97"/>
    </row>
    <row r="1029" spans="3:5" ht="15.75" customHeight="1" x14ac:dyDescent="0.25">
      <c r="C1029" s="95"/>
      <c r="E1029" s="97"/>
    </row>
    <row r="1030" spans="3:5" ht="15.75" customHeight="1" x14ac:dyDescent="0.25">
      <c r="C1030" s="95"/>
      <c r="E1030" s="97"/>
    </row>
    <row r="1031" spans="3:5" ht="15.75" customHeight="1" x14ac:dyDescent="0.25">
      <c r="C1031" s="95"/>
      <c r="E1031" s="97"/>
    </row>
    <row r="1032" spans="3:5" ht="15.75" customHeight="1" x14ac:dyDescent="0.25">
      <c r="C1032" s="95"/>
      <c r="E1032" s="97"/>
    </row>
    <row r="1033" spans="3:5" ht="15.75" customHeight="1" x14ac:dyDescent="0.25">
      <c r="C1033" s="95"/>
      <c r="E1033" s="97"/>
    </row>
    <row r="1034" spans="3:5" ht="15.75" customHeight="1" x14ac:dyDescent="0.25">
      <c r="C1034" s="95"/>
      <c r="E1034" s="97"/>
    </row>
    <row r="1035" spans="3:5" ht="15.75" customHeight="1" x14ac:dyDescent="0.25">
      <c r="C1035" s="95"/>
      <c r="E1035" s="97"/>
    </row>
    <row r="1036" spans="3:5" ht="15.75" customHeight="1" x14ac:dyDescent="0.25">
      <c r="C1036" s="95"/>
      <c r="E1036" s="97"/>
    </row>
    <row r="1037" spans="3:5" ht="15.75" customHeight="1" x14ac:dyDescent="0.25">
      <c r="C1037" s="95"/>
      <c r="E1037" s="97"/>
    </row>
    <row r="1038" spans="3:5" ht="15.75" customHeight="1" x14ac:dyDescent="0.25">
      <c r="C1038" s="95"/>
      <c r="E1038" s="97"/>
    </row>
    <row r="1039" spans="3:5" ht="15.75" customHeight="1" x14ac:dyDescent="0.25">
      <c r="C1039" s="95"/>
      <c r="E1039" s="97"/>
    </row>
    <row r="1040" spans="3:5" ht="15.75" customHeight="1" x14ac:dyDescent="0.25">
      <c r="C1040" s="95"/>
      <c r="E1040" s="97"/>
    </row>
    <row r="1041" spans="3:5" ht="15.75" customHeight="1" x14ac:dyDescent="0.25">
      <c r="C1041" s="95"/>
      <c r="E1041" s="97"/>
    </row>
    <row r="1042" spans="3:5" ht="15.75" customHeight="1" x14ac:dyDescent="0.25">
      <c r="C1042" s="95"/>
      <c r="E1042" s="97"/>
    </row>
    <row r="1043" spans="3:5" ht="15.75" customHeight="1" x14ac:dyDescent="0.25">
      <c r="C1043" s="95"/>
      <c r="E1043" s="97"/>
    </row>
    <row r="1044" spans="3:5" ht="15.75" customHeight="1" x14ac:dyDescent="0.25">
      <c r="C1044" s="95"/>
      <c r="E1044" s="97"/>
    </row>
    <row r="1045" spans="3:5" ht="15.75" customHeight="1" x14ac:dyDescent="0.25">
      <c r="C1045" s="95"/>
      <c r="E1045" s="97"/>
    </row>
    <row r="1046" spans="3:5" ht="15.75" customHeight="1" x14ac:dyDescent="0.25">
      <c r="C1046" s="95"/>
      <c r="E1046" s="97"/>
    </row>
    <row r="1047" spans="3:5" ht="15.75" customHeight="1" x14ac:dyDescent="0.25">
      <c r="C1047" s="95"/>
      <c r="E1047" s="97"/>
    </row>
    <row r="1048" spans="3:5" ht="15.75" customHeight="1" x14ac:dyDescent="0.25">
      <c r="C1048" s="95"/>
      <c r="E1048" s="97"/>
    </row>
    <row r="1049" spans="3:5" ht="15.75" customHeight="1" x14ac:dyDescent="0.25">
      <c r="C1049" s="95"/>
      <c r="E1049" s="97"/>
    </row>
    <row r="1050" spans="3:5" ht="15.75" customHeight="1" x14ac:dyDescent="0.25">
      <c r="C1050" s="95"/>
      <c r="E1050" s="97"/>
    </row>
    <row r="1051" spans="3:5" ht="15.75" customHeight="1" x14ac:dyDescent="0.25">
      <c r="C1051" s="95"/>
      <c r="E1051" s="97"/>
    </row>
    <row r="1052" spans="3:5" ht="15.75" customHeight="1" x14ac:dyDescent="0.25">
      <c r="C1052" s="95"/>
      <c r="E1052" s="97"/>
    </row>
    <row r="1053" spans="3:5" ht="15.75" customHeight="1" x14ac:dyDescent="0.25">
      <c r="C1053" s="95"/>
      <c r="E1053" s="97"/>
    </row>
    <row r="1054" spans="3:5" ht="15.75" customHeight="1" x14ac:dyDescent="0.25">
      <c r="C1054" s="95"/>
      <c r="E1054" s="97"/>
    </row>
    <row r="1055" spans="3:5" ht="15.75" customHeight="1" x14ac:dyDescent="0.25">
      <c r="C1055" s="95"/>
      <c r="E1055" s="97"/>
    </row>
    <row r="1056" spans="3:5" ht="15.75" customHeight="1" x14ac:dyDescent="0.25">
      <c r="C1056" s="95"/>
      <c r="E1056" s="97"/>
    </row>
    <row r="1057" spans="3:5" ht="15.75" customHeight="1" x14ac:dyDescent="0.25">
      <c r="C1057" s="95"/>
      <c r="E1057" s="97"/>
    </row>
    <row r="1058" spans="3:5" ht="15.75" customHeight="1" x14ac:dyDescent="0.25">
      <c r="C1058" s="95"/>
      <c r="E1058" s="97"/>
    </row>
    <row r="1059" spans="3:5" ht="15.75" customHeight="1" x14ac:dyDescent="0.25">
      <c r="C1059" s="95"/>
      <c r="E1059" s="97"/>
    </row>
    <row r="1060" spans="3:5" ht="15.75" customHeight="1" x14ac:dyDescent="0.25">
      <c r="C1060" s="95"/>
      <c r="E1060" s="97"/>
    </row>
    <row r="1061" spans="3:5" ht="15.75" customHeight="1" x14ac:dyDescent="0.25">
      <c r="C1061" s="95"/>
      <c r="E1061" s="97"/>
    </row>
    <row r="1062" spans="3:5" ht="15.75" customHeight="1" x14ac:dyDescent="0.25">
      <c r="C1062" s="95"/>
      <c r="E1062" s="97"/>
    </row>
    <row r="1063" spans="3:5" ht="15.75" customHeight="1" x14ac:dyDescent="0.25">
      <c r="C1063" s="95"/>
      <c r="E1063" s="97"/>
    </row>
    <row r="1064" spans="3:5" ht="15.75" customHeight="1" x14ac:dyDescent="0.25">
      <c r="C1064" s="95"/>
      <c r="E1064" s="97"/>
    </row>
    <row r="1065" spans="3:5" ht="15.75" customHeight="1" x14ac:dyDescent="0.25">
      <c r="C1065" s="95"/>
      <c r="E1065" s="97"/>
    </row>
    <row r="1066" spans="3:5" ht="15.75" customHeight="1" x14ac:dyDescent="0.25">
      <c r="C1066" s="95"/>
      <c r="E1066" s="97"/>
    </row>
    <row r="1067" spans="3:5" ht="15.75" customHeight="1" x14ac:dyDescent="0.25">
      <c r="C1067" s="95"/>
      <c r="E1067" s="97"/>
    </row>
    <row r="1068" spans="3:5" ht="15.75" customHeight="1" x14ac:dyDescent="0.25">
      <c r="C1068" s="95"/>
      <c r="E1068" s="97"/>
    </row>
    <row r="1069" spans="3:5" ht="15.75" customHeight="1" x14ac:dyDescent="0.25">
      <c r="C1069" s="95"/>
      <c r="E1069" s="97"/>
    </row>
    <row r="1070" spans="3:5" ht="15.75" customHeight="1" x14ac:dyDescent="0.25">
      <c r="C1070" s="95"/>
      <c r="E1070" s="97"/>
    </row>
    <row r="1071" spans="3:5" ht="15.75" customHeight="1" x14ac:dyDescent="0.25">
      <c r="C1071" s="95"/>
      <c r="E1071" s="97"/>
    </row>
    <row r="1072" spans="3:5" ht="15.75" customHeight="1" x14ac:dyDescent="0.25">
      <c r="C1072" s="95"/>
      <c r="E1072" s="97"/>
    </row>
    <row r="1073" spans="3:5" ht="15.75" customHeight="1" x14ac:dyDescent="0.25">
      <c r="C1073" s="95"/>
      <c r="E1073" s="97"/>
    </row>
    <row r="1074" spans="3:5" ht="15.75" customHeight="1" x14ac:dyDescent="0.25">
      <c r="C1074" s="95"/>
      <c r="E1074" s="97"/>
    </row>
    <row r="1075" spans="3:5" ht="15.75" customHeight="1" x14ac:dyDescent="0.25">
      <c r="C1075" s="95"/>
      <c r="E1075" s="97"/>
    </row>
    <row r="1076" spans="3:5" ht="15.75" customHeight="1" x14ac:dyDescent="0.25">
      <c r="C1076" s="95"/>
      <c r="E1076" s="97"/>
    </row>
    <row r="1077" spans="3:5" ht="15.75" customHeight="1" x14ac:dyDescent="0.25">
      <c r="C1077" s="95"/>
      <c r="E1077" s="97"/>
    </row>
    <row r="1078" spans="3:5" ht="15.75" customHeight="1" x14ac:dyDescent="0.25">
      <c r="C1078" s="95"/>
      <c r="E1078" s="97"/>
    </row>
    <row r="1079" spans="3:5" ht="15.75" customHeight="1" x14ac:dyDescent="0.25">
      <c r="C1079" s="95"/>
      <c r="E1079" s="97"/>
    </row>
    <row r="1080" spans="3:5" ht="15.75" customHeight="1" x14ac:dyDescent="0.25">
      <c r="C1080" s="95"/>
      <c r="E1080" s="97"/>
    </row>
    <row r="1081" spans="3:5" ht="15.75" customHeight="1" x14ac:dyDescent="0.25">
      <c r="C1081" s="95"/>
      <c r="E1081" s="97"/>
    </row>
    <row r="1082" spans="3:5" ht="15.75" customHeight="1" x14ac:dyDescent="0.25">
      <c r="C1082" s="95"/>
      <c r="E1082" s="97"/>
    </row>
    <row r="1083" spans="3:5" ht="15.75" customHeight="1" x14ac:dyDescent="0.25">
      <c r="C1083" s="95"/>
      <c r="E1083" s="97"/>
    </row>
    <row r="1084" spans="3:5" ht="15.75" customHeight="1" x14ac:dyDescent="0.25">
      <c r="C1084" s="95"/>
      <c r="E1084" s="97"/>
    </row>
    <row r="1085" spans="3:5" ht="15.75" customHeight="1" x14ac:dyDescent="0.25">
      <c r="C1085" s="95"/>
      <c r="E1085" s="97"/>
    </row>
    <row r="1086" spans="3:5" ht="15.75" customHeight="1" x14ac:dyDescent="0.25">
      <c r="C1086" s="95"/>
      <c r="E1086" s="97"/>
    </row>
    <row r="1087" spans="3:5" ht="15.75" customHeight="1" x14ac:dyDescent="0.25">
      <c r="C1087" s="95"/>
      <c r="E1087" s="97"/>
    </row>
  </sheetData>
  <mergeCells count="49">
    <mergeCell ref="F17:F31"/>
    <mergeCell ref="F11:F16"/>
    <mergeCell ref="F32:F42"/>
    <mergeCell ref="F43:F45"/>
    <mergeCell ref="F46:F59"/>
    <mergeCell ref="F63:F78"/>
    <mergeCell ref="F85:F87"/>
    <mergeCell ref="F91:F92"/>
    <mergeCell ref="F95:F104"/>
    <mergeCell ref="F105:F119"/>
    <mergeCell ref="F120:F128"/>
    <mergeCell ref="F131:F132"/>
    <mergeCell ref="F135:F137"/>
    <mergeCell ref="F140:F143"/>
    <mergeCell ref="F79:F81"/>
    <mergeCell ref="H180:T180"/>
    <mergeCell ref="H183:T183"/>
    <mergeCell ref="H184:T184"/>
    <mergeCell ref="J167:T167"/>
    <mergeCell ref="J168:T168"/>
    <mergeCell ref="J169:T169"/>
    <mergeCell ref="J170:T170"/>
    <mergeCell ref="I173:N173"/>
    <mergeCell ref="Q173:T173"/>
    <mergeCell ref="I176:N176"/>
    <mergeCell ref="Q176:T176"/>
    <mergeCell ref="I177:N177"/>
    <mergeCell ref="Q177:T177"/>
    <mergeCell ref="B164:I164"/>
    <mergeCell ref="C166:E166"/>
    <mergeCell ref="C167:E167"/>
    <mergeCell ref="H167:I167"/>
    <mergeCell ref="C168:E168"/>
    <mergeCell ref="C169:E169"/>
    <mergeCell ref="C173:E173"/>
    <mergeCell ref="A176:B176"/>
    <mergeCell ref="C176:F176"/>
    <mergeCell ref="A177:B177"/>
    <mergeCell ref="C177:F177"/>
    <mergeCell ref="A1:U1"/>
    <mergeCell ref="A2:U2"/>
    <mergeCell ref="A3:U3"/>
    <mergeCell ref="A8:A9"/>
    <mergeCell ref="B8:B9"/>
    <mergeCell ref="D8:D9"/>
    <mergeCell ref="E8:E9"/>
    <mergeCell ref="H8:U8"/>
    <mergeCell ref="F8:F9"/>
    <mergeCell ref="G8:G9"/>
  </mergeCells>
  <pageMargins left="1.4173228346456694" right="0.23622047244094491" top="0.35433070866141736" bottom="0.23622047244094491" header="0" footer="0"/>
  <pageSetup paperSize="5" scale="55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PPMP Sample 1 (2)</vt:lpstr>
      <vt:lpstr>'PPMP Sample 1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Ariel Andrade</cp:lastModifiedBy>
  <cp:lastPrinted>2024-02-05T01:10:06Z</cp:lastPrinted>
  <dcterms:created xsi:type="dcterms:W3CDTF">2024-01-03T07:55:13Z</dcterms:created>
  <dcterms:modified xsi:type="dcterms:W3CDTF">2024-02-06T05:59:59Z</dcterms:modified>
</cp:coreProperties>
</file>