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TRI\Downloads\"/>
    </mc:Choice>
  </mc:AlternateContent>
  <xr:revisionPtr revIDLastSave="0" documentId="13_ncr:1_{1A88A473-2E82-4E9A-BFAE-684AE4209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D65" i="1" s="1"/>
  <c r="F38" i="1"/>
  <c r="F36" i="1"/>
  <c r="F34" i="1"/>
  <c r="F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0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ID#AAABEI7QK6w
upmnih    (2021-04-08 04:25:07)
Prepared by: Project Staff/ Research Associate</t>
        </r>
      </text>
    </comment>
    <comment ref="A9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ID#AAABEI7QK6w
upmnih    (2021-04-08 04:25:07)
Prepared by: Project Staff/ Research Associate</t>
        </r>
      </text>
    </comment>
  </commentList>
</comments>
</file>

<file path=xl/sharedStrings.xml><?xml version="1.0" encoding="utf-8"?>
<sst xmlns="http://schemas.openxmlformats.org/spreadsheetml/2006/main" count="196" uniqueCount="156">
  <si>
    <t xml:space="preserve">  PROJECT PROCUREMENT MANAGEMENT PLAN (PPMP) 2024</t>
  </si>
  <si>
    <t>For the 1st Quarter of CY 2024</t>
  </si>
  <si>
    <t>END-USER/UNIT: RDD-CDABUS</t>
  </si>
  <si>
    <t>Charged to: Sustainable Textile for the Community-based Philippine Footwear Industry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</si>
  <si>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</si>
  <si>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</si>
  <si>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</si>
  <si>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</si>
  <si>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</si>
  <si>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</si>
  <si>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</si>
  <si>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</si>
  <si>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</si>
  <si>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</si>
  <si>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</si>
  <si>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</si>
  <si>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</si>
  <si>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</si>
  <si>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</si>
  <si>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</si>
  <si>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</si>
  <si>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</si>
  <si>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</si>
  <si>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</si>
  <si>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</si>
  <si>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</si>
  <si>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</si>
  <si>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</si>
  <si>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</si>
  <si>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</si>
  <si>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</si>
  <si>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</si>
  <si>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</si>
  <si>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</si>
  <si>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</si>
  <si>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</si>
  <si>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</si>
  <si>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</si>
  <si>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</si>
  <si>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</si>
  <si>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</si>
  <si>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</si>
  <si>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</si>
  <si>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</si>
  <si>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</si>
  <si>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</si>
  <si>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</si>
  <si>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</si>
  <si>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</si>
  <si>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</si>
  <si>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</si>
  <si>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</si>
  <si>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</si>
  <si>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</si>
  <si>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</si>
  <si>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</si>
  <si>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</si>
  <si>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</si>
  <si>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</si>
  <si>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</si>
  <si>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</si>
  <si>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</si>
  <si>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</si>
  <si>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</si>
  <si>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</si>
  <si>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</si>
  <si>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</si>
  <si>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</si>
  <si>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</si>
  <si>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</si>
  <si>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</si>
  <si>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</si>
  <si>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</si>
  <si>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</si>
  <si>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</si>
  <si>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</si>
  <si>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</si>
  <si>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</t>
  </si>
  <si>
    <t>Repair and Maintenance of Ring Spinning Machine</t>
  </si>
  <si>
    <t>1 lot</t>
  </si>
  <si>
    <t>Negotiated Procurement-Small Value Procurement/Direct Contracting</t>
  </si>
  <si>
    <t>Representation Expenses</t>
  </si>
  <si>
    <t>Meals of Weavers for SAFATOS Launch</t>
  </si>
  <si>
    <t>Venue for Program Launch (200 pax, with lights and sounds)</t>
  </si>
  <si>
    <t>Travel Expenses-Local Travel</t>
  </si>
  <si>
    <t>Airfare of Weavers from Visayas for SAFATOS Launch</t>
  </si>
  <si>
    <t>Accomodation Expenses of Weavers for SAFATOS Launch</t>
  </si>
  <si>
    <t>Land Transport Expenses of Weavers for SAFATOS Launch</t>
  </si>
  <si>
    <t>Office Supplies Expenses</t>
  </si>
  <si>
    <t>Corkboard with 1 box/50pc push pin</t>
  </si>
  <si>
    <t>Shopping</t>
  </si>
  <si>
    <t>Certificate Holder, A4 size (20 pieces)</t>
  </si>
  <si>
    <t>Certificate Holder, Legal Size (20 pieces)</t>
  </si>
  <si>
    <t>Laboratory Supplies</t>
  </si>
  <si>
    <t>Sodium Hydroxide, 48% Concentration, Technical Grade, 30kgs/cby</t>
  </si>
  <si>
    <t>20 cby</t>
  </si>
  <si>
    <t>Ferrous Sulphate, Technical Grade, 1kg/pack</t>
  </si>
  <si>
    <t>50 packs/bag</t>
  </si>
  <si>
    <t>Ziplock bag, transparent, 8 cm x 12cm, 100 pcs/pack</t>
  </si>
  <si>
    <t>20 packs</t>
  </si>
  <si>
    <t>Ziplock bag, transparent, 14 cm x 20 cm, 100 pcs/pack</t>
  </si>
  <si>
    <t>10 packs</t>
  </si>
  <si>
    <t>Silent type Oil-free Air Compressor</t>
  </si>
  <si>
    <t>Air Compressor Hose Tube</t>
  </si>
  <si>
    <t>Pneumatic Air Spray Paint Gun</t>
  </si>
  <si>
    <t>Laboratory Gown</t>
  </si>
  <si>
    <t>10 pcs</t>
  </si>
  <si>
    <t>Laboratory Shoes</t>
  </si>
  <si>
    <t>10 pairs</t>
  </si>
  <si>
    <t>Waterproof Electronic Digital Thermometer</t>
  </si>
  <si>
    <t>5 pcs</t>
  </si>
  <si>
    <t>Glass Laboratory Thermometer</t>
  </si>
  <si>
    <t>Other Office Supplies and Materials</t>
  </si>
  <si>
    <t>Multiport Adapter (w/ HDMI, USB A, USB C, SD Card Reader, etc.)</t>
  </si>
  <si>
    <t>5 pieces</t>
  </si>
  <si>
    <t>Memory cards (SD and micro SD 128-256 GB)</t>
  </si>
  <si>
    <t xml:space="preserve">HDMI Cables to USB-C </t>
  </si>
  <si>
    <t>Coconut Coir Twine</t>
  </si>
  <si>
    <t>50 kgs</t>
  </si>
  <si>
    <t>Prototyping of Streetwear Shoes</t>
  </si>
  <si>
    <t>Prototyping of Uniform Shoes</t>
  </si>
  <si>
    <t>Professional Services</t>
  </si>
  <si>
    <t>Life Cycle Analysis Development Services</t>
  </si>
  <si>
    <t>Negotiated Procurement-Small Value Procurement / Direct Contracting</t>
  </si>
  <si>
    <t>Subscription Expenses</t>
  </si>
  <si>
    <t>Subscription to Adobe Creative Cloud</t>
  </si>
  <si>
    <t>Testing Services Fees</t>
  </si>
  <si>
    <t>Shoe Delamination Resistance Test</t>
  </si>
  <si>
    <t>Fabric Color Migration Test</t>
  </si>
  <si>
    <t>Fabric Water Resistance Test</t>
  </si>
  <si>
    <t>Textile Processing Services Fees</t>
  </si>
  <si>
    <t>Nonwoven Needle Punched</t>
  </si>
  <si>
    <t>Shoe Prototyping Services (Fashion)</t>
  </si>
  <si>
    <t>Shoe Prototyping Services (Casual)</t>
  </si>
  <si>
    <t>Shoe Design Services</t>
  </si>
  <si>
    <t>Weaving Services</t>
  </si>
  <si>
    <t>Negotiated Procurement-Small Value Procurement</t>
  </si>
  <si>
    <t>Fabric Finishing Services</t>
  </si>
  <si>
    <t>Yarn Finishing Services</t>
  </si>
  <si>
    <t>Weaving Yarns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</si>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</sst>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12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b/>
      <u/>
      <sz val="12"/>
      <color theme="1"/>
      <name val="Arial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4" fillId="0" borderId="1" xfId="0" applyFont="1" applyBorder="1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164" fontId="5" fillId="0" borderId="4" xfId="0" applyNumberFormat="1" applyFont="1" applyBorder="1" applyAlignment="1">
      <alignment horizontal="center" wrapText="1"/>
    </xf>
    <xf numFmtId="0" fontId="2" fillId="0" borderId="5" xfId="0" applyFont="1" applyBorder="1"/>
    <xf numFmtId="164" fontId="5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8" xfId="0" quotePrefix="1" applyFont="1" applyBorder="1" applyAlignment="1">
      <alignment horizontal="center" wrapText="1"/>
    </xf>
    <xf numFmtId="0" fontId="5" fillId="0" borderId="4" xfId="0" quotePrefix="1" applyFont="1" applyBorder="1" applyAlignment="1">
      <alignment horizontal="center" wrapText="1"/>
    </xf>
    <xf numFmtId="4" fontId="5" fillId="0" borderId="4" xfId="0" quotePrefix="1" applyNumberFormat="1" applyFont="1" applyBorder="1" applyAlignment="1">
      <alignment horizontal="center" wrapText="1"/>
    </xf>
    <xf numFmtId="164" fontId="5" fillId="0" borderId="4" xfId="0" quotePrefix="1" applyNumberFormat="1" applyFont="1" applyBorder="1" applyAlignment="1">
      <alignment horizontal="center" wrapText="1"/>
    </xf>
    <xf numFmtId="0" fontId="5" fillId="0" borderId="9" xfId="0" quotePrefix="1" applyFont="1" applyBorder="1" applyAlignment="1">
      <alignment horizontal="center" wrapText="1"/>
    </xf>
    <xf numFmtId="0" fontId="5" fillId="0" borderId="5" xfId="0" quotePrefix="1" applyFont="1" applyBorder="1" applyAlignment="1">
      <alignment horizontal="center" wrapText="1"/>
    </xf>
    <xf numFmtId="0" fontId="2" fillId="2" borderId="8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 wrapText="1"/>
    </xf>
    <xf numFmtId="4" fontId="2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49" fontId="5" fillId="2" borderId="4" xfId="0" applyNumberFormat="1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right" vertical="center" wrapText="1"/>
    </xf>
    <xf numFmtId="164" fontId="7" fillId="3" borderId="4" xfId="0" applyNumberFormat="1" applyFont="1" applyFill="1" applyBorder="1" applyAlignment="1">
      <alignment horizontal="right" vertical="center" wrapText="1"/>
    </xf>
    <xf numFmtId="4" fontId="7" fillId="3" borderId="4" xfId="0" applyNumberFormat="1" applyFont="1" applyFill="1" applyBorder="1" applyAlignment="1">
      <alignment horizontal="right" vertical="center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/>
    </xf>
    <xf numFmtId="3" fontId="7" fillId="3" borderId="4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vertical="center"/>
    </xf>
    <xf numFmtId="3" fontId="7" fillId="3" borderId="4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right" vertical="center"/>
    </xf>
    <xf numFmtId="164" fontId="7" fillId="3" borderId="4" xfId="0" applyNumberFormat="1" applyFont="1" applyFill="1" applyBorder="1" applyAlignment="1">
      <alignment horizontal="right" vertical="center"/>
    </xf>
    <xf numFmtId="3" fontId="2" fillId="0" borderId="4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7" fillId="3" borderId="4" xfId="0" applyNumberFormat="1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165" fontId="2" fillId="0" borderId="0" xfId="0" applyNumberFormat="1" applyFont="1"/>
    <xf numFmtId="0" fontId="2" fillId="0" borderId="10" xfId="0" applyFont="1" applyBorder="1"/>
    <xf numFmtId="0" fontId="2" fillId="3" borderId="4" xfId="0" applyFont="1" applyFill="1" applyBorder="1"/>
    <xf numFmtId="0" fontId="2" fillId="3" borderId="12" xfId="0" applyFont="1" applyFill="1" applyBorder="1"/>
    <xf numFmtId="0" fontId="2" fillId="3" borderId="0" xfId="0" applyFont="1" applyFill="1"/>
    <xf numFmtId="0" fontId="8" fillId="0" borderId="0" xfId="0" applyFont="1"/>
    <xf numFmtId="0" fontId="9" fillId="0" borderId="0" xfId="0" applyFont="1"/>
    <xf numFmtId="0" fontId="1" fillId="0" borderId="0" xfId="0" applyFont="1"/>
    <xf numFmtId="0" fontId="11" fillId="0" borderId="0" xfId="0" applyFont="1"/>
    <xf numFmtId="0" fontId="2" fillId="0" borderId="4" xfId="0" applyFont="1" applyBorder="1"/>
    <xf numFmtId="0" fontId="2" fillId="0" borderId="12" xfId="0" applyFont="1" applyBorder="1"/>
    <xf numFmtId="0" fontId="2" fillId="0" borderId="7" xfId="0" applyFont="1" applyBorder="1"/>
    <xf numFmtId="0" fontId="5" fillId="0" borderId="3" xfId="0" applyFont="1" applyBorder="1" applyAlignment="1">
      <alignment horizontal="center" wrapText="1"/>
    </xf>
    <xf numFmtId="0" fontId="6" fillId="0" borderId="5" xfId="0" applyFont="1" applyBorder="1"/>
    <xf numFmtId="0" fontId="5" fillId="0" borderId="1" xfId="0" applyFont="1" applyBorder="1" applyAlignment="1">
      <alignment horizontal="center" wrapText="1"/>
    </xf>
    <xf numFmtId="0" fontId="6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2" xfId="0" applyFont="1" applyBorder="1" applyAlignment="1">
      <alignment horizontal="center" wrapText="1"/>
    </xf>
    <xf numFmtId="0" fontId="6" fillId="0" borderId="6" xfId="0" applyFont="1" applyBorder="1"/>
    <xf numFmtId="4" fontId="5" fillId="0" borderId="3" xfId="0" applyNumberFormat="1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4" xfId="0" applyFont="1" applyBorder="1"/>
    <xf numFmtId="0" fontId="7" fillId="3" borderId="10" xfId="0" applyFont="1" applyFill="1" applyBorder="1" applyAlignment="1">
      <alignment horizontal="center" vertical="center" wrapText="1"/>
    </xf>
    <xf numFmtId="4" fontId="7" fillId="3" borderId="10" xfId="0" applyNumberFormat="1" applyFont="1" applyFill="1" applyBorder="1" applyAlignment="1">
      <alignment horizontal="right" vertical="center" wrapText="1"/>
    </xf>
    <xf numFmtId="164" fontId="7" fillId="3" borderId="10" xfId="0" applyNumberFormat="1" applyFont="1" applyFill="1" applyBorder="1" applyAlignment="1">
      <alignment horizontal="right" vertical="center" wrapText="1"/>
    </xf>
    <xf numFmtId="0" fontId="7" fillId="3" borderId="10" xfId="0" applyFon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right"/>
    </xf>
    <xf numFmtId="0" fontId="6" fillId="0" borderId="12" xfId="0" applyFont="1" applyBorder="1"/>
    <xf numFmtId="0" fontId="10" fillId="0" borderId="12" xfId="0" applyFont="1" applyBorder="1"/>
    <xf numFmtId="0" fontId="11" fillId="0" borderId="12" xfId="0" applyFont="1" applyBorder="1"/>
    <xf numFmtId="49" fontId="7" fillId="3" borderId="10" xfId="0" applyNumberFormat="1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62"/>
  <sheetViews>
    <sheetView tabSelected="1" topLeftCell="A10" zoomScale="70" zoomScaleNormal="70" workbookViewId="0">
      <selection activeCell="K33" sqref="K33"/>
    </sheetView>
  </sheetViews>
  <sheetFormatPr defaultColWidth="12.6640625" defaultRowHeight="15.75" customHeight="1" x14ac:dyDescent="0.25"/>
  <cols>
    <col min="3" max="3" width="73.21875" customWidth="1"/>
    <col min="7" max="7" width="23.77734375" customWidth="1"/>
  </cols>
  <sheetData>
    <row r="1" spans="1:38" ht="15.75" customHeight="1" x14ac:dyDescent="0.3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1"/>
      <c r="AK1" s="1"/>
      <c r="AL1" s="1"/>
    </row>
    <row r="2" spans="1:38" x14ac:dyDescent="0.25">
      <c r="A2" s="81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1"/>
      <c r="AK2" s="1"/>
      <c r="AL2" s="1"/>
    </row>
    <row r="3" spans="1:38" x14ac:dyDescent="0.25">
      <c r="A3" s="82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1"/>
      <c r="AK3" s="1"/>
      <c r="AL3" s="1"/>
    </row>
    <row r="4" spans="1:38" ht="15.75" customHeight="1" x14ac:dyDescent="0.3">
      <c r="A4" s="2" t="s">
        <v>2</v>
      </c>
      <c r="B4" s="1"/>
      <c r="C4" s="1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3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 x14ac:dyDescent="0.3">
      <c r="A6" s="2" t="s">
        <v>3</v>
      </c>
      <c r="B6" s="1"/>
      <c r="C6" s="1"/>
      <c r="D6" s="1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.75" customHeight="1" x14ac:dyDescent="0.3">
      <c r="A7" s="5" t="s">
        <v>4</v>
      </c>
      <c r="B7" s="6"/>
      <c r="C7" s="6"/>
      <c r="D7" s="6"/>
      <c r="E7" s="7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 x14ac:dyDescent="0.25">
      <c r="A8" s="83" t="s">
        <v>5</v>
      </c>
      <c r="B8" s="75" t="s">
        <v>6</v>
      </c>
      <c r="C8" s="85" t="s">
        <v>7</v>
      </c>
      <c r="D8" s="9" t="s">
        <v>8</v>
      </c>
      <c r="E8" s="85" t="s">
        <v>9</v>
      </c>
      <c r="F8" s="86" t="s">
        <v>10</v>
      </c>
      <c r="G8" s="75" t="s">
        <v>11</v>
      </c>
      <c r="H8" s="75" t="s">
        <v>12</v>
      </c>
      <c r="I8" s="77" t="s">
        <v>13</v>
      </c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6"/>
      <c r="AJ8" s="6"/>
      <c r="AK8" s="6"/>
      <c r="AL8" s="10"/>
    </row>
    <row r="9" spans="1:38" x14ac:dyDescent="0.25">
      <c r="A9" s="84"/>
      <c r="B9" s="76"/>
      <c r="C9" s="76"/>
      <c r="D9" s="11" t="s">
        <v>14</v>
      </c>
      <c r="E9" s="76"/>
      <c r="F9" s="76"/>
      <c r="G9" s="76"/>
      <c r="H9" s="76"/>
      <c r="I9" s="12" t="s">
        <v>15</v>
      </c>
      <c r="J9" s="12" t="s">
        <v>16</v>
      </c>
      <c r="K9" s="12" t="s">
        <v>17</v>
      </c>
      <c r="L9" s="13" t="s">
        <v>18</v>
      </c>
      <c r="M9" s="13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3" t="s">
        <v>28</v>
      </c>
      <c r="W9" s="13" t="s">
        <v>29</v>
      </c>
      <c r="X9" s="13" t="s">
        <v>30</v>
      </c>
      <c r="Y9" s="13" t="s">
        <v>31</v>
      </c>
      <c r="Z9" s="13" t="s">
        <v>32</v>
      </c>
      <c r="AA9" s="13" t="s">
        <v>33</v>
      </c>
      <c r="AB9" s="13" t="s">
        <v>34</v>
      </c>
      <c r="AC9" s="13" t="s">
        <v>35</v>
      </c>
      <c r="AD9" s="13" t="s">
        <v>36</v>
      </c>
      <c r="AE9" s="13" t="s">
        <v>37</v>
      </c>
      <c r="AF9" s="13" t="s">
        <v>38</v>
      </c>
      <c r="AG9" s="13" t="s">
        <v>39</v>
      </c>
      <c r="AH9" s="13" t="s">
        <v>40</v>
      </c>
      <c r="AI9" s="14" t="s">
        <v>41</v>
      </c>
      <c r="AJ9" s="15" t="s">
        <v>39</v>
      </c>
      <c r="AK9" s="15" t="s">
        <v>40</v>
      </c>
      <c r="AL9" s="15" t="s">
        <v>41</v>
      </c>
    </row>
    <row r="10" spans="1:38" x14ac:dyDescent="0.25">
      <c r="A10" s="16" t="s">
        <v>42</v>
      </c>
      <c r="B10" s="17" t="s">
        <v>43</v>
      </c>
      <c r="C10" s="18" t="s">
        <v>44</v>
      </c>
      <c r="D10" s="19" t="s">
        <v>45</v>
      </c>
      <c r="E10" s="18" t="s">
        <v>46</v>
      </c>
      <c r="F10" s="19" t="s">
        <v>47</v>
      </c>
      <c r="G10" s="17" t="s">
        <v>48</v>
      </c>
      <c r="H10" s="17" t="s">
        <v>49</v>
      </c>
      <c r="I10" s="17" t="s">
        <v>50</v>
      </c>
      <c r="J10" s="17" t="s">
        <v>51</v>
      </c>
      <c r="K10" s="17" t="s">
        <v>52</v>
      </c>
      <c r="L10" s="17" t="s">
        <v>53</v>
      </c>
      <c r="M10" s="17" t="s">
        <v>54</v>
      </c>
      <c r="N10" s="17" t="s">
        <v>55</v>
      </c>
      <c r="O10" s="17" t="s">
        <v>56</v>
      </c>
      <c r="P10" s="17" t="s">
        <v>57</v>
      </c>
      <c r="Q10" s="17" t="s">
        <v>58</v>
      </c>
      <c r="R10" s="17" t="s">
        <v>59</v>
      </c>
      <c r="S10" s="17" t="s">
        <v>60</v>
      </c>
      <c r="T10" s="17" t="s">
        <v>61</v>
      </c>
      <c r="U10" s="17" t="s">
        <v>62</v>
      </c>
      <c r="V10" s="17" t="s">
        <v>63</v>
      </c>
      <c r="W10" s="17" t="s">
        <v>64</v>
      </c>
      <c r="X10" s="17" t="s">
        <v>65</v>
      </c>
      <c r="Y10" s="17" t="s">
        <v>66</v>
      </c>
      <c r="Z10" s="17" t="s">
        <v>67</v>
      </c>
      <c r="AA10" s="17" t="s">
        <v>68</v>
      </c>
      <c r="AB10" s="17" t="s">
        <v>69</v>
      </c>
      <c r="AC10" s="17" t="s">
        <v>70</v>
      </c>
      <c r="AD10" s="17" t="s">
        <v>71</v>
      </c>
      <c r="AE10" s="17" t="s">
        <v>72</v>
      </c>
      <c r="AF10" s="17" t="s">
        <v>73</v>
      </c>
      <c r="AG10" s="17" t="s">
        <v>74</v>
      </c>
      <c r="AH10" s="17" t="s">
        <v>75</v>
      </c>
      <c r="AI10" s="20" t="s">
        <v>76</v>
      </c>
      <c r="AJ10" s="21" t="s">
        <v>74</v>
      </c>
      <c r="AK10" s="21" t="s">
        <v>75</v>
      </c>
      <c r="AL10" s="21" t="s">
        <v>76</v>
      </c>
    </row>
    <row r="11" spans="1:38" x14ac:dyDescent="0.25">
      <c r="A11" s="22"/>
      <c r="B11" s="23"/>
      <c r="C11" s="24" t="s">
        <v>77</v>
      </c>
      <c r="D11" s="23"/>
      <c r="E11" s="25"/>
      <c r="F11" s="26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7"/>
      <c r="AJ11" s="23"/>
      <c r="AK11" s="23"/>
      <c r="AL11" s="27"/>
    </row>
    <row r="12" spans="1:38" x14ac:dyDescent="0.25">
      <c r="A12" s="28"/>
      <c r="B12" s="29"/>
      <c r="C12" s="30" t="s">
        <v>78</v>
      </c>
      <c r="D12" s="31" t="s">
        <v>79</v>
      </c>
      <c r="E12" s="32">
        <v>50000</v>
      </c>
      <c r="F12" s="33">
        <v>50000</v>
      </c>
      <c r="G12" s="87" t="s">
        <v>80</v>
      </c>
      <c r="H12" s="34"/>
      <c r="I12" s="34"/>
      <c r="J12" s="35">
        <v>1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6"/>
    </row>
    <row r="13" spans="1:38" x14ac:dyDescent="0.25">
      <c r="A13" s="22"/>
      <c r="B13" s="37"/>
      <c r="C13" s="38" t="s">
        <v>81</v>
      </c>
      <c r="D13" s="23"/>
      <c r="E13" s="25"/>
      <c r="F13" s="26"/>
      <c r="G13" s="88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7"/>
    </row>
    <row r="14" spans="1:38" x14ac:dyDescent="0.25">
      <c r="A14" s="28"/>
      <c r="B14" s="29"/>
      <c r="C14" s="30" t="s">
        <v>82</v>
      </c>
      <c r="D14" s="31" t="s">
        <v>79</v>
      </c>
      <c r="E14" s="32">
        <v>50000</v>
      </c>
      <c r="F14" s="33">
        <v>50000</v>
      </c>
      <c r="G14" s="88"/>
      <c r="H14" s="34"/>
      <c r="I14" s="34"/>
      <c r="J14" s="34"/>
      <c r="K14" s="39">
        <v>1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6"/>
    </row>
    <row r="15" spans="1:38" x14ac:dyDescent="0.25">
      <c r="A15" s="28"/>
      <c r="B15" s="29"/>
      <c r="C15" s="30" t="s">
        <v>83</v>
      </c>
      <c r="D15" s="31" t="s">
        <v>79</v>
      </c>
      <c r="E15" s="32">
        <v>500000</v>
      </c>
      <c r="F15" s="33">
        <v>500000</v>
      </c>
      <c r="G15" s="88"/>
      <c r="H15" s="34"/>
      <c r="I15" s="34"/>
      <c r="J15" s="34"/>
      <c r="K15" s="39">
        <v>1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6"/>
    </row>
    <row r="16" spans="1:38" x14ac:dyDescent="0.25">
      <c r="A16" s="22"/>
      <c r="B16" s="37"/>
      <c r="C16" s="38" t="s">
        <v>84</v>
      </c>
      <c r="D16" s="23"/>
      <c r="E16" s="25"/>
      <c r="F16" s="26"/>
      <c r="G16" s="88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7"/>
    </row>
    <row r="17" spans="1:38" x14ac:dyDescent="0.25">
      <c r="A17" s="28"/>
      <c r="B17" s="29"/>
      <c r="C17" s="30" t="s">
        <v>85</v>
      </c>
      <c r="D17" s="31" t="s">
        <v>79</v>
      </c>
      <c r="E17" s="32">
        <v>60000</v>
      </c>
      <c r="F17" s="33">
        <v>60000</v>
      </c>
      <c r="G17" s="88"/>
      <c r="H17" s="34"/>
      <c r="I17" s="34"/>
      <c r="J17" s="34"/>
      <c r="K17" s="39">
        <v>1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6"/>
    </row>
    <row r="18" spans="1:38" x14ac:dyDescent="0.25">
      <c r="A18" s="28"/>
      <c r="B18" s="29"/>
      <c r="C18" s="40" t="s">
        <v>86</v>
      </c>
      <c r="D18" s="31" t="s">
        <v>79</v>
      </c>
      <c r="E18" s="32">
        <v>50000</v>
      </c>
      <c r="F18" s="33">
        <v>50000</v>
      </c>
      <c r="G18" s="88"/>
      <c r="H18" s="34"/>
      <c r="I18" s="34"/>
      <c r="J18" s="34"/>
      <c r="K18" s="39">
        <v>1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6"/>
    </row>
    <row r="19" spans="1:38" x14ac:dyDescent="0.25">
      <c r="A19" s="28"/>
      <c r="B19" s="29"/>
      <c r="C19" s="30" t="s">
        <v>87</v>
      </c>
      <c r="D19" s="31" t="s">
        <v>79</v>
      </c>
      <c r="E19" s="32">
        <v>30000</v>
      </c>
      <c r="F19" s="33">
        <v>30000</v>
      </c>
      <c r="G19" s="89"/>
      <c r="H19" s="34"/>
      <c r="I19" s="34"/>
      <c r="J19" s="34"/>
      <c r="K19" s="39">
        <v>1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6"/>
    </row>
    <row r="20" spans="1:38" x14ac:dyDescent="0.25">
      <c r="A20" s="22"/>
      <c r="B20" s="37"/>
      <c r="C20" s="38" t="s">
        <v>88</v>
      </c>
      <c r="D20" s="23"/>
      <c r="E20" s="25"/>
      <c r="F20" s="26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7"/>
    </row>
    <row r="21" spans="1:38" x14ac:dyDescent="0.25">
      <c r="A21" s="41"/>
      <c r="B21" s="42"/>
      <c r="C21" s="40" t="s">
        <v>89</v>
      </c>
      <c r="D21" s="90" t="s">
        <v>79</v>
      </c>
      <c r="E21" s="91">
        <v>20000</v>
      </c>
      <c r="F21" s="92">
        <v>20000</v>
      </c>
      <c r="G21" s="90" t="s">
        <v>90</v>
      </c>
      <c r="H21" s="34"/>
      <c r="I21" s="34"/>
      <c r="J21" s="93">
        <v>1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6"/>
    </row>
    <row r="22" spans="1:38" x14ac:dyDescent="0.25">
      <c r="A22" s="41"/>
      <c r="B22" s="42"/>
      <c r="C22" s="40" t="s">
        <v>91</v>
      </c>
      <c r="D22" s="88"/>
      <c r="E22" s="88"/>
      <c r="F22" s="88"/>
      <c r="G22" s="88"/>
      <c r="H22" s="34"/>
      <c r="I22" s="34"/>
      <c r="J22" s="88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6"/>
    </row>
    <row r="23" spans="1:38" x14ac:dyDescent="0.25">
      <c r="A23" s="41"/>
      <c r="B23" s="42"/>
      <c r="C23" s="40" t="s">
        <v>92</v>
      </c>
      <c r="D23" s="89"/>
      <c r="E23" s="89"/>
      <c r="F23" s="89"/>
      <c r="G23" s="89"/>
      <c r="H23" s="34"/>
      <c r="I23" s="34"/>
      <c r="J23" s="89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6"/>
    </row>
    <row r="24" spans="1:38" x14ac:dyDescent="0.25">
      <c r="A24" s="22"/>
      <c r="B24" s="37"/>
      <c r="C24" s="38" t="s">
        <v>93</v>
      </c>
      <c r="D24" s="23"/>
      <c r="E24" s="25"/>
      <c r="F24" s="26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7"/>
    </row>
    <row r="25" spans="1:38" x14ac:dyDescent="0.25">
      <c r="A25" s="41"/>
      <c r="B25" s="42"/>
      <c r="C25" s="40" t="s">
        <v>94</v>
      </c>
      <c r="D25" s="44" t="s">
        <v>95</v>
      </c>
      <c r="E25" s="45">
        <v>2100</v>
      </c>
      <c r="F25" s="46">
        <v>42000</v>
      </c>
      <c r="G25" s="34"/>
      <c r="H25" s="34"/>
      <c r="I25" s="35">
        <v>20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6"/>
    </row>
    <row r="26" spans="1:38" x14ac:dyDescent="0.25">
      <c r="A26" s="41"/>
      <c r="B26" s="42"/>
      <c r="C26" s="40" t="s">
        <v>96</v>
      </c>
      <c r="D26" s="44" t="s">
        <v>97</v>
      </c>
      <c r="E26" s="45">
        <v>1900</v>
      </c>
      <c r="F26" s="46">
        <v>95000</v>
      </c>
      <c r="G26" s="34"/>
      <c r="H26" s="34"/>
      <c r="I26" s="35">
        <v>50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6"/>
    </row>
    <row r="27" spans="1:38" ht="13.8" x14ac:dyDescent="0.25">
      <c r="A27" s="41"/>
      <c r="B27" s="42"/>
      <c r="C27" s="40" t="s">
        <v>98</v>
      </c>
      <c r="D27" s="44" t="s">
        <v>99</v>
      </c>
      <c r="E27" s="45">
        <v>170</v>
      </c>
      <c r="F27" s="46">
        <v>3400</v>
      </c>
      <c r="G27" s="90" t="s">
        <v>90</v>
      </c>
      <c r="H27" s="34"/>
      <c r="I27" s="35">
        <v>1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6"/>
    </row>
    <row r="28" spans="1:38" ht="13.8" x14ac:dyDescent="0.25">
      <c r="A28" s="41"/>
      <c r="B28" s="42"/>
      <c r="C28" s="40" t="s">
        <v>100</v>
      </c>
      <c r="D28" s="44" t="s">
        <v>99</v>
      </c>
      <c r="E28" s="45">
        <v>210</v>
      </c>
      <c r="F28" s="46">
        <v>4200</v>
      </c>
      <c r="G28" s="88"/>
      <c r="H28" s="34"/>
      <c r="I28" s="35">
        <v>1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6"/>
    </row>
    <row r="29" spans="1:38" ht="13.8" x14ac:dyDescent="0.25">
      <c r="A29" s="41"/>
      <c r="B29" s="42"/>
      <c r="C29" s="40" t="s">
        <v>98</v>
      </c>
      <c r="D29" s="44" t="s">
        <v>101</v>
      </c>
      <c r="E29" s="45">
        <v>290</v>
      </c>
      <c r="F29" s="46">
        <v>2900</v>
      </c>
      <c r="G29" s="88"/>
      <c r="H29" s="34"/>
      <c r="I29" s="43">
        <v>1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6"/>
    </row>
    <row r="30" spans="1:38" ht="13.8" x14ac:dyDescent="0.25">
      <c r="A30" s="41"/>
      <c r="B30" s="42"/>
      <c r="C30" s="40" t="s">
        <v>102</v>
      </c>
      <c r="D30" s="90" t="s">
        <v>79</v>
      </c>
      <c r="E30" s="91">
        <v>30000</v>
      </c>
      <c r="F30" s="92">
        <v>30000</v>
      </c>
      <c r="G30" s="88"/>
      <c r="H30" s="100"/>
      <c r="I30" s="101"/>
      <c r="J30" s="93">
        <v>1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6"/>
    </row>
    <row r="31" spans="1:38" ht="13.8" x14ac:dyDescent="0.25">
      <c r="A31" s="41"/>
      <c r="B31" s="42"/>
      <c r="C31" s="40" t="s">
        <v>103</v>
      </c>
      <c r="D31" s="88"/>
      <c r="E31" s="88"/>
      <c r="F31" s="88"/>
      <c r="G31" s="88"/>
      <c r="H31" s="100"/>
      <c r="I31" s="101"/>
      <c r="J31" s="88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6"/>
    </row>
    <row r="32" spans="1:38" ht="13.8" x14ac:dyDescent="0.25">
      <c r="A32" s="41"/>
      <c r="B32" s="42"/>
      <c r="C32" s="40" t="s">
        <v>104</v>
      </c>
      <c r="D32" s="89"/>
      <c r="E32" s="89"/>
      <c r="F32" s="89"/>
      <c r="G32" s="88"/>
      <c r="H32" s="100"/>
      <c r="I32" s="101"/>
      <c r="J32" s="89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6"/>
    </row>
    <row r="33" spans="1:38" ht="13.8" x14ac:dyDescent="0.25">
      <c r="A33" s="41"/>
      <c r="B33" s="42"/>
      <c r="C33" s="40" t="s">
        <v>105</v>
      </c>
      <c r="D33" s="44" t="s">
        <v>106</v>
      </c>
      <c r="E33" s="45">
        <v>900</v>
      </c>
      <c r="F33" s="46">
        <f t="shared" ref="F33:F34" si="0">E33*10</f>
        <v>9000</v>
      </c>
      <c r="G33" s="88"/>
      <c r="H33" s="34"/>
      <c r="I33" s="35">
        <v>10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6"/>
    </row>
    <row r="34" spans="1:38" ht="13.8" x14ac:dyDescent="0.25">
      <c r="A34" s="41"/>
      <c r="B34" s="42"/>
      <c r="C34" s="40" t="s">
        <v>107</v>
      </c>
      <c r="D34" s="44" t="s">
        <v>108</v>
      </c>
      <c r="E34" s="45">
        <v>600</v>
      </c>
      <c r="F34" s="46">
        <f t="shared" si="0"/>
        <v>6000</v>
      </c>
      <c r="G34" s="88"/>
      <c r="H34" s="34"/>
      <c r="I34" s="35">
        <v>10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6"/>
    </row>
    <row r="35" spans="1:38" ht="13.8" x14ac:dyDescent="0.25">
      <c r="A35" s="41"/>
      <c r="B35" s="42"/>
      <c r="C35" s="40" t="s">
        <v>109</v>
      </c>
      <c r="D35" s="44" t="s">
        <v>110</v>
      </c>
      <c r="E35" s="47">
        <v>1500</v>
      </c>
      <c r="F35" s="46">
        <v>7500</v>
      </c>
      <c r="G35" s="88"/>
      <c r="H35" s="34"/>
      <c r="I35" s="35">
        <v>5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6"/>
    </row>
    <row r="36" spans="1:38" ht="13.8" x14ac:dyDescent="0.25">
      <c r="A36" s="41"/>
      <c r="B36" s="42"/>
      <c r="C36" s="40" t="s">
        <v>111</v>
      </c>
      <c r="D36" s="44" t="s">
        <v>106</v>
      </c>
      <c r="E36" s="45">
        <v>550</v>
      </c>
      <c r="F36" s="46">
        <f>E36*10</f>
        <v>5500</v>
      </c>
      <c r="G36" s="89"/>
      <c r="H36" s="34"/>
      <c r="I36" s="35">
        <v>10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6"/>
    </row>
    <row r="37" spans="1:38" ht="13.8" x14ac:dyDescent="0.25">
      <c r="A37" s="22"/>
      <c r="B37" s="37"/>
      <c r="C37" s="38" t="s">
        <v>112</v>
      </c>
      <c r="D37" s="23"/>
      <c r="E37" s="25"/>
      <c r="F37" s="26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7"/>
    </row>
    <row r="38" spans="1:38" ht="13.8" x14ac:dyDescent="0.25">
      <c r="A38" s="41"/>
      <c r="B38" s="42"/>
      <c r="C38" s="48" t="s">
        <v>113</v>
      </c>
      <c r="D38" s="44" t="s">
        <v>114</v>
      </c>
      <c r="E38" s="45">
        <v>2500</v>
      </c>
      <c r="F38" s="45">
        <f t="shared" ref="F38:F40" si="1">E38*5</f>
        <v>12500</v>
      </c>
      <c r="G38" s="34"/>
      <c r="H38" s="34"/>
      <c r="I38" s="34"/>
      <c r="J38" s="35">
        <v>5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6"/>
    </row>
    <row r="39" spans="1:38" ht="13.8" x14ac:dyDescent="0.25">
      <c r="A39" s="41"/>
      <c r="B39" s="42"/>
      <c r="C39" s="49" t="s">
        <v>115</v>
      </c>
      <c r="D39" s="44" t="s">
        <v>114</v>
      </c>
      <c r="E39" s="45">
        <v>2000</v>
      </c>
      <c r="F39" s="45">
        <f t="shared" si="1"/>
        <v>10000</v>
      </c>
      <c r="G39" s="34"/>
      <c r="H39" s="34"/>
      <c r="I39" s="34"/>
      <c r="J39" s="35">
        <v>5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6"/>
    </row>
    <row r="40" spans="1:38" ht="13.8" x14ac:dyDescent="0.25">
      <c r="A40" s="41"/>
      <c r="B40" s="42"/>
      <c r="C40" s="40" t="s">
        <v>116</v>
      </c>
      <c r="D40" s="44" t="s">
        <v>114</v>
      </c>
      <c r="E40" s="45">
        <v>600</v>
      </c>
      <c r="F40" s="46">
        <f t="shared" si="1"/>
        <v>3000</v>
      </c>
      <c r="G40" s="34"/>
      <c r="H40" s="34"/>
      <c r="I40" s="34"/>
      <c r="J40" s="35">
        <v>5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6"/>
    </row>
    <row r="41" spans="1:38" ht="13.8" x14ac:dyDescent="0.25">
      <c r="A41" s="41"/>
      <c r="B41" s="42"/>
      <c r="C41" s="40" t="s">
        <v>117</v>
      </c>
      <c r="D41" s="44" t="s">
        <v>118</v>
      </c>
      <c r="E41" s="45">
        <v>15000</v>
      </c>
      <c r="F41" s="46">
        <v>15000</v>
      </c>
      <c r="G41" s="34"/>
      <c r="H41" s="34"/>
      <c r="I41" s="34"/>
      <c r="J41" s="35">
        <v>50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6"/>
    </row>
    <row r="42" spans="1:38" ht="13.8" x14ac:dyDescent="0.25">
      <c r="A42" s="41"/>
      <c r="B42" s="42"/>
      <c r="C42" s="40" t="s">
        <v>119</v>
      </c>
      <c r="D42" s="44" t="s">
        <v>79</v>
      </c>
      <c r="E42" s="45">
        <v>90000</v>
      </c>
      <c r="F42" s="46">
        <v>90000</v>
      </c>
      <c r="G42" s="34"/>
      <c r="H42" s="34"/>
      <c r="I42" s="34"/>
      <c r="J42" s="35">
        <v>1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6"/>
    </row>
    <row r="43" spans="1:38" ht="13.8" x14ac:dyDescent="0.25">
      <c r="A43" s="41"/>
      <c r="B43" s="42"/>
      <c r="C43" s="40" t="s">
        <v>120</v>
      </c>
      <c r="D43" s="50" t="s">
        <v>79</v>
      </c>
      <c r="E43" s="45">
        <v>90000</v>
      </c>
      <c r="F43" s="46">
        <v>90000</v>
      </c>
      <c r="G43" s="34"/>
      <c r="H43" s="34"/>
      <c r="I43" s="51"/>
      <c r="J43" s="52">
        <v>1</v>
      </c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34"/>
      <c r="AJ43" s="34"/>
      <c r="AK43" s="34"/>
      <c r="AL43" s="36"/>
    </row>
    <row r="44" spans="1:38" ht="13.8" x14ac:dyDescent="0.25">
      <c r="A44" s="22"/>
      <c r="B44" s="37"/>
      <c r="C44" s="38" t="s">
        <v>121</v>
      </c>
      <c r="D44" s="53"/>
      <c r="E44" s="25"/>
      <c r="F44" s="26"/>
      <c r="G44" s="23"/>
      <c r="H44" s="2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23"/>
      <c r="AJ44" s="23"/>
      <c r="AK44" s="23"/>
      <c r="AL44" s="27"/>
    </row>
    <row r="45" spans="1:38" ht="34.200000000000003" x14ac:dyDescent="0.25">
      <c r="A45" s="28"/>
      <c r="B45" s="29"/>
      <c r="C45" s="30" t="s">
        <v>122</v>
      </c>
      <c r="D45" s="54" t="s">
        <v>79</v>
      </c>
      <c r="E45" s="55">
        <v>70000</v>
      </c>
      <c r="F45" s="33">
        <v>70000</v>
      </c>
      <c r="G45" s="31" t="s">
        <v>123</v>
      </c>
      <c r="H45" s="34"/>
      <c r="I45" s="51"/>
      <c r="J45" s="52">
        <v>1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34"/>
      <c r="AJ45" s="34"/>
      <c r="AK45" s="34"/>
      <c r="AL45" s="36"/>
    </row>
    <row r="46" spans="1:38" ht="13.8" x14ac:dyDescent="0.25">
      <c r="A46" s="22"/>
      <c r="B46" s="37"/>
      <c r="C46" s="38" t="s">
        <v>124</v>
      </c>
      <c r="D46" s="53"/>
      <c r="E46" s="26"/>
      <c r="F46" s="26"/>
      <c r="G46" s="23"/>
      <c r="H46" s="2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23"/>
      <c r="AJ46" s="23"/>
      <c r="AK46" s="23"/>
      <c r="AL46" s="27"/>
    </row>
    <row r="47" spans="1:38" ht="34.200000000000003" x14ac:dyDescent="0.25">
      <c r="A47" s="41"/>
      <c r="B47" s="42"/>
      <c r="C47" s="40" t="s">
        <v>125</v>
      </c>
      <c r="D47" s="52" t="s">
        <v>79</v>
      </c>
      <c r="E47" s="56">
        <v>45000</v>
      </c>
      <c r="F47" s="46">
        <v>45000</v>
      </c>
      <c r="G47" s="44" t="s">
        <v>123</v>
      </c>
      <c r="H47" s="34"/>
      <c r="I47" s="52">
        <v>1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34"/>
      <c r="AJ47" s="34"/>
      <c r="AK47" s="34"/>
      <c r="AL47" s="36"/>
    </row>
    <row r="48" spans="1:38" ht="13.8" x14ac:dyDescent="0.25">
      <c r="A48" s="22"/>
      <c r="B48" s="37"/>
      <c r="C48" s="38" t="s">
        <v>126</v>
      </c>
      <c r="D48" s="53"/>
      <c r="E48" s="26"/>
      <c r="F48" s="26"/>
      <c r="G48" s="23"/>
      <c r="H48" s="23"/>
      <c r="I48" s="53"/>
      <c r="J48" s="2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23"/>
      <c r="AJ48" s="23"/>
      <c r="AK48" s="23"/>
      <c r="AL48" s="27"/>
    </row>
    <row r="49" spans="1:38" ht="13.8" x14ac:dyDescent="0.25">
      <c r="A49" s="41"/>
      <c r="B49" s="42"/>
      <c r="C49" s="40" t="s">
        <v>127</v>
      </c>
      <c r="D49" s="52" t="s">
        <v>79</v>
      </c>
      <c r="E49" s="56">
        <v>40000</v>
      </c>
      <c r="F49" s="46">
        <v>40000</v>
      </c>
      <c r="G49" s="90" t="s">
        <v>123</v>
      </c>
      <c r="H49" s="34"/>
      <c r="I49" s="51"/>
      <c r="J49" s="35">
        <v>1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34"/>
      <c r="AJ49" s="34"/>
      <c r="AK49" s="34"/>
      <c r="AL49" s="36"/>
    </row>
    <row r="50" spans="1:38" ht="13.8" x14ac:dyDescent="0.25">
      <c r="A50" s="41"/>
      <c r="B50" s="42"/>
      <c r="C50" s="40" t="s">
        <v>128</v>
      </c>
      <c r="D50" s="52" t="s">
        <v>79</v>
      </c>
      <c r="E50" s="56">
        <v>5000</v>
      </c>
      <c r="F50" s="46">
        <v>5000</v>
      </c>
      <c r="G50" s="88"/>
      <c r="H50" s="34"/>
      <c r="I50" s="51"/>
      <c r="J50" s="35">
        <v>1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34"/>
      <c r="AJ50" s="34"/>
      <c r="AK50" s="34"/>
      <c r="AL50" s="36"/>
    </row>
    <row r="51" spans="1:38" ht="13.8" x14ac:dyDescent="0.25">
      <c r="A51" s="41"/>
      <c r="B51" s="42"/>
      <c r="C51" s="40" t="s">
        <v>129</v>
      </c>
      <c r="D51" s="52" t="s">
        <v>79</v>
      </c>
      <c r="E51" s="56">
        <v>40000</v>
      </c>
      <c r="F51" s="46">
        <v>40000</v>
      </c>
      <c r="G51" s="89"/>
      <c r="H51" s="34"/>
      <c r="I51" s="51"/>
      <c r="J51" s="35">
        <v>1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34"/>
      <c r="AJ51" s="34"/>
      <c r="AK51" s="34"/>
      <c r="AL51" s="36"/>
    </row>
    <row r="52" spans="1:38" ht="13.8" x14ac:dyDescent="0.25">
      <c r="A52" s="28"/>
      <c r="B52" s="29"/>
      <c r="C52" s="29"/>
      <c r="D52" s="57"/>
      <c r="E52" s="58"/>
      <c r="F52" s="59"/>
      <c r="G52" s="60"/>
      <c r="H52" s="34"/>
      <c r="I52" s="51"/>
      <c r="J52" s="34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34"/>
      <c r="AJ52" s="34"/>
      <c r="AK52" s="34"/>
      <c r="AL52" s="36"/>
    </row>
    <row r="53" spans="1:38" ht="13.8" x14ac:dyDescent="0.25">
      <c r="A53" s="22"/>
      <c r="B53" s="37"/>
      <c r="C53" s="38" t="s">
        <v>130</v>
      </c>
      <c r="D53" s="23"/>
      <c r="E53" s="25"/>
      <c r="F53" s="26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7"/>
    </row>
    <row r="54" spans="1:38" ht="13.8" x14ac:dyDescent="0.25">
      <c r="A54" s="28"/>
      <c r="B54" s="29"/>
      <c r="C54" s="30" t="s">
        <v>131</v>
      </c>
      <c r="D54" s="31" t="s">
        <v>79</v>
      </c>
      <c r="E54" s="32">
        <v>20000</v>
      </c>
      <c r="F54" s="33">
        <v>20000</v>
      </c>
      <c r="G54" s="87" t="s">
        <v>123</v>
      </c>
      <c r="H54" s="34"/>
      <c r="I54" s="34"/>
      <c r="J54" s="35">
        <v>1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6"/>
    </row>
    <row r="55" spans="1:38" ht="13.8" x14ac:dyDescent="0.25">
      <c r="A55" s="41"/>
      <c r="B55" s="42"/>
      <c r="C55" s="40" t="s">
        <v>132</v>
      </c>
      <c r="D55" s="44" t="s">
        <v>79</v>
      </c>
      <c r="E55" s="45">
        <v>50000</v>
      </c>
      <c r="F55" s="46">
        <v>50000</v>
      </c>
      <c r="G55" s="88"/>
      <c r="H55" s="34"/>
      <c r="I55" s="34"/>
      <c r="J55" s="39">
        <v>1</v>
      </c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6"/>
    </row>
    <row r="56" spans="1:38" ht="13.8" x14ac:dyDescent="0.25">
      <c r="A56" s="41"/>
      <c r="B56" s="42"/>
      <c r="C56" s="40" t="s">
        <v>133</v>
      </c>
      <c r="D56" s="44" t="s">
        <v>79</v>
      </c>
      <c r="E56" s="45">
        <v>50000</v>
      </c>
      <c r="F56" s="46">
        <v>50000</v>
      </c>
      <c r="G56" s="89"/>
      <c r="H56" s="34"/>
      <c r="I56" s="34"/>
      <c r="J56" s="39">
        <v>1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6"/>
    </row>
    <row r="57" spans="1:38" ht="13.8" x14ac:dyDescent="0.25">
      <c r="A57" s="41"/>
      <c r="B57" s="42"/>
      <c r="C57" s="98" t="s">
        <v>134</v>
      </c>
      <c r="D57" s="90" t="s">
        <v>79</v>
      </c>
      <c r="E57" s="91">
        <v>160000</v>
      </c>
      <c r="F57" s="92">
        <v>160000</v>
      </c>
      <c r="G57" s="90" t="s">
        <v>123</v>
      </c>
      <c r="H57" s="34"/>
      <c r="I57" s="99">
        <v>1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6"/>
    </row>
    <row r="58" spans="1:38" ht="13.8" x14ac:dyDescent="0.25">
      <c r="A58" s="41"/>
      <c r="B58" s="42"/>
      <c r="C58" s="89"/>
      <c r="D58" s="89"/>
      <c r="E58" s="89"/>
      <c r="F58" s="89"/>
      <c r="G58" s="89"/>
      <c r="H58" s="34"/>
      <c r="I58" s="89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6"/>
    </row>
    <row r="59" spans="1:38" ht="13.8" x14ac:dyDescent="0.25">
      <c r="A59" s="41"/>
      <c r="B59" s="42"/>
      <c r="C59" s="40" t="s">
        <v>135</v>
      </c>
      <c r="D59" s="44" t="s">
        <v>79</v>
      </c>
      <c r="E59" s="45">
        <v>20000</v>
      </c>
      <c r="F59" s="46">
        <v>20000</v>
      </c>
      <c r="G59" s="90" t="s">
        <v>136</v>
      </c>
      <c r="H59" s="34"/>
      <c r="I59" s="34"/>
      <c r="J59" s="39">
        <v>1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6"/>
    </row>
    <row r="60" spans="1:38" ht="13.8" x14ac:dyDescent="0.25">
      <c r="A60" s="41"/>
      <c r="B60" s="42"/>
      <c r="C60" s="40" t="s">
        <v>137</v>
      </c>
      <c r="D60" s="44" t="s">
        <v>79</v>
      </c>
      <c r="E60" s="45">
        <v>30000</v>
      </c>
      <c r="F60" s="46">
        <v>30000</v>
      </c>
      <c r="G60" s="88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6"/>
    </row>
    <row r="61" spans="1:38" ht="13.8" x14ac:dyDescent="0.25">
      <c r="A61" s="41"/>
      <c r="B61" s="42"/>
      <c r="C61" s="40" t="s">
        <v>138</v>
      </c>
      <c r="D61" s="50" t="s">
        <v>79</v>
      </c>
      <c r="E61" s="45">
        <v>80000</v>
      </c>
      <c r="F61" s="46">
        <v>80000</v>
      </c>
      <c r="G61" s="88"/>
      <c r="H61" s="34"/>
      <c r="I61" s="34"/>
      <c r="J61" s="39">
        <v>1</v>
      </c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6"/>
    </row>
    <row r="62" spans="1:38" ht="13.8" x14ac:dyDescent="0.25">
      <c r="A62" s="41"/>
      <c r="B62" s="42"/>
      <c r="C62" s="61" t="s">
        <v>139</v>
      </c>
      <c r="D62" s="50" t="s">
        <v>79</v>
      </c>
      <c r="E62" s="47">
        <v>35000</v>
      </c>
      <c r="F62" s="56">
        <v>35000</v>
      </c>
      <c r="G62" s="89"/>
      <c r="H62" s="34"/>
      <c r="I62" s="35">
        <v>1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6"/>
    </row>
    <row r="63" spans="1:38" ht="13.8" x14ac:dyDescent="0.25">
      <c r="A63" s="62"/>
      <c r="B63" s="34"/>
      <c r="C63" s="34"/>
      <c r="D63" s="60"/>
      <c r="E63" s="58"/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34"/>
      <c r="AK63" s="34"/>
      <c r="AL63" s="36"/>
    </row>
    <row r="64" spans="1:38" ht="13.8" x14ac:dyDescent="0.25">
      <c r="A64" s="1"/>
      <c r="B64" s="1"/>
      <c r="C64" s="1"/>
      <c r="D64" s="6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64"/>
      <c r="AJ64" s="65"/>
      <c r="AK64" s="66"/>
      <c r="AL64" s="67"/>
    </row>
    <row r="65" spans="1:38" ht="15.6" x14ac:dyDescent="0.3">
      <c r="A65" s="68" t="s">
        <v>140</v>
      </c>
      <c r="B65" s="1"/>
      <c r="C65" s="1"/>
      <c r="D65" s="94">
        <f>SUM(F12:F63)</f>
        <v>1831000</v>
      </c>
      <c r="E65" s="95"/>
      <c r="F65" s="89"/>
      <c r="G65" s="1"/>
      <c r="H65" s="1"/>
      <c r="I65" s="1"/>
      <c r="J65" s="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64"/>
      <c r="AJ65" s="65"/>
      <c r="AK65" s="66"/>
      <c r="AL65" s="67"/>
    </row>
    <row r="66" spans="1:38" ht="13.8" x14ac:dyDescent="0.25">
      <c r="A66" s="1"/>
      <c r="B66" s="1"/>
      <c r="C66" s="1"/>
      <c r="D66" s="1"/>
      <c r="E66" s="3"/>
      <c r="F66" s="4"/>
      <c r="G66" s="1"/>
      <c r="H66" s="1"/>
      <c r="I66" s="1"/>
      <c r="J66" s="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64"/>
      <c r="AJ66" s="65"/>
      <c r="AK66" s="66"/>
      <c r="AL66" s="67"/>
    </row>
    <row r="67" spans="1:38" ht="13.8" x14ac:dyDescent="0.25">
      <c r="A67" s="69" t="s">
        <v>141</v>
      </c>
      <c r="B67" s="1"/>
      <c r="C67" s="1"/>
      <c r="D67" s="1"/>
      <c r="E67" s="3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64"/>
      <c r="AJ67" s="65"/>
      <c r="AK67" s="66"/>
      <c r="AL67" s="67"/>
    </row>
    <row r="68" spans="1:38" ht="13.8" x14ac:dyDescent="0.25">
      <c r="A68" s="1"/>
      <c r="B68" s="1"/>
      <c r="C68" s="1"/>
      <c r="D68" s="1"/>
      <c r="E68" s="3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64"/>
      <c r="AJ68" s="65"/>
      <c r="AK68" s="66"/>
      <c r="AL68" s="67"/>
    </row>
    <row r="69" spans="1:38" ht="15.6" x14ac:dyDescent="0.3">
      <c r="A69" s="70" t="s">
        <v>142</v>
      </c>
      <c r="B69" s="1"/>
      <c r="C69" s="1"/>
      <c r="D69" s="70" t="s">
        <v>143</v>
      </c>
      <c r="E69" s="3"/>
      <c r="F69" s="4"/>
      <c r="G69" s="70" t="s">
        <v>144</v>
      </c>
      <c r="H69" s="1"/>
      <c r="I69" s="1"/>
      <c r="J69" s="70" t="s">
        <v>145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64"/>
      <c r="AJ69" s="65"/>
      <c r="AK69" s="66"/>
      <c r="AL69" s="67"/>
    </row>
    <row r="70" spans="1:38" ht="13.8" x14ac:dyDescent="0.25">
      <c r="A70" s="1"/>
      <c r="B70" s="1"/>
      <c r="C70" s="1"/>
      <c r="D70" s="1"/>
      <c r="E70" s="3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64"/>
      <c r="AJ70" s="65"/>
      <c r="AK70" s="66"/>
      <c r="AL70" s="67"/>
    </row>
    <row r="71" spans="1:38" ht="13.8" x14ac:dyDescent="0.25">
      <c r="A71" s="1"/>
      <c r="B71" s="1"/>
      <c r="C71" s="1"/>
      <c r="D71" s="1"/>
      <c r="E71" s="3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64"/>
      <c r="AJ71" s="65"/>
      <c r="AK71" s="66"/>
      <c r="AL71" s="67"/>
    </row>
    <row r="72" spans="1:38" ht="15.6" x14ac:dyDescent="0.3">
      <c r="A72" s="96" t="s">
        <v>146</v>
      </c>
      <c r="B72" s="95"/>
      <c r="C72" s="89"/>
      <c r="D72" s="70" t="s">
        <v>147</v>
      </c>
      <c r="E72" s="3"/>
      <c r="F72" s="4"/>
      <c r="G72" s="70" t="s">
        <v>148</v>
      </c>
      <c r="H72" s="1"/>
      <c r="I72" s="1"/>
      <c r="J72" s="70" t="s">
        <v>149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64"/>
      <c r="AJ72" s="65"/>
      <c r="AK72" s="66"/>
      <c r="AL72" s="67"/>
    </row>
    <row r="73" spans="1:38" ht="15" x14ac:dyDescent="0.25">
      <c r="A73" s="97" t="s">
        <v>150</v>
      </c>
      <c r="B73" s="95"/>
      <c r="C73" s="89"/>
      <c r="D73" s="71" t="s">
        <v>151</v>
      </c>
      <c r="E73" s="3"/>
      <c r="F73" s="4"/>
      <c r="G73" s="71" t="s">
        <v>152</v>
      </c>
      <c r="H73" s="1"/>
      <c r="I73" s="1"/>
      <c r="J73" s="71" t="s">
        <v>153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64"/>
      <c r="AJ73" s="65"/>
      <c r="AK73" s="66"/>
      <c r="AL73" s="67"/>
    </row>
    <row r="74" spans="1:38" ht="13.8" x14ac:dyDescent="0.25">
      <c r="A74" s="1"/>
      <c r="B74" s="1"/>
      <c r="C74" s="1"/>
      <c r="D74" s="1"/>
      <c r="E74" s="3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64"/>
      <c r="AJ74" s="65"/>
      <c r="AK74" s="66"/>
      <c r="AL74" s="67"/>
    </row>
    <row r="75" spans="1:38" ht="15" x14ac:dyDescent="0.25">
      <c r="A75" s="71" t="s">
        <v>154</v>
      </c>
      <c r="B75" s="1"/>
      <c r="C75" s="1"/>
      <c r="D75" s="71" t="s">
        <v>155</v>
      </c>
      <c r="E75" s="3"/>
      <c r="F75" s="4"/>
      <c r="G75" s="71" t="s">
        <v>155</v>
      </c>
      <c r="H75" s="1"/>
      <c r="I75" s="1"/>
      <c r="J75" s="71" t="s">
        <v>155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64"/>
      <c r="AJ75" s="65"/>
      <c r="AK75" s="66"/>
      <c r="AL75" s="67"/>
    </row>
    <row r="76" spans="1:38" ht="13.8" x14ac:dyDescent="0.25">
      <c r="A76" s="1"/>
      <c r="B76" s="1"/>
      <c r="C76" s="1"/>
      <c r="D76" s="1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64"/>
      <c r="AJ76" s="72"/>
      <c r="AK76" s="73"/>
      <c r="AL76" s="1"/>
    </row>
    <row r="77" spans="1:38" ht="13.8" x14ac:dyDescent="0.25">
      <c r="A77" s="1"/>
      <c r="B77" s="1"/>
      <c r="C77" s="1"/>
      <c r="D77" s="1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64"/>
      <c r="AJ77" s="72"/>
      <c r="AK77" s="73"/>
      <c r="AL77" s="1"/>
    </row>
    <row r="78" spans="1:38" ht="13.8" x14ac:dyDescent="0.25">
      <c r="A78" s="1"/>
      <c r="B78" s="1"/>
      <c r="C78" s="1"/>
      <c r="D78" s="1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64"/>
      <c r="AJ78" s="72"/>
      <c r="AK78" s="73"/>
      <c r="AL78" s="1"/>
    </row>
    <row r="79" spans="1:38" ht="13.8" x14ac:dyDescent="0.25">
      <c r="A79" s="1"/>
      <c r="B79" s="1"/>
      <c r="C79" s="1"/>
      <c r="D79" s="1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64"/>
      <c r="AJ79" s="72"/>
      <c r="AK79" s="73"/>
      <c r="AL79" s="1"/>
    </row>
    <row r="80" spans="1:38" ht="13.8" x14ac:dyDescent="0.25">
      <c r="A80" s="1"/>
      <c r="B80" s="1"/>
      <c r="C80" s="1"/>
      <c r="D80" s="1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64"/>
      <c r="AJ80" s="72"/>
      <c r="AK80" s="73"/>
      <c r="AL80" s="1"/>
    </row>
    <row r="81" spans="1:38" ht="13.8" x14ac:dyDescent="0.25">
      <c r="A81" s="1"/>
      <c r="B81" s="1"/>
      <c r="C81" s="1"/>
      <c r="D81" s="1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64"/>
      <c r="AJ81" s="72"/>
      <c r="AK81" s="73"/>
      <c r="AL81" s="1"/>
    </row>
    <row r="82" spans="1:38" ht="13.8" x14ac:dyDescent="0.25">
      <c r="A82" s="1"/>
      <c r="B82" s="1"/>
      <c r="C82" s="1"/>
      <c r="D82" s="1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64"/>
      <c r="AJ82" s="72"/>
      <c r="AK82" s="73"/>
      <c r="AL82" s="1"/>
    </row>
    <row r="83" spans="1:38" ht="13.8" x14ac:dyDescent="0.25">
      <c r="A83" s="1"/>
      <c r="B83" s="1"/>
      <c r="C83" s="1"/>
      <c r="D83" s="1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64"/>
      <c r="AJ83" s="72"/>
      <c r="AK83" s="73"/>
      <c r="AL83" s="1"/>
    </row>
    <row r="84" spans="1:38" ht="13.8" x14ac:dyDescent="0.25">
      <c r="A84" s="1"/>
      <c r="B84" s="1"/>
      <c r="C84" s="1"/>
      <c r="D84" s="1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64"/>
      <c r="AJ84" s="72"/>
      <c r="AK84" s="73"/>
      <c r="AL84" s="1"/>
    </row>
    <row r="85" spans="1:38" ht="13.8" x14ac:dyDescent="0.25">
      <c r="A85" s="1"/>
      <c r="B85" s="1"/>
      <c r="C85" s="1"/>
      <c r="D85" s="1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64"/>
      <c r="AJ85" s="74"/>
      <c r="AK85" s="6"/>
      <c r="AL85" s="1"/>
    </row>
    <row r="86" spans="1:38" ht="13.8" x14ac:dyDescent="0.25">
      <c r="A86" s="1"/>
      <c r="B86" s="1"/>
      <c r="C86" s="1"/>
      <c r="D86" s="63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3.8" x14ac:dyDescent="0.25">
      <c r="A87" s="1"/>
      <c r="B87" s="1"/>
      <c r="C87" s="1"/>
      <c r="D87" s="63"/>
      <c r="E87" s="63"/>
      <c r="F87" s="63"/>
      <c r="G87" s="1"/>
      <c r="H87" s="1"/>
      <c r="I87" s="1"/>
      <c r="J87" s="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3.8" x14ac:dyDescent="0.25">
      <c r="A88" s="1"/>
      <c r="B88" s="1"/>
      <c r="C88" s="1"/>
      <c r="D88" s="1"/>
      <c r="E88" s="3"/>
      <c r="F88" s="4"/>
      <c r="G88" s="1"/>
      <c r="H88" s="1"/>
      <c r="I88" s="1"/>
      <c r="J88" s="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3.8" x14ac:dyDescent="0.25">
      <c r="A89" s="1"/>
      <c r="B89" s="1"/>
      <c r="C89" s="1"/>
      <c r="D89" s="1"/>
      <c r="E89" s="3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3.8" x14ac:dyDescent="0.25">
      <c r="A90" s="1"/>
      <c r="B90" s="1"/>
      <c r="C90" s="1"/>
      <c r="D90" s="1"/>
      <c r="E90" s="3"/>
      <c r="F90" s="4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3.8" x14ac:dyDescent="0.25">
      <c r="A91" s="1"/>
      <c r="B91" s="1"/>
      <c r="C91" s="1"/>
      <c r="D91" s="1"/>
      <c r="E91" s="3"/>
      <c r="F91" s="3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3.8" x14ac:dyDescent="0.25">
      <c r="A92" s="1"/>
      <c r="B92" s="1"/>
      <c r="C92" s="1"/>
      <c r="D92" s="1"/>
      <c r="E92" s="3"/>
      <c r="F92" s="3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3.8" x14ac:dyDescent="0.25">
      <c r="A93" s="1"/>
      <c r="B93" s="1"/>
      <c r="C93" s="1"/>
      <c r="D93" s="1"/>
      <c r="E93" s="3"/>
      <c r="F93" s="3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3.8" x14ac:dyDescent="0.25">
      <c r="A94" s="1"/>
      <c r="B94" s="1"/>
      <c r="C94" s="1"/>
      <c r="D94" s="1"/>
      <c r="E94" s="3"/>
      <c r="F94" s="3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3.8" x14ac:dyDescent="0.25">
      <c r="A95" s="1"/>
      <c r="B95" s="1"/>
      <c r="C95" s="1"/>
      <c r="D95" s="1"/>
      <c r="E95" s="3"/>
      <c r="F95" s="3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3.8" x14ac:dyDescent="0.25">
      <c r="A96" s="1"/>
      <c r="B96" s="1"/>
      <c r="C96" s="1"/>
      <c r="D96" s="1"/>
      <c r="E96" s="3"/>
      <c r="F96" s="3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3.8" x14ac:dyDescent="0.25">
      <c r="A97" s="1"/>
      <c r="B97" s="1"/>
      <c r="C97" s="1"/>
      <c r="D97" s="1"/>
      <c r="E97" s="3"/>
      <c r="F97" s="3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3.8" x14ac:dyDescent="0.25">
      <c r="A98" s="1"/>
      <c r="B98" s="1"/>
      <c r="C98" s="1"/>
      <c r="D98" s="1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3.8" x14ac:dyDescent="0.25">
      <c r="A99" s="1"/>
      <c r="B99" s="1"/>
      <c r="C99" s="1"/>
      <c r="D99" s="1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3.8" x14ac:dyDescent="0.25">
      <c r="A100" s="1"/>
      <c r="B100" s="1"/>
      <c r="C100" s="1"/>
      <c r="D100" s="1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3.8" x14ac:dyDescent="0.25">
      <c r="A101" s="1"/>
      <c r="B101" s="1"/>
      <c r="C101" s="1"/>
      <c r="D101" s="1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3.8" x14ac:dyDescent="0.25">
      <c r="A102" s="1"/>
      <c r="B102" s="1"/>
      <c r="C102" s="1"/>
      <c r="D102" s="1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3.8" x14ac:dyDescent="0.25">
      <c r="A103" s="1"/>
      <c r="B103" s="1"/>
      <c r="C103" s="1"/>
      <c r="D103" s="1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3.8" x14ac:dyDescent="0.25">
      <c r="A104" s="1"/>
      <c r="B104" s="1"/>
      <c r="C104" s="1"/>
      <c r="D104" s="1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3.8" x14ac:dyDescent="0.25">
      <c r="A105" s="1"/>
      <c r="B105" s="1"/>
      <c r="C105" s="1"/>
      <c r="D105" s="1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3.8" x14ac:dyDescent="0.25">
      <c r="A106" s="1"/>
      <c r="B106" s="1"/>
      <c r="C106" s="1"/>
      <c r="D106" s="1"/>
      <c r="E106" s="3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3.8" x14ac:dyDescent="0.25">
      <c r="A107" s="1"/>
      <c r="B107" s="1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3.8" x14ac:dyDescent="0.25">
      <c r="A108" s="1"/>
      <c r="B108" s="1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3.8" x14ac:dyDescent="0.25">
      <c r="A109" s="1"/>
      <c r="B109" s="1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3.8" x14ac:dyDescent="0.25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3.8" x14ac:dyDescent="0.25">
      <c r="A111" s="1"/>
      <c r="B111" s="1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3.8" x14ac:dyDescent="0.25">
      <c r="A112" s="1"/>
      <c r="B112" s="1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3.8" x14ac:dyDescent="0.25">
      <c r="A113" s="1"/>
      <c r="B113" s="1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3.8" x14ac:dyDescent="0.25">
      <c r="A114" s="1"/>
      <c r="B114" s="1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3.8" x14ac:dyDescent="0.25">
      <c r="A115" s="1"/>
      <c r="B115" s="1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3.8" x14ac:dyDescent="0.25">
      <c r="A116" s="1"/>
      <c r="B116" s="1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3.8" x14ac:dyDescent="0.25">
      <c r="A117" s="1"/>
      <c r="B117" s="1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3.8" x14ac:dyDescent="0.25">
      <c r="A118" s="1"/>
      <c r="B118" s="1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3.8" x14ac:dyDescent="0.25">
      <c r="A119" s="1"/>
      <c r="B119" s="1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3.8" x14ac:dyDescent="0.25">
      <c r="A120" s="1"/>
      <c r="B120" s="1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3.8" x14ac:dyDescent="0.25">
      <c r="A121" s="1"/>
      <c r="B121" s="1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3.8" x14ac:dyDescent="0.25">
      <c r="A122" s="1"/>
      <c r="B122" s="1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3.8" x14ac:dyDescent="0.25">
      <c r="A123" s="1"/>
      <c r="B123" s="1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3.8" x14ac:dyDescent="0.25">
      <c r="A124" s="1"/>
      <c r="B124" s="1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3.8" x14ac:dyDescent="0.25">
      <c r="A125" s="1"/>
      <c r="B125" s="1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3.8" x14ac:dyDescent="0.25">
      <c r="A126" s="1"/>
      <c r="B126" s="1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3.8" x14ac:dyDescent="0.25">
      <c r="A127" s="1"/>
      <c r="B127" s="1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3.8" x14ac:dyDescent="0.25">
      <c r="A128" s="1"/>
      <c r="B128" s="1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3.8" x14ac:dyDescent="0.25">
      <c r="A129" s="1"/>
      <c r="B129" s="1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3.8" x14ac:dyDescent="0.25">
      <c r="A130" s="1"/>
      <c r="B130" s="1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3.8" x14ac:dyDescent="0.25">
      <c r="A131" s="1"/>
      <c r="B131" s="1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3.8" x14ac:dyDescent="0.25">
      <c r="A132" s="1"/>
      <c r="B132" s="1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3.8" x14ac:dyDescent="0.25">
      <c r="A133" s="1"/>
      <c r="B133" s="1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3.8" x14ac:dyDescent="0.25">
      <c r="A134" s="1"/>
      <c r="B134" s="1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3.8" x14ac:dyDescent="0.25">
      <c r="A135" s="1"/>
      <c r="B135" s="1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3.8" x14ac:dyDescent="0.25">
      <c r="A136" s="1"/>
      <c r="B136" s="1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3.8" x14ac:dyDescent="0.25">
      <c r="A137" s="1"/>
      <c r="B137" s="1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3.8" x14ac:dyDescent="0.25">
      <c r="A138" s="1"/>
      <c r="B138" s="1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3.8" x14ac:dyDescent="0.25">
      <c r="A139" s="1"/>
      <c r="B139" s="1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3.8" x14ac:dyDescent="0.25">
      <c r="A140" s="1"/>
      <c r="B140" s="1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3.8" x14ac:dyDescent="0.25">
      <c r="A141" s="1"/>
      <c r="B141" s="1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3.8" x14ac:dyDescent="0.25">
      <c r="A142" s="1"/>
      <c r="B142" s="1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3.8" x14ac:dyDescent="0.25">
      <c r="A143" s="1"/>
      <c r="B143" s="1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3.8" x14ac:dyDescent="0.25">
      <c r="A144" s="1"/>
      <c r="B144" s="1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3.8" x14ac:dyDescent="0.25">
      <c r="A145" s="1"/>
      <c r="B145" s="1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3.8" x14ac:dyDescent="0.25">
      <c r="A146" s="1"/>
      <c r="B146" s="1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3.8" x14ac:dyDescent="0.25">
      <c r="A147" s="1"/>
      <c r="B147" s="1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3.8" x14ac:dyDescent="0.25">
      <c r="A148" s="1"/>
      <c r="B148" s="1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3.8" x14ac:dyDescent="0.25">
      <c r="A149" s="1"/>
      <c r="B149" s="1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3.8" x14ac:dyDescent="0.25">
      <c r="A150" s="1"/>
      <c r="B150" s="1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3.8" x14ac:dyDescent="0.25">
      <c r="A151" s="1"/>
      <c r="B151" s="1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3.8" x14ac:dyDescent="0.25">
      <c r="A152" s="1"/>
      <c r="B152" s="1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3.8" x14ac:dyDescent="0.25">
      <c r="A153" s="1"/>
      <c r="B153" s="1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3.8" x14ac:dyDescent="0.25">
      <c r="A154" s="1"/>
      <c r="B154" s="1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3.8" x14ac:dyDescent="0.25">
      <c r="A155" s="1"/>
      <c r="B155" s="1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3.8" x14ac:dyDescent="0.25">
      <c r="A156" s="1"/>
      <c r="B156" s="1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3.8" x14ac:dyDescent="0.25">
      <c r="A157" s="1"/>
      <c r="B157" s="1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3.8" x14ac:dyDescent="0.25">
      <c r="A158" s="1"/>
      <c r="B158" s="1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3.8" x14ac:dyDescent="0.25">
      <c r="A159" s="1"/>
      <c r="B159" s="1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3.8" x14ac:dyDescent="0.25">
      <c r="A160" s="1"/>
      <c r="B160" s="1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3.8" x14ac:dyDescent="0.25">
      <c r="A161" s="1"/>
      <c r="B161" s="1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3.8" x14ac:dyDescent="0.25">
      <c r="A162" s="1"/>
      <c r="B162" s="1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3.8" x14ac:dyDescent="0.25">
      <c r="A163" s="1"/>
      <c r="B163" s="1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3.8" x14ac:dyDescent="0.25">
      <c r="A164" s="1"/>
      <c r="B164" s="1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3.8" x14ac:dyDescent="0.25">
      <c r="A165" s="1"/>
      <c r="B165" s="1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3.8" x14ac:dyDescent="0.25">
      <c r="A166" s="1"/>
      <c r="B166" s="1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3.8" x14ac:dyDescent="0.25">
      <c r="A167" s="1"/>
      <c r="B167" s="1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3.8" x14ac:dyDescent="0.25">
      <c r="A168" s="1"/>
      <c r="B168" s="1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3.8" x14ac:dyDescent="0.25">
      <c r="A169" s="1"/>
      <c r="B169" s="1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3.8" x14ac:dyDescent="0.25">
      <c r="A170" s="1"/>
      <c r="B170" s="1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3.8" x14ac:dyDescent="0.25">
      <c r="A171" s="1"/>
      <c r="B171" s="1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3.8" x14ac:dyDescent="0.25">
      <c r="A172" s="1"/>
      <c r="B172" s="1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3.8" x14ac:dyDescent="0.25">
      <c r="A173" s="1"/>
      <c r="B173" s="1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3.8" x14ac:dyDescent="0.25">
      <c r="A174" s="1"/>
      <c r="B174" s="1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3.8" x14ac:dyDescent="0.25">
      <c r="A175" s="1"/>
      <c r="B175" s="1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3.8" x14ac:dyDescent="0.25">
      <c r="A176" s="1"/>
      <c r="B176" s="1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3.8" x14ac:dyDescent="0.25">
      <c r="A177" s="1"/>
      <c r="B177" s="1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3.8" x14ac:dyDescent="0.25">
      <c r="A178" s="1"/>
      <c r="B178" s="1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3.8" x14ac:dyDescent="0.25">
      <c r="A179" s="1"/>
      <c r="B179" s="1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3.8" x14ac:dyDescent="0.25">
      <c r="A180" s="1"/>
      <c r="B180" s="1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3.8" x14ac:dyDescent="0.25">
      <c r="A181" s="1"/>
      <c r="B181" s="1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3.8" x14ac:dyDescent="0.25">
      <c r="A182" s="1"/>
      <c r="B182" s="1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3.8" x14ac:dyDescent="0.25">
      <c r="A183" s="1"/>
      <c r="B183" s="1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3.8" x14ac:dyDescent="0.25">
      <c r="A184" s="1"/>
      <c r="B184" s="1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3.8" x14ac:dyDescent="0.25">
      <c r="A185" s="1"/>
      <c r="B185" s="1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3.8" x14ac:dyDescent="0.25">
      <c r="A186" s="1"/>
      <c r="B186" s="1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3.8" x14ac:dyDescent="0.25">
      <c r="A187" s="1"/>
      <c r="B187" s="1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3.8" x14ac:dyDescent="0.25">
      <c r="A188" s="1"/>
      <c r="B188" s="1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3.8" x14ac:dyDescent="0.25">
      <c r="A189" s="1"/>
      <c r="B189" s="1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3.8" x14ac:dyDescent="0.25">
      <c r="A190" s="1"/>
      <c r="B190" s="1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3.8" x14ac:dyDescent="0.25">
      <c r="A191" s="1"/>
      <c r="B191" s="1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3.8" x14ac:dyDescent="0.25">
      <c r="A192" s="1"/>
      <c r="B192" s="1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3.8" x14ac:dyDescent="0.25">
      <c r="A193" s="1"/>
      <c r="B193" s="1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3.8" x14ac:dyDescent="0.25">
      <c r="A194" s="1"/>
      <c r="B194" s="1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3.8" x14ac:dyDescent="0.25">
      <c r="A195" s="1"/>
      <c r="B195" s="1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3.8" x14ac:dyDescent="0.25">
      <c r="A196" s="1"/>
      <c r="B196" s="1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3.8" x14ac:dyDescent="0.25">
      <c r="A197" s="1"/>
      <c r="B197" s="1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3.8" x14ac:dyDescent="0.25">
      <c r="A198" s="1"/>
      <c r="B198" s="1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3.8" x14ac:dyDescent="0.25">
      <c r="A199" s="1"/>
      <c r="B199" s="1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3.8" x14ac:dyDescent="0.25">
      <c r="A200" s="1"/>
      <c r="B200" s="1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3.8" x14ac:dyDescent="0.25">
      <c r="A201" s="1"/>
      <c r="B201" s="1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3.8" x14ac:dyDescent="0.25">
      <c r="A202" s="1"/>
      <c r="B202" s="1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3.8" x14ac:dyDescent="0.25">
      <c r="A203" s="1"/>
      <c r="B203" s="1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3.8" x14ac:dyDescent="0.25">
      <c r="A204" s="1"/>
      <c r="B204" s="1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3.8" x14ac:dyDescent="0.25">
      <c r="A205" s="1"/>
      <c r="B205" s="1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3.8" x14ac:dyDescent="0.25">
      <c r="A206" s="1"/>
      <c r="B206" s="1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3.8" x14ac:dyDescent="0.25">
      <c r="A207" s="1"/>
      <c r="B207" s="1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3.8" x14ac:dyDescent="0.25">
      <c r="A208" s="1"/>
      <c r="B208" s="1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3.8" x14ac:dyDescent="0.25">
      <c r="A209" s="1"/>
      <c r="B209" s="1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3.8" x14ac:dyDescent="0.25">
      <c r="A210" s="1"/>
      <c r="B210" s="1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3.8" x14ac:dyDescent="0.25">
      <c r="A211" s="1"/>
      <c r="B211" s="1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3.8" x14ac:dyDescent="0.25">
      <c r="A212" s="1"/>
      <c r="B212" s="1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3.8" x14ac:dyDescent="0.25">
      <c r="A213" s="1"/>
      <c r="B213" s="1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3.8" x14ac:dyDescent="0.25">
      <c r="A214" s="1"/>
      <c r="B214" s="1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3.8" x14ac:dyDescent="0.25">
      <c r="A215" s="1"/>
      <c r="B215" s="1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3.8" x14ac:dyDescent="0.25">
      <c r="A216" s="1"/>
      <c r="B216" s="1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3.8" x14ac:dyDescent="0.25">
      <c r="A217" s="1"/>
      <c r="B217" s="1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3.8" x14ac:dyDescent="0.25">
      <c r="A218" s="1"/>
      <c r="B218" s="1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3.8" x14ac:dyDescent="0.25">
      <c r="A219" s="1"/>
      <c r="B219" s="1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3.8" x14ac:dyDescent="0.25">
      <c r="A220" s="1"/>
      <c r="B220" s="1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3.8" x14ac:dyDescent="0.25">
      <c r="A221" s="1"/>
      <c r="B221" s="1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3.8" x14ac:dyDescent="0.25">
      <c r="A222" s="1"/>
      <c r="B222" s="1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3.8" x14ac:dyDescent="0.25">
      <c r="A223" s="1"/>
      <c r="B223" s="1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3.8" x14ac:dyDescent="0.25">
      <c r="A224" s="1"/>
      <c r="B224" s="1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3.8" x14ac:dyDescent="0.25">
      <c r="A225" s="1"/>
      <c r="B225" s="1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3.8" x14ac:dyDescent="0.25">
      <c r="A226" s="1"/>
      <c r="B226" s="1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3.8" x14ac:dyDescent="0.25">
      <c r="A227" s="1"/>
      <c r="B227" s="1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3.8" x14ac:dyDescent="0.25">
      <c r="A228" s="1"/>
      <c r="B228" s="1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3.8" x14ac:dyDescent="0.25">
      <c r="A229" s="1"/>
      <c r="B229" s="1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3.8" x14ac:dyDescent="0.25">
      <c r="A230" s="1"/>
      <c r="B230" s="1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3.8" x14ac:dyDescent="0.25">
      <c r="A231" s="1"/>
      <c r="B231" s="1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3.8" x14ac:dyDescent="0.25">
      <c r="A232" s="1"/>
      <c r="B232" s="1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3.8" x14ac:dyDescent="0.25">
      <c r="A233" s="1"/>
      <c r="B233" s="1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3.8" x14ac:dyDescent="0.25">
      <c r="A234" s="1"/>
      <c r="B234" s="1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3.8" x14ac:dyDescent="0.25">
      <c r="A235" s="1"/>
      <c r="B235" s="1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3.8" x14ac:dyDescent="0.25">
      <c r="A236" s="1"/>
      <c r="B236" s="1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3.8" x14ac:dyDescent="0.25">
      <c r="A237" s="1"/>
      <c r="B237" s="1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3.8" x14ac:dyDescent="0.25">
      <c r="A238" s="1"/>
      <c r="B238" s="1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3.8" x14ac:dyDescent="0.25">
      <c r="A239" s="1"/>
      <c r="B239" s="1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3.8" x14ac:dyDescent="0.25">
      <c r="A240" s="1"/>
      <c r="B240" s="1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3.8" x14ac:dyDescent="0.25">
      <c r="A241" s="1"/>
      <c r="B241" s="1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3.8" x14ac:dyDescent="0.25">
      <c r="A242" s="1"/>
      <c r="B242" s="1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3.8" x14ac:dyDescent="0.25">
      <c r="A243" s="1"/>
      <c r="B243" s="1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3.8" x14ac:dyDescent="0.25">
      <c r="A244" s="1"/>
      <c r="B244" s="1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3.8" x14ac:dyDescent="0.25">
      <c r="A245" s="1"/>
      <c r="B245" s="1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3.8" x14ac:dyDescent="0.25">
      <c r="A246" s="1"/>
      <c r="B246" s="1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3.8" x14ac:dyDescent="0.25">
      <c r="A247" s="1"/>
      <c r="B247" s="1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3.8" x14ac:dyDescent="0.25">
      <c r="A248" s="1"/>
      <c r="B248" s="1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3.8" x14ac:dyDescent="0.25">
      <c r="A249" s="1"/>
      <c r="B249" s="1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3.8" x14ac:dyDescent="0.25">
      <c r="A250" s="1"/>
      <c r="B250" s="1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3.8" x14ac:dyDescent="0.25">
      <c r="A251" s="1"/>
      <c r="B251" s="1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3.8" x14ac:dyDescent="0.25">
      <c r="A252" s="1"/>
      <c r="B252" s="1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3.8" x14ac:dyDescent="0.25">
      <c r="A253" s="1"/>
      <c r="B253" s="1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3.8" x14ac:dyDescent="0.25">
      <c r="A254" s="1"/>
      <c r="B254" s="1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3.8" x14ac:dyDescent="0.25">
      <c r="A255" s="1"/>
      <c r="B255" s="1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3.8" x14ac:dyDescent="0.25">
      <c r="A256" s="1"/>
      <c r="B256" s="1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3.8" x14ac:dyDescent="0.25">
      <c r="A257" s="1"/>
      <c r="B257" s="1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3.8" x14ac:dyDescent="0.25">
      <c r="A258" s="1"/>
      <c r="B258" s="1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3.8" x14ac:dyDescent="0.25">
      <c r="A259" s="1"/>
      <c r="B259" s="1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3.8" x14ac:dyDescent="0.25">
      <c r="A260" s="1"/>
      <c r="B260" s="1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3.8" x14ac:dyDescent="0.25">
      <c r="A261" s="1"/>
      <c r="B261" s="1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3.8" x14ac:dyDescent="0.25">
      <c r="A262" s="1"/>
      <c r="B262" s="1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3.8" x14ac:dyDescent="0.25">
      <c r="A263" s="1"/>
      <c r="B263" s="1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3.8" x14ac:dyDescent="0.25">
      <c r="A264" s="1"/>
      <c r="B264" s="1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3.8" x14ac:dyDescent="0.25">
      <c r="A265" s="1"/>
      <c r="B265" s="1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3.8" x14ac:dyDescent="0.25">
      <c r="A266" s="1"/>
      <c r="B266" s="1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3.8" x14ac:dyDescent="0.25">
      <c r="A267" s="1"/>
      <c r="B267" s="1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3.8" x14ac:dyDescent="0.25">
      <c r="A268" s="1"/>
      <c r="B268" s="1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3.8" x14ac:dyDescent="0.25">
      <c r="A269" s="1"/>
      <c r="B269" s="1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3.8" x14ac:dyDescent="0.25">
      <c r="A270" s="1"/>
      <c r="B270" s="1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3.8" x14ac:dyDescent="0.25">
      <c r="A271" s="1"/>
      <c r="B271" s="1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3.8" x14ac:dyDescent="0.25">
      <c r="A272" s="1"/>
      <c r="B272" s="1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3.8" x14ac:dyDescent="0.25">
      <c r="A273" s="1"/>
      <c r="B273" s="1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3.8" x14ac:dyDescent="0.25">
      <c r="A274" s="1"/>
      <c r="B274" s="1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3.8" x14ac:dyDescent="0.25">
      <c r="A275" s="1"/>
      <c r="B275" s="1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3.8" x14ac:dyDescent="0.25">
      <c r="A276" s="1"/>
      <c r="B276" s="1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3.8" x14ac:dyDescent="0.25">
      <c r="A277" s="1"/>
      <c r="B277" s="1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3.8" x14ac:dyDescent="0.25">
      <c r="A278" s="1"/>
      <c r="B278" s="1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3.8" x14ac:dyDescent="0.25">
      <c r="A279" s="1"/>
      <c r="B279" s="1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3.8" x14ac:dyDescent="0.25">
      <c r="A280" s="1"/>
      <c r="B280" s="1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3.8" x14ac:dyDescent="0.25">
      <c r="A281" s="1"/>
      <c r="B281" s="1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3.8" x14ac:dyDescent="0.25">
      <c r="A282" s="1"/>
      <c r="B282" s="1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3.8" x14ac:dyDescent="0.25">
      <c r="A283" s="1"/>
      <c r="B283" s="1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3.8" x14ac:dyDescent="0.25">
      <c r="A284" s="1"/>
      <c r="B284" s="1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3.8" x14ac:dyDescent="0.25">
      <c r="A285" s="1"/>
      <c r="B285" s="1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3.8" x14ac:dyDescent="0.25">
      <c r="A286" s="1"/>
      <c r="B286" s="1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3.8" x14ac:dyDescent="0.25">
      <c r="A287" s="1"/>
      <c r="B287" s="1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3.8" x14ac:dyDescent="0.25">
      <c r="A288" s="1"/>
      <c r="B288" s="1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3.8" x14ac:dyDescent="0.25">
      <c r="A289" s="1"/>
      <c r="B289" s="1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3.8" x14ac:dyDescent="0.25">
      <c r="A290" s="1"/>
      <c r="B290" s="1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3.8" x14ac:dyDescent="0.25">
      <c r="A291" s="1"/>
      <c r="B291" s="1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3.8" x14ac:dyDescent="0.25">
      <c r="A292" s="1"/>
      <c r="B292" s="1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3.8" x14ac:dyDescent="0.25">
      <c r="A293" s="1"/>
      <c r="B293" s="1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3.8" x14ac:dyDescent="0.25">
      <c r="A294" s="1"/>
      <c r="B294" s="1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3.8" x14ac:dyDescent="0.25">
      <c r="A295" s="1"/>
      <c r="B295" s="1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3.8" x14ac:dyDescent="0.25">
      <c r="A296" s="1"/>
      <c r="B296" s="1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3.8" x14ac:dyDescent="0.25">
      <c r="A297" s="1"/>
      <c r="B297" s="1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3.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3.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3.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3.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3.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3.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3.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3.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3.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3.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3.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3.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3.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3.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3.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3.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3.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3.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3.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3.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3.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3.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3.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3.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3.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3.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3.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3.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3.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3.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3.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3.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3.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3.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3.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3.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3.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3.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3.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3.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3.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3.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3.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3.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3.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3.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3.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3.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3.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3.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3.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3.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3.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3.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3.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3.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3.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3.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3.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3.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3.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3.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3.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3.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3.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3.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3.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3.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3.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3.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3.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3.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3.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3.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3.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3.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3.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3.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3.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3.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3.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3.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3.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3.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3.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3.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3.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3.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3.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3.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3.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3.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3.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3.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3.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3.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3.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3.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3.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3.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3.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3.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3.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3.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3.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3.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3.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3.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3.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3.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3.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3.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3.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3.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3.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3.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3.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3.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3.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3.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3.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3.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3.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3.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3.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3.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3.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3.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3.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3.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3.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3.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3.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3.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3.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3.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3.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3.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3.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3.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3.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3.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3.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3.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3.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3.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3.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3.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3.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3.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3.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3.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3.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3.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3.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3.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3.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3.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3.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3.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3.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3.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3.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3.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3.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3.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3.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3.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3.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3.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3.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3.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3.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3.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3.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3.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3.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3.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3.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3.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3.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3.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3.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3.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3.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3.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3.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3.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3.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3.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3.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3.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3.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3.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3.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3.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3.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3.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3.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3.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3.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3.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3.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3.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3.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3.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3.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3.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3.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3.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3.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3.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3.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3.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3.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3.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3.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3.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3.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3.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3.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3.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3.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3.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3.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3.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3.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3.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3.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3.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3.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3.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3.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3.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3.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3.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3.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3.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3.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3.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3.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3.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3.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3.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3.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3.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3.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3.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3.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3.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3.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3.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3.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3.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3.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3.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3.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3.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3.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3.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3.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3.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3.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3.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3.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3.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3.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3.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3.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3.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3.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3.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3.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3.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3.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3.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3.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3.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3.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3.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3.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3.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3.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3.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3.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3.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3.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3.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3.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3.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3.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3.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3.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3.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3.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3.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3.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3.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3.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3.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3.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3.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3.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3.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3.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3.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3.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3.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3.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3.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3.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3.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3.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3.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3.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3.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3.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3.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3.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3.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3.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3.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3.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3.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3.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3.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3.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3.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3.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3.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3.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3.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3.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3.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3.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3.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3.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3.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3.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3.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3.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3.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3.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3.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3.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3.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3.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3.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3.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3.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3.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3.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3.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3.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3.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3.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3.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3.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3.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3.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3.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3.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3.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3.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3.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3.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3.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3.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3.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3.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3.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3.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3.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3.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3.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3.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3.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3.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3.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3.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3.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3.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3.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3.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3.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3.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3.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3.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3.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3.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3.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3.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3.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3.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3.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3.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3.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3.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3.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3.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3.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3.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3.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3.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3.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3.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3.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3.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3.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3.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3.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3.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3.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3.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3.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3.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3.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3.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3.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3.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3.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3.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3.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3.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3.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3.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3.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3.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3.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3.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3.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3.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3.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3.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3.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3.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3.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3.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3.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3.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3.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3.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3.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3.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3.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3.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3.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3.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3.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3.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3.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3.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3.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3.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3.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3.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3.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3.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3.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3.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3.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3.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3.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3.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3.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3.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3.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3.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3.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3.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3.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3.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3.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3.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3.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3.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3.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3.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3.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3.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3.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3.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3.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3.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3.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3.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3.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3.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3.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3.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3.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3.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3.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3.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3.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3.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3.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3.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3.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3.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3.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3.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3.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3.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3.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3.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3.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3.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3.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3.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3.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3.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3.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3.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3.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3.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3.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3.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3.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3.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3.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3.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3.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3.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3.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3.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3.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3.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3.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3.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3.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3.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3.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3.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3.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3.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3.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3.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3.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3.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3.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3.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3.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3.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3.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3.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3.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3.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3.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3.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3.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3.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3.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3.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3.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3.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3.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3.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3.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3.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3.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3.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3.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3.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3.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3.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3.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3.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3.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3.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3.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3.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3.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3.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3.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3.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3.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3.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3.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3.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3.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3.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3.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3.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3.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3.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3.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3.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3.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3.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3.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3.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3.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3.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3.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3.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3.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3.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3.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3.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3.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3.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3.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3.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3.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3.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3.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3.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3.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3.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3.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3.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3.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3.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3.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3.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3.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3.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3.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3.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3.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3.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3.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3.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3.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3.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3.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3.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3.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3.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3.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3.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3.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3.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3.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3.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3.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3.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3.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3.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3.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3.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3.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3.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3.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3.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3.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3.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3.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3.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3.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3.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3.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3.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3.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3.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3.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3.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3.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3.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3.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3.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3.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3.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3.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</sheetData>
  <mergeCells count="34">
    <mergeCell ref="A73:C73"/>
    <mergeCell ref="G49:G51"/>
    <mergeCell ref="G54:G56"/>
    <mergeCell ref="C57:C58"/>
    <mergeCell ref="D57:D58"/>
    <mergeCell ref="E57:E58"/>
    <mergeCell ref="F57:F58"/>
    <mergeCell ref="G57:G58"/>
    <mergeCell ref="G59:G62"/>
    <mergeCell ref="D65:F65"/>
    <mergeCell ref="A72:C72"/>
    <mergeCell ref="I57:I58"/>
    <mergeCell ref="G27:G36"/>
    <mergeCell ref="D30:D32"/>
    <mergeCell ref="E30:E32"/>
    <mergeCell ref="F30:F32"/>
    <mergeCell ref="J30:J32"/>
    <mergeCell ref="G12:G19"/>
    <mergeCell ref="D21:D23"/>
    <mergeCell ref="E21:E23"/>
    <mergeCell ref="F21:F23"/>
    <mergeCell ref="J21:J23"/>
    <mergeCell ref="G21:G23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Andrade</cp:lastModifiedBy>
  <dcterms:modified xsi:type="dcterms:W3CDTF">2024-05-02T07:46:19Z</dcterms:modified>
</cp:coreProperties>
</file>