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10"/>
  </bookViews>
  <sheets>
    <sheet name="quarter 2  Sustainable Meltblow" sheetId="1" r:id="rId1"/>
  </sheets>
  <calcPr calcId="144525"/>
</workbook>
</file>

<file path=xl/sharedStrings.xml><?xml version="1.0" encoding="utf-8"?>
<sst xmlns="http://schemas.openxmlformats.org/spreadsheetml/2006/main" count="222" uniqueCount="172">
  <si>
    <t xml:space="preserve">  PROJECT PROCUREMENT MANAGEMENT PLAN (PPMP) 2024</t>
  </si>
  <si>
    <t>For 2nd Quarter of CY 2024</t>
  </si>
  <si>
    <t>END-USER/UNIT: RDD-CDABUS</t>
  </si>
  <si>
    <t>Charged to: Sustainable Meltblown Nonwoven Textiles for Mask Filters and Packaging Applications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</si>
  <si>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</si>
  <si>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</si>
  <si>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</si>
  <si>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</si>
  <si>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</si>
  <si>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</si>
  <si>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</si>
  <si>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</si>
  <si>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</si>
  <si>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</si>
  <si>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</si>
  <si>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April</t>
  </si>
  <si>
    <t>May</t>
  </si>
  <si>
    <t>June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</si>
  <si>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</si>
  <si>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</si>
  <si>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</si>
  <si>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</si>
  <si>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</si>
  <si>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</si>
  <si>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</si>
  <si>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</si>
  <si>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</si>
  <si>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</si>
  <si>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</si>
  <si>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</si>
  <si>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</si>
  <si>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</si>
  <si>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</si>
  <si>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</si>
  <si>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</si>
  <si>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</si>
  <si>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</si>
  <si>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</si>
  <si>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</si>
  <si>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</si>
  <si>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</si>
  <si>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</si>
  <si>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</si>
  <si>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</si>
  <si>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</si>
  <si>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</si>
  <si>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</si>
  <si>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</si>
  <si>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</si>
  <si>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</si>
  <si>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</si>
  <si>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</si>
  <si>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</si>
  <si>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</si>
  <si>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</si>
  <si>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</si>
  <si>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</si>
  <si>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</si>
  <si>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</si>
  <si>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</si>
  <si>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</si>
  <si>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</si>
  <si>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</si>
  <si>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</si>
  <si>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</si>
  <si>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</si>
  <si>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</si>
  <si>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</si>
  <si>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</si>
  <si>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</si>
  <si>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</si>
  <si>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</si>
  <si>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</si>
  <si>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</si>
  <si>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</si>
  <si>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</si>
  <si>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</si>
  <si>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Repair and Maintenance – Technical and Scientific Equipment</t>
  </si>
  <si>
    <t>Service Charge for the General check up, dismantle, and reinstallation of the unit, preventive maintenance, replacement of cartridges, verification and testing of 1 unit of Thermo Scientific Smart2pure Pro S/N: 1602035002673</t>
  </si>
  <si>
    <t>1 lot</t>
  </si>
  <si>
    <t xml:space="preserve">Repair and Maintenance of pre-spinning machine </t>
  </si>
  <si>
    <t>Negotiated Procurement-Small Value Procurement</t>
  </si>
  <si>
    <t>Traveling Expenses</t>
  </si>
  <si>
    <t>Local Travel</t>
  </si>
  <si>
    <t>Autosweep RFID</t>
  </si>
  <si>
    <t>Other Local Travel</t>
  </si>
  <si>
    <t>Foreign Travel</t>
  </si>
  <si>
    <t>Medical, Dental  Laboratory Supplies Expenses</t>
  </si>
  <si>
    <t>5 pieces Laboratory Gown</t>
  </si>
  <si>
    <t>Negotiated Procurement-Small Value Procurement / Shopping</t>
  </si>
  <si>
    <t>5 pieces Half Facepiece Respirator</t>
  </si>
  <si>
    <t>5 sets Respirator Filter Cartridges</t>
  </si>
  <si>
    <t>6 boxes Disposable Particulate Respirator</t>
  </si>
  <si>
    <t>5 pieces  Safety Protective Goggles</t>
  </si>
  <si>
    <t>30 pieces Gloves</t>
  </si>
  <si>
    <t>5 pieces  Nitrile Grip Rubber Protective Work Gloves</t>
  </si>
  <si>
    <t>5 pieces  Silicon Shoe Cover</t>
  </si>
  <si>
    <t>5 pieces   Hair Net</t>
  </si>
  <si>
    <t>4 sacks PLA (polylactic acid) resin</t>
  </si>
  <si>
    <t>4 sacks</t>
  </si>
  <si>
    <t>1 lot Poly(butylene succinate)</t>
  </si>
  <si>
    <t>1 lot Poly(ethylene glycol) 400g/mol</t>
  </si>
  <si>
    <t>1 lot Tributyl acetyl citrate</t>
  </si>
  <si>
    <t>1 lot Polymer antioxidant</t>
  </si>
  <si>
    <t>1 lot Polymer UV stabilizer</t>
  </si>
  <si>
    <t>1 tank Nitrogen Gas (50 pounds)</t>
  </si>
  <si>
    <t xml:space="preserve">1 tank </t>
  </si>
  <si>
    <t>Melt Flow Index (MFI) modifier masterbatch additive</t>
  </si>
  <si>
    <t xml:space="preserve">Blue color masterbatch modifier </t>
  </si>
  <si>
    <t>1 sack</t>
  </si>
  <si>
    <t xml:space="preserve">Black color masterbatch modifier </t>
  </si>
  <si>
    <t>Other Supplies Expenses - Direct Cost</t>
  </si>
  <si>
    <t>25 m Air compressor pneumatic tubing
2 pcs Pneumatic tube fitting</t>
  </si>
  <si>
    <t>Shopping</t>
  </si>
  <si>
    <t>Other Supplies Expenses - Indirect Cost</t>
  </si>
  <si>
    <t>Office Supplies and Materials</t>
  </si>
  <si>
    <t>3 packs White folder, legal size</t>
  </si>
  <si>
    <t>2 packs White folder, A4</t>
  </si>
  <si>
    <t>Training</t>
  </si>
  <si>
    <t>Introduction to Spunbond Nonwovens Training Course (Virtual) - Module 1 by Nonwovens Innovation &amp; Reserach Institute Ltd. (NIRI)</t>
  </si>
  <si>
    <t>Representation Expenses</t>
  </si>
  <si>
    <t xml:space="preserve">Representation Expenses </t>
  </si>
  <si>
    <t>Cash Advance</t>
  </si>
  <si>
    <t>Other Professional Services</t>
  </si>
  <si>
    <t>Customized Polo Shirt with Logo Embroidery</t>
  </si>
  <si>
    <t>20 pcs</t>
  </si>
  <si>
    <t>Negotiated Procurement-Small Value Procurement / Agency-to-Agency</t>
  </si>
  <si>
    <t>Flammability  (medtex)</t>
  </si>
  <si>
    <t>2 samples</t>
  </si>
  <si>
    <t>Air Permeability</t>
  </si>
  <si>
    <t>Thickness</t>
  </si>
  <si>
    <t>Weight/Mass Per Unit Area</t>
  </si>
  <si>
    <t>Stiffness/Softness</t>
  </si>
  <si>
    <t>Abrasion Resistance</t>
  </si>
  <si>
    <t>Tensile Grab Strength (Breaking Strength (Grab))</t>
  </si>
  <si>
    <t>Tearing Strength (Tongue)</t>
  </si>
  <si>
    <t>Water Absorption/Absorbency</t>
  </si>
  <si>
    <t>Differential Pressure</t>
  </si>
  <si>
    <t>7 samples</t>
  </si>
  <si>
    <t>Particle Filtration Efficiency - NaCl</t>
  </si>
  <si>
    <t>18 samples</t>
  </si>
  <si>
    <t>Bacterial Filtration Efficiency</t>
  </si>
  <si>
    <t>Synthetic Blood Penetration Resistance</t>
  </si>
  <si>
    <t>6 samples</t>
  </si>
  <si>
    <t>Polymer Water Pressure: Hydrostatic Pressure</t>
  </si>
  <si>
    <t>Molecular Weight -GPC</t>
  </si>
  <si>
    <t>DSC</t>
  </si>
  <si>
    <t>TGA</t>
  </si>
  <si>
    <t>SEM</t>
  </si>
  <si>
    <t>X-Ray Diffraction (XRD) Analysis</t>
  </si>
  <si>
    <t xml:space="preserve">Fourier Transform Infrared (FTIR) Spectroscopy </t>
  </si>
  <si>
    <t>Service charge for technical services for the cleaning the meltblown die</t>
  </si>
  <si>
    <t>8 sessions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</si>
  <si>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</si>
  <si>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</si>
  <si>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</si>
  <si>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</si>
  <si>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</si>
  <si>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</si>
  <si>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</si>
  <si>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</t>
  </si>
  <si>
    <t>Approved by:</t>
  </si>
  <si>
    <t>AUDRIC ZURIEL C. CRUZ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</si>
  <si>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</si>
  <si>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</si>
  <si>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</si>
  <si>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</si>
  <si>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</si>
  <si>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</si>
  <si>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</si>
  <si>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17 April 2024</t>
  </si>
  <si>
    <t>Date: _____________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</si>
</sst>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  <numFmt numFmtId="177" formatCode="[$₱]#,##0.00"/>
  </numFmts>
  <fonts count="42">
    <font>
      <sz val="11"/>
      <color theme="1"/>
      <name val="Arial"/>
      <charset val="134"/>
      <scheme val="minor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i/>
      <sz val="12"/>
      <color theme="1"/>
      <name val="Arial"/>
      <charset val="134"/>
    </font>
    <font>
      <i/>
      <sz val="12"/>
      <color theme="1"/>
      <name val="Arial"/>
      <charset val="134"/>
    </font>
    <font>
      <b/>
      <sz val="9"/>
      <color theme="1"/>
      <name val="Arial"/>
      <charset val="134"/>
    </font>
    <font>
      <sz val="11"/>
      <name val="Arial"/>
      <charset val="134"/>
      <scheme val="minor"/>
    </font>
    <font>
      <sz val="9"/>
      <color theme="1"/>
      <name val="Arial"/>
      <charset val="134"/>
    </font>
    <font>
      <b/>
      <sz val="9"/>
      <color rgb="FF000000"/>
      <name val="Arial"/>
      <charset val="134"/>
    </font>
    <font>
      <sz val="9"/>
      <color rgb="FF000000"/>
      <name val="Arial"/>
      <charset val="134"/>
    </font>
    <font>
      <sz val="9"/>
      <color rgb="FF222222"/>
      <name val="Arial"/>
      <charset val="134"/>
    </font>
    <font>
      <b/>
      <sz val="9"/>
      <color theme="0"/>
      <name val="Arial"/>
      <charset val="134"/>
    </font>
    <font>
      <sz val="9"/>
      <color theme="0"/>
      <name val="Arial"/>
      <charset val="134"/>
    </font>
    <font>
      <sz val="9"/>
      <color rgb="FFFFFFFF"/>
      <name val="Arial"/>
      <charset val="134"/>
    </font>
    <font>
      <b/>
      <sz val="10"/>
      <color theme="1"/>
      <name val="Arial"/>
      <charset val="134"/>
    </font>
    <font>
      <sz val="11"/>
      <color theme="0"/>
      <name val="Arial"/>
      <charset val="134"/>
    </font>
    <font>
      <sz val="10"/>
      <color theme="1"/>
      <name val="Arial"/>
      <charset val="134"/>
    </font>
    <font>
      <b/>
      <u/>
      <sz val="9"/>
      <color theme="1"/>
      <name val="Arial"/>
      <charset val="134"/>
    </font>
    <font>
      <b/>
      <sz val="8"/>
      <color theme="1"/>
      <name val="Arial"/>
      <charset val="134"/>
    </font>
    <font>
      <u/>
      <sz val="8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Calibri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2" fillId="9" borderId="16" applyNumberFormat="0" applyAlignment="0" applyProtection="0">
      <alignment vertical="center"/>
    </xf>
    <xf numFmtId="0" fontId="33" fillId="9" borderId="15" applyNumberFormat="0" applyAlignment="0" applyProtection="0">
      <alignment vertical="center"/>
    </xf>
    <xf numFmtId="0" fontId="34" fillId="10" borderId="17" applyNumberFormat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</cellStyleXfs>
  <cellXfs count="168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/>
    <xf numFmtId="4" fontId="2" fillId="0" borderId="0" xfId="0" applyNumberFormat="1" applyFont="1" applyAlignment="1">
      <alignment horizontal="right"/>
    </xf>
    <xf numFmtId="176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7" fillId="0" borderId="3" xfId="0" applyFont="1" applyBorder="1"/>
    <xf numFmtId="0" fontId="6" fillId="0" borderId="2" xfId="0" applyFont="1" applyBorder="1" applyAlignment="1">
      <alignment horizontal="center" vertical="center"/>
    </xf>
    <xf numFmtId="0" fontId="6" fillId="2" borderId="0" xfId="0" applyFont="1" applyFill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4" fontId="6" fillId="0" borderId="2" xfId="0" applyNumberFormat="1" applyFont="1" applyBorder="1" applyAlignment="1">
      <alignment horizontal="center" wrapText="1"/>
    </xf>
    <xf numFmtId="176" fontId="6" fillId="0" borderId="2" xfId="0" applyNumberFormat="1" applyFont="1" applyBorder="1" applyAlignment="1">
      <alignment horizont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4" fontId="6" fillId="3" borderId="2" xfId="0" applyNumberFormat="1" applyFont="1" applyFill="1" applyBorder="1" applyAlignment="1">
      <alignment horizontal="right" vertical="center" wrapText="1"/>
    </xf>
    <xf numFmtId="176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4" fontId="8" fillId="2" borderId="2" xfId="0" applyNumberFormat="1" applyFont="1" applyFill="1" applyBorder="1" applyAlignment="1">
      <alignment horizontal="right" vertical="center" wrapText="1"/>
    </xf>
    <xf numFmtId="176" fontId="8" fillId="2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/>
    <xf numFmtId="0" fontId="8" fillId="4" borderId="2" xfId="0" applyFont="1" applyFill="1" applyBorder="1" applyAlignment="1">
      <alignment horizontal="center" vertical="center" wrapText="1"/>
    </xf>
    <xf numFmtId="4" fontId="8" fillId="4" borderId="2" xfId="0" applyNumberFormat="1" applyFont="1" applyFill="1" applyBorder="1" applyAlignment="1">
      <alignment horizontal="right" vertical="center" wrapText="1"/>
    </xf>
    <xf numFmtId="176" fontId="8" fillId="4" borderId="2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/>
    <xf numFmtId="49" fontId="10" fillId="2" borderId="2" xfId="0" applyNumberFormat="1" applyFont="1" applyFill="1" applyBorder="1" applyAlignment="1"/>
    <xf numFmtId="176" fontId="8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8" fillId="4" borderId="2" xfId="0" applyFont="1" applyFill="1" applyBorder="1"/>
    <xf numFmtId="4" fontId="8" fillId="4" borderId="2" xfId="0" applyNumberFormat="1" applyFont="1" applyFill="1" applyBorder="1" applyAlignment="1">
      <alignment horizontal="right"/>
    </xf>
    <xf numFmtId="49" fontId="8" fillId="0" borderId="2" xfId="0" applyNumberFormat="1" applyFont="1" applyBorder="1" applyAlignment="1">
      <alignment horizontal="center" vertical="center"/>
    </xf>
    <xf numFmtId="49" fontId="8" fillId="2" borderId="2" xfId="0" applyNumberFormat="1" applyFont="1" applyFill="1" applyBorder="1"/>
    <xf numFmtId="0" fontId="8" fillId="2" borderId="1" xfId="0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wrapText="1"/>
    </xf>
    <xf numFmtId="0" fontId="7" fillId="0" borderId="4" xfId="0" applyFont="1" applyBorder="1"/>
    <xf numFmtId="49" fontId="8" fillId="6" borderId="2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/>
    <xf numFmtId="0" fontId="11" fillId="6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8" fillId="2" borderId="2" xfId="0" applyFont="1" applyFill="1" applyBorder="1" applyAlignment="1"/>
    <xf numFmtId="49" fontId="10" fillId="6" borderId="2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left"/>
    </xf>
    <xf numFmtId="49" fontId="11" fillId="2" borderId="2" xfId="0" applyNumberFormat="1" applyFont="1" applyFill="1" applyBorder="1" applyAlignment="1">
      <alignment horizontal="left"/>
    </xf>
    <xf numFmtId="0" fontId="6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/>
    </xf>
    <xf numFmtId="4" fontId="8" fillId="6" borderId="2" xfId="0" applyNumberFormat="1" applyFont="1" applyFill="1" applyBorder="1" applyAlignment="1">
      <alignment horizontal="right"/>
    </xf>
    <xf numFmtId="0" fontId="8" fillId="6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/>
    </xf>
    <xf numFmtId="0" fontId="8" fillId="3" borderId="2" xfId="0" applyFont="1" applyFill="1" applyBorder="1"/>
    <xf numFmtId="4" fontId="8" fillId="3" borderId="2" xfId="0" applyNumberFormat="1" applyFont="1" applyFill="1" applyBorder="1" applyAlignment="1">
      <alignment horizontal="right"/>
    </xf>
    <xf numFmtId="0" fontId="8" fillId="3" borderId="2" xfId="0" applyFont="1" applyFill="1" applyBorder="1" applyAlignment="1">
      <alignment horizontal="center" vertical="center" wrapText="1"/>
    </xf>
    <xf numFmtId="49" fontId="8" fillId="0" borderId="2" xfId="0" applyNumberFormat="1" applyFont="1" applyBorder="1"/>
    <xf numFmtId="0" fontId="8" fillId="0" borderId="2" xfId="0" applyFont="1" applyBorder="1" applyAlignment="1">
      <alignment horizontal="center" vertical="center" wrapText="1"/>
    </xf>
    <xf numFmtId="4" fontId="8" fillId="0" borderId="2" xfId="0" applyNumberFormat="1" applyFont="1" applyBorder="1" applyAlignment="1">
      <alignment horizontal="right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/>
    <xf numFmtId="0" fontId="8" fillId="2" borderId="2" xfId="0" applyFont="1" applyFill="1" applyBorder="1" applyAlignment="1">
      <alignment horizontal="center"/>
    </xf>
    <xf numFmtId="4" fontId="10" fillId="2" borderId="2" xfId="0" applyNumberFormat="1" applyFont="1" applyFill="1" applyBorder="1" applyAlignment="1">
      <alignment horizontal="center"/>
    </xf>
    <xf numFmtId="4" fontId="8" fillId="2" borderId="2" xfId="0" applyNumberFormat="1" applyFont="1" applyFill="1" applyBorder="1" applyAlignment="1"/>
    <xf numFmtId="0" fontId="13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/>
    <xf numFmtId="0" fontId="6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right" vertical="center"/>
    </xf>
    <xf numFmtId="4" fontId="8" fillId="2" borderId="1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0" borderId="2" xfId="0" applyFont="1" applyBorder="1" applyAlignment="1"/>
    <xf numFmtId="0" fontId="10" fillId="6" borderId="2" xfId="0" applyFont="1" applyFill="1" applyBorder="1" applyAlignment="1">
      <alignment horizontal="center" wrapText="1"/>
    </xf>
    <xf numFmtId="0" fontId="10" fillId="6" borderId="2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7" fillId="0" borderId="6" xfId="0" applyFont="1" applyBorder="1"/>
    <xf numFmtId="0" fontId="8" fillId="2" borderId="2" xfId="0" applyFont="1" applyFill="1" applyBorder="1" applyAlignment="1">
      <alignment horizontal="right" vertical="center" wrapText="1"/>
    </xf>
    <xf numFmtId="0" fontId="8" fillId="2" borderId="2" xfId="0" applyFont="1" applyFill="1" applyBorder="1"/>
    <xf numFmtId="0" fontId="8" fillId="6" borderId="2" xfId="0" applyFont="1" applyFill="1" applyBorder="1"/>
    <xf numFmtId="0" fontId="8" fillId="0" borderId="2" xfId="0" applyFont="1" applyBorder="1"/>
    <xf numFmtId="0" fontId="13" fillId="2" borderId="2" xfId="0" applyFont="1" applyFill="1" applyBorder="1"/>
    <xf numFmtId="0" fontId="14" fillId="2" borderId="2" xfId="0" applyFont="1" applyFill="1" applyBorder="1" applyAlignment="1"/>
    <xf numFmtId="0" fontId="8" fillId="2" borderId="1" xfId="0" applyFont="1" applyFill="1" applyBorder="1"/>
    <xf numFmtId="0" fontId="8" fillId="2" borderId="1" xfId="0" applyFont="1" applyFill="1" applyBorder="1" applyAlignment="1"/>
    <xf numFmtId="0" fontId="15" fillId="3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2" fillId="4" borderId="2" xfId="0" applyFont="1" applyFill="1" applyBorder="1"/>
    <xf numFmtId="0" fontId="2" fillId="2" borderId="2" xfId="0" applyFont="1" applyFill="1" applyBorder="1"/>
    <xf numFmtId="0" fontId="2" fillId="3" borderId="2" xfId="0" applyFont="1" applyFill="1" applyBorder="1"/>
    <xf numFmtId="0" fontId="2" fillId="0" borderId="2" xfId="0" applyFont="1" applyBorder="1"/>
    <xf numFmtId="0" fontId="16" fillId="2" borderId="2" xfId="0" applyFont="1" applyFill="1" applyBorder="1"/>
    <xf numFmtId="0" fontId="7" fillId="0" borderId="7" xfId="0" applyFont="1" applyBorder="1"/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/>
    <xf numFmtId="0" fontId="2" fillId="6" borderId="2" xfId="0" applyFont="1" applyFill="1" applyBorder="1"/>
    <xf numFmtId="0" fontId="13" fillId="2" borderId="0" xfId="0" applyFont="1" applyFill="1"/>
    <xf numFmtId="0" fontId="16" fillId="2" borderId="0" xfId="0" applyFont="1" applyFill="1"/>
    <xf numFmtId="0" fontId="2" fillId="2" borderId="1" xfId="0" applyFont="1" applyFill="1" applyBorder="1"/>
    <xf numFmtId="0" fontId="10" fillId="2" borderId="2" xfId="0" applyFont="1" applyFill="1" applyBorder="1" applyAlignment="1">
      <alignment horizont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177" fontId="1" fillId="0" borderId="8" xfId="0" applyNumberFormat="1" applyFont="1" applyBorder="1" applyAlignment="1">
      <alignment horizontal="right"/>
    </xf>
    <xf numFmtId="0" fontId="7" fillId="0" borderId="8" xfId="0" applyFont="1" applyBorder="1"/>
    <xf numFmtId="0" fontId="6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76" fontId="1" fillId="0" borderId="9" xfId="0" applyNumberFormat="1" applyFont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76" fontId="1" fillId="0" borderId="5" xfId="0" applyNumberFormat="1" applyFont="1" applyBorder="1" applyAlignment="1">
      <alignment horizontal="center"/>
    </xf>
    <xf numFmtId="0" fontId="19" fillId="2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1" fillId="0" borderId="0" xfId="0" applyFont="1" applyAlignment="1"/>
    <xf numFmtId="0" fontId="15" fillId="2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21" fillId="0" borderId="0" xfId="0" applyFont="1" applyAlignment="1">
      <alignment wrapText="1"/>
    </xf>
    <xf numFmtId="4" fontId="2" fillId="0" borderId="0" xfId="0" applyNumberFormat="1" applyFont="1" applyAlignment="1"/>
    <xf numFmtId="176" fontId="2" fillId="0" borderId="0" xfId="0" applyNumberFormat="1" applyFont="1" applyAlignment="1"/>
    <xf numFmtId="0" fontId="2" fillId="2" borderId="0" xfId="0" applyFont="1" applyFill="1" applyAlignment="1"/>
    <xf numFmtId="0" fontId="2" fillId="0" borderId="0" xfId="0" applyFont="1" applyAlignment="1"/>
    <xf numFmtId="0" fontId="17" fillId="2" borderId="0" xfId="0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" fillId="2" borderId="0" xfId="0" applyFont="1" applyFill="1"/>
    <xf numFmtId="0" fontId="0" fillId="2" borderId="0" xfId="0" applyFont="1" applyFill="1"/>
    <xf numFmtId="4" fontId="22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17" fillId="0" borderId="0" xfId="0" applyFont="1"/>
    <xf numFmtId="176" fontId="17" fillId="0" borderId="0" xfId="0" applyNumberFormat="1" applyFont="1" applyAlignment="1">
      <alignment horizontal="center"/>
    </xf>
    <xf numFmtId="0" fontId="6" fillId="0" borderId="2" xfId="0" applyFont="1" applyBorder="1" applyAlignment="1" quotePrefix="1">
      <alignment horizontal="center" wrapText="1"/>
    </xf>
    <xf numFmtId="4" fontId="6" fillId="0" borderId="2" xfId="0" applyNumberFormat="1" applyFont="1" applyBorder="1" applyAlignment="1" quotePrefix="1">
      <alignment horizontal="center" wrapText="1"/>
    </xf>
    <xf numFmtId="176" fontId="6" fillId="0" borderId="2" xfId="0" applyNumberFormat="1" applyFont="1" applyBorder="1" applyAlignment="1" quotePrefix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018"/>
  <sheetViews>
    <sheetView tabSelected="1" topLeftCell="A45" workbookViewId="0">
      <selection activeCell="F62" sqref="F62"/>
    </sheetView>
  </sheetViews>
  <sheetFormatPr defaultColWidth="12.6333333333333" defaultRowHeight="15" customHeight="1"/>
  <cols>
    <col min="1" max="2" width="11.5" customWidth="1"/>
    <col min="3" max="3" width="16.1333333333333" customWidth="1"/>
    <col min="4" max="4" width="51.75" customWidth="1"/>
    <col min="5" max="5" width="11.6333333333333" customWidth="1"/>
    <col min="6" max="6" width="10.1333333333333" customWidth="1"/>
    <col min="7" max="7" width="13.3833333333333" customWidth="1"/>
    <col min="8" max="8" width="35.1333333333333" customWidth="1"/>
    <col min="9" max="9" width="10.3833333333333" customWidth="1"/>
    <col min="10" max="14" width="7.63333333333333" customWidth="1"/>
    <col min="15" max="35" width="0.383333333333333" customWidth="1"/>
    <col min="36" max="36" width="22.6333333333333" customWidth="1"/>
    <col min="37" max="38" width="7.63333333333333" customWidth="1"/>
  </cols>
  <sheetData>
    <row r="1" ht="15.75" spans="1:38">
      <c r="A1" s="1"/>
      <c r="B1" s="2" t="s">
        <v>0</v>
      </c>
      <c r="AK1" s="13"/>
      <c r="AL1" s="13"/>
    </row>
    <row r="2" ht="14.25" spans="1:38">
      <c r="A2" s="3"/>
      <c r="B2" s="4" t="s">
        <v>1</v>
      </c>
      <c r="AK2" s="13"/>
      <c r="AL2" s="13"/>
    </row>
    <row r="3" spans="1:38">
      <c r="A3" s="5"/>
      <c r="B3" s="6"/>
      <c r="AK3" s="13"/>
      <c r="AL3" s="13"/>
    </row>
    <row r="4" ht="15.75" spans="1:38">
      <c r="A4" s="7"/>
      <c r="B4" s="8" t="s">
        <v>2</v>
      </c>
      <c r="C4" s="9"/>
      <c r="D4" s="9"/>
      <c r="E4" s="9"/>
      <c r="F4" s="10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13"/>
      <c r="AK4" s="13"/>
      <c r="AL4" s="13"/>
    </row>
    <row r="5" spans="1:38">
      <c r="A5" s="11"/>
      <c r="B5" s="12"/>
      <c r="C5" s="9"/>
      <c r="D5" s="9"/>
      <c r="E5" s="13"/>
      <c r="F5" s="14"/>
      <c r="G5" s="15"/>
      <c r="H5" s="16"/>
      <c r="I5" s="16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ht="15.75" spans="1:38">
      <c r="A6" s="7"/>
      <c r="B6" s="8" t="s">
        <v>3</v>
      </c>
      <c r="C6" s="9"/>
      <c r="D6" s="9"/>
      <c r="E6" s="13"/>
      <c r="F6" s="14"/>
      <c r="G6" s="15"/>
      <c r="H6" s="16"/>
      <c r="I6" s="16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</row>
    <row r="7" spans="1:38">
      <c r="A7" s="11"/>
      <c r="B7" s="12" t="s">
        <v>4</v>
      </c>
      <c r="C7" s="9"/>
      <c r="D7" s="9"/>
      <c r="E7" s="13"/>
      <c r="F7" s="14"/>
      <c r="G7" s="15"/>
      <c r="H7" s="16"/>
      <c r="I7" s="16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 ht="22.5" customHeight="1" spans="1:40">
      <c r="A8" s="17"/>
      <c r="B8" s="18" t="s">
        <v>5</v>
      </c>
      <c r="C8" s="18" t="s">
        <v>6</v>
      </c>
      <c r="D8" s="18" t="s">
        <v>7</v>
      </c>
      <c r="E8" s="19" t="s">
        <v>8</v>
      </c>
      <c r="F8" s="20" t="s">
        <v>9</v>
      </c>
      <c r="G8" s="21" t="s">
        <v>10</v>
      </c>
      <c r="H8" s="18" t="s">
        <v>11</v>
      </c>
      <c r="I8" s="18" t="s">
        <v>12</v>
      </c>
      <c r="J8" s="101" t="s">
        <v>13</v>
      </c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18"/>
      <c r="AK8" s="119"/>
      <c r="AL8" s="119"/>
      <c r="AM8" s="120"/>
      <c r="AN8" s="120"/>
    </row>
    <row r="9" ht="24" spans="1:40">
      <c r="A9" s="17"/>
      <c r="B9" s="22"/>
      <c r="C9" s="22"/>
      <c r="D9" s="22"/>
      <c r="E9" s="23" t="s">
        <v>14</v>
      </c>
      <c r="F9" s="22"/>
      <c r="G9" s="22"/>
      <c r="H9" s="22"/>
      <c r="I9" s="22"/>
      <c r="J9" s="23" t="s">
        <v>15</v>
      </c>
      <c r="K9" s="23" t="s">
        <v>16</v>
      </c>
      <c r="L9" s="23" t="s">
        <v>17</v>
      </c>
      <c r="M9" s="19" t="s">
        <v>18</v>
      </c>
      <c r="N9" s="19" t="s">
        <v>19</v>
      </c>
      <c r="O9" s="23" t="s">
        <v>20</v>
      </c>
      <c r="P9" s="23" t="s">
        <v>21</v>
      </c>
      <c r="Q9" s="23" t="s">
        <v>22</v>
      </c>
      <c r="R9" s="23" t="s">
        <v>23</v>
      </c>
      <c r="S9" s="23" t="s">
        <v>24</v>
      </c>
      <c r="T9" s="23" t="s">
        <v>25</v>
      </c>
      <c r="U9" s="23" t="s">
        <v>26</v>
      </c>
      <c r="V9" s="23" t="s">
        <v>27</v>
      </c>
      <c r="W9" s="23" t="s">
        <v>28</v>
      </c>
      <c r="X9" s="23" t="s">
        <v>29</v>
      </c>
      <c r="Y9" s="23" t="s">
        <v>30</v>
      </c>
      <c r="Z9" s="23" t="s">
        <v>31</v>
      </c>
      <c r="AA9" s="23" t="s">
        <v>32</v>
      </c>
      <c r="AB9" s="23" t="s">
        <v>33</v>
      </c>
      <c r="AC9" s="23" t="s">
        <v>34</v>
      </c>
      <c r="AD9" s="23" t="s">
        <v>35</v>
      </c>
      <c r="AE9" s="23" t="s">
        <v>36</v>
      </c>
      <c r="AF9" s="23" t="s">
        <v>37</v>
      </c>
      <c r="AG9" s="23" t="s">
        <v>38</v>
      </c>
      <c r="AH9" s="23" t="s">
        <v>39</v>
      </c>
      <c r="AI9" s="23" t="s">
        <v>40</v>
      </c>
      <c r="AJ9" s="23" t="s">
        <v>41</v>
      </c>
      <c r="AK9" s="119"/>
      <c r="AL9" s="119"/>
      <c r="AM9" s="120"/>
      <c r="AN9" s="120"/>
    </row>
    <row r="10" ht="48" spans="1:38">
      <c r="A10" s="24"/>
      <c r="B10" s="168" t="s">
        <v>42</v>
      </c>
      <c r="C10" s="168" t="s">
        <v>43</v>
      </c>
      <c r="D10" s="168" t="s">
        <v>44</v>
      </c>
      <c r="E10" s="168" t="s">
        <v>45</v>
      </c>
      <c r="F10" s="169" t="s">
        <v>46</v>
      </c>
      <c r="G10" s="170" t="s">
        <v>47</v>
      </c>
      <c r="H10" s="168" t="s">
        <v>48</v>
      </c>
      <c r="I10" s="168" t="s">
        <v>49</v>
      </c>
      <c r="J10" s="168" t="s">
        <v>50</v>
      </c>
      <c r="K10" s="168" t="s">
        <v>51</v>
      </c>
      <c r="L10" s="168" t="s">
        <v>52</v>
      </c>
      <c r="M10" s="168" t="s">
        <v>53</v>
      </c>
      <c r="N10" s="168" t="s">
        <v>54</v>
      </c>
      <c r="O10" s="168" t="s">
        <v>55</v>
      </c>
      <c r="P10" s="168" t="s">
        <v>56</v>
      </c>
      <c r="Q10" s="168" t="s">
        <v>57</v>
      </c>
      <c r="R10" s="168" t="s">
        <v>58</v>
      </c>
      <c r="S10" s="168" t="s">
        <v>59</v>
      </c>
      <c r="T10" s="168" t="s">
        <v>60</v>
      </c>
      <c r="U10" s="168" t="s">
        <v>61</v>
      </c>
      <c r="V10" s="168" t="s">
        <v>62</v>
      </c>
      <c r="W10" s="168" t="s">
        <v>63</v>
      </c>
      <c r="X10" s="168" t="s">
        <v>64</v>
      </c>
      <c r="Y10" s="168" t="s">
        <v>65</v>
      </c>
      <c r="Z10" s="168" t="s">
        <v>66</v>
      </c>
      <c r="AA10" s="168" t="s">
        <v>67</v>
      </c>
      <c r="AB10" s="168" t="s">
        <v>68</v>
      </c>
      <c r="AC10" s="168" t="s">
        <v>69</v>
      </c>
      <c r="AD10" s="168" t="s">
        <v>70</v>
      </c>
      <c r="AE10" s="168" t="s">
        <v>71</v>
      </c>
      <c r="AF10" s="168" t="s">
        <v>72</v>
      </c>
      <c r="AG10" s="168" t="s">
        <v>73</v>
      </c>
      <c r="AH10" s="168" t="s">
        <v>74</v>
      </c>
      <c r="AI10" s="168" t="s">
        <v>75</v>
      </c>
      <c r="AJ10" s="168" t="s">
        <v>76</v>
      </c>
      <c r="AK10" s="121"/>
      <c r="AL10" s="121"/>
    </row>
    <row r="11" ht="14.25" spans="1:38">
      <c r="A11" s="17"/>
      <c r="B11" s="28"/>
      <c r="C11" s="29"/>
      <c r="D11" s="29" t="s">
        <v>77</v>
      </c>
      <c r="E11" s="28"/>
      <c r="F11" s="30"/>
      <c r="G11" s="31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21"/>
      <c r="AL11" s="121"/>
    </row>
    <row r="12" ht="48" spans="1:38">
      <c r="A12" s="17"/>
      <c r="B12" s="32"/>
      <c r="C12" s="33"/>
      <c r="D12" s="33" t="s">
        <v>78</v>
      </c>
      <c r="E12" s="34" t="s">
        <v>79</v>
      </c>
      <c r="F12" s="35">
        <v>51800</v>
      </c>
      <c r="G12" s="35">
        <v>51800</v>
      </c>
      <c r="H12" s="34"/>
      <c r="I12" s="32"/>
      <c r="J12" s="103">
        <v>1</v>
      </c>
      <c r="K12" s="32"/>
      <c r="L12" s="34"/>
      <c r="M12" s="32"/>
      <c r="N12" s="32"/>
      <c r="O12" s="32"/>
      <c r="P12" s="32"/>
      <c r="Q12" s="3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21"/>
      <c r="AL12" s="121"/>
    </row>
    <row r="13" ht="24" spans="1:38">
      <c r="A13" s="17"/>
      <c r="B13" s="19"/>
      <c r="C13" s="33"/>
      <c r="D13" s="33" t="s">
        <v>80</v>
      </c>
      <c r="E13" s="34" t="s">
        <v>79</v>
      </c>
      <c r="F13" s="35">
        <v>900000</v>
      </c>
      <c r="G13" s="36">
        <v>900000</v>
      </c>
      <c r="H13" s="34" t="s">
        <v>81</v>
      </c>
      <c r="I13" s="32"/>
      <c r="J13" s="103">
        <v>1</v>
      </c>
      <c r="K13" s="32"/>
      <c r="L13" s="32"/>
      <c r="M13" s="32"/>
      <c r="N13" s="32"/>
      <c r="O13" s="32"/>
      <c r="P13" s="32"/>
      <c r="Q13" s="3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21"/>
      <c r="AL13" s="121"/>
    </row>
    <row r="14" ht="15.75" customHeight="1" spans="1:38">
      <c r="A14" s="17"/>
      <c r="B14" s="37"/>
      <c r="C14" s="38"/>
      <c r="D14" s="39" t="s">
        <v>82</v>
      </c>
      <c r="E14" s="40"/>
      <c r="F14" s="41"/>
      <c r="G14" s="42"/>
      <c r="H14" s="40"/>
      <c r="I14" s="49"/>
      <c r="J14" s="49"/>
      <c r="K14" s="37"/>
      <c r="L14" s="49"/>
      <c r="M14" s="49"/>
      <c r="N14" s="49"/>
      <c r="O14" s="49"/>
      <c r="P14" s="49"/>
      <c r="Q14" s="49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21"/>
      <c r="AL14" s="121"/>
    </row>
    <row r="15" ht="15.75" customHeight="1" spans="1:38">
      <c r="A15" s="17"/>
      <c r="B15" s="32"/>
      <c r="C15" s="43"/>
      <c r="D15" s="44" t="s">
        <v>83</v>
      </c>
      <c r="E15" s="34"/>
      <c r="F15" s="35"/>
      <c r="G15" s="36"/>
      <c r="H15" s="34"/>
      <c r="I15" s="104"/>
      <c r="J15" s="104"/>
      <c r="K15" s="32"/>
      <c r="L15" s="104"/>
      <c r="M15" s="104"/>
      <c r="N15" s="104"/>
      <c r="O15" s="104"/>
      <c r="P15" s="104"/>
      <c r="Q15" s="10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21"/>
      <c r="AL15" s="121"/>
    </row>
    <row r="16" ht="15.75" customHeight="1" spans="1:38">
      <c r="A16" s="17"/>
      <c r="B16" s="32"/>
      <c r="C16" s="43"/>
      <c r="D16" s="45" t="s">
        <v>84</v>
      </c>
      <c r="E16" s="34" t="s">
        <v>79</v>
      </c>
      <c r="F16" s="35">
        <v>5000</v>
      </c>
      <c r="G16" s="46">
        <v>50000</v>
      </c>
      <c r="H16" s="34"/>
      <c r="I16" s="104"/>
      <c r="J16" s="104"/>
      <c r="K16" s="32"/>
      <c r="L16" s="104"/>
      <c r="M16" s="104"/>
      <c r="N16" s="104"/>
      <c r="O16" s="104"/>
      <c r="P16" s="104"/>
      <c r="Q16" s="10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21"/>
      <c r="AL16" s="121"/>
    </row>
    <row r="17" ht="15.75" customHeight="1" spans="1:38">
      <c r="A17" s="17"/>
      <c r="B17" s="32"/>
      <c r="C17" s="43"/>
      <c r="D17" s="45" t="s">
        <v>85</v>
      </c>
      <c r="E17" s="34" t="s">
        <v>79</v>
      </c>
      <c r="F17" s="35">
        <v>40000</v>
      </c>
      <c r="G17" s="22"/>
      <c r="H17" s="34"/>
      <c r="I17" s="104"/>
      <c r="J17" s="104"/>
      <c r="K17" s="32"/>
      <c r="L17" s="104"/>
      <c r="M17" s="104"/>
      <c r="N17" s="104"/>
      <c r="O17" s="104"/>
      <c r="P17" s="104"/>
      <c r="Q17" s="10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21"/>
      <c r="AL17" s="121"/>
    </row>
    <row r="18" ht="15.75" customHeight="1" spans="1:38">
      <c r="A18" s="17"/>
      <c r="B18" s="32"/>
      <c r="C18" s="43"/>
      <c r="D18" s="44" t="s">
        <v>86</v>
      </c>
      <c r="E18" s="34" t="s">
        <v>79</v>
      </c>
      <c r="F18" s="35">
        <v>250000</v>
      </c>
      <c r="G18" s="36">
        <v>250000</v>
      </c>
      <c r="H18" s="34"/>
      <c r="I18" s="104"/>
      <c r="J18" s="104"/>
      <c r="K18" s="32"/>
      <c r="L18" s="104"/>
      <c r="M18" s="104"/>
      <c r="N18" s="104"/>
      <c r="O18" s="104"/>
      <c r="P18" s="104"/>
      <c r="Q18" s="10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21"/>
      <c r="AL18" s="121"/>
    </row>
    <row r="19" ht="15.75" customHeight="1" spans="1:40">
      <c r="A19" s="17"/>
      <c r="B19" s="28"/>
      <c r="C19" s="47"/>
      <c r="D19" s="48" t="s">
        <v>87</v>
      </c>
      <c r="E19" s="49"/>
      <c r="F19" s="50"/>
      <c r="G19" s="49"/>
      <c r="H19" s="40"/>
      <c r="I19" s="49"/>
      <c r="J19" s="49"/>
      <c r="K19" s="37"/>
      <c r="L19" s="49"/>
      <c r="M19" s="49"/>
      <c r="N19" s="49"/>
      <c r="O19" s="49"/>
      <c r="P19" s="49"/>
      <c r="Q19" s="49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21"/>
      <c r="AL19" s="121"/>
      <c r="AM19" s="13"/>
      <c r="AN19" s="13"/>
    </row>
    <row r="20" ht="15.75" customHeight="1" spans="1:40">
      <c r="A20" s="17"/>
      <c r="B20" s="19"/>
      <c r="C20" s="51"/>
      <c r="D20" s="52" t="s">
        <v>88</v>
      </c>
      <c r="E20" s="53" t="s">
        <v>79</v>
      </c>
      <c r="F20" s="35">
        <v>1000</v>
      </c>
      <c r="G20" s="46">
        <v>85600</v>
      </c>
      <c r="H20" s="53" t="s">
        <v>89</v>
      </c>
      <c r="I20" s="104"/>
      <c r="J20" s="104">
        <v>5</v>
      </c>
      <c r="K20" s="104"/>
      <c r="L20" s="104"/>
      <c r="M20" s="104"/>
      <c r="N20" s="104"/>
      <c r="O20" s="104"/>
      <c r="P20" s="104"/>
      <c r="Q20" s="10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21"/>
      <c r="AL20" s="121"/>
      <c r="AM20" s="13"/>
      <c r="AN20" s="13"/>
    </row>
    <row r="21" ht="15.75" customHeight="1" spans="1:40">
      <c r="A21" s="17"/>
      <c r="B21" s="19"/>
      <c r="C21" s="54"/>
      <c r="D21" s="55" t="s">
        <v>90</v>
      </c>
      <c r="E21" s="56"/>
      <c r="F21" s="35">
        <v>2000</v>
      </c>
      <c r="G21" s="56"/>
      <c r="H21" s="56"/>
      <c r="I21" s="104"/>
      <c r="J21" s="104">
        <v>5</v>
      </c>
      <c r="K21" s="104"/>
      <c r="L21" s="104"/>
      <c r="M21" s="104"/>
      <c r="N21" s="104"/>
      <c r="O21" s="104"/>
      <c r="P21" s="104"/>
      <c r="Q21" s="10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21"/>
      <c r="AL21" s="121"/>
      <c r="AM21" s="13"/>
      <c r="AN21" s="13"/>
    </row>
    <row r="22" ht="15.75" customHeight="1" spans="1:40">
      <c r="A22" s="17"/>
      <c r="B22" s="19"/>
      <c r="C22" s="57"/>
      <c r="D22" s="58" t="s">
        <v>91</v>
      </c>
      <c r="E22" s="56"/>
      <c r="F22" s="35">
        <v>2000</v>
      </c>
      <c r="G22" s="56"/>
      <c r="H22" s="56"/>
      <c r="I22" s="104"/>
      <c r="J22" s="104">
        <v>5</v>
      </c>
      <c r="K22" s="104"/>
      <c r="L22" s="104"/>
      <c r="M22" s="104"/>
      <c r="N22" s="104"/>
      <c r="O22" s="104"/>
      <c r="P22" s="104"/>
      <c r="Q22" s="10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21"/>
      <c r="AL22" s="121"/>
      <c r="AM22" s="13"/>
      <c r="AN22" s="13"/>
    </row>
    <row r="23" ht="15.75" customHeight="1" spans="1:40">
      <c r="A23" s="17"/>
      <c r="B23" s="19"/>
      <c r="C23" s="59"/>
      <c r="D23" s="60" t="s">
        <v>92</v>
      </c>
      <c r="E23" s="56"/>
      <c r="F23" s="35">
        <v>1500</v>
      </c>
      <c r="G23" s="56"/>
      <c r="H23" s="56"/>
      <c r="I23" s="104"/>
      <c r="J23" s="104">
        <v>6</v>
      </c>
      <c r="K23" s="104"/>
      <c r="L23" s="104"/>
      <c r="M23" s="104"/>
      <c r="N23" s="104"/>
      <c r="O23" s="104"/>
      <c r="P23" s="104"/>
      <c r="Q23" s="10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21"/>
      <c r="AL23" s="121"/>
      <c r="AM23" s="13"/>
      <c r="AN23" s="13"/>
    </row>
    <row r="24" ht="15.75" customHeight="1" spans="1:40">
      <c r="A24" s="17"/>
      <c r="B24" s="19"/>
      <c r="C24" s="61"/>
      <c r="D24" s="62" t="s">
        <v>93</v>
      </c>
      <c r="E24" s="56"/>
      <c r="F24" s="35">
        <v>500</v>
      </c>
      <c r="G24" s="56"/>
      <c r="H24" s="56"/>
      <c r="I24" s="104"/>
      <c r="J24" s="104">
        <v>5</v>
      </c>
      <c r="K24" s="104"/>
      <c r="L24" s="104"/>
      <c r="M24" s="104"/>
      <c r="N24" s="104"/>
      <c r="O24" s="104"/>
      <c r="P24" s="104"/>
      <c r="Q24" s="10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21"/>
      <c r="AL24" s="121"/>
      <c r="AM24" s="13"/>
      <c r="AN24" s="13"/>
    </row>
    <row r="25" ht="15.75" customHeight="1" spans="1:40">
      <c r="A25" s="17"/>
      <c r="B25" s="19"/>
      <c r="C25" s="63"/>
      <c r="D25" s="64" t="s">
        <v>94</v>
      </c>
      <c r="E25" s="56"/>
      <c r="F25" s="35">
        <v>1500</v>
      </c>
      <c r="G25" s="56"/>
      <c r="H25" s="56"/>
      <c r="I25" s="104"/>
      <c r="J25" s="104">
        <v>30</v>
      </c>
      <c r="K25" s="104"/>
      <c r="L25" s="104"/>
      <c r="M25" s="104"/>
      <c r="N25" s="104"/>
      <c r="O25" s="104"/>
      <c r="P25" s="104"/>
      <c r="Q25" s="10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21"/>
      <c r="AL25" s="121"/>
      <c r="AM25" s="13"/>
      <c r="AN25" s="13"/>
    </row>
    <row r="26" ht="15.75" customHeight="1" spans="1:40">
      <c r="A26" s="17"/>
      <c r="B26" s="19"/>
      <c r="C26" s="63"/>
      <c r="D26" s="64" t="s">
        <v>95</v>
      </c>
      <c r="E26" s="56"/>
      <c r="F26" s="35">
        <v>300</v>
      </c>
      <c r="G26" s="56"/>
      <c r="H26" s="56"/>
      <c r="I26" s="104"/>
      <c r="J26" s="104">
        <v>5</v>
      </c>
      <c r="K26" s="104"/>
      <c r="L26" s="104"/>
      <c r="M26" s="104"/>
      <c r="N26" s="104"/>
      <c r="O26" s="104"/>
      <c r="P26" s="104"/>
      <c r="Q26" s="10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21"/>
      <c r="AL26" s="121"/>
      <c r="AM26" s="13"/>
      <c r="AN26" s="13"/>
    </row>
    <row r="27" ht="15.75" customHeight="1" spans="1:40">
      <c r="A27" s="17"/>
      <c r="B27" s="19"/>
      <c r="C27" s="63"/>
      <c r="D27" s="64" t="s">
        <v>96</v>
      </c>
      <c r="E27" s="56"/>
      <c r="F27" s="35">
        <v>600</v>
      </c>
      <c r="G27" s="56"/>
      <c r="H27" s="56"/>
      <c r="I27" s="104"/>
      <c r="J27" s="104">
        <v>5</v>
      </c>
      <c r="K27" s="104"/>
      <c r="L27" s="104"/>
      <c r="M27" s="104"/>
      <c r="N27" s="104"/>
      <c r="O27" s="104"/>
      <c r="P27" s="104"/>
      <c r="Q27" s="10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21"/>
      <c r="AL27" s="121"/>
      <c r="AM27" s="13"/>
      <c r="AN27" s="13"/>
    </row>
    <row r="28" ht="15.75" customHeight="1" spans="1:40">
      <c r="A28" s="17"/>
      <c r="B28" s="19"/>
      <c r="C28" s="63"/>
      <c r="D28" s="64" t="s">
        <v>97</v>
      </c>
      <c r="E28" s="22"/>
      <c r="F28" s="35">
        <v>100</v>
      </c>
      <c r="G28" s="22"/>
      <c r="H28" s="22"/>
      <c r="I28" s="104"/>
      <c r="J28" s="104">
        <v>5</v>
      </c>
      <c r="K28" s="104"/>
      <c r="L28" s="104"/>
      <c r="M28" s="104"/>
      <c r="N28" s="104"/>
      <c r="O28" s="104"/>
      <c r="P28" s="104"/>
      <c r="Q28" s="10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21"/>
      <c r="AL28" s="121"/>
      <c r="AM28" s="13"/>
      <c r="AN28" s="13"/>
    </row>
    <row r="29" ht="15.75" customHeight="1" spans="1:40">
      <c r="A29" s="17"/>
      <c r="B29" s="19"/>
      <c r="C29" s="51"/>
      <c r="D29" s="65" t="s">
        <v>98</v>
      </c>
      <c r="E29" s="34" t="s">
        <v>99</v>
      </c>
      <c r="F29" s="35">
        <v>25000</v>
      </c>
      <c r="G29" s="36">
        <v>100000</v>
      </c>
      <c r="H29" s="34"/>
      <c r="I29" s="104"/>
      <c r="J29" s="62"/>
      <c r="K29" s="32"/>
      <c r="L29" s="104"/>
      <c r="M29" s="104"/>
      <c r="N29" s="104"/>
      <c r="O29" s="104"/>
      <c r="P29" s="104"/>
      <c r="Q29" s="10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21"/>
      <c r="AL29" s="121"/>
      <c r="AM29" s="13"/>
      <c r="AN29" s="13"/>
    </row>
    <row r="30" ht="15.75" customHeight="1" spans="1:40">
      <c r="A30" s="17"/>
      <c r="B30" s="19"/>
      <c r="C30" s="51"/>
      <c r="D30" s="52" t="s">
        <v>100</v>
      </c>
      <c r="E30" s="53" t="s">
        <v>79</v>
      </c>
      <c r="F30" s="35">
        <v>40000</v>
      </c>
      <c r="G30" s="46">
        <v>87000</v>
      </c>
      <c r="H30" s="53" t="s">
        <v>81</v>
      </c>
      <c r="I30" s="104"/>
      <c r="J30" s="62">
        <v>1</v>
      </c>
      <c r="K30" s="32"/>
      <c r="L30" s="104"/>
      <c r="M30" s="104"/>
      <c r="N30" s="104"/>
      <c r="O30" s="104"/>
      <c r="P30" s="104"/>
      <c r="Q30" s="10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21"/>
      <c r="AL30" s="121"/>
      <c r="AM30" s="13"/>
      <c r="AN30" s="13"/>
    </row>
    <row r="31" ht="15.75" customHeight="1" spans="1:40">
      <c r="A31" s="17"/>
      <c r="B31" s="19"/>
      <c r="C31" s="51"/>
      <c r="D31" s="52" t="s">
        <v>101</v>
      </c>
      <c r="E31" s="56"/>
      <c r="F31" s="35">
        <v>15000</v>
      </c>
      <c r="G31" s="56"/>
      <c r="H31" s="56"/>
      <c r="I31" s="104"/>
      <c r="J31" s="62">
        <v>3</v>
      </c>
      <c r="K31" s="32"/>
      <c r="L31" s="104"/>
      <c r="M31" s="104"/>
      <c r="N31" s="104"/>
      <c r="O31" s="104"/>
      <c r="P31" s="104"/>
      <c r="Q31" s="10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21"/>
      <c r="AL31" s="121"/>
      <c r="AM31" s="13"/>
      <c r="AN31" s="13"/>
    </row>
    <row r="32" ht="15.75" customHeight="1" spans="1:40">
      <c r="A32" s="17"/>
      <c r="B32" s="19"/>
      <c r="C32" s="51"/>
      <c r="D32" s="52" t="s">
        <v>102</v>
      </c>
      <c r="E32" s="56"/>
      <c r="F32" s="35">
        <v>10000</v>
      </c>
      <c r="G32" s="56"/>
      <c r="H32" s="56"/>
      <c r="I32" s="104"/>
      <c r="J32" s="62">
        <v>1</v>
      </c>
      <c r="K32" s="32"/>
      <c r="L32" s="104"/>
      <c r="M32" s="104"/>
      <c r="N32" s="104"/>
      <c r="O32" s="104"/>
      <c r="P32" s="104"/>
      <c r="Q32" s="10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21"/>
      <c r="AL32" s="121"/>
      <c r="AM32" s="13"/>
      <c r="AN32" s="13"/>
    </row>
    <row r="33" ht="15.75" customHeight="1" spans="1:40">
      <c r="A33" s="17"/>
      <c r="B33" s="19"/>
      <c r="C33" s="51"/>
      <c r="D33" s="52" t="s">
        <v>103</v>
      </c>
      <c r="E33" s="56"/>
      <c r="F33" s="35">
        <v>15000</v>
      </c>
      <c r="G33" s="56"/>
      <c r="H33" s="56"/>
      <c r="I33" s="104"/>
      <c r="J33" s="62">
        <v>2</v>
      </c>
      <c r="K33" s="32"/>
      <c r="L33" s="104"/>
      <c r="M33" s="104"/>
      <c r="N33" s="104"/>
      <c r="O33" s="104"/>
      <c r="P33" s="104"/>
      <c r="Q33" s="10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21"/>
      <c r="AL33" s="121"/>
      <c r="AM33" s="13"/>
      <c r="AN33" s="13"/>
    </row>
    <row r="34" ht="15.75" customHeight="1" spans="1:40">
      <c r="A34" s="17"/>
      <c r="B34" s="19"/>
      <c r="C34" s="51"/>
      <c r="D34" s="64" t="s">
        <v>104</v>
      </c>
      <c r="E34" s="22"/>
      <c r="F34" s="35">
        <v>7000</v>
      </c>
      <c r="G34" s="22"/>
      <c r="H34" s="22"/>
      <c r="I34" s="104"/>
      <c r="J34" s="62">
        <v>3</v>
      </c>
      <c r="K34" s="32"/>
      <c r="L34" s="104"/>
      <c r="M34" s="104"/>
      <c r="N34" s="104"/>
      <c r="O34" s="104"/>
      <c r="P34" s="104"/>
      <c r="Q34" s="10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21"/>
      <c r="AL34" s="121"/>
      <c r="AM34" s="13"/>
      <c r="AN34" s="13"/>
    </row>
    <row r="35" ht="15.75" customHeight="1" spans="1:40">
      <c r="A35" s="17"/>
      <c r="B35" s="32"/>
      <c r="C35" s="43"/>
      <c r="D35" s="58" t="s">
        <v>105</v>
      </c>
      <c r="E35" s="34" t="s">
        <v>106</v>
      </c>
      <c r="F35" s="35">
        <v>13000</v>
      </c>
      <c r="G35" s="36">
        <v>13000</v>
      </c>
      <c r="H35" s="34"/>
      <c r="I35" s="104"/>
      <c r="J35" s="62">
        <v>1</v>
      </c>
      <c r="K35" s="32"/>
      <c r="L35" s="104"/>
      <c r="M35" s="104"/>
      <c r="N35" s="104"/>
      <c r="O35" s="104"/>
      <c r="P35" s="104"/>
      <c r="Q35" s="10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21"/>
      <c r="AL35" s="121"/>
      <c r="AM35" s="13"/>
      <c r="AN35" s="13"/>
    </row>
    <row r="36" ht="15.75" customHeight="1" spans="1:38">
      <c r="A36" s="17"/>
      <c r="B36" s="66"/>
      <c r="C36" s="67"/>
      <c r="D36" s="68" t="s">
        <v>107</v>
      </c>
      <c r="E36" s="69" t="s">
        <v>99</v>
      </c>
      <c r="F36" s="70">
        <v>25000</v>
      </c>
      <c r="G36" s="46">
        <v>176000</v>
      </c>
      <c r="H36" s="71"/>
      <c r="I36" s="105"/>
      <c r="J36" s="105"/>
      <c r="K36" s="66"/>
      <c r="L36" s="66"/>
      <c r="M36" s="66"/>
      <c r="N36" s="105"/>
      <c r="O36" s="73"/>
      <c r="P36" s="73"/>
      <c r="Q36" s="73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22"/>
      <c r="AK36" s="121"/>
      <c r="AL36" s="121"/>
    </row>
    <row r="37" ht="15.75" customHeight="1" spans="1:38">
      <c r="A37" s="17"/>
      <c r="B37" s="66"/>
      <c r="C37" s="67"/>
      <c r="D37" s="68" t="s">
        <v>108</v>
      </c>
      <c r="E37" s="69" t="s">
        <v>109</v>
      </c>
      <c r="F37" s="70">
        <v>37000</v>
      </c>
      <c r="G37" s="56"/>
      <c r="H37" s="71"/>
      <c r="I37" s="105"/>
      <c r="J37" s="105"/>
      <c r="K37" s="66"/>
      <c r="L37" s="66"/>
      <c r="M37" s="66"/>
      <c r="N37" s="105"/>
      <c r="O37" s="105"/>
      <c r="P37" s="73"/>
      <c r="Q37" s="73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22"/>
      <c r="AK37" s="121"/>
      <c r="AL37" s="121"/>
    </row>
    <row r="38" ht="15.75" customHeight="1" spans="1:38">
      <c r="A38" s="17"/>
      <c r="B38" s="66"/>
      <c r="C38" s="67"/>
      <c r="D38" s="68" t="s">
        <v>110</v>
      </c>
      <c r="E38" s="69" t="s">
        <v>109</v>
      </c>
      <c r="F38" s="70">
        <v>39000</v>
      </c>
      <c r="G38" s="22"/>
      <c r="H38" s="71"/>
      <c r="I38" s="105"/>
      <c r="J38" s="105"/>
      <c r="K38" s="66"/>
      <c r="L38" s="66"/>
      <c r="M38" s="66"/>
      <c r="N38" s="105"/>
      <c r="O38" s="105"/>
      <c r="P38" s="73"/>
      <c r="Q38" s="73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22"/>
      <c r="AK38" s="121"/>
      <c r="AL38" s="121"/>
    </row>
    <row r="39" ht="15.75" customHeight="1" spans="1:38">
      <c r="A39" s="17"/>
      <c r="B39" s="28"/>
      <c r="C39" s="47"/>
      <c r="D39" s="72" t="s">
        <v>111</v>
      </c>
      <c r="E39" s="73"/>
      <c r="F39" s="74"/>
      <c r="G39" s="73"/>
      <c r="H39" s="75"/>
      <c r="I39" s="73"/>
      <c r="J39" s="73"/>
      <c r="K39" s="28"/>
      <c r="L39" s="28"/>
      <c r="M39" s="28"/>
      <c r="N39" s="73"/>
      <c r="O39" s="73"/>
      <c r="P39" s="73"/>
      <c r="Q39" s="73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21"/>
      <c r="AL39" s="121"/>
    </row>
    <row r="40" ht="14.25" spans="1:38">
      <c r="A40" s="17"/>
      <c r="B40" s="19"/>
      <c r="C40" s="51"/>
      <c r="D40" s="76" t="s">
        <v>112</v>
      </c>
      <c r="E40" s="77" t="s">
        <v>79</v>
      </c>
      <c r="F40" s="78">
        <v>3875</v>
      </c>
      <c r="G40" s="79">
        <v>3875</v>
      </c>
      <c r="H40" s="77" t="s">
        <v>113</v>
      </c>
      <c r="I40" s="106"/>
      <c r="J40" s="106">
        <v>1</v>
      </c>
      <c r="K40" s="32"/>
      <c r="L40" s="104"/>
      <c r="M40" s="104"/>
      <c r="N40" s="106"/>
      <c r="O40" s="106"/>
      <c r="P40" s="106"/>
      <c r="Q40" s="10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21"/>
      <c r="AL40" s="121"/>
    </row>
    <row r="41" ht="15.75" customHeight="1" spans="1:40">
      <c r="A41" s="17"/>
      <c r="B41" s="28"/>
      <c r="C41" s="47"/>
      <c r="D41" s="72" t="s">
        <v>114</v>
      </c>
      <c r="E41" s="80"/>
      <c r="F41" s="74"/>
      <c r="G41" s="73"/>
      <c r="H41" s="75"/>
      <c r="I41" s="73"/>
      <c r="J41" s="73"/>
      <c r="K41" s="73"/>
      <c r="L41" s="73"/>
      <c r="M41" s="73"/>
      <c r="N41" s="73"/>
      <c r="O41" s="73"/>
      <c r="P41" s="73"/>
      <c r="Q41" s="73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21"/>
      <c r="AL41" s="121"/>
      <c r="AM41" s="13"/>
      <c r="AN41" s="13"/>
    </row>
    <row r="42" ht="15.75" customHeight="1" spans="1:40">
      <c r="A42" s="81"/>
      <c r="B42" s="82"/>
      <c r="C42" s="83"/>
      <c r="D42" s="84" t="s">
        <v>115</v>
      </c>
      <c r="E42" s="85"/>
      <c r="F42" s="86"/>
      <c r="G42" s="87"/>
      <c r="H42" s="88"/>
      <c r="I42" s="107"/>
      <c r="J42" s="107"/>
      <c r="K42" s="107"/>
      <c r="L42" s="107"/>
      <c r="M42" s="107"/>
      <c r="N42" s="107"/>
      <c r="O42" s="107"/>
      <c r="P42" s="107"/>
      <c r="Q42" s="10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23"/>
      <c r="AL42" s="123"/>
      <c r="AM42" s="124"/>
      <c r="AN42" s="124"/>
    </row>
    <row r="43" ht="15.75" customHeight="1" spans="1:40">
      <c r="A43" s="81"/>
      <c r="B43" s="82"/>
      <c r="C43" s="83"/>
      <c r="D43" s="89" t="s">
        <v>116</v>
      </c>
      <c r="E43" s="85">
        <v>3</v>
      </c>
      <c r="F43" s="86">
        <v>300</v>
      </c>
      <c r="G43" s="87">
        <v>900</v>
      </c>
      <c r="H43" s="88"/>
      <c r="I43" s="107"/>
      <c r="J43" s="85"/>
      <c r="K43" s="107"/>
      <c r="L43" s="107"/>
      <c r="M43" s="107"/>
      <c r="N43" s="107"/>
      <c r="O43" s="107"/>
      <c r="P43" s="107"/>
      <c r="Q43" s="10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23"/>
      <c r="AL43" s="123"/>
      <c r="AM43" s="124"/>
      <c r="AN43" s="124"/>
    </row>
    <row r="44" ht="15.75" customHeight="1" spans="1:40">
      <c r="A44" s="81"/>
      <c r="B44" s="82"/>
      <c r="C44" s="83"/>
      <c r="D44" s="89" t="s">
        <v>117</v>
      </c>
      <c r="E44" s="85">
        <v>2</v>
      </c>
      <c r="F44" s="86">
        <v>300</v>
      </c>
      <c r="G44" s="87">
        <v>600</v>
      </c>
      <c r="H44" s="88"/>
      <c r="I44" s="107"/>
      <c r="J44" s="108">
        <v>2</v>
      </c>
      <c r="K44" s="107"/>
      <c r="L44" s="107"/>
      <c r="M44" s="107"/>
      <c r="N44" s="107"/>
      <c r="O44" s="107"/>
      <c r="P44" s="107"/>
      <c r="Q44" s="10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7"/>
      <c r="AK44" s="123"/>
      <c r="AL44" s="123"/>
      <c r="AM44" s="124"/>
      <c r="AN44" s="124"/>
    </row>
    <row r="45" ht="15.75" customHeight="1" spans="1:40">
      <c r="A45" s="17"/>
      <c r="B45" s="28"/>
      <c r="C45" s="47"/>
      <c r="D45" s="72" t="s">
        <v>118</v>
      </c>
      <c r="E45" s="73"/>
      <c r="F45" s="74"/>
      <c r="G45" s="73"/>
      <c r="H45" s="75"/>
      <c r="I45" s="73"/>
      <c r="J45" s="73"/>
      <c r="K45" s="73"/>
      <c r="L45" s="73"/>
      <c r="M45" s="73"/>
      <c r="N45" s="73"/>
      <c r="O45" s="73"/>
      <c r="P45" s="73"/>
      <c r="Q45" s="73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21"/>
      <c r="AL45" s="121"/>
      <c r="AM45" s="13"/>
      <c r="AN45" s="13"/>
    </row>
    <row r="46" ht="15.75" customHeight="1" spans="1:40">
      <c r="A46" s="17"/>
      <c r="B46" s="32"/>
      <c r="C46" s="90"/>
      <c r="D46" s="91" t="s">
        <v>119</v>
      </c>
      <c r="E46" s="92" t="s">
        <v>79</v>
      </c>
      <c r="F46" s="93">
        <v>200000</v>
      </c>
      <c r="G46" s="94">
        <v>200000</v>
      </c>
      <c r="H46" s="53"/>
      <c r="I46" s="109"/>
      <c r="J46" s="110">
        <v>1</v>
      </c>
      <c r="K46" s="109"/>
      <c r="L46" s="110"/>
      <c r="M46" s="109"/>
      <c r="N46" s="109"/>
      <c r="O46" s="104"/>
      <c r="P46" s="104"/>
      <c r="Q46" s="10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25"/>
      <c r="AK46" s="121"/>
      <c r="AL46" s="121"/>
      <c r="AM46" s="13"/>
      <c r="AN46" s="13"/>
    </row>
    <row r="47" ht="15.75" customHeight="1" spans="1:40">
      <c r="A47" s="17"/>
      <c r="B47" s="32"/>
      <c r="C47" s="90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104"/>
      <c r="P47" s="104"/>
      <c r="Q47" s="10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22"/>
      <c r="AK47" s="121"/>
      <c r="AL47" s="121"/>
      <c r="AM47" s="13"/>
      <c r="AN47" s="13"/>
    </row>
    <row r="48" ht="15.75" customHeight="1" spans="1:40">
      <c r="A48" s="17"/>
      <c r="B48" s="28"/>
      <c r="C48" s="47"/>
      <c r="D48" s="72" t="s">
        <v>120</v>
      </c>
      <c r="E48" s="73"/>
      <c r="F48" s="74"/>
      <c r="G48" s="73"/>
      <c r="H48" s="75"/>
      <c r="I48" s="73"/>
      <c r="J48" s="73"/>
      <c r="K48" s="73"/>
      <c r="L48" s="73"/>
      <c r="M48" s="73"/>
      <c r="N48" s="73"/>
      <c r="O48" s="73"/>
      <c r="P48" s="73"/>
      <c r="Q48" s="73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21"/>
      <c r="AL48" s="121"/>
      <c r="AM48" s="13"/>
      <c r="AN48" s="13"/>
    </row>
    <row r="49" ht="15.75" customHeight="1" spans="1:40">
      <c r="A49" s="17"/>
      <c r="B49" s="32"/>
      <c r="C49" s="95"/>
      <c r="D49" s="96" t="s">
        <v>121</v>
      </c>
      <c r="E49" s="34">
        <v>14</v>
      </c>
      <c r="F49" s="35">
        <v>100</v>
      </c>
      <c r="G49" s="36">
        <v>1400</v>
      </c>
      <c r="H49" s="34" t="s">
        <v>122</v>
      </c>
      <c r="I49" s="104"/>
      <c r="J49" s="62">
        <v>14</v>
      </c>
      <c r="K49" s="104"/>
      <c r="L49" s="62"/>
      <c r="M49" s="104"/>
      <c r="N49" s="104"/>
      <c r="O49" s="104"/>
      <c r="P49" s="104"/>
      <c r="Q49" s="10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21"/>
      <c r="AL49" s="121"/>
      <c r="AM49" s="13"/>
      <c r="AN49" s="13"/>
    </row>
    <row r="50" ht="15.75" customHeight="1" spans="1:40">
      <c r="A50" s="17"/>
      <c r="B50" s="28"/>
      <c r="C50" s="47"/>
      <c r="D50" s="72" t="s">
        <v>123</v>
      </c>
      <c r="E50" s="73"/>
      <c r="F50" s="74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21"/>
      <c r="AL50" s="121"/>
      <c r="AM50" s="13"/>
      <c r="AN50" s="13"/>
    </row>
    <row r="51" ht="24" spans="1:38">
      <c r="A51" s="17"/>
      <c r="B51" s="19"/>
      <c r="C51" s="61"/>
      <c r="D51" s="97" t="s">
        <v>124</v>
      </c>
      <c r="E51" s="77" t="s">
        <v>125</v>
      </c>
      <c r="F51" s="78">
        <v>900</v>
      </c>
      <c r="G51" s="79">
        <v>18000</v>
      </c>
      <c r="H51" s="98" t="s">
        <v>126</v>
      </c>
      <c r="I51" s="106"/>
      <c r="J51" s="97">
        <v>20</v>
      </c>
      <c r="K51" s="97"/>
      <c r="L51" s="106"/>
      <c r="M51" s="106"/>
      <c r="N51" s="106"/>
      <c r="O51" s="106"/>
      <c r="P51" s="106"/>
      <c r="Q51" s="10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21"/>
      <c r="AL51" s="121"/>
    </row>
    <row r="52" ht="24" spans="1:38">
      <c r="A52" s="17"/>
      <c r="B52" s="19"/>
      <c r="C52" s="61"/>
      <c r="D52" s="62" t="s">
        <v>127</v>
      </c>
      <c r="E52" s="77" t="s">
        <v>128</v>
      </c>
      <c r="F52" s="78">
        <v>1300</v>
      </c>
      <c r="G52" s="79">
        <v>2600</v>
      </c>
      <c r="H52" s="98" t="s">
        <v>126</v>
      </c>
      <c r="I52" s="106"/>
      <c r="J52" s="97">
        <v>2</v>
      </c>
      <c r="K52" s="97"/>
      <c r="L52" s="106"/>
      <c r="M52" s="106"/>
      <c r="N52" s="106"/>
      <c r="O52" s="106"/>
      <c r="P52" s="106"/>
      <c r="Q52" s="10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21"/>
      <c r="AL52" s="121"/>
    </row>
    <row r="53" ht="24" spans="1:38">
      <c r="A53" s="17"/>
      <c r="B53" s="19"/>
      <c r="C53" s="61"/>
      <c r="D53" s="97" t="s">
        <v>129</v>
      </c>
      <c r="E53" s="99" t="s">
        <v>128</v>
      </c>
      <c r="F53" s="78">
        <v>700</v>
      </c>
      <c r="G53" s="79">
        <v>1400</v>
      </c>
      <c r="H53" s="98" t="s">
        <v>126</v>
      </c>
      <c r="I53" s="106"/>
      <c r="J53" s="97">
        <v>2</v>
      </c>
      <c r="K53" s="97"/>
      <c r="L53" s="106"/>
      <c r="M53" s="106"/>
      <c r="N53" s="106"/>
      <c r="O53" s="106"/>
      <c r="P53" s="106"/>
      <c r="Q53" s="10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21"/>
      <c r="AL53" s="121"/>
    </row>
    <row r="54" ht="24" spans="1:38">
      <c r="A54" s="17"/>
      <c r="B54" s="19"/>
      <c r="C54" s="61"/>
      <c r="D54" s="97" t="s">
        <v>130</v>
      </c>
      <c r="E54" s="99" t="s">
        <v>128</v>
      </c>
      <c r="F54" s="78">
        <v>550</v>
      </c>
      <c r="G54" s="79">
        <v>1100</v>
      </c>
      <c r="H54" s="98" t="s">
        <v>126</v>
      </c>
      <c r="I54" s="106"/>
      <c r="J54" s="97">
        <v>2</v>
      </c>
      <c r="K54" s="97"/>
      <c r="L54" s="106"/>
      <c r="M54" s="106"/>
      <c r="N54" s="106"/>
      <c r="O54" s="106"/>
      <c r="P54" s="106"/>
      <c r="Q54" s="10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21"/>
      <c r="AL54" s="121"/>
    </row>
    <row r="55" ht="24" spans="1:38">
      <c r="A55" s="17"/>
      <c r="B55" s="19"/>
      <c r="C55" s="61"/>
      <c r="D55" s="100" t="s">
        <v>131</v>
      </c>
      <c r="E55" s="99" t="s">
        <v>128</v>
      </c>
      <c r="F55" s="78">
        <v>450</v>
      </c>
      <c r="G55" s="79">
        <v>900</v>
      </c>
      <c r="H55" s="98" t="s">
        <v>126</v>
      </c>
      <c r="I55" s="106"/>
      <c r="J55" s="97">
        <v>2</v>
      </c>
      <c r="K55" s="97"/>
      <c r="L55" s="106"/>
      <c r="M55" s="106"/>
      <c r="N55" s="106"/>
      <c r="O55" s="106"/>
      <c r="P55" s="106"/>
      <c r="Q55" s="10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21"/>
      <c r="AL55" s="121"/>
    </row>
    <row r="56" ht="24" spans="1:38">
      <c r="A56" s="17"/>
      <c r="B56" s="19"/>
      <c r="C56" s="61"/>
      <c r="D56" s="97" t="s">
        <v>132</v>
      </c>
      <c r="E56" s="99" t="s">
        <v>128</v>
      </c>
      <c r="F56" s="78">
        <v>1000</v>
      </c>
      <c r="G56" s="79">
        <v>2000</v>
      </c>
      <c r="H56" s="98" t="s">
        <v>126</v>
      </c>
      <c r="I56" s="106"/>
      <c r="J56" s="97">
        <v>2</v>
      </c>
      <c r="K56" s="97"/>
      <c r="L56" s="106"/>
      <c r="M56" s="106"/>
      <c r="N56" s="106"/>
      <c r="O56" s="106"/>
      <c r="P56" s="106"/>
      <c r="Q56" s="10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21"/>
      <c r="AL56" s="121"/>
    </row>
    <row r="57" ht="24" spans="1:38">
      <c r="A57" s="17"/>
      <c r="B57" s="19"/>
      <c r="C57" s="61"/>
      <c r="D57" s="97" t="s">
        <v>133</v>
      </c>
      <c r="E57" s="99" t="s">
        <v>128</v>
      </c>
      <c r="F57" s="78">
        <v>900</v>
      </c>
      <c r="G57" s="79">
        <v>1800</v>
      </c>
      <c r="H57" s="98" t="s">
        <v>126</v>
      </c>
      <c r="I57" s="106"/>
      <c r="J57" s="97">
        <v>2</v>
      </c>
      <c r="K57" s="97"/>
      <c r="L57" s="106"/>
      <c r="M57" s="106"/>
      <c r="N57" s="106"/>
      <c r="O57" s="106"/>
      <c r="P57" s="106"/>
      <c r="Q57" s="10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21"/>
      <c r="AL57" s="121"/>
    </row>
    <row r="58" ht="24" spans="1:38">
      <c r="A58" s="17"/>
      <c r="B58" s="19"/>
      <c r="C58" s="61"/>
      <c r="D58" s="97" t="s">
        <v>134</v>
      </c>
      <c r="E58" s="99" t="s">
        <v>128</v>
      </c>
      <c r="F58" s="78">
        <v>900</v>
      </c>
      <c r="G58" s="79">
        <v>1800</v>
      </c>
      <c r="H58" s="98" t="s">
        <v>126</v>
      </c>
      <c r="I58" s="106"/>
      <c r="J58" s="97">
        <v>2</v>
      </c>
      <c r="K58" s="97"/>
      <c r="L58" s="106"/>
      <c r="M58" s="106"/>
      <c r="N58" s="106"/>
      <c r="O58" s="106"/>
      <c r="P58" s="106"/>
      <c r="Q58" s="10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21"/>
      <c r="AL58" s="121"/>
    </row>
    <row r="59" ht="24" spans="1:38">
      <c r="A59" s="17"/>
      <c r="B59" s="19"/>
      <c r="C59" s="61"/>
      <c r="D59" s="97" t="s">
        <v>135</v>
      </c>
      <c r="E59" s="99" t="s">
        <v>128</v>
      </c>
      <c r="F59" s="78">
        <v>1700</v>
      </c>
      <c r="G59" s="79">
        <v>3400</v>
      </c>
      <c r="H59" s="98" t="s">
        <v>126</v>
      </c>
      <c r="I59" s="106"/>
      <c r="J59" s="97">
        <v>2</v>
      </c>
      <c r="K59" s="97"/>
      <c r="L59" s="106"/>
      <c r="M59" s="106"/>
      <c r="N59" s="106"/>
      <c r="O59" s="106"/>
      <c r="P59" s="106"/>
      <c r="Q59" s="10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21"/>
      <c r="AL59" s="121"/>
    </row>
    <row r="60" ht="24" spans="1:38">
      <c r="A60" s="17"/>
      <c r="B60" s="19"/>
      <c r="C60" s="61"/>
      <c r="D60" s="100" t="s">
        <v>136</v>
      </c>
      <c r="E60" s="99" t="s">
        <v>128</v>
      </c>
      <c r="F60" s="78">
        <v>300</v>
      </c>
      <c r="G60" s="79">
        <v>600</v>
      </c>
      <c r="H60" s="98" t="s">
        <v>126</v>
      </c>
      <c r="I60" s="106"/>
      <c r="J60" s="97">
        <v>2</v>
      </c>
      <c r="K60" s="97"/>
      <c r="L60" s="106"/>
      <c r="M60" s="106"/>
      <c r="N60" s="106"/>
      <c r="O60" s="106"/>
      <c r="P60" s="106"/>
      <c r="Q60" s="10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21"/>
      <c r="AL60" s="121"/>
    </row>
    <row r="61" ht="24" spans="1:38">
      <c r="A61" s="17"/>
      <c r="B61" s="19"/>
      <c r="C61" s="61"/>
      <c r="D61" s="97" t="s">
        <v>137</v>
      </c>
      <c r="E61" s="99" t="s">
        <v>138</v>
      </c>
      <c r="F61" s="78">
        <v>2470</v>
      </c>
      <c r="G61" s="79">
        <v>17290</v>
      </c>
      <c r="H61" s="98" t="s">
        <v>126</v>
      </c>
      <c r="I61" s="106"/>
      <c r="J61" s="97">
        <v>7</v>
      </c>
      <c r="K61" s="97"/>
      <c r="L61" s="106"/>
      <c r="M61" s="106"/>
      <c r="N61" s="106"/>
      <c r="O61" s="106"/>
      <c r="P61" s="106"/>
      <c r="Q61" s="10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21"/>
      <c r="AL61" s="121"/>
    </row>
    <row r="62" ht="24" spans="1:38">
      <c r="A62" s="17"/>
      <c r="B62" s="19"/>
      <c r="C62" s="61"/>
      <c r="D62" s="97" t="s">
        <v>139</v>
      </c>
      <c r="E62" s="99" t="s">
        <v>140</v>
      </c>
      <c r="F62" s="78">
        <v>6490</v>
      </c>
      <c r="G62" s="79">
        <v>116820</v>
      </c>
      <c r="H62" s="98" t="s">
        <v>126</v>
      </c>
      <c r="I62" s="106"/>
      <c r="J62" s="97">
        <v>7</v>
      </c>
      <c r="K62" s="97"/>
      <c r="L62" s="106"/>
      <c r="M62" s="106"/>
      <c r="N62" s="106"/>
      <c r="O62" s="106"/>
      <c r="P62" s="106"/>
      <c r="Q62" s="10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21"/>
      <c r="AL62" s="121"/>
    </row>
    <row r="63" ht="24" spans="1:38">
      <c r="A63" s="17"/>
      <c r="B63" s="19"/>
      <c r="C63" s="61"/>
      <c r="D63" s="97" t="s">
        <v>141</v>
      </c>
      <c r="E63" s="99" t="s">
        <v>138</v>
      </c>
      <c r="F63" s="78">
        <v>10080</v>
      </c>
      <c r="G63" s="79">
        <v>70560</v>
      </c>
      <c r="H63" s="98" t="s">
        <v>126</v>
      </c>
      <c r="I63" s="106"/>
      <c r="J63" s="97">
        <v>7</v>
      </c>
      <c r="K63" s="97"/>
      <c r="L63" s="106"/>
      <c r="M63" s="106"/>
      <c r="N63" s="106"/>
      <c r="O63" s="106"/>
      <c r="P63" s="106"/>
      <c r="Q63" s="10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21"/>
      <c r="AL63" s="121"/>
    </row>
    <row r="64" ht="24" spans="1:38">
      <c r="A64" s="17"/>
      <c r="B64" s="19"/>
      <c r="C64" s="61"/>
      <c r="D64" s="97" t="s">
        <v>142</v>
      </c>
      <c r="E64" s="99" t="s">
        <v>143</v>
      </c>
      <c r="F64" s="78">
        <v>8400</v>
      </c>
      <c r="G64" s="79">
        <v>50400</v>
      </c>
      <c r="H64" s="98" t="s">
        <v>126</v>
      </c>
      <c r="I64" s="106"/>
      <c r="J64" s="97">
        <v>6</v>
      </c>
      <c r="K64" s="97"/>
      <c r="L64" s="106"/>
      <c r="M64" s="106"/>
      <c r="N64" s="106"/>
      <c r="O64" s="106"/>
      <c r="P64" s="106"/>
      <c r="Q64" s="10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21"/>
      <c r="AL64" s="121"/>
    </row>
    <row r="65" ht="24" spans="1:38">
      <c r="A65" s="17"/>
      <c r="B65" s="19"/>
      <c r="C65" s="61"/>
      <c r="D65" s="97" t="s">
        <v>144</v>
      </c>
      <c r="E65" s="99" t="s">
        <v>138</v>
      </c>
      <c r="F65" s="78">
        <v>2000</v>
      </c>
      <c r="G65" s="79">
        <v>14000</v>
      </c>
      <c r="H65" s="98" t="s">
        <v>126</v>
      </c>
      <c r="I65" s="106"/>
      <c r="J65" s="97">
        <v>7</v>
      </c>
      <c r="K65" s="97"/>
      <c r="L65" s="106"/>
      <c r="M65" s="106"/>
      <c r="N65" s="106"/>
      <c r="O65" s="106"/>
      <c r="P65" s="106"/>
      <c r="Q65" s="10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21"/>
      <c r="AL65" s="121"/>
    </row>
    <row r="66" ht="24" spans="1:38">
      <c r="A66" s="17"/>
      <c r="B66" s="19"/>
      <c r="C66" s="61"/>
      <c r="D66" s="97" t="s">
        <v>145</v>
      </c>
      <c r="E66" s="99" t="s">
        <v>140</v>
      </c>
      <c r="F66" s="78">
        <v>10000</v>
      </c>
      <c r="G66" s="79">
        <v>180000</v>
      </c>
      <c r="H66" s="98" t="s">
        <v>126</v>
      </c>
      <c r="I66" s="106"/>
      <c r="J66" s="97">
        <v>2</v>
      </c>
      <c r="K66" s="97"/>
      <c r="L66" s="106"/>
      <c r="M66" s="106"/>
      <c r="N66" s="106"/>
      <c r="O66" s="106"/>
      <c r="P66" s="106"/>
      <c r="Q66" s="10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21"/>
      <c r="AL66" s="121"/>
    </row>
    <row r="67" ht="24" spans="1:38">
      <c r="A67" s="17"/>
      <c r="B67" s="19"/>
      <c r="C67" s="61"/>
      <c r="D67" s="97" t="s">
        <v>146</v>
      </c>
      <c r="E67" s="99" t="s">
        <v>140</v>
      </c>
      <c r="F67" s="78">
        <v>3000</v>
      </c>
      <c r="G67" s="79">
        <v>54000</v>
      </c>
      <c r="H67" s="98" t="s">
        <v>126</v>
      </c>
      <c r="I67" s="106"/>
      <c r="J67" s="97">
        <v>2</v>
      </c>
      <c r="K67" s="97"/>
      <c r="L67" s="106"/>
      <c r="M67" s="106"/>
      <c r="N67" s="106"/>
      <c r="O67" s="106"/>
      <c r="P67" s="106"/>
      <c r="Q67" s="10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21"/>
      <c r="AL67" s="121"/>
    </row>
    <row r="68" ht="24" spans="1:38">
      <c r="A68" s="17"/>
      <c r="B68" s="19"/>
      <c r="C68" s="61"/>
      <c r="D68" s="97" t="s">
        <v>147</v>
      </c>
      <c r="E68" s="99" t="s">
        <v>140</v>
      </c>
      <c r="F68" s="78">
        <v>3000</v>
      </c>
      <c r="G68" s="79">
        <v>54000</v>
      </c>
      <c r="H68" s="98" t="s">
        <v>126</v>
      </c>
      <c r="I68" s="106"/>
      <c r="J68" s="97">
        <v>2</v>
      </c>
      <c r="K68" s="97"/>
      <c r="L68" s="106"/>
      <c r="M68" s="106"/>
      <c r="N68" s="106"/>
      <c r="O68" s="106"/>
      <c r="P68" s="106"/>
      <c r="Q68" s="10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21"/>
      <c r="AL68" s="121"/>
    </row>
    <row r="69" ht="24" spans="1:38">
      <c r="A69" s="17"/>
      <c r="B69" s="19"/>
      <c r="C69" s="61"/>
      <c r="D69" s="97" t="s">
        <v>148</v>
      </c>
      <c r="E69" s="99" t="s">
        <v>140</v>
      </c>
      <c r="F69" s="78">
        <v>7500</v>
      </c>
      <c r="G69" s="79">
        <v>135000</v>
      </c>
      <c r="H69" s="98" t="s">
        <v>126</v>
      </c>
      <c r="I69" s="106"/>
      <c r="J69" s="97">
        <v>7</v>
      </c>
      <c r="K69" s="97"/>
      <c r="L69" s="106"/>
      <c r="M69" s="106"/>
      <c r="N69" s="106"/>
      <c r="O69" s="106"/>
      <c r="P69" s="106"/>
      <c r="Q69" s="10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21"/>
      <c r="AL69" s="121"/>
    </row>
    <row r="70" ht="24" spans="1:38">
      <c r="A70" s="17"/>
      <c r="B70" s="19"/>
      <c r="C70" s="61"/>
      <c r="D70" s="62" t="s">
        <v>149</v>
      </c>
      <c r="E70" s="126" t="s">
        <v>128</v>
      </c>
      <c r="F70" s="35">
        <v>5000</v>
      </c>
      <c r="G70" s="79">
        <v>10000</v>
      </c>
      <c r="H70" s="98" t="s">
        <v>126</v>
      </c>
      <c r="I70" s="106"/>
      <c r="J70" s="97">
        <v>2</v>
      </c>
      <c r="K70" s="97"/>
      <c r="L70" s="106"/>
      <c r="M70" s="106"/>
      <c r="N70" s="106"/>
      <c r="O70" s="106"/>
      <c r="P70" s="106"/>
      <c r="Q70" s="10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21"/>
      <c r="AL70" s="121"/>
    </row>
    <row r="71" ht="24" spans="1:38">
      <c r="A71" s="17"/>
      <c r="B71" s="19"/>
      <c r="C71" s="61"/>
      <c r="D71" s="62" t="s">
        <v>150</v>
      </c>
      <c r="E71" s="126" t="s">
        <v>128</v>
      </c>
      <c r="F71" s="35">
        <v>5000</v>
      </c>
      <c r="G71" s="79">
        <v>10000</v>
      </c>
      <c r="H71" s="98" t="s">
        <v>126</v>
      </c>
      <c r="I71" s="106"/>
      <c r="J71" s="97">
        <v>2</v>
      </c>
      <c r="K71" s="97"/>
      <c r="L71" s="106"/>
      <c r="M71" s="106"/>
      <c r="N71" s="106"/>
      <c r="O71" s="106"/>
      <c r="P71" s="106"/>
      <c r="Q71" s="10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21"/>
      <c r="AL71" s="121"/>
    </row>
    <row r="72" ht="24" spans="1:40">
      <c r="A72" s="17"/>
      <c r="B72" s="32"/>
      <c r="C72" s="95"/>
      <c r="D72" s="62" t="s">
        <v>151</v>
      </c>
      <c r="E72" s="126" t="s">
        <v>152</v>
      </c>
      <c r="F72" s="35">
        <v>2100</v>
      </c>
      <c r="G72" s="36">
        <v>16800</v>
      </c>
      <c r="H72" s="98" t="s">
        <v>126</v>
      </c>
      <c r="I72" s="104"/>
      <c r="J72" s="62">
        <v>4</v>
      </c>
      <c r="K72" s="62"/>
      <c r="L72" s="62"/>
      <c r="M72" s="104"/>
      <c r="N72" s="104"/>
      <c r="O72" s="104"/>
      <c r="P72" s="104"/>
      <c r="Q72" s="10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21"/>
      <c r="AL72" s="121"/>
      <c r="AM72" s="13"/>
      <c r="AN72" s="13"/>
    </row>
    <row r="73" ht="15.75" customHeight="1" spans="1:38">
      <c r="A73" s="127"/>
      <c r="B73" s="128"/>
      <c r="C73" s="129"/>
      <c r="D73" s="130"/>
      <c r="E73" s="13"/>
      <c r="F73" s="14"/>
      <c r="G73" s="15"/>
      <c r="H73" s="16"/>
      <c r="I73" s="16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 ht="15.75" customHeight="1" spans="1:38">
      <c r="A74" s="131"/>
      <c r="B74" s="132" t="s">
        <v>153</v>
      </c>
      <c r="C74" s="9"/>
      <c r="D74" s="9"/>
      <c r="E74" s="133">
        <f>SUM(G12:G72)</f>
        <v>2682645</v>
      </c>
      <c r="F74" s="134"/>
      <c r="G74" s="134"/>
      <c r="H74" s="16"/>
      <c r="I74" s="16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</row>
    <row r="75" ht="15.75" hidden="1" customHeight="1" spans="1:38">
      <c r="A75" s="127"/>
      <c r="B75" s="135" t="s">
        <v>154</v>
      </c>
      <c r="C75" s="136"/>
      <c r="D75" s="136"/>
      <c r="E75" s="137">
        <f>PRODUCT(E74,0.1)</f>
        <v>268264.5</v>
      </c>
      <c r="F75" s="138"/>
      <c r="G75" s="139"/>
      <c r="H75" s="16"/>
      <c r="I75" s="16"/>
      <c r="J75" s="165"/>
      <c r="L75" s="165"/>
      <c r="AI75" s="165"/>
      <c r="AJ75" s="13"/>
      <c r="AK75" s="13"/>
      <c r="AL75" s="13"/>
    </row>
    <row r="76" ht="15.75" hidden="1" customHeight="1" spans="1:38">
      <c r="A76" s="127"/>
      <c r="B76" s="140" t="s">
        <v>155</v>
      </c>
      <c r="C76" s="141"/>
      <c r="D76" s="141"/>
      <c r="E76" s="142">
        <f>PRODUCT(E74,0.1)</f>
        <v>268264.5</v>
      </c>
      <c r="F76" s="102"/>
      <c r="G76" s="118"/>
      <c r="H76" s="16"/>
      <c r="I76" s="16"/>
      <c r="J76" s="166"/>
      <c r="K76" s="166"/>
      <c r="L76" s="167"/>
      <c r="AI76" s="167"/>
      <c r="AJ76" s="13"/>
      <c r="AK76" s="13"/>
      <c r="AL76" s="13"/>
    </row>
    <row r="77" ht="15.75" hidden="1" customHeight="1" spans="1:38">
      <c r="A77" s="127"/>
      <c r="B77" s="140" t="s">
        <v>156</v>
      </c>
      <c r="C77" s="141"/>
      <c r="D77" s="141"/>
      <c r="E77" s="142">
        <f>SUM(E74:G76)</f>
        <v>3219174</v>
      </c>
      <c r="F77" s="102"/>
      <c r="G77" s="118"/>
      <c r="H77" s="16"/>
      <c r="I77" s="16"/>
      <c r="J77" s="166"/>
      <c r="K77" s="166"/>
      <c r="L77" s="167"/>
      <c r="AI77" s="167"/>
      <c r="AJ77" s="13"/>
      <c r="AK77" s="13"/>
      <c r="AL77" s="13"/>
    </row>
    <row r="78" ht="15.75" customHeight="1" spans="1:38">
      <c r="A78" s="143"/>
      <c r="B78" s="144"/>
      <c r="C78" s="9"/>
      <c r="D78" s="9"/>
      <c r="E78" s="13"/>
      <c r="F78" s="14"/>
      <c r="G78" s="15"/>
      <c r="H78" s="16"/>
      <c r="I78" s="16"/>
      <c r="J78" s="166"/>
      <c r="K78" s="166"/>
      <c r="L78" s="167"/>
      <c r="AI78" s="167"/>
      <c r="AJ78" s="13"/>
      <c r="AK78" s="13"/>
      <c r="AL78" s="13"/>
    </row>
    <row r="79" ht="15.75" customHeight="1" spans="1:38">
      <c r="A79" s="145"/>
      <c r="B79" s="146" t="s">
        <v>157</v>
      </c>
      <c r="C79" s="9"/>
      <c r="D79" s="9"/>
      <c r="E79" s="13"/>
      <c r="F79" s="14"/>
      <c r="G79" s="15"/>
      <c r="H79" s="16"/>
      <c r="I79" s="16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</row>
    <row r="80" ht="15.75" customHeight="1" spans="1:38">
      <c r="A80" s="147"/>
      <c r="B80" s="148"/>
      <c r="C80" s="9"/>
      <c r="D80" s="9"/>
      <c r="E80" s="13"/>
      <c r="F80" s="14"/>
      <c r="G80" s="15"/>
      <c r="H80" s="149"/>
      <c r="I80" s="16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 ht="15.75" customHeight="1" spans="1:38">
      <c r="A81" s="150"/>
      <c r="B81" s="151" t="s">
        <v>158</v>
      </c>
      <c r="C81" s="130"/>
      <c r="D81" s="130"/>
      <c r="E81" s="152" t="s">
        <v>159</v>
      </c>
      <c r="F81" s="153"/>
      <c r="G81" s="154"/>
      <c r="H81" s="155" t="s">
        <v>160</v>
      </c>
      <c r="I81" s="156"/>
      <c r="J81" s="156"/>
      <c r="K81" s="149" t="s">
        <v>161</v>
      </c>
      <c r="L81" s="156"/>
      <c r="M81" s="156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66"/>
    </row>
    <row r="82" ht="15.75" customHeight="1" spans="1:38">
      <c r="A82" s="150"/>
      <c r="B82" s="151"/>
      <c r="C82" s="130"/>
      <c r="D82" s="130"/>
      <c r="E82" s="156"/>
      <c r="F82" s="153"/>
      <c r="G82" s="154"/>
      <c r="H82" s="156"/>
      <c r="I82" s="156"/>
      <c r="J82" s="156"/>
      <c r="K82" s="156"/>
      <c r="L82" s="156"/>
      <c r="M82" s="156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66"/>
      <c r="AL82" s="166"/>
    </row>
    <row r="83" ht="15.75" customHeight="1" spans="1:38">
      <c r="A83" s="157"/>
      <c r="B83" s="130"/>
      <c r="C83" s="130"/>
      <c r="D83" s="130"/>
      <c r="E83" s="156"/>
      <c r="F83" s="153"/>
      <c r="G83" s="154"/>
      <c r="H83" s="156"/>
      <c r="I83" s="156"/>
      <c r="J83" s="156"/>
      <c r="K83" s="156"/>
      <c r="L83" s="156"/>
      <c r="M83" s="156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66"/>
      <c r="AL83" s="166"/>
    </row>
    <row r="84" ht="15.75" customHeight="1" spans="1:38">
      <c r="A84" s="158"/>
      <c r="B84" s="159" t="s">
        <v>162</v>
      </c>
      <c r="E84" s="149" t="s">
        <v>163</v>
      </c>
      <c r="F84" s="153"/>
      <c r="G84" s="154"/>
      <c r="H84" s="149" t="s">
        <v>164</v>
      </c>
      <c r="I84" s="156"/>
      <c r="J84" s="156"/>
      <c r="K84" s="149" t="s">
        <v>165</v>
      </c>
      <c r="L84" s="156"/>
      <c r="M84" s="156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</row>
    <row r="85" customHeight="1" spans="1:38">
      <c r="A85" s="160"/>
      <c r="B85" s="161" t="s">
        <v>166</v>
      </c>
      <c r="E85" s="156" t="s">
        <v>167</v>
      </c>
      <c r="F85" s="153"/>
      <c r="G85" s="154"/>
      <c r="H85" s="156" t="s">
        <v>168</v>
      </c>
      <c r="I85" s="156"/>
      <c r="J85" s="156"/>
      <c r="K85" s="156" t="s">
        <v>169</v>
      </c>
      <c r="L85" s="156"/>
      <c r="M85" s="156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66"/>
      <c r="AL85" s="166"/>
    </row>
    <row r="86" ht="15.75" customHeight="1" spans="1:38">
      <c r="A86" s="162"/>
      <c r="B86" s="13"/>
      <c r="C86" s="13"/>
      <c r="D86" s="13"/>
      <c r="E86" s="156"/>
      <c r="F86" s="153"/>
      <c r="G86" s="154"/>
      <c r="H86" s="156"/>
      <c r="I86" s="156"/>
      <c r="J86" s="156"/>
      <c r="K86" s="156"/>
      <c r="L86" s="156"/>
      <c r="M86" s="156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</row>
    <row r="87" ht="15.75" customHeight="1" spans="1:38">
      <c r="A87" s="155"/>
      <c r="B87" s="156" t="s">
        <v>170</v>
      </c>
      <c r="C87" s="13"/>
      <c r="D87" s="13"/>
      <c r="E87" s="156" t="s">
        <v>171</v>
      </c>
      <c r="F87" s="153"/>
      <c r="G87" s="154"/>
      <c r="H87" s="156" t="s">
        <v>171</v>
      </c>
      <c r="I87" s="156"/>
      <c r="J87" s="156"/>
      <c r="K87" s="156" t="s">
        <v>171</v>
      </c>
      <c r="L87" s="156"/>
      <c r="M87" s="156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</row>
    <row r="88" ht="15.75" customHeight="1" spans="1:36">
      <c r="A88" s="163"/>
      <c r="E88" s="13"/>
      <c r="F88" s="14"/>
      <c r="G88" s="15"/>
      <c r="H88" s="16"/>
      <c r="I88" s="16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 ht="15.75" customHeight="1" spans="1:36">
      <c r="A89" s="163"/>
      <c r="E89" s="13"/>
      <c r="F89" s="14"/>
      <c r="G89" s="15"/>
      <c r="H89" s="149"/>
      <c r="I89" s="16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 ht="15.75" customHeight="1" spans="1:36">
      <c r="A90" s="163"/>
      <c r="E90" s="13"/>
      <c r="F90" s="14"/>
      <c r="G90" s="15"/>
      <c r="H90" s="16"/>
      <c r="I90" s="16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 ht="15.75" customHeight="1" spans="1:36">
      <c r="A91" s="163"/>
      <c r="E91" s="13"/>
      <c r="F91" s="14"/>
      <c r="G91" s="15"/>
      <c r="H91" s="16"/>
      <c r="I91" s="16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 ht="15.75" customHeight="1" spans="1:36">
      <c r="A92" s="163"/>
      <c r="E92" s="13"/>
      <c r="F92" s="14"/>
      <c r="G92" s="15"/>
      <c r="H92" s="16"/>
      <c r="I92" s="16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 ht="15.75" customHeight="1" spans="1:6">
      <c r="A93" s="163"/>
      <c r="F93" s="164"/>
    </row>
    <row r="94" ht="15.75" customHeight="1" spans="1:6">
      <c r="A94" s="163"/>
      <c r="F94" s="164"/>
    </row>
    <row r="95" ht="15.75" customHeight="1" spans="1:6">
      <c r="A95" s="163"/>
      <c r="F95" s="164"/>
    </row>
    <row r="96" ht="15.75" customHeight="1" spans="1:6">
      <c r="A96" s="163"/>
      <c r="F96" s="164"/>
    </row>
    <row r="97" ht="15.75" customHeight="1" spans="1:6">
      <c r="A97" s="163"/>
      <c r="F97" s="164"/>
    </row>
    <row r="98" ht="15.75" customHeight="1" spans="1:6">
      <c r="A98" s="163"/>
      <c r="F98" s="164"/>
    </row>
    <row r="99" ht="15.75" customHeight="1" spans="1:6">
      <c r="A99" s="163"/>
      <c r="F99" s="164"/>
    </row>
    <row r="100" ht="15.75" customHeight="1" spans="1:6">
      <c r="A100" s="163"/>
      <c r="F100" s="164"/>
    </row>
    <row r="101" ht="15.75" customHeight="1" spans="1:6">
      <c r="A101" s="163"/>
      <c r="F101" s="164"/>
    </row>
    <row r="102" ht="15.75" customHeight="1" spans="1:6">
      <c r="A102" s="163"/>
      <c r="F102" s="164"/>
    </row>
    <row r="103" ht="15.75" customHeight="1" spans="1:6">
      <c r="A103" s="163"/>
      <c r="F103" s="164"/>
    </row>
    <row r="104" ht="15.75" customHeight="1" spans="1:6">
      <c r="A104" s="163"/>
      <c r="F104" s="164"/>
    </row>
    <row r="105" ht="15.75" customHeight="1" spans="1:6">
      <c r="A105" s="163"/>
      <c r="F105" s="164"/>
    </row>
    <row r="106" ht="15.75" customHeight="1" spans="1:6">
      <c r="A106" s="163"/>
      <c r="F106" s="164"/>
    </row>
    <row r="107" ht="15.75" customHeight="1" spans="1:6">
      <c r="A107" s="163"/>
      <c r="F107" s="164"/>
    </row>
    <row r="108" ht="15.75" customHeight="1" spans="1:6">
      <c r="A108" s="163"/>
      <c r="F108" s="164"/>
    </row>
    <row r="109" ht="15.75" customHeight="1" spans="1:6">
      <c r="A109" s="163"/>
      <c r="F109" s="164"/>
    </row>
    <row r="110" ht="15.75" customHeight="1" spans="1:6">
      <c r="A110" s="163"/>
      <c r="F110" s="164"/>
    </row>
    <row r="111" ht="15.75" customHeight="1" spans="1:6">
      <c r="A111" s="163"/>
      <c r="F111" s="164"/>
    </row>
    <row r="112" ht="15.75" customHeight="1" spans="1:6">
      <c r="A112" s="163"/>
      <c r="F112" s="164"/>
    </row>
    <row r="113" ht="15.75" customHeight="1" spans="1:6">
      <c r="A113" s="163"/>
      <c r="F113" s="164"/>
    </row>
    <row r="114" ht="15.75" customHeight="1" spans="1:6">
      <c r="A114" s="163"/>
      <c r="F114" s="164"/>
    </row>
    <row r="115" ht="15.75" customHeight="1" spans="1:6">
      <c r="A115" s="163"/>
      <c r="F115" s="164"/>
    </row>
    <row r="116" ht="15.75" customHeight="1" spans="1:6">
      <c r="A116" s="163"/>
      <c r="F116" s="164"/>
    </row>
    <row r="117" ht="15.75" customHeight="1" spans="1:6">
      <c r="A117" s="163"/>
      <c r="F117" s="164"/>
    </row>
    <row r="118" ht="15.75" customHeight="1" spans="1:6">
      <c r="A118" s="163"/>
      <c r="F118" s="164"/>
    </row>
    <row r="119" ht="15.75" customHeight="1" spans="1:6">
      <c r="A119" s="163"/>
      <c r="F119" s="164"/>
    </row>
    <row r="120" ht="15.75" customHeight="1" spans="1:6">
      <c r="A120" s="163"/>
      <c r="F120" s="164"/>
    </row>
    <row r="121" ht="15.75" customHeight="1" spans="1:6">
      <c r="A121" s="163"/>
      <c r="F121" s="164"/>
    </row>
    <row r="122" ht="15.75" customHeight="1" spans="1:6">
      <c r="A122" s="163"/>
      <c r="F122" s="164"/>
    </row>
    <row r="123" ht="15.75" customHeight="1" spans="1:6">
      <c r="A123" s="163"/>
      <c r="F123" s="164"/>
    </row>
    <row r="124" ht="15.75" customHeight="1" spans="1:6">
      <c r="A124" s="163"/>
      <c r="F124" s="164"/>
    </row>
    <row r="125" ht="15.75" customHeight="1" spans="1:6">
      <c r="A125" s="163"/>
      <c r="F125" s="164"/>
    </row>
    <row r="126" ht="15.75" customHeight="1" spans="1:6">
      <c r="A126" s="163"/>
      <c r="F126" s="164"/>
    </row>
    <row r="127" ht="15.75" customHeight="1" spans="1:6">
      <c r="A127" s="163"/>
      <c r="F127" s="164"/>
    </row>
    <row r="128" ht="15.75" customHeight="1" spans="1:6">
      <c r="A128" s="163"/>
      <c r="F128" s="164"/>
    </row>
    <row r="129" ht="15.75" customHeight="1" spans="1:6">
      <c r="A129" s="163"/>
      <c r="F129" s="164"/>
    </row>
    <row r="130" ht="15.75" customHeight="1" spans="1:6">
      <c r="A130" s="163"/>
      <c r="F130" s="164"/>
    </row>
    <row r="131" ht="15.75" customHeight="1" spans="1:6">
      <c r="A131" s="163"/>
      <c r="F131" s="164"/>
    </row>
    <row r="132" ht="15.75" customHeight="1" spans="1:6">
      <c r="A132" s="163"/>
      <c r="F132" s="164"/>
    </row>
    <row r="133" ht="15.75" customHeight="1" spans="1:6">
      <c r="A133" s="163"/>
      <c r="F133" s="164"/>
    </row>
    <row r="134" ht="15.75" customHeight="1" spans="1:6">
      <c r="A134" s="163"/>
      <c r="F134" s="164"/>
    </row>
    <row r="135" ht="15.75" customHeight="1" spans="1:6">
      <c r="A135" s="163"/>
      <c r="F135" s="164"/>
    </row>
    <row r="136" ht="15.75" customHeight="1" spans="1:6">
      <c r="A136" s="163"/>
      <c r="F136" s="164"/>
    </row>
    <row r="137" ht="15.75" customHeight="1" spans="1:6">
      <c r="A137" s="163"/>
      <c r="F137" s="164"/>
    </row>
    <row r="138" ht="15.75" customHeight="1" spans="1:6">
      <c r="A138" s="163"/>
      <c r="F138" s="164"/>
    </row>
    <row r="139" ht="15.75" customHeight="1" spans="1:6">
      <c r="A139" s="163"/>
      <c r="F139" s="164"/>
    </row>
    <row r="140" ht="15.75" customHeight="1" spans="1:6">
      <c r="A140" s="163"/>
      <c r="F140" s="164"/>
    </row>
    <row r="141" ht="15.75" customHeight="1" spans="1:6">
      <c r="A141" s="163"/>
      <c r="F141" s="164"/>
    </row>
    <row r="142" ht="15.75" customHeight="1" spans="1:6">
      <c r="A142" s="163"/>
      <c r="F142" s="164"/>
    </row>
    <row r="143" ht="15.75" customHeight="1" spans="1:6">
      <c r="A143" s="163"/>
      <c r="F143" s="164"/>
    </row>
    <row r="144" ht="15.75" customHeight="1" spans="1:6">
      <c r="A144" s="163"/>
      <c r="F144" s="164"/>
    </row>
    <row r="145" ht="15.75" customHeight="1" spans="1:6">
      <c r="A145" s="163"/>
      <c r="F145" s="164"/>
    </row>
    <row r="146" ht="15.75" customHeight="1" spans="1:6">
      <c r="A146" s="163"/>
      <c r="F146" s="164"/>
    </row>
    <row r="147" ht="15.75" customHeight="1" spans="1:6">
      <c r="A147" s="163"/>
      <c r="F147" s="164"/>
    </row>
    <row r="148" ht="15.75" customHeight="1" spans="1:6">
      <c r="A148" s="163"/>
      <c r="F148" s="164"/>
    </row>
    <row r="149" ht="15.75" customHeight="1" spans="1:6">
      <c r="A149" s="163"/>
      <c r="F149" s="164"/>
    </row>
    <row r="150" ht="15.75" customHeight="1" spans="1:6">
      <c r="A150" s="163"/>
      <c r="F150" s="164"/>
    </row>
    <row r="151" ht="15.75" customHeight="1" spans="1:6">
      <c r="A151" s="163"/>
      <c r="F151" s="164"/>
    </row>
    <row r="152" ht="15.75" customHeight="1" spans="1:6">
      <c r="A152" s="163"/>
      <c r="F152" s="164"/>
    </row>
    <row r="153" ht="15.75" customHeight="1" spans="1:6">
      <c r="A153" s="163"/>
      <c r="F153" s="164"/>
    </row>
    <row r="154" ht="15.75" customHeight="1" spans="1:6">
      <c r="A154" s="163"/>
      <c r="F154" s="164"/>
    </row>
    <row r="155" ht="15.75" customHeight="1" spans="1:6">
      <c r="A155" s="163"/>
      <c r="F155" s="164"/>
    </row>
    <row r="156" ht="15.75" customHeight="1" spans="1:6">
      <c r="A156" s="163"/>
      <c r="F156" s="164"/>
    </row>
    <row r="157" ht="15.75" customHeight="1" spans="1:6">
      <c r="A157" s="163"/>
      <c r="F157" s="164"/>
    </row>
    <row r="158" ht="15.75" customHeight="1" spans="1:6">
      <c r="A158" s="163"/>
      <c r="F158" s="164"/>
    </row>
    <row r="159" ht="15.75" customHeight="1" spans="1:6">
      <c r="A159" s="163"/>
      <c r="F159" s="164"/>
    </row>
    <row r="160" ht="15.75" customHeight="1" spans="1:6">
      <c r="A160" s="163"/>
      <c r="F160" s="164"/>
    </row>
    <row r="161" ht="15.75" customHeight="1" spans="1:6">
      <c r="A161" s="163"/>
      <c r="F161" s="164"/>
    </row>
    <row r="162" ht="15.75" customHeight="1" spans="1:6">
      <c r="A162" s="163"/>
      <c r="F162" s="164"/>
    </row>
    <row r="163" ht="15.75" customHeight="1" spans="1:6">
      <c r="A163" s="163"/>
      <c r="F163" s="164"/>
    </row>
    <row r="164" ht="15.75" customHeight="1" spans="1:6">
      <c r="A164" s="163"/>
      <c r="F164" s="164"/>
    </row>
    <row r="165" ht="15.75" customHeight="1" spans="1:6">
      <c r="A165" s="163"/>
      <c r="F165" s="164"/>
    </row>
    <row r="166" ht="15.75" customHeight="1" spans="1:6">
      <c r="A166" s="163"/>
      <c r="F166" s="164"/>
    </row>
    <row r="167" ht="15.75" customHeight="1" spans="1:6">
      <c r="A167" s="163"/>
      <c r="F167" s="164"/>
    </row>
    <row r="168" ht="15.75" customHeight="1" spans="1:6">
      <c r="A168" s="163"/>
      <c r="F168" s="164"/>
    </row>
    <row r="169" ht="15.75" customHeight="1" spans="1:6">
      <c r="A169" s="163"/>
      <c r="F169" s="164"/>
    </row>
    <row r="170" ht="15.75" customHeight="1" spans="1:6">
      <c r="A170" s="163"/>
      <c r="F170" s="164"/>
    </row>
    <row r="171" ht="15.75" customHeight="1" spans="1:6">
      <c r="A171" s="163"/>
      <c r="F171" s="164"/>
    </row>
    <row r="172" ht="15.75" customHeight="1" spans="1:6">
      <c r="A172" s="163"/>
      <c r="F172" s="164"/>
    </row>
    <row r="173" ht="15.75" customHeight="1" spans="1:6">
      <c r="A173" s="163"/>
      <c r="F173" s="164"/>
    </row>
    <row r="174" ht="15.75" customHeight="1" spans="1:6">
      <c r="A174" s="163"/>
      <c r="F174" s="164"/>
    </row>
    <row r="175" ht="15.75" customHeight="1" spans="1:6">
      <c r="A175" s="163"/>
      <c r="F175" s="164"/>
    </row>
    <row r="176" ht="15.75" customHeight="1" spans="1:6">
      <c r="A176" s="163"/>
      <c r="F176" s="164"/>
    </row>
    <row r="177" ht="15.75" customHeight="1" spans="1:6">
      <c r="A177" s="163"/>
      <c r="F177" s="164"/>
    </row>
    <row r="178" ht="15.75" customHeight="1" spans="1:6">
      <c r="A178" s="163"/>
      <c r="F178" s="164"/>
    </row>
    <row r="179" ht="15.75" customHeight="1" spans="1:6">
      <c r="A179" s="163"/>
      <c r="F179" s="164"/>
    </row>
    <row r="180" ht="15.75" customHeight="1" spans="1:6">
      <c r="A180" s="163"/>
      <c r="F180" s="164"/>
    </row>
    <row r="181" ht="15.75" customHeight="1" spans="1:6">
      <c r="A181" s="163"/>
      <c r="F181" s="164"/>
    </row>
    <row r="182" ht="15.75" customHeight="1" spans="1:6">
      <c r="A182" s="163"/>
      <c r="F182" s="164"/>
    </row>
    <row r="183" ht="15.75" customHeight="1" spans="1:6">
      <c r="A183" s="163"/>
      <c r="F183" s="164"/>
    </row>
    <row r="184" ht="15.75" customHeight="1" spans="1:6">
      <c r="A184" s="163"/>
      <c r="F184" s="164"/>
    </row>
    <row r="185" ht="15.75" customHeight="1" spans="1:6">
      <c r="A185" s="163"/>
      <c r="F185" s="164"/>
    </row>
    <row r="186" ht="15.75" customHeight="1" spans="1:6">
      <c r="A186" s="163"/>
      <c r="F186" s="164"/>
    </row>
    <row r="187" ht="15.75" customHeight="1" spans="1:6">
      <c r="A187" s="163"/>
      <c r="F187" s="164"/>
    </row>
    <row r="188" ht="15.75" customHeight="1" spans="1:6">
      <c r="A188" s="163"/>
      <c r="F188" s="164"/>
    </row>
    <row r="189" ht="15.75" customHeight="1" spans="1:6">
      <c r="A189" s="163"/>
      <c r="F189" s="164"/>
    </row>
    <row r="190" ht="15.75" customHeight="1" spans="1:6">
      <c r="A190" s="163"/>
      <c r="F190" s="164"/>
    </row>
    <row r="191" ht="15.75" customHeight="1" spans="1:6">
      <c r="A191" s="163"/>
      <c r="F191" s="164"/>
    </row>
    <row r="192" ht="15.75" customHeight="1" spans="1:6">
      <c r="A192" s="163"/>
      <c r="F192" s="164"/>
    </row>
    <row r="193" ht="15.75" customHeight="1" spans="1:6">
      <c r="A193" s="163"/>
      <c r="F193" s="164"/>
    </row>
    <row r="194" ht="15.75" customHeight="1" spans="1:6">
      <c r="A194" s="163"/>
      <c r="F194" s="164"/>
    </row>
    <row r="195" ht="15.75" customHeight="1" spans="1:6">
      <c r="A195" s="163"/>
      <c r="F195" s="164"/>
    </row>
    <row r="196" ht="15.75" customHeight="1" spans="1:6">
      <c r="A196" s="163"/>
      <c r="F196" s="164"/>
    </row>
    <row r="197" ht="15.75" customHeight="1" spans="1:6">
      <c r="A197" s="163"/>
      <c r="F197" s="164"/>
    </row>
    <row r="198" ht="15.75" customHeight="1" spans="1:6">
      <c r="A198" s="163"/>
      <c r="F198" s="164"/>
    </row>
    <row r="199" ht="15.75" customHeight="1" spans="1:6">
      <c r="A199" s="163"/>
      <c r="F199" s="164"/>
    </row>
    <row r="200" ht="15.75" customHeight="1" spans="1:6">
      <c r="A200" s="163"/>
      <c r="F200" s="164"/>
    </row>
    <row r="201" ht="15.75" customHeight="1" spans="1:6">
      <c r="A201" s="163"/>
      <c r="F201" s="164"/>
    </row>
    <row r="202" ht="15.75" customHeight="1" spans="1:6">
      <c r="A202" s="163"/>
      <c r="F202" s="164"/>
    </row>
    <row r="203" ht="15.75" customHeight="1" spans="1:6">
      <c r="A203" s="163"/>
      <c r="F203" s="164"/>
    </row>
    <row r="204" ht="15.75" customHeight="1" spans="1:6">
      <c r="A204" s="163"/>
      <c r="F204" s="164"/>
    </row>
    <row r="205" ht="15.75" customHeight="1" spans="1:6">
      <c r="A205" s="163"/>
      <c r="F205" s="164"/>
    </row>
    <row r="206" ht="15.75" customHeight="1" spans="1:6">
      <c r="A206" s="163"/>
      <c r="F206" s="164"/>
    </row>
    <row r="207" ht="15.75" customHeight="1" spans="1:6">
      <c r="A207" s="163"/>
      <c r="F207" s="164"/>
    </row>
    <row r="208" ht="15.75" customHeight="1" spans="1:6">
      <c r="A208" s="163"/>
      <c r="F208" s="164"/>
    </row>
    <row r="209" ht="15.75" customHeight="1" spans="1:6">
      <c r="A209" s="163"/>
      <c r="F209" s="164"/>
    </row>
    <row r="210" ht="15.75" customHeight="1" spans="1:6">
      <c r="A210" s="163"/>
      <c r="F210" s="164"/>
    </row>
    <row r="211" ht="15.75" customHeight="1" spans="1:6">
      <c r="A211" s="163"/>
      <c r="F211" s="164"/>
    </row>
    <row r="212" ht="15.75" customHeight="1" spans="1:6">
      <c r="A212" s="163"/>
      <c r="F212" s="164"/>
    </row>
    <row r="213" ht="15.75" customHeight="1" spans="1:6">
      <c r="A213" s="163"/>
      <c r="F213" s="164"/>
    </row>
    <row r="214" ht="15.75" customHeight="1" spans="1:6">
      <c r="A214" s="163"/>
      <c r="F214" s="164"/>
    </row>
    <row r="215" ht="15.75" customHeight="1" spans="1:6">
      <c r="A215" s="163"/>
      <c r="F215" s="164"/>
    </row>
    <row r="216" ht="15.75" customHeight="1" spans="1:6">
      <c r="A216" s="163"/>
      <c r="F216" s="164"/>
    </row>
    <row r="217" ht="15.75" customHeight="1" spans="1:6">
      <c r="A217" s="163"/>
      <c r="F217" s="164"/>
    </row>
    <row r="218" ht="15.75" customHeight="1" spans="1:6">
      <c r="A218" s="163"/>
      <c r="F218" s="164"/>
    </row>
    <row r="219" ht="15.75" customHeight="1" spans="1:6">
      <c r="A219" s="163"/>
      <c r="F219" s="164"/>
    </row>
    <row r="220" ht="15.75" customHeight="1" spans="1:6">
      <c r="A220" s="163"/>
      <c r="F220" s="164"/>
    </row>
    <row r="221" ht="15.75" customHeight="1" spans="1:6">
      <c r="A221" s="163"/>
      <c r="F221" s="164"/>
    </row>
    <row r="222" ht="15.75" customHeight="1" spans="1:6">
      <c r="A222" s="163"/>
      <c r="F222" s="164"/>
    </row>
    <row r="223" ht="15.75" customHeight="1" spans="1:6">
      <c r="A223" s="163"/>
      <c r="F223" s="164"/>
    </row>
    <row r="224" ht="15.75" customHeight="1" spans="1:6">
      <c r="A224" s="163"/>
      <c r="F224" s="164"/>
    </row>
    <row r="225" ht="15.75" customHeight="1" spans="1:6">
      <c r="A225" s="163"/>
      <c r="F225" s="164"/>
    </row>
    <row r="226" ht="15.75" customHeight="1" spans="1:6">
      <c r="A226" s="163"/>
      <c r="F226" s="164"/>
    </row>
    <row r="227" ht="15.75" customHeight="1" spans="1:6">
      <c r="A227" s="163"/>
      <c r="F227" s="164"/>
    </row>
    <row r="228" ht="15.75" customHeight="1" spans="1:6">
      <c r="A228" s="163"/>
      <c r="F228" s="164"/>
    </row>
    <row r="229" ht="15.75" customHeight="1" spans="1:6">
      <c r="A229" s="163"/>
      <c r="F229" s="164"/>
    </row>
    <row r="230" ht="15.75" customHeight="1" spans="1:6">
      <c r="A230" s="163"/>
      <c r="F230" s="164"/>
    </row>
    <row r="231" ht="15.75" customHeight="1" spans="1:6">
      <c r="A231" s="163"/>
      <c r="F231" s="164"/>
    </row>
    <row r="232" ht="15.75" customHeight="1" spans="1:6">
      <c r="A232" s="163"/>
      <c r="F232" s="164"/>
    </row>
    <row r="233" ht="15.75" customHeight="1" spans="1:6">
      <c r="A233" s="163"/>
      <c r="F233" s="164"/>
    </row>
    <row r="234" ht="15.75" customHeight="1" spans="1:6">
      <c r="A234" s="163"/>
      <c r="F234" s="164"/>
    </row>
    <row r="235" ht="15.75" customHeight="1" spans="1:6">
      <c r="A235" s="163"/>
      <c r="F235" s="164"/>
    </row>
    <row r="236" ht="15.75" customHeight="1" spans="1:6">
      <c r="A236" s="163"/>
      <c r="F236" s="164"/>
    </row>
    <row r="237" ht="15.75" customHeight="1" spans="1:6">
      <c r="A237" s="163"/>
      <c r="F237" s="164"/>
    </row>
    <row r="238" ht="15.75" customHeight="1" spans="1:6">
      <c r="A238" s="163"/>
      <c r="F238" s="164"/>
    </row>
    <row r="239" ht="15.75" customHeight="1" spans="1:6">
      <c r="A239" s="163"/>
      <c r="F239" s="164"/>
    </row>
    <row r="240" ht="15.75" customHeight="1" spans="1:6">
      <c r="A240" s="163"/>
      <c r="F240" s="164"/>
    </row>
    <row r="241" ht="15.75" customHeight="1" spans="1:6">
      <c r="A241" s="163"/>
      <c r="F241" s="164"/>
    </row>
    <row r="242" ht="15.75" customHeight="1" spans="1:6">
      <c r="A242" s="163"/>
      <c r="F242" s="164"/>
    </row>
    <row r="243" ht="15.75" customHeight="1" spans="1:6">
      <c r="A243" s="163"/>
      <c r="F243" s="164"/>
    </row>
    <row r="244" ht="15.75" customHeight="1" spans="1:6">
      <c r="A244" s="163"/>
      <c r="F244" s="164"/>
    </row>
    <row r="245" ht="15.75" customHeight="1" spans="1:6">
      <c r="A245" s="163"/>
      <c r="F245" s="164"/>
    </row>
    <row r="246" ht="15.75" customHeight="1" spans="1:6">
      <c r="A246" s="163"/>
      <c r="F246" s="164"/>
    </row>
    <row r="247" ht="15.75" customHeight="1" spans="1:6">
      <c r="A247" s="163"/>
      <c r="F247" s="164"/>
    </row>
    <row r="248" ht="15.75" customHeight="1" spans="1:6">
      <c r="A248" s="163"/>
      <c r="F248" s="164"/>
    </row>
    <row r="249" ht="15.75" customHeight="1" spans="1:6">
      <c r="A249" s="163"/>
      <c r="F249" s="164"/>
    </row>
    <row r="250" ht="15.75" customHeight="1" spans="1:6">
      <c r="A250" s="163"/>
      <c r="F250" s="164"/>
    </row>
    <row r="251" ht="15.75" customHeight="1" spans="1:6">
      <c r="A251" s="163"/>
      <c r="F251" s="164"/>
    </row>
    <row r="252" ht="15.75" customHeight="1" spans="1:6">
      <c r="A252" s="163"/>
      <c r="F252" s="164"/>
    </row>
    <row r="253" ht="15.75" customHeight="1" spans="1:6">
      <c r="A253" s="163"/>
      <c r="F253" s="164"/>
    </row>
    <row r="254" ht="15.75" customHeight="1" spans="1:6">
      <c r="A254" s="163"/>
      <c r="F254" s="164"/>
    </row>
    <row r="255" ht="15.75" customHeight="1" spans="1:6">
      <c r="A255" s="163"/>
      <c r="F255" s="164"/>
    </row>
    <row r="256" ht="15.75" customHeight="1" spans="1:6">
      <c r="A256" s="163"/>
      <c r="F256" s="164"/>
    </row>
    <row r="257" ht="15.75" customHeight="1" spans="1:6">
      <c r="A257" s="163"/>
      <c r="F257" s="164"/>
    </row>
    <row r="258" ht="15.75" customHeight="1" spans="1:6">
      <c r="A258" s="163"/>
      <c r="F258" s="164"/>
    </row>
    <row r="259" ht="15.75" customHeight="1" spans="1:6">
      <c r="A259" s="163"/>
      <c r="F259" s="164"/>
    </row>
    <row r="260" ht="15.75" customHeight="1" spans="1:6">
      <c r="A260" s="163"/>
      <c r="F260" s="164"/>
    </row>
    <row r="261" ht="15.75" customHeight="1" spans="1:6">
      <c r="A261" s="163"/>
      <c r="F261" s="164"/>
    </row>
    <row r="262" ht="15.75" customHeight="1" spans="1:6">
      <c r="A262" s="163"/>
      <c r="F262" s="164"/>
    </row>
    <row r="263" ht="15.75" customHeight="1" spans="1:6">
      <c r="A263" s="163"/>
      <c r="F263" s="164"/>
    </row>
    <row r="264" ht="15.75" customHeight="1" spans="1:6">
      <c r="A264" s="163"/>
      <c r="F264" s="164"/>
    </row>
    <row r="265" ht="15.75" customHeight="1" spans="1:6">
      <c r="A265" s="163"/>
      <c r="F265" s="164"/>
    </row>
    <row r="266" ht="15.75" customHeight="1" spans="1:6">
      <c r="A266" s="163"/>
      <c r="F266" s="164"/>
    </row>
    <row r="267" ht="15.75" customHeight="1" spans="1:6">
      <c r="A267" s="163"/>
      <c r="F267" s="164"/>
    </row>
    <row r="268" ht="15.75" customHeight="1" spans="1:6">
      <c r="A268" s="163"/>
      <c r="F268" s="164"/>
    </row>
    <row r="269" ht="15.75" customHeight="1" spans="1:6">
      <c r="A269" s="163"/>
      <c r="F269" s="164"/>
    </row>
    <row r="270" ht="15.75" customHeight="1" spans="1:6">
      <c r="A270" s="163"/>
      <c r="F270" s="164"/>
    </row>
    <row r="271" ht="15.75" customHeight="1" spans="1:6">
      <c r="A271" s="163"/>
      <c r="F271" s="164"/>
    </row>
    <row r="272" ht="15.75" customHeight="1" spans="1:6">
      <c r="A272" s="163"/>
      <c r="F272" s="164"/>
    </row>
    <row r="273" ht="15.75" customHeight="1" spans="1:6">
      <c r="A273" s="163"/>
      <c r="F273" s="164"/>
    </row>
    <row r="274" ht="15.75" customHeight="1" spans="1:6">
      <c r="A274" s="163"/>
      <c r="F274" s="164"/>
    </row>
    <row r="275" ht="15.75" customHeight="1" spans="1:6">
      <c r="A275" s="163"/>
      <c r="F275" s="164"/>
    </row>
    <row r="276" ht="15.75" customHeight="1" spans="1:6">
      <c r="A276" s="163"/>
      <c r="F276" s="164"/>
    </row>
    <row r="277" ht="15.75" customHeight="1" spans="1:6">
      <c r="A277" s="163"/>
      <c r="F277" s="164"/>
    </row>
    <row r="278" ht="15.75" customHeight="1" spans="1:6">
      <c r="A278" s="163"/>
      <c r="F278" s="164"/>
    </row>
    <row r="279" ht="15.75" customHeight="1" spans="1:6">
      <c r="A279" s="163"/>
      <c r="F279" s="164"/>
    </row>
    <row r="280" ht="15.75" customHeight="1" spans="1:6">
      <c r="A280" s="163"/>
      <c r="F280" s="164"/>
    </row>
    <row r="281" ht="15.75" customHeight="1" spans="1:6">
      <c r="A281" s="163"/>
      <c r="F281" s="164"/>
    </row>
    <row r="282" ht="15.75" customHeight="1" spans="1:6">
      <c r="A282" s="163"/>
      <c r="F282" s="164"/>
    </row>
    <row r="283" ht="15.75" customHeight="1" spans="1:6">
      <c r="A283" s="163"/>
      <c r="F283" s="164"/>
    </row>
    <row r="284" ht="15.75" customHeight="1" spans="1:6">
      <c r="A284" s="163"/>
      <c r="F284" s="164"/>
    </row>
    <row r="285" ht="15.75" customHeight="1" spans="1:6">
      <c r="A285" s="163"/>
      <c r="F285" s="164"/>
    </row>
    <row r="286" ht="15.75" customHeight="1" spans="1:6">
      <c r="A286" s="163"/>
      <c r="F286" s="164"/>
    </row>
    <row r="287" ht="15.75" customHeight="1" spans="1:6">
      <c r="A287" s="163"/>
      <c r="F287" s="164"/>
    </row>
    <row r="288" ht="15.75" customHeight="1" spans="1:1">
      <c r="A288" s="163"/>
    </row>
    <row r="289" ht="15.75" customHeight="1" spans="1:1">
      <c r="A289" s="163"/>
    </row>
    <row r="290" ht="15.75" customHeight="1" spans="1:1">
      <c r="A290" s="163"/>
    </row>
    <row r="291" ht="15.75" customHeight="1" spans="1:1">
      <c r="A291" s="163"/>
    </row>
    <row r="292" ht="15.75" customHeight="1" spans="1:1">
      <c r="A292" s="163"/>
    </row>
    <row r="293" ht="15.75" customHeight="1" spans="1:1">
      <c r="A293" s="163"/>
    </row>
    <row r="294" ht="15.75" customHeight="1" spans="1:1">
      <c r="A294" s="163"/>
    </row>
    <row r="295" ht="15.75" customHeight="1" spans="1:1">
      <c r="A295" s="163"/>
    </row>
    <row r="296" ht="15.75" customHeight="1" spans="1:1">
      <c r="A296" s="163"/>
    </row>
    <row r="297" ht="15.75" customHeight="1" spans="1:1">
      <c r="A297" s="163"/>
    </row>
    <row r="298" ht="15.75" customHeight="1" spans="1:1">
      <c r="A298" s="163"/>
    </row>
    <row r="299" ht="15.75" customHeight="1" spans="1:1">
      <c r="A299" s="163"/>
    </row>
    <row r="300" ht="15.75" customHeight="1" spans="1:1">
      <c r="A300" s="163"/>
    </row>
    <row r="301" ht="15.75" customHeight="1" spans="1:1">
      <c r="A301" s="163"/>
    </row>
    <row r="302" ht="15.75" customHeight="1" spans="1:1">
      <c r="A302" s="163"/>
    </row>
    <row r="303" ht="15.75" customHeight="1" spans="1:1">
      <c r="A303" s="163"/>
    </row>
    <row r="304" ht="15.75" customHeight="1" spans="1:1">
      <c r="A304" s="163"/>
    </row>
    <row r="305" ht="15.75" customHeight="1" spans="1:1">
      <c r="A305" s="163"/>
    </row>
    <row r="306" ht="15.75" customHeight="1" spans="1:1">
      <c r="A306" s="163"/>
    </row>
    <row r="307" ht="15.75" customHeight="1" spans="1:1">
      <c r="A307" s="163"/>
    </row>
    <row r="308" ht="15.75" customHeight="1" spans="1:1">
      <c r="A308" s="163"/>
    </row>
    <row r="309" ht="15.75" customHeight="1" spans="1:1">
      <c r="A309" s="163"/>
    </row>
    <row r="310" ht="15.75" customHeight="1" spans="1:1">
      <c r="A310" s="163"/>
    </row>
    <row r="311" ht="15.75" customHeight="1" spans="1:1">
      <c r="A311" s="163"/>
    </row>
    <row r="312" ht="15.75" customHeight="1" spans="1:1">
      <c r="A312" s="163"/>
    </row>
    <row r="313" ht="15.75" customHeight="1" spans="1:1">
      <c r="A313" s="163"/>
    </row>
    <row r="314" ht="15.75" customHeight="1" spans="1:1">
      <c r="A314" s="163"/>
    </row>
    <row r="315" ht="15.75" customHeight="1" spans="1:1">
      <c r="A315" s="163"/>
    </row>
    <row r="316" ht="15.75" customHeight="1" spans="1:1">
      <c r="A316" s="163"/>
    </row>
    <row r="317" ht="15.75" customHeight="1" spans="1:1">
      <c r="A317" s="163"/>
    </row>
    <row r="318" ht="15.75" customHeight="1" spans="1:1">
      <c r="A318" s="163"/>
    </row>
    <row r="319" ht="15.75" customHeight="1" spans="1:1">
      <c r="A319" s="163"/>
    </row>
    <row r="320" ht="15.75" customHeight="1" spans="1:1">
      <c r="A320" s="163"/>
    </row>
    <row r="321" ht="15.75" customHeight="1" spans="1:1">
      <c r="A321" s="163"/>
    </row>
    <row r="322" ht="15.75" customHeight="1" spans="1:1">
      <c r="A322" s="163"/>
    </row>
    <row r="323" ht="15.75" customHeight="1" spans="1:1">
      <c r="A323" s="163"/>
    </row>
    <row r="324" ht="15.75" customHeight="1" spans="1:1">
      <c r="A324" s="163"/>
    </row>
    <row r="325" ht="15.75" customHeight="1" spans="1:1">
      <c r="A325" s="163"/>
    </row>
    <row r="326" ht="15.75" customHeight="1" spans="1:1">
      <c r="A326" s="163"/>
    </row>
    <row r="327" ht="15.75" customHeight="1" spans="1:1">
      <c r="A327" s="163"/>
    </row>
    <row r="328" ht="15.75" customHeight="1" spans="1:1">
      <c r="A328" s="163"/>
    </row>
    <row r="329" ht="15.75" customHeight="1" spans="1:1">
      <c r="A329" s="163"/>
    </row>
    <row r="330" ht="15.75" customHeight="1" spans="1:1">
      <c r="A330" s="163"/>
    </row>
    <row r="331" ht="15.75" customHeight="1" spans="1:1">
      <c r="A331" s="163"/>
    </row>
    <row r="332" ht="15.75" customHeight="1" spans="1:1">
      <c r="A332" s="163"/>
    </row>
    <row r="333" ht="15.75" customHeight="1" spans="1:1">
      <c r="A333" s="163"/>
    </row>
    <row r="334" ht="15.75" customHeight="1" spans="1:1">
      <c r="A334" s="163"/>
    </row>
    <row r="335" ht="15.75" customHeight="1" spans="1:1">
      <c r="A335" s="163"/>
    </row>
    <row r="336" ht="15.75" customHeight="1" spans="1:1">
      <c r="A336" s="163"/>
    </row>
    <row r="337" ht="15.75" customHeight="1" spans="1:1">
      <c r="A337" s="163"/>
    </row>
    <row r="338" ht="15.75" customHeight="1" spans="1:1">
      <c r="A338" s="163"/>
    </row>
    <row r="339" ht="15.75" customHeight="1" spans="1:1">
      <c r="A339" s="163"/>
    </row>
    <row r="340" ht="15.75" customHeight="1" spans="1:1">
      <c r="A340" s="163"/>
    </row>
    <row r="341" ht="15.75" customHeight="1" spans="1:1">
      <c r="A341" s="163"/>
    </row>
    <row r="342" ht="15.75" customHeight="1" spans="1:1">
      <c r="A342" s="163"/>
    </row>
    <row r="343" ht="15.75" customHeight="1" spans="1:1">
      <c r="A343" s="163"/>
    </row>
    <row r="344" ht="15.75" customHeight="1" spans="1:1">
      <c r="A344" s="163"/>
    </row>
    <row r="345" ht="15.75" customHeight="1" spans="1:1">
      <c r="A345" s="163"/>
    </row>
    <row r="346" ht="15.75" customHeight="1" spans="1:1">
      <c r="A346" s="163"/>
    </row>
    <row r="347" ht="15.75" customHeight="1" spans="1:1">
      <c r="A347" s="163"/>
    </row>
    <row r="348" ht="15.75" customHeight="1" spans="1:1">
      <c r="A348" s="163"/>
    </row>
    <row r="349" ht="15.75" customHeight="1" spans="1:1">
      <c r="A349" s="163"/>
    </row>
    <row r="350" ht="15.75" customHeight="1" spans="1:1">
      <c r="A350" s="163"/>
    </row>
    <row r="351" ht="15.75" customHeight="1" spans="1:1">
      <c r="A351" s="163"/>
    </row>
    <row r="352" ht="15.75" customHeight="1" spans="1:1">
      <c r="A352" s="163"/>
    </row>
    <row r="353" ht="15.75" customHeight="1" spans="1:1">
      <c r="A353" s="163"/>
    </row>
    <row r="354" ht="15.75" customHeight="1" spans="1:1">
      <c r="A354" s="163"/>
    </row>
    <row r="355" ht="15.75" customHeight="1" spans="1:1">
      <c r="A355" s="163"/>
    </row>
    <row r="356" ht="15.75" customHeight="1" spans="1:1">
      <c r="A356" s="163"/>
    </row>
    <row r="357" ht="15.75" customHeight="1" spans="1:1">
      <c r="A357" s="163"/>
    </row>
    <row r="358" ht="15.75" customHeight="1" spans="1:1">
      <c r="A358" s="163"/>
    </row>
    <row r="359" ht="15.75" customHeight="1" spans="1:1">
      <c r="A359" s="163"/>
    </row>
    <row r="360" ht="15.75" customHeight="1" spans="1:1">
      <c r="A360" s="163"/>
    </row>
    <row r="361" ht="15.75" customHeight="1" spans="1:1">
      <c r="A361" s="163"/>
    </row>
    <row r="362" ht="15.75" customHeight="1" spans="1:1">
      <c r="A362" s="163"/>
    </row>
    <row r="363" ht="15.75" customHeight="1" spans="1:1">
      <c r="A363" s="163"/>
    </row>
    <row r="364" ht="15.75" customHeight="1" spans="1:1">
      <c r="A364" s="163"/>
    </row>
    <row r="365" ht="15.75" customHeight="1" spans="1:1">
      <c r="A365" s="163"/>
    </row>
    <row r="366" ht="15.75" customHeight="1" spans="1:1">
      <c r="A366" s="163"/>
    </row>
    <row r="367" ht="15.75" customHeight="1" spans="1:1">
      <c r="A367" s="163"/>
    </row>
    <row r="368" ht="15.75" customHeight="1" spans="1:1">
      <c r="A368" s="163"/>
    </row>
    <row r="369" ht="15.75" customHeight="1" spans="1:1">
      <c r="A369" s="163"/>
    </row>
    <row r="370" ht="15.75" customHeight="1" spans="1:1">
      <c r="A370" s="163"/>
    </row>
    <row r="371" ht="15.75" customHeight="1" spans="1:1">
      <c r="A371" s="163"/>
    </row>
    <row r="372" ht="15.75" customHeight="1" spans="1:1">
      <c r="A372" s="163"/>
    </row>
    <row r="373" ht="15.75" customHeight="1" spans="1:1">
      <c r="A373" s="163"/>
    </row>
    <row r="374" ht="15.75" customHeight="1" spans="1:1">
      <c r="A374" s="163"/>
    </row>
    <row r="375" ht="15.75" customHeight="1" spans="1:1">
      <c r="A375" s="163"/>
    </row>
    <row r="376" ht="15.75" customHeight="1" spans="1:1">
      <c r="A376" s="163"/>
    </row>
    <row r="377" ht="15.75" customHeight="1" spans="1:1">
      <c r="A377" s="163"/>
    </row>
    <row r="378" ht="15.75" customHeight="1" spans="1:1">
      <c r="A378" s="163"/>
    </row>
    <row r="379" ht="15.75" customHeight="1" spans="1:1">
      <c r="A379" s="163"/>
    </row>
    <row r="380" ht="15.75" customHeight="1" spans="1:1">
      <c r="A380" s="163"/>
    </row>
    <row r="381" ht="15.75" customHeight="1" spans="1:1">
      <c r="A381" s="163"/>
    </row>
    <row r="382" ht="15.75" customHeight="1" spans="1:1">
      <c r="A382" s="163"/>
    </row>
    <row r="383" ht="15.75" customHeight="1" spans="1:1">
      <c r="A383" s="163"/>
    </row>
    <row r="384" ht="15.75" customHeight="1" spans="1:1">
      <c r="A384" s="163"/>
    </row>
    <row r="385" ht="15.75" customHeight="1" spans="1:1">
      <c r="A385" s="163"/>
    </row>
    <row r="386" ht="15.75" customHeight="1" spans="1:1">
      <c r="A386" s="163"/>
    </row>
    <row r="387" ht="15.75" customHeight="1" spans="1:1">
      <c r="A387" s="163"/>
    </row>
    <row r="388" ht="15.75" customHeight="1" spans="1:1">
      <c r="A388" s="163"/>
    </row>
    <row r="389" ht="15.75" customHeight="1" spans="1:1">
      <c r="A389" s="163"/>
    </row>
    <row r="390" ht="15.75" customHeight="1" spans="1:1">
      <c r="A390" s="163"/>
    </row>
    <row r="391" ht="15.75" customHeight="1" spans="1:1">
      <c r="A391" s="163"/>
    </row>
    <row r="392" ht="15.75" customHeight="1" spans="1:1">
      <c r="A392" s="163"/>
    </row>
    <row r="393" ht="15.75" customHeight="1" spans="1:1">
      <c r="A393" s="163"/>
    </row>
    <row r="394" ht="15.75" customHeight="1" spans="1:1">
      <c r="A394" s="163"/>
    </row>
    <row r="395" ht="15.75" customHeight="1" spans="1:1">
      <c r="A395" s="163"/>
    </row>
    <row r="396" ht="15.75" customHeight="1" spans="1:1">
      <c r="A396" s="163"/>
    </row>
    <row r="397" ht="15.75" customHeight="1" spans="1:1">
      <c r="A397" s="163"/>
    </row>
    <row r="398" ht="15.75" customHeight="1" spans="1:1">
      <c r="A398" s="163"/>
    </row>
    <row r="399" ht="15.75" customHeight="1" spans="1:1">
      <c r="A399" s="163"/>
    </row>
    <row r="400" ht="15.75" customHeight="1" spans="1:1">
      <c r="A400" s="163"/>
    </row>
    <row r="401" ht="15.75" customHeight="1" spans="1:1">
      <c r="A401" s="163"/>
    </row>
    <row r="402" ht="15.75" customHeight="1" spans="1:1">
      <c r="A402" s="163"/>
    </row>
    <row r="403" ht="15.75" customHeight="1" spans="1:1">
      <c r="A403" s="163"/>
    </row>
    <row r="404" ht="15.75" customHeight="1" spans="1:1">
      <c r="A404" s="163"/>
    </row>
    <row r="405" ht="15.75" customHeight="1" spans="1:1">
      <c r="A405" s="163"/>
    </row>
    <row r="406" ht="15.75" customHeight="1" spans="1:1">
      <c r="A406" s="163"/>
    </row>
    <row r="407" ht="15.75" customHeight="1" spans="1:1">
      <c r="A407" s="163"/>
    </row>
    <row r="408" ht="15.75" customHeight="1" spans="1:1">
      <c r="A408" s="163"/>
    </row>
    <row r="409" ht="15.75" customHeight="1" spans="1:1">
      <c r="A409" s="163"/>
    </row>
    <row r="410" ht="15.75" customHeight="1" spans="1:1">
      <c r="A410" s="163"/>
    </row>
    <row r="411" ht="15.75" customHeight="1" spans="1:1">
      <c r="A411" s="163"/>
    </row>
    <row r="412" ht="15.75" customHeight="1" spans="1:1">
      <c r="A412" s="163"/>
    </row>
    <row r="413" ht="15.75" customHeight="1" spans="1:1">
      <c r="A413" s="163"/>
    </row>
    <row r="414" ht="15.75" customHeight="1" spans="1:1">
      <c r="A414" s="163"/>
    </row>
    <row r="415" ht="15.75" customHeight="1" spans="1:1">
      <c r="A415" s="163"/>
    </row>
    <row r="416" ht="15.75" customHeight="1" spans="1:1">
      <c r="A416" s="163"/>
    </row>
    <row r="417" ht="15.75" customHeight="1" spans="1:1">
      <c r="A417" s="163"/>
    </row>
    <row r="418" ht="15.75" customHeight="1" spans="1:1">
      <c r="A418" s="163"/>
    </row>
    <row r="419" ht="15.75" customHeight="1" spans="1:1">
      <c r="A419" s="163"/>
    </row>
    <row r="420" ht="15.75" customHeight="1" spans="1:1">
      <c r="A420" s="163"/>
    </row>
    <row r="421" ht="15.75" customHeight="1" spans="1:1">
      <c r="A421" s="163"/>
    </row>
    <row r="422" ht="15.75" customHeight="1" spans="1:1">
      <c r="A422" s="163"/>
    </row>
    <row r="423" ht="15.75" customHeight="1" spans="1:1">
      <c r="A423" s="163"/>
    </row>
    <row r="424" ht="15.75" customHeight="1" spans="1:1">
      <c r="A424" s="163"/>
    </row>
    <row r="425" ht="15.75" customHeight="1" spans="1:1">
      <c r="A425" s="163"/>
    </row>
    <row r="426" ht="15.75" customHeight="1" spans="1:1">
      <c r="A426" s="163"/>
    </row>
    <row r="427" ht="15.75" customHeight="1" spans="1:1">
      <c r="A427" s="163"/>
    </row>
    <row r="428" ht="15.75" customHeight="1" spans="1:1">
      <c r="A428" s="163"/>
    </row>
    <row r="429" ht="15.75" customHeight="1" spans="1:1">
      <c r="A429" s="163"/>
    </row>
    <row r="430" ht="15.75" customHeight="1" spans="1:1">
      <c r="A430" s="163"/>
    </row>
    <row r="431" ht="15.75" customHeight="1" spans="1:1">
      <c r="A431" s="163"/>
    </row>
    <row r="432" ht="15.75" customHeight="1" spans="1:1">
      <c r="A432" s="163"/>
    </row>
    <row r="433" ht="15.75" customHeight="1" spans="1:1">
      <c r="A433" s="163"/>
    </row>
    <row r="434" ht="15.75" customHeight="1" spans="1:1">
      <c r="A434" s="163"/>
    </row>
    <row r="435" ht="15.75" customHeight="1" spans="1:1">
      <c r="A435" s="163"/>
    </row>
    <row r="436" ht="15.75" customHeight="1" spans="1:1">
      <c r="A436" s="163"/>
    </row>
    <row r="437" ht="15.75" customHeight="1" spans="1:1">
      <c r="A437" s="163"/>
    </row>
    <row r="438" ht="15.75" customHeight="1" spans="1:1">
      <c r="A438" s="163"/>
    </row>
    <row r="439" ht="15.75" customHeight="1" spans="1:1">
      <c r="A439" s="163"/>
    </row>
    <row r="440" ht="15.75" customHeight="1" spans="1:1">
      <c r="A440" s="163"/>
    </row>
    <row r="441" ht="15.75" customHeight="1" spans="1:1">
      <c r="A441" s="163"/>
    </row>
    <row r="442" ht="15.75" customHeight="1" spans="1:1">
      <c r="A442" s="163"/>
    </row>
    <row r="443" ht="15.75" customHeight="1" spans="1:1">
      <c r="A443" s="163"/>
    </row>
    <row r="444" ht="15.75" customHeight="1" spans="1:1">
      <c r="A444" s="163"/>
    </row>
    <row r="445" ht="15.75" customHeight="1" spans="1:1">
      <c r="A445" s="163"/>
    </row>
    <row r="446" ht="15.75" customHeight="1" spans="1:1">
      <c r="A446" s="163"/>
    </row>
    <row r="447" ht="15.75" customHeight="1" spans="1:1">
      <c r="A447" s="163"/>
    </row>
    <row r="448" ht="15.75" customHeight="1" spans="1:1">
      <c r="A448" s="163"/>
    </row>
    <row r="449" ht="15.75" customHeight="1" spans="1:1">
      <c r="A449" s="163"/>
    </row>
    <row r="450" ht="15.75" customHeight="1" spans="1:1">
      <c r="A450" s="163"/>
    </row>
    <row r="451" ht="15.75" customHeight="1" spans="1:1">
      <c r="A451" s="163"/>
    </row>
    <row r="452" ht="15.75" customHeight="1" spans="1:1">
      <c r="A452" s="163"/>
    </row>
    <row r="453" ht="15.75" customHeight="1" spans="1:1">
      <c r="A453" s="163"/>
    </row>
    <row r="454" ht="15.75" customHeight="1" spans="1:1">
      <c r="A454" s="163"/>
    </row>
    <row r="455" ht="15.75" customHeight="1" spans="1:1">
      <c r="A455" s="163"/>
    </row>
    <row r="456" ht="15.75" customHeight="1" spans="1:1">
      <c r="A456" s="163"/>
    </row>
    <row r="457" ht="15.75" customHeight="1" spans="1:1">
      <c r="A457" s="163"/>
    </row>
    <row r="458" ht="15.75" customHeight="1" spans="1:1">
      <c r="A458" s="163"/>
    </row>
    <row r="459" ht="15.75" customHeight="1" spans="1:1">
      <c r="A459" s="163"/>
    </row>
    <row r="460" ht="15.75" customHeight="1" spans="1:1">
      <c r="A460" s="163"/>
    </row>
    <row r="461" ht="15.75" customHeight="1" spans="1:1">
      <c r="A461" s="163"/>
    </row>
    <row r="462" ht="15.75" customHeight="1" spans="1:1">
      <c r="A462" s="163"/>
    </row>
    <row r="463" ht="15.75" customHeight="1" spans="1:1">
      <c r="A463" s="163"/>
    </row>
    <row r="464" ht="15.75" customHeight="1" spans="1:1">
      <c r="A464" s="163"/>
    </row>
    <row r="465" ht="15.75" customHeight="1" spans="1:1">
      <c r="A465" s="163"/>
    </row>
    <row r="466" ht="15.75" customHeight="1" spans="1:1">
      <c r="A466" s="163"/>
    </row>
    <row r="467" ht="15.75" customHeight="1" spans="1:1">
      <c r="A467" s="163"/>
    </row>
    <row r="468" ht="15.75" customHeight="1" spans="1:1">
      <c r="A468" s="163"/>
    </row>
    <row r="469" ht="15.75" customHeight="1" spans="1:1">
      <c r="A469" s="163"/>
    </row>
    <row r="470" ht="15.75" customHeight="1" spans="1:1">
      <c r="A470" s="163"/>
    </row>
    <row r="471" ht="15.75" customHeight="1" spans="1:1">
      <c r="A471" s="163"/>
    </row>
    <row r="472" ht="15.75" customHeight="1" spans="1:1">
      <c r="A472" s="163"/>
    </row>
    <row r="473" ht="15.75" customHeight="1" spans="1:1">
      <c r="A473" s="163"/>
    </row>
    <row r="474" ht="15.75" customHeight="1" spans="1:1">
      <c r="A474" s="163"/>
    </row>
    <row r="475" ht="15.75" customHeight="1" spans="1:1">
      <c r="A475" s="163"/>
    </row>
    <row r="476" ht="15.75" customHeight="1" spans="1:1">
      <c r="A476" s="163"/>
    </row>
    <row r="477" ht="15.75" customHeight="1" spans="1:1">
      <c r="A477" s="163"/>
    </row>
    <row r="478" ht="15.75" customHeight="1" spans="1:1">
      <c r="A478" s="163"/>
    </row>
    <row r="479" ht="15.75" customHeight="1" spans="1:1">
      <c r="A479" s="163"/>
    </row>
    <row r="480" ht="15.75" customHeight="1" spans="1:1">
      <c r="A480" s="163"/>
    </row>
    <row r="481" ht="15.75" customHeight="1" spans="1:1">
      <c r="A481" s="163"/>
    </row>
    <row r="482" ht="15.75" customHeight="1" spans="1:1">
      <c r="A482" s="163"/>
    </row>
    <row r="483" ht="15.75" customHeight="1" spans="1:1">
      <c r="A483" s="163"/>
    </row>
    <row r="484" ht="15.75" customHeight="1" spans="1:1">
      <c r="A484" s="163"/>
    </row>
    <row r="485" ht="15.75" customHeight="1" spans="1:1">
      <c r="A485" s="163"/>
    </row>
    <row r="486" ht="15.75" customHeight="1" spans="1:1">
      <c r="A486" s="163"/>
    </row>
    <row r="487" ht="15.75" customHeight="1" spans="1:1">
      <c r="A487" s="163"/>
    </row>
    <row r="488" ht="15.75" customHeight="1" spans="1:1">
      <c r="A488" s="163"/>
    </row>
    <row r="489" ht="15.75" customHeight="1" spans="1:1">
      <c r="A489" s="163"/>
    </row>
    <row r="490" ht="15.75" customHeight="1" spans="1:1">
      <c r="A490" s="163"/>
    </row>
    <row r="491" ht="15.75" customHeight="1" spans="1:1">
      <c r="A491" s="163"/>
    </row>
    <row r="492" ht="15.75" customHeight="1" spans="1:1">
      <c r="A492" s="163"/>
    </row>
    <row r="493" ht="15.75" customHeight="1" spans="1:1">
      <c r="A493" s="163"/>
    </row>
    <row r="494" ht="15.75" customHeight="1" spans="1:1">
      <c r="A494" s="163"/>
    </row>
    <row r="495" ht="15.75" customHeight="1" spans="1:1">
      <c r="A495" s="163"/>
    </row>
    <row r="496" ht="15.75" customHeight="1" spans="1:1">
      <c r="A496" s="163"/>
    </row>
    <row r="497" ht="15.75" customHeight="1" spans="1:1">
      <c r="A497" s="163"/>
    </row>
    <row r="498" ht="15.75" customHeight="1" spans="1:1">
      <c r="A498" s="163"/>
    </row>
    <row r="499" ht="15.75" customHeight="1" spans="1:1">
      <c r="A499" s="163"/>
    </row>
    <row r="500" ht="15.75" customHeight="1" spans="1:1">
      <c r="A500" s="163"/>
    </row>
    <row r="501" ht="15.75" customHeight="1" spans="1:1">
      <c r="A501" s="163"/>
    </row>
    <row r="502" ht="15.75" customHeight="1" spans="1:1">
      <c r="A502" s="163"/>
    </row>
    <row r="503" ht="15.75" customHeight="1" spans="1:1">
      <c r="A503" s="163"/>
    </row>
    <row r="504" ht="15.75" customHeight="1" spans="1:1">
      <c r="A504" s="163"/>
    </row>
    <row r="505" ht="15.75" customHeight="1" spans="1:1">
      <c r="A505" s="163"/>
    </row>
    <row r="506" ht="15.75" customHeight="1" spans="1:1">
      <c r="A506" s="163"/>
    </row>
    <row r="507" ht="15.75" customHeight="1" spans="1:1">
      <c r="A507" s="163"/>
    </row>
    <row r="508" ht="15.75" customHeight="1" spans="1:1">
      <c r="A508" s="163"/>
    </row>
    <row r="509" ht="15.75" customHeight="1" spans="1:1">
      <c r="A509" s="163"/>
    </row>
    <row r="510" ht="15.75" customHeight="1" spans="1:1">
      <c r="A510" s="163"/>
    </row>
    <row r="511" ht="15.75" customHeight="1" spans="1:1">
      <c r="A511" s="163"/>
    </row>
    <row r="512" ht="15.75" customHeight="1" spans="1:1">
      <c r="A512" s="163"/>
    </row>
    <row r="513" ht="15.75" customHeight="1" spans="1:1">
      <c r="A513" s="163"/>
    </row>
    <row r="514" ht="15.75" customHeight="1" spans="1:1">
      <c r="A514" s="163"/>
    </row>
    <row r="515" ht="15.75" customHeight="1" spans="1:1">
      <c r="A515" s="163"/>
    </row>
    <row r="516" ht="15.75" customHeight="1" spans="1:1">
      <c r="A516" s="163"/>
    </row>
    <row r="517" ht="15.75" customHeight="1" spans="1:1">
      <c r="A517" s="163"/>
    </row>
    <row r="518" ht="15.75" customHeight="1" spans="1:1">
      <c r="A518" s="163"/>
    </row>
    <row r="519" ht="15.75" customHeight="1" spans="1:1">
      <c r="A519" s="163"/>
    </row>
    <row r="520" ht="15.75" customHeight="1" spans="1:1">
      <c r="A520" s="163"/>
    </row>
    <row r="521" ht="15.75" customHeight="1" spans="1:1">
      <c r="A521" s="163"/>
    </row>
    <row r="522" ht="15.75" customHeight="1" spans="1:1">
      <c r="A522" s="163"/>
    </row>
    <row r="523" ht="15.75" customHeight="1" spans="1:1">
      <c r="A523" s="163"/>
    </row>
    <row r="524" ht="15.75" customHeight="1" spans="1:1">
      <c r="A524" s="163"/>
    </row>
    <row r="525" ht="15.75" customHeight="1" spans="1:1">
      <c r="A525" s="163"/>
    </row>
    <row r="526" ht="15.75" customHeight="1" spans="1:1">
      <c r="A526" s="163"/>
    </row>
    <row r="527" ht="15.75" customHeight="1" spans="1:1">
      <c r="A527" s="163"/>
    </row>
    <row r="528" ht="15.75" customHeight="1" spans="1:1">
      <c r="A528" s="163"/>
    </row>
    <row r="529" ht="15.75" customHeight="1" spans="1:1">
      <c r="A529" s="163"/>
    </row>
    <row r="530" ht="15.75" customHeight="1" spans="1:1">
      <c r="A530" s="163"/>
    </row>
    <row r="531" ht="15.75" customHeight="1" spans="1:1">
      <c r="A531" s="163"/>
    </row>
    <row r="532" ht="15.75" customHeight="1" spans="1:1">
      <c r="A532" s="163"/>
    </row>
    <row r="533" ht="15.75" customHeight="1" spans="1:1">
      <c r="A533" s="163"/>
    </row>
    <row r="534" ht="15.75" customHeight="1" spans="1:1">
      <c r="A534" s="163"/>
    </row>
    <row r="535" ht="15.75" customHeight="1" spans="1:1">
      <c r="A535" s="163"/>
    </row>
    <row r="536" ht="15.75" customHeight="1" spans="1:1">
      <c r="A536" s="163"/>
    </row>
    <row r="537" ht="15.75" customHeight="1" spans="1:1">
      <c r="A537" s="163"/>
    </row>
    <row r="538" ht="15.75" customHeight="1" spans="1:1">
      <c r="A538" s="163"/>
    </row>
    <row r="539" ht="15.75" customHeight="1" spans="1:1">
      <c r="A539" s="163"/>
    </row>
    <row r="540" ht="15.75" customHeight="1" spans="1:1">
      <c r="A540" s="163"/>
    </row>
    <row r="541" ht="15.75" customHeight="1" spans="1:1">
      <c r="A541" s="163"/>
    </row>
    <row r="542" ht="15.75" customHeight="1" spans="1:1">
      <c r="A542" s="163"/>
    </row>
    <row r="543" ht="15.75" customHeight="1" spans="1:1">
      <c r="A543" s="163"/>
    </row>
    <row r="544" ht="15.75" customHeight="1" spans="1:1">
      <c r="A544" s="163"/>
    </row>
    <row r="545" ht="15.75" customHeight="1" spans="1:1">
      <c r="A545" s="163"/>
    </row>
    <row r="546" ht="15.75" customHeight="1" spans="1:1">
      <c r="A546" s="163"/>
    </row>
    <row r="547" ht="15.75" customHeight="1" spans="1:1">
      <c r="A547" s="163"/>
    </row>
    <row r="548" ht="15.75" customHeight="1" spans="1:1">
      <c r="A548" s="163"/>
    </row>
    <row r="549" ht="15.75" customHeight="1" spans="1:1">
      <c r="A549" s="163"/>
    </row>
    <row r="550" ht="15.75" customHeight="1" spans="1:1">
      <c r="A550" s="163"/>
    </row>
    <row r="551" ht="15.75" customHeight="1" spans="1:1">
      <c r="A551" s="163"/>
    </row>
    <row r="552" ht="15.75" customHeight="1" spans="1:1">
      <c r="A552" s="163"/>
    </row>
    <row r="553" ht="15.75" customHeight="1" spans="1:1">
      <c r="A553" s="163"/>
    </row>
    <row r="554" ht="15.75" customHeight="1" spans="1:1">
      <c r="A554" s="163"/>
    </row>
    <row r="555" ht="15.75" customHeight="1" spans="1:1">
      <c r="A555" s="163"/>
    </row>
    <row r="556" ht="15.75" customHeight="1" spans="1:1">
      <c r="A556" s="163"/>
    </row>
    <row r="557" ht="15.75" customHeight="1" spans="1:1">
      <c r="A557" s="163"/>
    </row>
    <row r="558" ht="15.75" customHeight="1" spans="1:1">
      <c r="A558" s="163"/>
    </row>
    <row r="559" ht="15.75" customHeight="1" spans="1:1">
      <c r="A559" s="163"/>
    </row>
    <row r="560" ht="15.75" customHeight="1" spans="1:1">
      <c r="A560" s="163"/>
    </row>
    <row r="561" ht="15.75" customHeight="1" spans="1:1">
      <c r="A561" s="163"/>
    </row>
    <row r="562" ht="15.75" customHeight="1" spans="1:1">
      <c r="A562" s="163"/>
    </row>
    <row r="563" ht="15.75" customHeight="1" spans="1:1">
      <c r="A563" s="163"/>
    </row>
    <row r="564" ht="15.75" customHeight="1" spans="1:1">
      <c r="A564" s="163"/>
    </row>
    <row r="565" ht="15.75" customHeight="1" spans="1:1">
      <c r="A565" s="163"/>
    </row>
    <row r="566" ht="15.75" customHeight="1" spans="1:1">
      <c r="A566" s="163"/>
    </row>
    <row r="567" ht="15.75" customHeight="1" spans="1:1">
      <c r="A567" s="163"/>
    </row>
    <row r="568" ht="15.75" customHeight="1" spans="1:1">
      <c r="A568" s="163"/>
    </row>
    <row r="569" ht="15.75" customHeight="1" spans="1:1">
      <c r="A569" s="163"/>
    </row>
    <row r="570" ht="15.75" customHeight="1" spans="1:1">
      <c r="A570" s="163"/>
    </row>
    <row r="571" ht="15.75" customHeight="1" spans="1:1">
      <c r="A571" s="163"/>
    </row>
    <row r="572" ht="15.75" customHeight="1" spans="1:1">
      <c r="A572" s="163"/>
    </row>
    <row r="573" ht="15.75" customHeight="1" spans="1:1">
      <c r="A573" s="163"/>
    </row>
    <row r="574" ht="15.75" customHeight="1" spans="1:1">
      <c r="A574" s="163"/>
    </row>
    <row r="575" ht="15.75" customHeight="1" spans="1:1">
      <c r="A575" s="163"/>
    </row>
    <row r="576" ht="15.75" customHeight="1" spans="1:1">
      <c r="A576" s="163"/>
    </row>
    <row r="577" ht="15.75" customHeight="1" spans="1:1">
      <c r="A577" s="163"/>
    </row>
    <row r="578" ht="15.75" customHeight="1" spans="1:1">
      <c r="A578" s="163"/>
    </row>
    <row r="579" ht="15.75" customHeight="1" spans="1:1">
      <c r="A579" s="163"/>
    </row>
    <row r="580" ht="15.75" customHeight="1" spans="1:1">
      <c r="A580" s="163"/>
    </row>
    <row r="581" ht="15.75" customHeight="1" spans="1:1">
      <c r="A581" s="163"/>
    </row>
    <row r="582" ht="15.75" customHeight="1" spans="1:1">
      <c r="A582" s="163"/>
    </row>
    <row r="583" ht="15.75" customHeight="1" spans="1:1">
      <c r="A583" s="163"/>
    </row>
    <row r="584" ht="15.75" customHeight="1" spans="1:1">
      <c r="A584" s="163"/>
    </row>
    <row r="585" ht="15.75" customHeight="1" spans="1:1">
      <c r="A585" s="163"/>
    </row>
    <row r="586" ht="15.75" customHeight="1" spans="1:1">
      <c r="A586" s="163"/>
    </row>
    <row r="587" ht="15.75" customHeight="1" spans="1:1">
      <c r="A587" s="163"/>
    </row>
    <row r="588" ht="15.75" customHeight="1" spans="1:1">
      <c r="A588" s="163"/>
    </row>
    <row r="589" ht="15.75" customHeight="1" spans="1:1">
      <c r="A589" s="163"/>
    </row>
    <row r="590" ht="15.75" customHeight="1" spans="1:1">
      <c r="A590" s="163"/>
    </row>
    <row r="591" ht="15.75" customHeight="1" spans="1:1">
      <c r="A591" s="163"/>
    </row>
    <row r="592" ht="15.75" customHeight="1" spans="1:1">
      <c r="A592" s="163"/>
    </row>
    <row r="593" ht="15.75" customHeight="1" spans="1:1">
      <c r="A593" s="163"/>
    </row>
    <row r="594" ht="15.75" customHeight="1" spans="1:1">
      <c r="A594" s="163"/>
    </row>
    <row r="595" ht="15.75" customHeight="1" spans="1:1">
      <c r="A595" s="163"/>
    </row>
    <row r="596" ht="15.75" customHeight="1" spans="1:1">
      <c r="A596" s="163"/>
    </row>
    <row r="597" ht="15.75" customHeight="1" spans="1:1">
      <c r="A597" s="163"/>
    </row>
    <row r="598" ht="15.75" customHeight="1" spans="1:1">
      <c r="A598" s="163"/>
    </row>
    <row r="599" ht="15.75" customHeight="1" spans="1:1">
      <c r="A599" s="163"/>
    </row>
    <row r="600" ht="15.75" customHeight="1" spans="1:1">
      <c r="A600" s="163"/>
    </row>
    <row r="601" ht="15.75" customHeight="1" spans="1:1">
      <c r="A601" s="163"/>
    </row>
    <row r="602" ht="15.75" customHeight="1" spans="1:1">
      <c r="A602" s="163"/>
    </row>
    <row r="603" ht="15.75" customHeight="1" spans="1:1">
      <c r="A603" s="163"/>
    </row>
    <row r="604" ht="15.75" customHeight="1" spans="1:1">
      <c r="A604" s="163"/>
    </row>
    <row r="605" ht="15.75" customHeight="1" spans="1:1">
      <c r="A605" s="163"/>
    </row>
    <row r="606" ht="15.75" customHeight="1" spans="1:1">
      <c r="A606" s="163"/>
    </row>
    <row r="607" ht="15.75" customHeight="1" spans="1:1">
      <c r="A607" s="163"/>
    </row>
    <row r="608" ht="15.75" customHeight="1" spans="1:1">
      <c r="A608" s="163"/>
    </row>
    <row r="609" ht="15.75" customHeight="1" spans="1:1">
      <c r="A609" s="163"/>
    </row>
    <row r="610" ht="15.75" customHeight="1" spans="1:1">
      <c r="A610" s="163"/>
    </row>
    <row r="611" ht="15.75" customHeight="1" spans="1:1">
      <c r="A611" s="163"/>
    </row>
    <row r="612" ht="15.75" customHeight="1" spans="1:1">
      <c r="A612" s="163"/>
    </row>
    <row r="613" ht="15.75" customHeight="1" spans="1:1">
      <c r="A613" s="163"/>
    </row>
    <row r="614" ht="15.75" customHeight="1" spans="1:1">
      <c r="A614" s="163"/>
    </row>
    <row r="615" ht="15.75" customHeight="1" spans="1:1">
      <c r="A615" s="163"/>
    </row>
    <row r="616" ht="15.75" customHeight="1" spans="1:1">
      <c r="A616" s="163"/>
    </row>
    <row r="617" ht="15.75" customHeight="1" spans="1:1">
      <c r="A617" s="163"/>
    </row>
    <row r="618" ht="15.75" customHeight="1" spans="1:1">
      <c r="A618" s="163"/>
    </row>
    <row r="619" ht="15.75" customHeight="1" spans="1:1">
      <c r="A619" s="163"/>
    </row>
    <row r="620" ht="15.75" customHeight="1" spans="1:1">
      <c r="A620" s="163"/>
    </row>
    <row r="621" ht="15.75" customHeight="1" spans="1:1">
      <c r="A621" s="163"/>
    </row>
    <row r="622" ht="15.75" customHeight="1" spans="1:1">
      <c r="A622" s="163"/>
    </row>
    <row r="623" ht="15.75" customHeight="1" spans="1:1">
      <c r="A623" s="163"/>
    </row>
    <row r="624" ht="15.75" customHeight="1" spans="1:1">
      <c r="A624" s="163"/>
    </row>
    <row r="625" ht="15.75" customHeight="1" spans="1:1">
      <c r="A625" s="163"/>
    </row>
    <row r="626" ht="15.75" customHeight="1" spans="1:1">
      <c r="A626" s="163"/>
    </row>
    <row r="627" ht="15.75" customHeight="1" spans="1:1">
      <c r="A627" s="163"/>
    </row>
    <row r="628" ht="15.75" customHeight="1" spans="1:1">
      <c r="A628" s="163"/>
    </row>
    <row r="629" ht="15.75" customHeight="1" spans="1:1">
      <c r="A629" s="163"/>
    </row>
    <row r="630" ht="15.75" customHeight="1" spans="1:1">
      <c r="A630" s="163"/>
    </row>
    <row r="631" ht="15.75" customHeight="1" spans="1:1">
      <c r="A631" s="163"/>
    </row>
    <row r="632" ht="15.75" customHeight="1" spans="1:1">
      <c r="A632" s="163"/>
    </row>
    <row r="633" ht="15.75" customHeight="1" spans="1:1">
      <c r="A633" s="163"/>
    </row>
    <row r="634" ht="15.75" customHeight="1" spans="1:1">
      <c r="A634" s="163"/>
    </row>
    <row r="635" ht="15.75" customHeight="1" spans="1:1">
      <c r="A635" s="163"/>
    </row>
    <row r="636" ht="15.75" customHeight="1" spans="1:1">
      <c r="A636" s="163"/>
    </row>
    <row r="637" ht="15.75" customHeight="1" spans="1:1">
      <c r="A637" s="163"/>
    </row>
    <row r="638" ht="15.75" customHeight="1" spans="1:1">
      <c r="A638" s="163"/>
    </row>
    <row r="639" ht="15.75" customHeight="1" spans="1:1">
      <c r="A639" s="163"/>
    </row>
    <row r="640" ht="15.75" customHeight="1" spans="1:1">
      <c r="A640" s="163"/>
    </row>
    <row r="641" ht="15.75" customHeight="1" spans="1:1">
      <c r="A641" s="163"/>
    </row>
    <row r="642" ht="15.75" customHeight="1" spans="1:1">
      <c r="A642" s="163"/>
    </row>
    <row r="643" ht="15.75" customHeight="1" spans="1:1">
      <c r="A643" s="163"/>
    </row>
    <row r="644" ht="15.75" customHeight="1" spans="1:1">
      <c r="A644" s="163"/>
    </row>
    <row r="645" ht="15.75" customHeight="1" spans="1:1">
      <c r="A645" s="163"/>
    </row>
    <row r="646" ht="15.75" customHeight="1" spans="1:1">
      <c r="A646" s="163"/>
    </row>
    <row r="647" ht="15.75" customHeight="1" spans="1:1">
      <c r="A647" s="163"/>
    </row>
    <row r="648" ht="15.75" customHeight="1" spans="1:1">
      <c r="A648" s="163"/>
    </row>
    <row r="649" ht="15.75" customHeight="1" spans="1:1">
      <c r="A649" s="163"/>
    </row>
    <row r="650" ht="15.75" customHeight="1" spans="1:1">
      <c r="A650" s="163"/>
    </row>
    <row r="651" ht="15.75" customHeight="1" spans="1:1">
      <c r="A651" s="163"/>
    </row>
    <row r="652" ht="15.75" customHeight="1" spans="1:1">
      <c r="A652" s="163"/>
    </row>
    <row r="653" ht="15.75" customHeight="1" spans="1:1">
      <c r="A653" s="163"/>
    </row>
    <row r="654" ht="15.75" customHeight="1" spans="1:1">
      <c r="A654" s="163"/>
    </row>
    <row r="655" ht="15.75" customHeight="1" spans="1:1">
      <c r="A655" s="163"/>
    </row>
    <row r="656" ht="15.75" customHeight="1" spans="1:1">
      <c r="A656" s="163"/>
    </row>
    <row r="657" ht="15.75" customHeight="1" spans="1:1">
      <c r="A657" s="163"/>
    </row>
    <row r="658" ht="15.75" customHeight="1" spans="1:1">
      <c r="A658" s="163"/>
    </row>
    <row r="659" ht="15.75" customHeight="1" spans="1:1">
      <c r="A659" s="163"/>
    </row>
    <row r="660" ht="15.75" customHeight="1" spans="1:1">
      <c r="A660" s="163"/>
    </row>
    <row r="661" ht="15.75" customHeight="1" spans="1:1">
      <c r="A661" s="163"/>
    </row>
    <row r="662" ht="15.75" customHeight="1" spans="1:1">
      <c r="A662" s="163"/>
    </row>
    <row r="663" ht="15.75" customHeight="1" spans="1:1">
      <c r="A663" s="163"/>
    </row>
    <row r="664" ht="15.75" customHeight="1" spans="1:1">
      <c r="A664" s="163"/>
    </row>
    <row r="665" ht="15.75" customHeight="1" spans="1:1">
      <c r="A665" s="163"/>
    </row>
    <row r="666" ht="15.75" customHeight="1" spans="1:1">
      <c r="A666" s="163"/>
    </row>
    <row r="667" ht="15.75" customHeight="1" spans="1:1">
      <c r="A667" s="163"/>
    </row>
    <row r="668" ht="15.75" customHeight="1" spans="1:1">
      <c r="A668" s="163"/>
    </row>
    <row r="669" ht="15.75" customHeight="1" spans="1:1">
      <c r="A669" s="163"/>
    </row>
    <row r="670" ht="15.75" customHeight="1" spans="1:1">
      <c r="A670" s="163"/>
    </row>
    <row r="671" ht="15.75" customHeight="1" spans="1:1">
      <c r="A671" s="163"/>
    </row>
    <row r="672" ht="15.75" customHeight="1" spans="1:1">
      <c r="A672" s="163"/>
    </row>
    <row r="673" ht="15.75" customHeight="1" spans="1:1">
      <c r="A673" s="163"/>
    </row>
    <row r="674" ht="15.75" customHeight="1" spans="1:1">
      <c r="A674" s="163"/>
    </row>
    <row r="675" ht="15.75" customHeight="1" spans="1:1">
      <c r="A675" s="163"/>
    </row>
    <row r="676" ht="15.75" customHeight="1" spans="1:1">
      <c r="A676" s="163"/>
    </row>
    <row r="677" ht="15.75" customHeight="1" spans="1:1">
      <c r="A677" s="163"/>
    </row>
    <row r="678" ht="15.75" customHeight="1" spans="1:1">
      <c r="A678" s="163"/>
    </row>
    <row r="679" ht="15.75" customHeight="1" spans="1:1">
      <c r="A679" s="163"/>
    </row>
    <row r="680" ht="15.75" customHeight="1" spans="1:1">
      <c r="A680" s="163"/>
    </row>
    <row r="681" ht="15.75" customHeight="1" spans="1:1">
      <c r="A681" s="163"/>
    </row>
    <row r="682" ht="15.75" customHeight="1" spans="1:1">
      <c r="A682" s="163"/>
    </row>
    <row r="683" ht="15.75" customHeight="1" spans="1:1">
      <c r="A683" s="163"/>
    </row>
    <row r="684" ht="15.75" customHeight="1" spans="1:1">
      <c r="A684" s="163"/>
    </row>
    <row r="685" ht="15.75" customHeight="1" spans="1:1">
      <c r="A685" s="163"/>
    </row>
    <row r="686" ht="15.75" customHeight="1" spans="1:1">
      <c r="A686" s="163"/>
    </row>
    <row r="687" ht="15.75" customHeight="1" spans="1:1">
      <c r="A687" s="163"/>
    </row>
    <row r="688" ht="15.75" customHeight="1" spans="1:1">
      <c r="A688" s="163"/>
    </row>
    <row r="689" ht="15.75" customHeight="1" spans="1:1">
      <c r="A689" s="163"/>
    </row>
    <row r="690" ht="15.75" customHeight="1" spans="1:1">
      <c r="A690" s="163"/>
    </row>
    <row r="691" ht="15.75" customHeight="1" spans="1:1">
      <c r="A691" s="163"/>
    </row>
    <row r="692" ht="15.75" customHeight="1" spans="1:1">
      <c r="A692" s="163"/>
    </row>
    <row r="693" ht="15.75" customHeight="1" spans="1:1">
      <c r="A693" s="163"/>
    </row>
    <row r="694" ht="15.75" customHeight="1" spans="1:1">
      <c r="A694" s="163"/>
    </row>
    <row r="695" ht="15.75" customHeight="1" spans="1:1">
      <c r="A695" s="163"/>
    </row>
    <row r="696" ht="15.75" customHeight="1" spans="1:1">
      <c r="A696" s="163"/>
    </row>
    <row r="697" ht="15.75" customHeight="1" spans="1:1">
      <c r="A697" s="163"/>
    </row>
    <row r="698" ht="15.75" customHeight="1" spans="1:1">
      <c r="A698" s="163"/>
    </row>
    <row r="699" ht="15.75" customHeight="1" spans="1:1">
      <c r="A699" s="163"/>
    </row>
    <row r="700" ht="15.75" customHeight="1" spans="1:1">
      <c r="A700" s="163"/>
    </row>
    <row r="701" ht="15.75" customHeight="1" spans="1:1">
      <c r="A701" s="163"/>
    </row>
    <row r="702" ht="15.75" customHeight="1" spans="1:1">
      <c r="A702" s="163"/>
    </row>
    <row r="703" ht="15.75" customHeight="1" spans="1:1">
      <c r="A703" s="163"/>
    </row>
    <row r="704" ht="15.75" customHeight="1" spans="1:1">
      <c r="A704" s="163"/>
    </row>
    <row r="705" ht="15.75" customHeight="1" spans="1:1">
      <c r="A705" s="163"/>
    </row>
    <row r="706" ht="15.75" customHeight="1" spans="1:1">
      <c r="A706" s="163"/>
    </row>
    <row r="707" ht="15.75" customHeight="1" spans="1:1">
      <c r="A707" s="163"/>
    </row>
    <row r="708" ht="15.75" customHeight="1" spans="1:1">
      <c r="A708" s="163"/>
    </row>
    <row r="709" ht="15.75" customHeight="1" spans="1:1">
      <c r="A709" s="163"/>
    </row>
    <row r="710" ht="15.75" customHeight="1" spans="1:1">
      <c r="A710" s="163"/>
    </row>
    <row r="711" ht="15.75" customHeight="1" spans="1:1">
      <c r="A711" s="163"/>
    </row>
    <row r="712" ht="15.75" customHeight="1" spans="1:1">
      <c r="A712" s="163"/>
    </row>
    <row r="713" ht="15.75" customHeight="1" spans="1:1">
      <c r="A713" s="163"/>
    </row>
    <row r="714" ht="15.75" customHeight="1" spans="1:1">
      <c r="A714" s="163"/>
    </row>
    <row r="715" ht="15.75" customHeight="1" spans="1:1">
      <c r="A715" s="163"/>
    </row>
    <row r="716" ht="15.75" customHeight="1" spans="1:1">
      <c r="A716" s="163"/>
    </row>
    <row r="717" ht="15.75" customHeight="1" spans="1:1">
      <c r="A717" s="163"/>
    </row>
    <row r="718" ht="15.75" customHeight="1" spans="1:1">
      <c r="A718" s="163"/>
    </row>
    <row r="719" ht="15.75" customHeight="1" spans="1:1">
      <c r="A719" s="163"/>
    </row>
    <row r="720" ht="15.75" customHeight="1" spans="1:1">
      <c r="A720" s="163"/>
    </row>
    <row r="721" ht="15.75" customHeight="1" spans="1:1">
      <c r="A721" s="163"/>
    </row>
    <row r="722" ht="15.75" customHeight="1" spans="1:1">
      <c r="A722" s="163"/>
    </row>
    <row r="723" ht="15.75" customHeight="1" spans="1:1">
      <c r="A723" s="163"/>
    </row>
    <row r="724" ht="15.75" customHeight="1" spans="1:1">
      <c r="A724" s="163"/>
    </row>
    <row r="725" ht="15.75" customHeight="1" spans="1:1">
      <c r="A725" s="163"/>
    </row>
    <row r="726" ht="15.75" customHeight="1" spans="1:1">
      <c r="A726" s="163"/>
    </row>
    <row r="727" ht="15.75" customHeight="1" spans="1:1">
      <c r="A727" s="163"/>
    </row>
    <row r="728" ht="15.75" customHeight="1" spans="1:1">
      <c r="A728" s="163"/>
    </row>
    <row r="729" ht="15.75" customHeight="1" spans="1:1">
      <c r="A729" s="163"/>
    </row>
    <row r="730" ht="15.75" customHeight="1" spans="1:1">
      <c r="A730" s="163"/>
    </row>
    <row r="731" ht="15.75" customHeight="1" spans="1:1">
      <c r="A731" s="163"/>
    </row>
    <row r="732" ht="15.75" customHeight="1" spans="1:1">
      <c r="A732" s="163"/>
    </row>
    <row r="733" ht="15.75" customHeight="1" spans="1:1">
      <c r="A733" s="163"/>
    </row>
    <row r="734" ht="15.75" customHeight="1" spans="1:1">
      <c r="A734" s="163"/>
    </row>
    <row r="735" ht="15.75" customHeight="1" spans="1:1">
      <c r="A735" s="163"/>
    </row>
    <row r="736" ht="15.75" customHeight="1" spans="1:1">
      <c r="A736" s="163"/>
    </row>
    <row r="737" ht="15.75" customHeight="1" spans="1:1">
      <c r="A737" s="163"/>
    </row>
    <row r="738" ht="15.75" customHeight="1" spans="1:1">
      <c r="A738" s="163"/>
    </row>
    <row r="739" ht="15.75" customHeight="1" spans="1:1">
      <c r="A739" s="163"/>
    </row>
    <row r="740" ht="15.75" customHeight="1" spans="1:1">
      <c r="A740" s="163"/>
    </row>
    <row r="741" ht="15.75" customHeight="1" spans="1:1">
      <c r="A741" s="163"/>
    </row>
    <row r="742" ht="15.75" customHeight="1" spans="1:1">
      <c r="A742" s="163"/>
    </row>
    <row r="743" ht="15.75" customHeight="1" spans="1:1">
      <c r="A743" s="163"/>
    </row>
    <row r="744" ht="15.75" customHeight="1" spans="1:1">
      <c r="A744" s="163"/>
    </row>
    <row r="745" ht="15.75" customHeight="1" spans="1:1">
      <c r="A745" s="163"/>
    </row>
    <row r="746" ht="15.75" customHeight="1" spans="1:1">
      <c r="A746" s="163"/>
    </row>
    <row r="747" ht="15.75" customHeight="1" spans="1:1">
      <c r="A747" s="163"/>
    </row>
    <row r="748" ht="15.75" customHeight="1" spans="1:1">
      <c r="A748" s="163"/>
    </row>
    <row r="749" ht="15.75" customHeight="1" spans="1:1">
      <c r="A749" s="163"/>
    </row>
    <row r="750" ht="15.75" customHeight="1" spans="1:1">
      <c r="A750" s="163"/>
    </row>
    <row r="751" ht="15.75" customHeight="1" spans="1:1">
      <c r="A751" s="163"/>
    </row>
    <row r="752" ht="15.75" customHeight="1" spans="1:1">
      <c r="A752" s="163"/>
    </row>
    <row r="753" ht="15.75" customHeight="1" spans="1:1">
      <c r="A753" s="163"/>
    </row>
    <row r="754" ht="15.75" customHeight="1" spans="1:1">
      <c r="A754" s="163"/>
    </row>
    <row r="755" ht="15.75" customHeight="1" spans="1:1">
      <c r="A755" s="163"/>
    </row>
    <row r="756" ht="15.75" customHeight="1" spans="1:1">
      <c r="A756" s="163"/>
    </row>
    <row r="757" ht="15.75" customHeight="1" spans="1:1">
      <c r="A757" s="163"/>
    </row>
    <row r="758" ht="15.75" customHeight="1" spans="1:1">
      <c r="A758" s="163"/>
    </row>
    <row r="759" ht="15.75" customHeight="1" spans="1:1">
      <c r="A759" s="163"/>
    </row>
    <row r="760" ht="15.75" customHeight="1" spans="1:1">
      <c r="A760" s="163"/>
    </row>
    <row r="761" ht="15.75" customHeight="1" spans="1:1">
      <c r="A761" s="163"/>
    </row>
    <row r="762" ht="15.75" customHeight="1" spans="1:1">
      <c r="A762" s="163"/>
    </row>
    <row r="763" ht="15.75" customHeight="1" spans="1:1">
      <c r="A763" s="163"/>
    </row>
    <row r="764" ht="15.75" customHeight="1" spans="1:1">
      <c r="A764" s="163"/>
    </row>
    <row r="765" ht="15.75" customHeight="1" spans="1:1">
      <c r="A765" s="163"/>
    </row>
    <row r="766" ht="15.75" customHeight="1" spans="1:1">
      <c r="A766" s="163"/>
    </row>
    <row r="767" ht="15.75" customHeight="1" spans="1:1">
      <c r="A767" s="163"/>
    </row>
    <row r="768" ht="15.75" customHeight="1" spans="1:1">
      <c r="A768" s="163"/>
    </row>
    <row r="769" ht="15.75" customHeight="1" spans="1:1">
      <c r="A769" s="163"/>
    </row>
    <row r="770" ht="15.75" customHeight="1" spans="1:1">
      <c r="A770" s="163"/>
    </row>
    <row r="771" ht="15.75" customHeight="1" spans="1:1">
      <c r="A771" s="163"/>
    </row>
    <row r="772" ht="15.75" customHeight="1" spans="1:1">
      <c r="A772" s="163"/>
    </row>
    <row r="773" ht="15.75" customHeight="1" spans="1:1">
      <c r="A773" s="163"/>
    </row>
    <row r="774" ht="15.75" customHeight="1" spans="1:1">
      <c r="A774" s="163"/>
    </row>
    <row r="775" ht="15.75" customHeight="1" spans="1:1">
      <c r="A775" s="163"/>
    </row>
    <row r="776" ht="15.75" customHeight="1" spans="1:1">
      <c r="A776" s="163"/>
    </row>
    <row r="777" ht="15.75" customHeight="1" spans="1:1">
      <c r="A777" s="163"/>
    </row>
    <row r="778" ht="15.75" customHeight="1" spans="1:1">
      <c r="A778" s="163"/>
    </row>
    <row r="779" ht="15.75" customHeight="1" spans="1:1">
      <c r="A779" s="163"/>
    </row>
    <row r="780" ht="15.75" customHeight="1" spans="1:1">
      <c r="A780" s="163"/>
    </row>
    <row r="781" ht="15.75" customHeight="1" spans="1:1">
      <c r="A781" s="163"/>
    </row>
    <row r="782" ht="15.75" customHeight="1" spans="1:1">
      <c r="A782" s="163"/>
    </row>
    <row r="783" ht="15.75" customHeight="1" spans="1:1">
      <c r="A783" s="163"/>
    </row>
    <row r="784" ht="15.75" customHeight="1" spans="1:1">
      <c r="A784" s="163"/>
    </row>
    <row r="785" ht="15.75" customHeight="1" spans="1:1">
      <c r="A785" s="163"/>
    </row>
    <row r="786" ht="15.75" customHeight="1" spans="1:1">
      <c r="A786" s="163"/>
    </row>
    <row r="787" ht="15.75" customHeight="1" spans="1:1">
      <c r="A787" s="163"/>
    </row>
    <row r="788" ht="15.75" customHeight="1" spans="1:1">
      <c r="A788" s="163"/>
    </row>
    <row r="789" ht="15.75" customHeight="1" spans="1:1">
      <c r="A789" s="163"/>
    </row>
    <row r="790" ht="15.75" customHeight="1" spans="1:1">
      <c r="A790" s="163"/>
    </row>
    <row r="791" ht="15.75" customHeight="1" spans="1:1">
      <c r="A791" s="163"/>
    </row>
    <row r="792" ht="15.75" customHeight="1" spans="1:1">
      <c r="A792" s="163"/>
    </row>
    <row r="793" ht="15.75" customHeight="1" spans="1:1">
      <c r="A793" s="163"/>
    </row>
    <row r="794" ht="15.75" customHeight="1" spans="1:1">
      <c r="A794" s="163"/>
    </row>
    <row r="795" ht="15.75" customHeight="1" spans="1:1">
      <c r="A795" s="163"/>
    </row>
    <row r="796" ht="15.75" customHeight="1" spans="1:1">
      <c r="A796" s="163"/>
    </row>
    <row r="797" ht="15.75" customHeight="1" spans="1:1">
      <c r="A797" s="163"/>
    </row>
    <row r="798" ht="15.75" customHeight="1" spans="1:1">
      <c r="A798" s="163"/>
    </row>
    <row r="799" ht="15.75" customHeight="1" spans="1:1">
      <c r="A799" s="163"/>
    </row>
    <row r="800" ht="15.75" customHeight="1" spans="1:1">
      <c r="A800" s="163"/>
    </row>
    <row r="801" ht="15.75" customHeight="1" spans="1:1">
      <c r="A801" s="163"/>
    </row>
    <row r="802" ht="15.75" customHeight="1" spans="1:1">
      <c r="A802" s="163"/>
    </row>
    <row r="803" ht="15.75" customHeight="1" spans="1:1">
      <c r="A803" s="163"/>
    </row>
    <row r="804" ht="15.75" customHeight="1" spans="1:1">
      <c r="A804" s="163"/>
    </row>
    <row r="805" ht="15.75" customHeight="1" spans="1:1">
      <c r="A805" s="163"/>
    </row>
    <row r="806" ht="15.75" customHeight="1" spans="1:1">
      <c r="A806" s="163"/>
    </row>
    <row r="807" ht="15.75" customHeight="1" spans="1:1">
      <c r="A807" s="163"/>
    </row>
    <row r="808" ht="15.75" customHeight="1" spans="1:1">
      <c r="A808" s="163"/>
    </row>
    <row r="809" ht="15.75" customHeight="1" spans="1:1">
      <c r="A809" s="163"/>
    </row>
    <row r="810" ht="15.75" customHeight="1" spans="1:1">
      <c r="A810" s="163"/>
    </row>
    <row r="811" ht="15.75" customHeight="1" spans="1:1">
      <c r="A811" s="163"/>
    </row>
    <row r="812" ht="15.75" customHeight="1" spans="1:1">
      <c r="A812" s="163"/>
    </row>
    <row r="813" ht="15.75" customHeight="1" spans="1:1">
      <c r="A813" s="163"/>
    </row>
    <row r="814" ht="15.75" customHeight="1" spans="1:1">
      <c r="A814" s="163"/>
    </row>
    <row r="815" ht="15.75" customHeight="1" spans="1:1">
      <c r="A815" s="163"/>
    </row>
    <row r="816" ht="15.75" customHeight="1" spans="1:1">
      <c r="A816" s="163"/>
    </row>
    <row r="817" ht="15.75" customHeight="1" spans="1:1">
      <c r="A817" s="163"/>
    </row>
    <row r="818" ht="15.75" customHeight="1" spans="1:1">
      <c r="A818" s="163"/>
    </row>
    <row r="819" ht="15.75" customHeight="1" spans="1:1">
      <c r="A819" s="163"/>
    </row>
    <row r="820" ht="15.75" customHeight="1" spans="1:1">
      <c r="A820" s="163"/>
    </row>
    <row r="821" ht="15.75" customHeight="1" spans="1:1">
      <c r="A821" s="163"/>
    </row>
    <row r="822" ht="15.75" customHeight="1" spans="1:1">
      <c r="A822" s="163"/>
    </row>
    <row r="823" ht="15.75" customHeight="1" spans="1:1">
      <c r="A823" s="163"/>
    </row>
    <row r="824" ht="15.75" customHeight="1" spans="1:1">
      <c r="A824" s="163"/>
    </row>
    <row r="825" ht="15.75" customHeight="1" spans="1:1">
      <c r="A825" s="163"/>
    </row>
    <row r="826" ht="15.75" customHeight="1" spans="1:1">
      <c r="A826" s="163"/>
    </row>
    <row r="827" ht="15.75" customHeight="1" spans="1:1">
      <c r="A827" s="163"/>
    </row>
    <row r="828" ht="15.75" customHeight="1" spans="1:1">
      <c r="A828" s="163"/>
    </row>
    <row r="829" ht="15.75" customHeight="1" spans="1:1">
      <c r="A829" s="163"/>
    </row>
    <row r="830" ht="15.75" customHeight="1" spans="1:1">
      <c r="A830" s="163"/>
    </row>
    <row r="831" ht="15.75" customHeight="1" spans="1:1">
      <c r="A831" s="163"/>
    </row>
    <row r="832" ht="15.75" customHeight="1" spans="1:1">
      <c r="A832" s="163"/>
    </row>
    <row r="833" ht="15.75" customHeight="1" spans="1:1">
      <c r="A833" s="163"/>
    </row>
    <row r="834" ht="15.75" customHeight="1" spans="1:1">
      <c r="A834" s="163"/>
    </row>
    <row r="835" ht="15.75" customHeight="1" spans="1:1">
      <c r="A835" s="163"/>
    </row>
    <row r="836" ht="15.75" customHeight="1" spans="1:1">
      <c r="A836" s="163"/>
    </row>
    <row r="837" ht="15.75" customHeight="1" spans="1:1">
      <c r="A837" s="163"/>
    </row>
    <row r="838" ht="15.75" customHeight="1" spans="1:1">
      <c r="A838" s="163"/>
    </row>
    <row r="839" ht="15.75" customHeight="1" spans="1:1">
      <c r="A839" s="163"/>
    </row>
    <row r="840" ht="15.75" customHeight="1" spans="1:1">
      <c r="A840" s="163"/>
    </row>
    <row r="841" ht="15.75" customHeight="1" spans="1:1">
      <c r="A841" s="163"/>
    </row>
    <row r="842" ht="15.75" customHeight="1" spans="1:1">
      <c r="A842" s="163"/>
    </row>
    <row r="843" ht="15.75" customHeight="1" spans="1:1">
      <c r="A843" s="163"/>
    </row>
    <row r="844" ht="15.75" customHeight="1" spans="1:1">
      <c r="A844" s="163"/>
    </row>
    <row r="845" ht="15.75" customHeight="1" spans="1:1">
      <c r="A845" s="163"/>
    </row>
    <row r="846" ht="15.75" customHeight="1" spans="1:1">
      <c r="A846" s="163"/>
    </row>
    <row r="847" ht="15.75" customHeight="1" spans="1:1">
      <c r="A847" s="163"/>
    </row>
    <row r="848" ht="15.75" customHeight="1" spans="1:1">
      <c r="A848" s="163"/>
    </row>
    <row r="849" ht="15.75" customHeight="1" spans="1:1">
      <c r="A849" s="163"/>
    </row>
    <row r="850" ht="15.75" customHeight="1" spans="1:1">
      <c r="A850" s="163"/>
    </row>
    <row r="851" ht="15.75" customHeight="1" spans="1:1">
      <c r="A851" s="163"/>
    </row>
    <row r="852" ht="15.75" customHeight="1" spans="1:1">
      <c r="A852" s="163"/>
    </row>
    <row r="853" ht="15.75" customHeight="1" spans="1:1">
      <c r="A853" s="163"/>
    </row>
    <row r="854" ht="15.75" customHeight="1" spans="1:1">
      <c r="A854" s="163"/>
    </row>
    <row r="855" ht="15.75" customHeight="1" spans="1:1">
      <c r="A855" s="163"/>
    </row>
    <row r="856" ht="15.75" customHeight="1" spans="1:1">
      <c r="A856" s="163"/>
    </row>
    <row r="857" ht="15.75" customHeight="1" spans="1:1">
      <c r="A857" s="163"/>
    </row>
    <row r="858" ht="15.75" customHeight="1" spans="1:1">
      <c r="A858" s="163"/>
    </row>
    <row r="859" ht="15.75" customHeight="1" spans="1:1">
      <c r="A859" s="163"/>
    </row>
    <row r="860" ht="15.75" customHeight="1" spans="1:1">
      <c r="A860" s="163"/>
    </row>
    <row r="861" ht="15.75" customHeight="1" spans="1:1">
      <c r="A861" s="163"/>
    </row>
    <row r="862" ht="15.75" customHeight="1" spans="1:1">
      <c r="A862" s="163"/>
    </row>
    <row r="863" ht="15.75" customHeight="1" spans="1:1">
      <c r="A863" s="163"/>
    </row>
    <row r="864" ht="15.75" customHeight="1" spans="1:1">
      <c r="A864" s="163"/>
    </row>
    <row r="865" ht="15.75" customHeight="1" spans="1:1">
      <c r="A865" s="163"/>
    </row>
    <row r="866" ht="15.75" customHeight="1" spans="1:1">
      <c r="A866" s="163"/>
    </row>
    <row r="867" ht="15.75" customHeight="1" spans="1:1">
      <c r="A867" s="163"/>
    </row>
    <row r="868" ht="15.75" customHeight="1" spans="1:1">
      <c r="A868" s="163"/>
    </row>
    <row r="869" ht="15.75" customHeight="1" spans="1:1">
      <c r="A869" s="163"/>
    </row>
    <row r="870" ht="15.75" customHeight="1" spans="1:1">
      <c r="A870" s="163"/>
    </row>
    <row r="871" ht="15.75" customHeight="1" spans="1:1">
      <c r="A871" s="163"/>
    </row>
    <row r="872" ht="15.75" customHeight="1" spans="1:1">
      <c r="A872" s="163"/>
    </row>
    <row r="873" ht="15.75" customHeight="1" spans="1:1">
      <c r="A873" s="163"/>
    </row>
    <row r="874" ht="15.75" customHeight="1" spans="1:1">
      <c r="A874" s="163"/>
    </row>
    <row r="875" ht="15.75" customHeight="1" spans="1:1">
      <c r="A875" s="163"/>
    </row>
    <row r="876" ht="15.75" customHeight="1" spans="1:1">
      <c r="A876" s="163"/>
    </row>
    <row r="877" ht="15.75" customHeight="1" spans="1:1">
      <c r="A877" s="163"/>
    </row>
    <row r="878" ht="15.75" customHeight="1" spans="1:1">
      <c r="A878" s="163"/>
    </row>
    <row r="879" ht="15.75" customHeight="1" spans="1:1">
      <c r="A879" s="163"/>
    </row>
    <row r="880" ht="15.75" customHeight="1" spans="1:1">
      <c r="A880" s="163"/>
    </row>
    <row r="881" ht="15.75" customHeight="1" spans="1:1">
      <c r="A881" s="163"/>
    </row>
    <row r="882" ht="15.75" customHeight="1" spans="1:1">
      <c r="A882" s="163"/>
    </row>
    <row r="883" ht="15.75" customHeight="1" spans="1:1">
      <c r="A883" s="163"/>
    </row>
    <row r="884" ht="15.75" customHeight="1" spans="1:1">
      <c r="A884" s="163"/>
    </row>
    <row r="885" ht="15.75" customHeight="1" spans="1:1">
      <c r="A885" s="163"/>
    </row>
    <row r="886" ht="15.75" customHeight="1" spans="1:1">
      <c r="A886" s="163"/>
    </row>
    <row r="887" ht="15.75" customHeight="1" spans="1:1">
      <c r="A887" s="163"/>
    </row>
    <row r="888" ht="15.75" customHeight="1" spans="1:1">
      <c r="A888" s="163"/>
    </row>
    <row r="889" ht="15.75" customHeight="1" spans="1:1">
      <c r="A889" s="163"/>
    </row>
    <row r="890" ht="15.75" customHeight="1" spans="1:1">
      <c r="A890" s="163"/>
    </row>
    <row r="891" ht="15.75" customHeight="1" spans="1:1">
      <c r="A891" s="163"/>
    </row>
    <row r="892" ht="15.75" customHeight="1" spans="1:1">
      <c r="A892" s="163"/>
    </row>
    <row r="893" ht="15.75" customHeight="1" spans="1:1">
      <c r="A893" s="163"/>
    </row>
    <row r="894" ht="15.75" customHeight="1" spans="1:1">
      <c r="A894" s="163"/>
    </row>
    <row r="895" ht="15.75" customHeight="1" spans="1:1">
      <c r="A895" s="163"/>
    </row>
    <row r="896" ht="15.75" customHeight="1" spans="1:1">
      <c r="A896" s="163"/>
    </row>
    <row r="897" ht="15.75" customHeight="1" spans="1:1">
      <c r="A897" s="163"/>
    </row>
    <row r="898" ht="15.75" customHeight="1" spans="1:1">
      <c r="A898" s="163"/>
    </row>
    <row r="899" ht="15.75" customHeight="1" spans="1:1">
      <c r="A899" s="163"/>
    </row>
    <row r="900" ht="15.75" customHeight="1" spans="1:1">
      <c r="A900" s="163"/>
    </row>
    <row r="901" ht="15.75" customHeight="1" spans="1:1">
      <c r="A901" s="163"/>
    </row>
    <row r="902" ht="15.75" customHeight="1" spans="1:1">
      <c r="A902" s="163"/>
    </row>
    <row r="903" ht="15.75" customHeight="1" spans="1:1">
      <c r="A903" s="163"/>
    </row>
    <row r="904" ht="15.75" customHeight="1" spans="1:1">
      <c r="A904" s="163"/>
    </row>
    <row r="905" ht="15.75" customHeight="1" spans="1:1">
      <c r="A905" s="163"/>
    </row>
    <row r="906" ht="15.75" customHeight="1" spans="1:1">
      <c r="A906" s="163"/>
    </row>
    <row r="907" ht="15.75" customHeight="1" spans="1:1">
      <c r="A907" s="163"/>
    </row>
    <row r="908" ht="15.75" customHeight="1" spans="1:1">
      <c r="A908" s="163"/>
    </row>
    <row r="909" ht="15.75" customHeight="1" spans="1:1">
      <c r="A909" s="163"/>
    </row>
    <row r="910" ht="15.75" customHeight="1" spans="1:1">
      <c r="A910" s="163"/>
    </row>
    <row r="911" ht="15.75" customHeight="1" spans="1:1">
      <c r="A911" s="163"/>
    </row>
    <row r="912" ht="15.75" customHeight="1" spans="1:1">
      <c r="A912" s="163"/>
    </row>
    <row r="913" ht="15.75" customHeight="1" spans="1:1">
      <c r="A913" s="163"/>
    </row>
    <row r="914" ht="15.75" customHeight="1" spans="1:1">
      <c r="A914" s="163"/>
    </row>
    <row r="915" ht="15.75" customHeight="1" spans="1:1">
      <c r="A915" s="163"/>
    </row>
    <row r="916" ht="15.75" customHeight="1" spans="1:1">
      <c r="A916" s="163"/>
    </row>
    <row r="917" ht="15.75" customHeight="1" spans="1:1">
      <c r="A917" s="163"/>
    </row>
    <row r="918" ht="15.75" customHeight="1" spans="1:1">
      <c r="A918" s="163"/>
    </row>
    <row r="919" ht="15.75" customHeight="1" spans="1:1">
      <c r="A919" s="163"/>
    </row>
    <row r="920" ht="15.75" customHeight="1" spans="1:1">
      <c r="A920" s="163"/>
    </row>
    <row r="921" ht="15.75" customHeight="1" spans="1:1">
      <c r="A921" s="163"/>
    </row>
    <row r="922" ht="15.75" customHeight="1" spans="1:1">
      <c r="A922" s="163"/>
    </row>
    <row r="923" ht="15.75" customHeight="1" spans="1:1">
      <c r="A923" s="163"/>
    </row>
    <row r="924" ht="15.75" customHeight="1" spans="1:1">
      <c r="A924" s="163"/>
    </row>
    <row r="925" ht="15.75" customHeight="1" spans="1:1">
      <c r="A925" s="163"/>
    </row>
    <row r="926" ht="15.75" customHeight="1" spans="1:1">
      <c r="A926" s="163"/>
    </row>
    <row r="927" ht="15.75" customHeight="1" spans="1:1">
      <c r="A927" s="163"/>
    </row>
    <row r="928" ht="15.75" customHeight="1" spans="1:1">
      <c r="A928" s="163"/>
    </row>
    <row r="929" ht="15.75" customHeight="1" spans="1:1">
      <c r="A929" s="163"/>
    </row>
    <row r="930" ht="15.75" customHeight="1" spans="1:1">
      <c r="A930" s="163"/>
    </row>
    <row r="931" ht="15.75" customHeight="1" spans="1:1">
      <c r="A931" s="163"/>
    </row>
    <row r="932" ht="15.75" customHeight="1" spans="1:1">
      <c r="A932" s="163"/>
    </row>
    <row r="933" ht="15.75" customHeight="1" spans="1:1">
      <c r="A933" s="163"/>
    </row>
    <row r="934" ht="15.75" customHeight="1" spans="1:1">
      <c r="A934" s="163"/>
    </row>
    <row r="935" ht="15.75" customHeight="1" spans="1:1">
      <c r="A935" s="163"/>
    </row>
    <row r="936" ht="15.75" customHeight="1" spans="1:1">
      <c r="A936" s="163"/>
    </row>
    <row r="937" ht="15.75" customHeight="1" spans="1:1">
      <c r="A937" s="163"/>
    </row>
    <row r="938" ht="15.75" customHeight="1" spans="1:1">
      <c r="A938" s="163"/>
    </row>
    <row r="939" ht="15.75" customHeight="1" spans="1:1">
      <c r="A939" s="163"/>
    </row>
    <row r="940" ht="15.75" customHeight="1" spans="1:1">
      <c r="A940" s="163"/>
    </row>
    <row r="941" ht="15.75" customHeight="1" spans="1:1">
      <c r="A941" s="163"/>
    </row>
    <row r="942" ht="15.75" customHeight="1" spans="1:1">
      <c r="A942" s="163"/>
    </row>
    <row r="943" ht="15.75" customHeight="1" spans="1:1">
      <c r="A943" s="163"/>
    </row>
    <row r="944" ht="15.75" customHeight="1" spans="1:1">
      <c r="A944" s="163"/>
    </row>
    <row r="945" ht="15.75" customHeight="1" spans="1:1">
      <c r="A945" s="163"/>
    </row>
    <row r="946" ht="15.75" customHeight="1" spans="1:1">
      <c r="A946" s="163"/>
    </row>
    <row r="947" ht="15.75" customHeight="1" spans="1:1">
      <c r="A947" s="163"/>
    </row>
    <row r="948" ht="15.75" customHeight="1" spans="1:1">
      <c r="A948" s="163"/>
    </row>
    <row r="949" ht="15.75" customHeight="1" spans="1:1">
      <c r="A949" s="163"/>
    </row>
    <row r="950" ht="15.75" customHeight="1" spans="1:1">
      <c r="A950" s="163"/>
    </row>
    <row r="951" ht="15.75" customHeight="1" spans="1:1">
      <c r="A951" s="163"/>
    </row>
    <row r="952" ht="15.75" customHeight="1" spans="1:1">
      <c r="A952" s="163"/>
    </row>
    <row r="953" ht="15.75" customHeight="1" spans="1:1">
      <c r="A953" s="163"/>
    </row>
    <row r="954" ht="15.75" customHeight="1" spans="1:1">
      <c r="A954" s="163"/>
    </row>
    <row r="955" ht="15.75" customHeight="1" spans="1:1">
      <c r="A955" s="163"/>
    </row>
    <row r="956" ht="15.75" customHeight="1" spans="1:1">
      <c r="A956" s="163"/>
    </row>
    <row r="957" ht="15.75" customHeight="1" spans="1:1">
      <c r="A957" s="163"/>
    </row>
    <row r="958" ht="15.75" customHeight="1" spans="1:1">
      <c r="A958" s="163"/>
    </row>
    <row r="959" ht="15.75" customHeight="1" spans="1:1">
      <c r="A959" s="163"/>
    </row>
    <row r="960" ht="15.75" customHeight="1" spans="1:1">
      <c r="A960" s="163"/>
    </row>
    <row r="961" ht="15.75" customHeight="1" spans="1:1">
      <c r="A961" s="163"/>
    </row>
    <row r="962" ht="15.75" customHeight="1" spans="1:1">
      <c r="A962" s="163"/>
    </row>
    <row r="963" ht="15.75" customHeight="1" spans="1:1">
      <c r="A963" s="163"/>
    </row>
    <row r="964" ht="15.75" customHeight="1" spans="1:1">
      <c r="A964" s="163"/>
    </row>
    <row r="965" ht="15.75" customHeight="1" spans="1:1">
      <c r="A965" s="163"/>
    </row>
    <row r="966" ht="15.75" customHeight="1" spans="1:1">
      <c r="A966" s="163"/>
    </row>
    <row r="967" ht="15.75" customHeight="1" spans="1:1">
      <c r="A967" s="163"/>
    </row>
    <row r="968" ht="15.75" customHeight="1" spans="1:1">
      <c r="A968" s="163"/>
    </row>
    <row r="969" ht="15.75" customHeight="1" spans="1:1">
      <c r="A969" s="163"/>
    </row>
    <row r="970" ht="15.75" customHeight="1" spans="1:1">
      <c r="A970" s="163"/>
    </row>
    <row r="971" ht="15.75" customHeight="1" spans="1:1">
      <c r="A971" s="163"/>
    </row>
    <row r="972" ht="15.75" customHeight="1" spans="1:1">
      <c r="A972" s="163"/>
    </row>
    <row r="973" ht="15.75" customHeight="1" spans="1:1">
      <c r="A973" s="163"/>
    </row>
    <row r="974" ht="15.75" customHeight="1" spans="1:1">
      <c r="A974" s="163"/>
    </row>
    <row r="975" ht="15.75" customHeight="1" spans="1:1">
      <c r="A975" s="163"/>
    </row>
    <row r="976" ht="15.75" customHeight="1" spans="1:1">
      <c r="A976" s="163"/>
    </row>
    <row r="977" ht="15.75" customHeight="1" spans="1:1">
      <c r="A977" s="163"/>
    </row>
    <row r="978" ht="15.75" customHeight="1" spans="1:1">
      <c r="A978" s="163"/>
    </row>
    <row r="979" ht="15.75" customHeight="1" spans="1:1">
      <c r="A979" s="163"/>
    </row>
    <row r="980" ht="15.75" customHeight="1" spans="1:1">
      <c r="A980" s="163"/>
    </row>
    <row r="981" ht="15.75" customHeight="1" spans="1:1">
      <c r="A981" s="163"/>
    </row>
    <row r="982" ht="15.75" customHeight="1" spans="1:1">
      <c r="A982" s="163"/>
    </row>
    <row r="983" ht="15.75" customHeight="1" spans="1:1">
      <c r="A983" s="163"/>
    </row>
    <row r="984" ht="15.75" customHeight="1" spans="1:1">
      <c r="A984" s="163"/>
    </row>
    <row r="985" ht="15.75" customHeight="1" spans="1:1">
      <c r="A985" s="163"/>
    </row>
    <row r="986" ht="15.75" customHeight="1" spans="1:1">
      <c r="A986" s="163"/>
    </row>
    <row r="987" ht="15.75" customHeight="1" spans="1:1">
      <c r="A987" s="163"/>
    </row>
    <row r="988" ht="15.75" customHeight="1" spans="1:1">
      <c r="A988" s="163"/>
    </row>
    <row r="989" ht="15.75" customHeight="1" spans="1:1">
      <c r="A989" s="163"/>
    </row>
    <row r="990" ht="15.75" customHeight="1" spans="1:1">
      <c r="A990" s="163"/>
    </row>
    <row r="991" ht="15.75" customHeight="1" spans="1:1">
      <c r="A991" s="163"/>
    </row>
    <row r="992" ht="15.75" customHeight="1" spans="1:1">
      <c r="A992" s="163"/>
    </row>
    <row r="993" ht="15.75" customHeight="1" spans="1:1">
      <c r="A993" s="163"/>
    </row>
    <row r="994" ht="15.75" customHeight="1" spans="1:1">
      <c r="A994" s="163"/>
    </row>
    <row r="995" ht="15.75" customHeight="1" spans="1:1">
      <c r="A995" s="163"/>
    </row>
    <row r="996" ht="15.75" customHeight="1" spans="1:1">
      <c r="A996" s="163"/>
    </row>
    <row r="997" ht="15.75" customHeight="1" spans="1:1">
      <c r="A997" s="163"/>
    </row>
    <row r="998" ht="15.75" customHeight="1" spans="1:1">
      <c r="A998" s="163"/>
    </row>
    <row r="999" ht="15.75" customHeight="1" spans="1:1">
      <c r="A999" s="163"/>
    </row>
    <row r="1000" ht="15.75" customHeight="1" spans="1:1">
      <c r="A1000" s="163"/>
    </row>
    <row r="1001" ht="15.75" customHeight="1" spans="1:1">
      <c r="A1001" s="163"/>
    </row>
    <row r="1002" ht="15.75" customHeight="1" spans="1:1">
      <c r="A1002" s="163"/>
    </row>
    <row r="1003" ht="15.75" customHeight="1" spans="1:1">
      <c r="A1003" s="163"/>
    </row>
    <row r="1004" ht="15.75" customHeight="1" spans="1:1">
      <c r="A1004" s="163"/>
    </row>
    <row r="1005" ht="15.75" customHeight="1" spans="1:1">
      <c r="A1005" s="163"/>
    </row>
    <row r="1006" ht="15.75" customHeight="1" spans="1:1">
      <c r="A1006" s="163"/>
    </row>
    <row r="1007" ht="15.75" customHeight="1" spans="1:1">
      <c r="A1007" s="163"/>
    </row>
    <row r="1008" ht="15.75" customHeight="1" spans="1:1">
      <c r="A1008" s="163"/>
    </row>
    <row r="1009" ht="15.75" customHeight="1" spans="1:1">
      <c r="A1009" s="163"/>
    </row>
    <row r="1010" ht="15.75" customHeight="1" spans="1:1">
      <c r="A1010" s="163"/>
    </row>
    <row r="1011" ht="15.75" customHeight="1" spans="1:1">
      <c r="A1011" s="163"/>
    </row>
    <row r="1012" ht="15.75" customHeight="1" spans="1:1">
      <c r="A1012" s="163"/>
    </row>
    <row r="1013" ht="15.75" customHeight="1" spans="1:1">
      <c r="A1013" s="163"/>
    </row>
    <row r="1014" ht="15.75" customHeight="1" spans="1:1">
      <c r="A1014" s="163"/>
    </row>
    <row r="1015" ht="15.75" customHeight="1" spans="1:1">
      <c r="A1015" s="163"/>
    </row>
    <row r="1016" ht="15.75" customHeight="1" spans="1:1">
      <c r="A1016" s="163"/>
    </row>
    <row r="1017" ht="15.75" customHeight="1" spans="1:1">
      <c r="A1017" s="163"/>
    </row>
    <row r="1018" ht="15.75" customHeight="1" spans="1:1">
      <c r="A1018" s="163"/>
    </row>
  </sheetData>
  <mergeCells count="42">
    <mergeCell ref="B1:AJ1"/>
    <mergeCell ref="B2:AJ2"/>
    <mergeCell ref="B3:AJ3"/>
    <mergeCell ref="J8:AJ8"/>
    <mergeCell ref="E74:G74"/>
    <mergeCell ref="E75:G75"/>
    <mergeCell ref="J75:K75"/>
    <mergeCell ref="L75:AH75"/>
    <mergeCell ref="E76:G76"/>
    <mergeCell ref="L76:AH76"/>
    <mergeCell ref="E77:G77"/>
    <mergeCell ref="L77:AH77"/>
    <mergeCell ref="L78:AH78"/>
    <mergeCell ref="B84:D84"/>
    <mergeCell ref="B85:D85"/>
    <mergeCell ref="B8:B9"/>
    <mergeCell ref="C8:C9"/>
    <mergeCell ref="D8:D9"/>
    <mergeCell ref="D46:D47"/>
    <mergeCell ref="E20:E28"/>
    <mergeCell ref="E30:E34"/>
    <mergeCell ref="E46:E47"/>
    <mergeCell ref="F8:F9"/>
    <mergeCell ref="F46:F47"/>
    <mergeCell ref="G8:G9"/>
    <mergeCell ref="G16:G17"/>
    <mergeCell ref="G20:G28"/>
    <mergeCell ref="G30:G34"/>
    <mergeCell ref="G36:G38"/>
    <mergeCell ref="G46:G47"/>
    <mergeCell ref="H8:H9"/>
    <mergeCell ref="H20:H28"/>
    <mergeCell ref="H30:H34"/>
    <mergeCell ref="H46:H47"/>
    <mergeCell ref="I8:I9"/>
    <mergeCell ref="I46:I47"/>
    <mergeCell ref="J46:J47"/>
    <mergeCell ref="K46:K47"/>
    <mergeCell ref="L46:L47"/>
    <mergeCell ref="M46:M47"/>
    <mergeCell ref="N46:N47"/>
    <mergeCell ref="AJ46:AJ47"/>
  </mergeCells>
  <printOptions horizontalCentered="1"/>
  <pageMargins left="1" right="1" top="1" bottom="1" header="0" footer="0"/>
  <pageSetup paperSize="5" orientation="landscape"/>
  <headerFooter/>
  <colBreaks count="2" manualBreakCount="2">
    <brk id="1" max="0" man="1"/>
    <brk id="36" max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quarter 2  Sustainable Meltblow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2024-01-03T07:55:00Z</dcterms:created>
  <dcterms:modified xsi:type="dcterms:W3CDTF">2024-05-02T03:36:09Z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2795FE839B2D4662A921115EE8085D58_12</vt:lpwstr>
  </property>
  <property fmtid="{D5CDD505-2E9C-101B-9397-08002B2CF9AE}" pid="3" name="KSOProductBuildVer">
    <vt:lpwstr>1033-12.2.0.13472</vt:lpwstr>
  </property>
</Properties>
</file>