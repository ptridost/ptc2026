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vone\Downloads\Telegram Desktop\"/>
    </mc:Choice>
  </mc:AlternateContent>
  <bookViews>
    <workbookView xWindow="0" yWindow="0" windowWidth="19368" windowHeight="9072"/>
  </bookViews>
  <sheets>
    <sheet name="1rst Quarter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E31" i="2"/>
  <c r="E14" i="2"/>
  <c r="E12" i="2"/>
  <c r="E11" i="2"/>
  <c r="E13" i="2"/>
</calcChain>
</file>

<file path=xl/sharedStrings.xml><?xml version="1.0" encoding="utf-8"?>
<sst xmlns="http://schemas.openxmlformats.org/spreadsheetml/2006/main" count="102" uniqueCount="73">
  <si>
    <t>PROJECT PROCUREMENT MANAGEMENT PLAN (PPMP) 2024</t>
  </si>
  <si>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</si>
  <si>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</si>
  <si>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</si>
  <si>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</si>
  <si>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</si>
  <si>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</si>
  <si>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</si>
  <si>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</si>
  <si>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</si>
  <si>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</si>
  <si>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</si>
  <si>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</si>
  <si>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</si>
  <si>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</si>
  <si>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</si>
  <si>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</si>
  <si>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</si>
  <si>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</si>
  <si>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</si>
  <si>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</si>
  <si>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</si>
  <si>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</si>
  <si>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</si>
  <si>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Shopping</t>
  </si>
  <si>
    <t>10 pcs</t>
  </si>
  <si>
    <t>1 lot</t>
  </si>
  <si>
    <t>Representation</t>
  </si>
  <si>
    <t>Travel Expenses</t>
  </si>
  <si>
    <t>Small Value Procurement</t>
  </si>
  <si>
    <t>Other Supplies</t>
  </si>
  <si>
    <t>Subscription Expenses</t>
  </si>
  <si>
    <t>Other Professional Services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</si>
  <si>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</si>
  <si>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</si>
  <si>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</si>
  <si>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</si>
  <si>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</si>
  <si>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</si>
  <si>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</si>
  <si>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</si>
  <si>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</si>
  <si>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</si>
  <si>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</si>
  <si>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</si>
  <si>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</si>
  <si>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</si>
  <si>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</si>
  <si>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30 working days</t>
  </si>
  <si>
    <t>For 1rst Quarter of CY 2025</t>
  </si>
  <si>
    <t>ZAILLA F. PAYAG</t>
  </si>
  <si>
    <t>Jan</t>
  </si>
  <si>
    <t>Feb</t>
  </si>
  <si>
    <t>March</t>
  </si>
  <si>
    <t>TNVS</t>
  </si>
  <si>
    <t>10 lot</t>
  </si>
  <si>
    <t>20 lot</t>
  </si>
  <si>
    <t xml:space="preserve">Meals </t>
  </si>
  <si>
    <t>15 working days</t>
  </si>
  <si>
    <t>Airfare</t>
  </si>
  <si>
    <t>5 lot</t>
  </si>
  <si>
    <t>10 working days</t>
  </si>
  <si>
    <t>Tissue Paper</t>
  </si>
  <si>
    <t>Table Tissue</t>
  </si>
  <si>
    <t>Alcohol</t>
  </si>
  <si>
    <t>Maintenance Box for EPSON L6490</t>
  </si>
  <si>
    <t>Silk Screen frame -A4 size</t>
  </si>
  <si>
    <t>Natural Dye source</t>
  </si>
  <si>
    <t>Rental of Communication Set</t>
  </si>
  <si>
    <t>Props Rental</t>
  </si>
  <si>
    <t>Charged to: KnowledgeTransferandCommercializationofPTRITechnologies</t>
  </si>
  <si>
    <t xml:space="preserve">Video Editing and Animation Services </t>
  </si>
  <si>
    <t>Transportify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</si>
</sst>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sz val="10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0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i/>
      <sz val="12"/>
      <color theme="1"/>
      <name val="Arial"/>
      <family val="2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/>
    </xf>
    <xf numFmtId="0" fontId="2" fillId="0" borderId="5" xfId="0" applyFont="1" applyBorder="1"/>
    <xf numFmtId="0" fontId="8" fillId="2" borderId="4" xfId="0" applyFont="1" applyFill="1" applyBorder="1"/>
    <xf numFmtId="0" fontId="2" fillId="2" borderId="4" xfId="0" applyFont="1" applyFill="1" applyBorder="1"/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top"/>
    </xf>
    <xf numFmtId="0" fontId="10" fillId="3" borderId="4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10" fillId="2" borderId="4" xfId="0" applyFont="1" applyFill="1" applyBorder="1"/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center"/>
    </xf>
    <xf numFmtId="0" fontId="3" fillId="0" borderId="4" xfId="0" applyFont="1" applyBorder="1"/>
    <xf numFmtId="4" fontId="3" fillId="0" borderId="4" xfId="0" applyNumberFormat="1" applyFont="1" applyBorder="1" applyAlignment="1">
      <alignment vertical="top"/>
    </xf>
    <xf numFmtId="0" fontId="8" fillId="0" borderId="4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vertical="top"/>
    </xf>
    <xf numFmtId="0" fontId="3" fillId="0" borderId="6" xfId="0" applyFont="1" applyBorder="1"/>
    <xf numFmtId="0" fontId="9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4" fillId="0" borderId="0" xfId="0" applyFont="1"/>
    <xf numFmtId="0" fontId="14" fillId="0" borderId="1" xfId="0" applyFont="1" applyBorder="1"/>
    <xf numFmtId="0" fontId="14" fillId="2" borderId="4" xfId="0" applyFont="1" applyFill="1" applyBorder="1"/>
    <xf numFmtId="4" fontId="14" fillId="0" borderId="4" xfId="0" applyNumberFormat="1" applyFont="1" applyBorder="1" applyAlignment="1">
      <alignment horizontal="center"/>
    </xf>
    <xf numFmtId="0" fontId="14" fillId="0" borderId="4" xfId="0" applyFont="1" applyBorder="1"/>
    <xf numFmtId="0" fontId="14" fillId="3" borderId="4" xfId="0" applyFont="1" applyFill="1" applyBorder="1"/>
    <xf numFmtId="0" fontId="14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vertical="top"/>
    </xf>
    <xf numFmtId="4" fontId="14" fillId="0" borderId="0" xfId="0" applyNumberFormat="1" applyFont="1"/>
    <xf numFmtId="0" fontId="18" fillId="0" borderId="0" xfId="0" applyFont="1"/>
    <xf numFmtId="4" fontId="14" fillId="0" borderId="0" xfId="0" applyNumberFormat="1" applyFont="1" applyAlignment="1">
      <alignment vertical="top"/>
    </xf>
    <xf numFmtId="4" fontId="14" fillId="0" borderId="1" xfId="0" applyNumberFormat="1" applyFont="1" applyBorder="1" applyAlignment="1">
      <alignment vertical="top"/>
    </xf>
    <xf numFmtId="4" fontId="14" fillId="2" borderId="4" xfId="0" applyNumberFormat="1" applyFont="1" applyFill="1" applyBorder="1" applyAlignment="1">
      <alignment vertical="top"/>
    </xf>
    <xf numFmtId="4" fontId="14" fillId="0" borderId="4" xfId="0" applyNumberFormat="1" applyFont="1" applyBorder="1" applyAlignment="1">
      <alignment horizontal="center" vertical="top"/>
    </xf>
    <xf numFmtId="4" fontId="14" fillId="3" borderId="4" xfId="0" applyNumberFormat="1" applyFont="1" applyFill="1" applyBorder="1" applyAlignment="1">
      <alignment horizontal="center" vertical="top"/>
    </xf>
    <xf numFmtId="4" fontId="14" fillId="2" borderId="4" xfId="0" applyNumberFormat="1" applyFont="1" applyFill="1" applyBorder="1" applyAlignment="1">
      <alignment horizontal="center" vertical="top"/>
    </xf>
    <xf numFmtId="4" fontId="14" fillId="0" borderId="7" xfId="0" applyNumberFormat="1" applyFont="1" applyBorder="1" applyAlignment="1">
      <alignment vertical="top"/>
    </xf>
    <xf numFmtId="4" fontId="16" fillId="0" borderId="0" xfId="0" applyNumberFormat="1" applyFont="1" applyAlignment="1">
      <alignment horizontal="center"/>
    </xf>
    <xf numFmtId="0" fontId="20" fillId="0" borderId="4" xfId="0" applyFont="1" applyBorder="1" applyAlignment="1">
      <alignment vertical="top"/>
    </xf>
    <xf numFmtId="0" fontId="21" fillId="0" borderId="5" xfId="0" applyFont="1" applyBorder="1"/>
    <xf numFmtId="0" fontId="22" fillId="0" borderId="6" xfId="0" applyFont="1" applyBorder="1"/>
    <xf numFmtId="0" fontId="21" fillId="0" borderId="4" xfId="0" applyFont="1" applyBorder="1" applyAlignment="1">
      <alignment horizontal="center"/>
    </xf>
    <xf numFmtId="4" fontId="21" fillId="0" borderId="4" xfId="0" applyNumberFormat="1" applyFont="1" applyBorder="1" applyAlignment="1">
      <alignment horizontal="center"/>
    </xf>
    <xf numFmtId="4" fontId="21" fillId="0" borderId="4" xfId="0" applyNumberFormat="1" applyFont="1" applyBorder="1" applyAlignment="1">
      <alignment horizontal="center" vertical="top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21" fillId="0" borderId="3" xfId="0" applyFont="1" applyBorder="1"/>
    <xf numFmtId="0" fontId="21" fillId="0" borderId="4" xfId="0" applyFont="1" applyBorder="1"/>
    <xf numFmtId="0" fontId="21" fillId="0" borderId="0" xfId="0" applyFont="1"/>
    <xf numFmtId="0" fontId="22" fillId="0" borderId="0" xfId="0" applyFont="1"/>
    <xf numFmtId="0" fontId="22" fillId="0" borderId="5" xfId="0" applyFont="1" applyBorder="1"/>
    <xf numFmtId="0" fontId="21" fillId="5" borderId="6" xfId="0" applyFont="1" applyFill="1" applyBorder="1"/>
    <xf numFmtId="0" fontId="23" fillId="5" borderId="6" xfId="0" applyFont="1" applyFill="1" applyBorder="1"/>
    <xf numFmtId="4" fontId="21" fillId="5" borderId="6" xfId="0" applyNumberFormat="1" applyFont="1" applyFill="1" applyBorder="1" applyAlignment="1">
      <alignment horizontal="center" vertical="top"/>
    </xf>
    <xf numFmtId="0" fontId="21" fillId="5" borderId="6" xfId="0" applyFont="1" applyFill="1" applyBorder="1" applyAlignment="1">
      <alignment vertical="top"/>
    </xf>
    <xf numFmtId="0" fontId="21" fillId="5" borderId="6" xfId="0" applyFont="1" applyFill="1" applyBorder="1" applyAlignment="1">
      <alignment horizontal="center"/>
    </xf>
    <xf numFmtId="4" fontId="21" fillId="0" borderId="6" xfId="0" applyNumberFormat="1" applyFont="1" applyBorder="1" applyAlignment="1">
      <alignment horizontal="center"/>
    </xf>
    <xf numFmtId="4" fontId="21" fillId="0" borderId="6" xfId="0" applyNumberFormat="1" applyFont="1" applyBorder="1" applyAlignment="1">
      <alignment horizontal="center" vertical="top"/>
    </xf>
    <xf numFmtId="0" fontId="21" fillId="0" borderId="6" xfId="0" applyFont="1" applyBorder="1" applyAlignment="1">
      <alignment vertical="top"/>
    </xf>
    <xf numFmtId="0" fontId="21" fillId="0" borderId="4" xfId="0" applyFont="1" applyBorder="1" applyAlignment="1">
      <alignment vertical="top"/>
    </xf>
    <xf numFmtId="0" fontId="14" fillId="0" borderId="5" xfId="0" applyFont="1" applyBorder="1"/>
    <xf numFmtId="0" fontId="14" fillId="0" borderId="4" xfId="0" applyFont="1" applyBorder="1" applyAlignment="1">
      <alignment horizontal="left" vertical="center" wrapText="1"/>
    </xf>
    <xf numFmtId="0" fontId="14" fillId="4" borderId="4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4" fontId="14" fillId="0" borderId="6" xfId="0" applyNumberFormat="1" applyFont="1" applyBorder="1" applyAlignment="1">
      <alignment horizontal="left" vertical="top"/>
    </xf>
    <xf numFmtId="0" fontId="21" fillId="0" borderId="8" xfId="0" applyFont="1" applyBorder="1" applyAlignment="1">
      <alignment horizontal="center"/>
    </xf>
    <xf numFmtId="0" fontId="2" fillId="0" borderId="9" xfId="0" applyFont="1" applyBorder="1"/>
    <xf numFmtId="0" fontId="10" fillId="2" borderId="3" xfId="0" applyFont="1" applyFill="1" applyBorder="1"/>
    <xf numFmtId="0" fontId="18" fillId="0" borderId="10" xfId="0" applyFont="1" applyBorder="1"/>
    <xf numFmtId="0" fontId="14" fillId="2" borderId="3" xfId="0" applyFont="1" applyFill="1" applyBorder="1"/>
    <xf numFmtId="4" fontId="14" fillId="0" borderId="10" xfId="0" applyNumberFormat="1" applyFont="1" applyBorder="1" applyAlignment="1">
      <alignment horizontal="center"/>
    </xf>
    <xf numFmtId="4" fontId="18" fillId="0" borderId="10" xfId="0" applyNumberFormat="1" applyFont="1" applyBorder="1"/>
    <xf numFmtId="0" fontId="18" fillId="0" borderId="11" xfId="0" applyFont="1" applyBorder="1"/>
    <xf numFmtId="0" fontId="19" fillId="0" borderId="0" xfId="0" applyFont="1" applyBorder="1" applyAlignment="1">
      <alignment horizontal="center"/>
    </xf>
    <xf numFmtId="4" fontId="18" fillId="0" borderId="11" xfId="0" applyNumberFormat="1" applyFont="1" applyBorder="1"/>
    <xf numFmtId="0" fontId="19" fillId="0" borderId="10" xfId="0" applyFont="1" applyBorder="1" applyAlignment="1">
      <alignment horizontal="center"/>
    </xf>
    <xf numFmtId="4" fontId="14" fillId="2" borderId="3" xfId="0" applyNumberFormat="1" applyFont="1" applyFill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39" fontId="14" fillId="0" borderId="10" xfId="1" applyNumberFormat="1" applyFont="1" applyBorder="1"/>
    <xf numFmtId="0" fontId="14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2" xfId="0" applyFont="1" applyBorder="1" applyAlignment="1">
      <alignment horizontal="center"/>
    </xf>
    <xf numFmtId="0" fontId="6" fillId="0" borderId="5" xfId="0" applyFont="1" applyBorder="1"/>
    <xf numFmtId="0" fontId="7" fillId="0" borderId="3" xfId="0" applyFont="1" applyBorder="1" applyAlignment="1">
      <alignment horizontal="center"/>
    </xf>
    <xf numFmtId="0" fontId="6" fillId="0" borderId="4" xfId="0" applyFont="1" applyBorder="1"/>
    <xf numFmtId="0" fontId="16" fillId="0" borderId="3" xfId="0" applyFont="1" applyBorder="1" applyAlignment="1">
      <alignment horizontal="center"/>
    </xf>
    <xf numFmtId="0" fontId="17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4" fillId="0" borderId="0" xfId="0" applyFont="1"/>
    <xf numFmtId="0" fontId="7" fillId="0" borderId="1" xfId="0" applyFont="1" applyBorder="1"/>
    <xf numFmtId="0" fontId="11" fillId="0" borderId="0" xfId="0" applyFont="1"/>
    <xf numFmtId="0" fontId="12" fillId="0" borderId="0" xfId="0" applyFont="1"/>
    <xf numFmtId="4" fontId="16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13" fillId="0" borderId="0" xfId="0" applyFont="1"/>
    <xf numFmtId="0" fontId="3" fillId="0" borderId="0" xfId="0" applyFont="1"/>
    <xf numFmtId="0" fontId="8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0"/>
  <sheetViews>
    <sheetView tabSelected="1" topLeftCell="A10" workbookViewId="0">
      <selection activeCell="H34" sqref="H34"/>
    </sheetView>
  </sheetViews>
  <sheetFormatPr defaultColWidth="12.5546875" defaultRowHeight="15.75" customHeight="1" x14ac:dyDescent="0.25"/>
  <cols>
    <col min="2" max="2" width="50.6640625" customWidth="1"/>
    <col min="4" max="4" width="12.5546875" style="49"/>
    <col min="5" max="5" width="19.109375" style="49" customWidth="1"/>
    <col min="6" max="6" width="23.44140625" customWidth="1"/>
    <col min="7" max="7" width="20.88671875" customWidth="1"/>
  </cols>
  <sheetData>
    <row r="1" spans="1:26" ht="15.6" x14ac:dyDescent="0.3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"/>
      <c r="X1" s="1"/>
      <c r="Y1" s="1"/>
      <c r="Z1" s="1"/>
    </row>
    <row r="2" spans="1:26" ht="13.8" x14ac:dyDescent="0.25">
      <c r="A2" s="111" t="s">
        <v>49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"/>
      <c r="X2" s="1"/>
      <c r="Y2" s="1"/>
      <c r="Z2" s="1"/>
    </row>
    <row r="3" spans="1:26" ht="13.2" x14ac:dyDescent="0.25">
      <c r="A3" s="112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"/>
      <c r="X3" s="1"/>
      <c r="Y3" s="1"/>
      <c r="Z3" s="1"/>
    </row>
    <row r="4" spans="1:26" ht="15.6" x14ac:dyDescent="0.3">
      <c r="A4" s="113" t="s">
        <v>1</v>
      </c>
      <c r="B4" s="110"/>
      <c r="C4" s="1"/>
      <c r="D4" s="39"/>
      <c r="E4" s="50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1"/>
      <c r="B5" s="1"/>
      <c r="C5" s="1"/>
      <c r="D5" s="39"/>
      <c r="E5" s="50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14" t="s">
        <v>70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01" t="s">
        <v>2</v>
      </c>
      <c r="B7" s="102"/>
      <c r="C7" s="102"/>
      <c r="D7" s="40"/>
      <c r="E7" s="51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"/>
      <c r="X7" s="1"/>
      <c r="Y7" s="1"/>
      <c r="Z7" s="1"/>
    </row>
    <row r="8" spans="1:26" ht="13.2" x14ac:dyDescent="0.25">
      <c r="A8" s="103" t="s">
        <v>3</v>
      </c>
      <c r="B8" s="105" t="s">
        <v>4</v>
      </c>
      <c r="C8" s="5" t="s">
        <v>5</v>
      </c>
      <c r="D8" s="107" t="s">
        <v>6</v>
      </c>
      <c r="E8" s="118" t="s">
        <v>7</v>
      </c>
      <c r="F8" s="119" t="s">
        <v>8</v>
      </c>
      <c r="G8" s="120" t="s">
        <v>9</v>
      </c>
      <c r="H8" s="121" t="s">
        <v>10</v>
      </c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6"/>
      <c r="W8" s="1"/>
      <c r="X8" s="1"/>
      <c r="Y8" s="1"/>
      <c r="Z8" s="1"/>
    </row>
    <row r="9" spans="1:26" ht="13.2" x14ac:dyDescent="0.25">
      <c r="A9" s="104"/>
      <c r="B9" s="106"/>
      <c r="C9" s="5" t="s">
        <v>11</v>
      </c>
      <c r="D9" s="108"/>
      <c r="E9" s="108"/>
      <c r="F9" s="106"/>
      <c r="G9" s="106"/>
      <c r="H9" s="6" t="s">
        <v>51</v>
      </c>
      <c r="I9" s="7" t="s">
        <v>52</v>
      </c>
      <c r="J9" s="7" t="s">
        <v>53</v>
      </c>
      <c r="K9" s="7" t="s">
        <v>12</v>
      </c>
      <c r="L9" s="7" t="s">
        <v>13</v>
      </c>
      <c r="M9" s="7" t="s">
        <v>14</v>
      </c>
      <c r="N9" s="7" t="s">
        <v>15</v>
      </c>
      <c r="O9" s="7" t="s">
        <v>16</v>
      </c>
      <c r="P9" s="7" t="s">
        <v>17</v>
      </c>
      <c r="Q9" s="7" t="s">
        <v>18</v>
      </c>
      <c r="R9" s="7" t="s">
        <v>19</v>
      </c>
      <c r="S9" s="7" t="s">
        <v>20</v>
      </c>
      <c r="T9" s="7" t="s">
        <v>21</v>
      </c>
      <c r="U9" s="7" t="s">
        <v>22</v>
      </c>
      <c r="V9" s="7" t="s">
        <v>22</v>
      </c>
      <c r="W9" s="1"/>
      <c r="X9" s="1"/>
      <c r="Y9" s="1"/>
      <c r="Z9" s="1"/>
    </row>
    <row r="10" spans="1:26" ht="13.2" x14ac:dyDescent="0.25">
      <c r="A10" s="8"/>
      <c r="B10" s="9" t="s">
        <v>23</v>
      </c>
      <c r="C10" s="10"/>
      <c r="D10" s="41"/>
      <c r="E10" s="52"/>
      <c r="F10" s="52"/>
      <c r="G10" s="52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0"/>
      <c r="W10" s="1"/>
      <c r="X10" s="1"/>
      <c r="Y10" s="1"/>
      <c r="Z10" s="1"/>
    </row>
    <row r="11" spans="1:26" s="69" customFormat="1" ht="13.2" x14ac:dyDescent="0.25">
      <c r="A11" s="59"/>
      <c r="B11" s="60" t="s">
        <v>62</v>
      </c>
      <c r="C11" s="61">
        <v>30</v>
      </c>
      <c r="D11" s="62">
        <v>150</v>
      </c>
      <c r="E11" s="63">
        <f>150*30</f>
        <v>4500</v>
      </c>
      <c r="F11" s="79" t="s">
        <v>24</v>
      </c>
      <c r="G11" s="79" t="s">
        <v>48</v>
      </c>
      <c r="H11" s="64">
        <v>0</v>
      </c>
      <c r="I11" s="64">
        <v>15</v>
      </c>
      <c r="J11" s="65">
        <v>15</v>
      </c>
      <c r="K11" s="65"/>
      <c r="L11" s="65"/>
      <c r="M11" s="65"/>
      <c r="N11" s="66"/>
      <c r="O11" s="66"/>
      <c r="P11" s="66"/>
      <c r="Q11" s="66"/>
      <c r="R11" s="66"/>
      <c r="S11" s="66"/>
      <c r="T11" s="66"/>
      <c r="U11" s="66"/>
      <c r="V11" s="67"/>
      <c r="W11" s="68"/>
      <c r="X11" s="68"/>
      <c r="Y11" s="68"/>
      <c r="Z11" s="68"/>
    </row>
    <row r="12" spans="1:26" s="69" customFormat="1" ht="13.2" x14ac:dyDescent="0.25">
      <c r="A12" s="59"/>
      <c r="B12" s="70" t="s">
        <v>63</v>
      </c>
      <c r="C12" s="61">
        <v>25</v>
      </c>
      <c r="D12" s="62">
        <v>200</v>
      </c>
      <c r="E12" s="63">
        <f>200*25</f>
        <v>5000</v>
      </c>
      <c r="F12" s="79" t="s">
        <v>24</v>
      </c>
      <c r="G12" s="79" t="s">
        <v>48</v>
      </c>
      <c r="H12" s="64">
        <v>0</v>
      </c>
      <c r="I12" s="64">
        <v>15</v>
      </c>
      <c r="J12" s="65">
        <v>10</v>
      </c>
      <c r="K12" s="65"/>
      <c r="L12" s="65"/>
      <c r="M12" s="65"/>
      <c r="N12" s="66"/>
      <c r="O12" s="66"/>
      <c r="P12" s="66"/>
      <c r="Q12" s="66"/>
      <c r="R12" s="66"/>
      <c r="S12" s="66"/>
      <c r="T12" s="66"/>
      <c r="U12" s="66"/>
      <c r="V12" s="67"/>
      <c r="W12" s="68"/>
      <c r="X12" s="68"/>
      <c r="Y12" s="68"/>
      <c r="Z12" s="68"/>
    </row>
    <row r="13" spans="1:26" s="69" customFormat="1" ht="13.2" x14ac:dyDescent="0.25">
      <c r="A13" s="59"/>
      <c r="B13" s="70" t="s">
        <v>64</v>
      </c>
      <c r="C13" s="61">
        <v>20</v>
      </c>
      <c r="D13" s="62">
        <v>250</v>
      </c>
      <c r="E13" s="63">
        <f>250*20</f>
        <v>5000</v>
      </c>
      <c r="F13" s="79" t="s">
        <v>24</v>
      </c>
      <c r="G13" s="79" t="s">
        <v>48</v>
      </c>
      <c r="H13" s="64">
        <v>0</v>
      </c>
      <c r="I13" s="64">
        <v>10</v>
      </c>
      <c r="J13" s="65">
        <v>10</v>
      </c>
      <c r="K13" s="65"/>
      <c r="L13" s="65"/>
      <c r="M13" s="65"/>
      <c r="N13" s="67"/>
      <c r="O13" s="67"/>
      <c r="P13" s="67"/>
      <c r="Q13" s="67"/>
      <c r="R13" s="67"/>
      <c r="S13" s="67"/>
      <c r="T13" s="67"/>
      <c r="U13" s="67"/>
      <c r="V13" s="67"/>
      <c r="W13" s="68"/>
      <c r="X13" s="68"/>
      <c r="Y13" s="68"/>
      <c r="Z13" s="68"/>
    </row>
    <row r="14" spans="1:26" s="69" customFormat="1" ht="13.2" x14ac:dyDescent="0.25">
      <c r="A14" s="59"/>
      <c r="B14" s="49" t="s">
        <v>65</v>
      </c>
      <c r="C14" s="85">
        <v>10</v>
      </c>
      <c r="D14" s="62">
        <v>350</v>
      </c>
      <c r="E14" s="63">
        <f>350*10</f>
        <v>3500</v>
      </c>
      <c r="F14" s="79" t="s">
        <v>24</v>
      </c>
      <c r="G14" s="79" t="s">
        <v>48</v>
      </c>
      <c r="H14" s="64">
        <v>0</v>
      </c>
      <c r="I14" s="64">
        <v>5</v>
      </c>
      <c r="J14" s="67">
        <v>5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8"/>
      <c r="X14" s="68"/>
      <c r="Y14" s="68"/>
      <c r="Z14" s="68"/>
    </row>
    <row r="15" spans="1:26" s="69" customFormat="1" ht="13.2" x14ac:dyDescent="0.25">
      <c r="A15" s="71"/>
      <c r="B15" s="72"/>
      <c r="C15" s="72"/>
      <c r="D15" s="72"/>
      <c r="E15" s="73"/>
      <c r="F15" s="74"/>
      <c r="G15" s="74"/>
      <c r="H15" s="75"/>
      <c r="I15" s="75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s="69" customFormat="1" ht="13.2" x14ac:dyDescent="0.25">
      <c r="A16" s="71"/>
      <c r="B16" s="72"/>
      <c r="C16" s="72"/>
      <c r="D16" s="72"/>
      <c r="E16" s="73"/>
      <c r="F16" s="74"/>
      <c r="G16" s="74"/>
      <c r="H16" s="75"/>
      <c r="I16" s="75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s="69" customFormat="1" ht="13.2" x14ac:dyDescent="0.25">
      <c r="A17" s="65"/>
      <c r="B17" s="65"/>
      <c r="C17" s="64"/>
      <c r="D17" s="76"/>
      <c r="E17" s="77"/>
      <c r="F17" s="78"/>
      <c r="G17" s="78"/>
      <c r="H17" s="64"/>
      <c r="I17" s="64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s="69" customFormat="1" ht="13.2" x14ac:dyDescent="0.25">
      <c r="A18" s="59"/>
      <c r="B18" s="67"/>
      <c r="C18" s="67"/>
      <c r="D18" s="67"/>
      <c r="E18" s="63"/>
      <c r="F18" s="79"/>
      <c r="G18" s="79"/>
      <c r="H18" s="79"/>
      <c r="I18" s="61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8"/>
      <c r="X18" s="68"/>
      <c r="Y18" s="68"/>
      <c r="Z18" s="68"/>
    </row>
    <row r="19" spans="1:26" ht="13.8" x14ac:dyDescent="0.25">
      <c r="A19" s="8"/>
      <c r="B19" s="21" t="s">
        <v>27</v>
      </c>
      <c r="C19" s="22"/>
      <c r="D19" s="44"/>
      <c r="E19" s="54"/>
      <c r="F19" s="23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1"/>
      <c r="X19" s="1"/>
      <c r="Y19" s="1"/>
      <c r="Z19" s="1"/>
    </row>
    <row r="20" spans="1:26" s="49" customFormat="1" ht="15" customHeight="1" x14ac:dyDescent="0.25">
      <c r="A20" s="80"/>
      <c r="B20" s="81" t="s">
        <v>57</v>
      </c>
      <c r="C20" s="45" t="s">
        <v>56</v>
      </c>
      <c r="D20" s="42">
        <v>3500</v>
      </c>
      <c r="E20" s="53">
        <v>80000</v>
      </c>
      <c r="F20" s="84" t="s">
        <v>29</v>
      </c>
      <c r="G20" s="47" t="s">
        <v>58</v>
      </c>
      <c r="H20" s="45">
        <v>1</v>
      </c>
      <c r="I20" s="46">
        <v>10</v>
      </c>
      <c r="J20" s="43">
        <v>9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39"/>
      <c r="X20" s="39"/>
      <c r="Y20" s="39"/>
      <c r="Z20" s="39"/>
    </row>
    <row r="21" spans="1:26" s="49" customFormat="1" ht="13.2" x14ac:dyDescent="0.25">
      <c r="A21" s="80"/>
      <c r="B21" s="82"/>
      <c r="C21" s="45"/>
      <c r="D21" s="45"/>
      <c r="E21" s="53"/>
      <c r="F21" s="47"/>
      <c r="G21" s="47"/>
      <c r="H21" s="45"/>
      <c r="I21" s="46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39"/>
      <c r="X21" s="39"/>
      <c r="Y21" s="39"/>
      <c r="Z21" s="39"/>
    </row>
    <row r="22" spans="1:26" s="49" customFormat="1" ht="13.2" x14ac:dyDescent="0.25">
      <c r="A22" s="80"/>
      <c r="B22" s="83"/>
      <c r="C22" s="45"/>
      <c r="D22" s="45"/>
      <c r="E22" s="53"/>
      <c r="F22" s="47"/>
      <c r="G22" s="47"/>
      <c r="H22" s="45"/>
      <c r="I22" s="46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39"/>
      <c r="X22" s="39"/>
      <c r="Y22" s="39"/>
      <c r="Z22" s="39"/>
    </row>
    <row r="23" spans="1:26" s="49" customFormat="1" ht="13.2" x14ac:dyDescent="0.25">
      <c r="A23" s="80"/>
      <c r="B23" s="43"/>
      <c r="C23" s="43"/>
      <c r="D23" s="43"/>
      <c r="E23" s="53"/>
      <c r="F23" s="47"/>
      <c r="G23" s="47"/>
      <c r="H23" s="47"/>
      <c r="I23" s="46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39"/>
      <c r="X23" s="39"/>
      <c r="Y23" s="39"/>
      <c r="Z23" s="39"/>
    </row>
    <row r="24" spans="1:26" ht="13.8" x14ac:dyDescent="0.25">
      <c r="A24" s="8"/>
      <c r="B24" s="28" t="s">
        <v>28</v>
      </c>
      <c r="C24" s="10"/>
      <c r="D24" s="41"/>
      <c r="E24" s="55"/>
      <c r="F24" s="29"/>
      <c r="G24" s="29"/>
      <c r="H24" s="29"/>
      <c r="I24" s="3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"/>
      <c r="X24" s="1"/>
      <c r="Y24" s="1"/>
      <c r="Z24" s="1"/>
    </row>
    <row r="25" spans="1:26" s="49" customFormat="1" ht="13.2" x14ac:dyDescent="0.25">
      <c r="A25" s="80"/>
      <c r="B25" s="43" t="s">
        <v>54</v>
      </c>
      <c r="C25" s="46" t="s">
        <v>56</v>
      </c>
      <c r="D25" s="42">
        <v>3000</v>
      </c>
      <c r="E25" s="53">
        <v>100000</v>
      </c>
      <c r="F25" s="84" t="s">
        <v>29</v>
      </c>
      <c r="G25" s="47" t="s">
        <v>58</v>
      </c>
      <c r="H25" s="45">
        <v>1</v>
      </c>
      <c r="I25" s="46">
        <v>10</v>
      </c>
      <c r="J25" s="43">
        <v>10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39"/>
      <c r="X25" s="39"/>
      <c r="Y25" s="39"/>
      <c r="Z25" s="39"/>
    </row>
    <row r="26" spans="1:26" s="49" customFormat="1" ht="13.2" x14ac:dyDescent="0.25">
      <c r="A26" s="80"/>
      <c r="B26" s="43" t="s">
        <v>72</v>
      </c>
      <c r="C26" s="46" t="s">
        <v>56</v>
      </c>
      <c r="D26" s="42">
        <v>1000</v>
      </c>
      <c r="E26" s="53">
        <v>100000</v>
      </c>
      <c r="F26" s="84" t="s">
        <v>29</v>
      </c>
      <c r="G26" s="47" t="s">
        <v>58</v>
      </c>
      <c r="H26" s="45">
        <v>1</v>
      </c>
      <c r="I26" s="46">
        <v>4</v>
      </c>
      <c r="J26" s="43">
        <v>5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39"/>
      <c r="X26" s="39"/>
      <c r="Y26" s="39"/>
      <c r="Z26" s="39"/>
    </row>
    <row r="27" spans="1:26" s="49" customFormat="1" ht="13.2" x14ac:dyDescent="0.25">
      <c r="A27" s="80"/>
      <c r="B27" s="43" t="s">
        <v>59</v>
      </c>
      <c r="C27" s="46" t="s">
        <v>60</v>
      </c>
      <c r="D27" s="42">
        <v>6000</v>
      </c>
      <c r="E27" s="53">
        <v>100000</v>
      </c>
      <c r="F27" s="84" t="s">
        <v>29</v>
      </c>
      <c r="G27" s="47" t="s">
        <v>61</v>
      </c>
      <c r="H27" s="45">
        <v>1</v>
      </c>
      <c r="I27" s="46">
        <v>2</v>
      </c>
      <c r="J27" s="43">
        <v>2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39"/>
      <c r="X27" s="39"/>
      <c r="Y27" s="39"/>
      <c r="Z27" s="39"/>
    </row>
    <row r="28" spans="1:26" ht="13.8" x14ac:dyDescent="0.25">
      <c r="A28" s="8"/>
      <c r="B28" s="31"/>
      <c r="C28" s="26"/>
      <c r="D28" s="46"/>
      <c r="E28" s="53"/>
      <c r="F28" s="32"/>
      <c r="G28" s="58"/>
      <c r="H28" s="25"/>
      <c r="I28" s="14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"/>
      <c r="X28" s="1"/>
      <c r="Y28" s="1"/>
      <c r="Z28" s="1"/>
    </row>
    <row r="29" spans="1:26" ht="13.8" x14ac:dyDescent="0.25">
      <c r="A29" s="8"/>
      <c r="B29" s="87" t="s">
        <v>30</v>
      </c>
      <c r="C29" s="12"/>
      <c r="D29" s="89"/>
      <c r="E29" s="55"/>
      <c r="F29" s="29"/>
      <c r="G29" s="29"/>
      <c r="H29" s="29"/>
      <c r="I29" s="3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"/>
      <c r="X29" s="1"/>
      <c r="Y29" s="1"/>
      <c r="Z29" s="1"/>
    </row>
    <row r="30" spans="1:26" ht="17.25" customHeight="1" x14ac:dyDescent="0.25">
      <c r="A30" s="86"/>
      <c r="B30" s="88" t="s">
        <v>67</v>
      </c>
      <c r="C30" s="97" t="s">
        <v>55</v>
      </c>
      <c r="D30" s="90">
        <v>400</v>
      </c>
      <c r="E30" s="53">
        <f>400*10</f>
        <v>4000</v>
      </c>
      <c r="F30" s="79" t="s">
        <v>24</v>
      </c>
      <c r="G30" s="47" t="s">
        <v>61</v>
      </c>
      <c r="H30" s="25">
        <v>1</v>
      </c>
      <c r="I30" s="14">
        <v>5</v>
      </c>
      <c r="J30" s="13">
        <v>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"/>
      <c r="X30" s="1"/>
      <c r="Y30" s="1"/>
      <c r="Z30" s="1"/>
    </row>
    <row r="31" spans="1:26" ht="13.8" x14ac:dyDescent="0.25">
      <c r="A31" s="86"/>
      <c r="B31" s="88" t="s">
        <v>66</v>
      </c>
      <c r="C31" s="97" t="s">
        <v>25</v>
      </c>
      <c r="D31" s="42">
        <v>1000</v>
      </c>
      <c r="E31" s="53">
        <f>1*1000</f>
        <v>1000</v>
      </c>
      <c r="F31" s="84" t="s">
        <v>29</v>
      </c>
      <c r="G31" s="47" t="s">
        <v>58</v>
      </c>
      <c r="H31" s="25">
        <v>0</v>
      </c>
      <c r="I31" s="14">
        <v>10</v>
      </c>
      <c r="J31" s="13">
        <v>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"/>
      <c r="X31" s="1"/>
      <c r="Y31" s="1"/>
      <c r="Z31" s="1"/>
    </row>
    <row r="32" spans="1:26" ht="13.8" x14ac:dyDescent="0.25">
      <c r="A32" s="8"/>
      <c r="B32" s="34"/>
      <c r="C32" s="25"/>
      <c r="D32" s="45"/>
      <c r="E32" s="53"/>
      <c r="F32" s="15"/>
      <c r="G32" s="15"/>
      <c r="H32" s="25"/>
      <c r="I32" s="14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"/>
      <c r="X32" s="1"/>
      <c r="Y32" s="1"/>
      <c r="Z32" s="1"/>
    </row>
    <row r="33" spans="1:26" ht="13.2" x14ac:dyDescent="0.25">
      <c r="A33" s="8"/>
      <c r="B33" s="13"/>
      <c r="C33" s="16"/>
      <c r="D33" s="47"/>
      <c r="E33" s="53"/>
      <c r="F33" s="16"/>
      <c r="G33" s="16"/>
      <c r="H33" s="16"/>
      <c r="I33" s="14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"/>
      <c r="X33" s="1"/>
      <c r="Y33" s="1"/>
      <c r="Z33" s="1"/>
    </row>
    <row r="34" spans="1:26" ht="13.8" x14ac:dyDescent="0.25">
      <c r="A34" s="8"/>
      <c r="B34" s="35"/>
      <c r="C34" s="25"/>
      <c r="D34" s="45"/>
      <c r="E34" s="53"/>
      <c r="F34" s="15"/>
      <c r="G34" s="15"/>
      <c r="H34" s="25"/>
      <c r="I34" s="14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"/>
      <c r="X34" s="1"/>
      <c r="Y34" s="1"/>
      <c r="Z34" s="1"/>
    </row>
    <row r="35" spans="1:26" ht="13.8" x14ac:dyDescent="0.25">
      <c r="A35" s="8"/>
      <c r="B35" s="36"/>
      <c r="C35" s="16"/>
      <c r="D35" s="47"/>
      <c r="E35" s="53"/>
      <c r="F35" s="16"/>
      <c r="G35" s="16"/>
      <c r="H35" s="16"/>
      <c r="I35" s="14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"/>
      <c r="X35" s="1"/>
      <c r="Y35" s="1"/>
      <c r="Z35" s="1"/>
    </row>
    <row r="36" spans="1:26" ht="13.8" x14ac:dyDescent="0.25">
      <c r="A36" s="8"/>
      <c r="B36" s="28" t="s">
        <v>31</v>
      </c>
      <c r="C36" s="10"/>
      <c r="D36" s="41"/>
      <c r="E36" s="55"/>
      <c r="F36" s="29"/>
      <c r="G36" s="29"/>
      <c r="H36" s="29"/>
      <c r="I36" s="3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"/>
      <c r="X36" s="1"/>
      <c r="Y36" s="1"/>
      <c r="Z36" s="1"/>
    </row>
    <row r="37" spans="1:26" ht="13.8" x14ac:dyDescent="0.25">
      <c r="A37" s="8"/>
      <c r="B37" s="19"/>
      <c r="C37" s="20"/>
      <c r="D37" s="46"/>
      <c r="E37" s="53"/>
      <c r="F37" s="17"/>
      <c r="G37" s="17"/>
      <c r="H37" s="25"/>
      <c r="I37" s="18"/>
      <c r="J37" s="19"/>
      <c r="K37" s="19"/>
      <c r="L37" s="19"/>
      <c r="M37" s="19"/>
      <c r="N37" s="19"/>
      <c r="O37" s="19"/>
      <c r="P37" s="19"/>
      <c r="Q37" s="13"/>
      <c r="R37" s="13"/>
      <c r="S37" s="13"/>
      <c r="T37" s="13"/>
      <c r="U37" s="13"/>
      <c r="V37" s="13"/>
      <c r="W37" s="1"/>
      <c r="X37" s="1"/>
      <c r="Y37" s="1"/>
      <c r="Z37" s="1"/>
    </row>
    <row r="38" spans="1:26" ht="13.8" x14ac:dyDescent="0.25">
      <c r="A38" s="8"/>
      <c r="B38" s="19"/>
      <c r="C38" s="20"/>
      <c r="D38" s="46"/>
      <c r="E38" s="53"/>
      <c r="F38" s="17"/>
      <c r="G38" s="17"/>
      <c r="H38" s="25"/>
      <c r="I38" s="18"/>
      <c r="J38" s="19"/>
      <c r="K38" s="19"/>
      <c r="L38" s="19"/>
      <c r="M38" s="19"/>
      <c r="N38" s="19"/>
      <c r="O38" s="19"/>
      <c r="P38" s="19"/>
      <c r="Q38" s="13"/>
      <c r="R38" s="13"/>
      <c r="S38" s="13"/>
      <c r="T38" s="13"/>
      <c r="U38" s="13"/>
      <c r="V38" s="13"/>
      <c r="W38" s="1"/>
      <c r="X38" s="1"/>
      <c r="Y38" s="1"/>
      <c r="Z38" s="1"/>
    </row>
    <row r="39" spans="1:26" ht="13.8" x14ac:dyDescent="0.25">
      <c r="A39" s="8"/>
      <c r="B39" s="37"/>
      <c r="C39" s="18"/>
      <c r="D39" s="46"/>
      <c r="E39" s="53"/>
      <c r="F39" s="17"/>
      <c r="G39" s="17"/>
      <c r="H39" s="25"/>
      <c r="I39" s="18"/>
      <c r="J39" s="19"/>
      <c r="K39" s="19"/>
      <c r="L39" s="19"/>
      <c r="M39" s="19"/>
      <c r="N39" s="19"/>
      <c r="O39" s="19"/>
      <c r="P39" s="19"/>
      <c r="Q39" s="13"/>
      <c r="R39" s="13"/>
      <c r="S39" s="13"/>
      <c r="T39" s="13"/>
      <c r="U39" s="13"/>
      <c r="V39" s="13"/>
      <c r="W39" s="1"/>
      <c r="X39" s="1"/>
      <c r="Y39" s="1"/>
      <c r="Z39" s="1"/>
    </row>
    <row r="40" spans="1:26" ht="13.8" x14ac:dyDescent="0.25">
      <c r="A40" s="8"/>
      <c r="B40" s="19"/>
      <c r="C40" s="18"/>
      <c r="D40" s="46"/>
      <c r="E40" s="53"/>
      <c r="F40" s="17"/>
      <c r="G40" s="17"/>
      <c r="H40" s="25"/>
      <c r="I40" s="18"/>
      <c r="J40" s="19"/>
      <c r="K40" s="19"/>
      <c r="L40" s="19"/>
      <c r="M40" s="19"/>
      <c r="N40" s="19"/>
      <c r="O40" s="19"/>
      <c r="P40" s="19"/>
      <c r="Q40" s="13"/>
      <c r="R40" s="13"/>
      <c r="S40" s="13"/>
      <c r="T40" s="13"/>
      <c r="U40" s="13"/>
      <c r="V40" s="13"/>
      <c r="W40" s="1"/>
      <c r="X40" s="1"/>
      <c r="Y40" s="1"/>
      <c r="Z40" s="1"/>
    </row>
    <row r="41" spans="1:26" ht="13.2" x14ac:dyDescent="0.25">
      <c r="A41" s="8"/>
      <c r="B41" s="19"/>
      <c r="C41" s="18"/>
      <c r="D41" s="46"/>
      <c r="E41" s="53"/>
      <c r="F41" s="17"/>
      <c r="G41" s="17"/>
      <c r="H41" s="17"/>
      <c r="I41" s="18"/>
      <c r="J41" s="19"/>
      <c r="K41" s="19"/>
      <c r="L41" s="19"/>
      <c r="M41" s="19"/>
      <c r="N41" s="19"/>
      <c r="O41" s="19"/>
      <c r="P41" s="19"/>
      <c r="Q41" s="13"/>
      <c r="R41" s="13"/>
      <c r="S41" s="13"/>
      <c r="T41" s="13"/>
      <c r="U41" s="13"/>
      <c r="V41" s="13"/>
      <c r="W41" s="1"/>
      <c r="X41" s="1"/>
      <c r="Y41" s="1"/>
      <c r="Z41" s="1"/>
    </row>
    <row r="42" spans="1:26" ht="13.2" x14ac:dyDescent="0.25">
      <c r="A42" s="8"/>
      <c r="B42" s="19"/>
      <c r="C42" s="18"/>
      <c r="D42" s="46"/>
      <c r="E42" s="53"/>
      <c r="F42" s="17"/>
      <c r="G42" s="17"/>
      <c r="H42" s="20"/>
      <c r="I42" s="18"/>
      <c r="J42" s="19"/>
      <c r="K42" s="19"/>
      <c r="L42" s="19"/>
      <c r="M42" s="19"/>
      <c r="N42" s="19"/>
      <c r="O42" s="19"/>
      <c r="P42" s="19"/>
      <c r="Q42" s="13"/>
      <c r="R42" s="13"/>
      <c r="S42" s="13"/>
      <c r="T42" s="13"/>
      <c r="U42" s="13"/>
      <c r="V42" s="13"/>
      <c r="W42" s="1"/>
      <c r="X42" s="1"/>
      <c r="Y42" s="1"/>
      <c r="Z42" s="1"/>
    </row>
    <row r="43" spans="1:26" ht="13.2" x14ac:dyDescent="0.25">
      <c r="A43" s="8"/>
      <c r="B43" s="19"/>
      <c r="C43" s="18"/>
      <c r="D43" s="46"/>
      <c r="E43" s="53"/>
      <c r="F43" s="17"/>
      <c r="G43" s="17"/>
      <c r="H43" s="17"/>
      <c r="I43" s="18"/>
      <c r="J43" s="19"/>
      <c r="K43" s="19"/>
      <c r="L43" s="19"/>
      <c r="M43" s="19"/>
      <c r="N43" s="19"/>
      <c r="O43" s="19"/>
      <c r="P43" s="19"/>
      <c r="Q43" s="13"/>
      <c r="R43" s="13"/>
      <c r="S43" s="13"/>
      <c r="T43" s="13"/>
      <c r="U43" s="13"/>
      <c r="V43" s="13"/>
      <c r="W43" s="1"/>
      <c r="X43" s="1"/>
      <c r="Y43" s="1"/>
      <c r="Z43" s="1"/>
    </row>
    <row r="44" spans="1:26" ht="13.8" x14ac:dyDescent="0.25">
      <c r="A44" s="8"/>
      <c r="B44" s="87" t="s">
        <v>32</v>
      </c>
      <c r="C44" s="10"/>
      <c r="D44" s="89"/>
      <c r="E44" s="96"/>
      <c r="F44" s="29"/>
      <c r="G44" s="29"/>
      <c r="H44" s="29"/>
      <c r="I44" s="3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"/>
      <c r="X44" s="1"/>
      <c r="Y44" s="1"/>
      <c r="Z44" s="1"/>
    </row>
    <row r="45" spans="1:26" ht="13.8" x14ac:dyDescent="0.25">
      <c r="A45" s="86"/>
      <c r="B45" s="92" t="s">
        <v>68</v>
      </c>
      <c r="C45" s="93" t="s">
        <v>26</v>
      </c>
      <c r="D45" s="94">
        <v>7100</v>
      </c>
      <c r="E45" s="91">
        <v>7100</v>
      </c>
      <c r="F45" s="84" t="s">
        <v>29</v>
      </c>
      <c r="G45" s="43" t="s">
        <v>48</v>
      </c>
      <c r="H45" s="25"/>
      <c r="I45" s="14">
        <v>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"/>
      <c r="X45" s="1"/>
      <c r="Y45" s="1"/>
      <c r="Z45" s="1"/>
    </row>
    <row r="46" spans="1:26" ht="13.8" x14ac:dyDescent="0.25">
      <c r="A46" s="86"/>
      <c r="B46" s="88" t="s">
        <v>69</v>
      </c>
      <c r="C46" s="95" t="s">
        <v>26</v>
      </c>
      <c r="D46" s="91">
        <v>15000</v>
      </c>
      <c r="E46" s="91">
        <v>15000</v>
      </c>
      <c r="F46" s="84" t="s">
        <v>29</v>
      </c>
      <c r="G46" s="47" t="s">
        <v>48</v>
      </c>
      <c r="H46" s="16"/>
      <c r="I46" s="14">
        <v>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"/>
      <c r="X46" s="1"/>
      <c r="Y46" s="1"/>
      <c r="Z46" s="1"/>
    </row>
    <row r="47" spans="1:26" ht="13.2" x14ac:dyDescent="0.25">
      <c r="A47" s="86"/>
      <c r="B47" s="99" t="s">
        <v>71</v>
      </c>
      <c r="C47" s="100" t="s">
        <v>26</v>
      </c>
      <c r="D47" s="98">
        <v>36000</v>
      </c>
      <c r="E47" s="98">
        <v>36000</v>
      </c>
      <c r="F47" s="84" t="s">
        <v>29</v>
      </c>
      <c r="G47" s="47" t="s">
        <v>48</v>
      </c>
      <c r="H47" s="16"/>
      <c r="I47" s="14">
        <v>1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"/>
      <c r="X47" s="1"/>
      <c r="Y47" s="1"/>
      <c r="Z47" s="1"/>
    </row>
    <row r="48" spans="1:26" ht="13.8" x14ac:dyDescent="0.25">
      <c r="A48" s="8"/>
      <c r="B48" s="27"/>
      <c r="C48" s="13"/>
      <c r="D48" s="43"/>
      <c r="E48" s="53"/>
      <c r="F48" s="16"/>
      <c r="G48" s="16"/>
      <c r="H48" s="16"/>
      <c r="I48" s="14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"/>
      <c r="X48" s="1"/>
      <c r="Y48" s="1"/>
      <c r="Z48" s="1"/>
    </row>
    <row r="49" spans="1:26" ht="13.8" x14ac:dyDescent="0.25">
      <c r="A49" s="8"/>
      <c r="B49" s="27"/>
      <c r="C49" s="13"/>
      <c r="D49" s="43"/>
      <c r="E49" s="53"/>
      <c r="F49" s="16"/>
      <c r="G49" s="16"/>
      <c r="H49" s="16"/>
      <c r="I49" s="14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"/>
      <c r="X49" s="1"/>
      <c r="Y49" s="1"/>
      <c r="Z49" s="1"/>
    </row>
    <row r="50" spans="1:26" ht="13.2" x14ac:dyDescent="0.25">
      <c r="A50" s="8"/>
      <c r="B50" s="13"/>
      <c r="C50" s="13"/>
      <c r="D50" s="43"/>
      <c r="E50" s="53"/>
      <c r="F50" s="16"/>
      <c r="G50" s="16"/>
      <c r="H50" s="16"/>
      <c r="I50" s="14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"/>
      <c r="X50" s="1"/>
      <c r="Y50" s="1"/>
      <c r="Z50" s="1"/>
    </row>
    <row r="51" spans="1:26" ht="13.8" x14ac:dyDescent="0.25">
      <c r="A51" s="8"/>
      <c r="B51" s="33"/>
      <c r="C51" s="26"/>
      <c r="D51" s="42"/>
      <c r="E51" s="53"/>
      <c r="F51" s="31"/>
      <c r="G51" s="15"/>
      <c r="H51" s="25"/>
      <c r="I51" s="14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"/>
      <c r="X51" s="1"/>
      <c r="Y51" s="1"/>
      <c r="Z51" s="1"/>
    </row>
    <row r="52" spans="1:26" ht="13.2" x14ac:dyDescent="0.25">
      <c r="A52" s="8"/>
      <c r="B52" s="38"/>
      <c r="C52" s="13"/>
      <c r="D52" s="43"/>
      <c r="E52" s="53"/>
      <c r="F52" s="16"/>
      <c r="G52" s="16"/>
      <c r="H52" s="16"/>
      <c r="I52" s="14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"/>
      <c r="X52" s="1"/>
      <c r="Y52" s="1"/>
      <c r="Z52" s="1"/>
    </row>
    <row r="53" spans="1:26" ht="13.2" x14ac:dyDescent="0.25">
      <c r="A53" s="8"/>
      <c r="B53" s="13"/>
      <c r="C53" s="13"/>
      <c r="D53" s="43"/>
      <c r="E53" s="53"/>
      <c r="F53" s="16"/>
      <c r="G53" s="16"/>
      <c r="H53" s="16"/>
      <c r="I53" s="1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"/>
      <c r="X53" s="1"/>
      <c r="Y53" s="1"/>
      <c r="Z53" s="1"/>
    </row>
    <row r="54" spans="1:26" ht="13.8" x14ac:dyDescent="0.25">
      <c r="A54" s="8"/>
      <c r="B54" s="33"/>
      <c r="C54" s="26"/>
      <c r="D54" s="42"/>
      <c r="E54" s="53"/>
      <c r="F54" s="15"/>
      <c r="G54" s="15"/>
      <c r="H54" s="25"/>
      <c r="I54" s="14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"/>
      <c r="X54" s="1"/>
      <c r="Y54" s="1"/>
      <c r="Z54" s="1"/>
    </row>
    <row r="55" spans="1:26" ht="13.2" x14ac:dyDescent="0.25">
      <c r="A55" s="8"/>
      <c r="B55" s="13"/>
      <c r="C55" s="13"/>
      <c r="D55" s="43"/>
      <c r="E55" s="53"/>
      <c r="F55" s="16"/>
      <c r="G55" s="16"/>
      <c r="H55" s="16"/>
      <c r="I55" s="14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"/>
      <c r="X55" s="1"/>
      <c r="Y55" s="1"/>
      <c r="Z55" s="1"/>
    </row>
    <row r="56" spans="1:26" ht="13.2" x14ac:dyDescent="0.25">
      <c r="A56" s="8"/>
      <c r="B56" s="13"/>
      <c r="C56" s="13"/>
      <c r="D56" s="43"/>
      <c r="E56" s="53"/>
      <c r="F56" s="16"/>
      <c r="G56" s="16"/>
      <c r="H56" s="16"/>
      <c r="I56" s="14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"/>
      <c r="X56" s="1"/>
      <c r="Y56" s="1"/>
      <c r="Z56" s="1"/>
    </row>
    <row r="57" spans="1:26" ht="13.2" x14ac:dyDescent="0.25">
      <c r="A57" s="8"/>
      <c r="B57" s="13"/>
      <c r="C57" s="13"/>
      <c r="D57" s="43"/>
      <c r="E57" s="53"/>
      <c r="F57" s="16"/>
      <c r="G57" s="16"/>
      <c r="H57" s="16"/>
      <c r="I57" s="1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"/>
      <c r="X57" s="1"/>
      <c r="Y57" s="1"/>
      <c r="Z57" s="1"/>
    </row>
    <row r="58" spans="1:26" ht="13.2" x14ac:dyDescent="0.25">
      <c r="A58" s="8"/>
      <c r="B58" s="13"/>
      <c r="C58" s="13"/>
      <c r="D58" s="43"/>
      <c r="E58" s="53"/>
      <c r="F58" s="16"/>
      <c r="G58" s="16"/>
      <c r="H58" s="16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"/>
      <c r="X58" s="1"/>
      <c r="Y58" s="1"/>
      <c r="Z58" s="1"/>
    </row>
    <row r="59" spans="1:26" ht="13.2" x14ac:dyDescent="0.25">
      <c r="A59" s="8"/>
      <c r="B59" s="115" t="s">
        <v>33</v>
      </c>
      <c r="C59" s="102"/>
      <c r="D59" s="102"/>
      <c r="E59" s="102"/>
      <c r="F59" s="102"/>
      <c r="G59" s="102"/>
      <c r="H59" s="102"/>
      <c r="I59" s="106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"/>
      <c r="X59" s="1"/>
      <c r="Y59" s="1"/>
      <c r="Z59" s="1"/>
    </row>
    <row r="60" spans="1:26" ht="13.2" x14ac:dyDescent="0.25">
      <c r="A60" s="1"/>
      <c r="B60" s="1"/>
      <c r="C60" s="1"/>
      <c r="D60" s="39"/>
      <c r="E60" s="56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16" t="s">
        <v>34</v>
      </c>
      <c r="B61" s="110"/>
      <c r="C61" s="1"/>
      <c r="D61" s="48"/>
      <c r="E61" s="57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39"/>
      <c r="E62" s="50"/>
      <c r="F62" s="2"/>
      <c r="G62" s="2"/>
      <c r="H62" s="2"/>
      <c r="I62" s="1"/>
      <c r="J62" s="112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"/>
      <c r="V62" s="1"/>
      <c r="W62" s="1"/>
      <c r="X62" s="1"/>
      <c r="Y62" s="1"/>
      <c r="Z62" s="1"/>
    </row>
    <row r="63" spans="1:26" ht="13.2" x14ac:dyDescent="0.25">
      <c r="A63" s="117" t="s">
        <v>35</v>
      </c>
      <c r="B63" s="110"/>
      <c r="C63" s="110"/>
      <c r="D63" s="110"/>
      <c r="E63" s="50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39"/>
      <c r="E64" s="50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25" t="s">
        <v>36</v>
      </c>
      <c r="B65" s="110"/>
      <c r="C65" s="125" t="s">
        <v>37</v>
      </c>
      <c r="D65" s="110"/>
      <c r="E65" s="110"/>
      <c r="F65" s="2"/>
      <c r="G65" s="2"/>
      <c r="H65" s="2"/>
      <c r="I65" s="125" t="s">
        <v>38</v>
      </c>
      <c r="J65" s="110"/>
      <c r="K65" s="110"/>
      <c r="L65" s="110"/>
      <c r="M65" s="110"/>
      <c r="N65" s="110"/>
      <c r="O65" s="1"/>
      <c r="P65" s="1"/>
      <c r="Q65" s="125" t="s">
        <v>39</v>
      </c>
      <c r="R65" s="110"/>
      <c r="S65" s="110"/>
      <c r="T65" s="110"/>
      <c r="U65" s="1"/>
      <c r="V65" s="112"/>
      <c r="W65" s="110"/>
      <c r="X65" s="1"/>
      <c r="Y65" s="1"/>
      <c r="Z65" s="1"/>
    </row>
    <row r="66" spans="1:26" ht="13.2" x14ac:dyDescent="0.25">
      <c r="A66" s="1"/>
      <c r="B66" s="1"/>
      <c r="C66" s="1"/>
      <c r="D66" s="39"/>
      <c r="E66" s="50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39"/>
      <c r="E67" s="50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23" t="s">
        <v>50</v>
      </c>
      <c r="B68" s="110"/>
      <c r="C68" s="125" t="s">
        <v>40</v>
      </c>
      <c r="D68" s="110"/>
      <c r="E68" s="110"/>
      <c r="F68" s="110"/>
      <c r="G68" s="2"/>
      <c r="H68" s="2"/>
      <c r="I68" s="125" t="s">
        <v>41</v>
      </c>
      <c r="J68" s="110"/>
      <c r="K68" s="110"/>
      <c r="L68" s="110"/>
      <c r="M68" s="110"/>
      <c r="N68" s="110"/>
      <c r="O68" s="1"/>
      <c r="P68" s="1"/>
      <c r="Q68" s="125" t="s">
        <v>42</v>
      </c>
      <c r="R68" s="110"/>
      <c r="S68" s="110"/>
      <c r="T68" s="110"/>
      <c r="U68" s="1"/>
      <c r="V68" s="112"/>
      <c r="W68" s="110"/>
      <c r="X68" s="110"/>
      <c r="Y68" s="1"/>
      <c r="Z68" s="1"/>
    </row>
    <row r="69" spans="1:26" ht="13.2" x14ac:dyDescent="0.25">
      <c r="A69" s="112" t="s">
        <v>43</v>
      </c>
      <c r="B69" s="110"/>
      <c r="C69" s="112" t="s">
        <v>44</v>
      </c>
      <c r="D69" s="110"/>
      <c r="E69" s="110"/>
      <c r="F69" s="110"/>
      <c r="G69" s="2"/>
      <c r="H69" s="2"/>
      <c r="I69" s="112" t="s">
        <v>45</v>
      </c>
      <c r="J69" s="110"/>
      <c r="K69" s="110"/>
      <c r="L69" s="110"/>
      <c r="M69" s="110"/>
      <c r="N69" s="110"/>
      <c r="O69" s="1"/>
      <c r="P69" s="1"/>
      <c r="Q69" s="112" t="s">
        <v>46</v>
      </c>
      <c r="R69" s="110"/>
      <c r="S69" s="110"/>
      <c r="T69" s="110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39"/>
      <c r="E70" s="50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 x14ac:dyDescent="0.25">
      <c r="A71" s="124" t="s">
        <v>47</v>
      </c>
      <c r="B71" s="110"/>
      <c r="C71" s="124" t="s">
        <v>47</v>
      </c>
      <c r="D71" s="110"/>
      <c r="E71" s="110"/>
      <c r="F71" s="2"/>
      <c r="G71" s="2"/>
      <c r="H71" s="2"/>
      <c r="I71" s="124" t="s">
        <v>47</v>
      </c>
      <c r="J71" s="110"/>
      <c r="K71" s="110"/>
      <c r="L71" s="110"/>
      <c r="M71" s="1"/>
      <c r="N71" s="1"/>
      <c r="O71" s="1"/>
      <c r="P71" s="1"/>
      <c r="Q71" s="124" t="s">
        <v>47</v>
      </c>
      <c r="R71" s="110"/>
      <c r="S71" s="110"/>
      <c r="T71" s="110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39"/>
      <c r="E72" s="50"/>
      <c r="F72" s="2"/>
      <c r="G72" s="2"/>
      <c r="H72" s="122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39"/>
      <c r="E73" s="50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39"/>
      <c r="E74" s="50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39"/>
      <c r="E75" s="50"/>
      <c r="F75" s="2"/>
      <c r="G75" s="2"/>
      <c r="H75" s="122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39"/>
      <c r="E76" s="50"/>
      <c r="F76" s="2"/>
      <c r="G76" s="2"/>
      <c r="H76" s="122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39"/>
      <c r="E77" s="50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39"/>
      <c r="E78" s="50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39"/>
      <c r="E79" s="50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39"/>
      <c r="E80" s="50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39"/>
      <c r="E81" s="50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39"/>
      <c r="E82" s="50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39"/>
      <c r="E83" s="50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39"/>
      <c r="E84" s="50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39"/>
      <c r="E85" s="50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39"/>
      <c r="E86" s="50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39"/>
      <c r="E87" s="50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39"/>
      <c r="E88" s="50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39"/>
      <c r="E89" s="50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39"/>
      <c r="E90" s="50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39"/>
      <c r="E91" s="50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39"/>
      <c r="E92" s="50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39"/>
      <c r="E93" s="50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39"/>
      <c r="E94" s="50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39"/>
      <c r="E95" s="50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39"/>
      <c r="E96" s="50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39"/>
      <c r="E97" s="50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39"/>
      <c r="E98" s="50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39"/>
      <c r="E99" s="50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39"/>
      <c r="E100" s="50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39"/>
      <c r="E101" s="50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39"/>
      <c r="E102" s="50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39"/>
      <c r="E103" s="50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39"/>
      <c r="E104" s="50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39"/>
      <c r="E105" s="50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39"/>
      <c r="E106" s="50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39"/>
      <c r="E107" s="50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39"/>
      <c r="E108" s="50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39"/>
      <c r="E109" s="50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39"/>
      <c r="E110" s="50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39"/>
      <c r="E111" s="50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39"/>
      <c r="E112" s="50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39"/>
      <c r="E113" s="50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39"/>
      <c r="E114" s="50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39"/>
      <c r="E115" s="50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39"/>
      <c r="E116" s="50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39"/>
      <c r="E117" s="50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39"/>
      <c r="E118" s="50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39"/>
      <c r="E119" s="50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39"/>
      <c r="E120" s="50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39"/>
      <c r="E121" s="50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39"/>
      <c r="E122" s="50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39"/>
      <c r="E123" s="50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39"/>
      <c r="E124" s="50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39"/>
      <c r="E125" s="50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39"/>
      <c r="E126" s="50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39"/>
      <c r="E127" s="50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39"/>
      <c r="E128" s="50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39"/>
      <c r="E129" s="50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39"/>
      <c r="E130" s="50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39"/>
      <c r="E131" s="50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39"/>
      <c r="E132" s="50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39"/>
      <c r="E133" s="50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39"/>
      <c r="E134" s="50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39"/>
      <c r="E135" s="50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39"/>
      <c r="E136" s="50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39"/>
      <c r="E137" s="50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39"/>
      <c r="E138" s="50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39"/>
      <c r="E139" s="50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39"/>
      <c r="E140" s="50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39"/>
      <c r="E141" s="50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39"/>
      <c r="E142" s="50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39"/>
      <c r="E143" s="50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39"/>
      <c r="E144" s="50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39"/>
      <c r="E145" s="50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39"/>
      <c r="E146" s="50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39"/>
      <c r="E147" s="50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39"/>
      <c r="E148" s="50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39"/>
      <c r="E149" s="50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39"/>
      <c r="E150" s="50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39"/>
      <c r="E151" s="50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39"/>
      <c r="E152" s="50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39"/>
      <c r="E153" s="50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39"/>
      <c r="E154" s="50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39"/>
      <c r="E155" s="50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39"/>
      <c r="E156" s="50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39"/>
      <c r="E157" s="50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39"/>
      <c r="E158" s="50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39"/>
      <c r="E159" s="50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39"/>
      <c r="E160" s="50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39"/>
      <c r="E161" s="50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39"/>
      <c r="E162" s="50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39"/>
      <c r="E163" s="50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39"/>
      <c r="E164" s="50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39"/>
      <c r="E165" s="50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39"/>
      <c r="E166" s="50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39"/>
      <c r="E167" s="50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39"/>
      <c r="E168" s="50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39"/>
      <c r="E169" s="50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39"/>
      <c r="E170" s="50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39"/>
      <c r="E171" s="50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39"/>
      <c r="E172" s="50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39"/>
      <c r="E173" s="50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39"/>
      <c r="E174" s="50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39"/>
      <c r="E175" s="50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39"/>
      <c r="E176" s="50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39"/>
      <c r="E177" s="50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39"/>
      <c r="E178" s="50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39"/>
      <c r="E179" s="50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39"/>
      <c r="E180" s="50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39"/>
      <c r="E181" s="50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39"/>
      <c r="E182" s="50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39"/>
      <c r="E183" s="50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39"/>
      <c r="E184" s="50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39"/>
      <c r="E185" s="50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39"/>
      <c r="E186" s="50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39"/>
      <c r="E187" s="50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39"/>
      <c r="E188" s="50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39"/>
      <c r="E189" s="50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39"/>
      <c r="E190" s="50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39"/>
      <c r="E191" s="50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39"/>
      <c r="E192" s="50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39"/>
      <c r="E193" s="50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39"/>
      <c r="E194" s="50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39"/>
      <c r="E195" s="50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39"/>
      <c r="E196" s="50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39"/>
      <c r="E197" s="50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39"/>
      <c r="E198" s="50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39"/>
      <c r="E199" s="50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39"/>
      <c r="E200" s="50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39"/>
      <c r="E201" s="50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39"/>
      <c r="E202" s="50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39"/>
      <c r="E203" s="50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39"/>
      <c r="E204" s="50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39"/>
      <c r="E205" s="50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39"/>
      <c r="E206" s="50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39"/>
      <c r="E207" s="50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39"/>
      <c r="E208" s="50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39"/>
      <c r="E209" s="50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39"/>
      <c r="E210" s="50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39"/>
      <c r="E211" s="50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39"/>
      <c r="E212" s="50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39"/>
      <c r="E213" s="50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39"/>
      <c r="E214" s="50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39"/>
      <c r="E215" s="50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39"/>
      <c r="E216" s="50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39"/>
      <c r="E217" s="50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39"/>
      <c r="E218" s="50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39"/>
      <c r="E219" s="50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39"/>
      <c r="E220" s="50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39"/>
      <c r="E221" s="50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39"/>
      <c r="E222" s="50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39"/>
      <c r="E223" s="50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39"/>
      <c r="E224" s="50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39"/>
      <c r="E225" s="50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39"/>
      <c r="E226" s="50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39"/>
      <c r="E227" s="50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39"/>
      <c r="E228" s="50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39"/>
      <c r="E229" s="50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39"/>
      <c r="E230" s="50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39"/>
      <c r="E231" s="50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39"/>
      <c r="E232" s="50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39"/>
      <c r="E233" s="50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39"/>
      <c r="E234" s="50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39"/>
      <c r="E235" s="50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39"/>
      <c r="E236" s="50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39"/>
      <c r="E237" s="50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39"/>
      <c r="E238" s="50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39"/>
      <c r="E239" s="50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39"/>
      <c r="E240" s="50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39"/>
      <c r="E241" s="50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39"/>
      <c r="E242" s="50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39"/>
      <c r="E243" s="50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39"/>
      <c r="E244" s="50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39"/>
      <c r="E245" s="50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39"/>
      <c r="E246" s="50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39"/>
      <c r="E247" s="50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39"/>
      <c r="E248" s="50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39"/>
      <c r="E249" s="50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39"/>
      <c r="E250" s="50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39"/>
      <c r="E251" s="50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39"/>
      <c r="E252" s="50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39"/>
      <c r="E253" s="50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39"/>
      <c r="E254" s="50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39"/>
      <c r="E255" s="50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39"/>
      <c r="E256" s="50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39"/>
      <c r="E257" s="50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39"/>
      <c r="E258" s="50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39"/>
      <c r="E259" s="50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39"/>
      <c r="E260" s="50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39"/>
      <c r="E261" s="50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39"/>
      <c r="E262" s="50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39"/>
      <c r="E263" s="50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39"/>
      <c r="E264" s="50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39"/>
      <c r="E265" s="50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39"/>
      <c r="E266" s="50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39"/>
      <c r="E267" s="50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39"/>
      <c r="E268" s="50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39"/>
      <c r="E269" s="50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39"/>
      <c r="E270" s="50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39"/>
      <c r="E271" s="50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39"/>
      <c r="E272" s="50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39"/>
      <c r="E273" s="50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39"/>
      <c r="E274" s="50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39"/>
      <c r="E275" s="50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39"/>
      <c r="E276" s="50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39"/>
      <c r="E277" s="50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39"/>
      <c r="E278" s="50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39"/>
      <c r="E279" s="50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39"/>
      <c r="E280" s="50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39"/>
      <c r="E281" s="50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39"/>
      <c r="E282" s="50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39"/>
      <c r="E283" s="50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39"/>
      <c r="E284" s="50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39"/>
      <c r="E285" s="50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39"/>
      <c r="E286" s="50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39"/>
      <c r="E287" s="50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39"/>
      <c r="E288" s="50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39"/>
      <c r="E289" s="50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39"/>
      <c r="E290" s="50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39"/>
      <c r="E291" s="50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39"/>
      <c r="E292" s="50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39"/>
      <c r="E293" s="50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39"/>
      <c r="E294" s="50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39"/>
      <c r="E295" s="50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39"/>
      <c r="E296" s="50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39"/>
      <c r="E297" s="50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39"/>
      <c r="E298" s="50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39"/>
      <c r="E299" s="50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39"/>
      <c r="E300" s="50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39"/>
      <c r="E301" s="50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39"/>
      <c r="E302" s="50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39"/>
      <c r="E303" s="50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39"/>
      <c r="E304" s="50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39"/>
      <c r="E305" s="50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39"/>
      <c r="E306" s="50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39"/>
      <c r="E307" s="50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39"/>
      <c r="E308" s="50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39"/>
      <c r="E309" s="50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39"/>
      <c r="E310" s="50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39"/>
      <c r="E311" s="50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39"/>
      <c r="E312" s="50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39"/>
      <c r="E313" s="50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39"/>
      <c r="E314" s="50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39"/>
      <c r="E315" s="50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39"/>
      <c r="E316" s="50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39"/>
      <c r="E317" s="50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39"/>
      <c r="E318" s="50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39"/>
      <c r="E319" s="50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39"/>
      <c r="E320" s="50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39"/>
      <c r="E321" s="50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39"/>
      <c r="E322" s="50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39"/>
      <c r="E323" s="50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39"/>
      <c r="E324" s="50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39"/>
      <c r="E325" s="50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39"/>
      <c r="E326" s="50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39"/>
      <c r="E327" s="50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39"/>
      <c r="E328" s="50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39"/>
      <c r="E329" s="50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39"/>
      <c r="E330" s="50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39"/>
      <c r="E331" s="50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39"/>
      <c r="E332" s="50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39"/>
      <c r="E333" s="50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39"/>
      <c r="E334" s="50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39"/>
      <c r="E335" s="50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39"/>
      <c r="E336" s="50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39"/>
      <c r="E337" s="50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39"/>
      <c r="E338" s="50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39"/>
      <c r="E339" s="50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39"/>
      <c r="E340" s="50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39"/>
      <c r="E341" s="50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39"/>
      <c r="E342" s="50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39"/>
      <c r="E343" s="50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39"/>
      <c r="E344" s="50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39"/>
      <c r="E345" s="50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39"/>
      <c r="E346" s="50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39"/>
      <c r="E347" s="50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39"/>
      <c r="E348" s="50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39"/>
      <c r="E349" s="50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39"/>
      <c r="E350" s="50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39"/>
      <c r="E351" s="50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39"/>
      <c r="E352" s="50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39"/>
      <c r="E353" s="50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39"/>
      <c r="E354" s="50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39"/>
      <c r="E355" s="50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39"/>
      <c r="E356" s="50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39"/>
      <c r="E357" s="50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39"/>
      <c r="E358" s="50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39"/>
      <c r="E359" s="50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39"/>
      <c r="E360" s="50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39"/>
      <c r="E361" s="50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39"/>
      <c r="E362" s="50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39"/>
      <c r="E363" s="50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39"/>
      <c r="E364" s="50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39"/>
      <c r="E365" s="50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39"/>
      <c r="E366" s="50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39"/>
      <c r="E367" s="50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39"/>
      <c r="E368" s="50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39"/>
      <c r="E369" s="50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39"/>
      <c r="E370" s="50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39"/>
      <c r="E371" s="50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39"/>
      <c r="E372" s="50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39"/>
      <c r="E373" s="50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39"/>
      <c r="E374" s="50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39"/>
      <c r="E375" s="50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39"/>
      <c r="E376" s="50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39"/>
      <c r="E377" s="50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39"/>
      <c r="E378" s="50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39"/>
      <c r="E379" s="50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39"/>
      <c r="E380" s="50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39"/>
      <c r="E381" s="50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39"/>
      <c r="E382" s="50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39"/>
      <c r="E383" s="50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39"/>
      <c r="E384" s="50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39"/>
      <c r="E385" s="50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39"/>
      <c r="E386" s="50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39"/>
      <c r="E387" s="50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39"/>
      <c r="E388" s="50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39"/>
      <c r="E389" s="50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39"/>
      <c r="E390" s="50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39"/>
      <c r="E391" s="50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39"/>
      <c r="E392" s="50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39"/>
      <c r="E393" s="50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39"/>
      <c r="E394" s="50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39"/>
      <c r="E395" s="50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39"/>
      <c r="E396" s="50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39"/>
      <c r="E397" s="50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39"/>
      <c r="E398" s="50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39"/>
      <c r="E399" s="50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39"/>
      <c r="E400" s="50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39"/>
      <c r="E401" s="50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39"/>
      <c r="E402" s="50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39"/>
      <c r="E403" s="50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39"/>
      <c r="E404" s="50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39"/>
      <c r="E405" s="50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39"/>
      <c r="E406" s="50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39"/>
      <c r="E407" s="50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39"/>
      <c r="E408" s="50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39"/>
      <c r="E409" s="50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39"/>
      <c r="E410" s="50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39"/>
      <c r="E411" s="50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39"/>
      <c r="E412" s="50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39"/>
      <c r="E413" s="50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39"/>
      <c r="E414" s="50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39"/>
      <c r="E415" s="50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39"/>
      <c r="E416" s="50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39"/>
      <c r="E417" s="50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39"/>
      <c r="E418" s="50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39"/>
      <c r="E419" s="50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39"/>
      <c r="E420" s="50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39"/>
      <c r="E421" s="50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39"/>
      <c r="E422" s="50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39"/>
      <c r="E423" s="50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39"/>
      <c r="E424" s="50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39"/>
      <c r="E425" s="50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39"/>
      <c r="E426" s="50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39"/>
      <c r="E427" s="50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39"/>
      <c r="E428" s="50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39"/>
      <c r="E429" s="50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39"/>
      <c r="E430" s="50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39"/>
      <c r="E431" s="50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39"/>
      <c r="E432" s="50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39"/>
      <c r="E433" s="50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39"/>
      <c r="E434" s="50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39"/>
      <c r="E435" s="50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39"/>
      <c r="E436" s="50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39"/>
      <c r="E437" s="50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39"/>
      <c r="E438" s="50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39"/>
      <c r="E439" s="50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39"/>
      <c r="E440" s="50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39"/>
      <c r="E441" s="50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39"/>
      <c r="E442" s="50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39"/>
      <c r="E443" s="50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39"/>
      <c r="E444" s="50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39"/>
      <c r="E445" s="50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39"/>
      <c r="E446" s="50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39"/>
      <c r="E447" s="50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39"/>
      <c r="E448" s="50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39"/>
      <c r="E449" s="50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39"/>
      <c r="E450" s="50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39"/>
      <c r="E451" s="50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39"/>
      <c r="E452" s="50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39"/>
      <c r="E453" s="50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39"/>
      <c r="E454" s="50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39"/>
      <c r="E455" s="50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39"/>
      <c r="E456" s="50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39"/>
      <c r="E457" s="50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39"/>
      <c r="E458" s="50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39"/>
      <c r="E459" s="50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39"/>
      <c r="E460" s="50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39"/>
      <c r="E461" s="50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39"/>
      <c r="E462" s="50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39"/>
      <c r="E463" s="50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39"/>
      <c r="E464" s="50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39"/>
      <c r="E465" s="50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39"/>
      <c r="E466" s="50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39"/>
      <c r="E467" s="50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39"/>
      <c r="E468" s="50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39"/>
      <c r="E469" s="50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39"/>
      <c r="E470" s="50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39"/>
      <c r="E471" s="50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39"/>
      <c r="E472" s="50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39"/>
      <c r="E473" s="50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39"/>
      <c r="E474" s="50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39"/>
      <c r="E475" s="50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39"/>
      <c r="E476" s="50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39"/>
      <c r="E477" s="50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39"/>
      <c r="E478" s="50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39"/>
      <c r="E479" s="50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39"/>
      <c r="E480" s="50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39"/>
      <c r="E481" s="50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39"/>
      <c r="E482" s="50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39"/>
      <c r="E483" s="50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39"/>
      <c r="E484" s="50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39"/>
      <c r="E485" s="50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39"/>
      <c r="E486" s="50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39"/>
      <c r="E487" s="50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39"/>
      <c r="E488" s="50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39"/>
      <c r="E489" s="50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39"/>
      <c r="E490" s="50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39"/>
      <c r="E491" s="50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39"/>
      <c r="E492" s="50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39"/>
      <c r="E493" s="50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39"/>
      <c r="E494" s="50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39"/>
      <c r="E495" s="50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39"/>
      <c r="E496" s="50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39"/>
      <c r="E497" s="50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39"/>
      <c r="E498" s="50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39"/>
      <c r="E499" s="50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39"/>
      <c r="E500" s="50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39"/>
      <c r="E501" s="50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39"/>
      <c r="E502" s="50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39"/>
      <c r="E503" s="50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39"/>
      <c r="E504" s="50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39"/>
      <c r="E505" s="50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39"/>
      <c r="E506" s="50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39"/>
      <c r="E507" s="50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39"/>
      <c r="E508" s="50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39"/>
      <c r="E509" s="50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39"/>
      <c r="E510" s="50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39"/>
      <c r="E511" s="50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39"/>
      <c r="E512" s="50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39"/>
      <c r="E513" s="50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39"/>
      <c r="E514" s="50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39"/>
      <c r="E515" s="50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39"/>
      <c r="E516" s="50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39"/>
      <c r="E517" s="50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39"/>
      <c r="E518" s="50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39"/>
      <c r="E519" s="50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39"/>
      <c r="E520" s="50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39"/>
      <c r="E521" s="50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39"/>
      <c r="E522" s="50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39"/>
      <c r="E523" s="50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39"/>
      <c r="E524" s="50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39"/>
      <c r="E525" s="50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39"/>
      <c r="E526" s="50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39"/>
      <c r="E527" s="50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39"/>
      <c r="E528" s="50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39"/>
      <c r="E529" s="50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39"/>
      <c r="E530" s="50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39"/>
      <c r="E531" s="50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39"/>
      <c r="E532" s="50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39"/>
      <c r="E533" s="50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39"/>
      <c r="E534" s="50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39"/>
      <c r="E535" s="50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39"/>
      <c r="E536" s="50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39"/>
      <c r="E537" s="50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39"/>
      <c r="E538" s="50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39"/>
      <c r="E539" s="50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39"/>
      <c r="E540" s="50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39"/>
      <c r="E541" s="50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39"/>
      <c r="E542" s="50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39"/>
      <c r="E543" s="50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39"/>
      <c r="E544" s="50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39"/>
      <c r="E545" s="50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39"/>
      <c r="E546" s="50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39"/>
      <c r="E547" s="50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39"/>
      <c r="E548" s="50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39"/>
      <c r="E549" s="50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39"/>
      <c r="E550" s="50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39"/>
      <c r="E551" s="50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39"/>
      <c r="E552" s="50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39"/>
      <c r="E553" s="50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39"/>
      <c r="E554" s="50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39"/>
      <c r="E555" s="50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39"/>
      <c r="E556" s="50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39"/>
      <c r="E557" s="50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39"/>
      <c r="E558" s="50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39"/>
      <c r="E559" s="50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39"/>
      <c r="E560" s="50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39"/>
      <c r="E561" s="50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39"/>
      <c r="E562" s="50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39"/>
      <c r="E563" s="50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39"/>
      <c r="E564" s="50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39"/>
      <c r="E565" s="50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39"/>
      <c r="E566" s="50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39"/>
      <c r="E567" s="50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39"/>
      <c r="E568" s="50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39"/>
      <c r="E569" s="50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39"/>
      <c r="E570" s="50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39"/>
      <c r="E571" s="50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39"/>
      <c r="E572" s="50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39"/>
      <c r="E573" s="50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39"/>
      <c r="E574" s="50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39"/>
      <c r="E575" s="50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39"/>
      <c r="E576" s="50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39"/>
      <c r="E577" s="50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39"/>
      <c r="E578" s="50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39"/>
      <c r="E579" s="50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39"/>
      <c r="E580" s="50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39"/>
      <c r="E581" s="50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39"/>
      <c r="E582" s="50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39"/>
      <c r="E583" s="50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39"/>
      <c r="E584" s="50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39"/>
      <c r="E585" s="50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39"/>
      <c r="E586" s="50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39"/>
      <c r="E587" s="50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39"/>
      <c r="E588" s="50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39"/>
      <c r="E589" s="50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39"/>
      <c r="E590" s="50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39"/>
      <c r="E591" s="50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39"/>
      <c r="E592" s="50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39"/>
      <c r="E593" s="50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39"/>
      <c r="E594" s="50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39"/>
      <c r="E595" s="50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39"/>
      <c r="E596" s="50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39"/>
      <c r="E597" s="50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39"/>
      <c r="E598" s="50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39"/>
      <c r="E599" s="50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39"/>
      <c r="E600" s="50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39"/>
      <c r="E601" s="50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39"/>
      <c r="E602" s="50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39"/>
      <c r="E603" s="50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39"/>
      <c r="E604" s="50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39"/>
      <c r="E605" s="50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39"/>
      <c r="E606" s="50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39"/>
      <c r="E607" s="50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39"/>
      <c r="E608" s="50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39"/>
      <c r="E609" s="50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39"/>
      <c r="E610" s="50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39"/>
      <c r="E611" s="50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39"/>
      <c r="E612" s="50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39"/>
      <c r="E613" s="50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39"/>
      <c r="E614" s="50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39"/>
      <c r="E615" s="50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39"/>
      <c r="E616" s="50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39"/>
      <c r="E617" s="50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39"/>
      <c r="E618" s="50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39"/>
      <c r="E619" s="50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39"/>
      <c r="E620" s="50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39"/>
      <c r="E621" s="50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39"/>
      <c r="E622" s="50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39"/>
      <c r="E623" s="50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39"/>
      <c r="E624" s="50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39"/>
      <c r="E625" s="50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39"/>
      <c r="E626" s="50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39"/>
      <c r="E627" s="50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39"/>
      <c r="E628" s="50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39"/>
      <c r="E629" s="50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39"/>
      <c r="E630" s="50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39"/>
      <c r="E631" s="50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39"/>
      <c r="E632" s="50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39"/>
      <c r="E633" s="50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39"/>
      <c r="E634" s="50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39"/>
      <c r="E635" s="50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39"/>
      <c r="E636" s="50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39"/>
      <c r="E637" s="50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39"/>
      <c r="E638" s="50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39"/>
      <c r="E639" s="50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39"/>
      <c r="E640" s="50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39"/>
      <c r="E641" s="50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39"/>
      <c r="E642" s="50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39"/>
      <c r="E643" s="50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39"/>
      <c r="E644" s="50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39"/>
      <c r="E645" s="50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39"/>
      <c r="E646" s="50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39"/>
      <c r="E647" s="50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39"/>
      <c r="E648" s="50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39"/>
      <c r="E649" s="50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39"/>
      <c r="E650" s="50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39"/>
      <c r="E651" s="50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39"/>
      <c r="E652" s="50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39"/>
      <c r="E653" s="50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39"/>
      <c r="E654" s="50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39"/>
      <c r="E655" s="50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39"/>
      <c r="E656" s="50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39"/>
      <c r="E657" s="50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39"/>
      <c r="E658" s="50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39"/>
      <c r="E659" s="50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39"/>
      <c r="E660" s="50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39"/>
      <c r="E661" s="50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39"/>
      <c r="E662" s="50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39"/>
      <c r="E663" s="50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39"/>
      <c r="E664" s="50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39"/>
      <c r="E665" s="50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39"/>
      <c r="E666" s="50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39"/>
      <c r="E667" s="50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39"/>
      <c r="E668" s="50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39"/>
      <c r="E669" s="50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39"/>
      <c r="E670" s="50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39"/>
      <c r="E671" s="50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39"/>
      <c r="E672" s="50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39"/>
      <c r="E673" s="50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39"/>
      <c r="E674" s="50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39"/>
      <c r="E675" s="50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39"/>
      <c r="E676" s="50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39"/>
      <c r="E677" s="50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39"/>
      <c r="E678" s="50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39"/>
      <c r="E679" s="50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39"/>
      <c r="E680" s="50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39"/>
      <c r="E681" s="50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39"/>
      <c r="E682" s="50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39"/>
      <c r="E683" s="50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39"/>
      <c r="E684" s="50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39"/>
      <c r="E685" s="50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39"/>
      <c r="E686" s="50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39"/>
      <c r="E687" s="50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39"/>
      <c r="E688" s="50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39"/>
      <c r="E689" s="50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39"/>
      <c r="E690" s="50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39"/>
      <c r="E691" s="50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39"/>
      <c r="E692" s="50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39"/>
      <c r="E693" s="50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39"/>
      <c r="E694" s="50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39"/>
      <c r="E695" s="50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39"/>
      <c r="E696" s="50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39"/>
      <c r="E697" s="50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39"/>
      <c r="E698" s="50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39"/>
      <c r="E699" s="50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39"/>
      <c r="E700" s="50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39"/>
      <c r="E701" s="50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39"/>
      <c r="E702" s="50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39"/>
      <c r="E703" s="50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39"/>
      <c r="E704" s="50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39"/>
      <c r="E705" s="50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39"/>
      <c r="E706" s="50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39"/>
      <c r="E707" s="50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39"/>
      <c r="E708" s="50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39"/>
      <c r="E709" s="50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39"/>
      <c r="E710" s="50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39"/>
      <c r="E711" s="50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39"/>
      <c r="E712" s="50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39"/>
      <c r="E713" s="50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39"/>
      <c r="E714" s="50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39"/>
      <c r="E715" s="50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39"/>
      <c r="E716" s="50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39"/>
      <c r="E717" s="50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39"/>
      <c r="E718" s="50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39"/>
      <c r="E719" s="50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39"/>
      <c r="E720" s="50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39"/>
      <c r="E721" s="50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39"/>
      <c r="E722" s="50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39"/>
      <c r="E723" s="50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39"/>
      <c r="E724" s="50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39"/>
      <c r="E725" s="50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39"/>
      <c r="E726" s="50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39"/>
      <c r="E727" s="50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39"/>
      <c r="E728" s="50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39"/>
      <c r="E729" s="50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39"/>
      <c r="E730" s="50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39"/>
      <c r="E731" s="50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39"/>
      <c r="E732" s="50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39"/>
      <c r="E733" s="50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39"/>
      <c r="E734" s="50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39"/>
      <c r="E735" s="50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39"/>
      <c r="E736" s="50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39"/>
      <c r="E737" s="50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39"/>
      <c r="E738" s="50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39"/>
      <c r="E739" s="50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39"/>
      <c r="E740" s="50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39"/>
      <c r="E741" s="50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39"/>
      <c r="E742" s="50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39"/>
      <c r="E743" s="50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39"/>
      <c r="E744" s="50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39"/>
      <c r="E745" s="50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39"/>
      <c r="E746" s="50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39"/>
      <c r="E747" s="50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39"/>
      <c r="E748" s="50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39"/>
      <c r="E749" s="50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39"/>
      <c r="E750" s="50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39"/>
      <c r="E751" s="50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39"/>
      <c r="E752" s="50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39"/>
      <c r="E753" s="50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39"/>
      <c r="E754" s="50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39"/>
      <c r="E755" s="50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39"/>
      <c r="E756" s="50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39"/>
      <c r="E757" s="50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39"/>
      <c r="E758" s="50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39"/>
      <c r="E759" s="50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39"/>
      <c r="E760" s="50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39"/>
      <c r="E761" s="50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39"/>
      <c r="E762" s="50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39"/>
      <c r="E763" s="50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39"/>
      <c r="E764" s="50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39"/>
      <c r="E765" s="50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39"/>
      <c r="E766" s="50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39"/>
      <c r="E767" s="50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39"/>
      <c r="E768" s="50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39"/>
      <c r="E769" s="50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39"/>
      <c r="E770" s="50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39"/>
      <c r="E771" s="50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39"/>
      <c r="E772" s="50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39"/>
      <c r="E773" s="50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39"/>
      <c r="E774" s="50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39"/>
      <c r="E775" s="50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39"/>
      <c r="E776" s="50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39"/>
      <c r="E777" s="50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39"/>
      <c r="E778" s="50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39"/>
      <c r="E779" s="50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39"/>
      <c r="E780" s="50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39"/>
      <c r="E781" s="50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39"/>
      <c r="E782" s="50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39"/>
      <c r="E783" s="50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39"/>
      <c r="E784" s="50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39"/>
      <c r="E785" s="50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39"/>
      <c r="E786" s="50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39"/>
      <c r="E787" s="50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39"/>
      <c r="E788" s="50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39"/>
      <c r="E789" s="50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39"/>
      <c r="E790" s="50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39"/>
      <c r="E791" s="50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39"/>
      <c r="E792" s="50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39"/>
      <c r="E793" s="50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39"/>
      <c r="E794" s="50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39"/>
      <c r="E795" s="50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39"/>
      <c r="E796" s="50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39"/>
      <c r="E797" s="50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39"/>
      <c r="E798" s="50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39"/>
      <c r="E799" s="50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39"/>
      <c r="E800" s="50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39"/>
      <c r="E801" s="50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39"/>
      <c r="E802" s="50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39"/>
      <c r="E803" s="50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39"/>
      <c r="E804" s="50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39"/>
      <c r="E805" s="50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39"/>
      <c r="E806" s="50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39"/>
      <c r="E807" s="50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39"/>
      <c r="E808" s="50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39"/>
      <c r="E809" s="50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39"/>
      <c r="E810" s="50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39"/>
      <c r="E811" s="50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39"/>
      <c r="E812" s="50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39"/>
      <c r="E813" s="50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39"/>
      <c r="E814" s="50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39"/>
      <c r="E815" s="50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39"/>
      <c r="E816" s="50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39"/>
      <c r="E817" s="50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39"/>
      <c r="E818" s="50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39"/>
      <c r="E819" s="50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39"/>
      <c r="E820" s="50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39"/>
      <c r="E821" s="50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39"/>
      <c r="E822" s="50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39"/>
      <c r="E823" s="50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39"/>
      <c r="E824" s="50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39"/>
      <c r="E825" s="50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39"/>
      <c r="E826" s="50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39"/>
      <c r="E827" s="50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39"/>
      <c r="E828" s="50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39"/>
      <c r="E829" s="50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39"/>
      <c r="E830" s="50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39"/>
      <c r="E831" s="50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39"/>
      <c r="E832" s="50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39"/>
      <c r="E833" s="50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39"/>
      <c r="E834" s="50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39"/>
      <c r="E835" s="50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39"/>
      <c r="E836" s="50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39"/>
      <c r="E837" s="50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39"/>
      <c r="E838" s="50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39"/>
      <c r="E839" s="50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39"/>
      <c r="E840" s="50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39"/>
      <c r="E841" s="50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39"/>
      <c r="E842" s="50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39"/>
      <c r="E843" s="50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39"/>
      <c r="E844" s="50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39"/>
      <c r="E845" s="50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39"/>
      <c r="E846" s="50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39"/>
      <c r="E847" s="50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39"/>
      <c r="E848" s="50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39"/>
      <c r="E849" s="50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39"/>
      <c r="E850" s="50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39"/>
      <c r="E851" s="50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39"/>
      <c r="E852" s="50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39"/>
      <c r="E853" s="50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39"/>
      <c r="E854" s="50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39"/>
      <c r="E855" s="50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39"/>
      <c r="E856" s="50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39"/>
      <c r="E857" s="50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39"/>
      <c r="E858" s="50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39"/>
      <c r="E859" s="50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39"/>
      <c r="E860" s="50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39"/>
      <c r="E861" s="50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39"/>
      <c r="E862" s="50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39"/>
      <c r="E863" s="50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39"/>
      <c r="E864" s="50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39"/>
      <c r="E865" s="50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39"/>
      <c r="E866" s="50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39"/>
      <c r="E867" s="50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39"/>
      <c r="E868" s="50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39"/>
      <c r="E869" s="50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39"/>
      <c r="E870" s="50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39"/>
      <c r="E871" s="50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39"/>
      <c r="E872" s="50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39"/>
      <c r="E873" s="50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39"/>
      <c r="E874" s="50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39"/>
      <c r="E875" s="50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39"/>
      <c r="E876" s="50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39"/>
      <c r="E877" s="50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39"/>
      <c r="E878" s="50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39"/>
      <c r="E879" s="50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39"/>
      <c r="E880" s="50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39"/>
      <c r="E881" s="50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39"/>
      <c r="E882" s="50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39"/>
      <c r="E883" s="50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39"/>
      <c r="E884" s="50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39"/>
      <c r="E885" s="50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39"/>
      <c r="E886" s="50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39"/>
      <c r="E887" s="50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39"/>
      <c r="E888" s="50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39"/>
      <c r="E889" s="50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39"/>
      <c r="E890" s="50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39"/>
      <c r="E891" s="50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39"/>
      <c r="E892" s="50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39"/>
      <c r="E893" s="50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39"/>
      <c r="E894" s="50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39"/>
      <c r="E895" s="50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39"/>
      <c r="E896" s="50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39"/>
      <c r="E897" s="50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39"/>
      <c r="E898" s="50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39"/>
      <c r="E899" s="50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39"/>
      <c r="E900" s="50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39"/>
      <c r="E901" s="50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39"/>
      <c r="E902" s="50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39"/>
      <c r="E903" s="50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39"/>
      <c r="E904" s="50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39"/>
      <c r="E905" s="50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39"/>
      <c r="E906" s="50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39"/>
      <c r="E907" s="50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39"/>
      <c r="E908" s="50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39"/>
      <c r="E909" s="50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39"/>
      <c r="E910" s="50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39"/>
      <c r="E911" s="50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39"/>
      <c r="E912" s="50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39"/>
      <c r="E913" s="50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39"/>
      <c r="E914" s="50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39"/>
      <c r="E915" s="50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39"/>
      <c r="E916" s="50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39"/>
      <c r="E917" s="50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39"/>
      <c r="E918" s="50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39"/>
      <c r="E919" s="50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39"/>
      <c r="E920" s="50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39"/>
      <c r="E921" s="50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39"/>
      <c r="E922" s="50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39"/>
      <c r="E923" s="50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39"/>
      <c r="E924" s="50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39"/>
      <c r="E925" s="50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39"/>
      <c r="E926" s="50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39"/>
      <c r="E927" s="50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39"/>
      <c r="E928" s="50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39"/>
      <c r="E929" s="50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39"/>
      <c r="E930" s="50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39"/>
      <c r="E931" s="50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39"/>
      <c r="E932" s="50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39"/>
      <c r="E933" s="50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39"/>
      <c r="E934" s="50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39"/>
      <c r="E935" s="50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39"/>
      <c r="E936" s="50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39"/>
      <c r="E937" s="50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39"/>
      <c r="E938" s="50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39"/>
      <c r="E939" s="50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39"/>
      <c r="E940" s="50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39"/>
      <c r="E941" s="50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39"/>
      <c r="E942" s="50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39"/>
      <c r="E943" s="50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39"/>
      <c r="E944" s="50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39"/>
      <c r="E945" s="50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39"/>
      <c r="E946" s="50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39"/>
      <c r="E947" s="50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39"/>
      <c r="E948" s="50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39"/>
      <c r="E949" s="50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39"/>
      <c r="E950" s="50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39"/>
      <c r="E951" s="50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39"/>
      <c r="E952" s="50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39"/>
      <c r="E953" s="50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39"/>
      <c r="E954" s="50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39"/>
      <c r="E955" s="50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39"/>
      <c r="E956" s="50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39"/>
      <c r="E957" s="50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39"/>
      <c r="E958" s="50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39"/>
      <c r="E959" s="50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39"/>
      <c r="E960" s="50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39"/>
      <c r="E961" s="50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39"/>
      <c r="E962" s="50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39"/>
      <c r="E963" s="50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39"/>
      <c r="E964" s="50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39"/>
      <c r="E965" s="50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39"/>
      <c r="E966" s="50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39"/>
      <c r="E967" s="50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39"/>
      <c r="E968" s="50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39"/>
      <c r="E969" s="50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39"/>
      <c r="E970" s="50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39"/>
      <c r="E971" s="50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39"/>
      <c r="E972" s="50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39"/>
      <c r="E973" s="50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39"/>
      <c r="E974" s="50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39"/>
      <c r="E975" s="50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39"/>
      <c r="E976" s="50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39"/>
      <c r="E977" s="50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39"/>
      <c r="E978" s="50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39"/>
      <c r="E979" s="50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39"/>
      <c r="E980" s="50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38">
    <mergeCell ref="V68:X68"/>
    <mergeCell ref="A65:B65"/>
    <mergeCell ref="C65:E65"/>
    <mergeCell ref="I65:N65"/>
    <mergeCell ref="Q65:T65"/>
    <mergeCell ref="V65:W65"/>
    <mergeCell ref="H72:T72"/>
    <mergeCell ref="H75:T75"/>
    <mergeCell ref="H76:T76"/>
    <mergeCell ref="A68:B68"/>
    <mergeCell ref="A69:B69"/>
    <mergeCell ref="C69:F69"/>
    <mergeCell ref="A71:B71"/>
    <mergeCell ref="C71:E71"/>
    <mergeCell ref="I71:L71"/>
    <mergeCell ref="C68:F68"/>
    <mergeCell ref="I68:N68"/>
    <mergeCell ref="Q68:T68"/>
    <mergeCell ref="I69:N69"/>
    <mergeCell ref="Q69:T69"/>
    <mergeCell ref="Q71:T71"/>
    <mergeCell ref="B59:I59"/>
    <mergeCell ref="A61:B61"/>
    <mergeCell ref="J62:T62"/>
    <mergeCell ref="A63:D63"/>
    <mergeCell ref="E8:E9"/>
    <mergeCell ref="F8:F9"/>
    <mergeCell ref="G8:G9"/>
    <mergeCell ref="H8:V8"/>
    <mergeCell ref="A7:C7"/>
    <mergeCell ref="A8:A9"/>
    <mergeCell ref="B8:B9"/>
    <mergeCell ref="D8:D9"/>
    <mergeCell ref="A1:V1"/>
    <mergeCell ref="A2:V2"/>
    <mergeCell ref="A3:V3"/>
    <mergeCell ref="A4:B4"/>
    <mergeCell ref="A6:M6"/>
  </mergeCells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1rst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Vone Ayahay</cp:lastModifiedBy>
  <cp:lastPrinted>2025-02-17T01:54:54Z</cp:lastPrinted>
  <dcterms:modified xsi:type="dcterms:W3CDTF">2025-03-06T07:31:57Z</dcterms:modified>
</cp:coreProperties>
</file>