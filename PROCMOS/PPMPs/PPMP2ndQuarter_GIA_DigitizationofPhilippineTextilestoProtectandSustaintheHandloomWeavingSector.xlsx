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5.xml" ContentType="application/vnd.ms-excel.person+xml"/>
  <Override PartName="/xl/persons/person4.xml" ContentType="application/vnd.ms-excel.person+xml"/>
  <Override PartName="/xl/persons/person2.xml" ContentType="application/vnd.ms-excel.person+xml"/>
  <Override PartName="/xl/persons/person7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061933051bb08989/Documents/Digi Files/PPMP/PPMP 2nd Quarter April-June/"/>
    </mc:Choice>
  </mc:AlternateContent>
  <xr:revisionPtr revIDLastSave="29" documentId="11_05BFE89FB15D3D43D306CFA2F13613308EDB6EFE" xr6:coauthVersionLast="47" xr6:coauthVersionMax="47" xr10:uidLastSave="{4535EEF1-CC09-45A1-8EC4-F3E1B8CEDB4D}"/>
  <bookViews>
    <workbookView xWindow="-108" yWindow="-108" windowWidth="23256" windowHeight="12720" xr2:uid="{00000000-000D-0000-FFFF-FFFF00000000}"/>
  </bookViews>
  <sheets>
    <sheet name="PPMP Quarter 2 Y2" sheetId="1" r:id="rId1"/>
    <sheet name="LIB" sheetId="2" r:id="rId2"/>
  </sheets>
  <calcPr calcId="191029"/>
  <extLst>
    <ext uri="GoogleSheetsCustomDataVersion2">
      <go:sheetsCustomData xmlns:go="http://customooxmlschemas.google.com/" r:id="rId6" roundtripDataChecksum="AHgw9JdIDjr+KblCqzaynl7c+EukBUMtSyqnPD6l5m8="/>
    </ext>
  </extLst>
</workbook>
</file>

<file path=xl/calcChain.xml><?xml version="1.0" encoding="utf-8"?>
<calcChain xmlns="http://schemas.openxmlformats.org/spreadsheetml/2006/main">
  <c r="F48" i="1" l="1"/>
  <c r="F49" i="1"/>
  <c r="F40" i="1"/>
  <c r="F14" i="1"/>
  <c r="F13" i="1"/>
  <c r="F12" i="1"/>
  <c r="F38" i="1"/>
  <c r="F39" i="1"/>
  <c r="D73" i="1"/>
  <c r="D72" i="1"/>
  <c r="F58" i="1"/>
  <c r="F44" i="1"/>
  <c r="F43" i="1"/>
  <c r="F42" i="1"/>
  <c r="E71" i="1" l="1"/>
  <c r="D7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7" authorId="0" shapeId="0" xr:uid="{00000000-0006-0000-0000-000001000000}">
      <text>
        <r>
          <rPr>
            <sz val="11"/>
            <color theme="1"/>
            <rFont val="Arial"/>
            <scheme val="minor"/>
          </rPr>
          <t>======
ID#AAAA91VgJtw
upmnih    (2021-04-08 04:25:07)
Prepared by: Project Staff/ Research Associate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VPP0m5HeddG8qKW432d2CwYXAw=="/>
    </ext>
  </extLst>
</comments>
</file>

<file path=xl/sharedStrings.xml><?xml version="1.0" encoding="utf-8"?>
<sst xmlns="http://schemas.openxmlformats.org/spreadsheetml/2006/main" count="211" uniqueCount="159">
  <si>
    <t xml:space="preserve">  PROJECT PROCUREMENT MANAGEMENT PLAN (PPMP) 2024</t>
  </si>
  <si>
    <t>END-USER/UNIT: RDD-NFUS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</si>
  <si>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</si>
  <si>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</si>
  <si>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</si>
  <si>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</si>
  <si>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</si>
  <si>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</si>
  <si>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</si>
  <si>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</si>
  <si>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</si>
  <si>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</si>
  <si>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</si>
  <si>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</si>
  <si>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</si>
  <si>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</si>
  <si>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</si>
  <si>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</si>
  <si>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</si>
  <si>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</si>
  <si>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</si>
  <si>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</si>
  <si>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</si>
  <si>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</si>
  <si>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</si>
  <si>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</si>
  <si>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</si>
  <si>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</si>
  <si>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</si>
  <si>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</si>
  <si>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</si>
  <si>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</si>
  <si>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</si>
  <si>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</si>
  <si>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</si>
  <si>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</si>
  <si>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</si>
  <si>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</si>
  <si>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</si>
  <si>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</si>
  <si>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</si>
  <si>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</si>
  <si>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</si>
  <si>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</si>
  <si>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</si>
  <si>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</si>
  <si>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</si>
  <si>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</si>
  <si>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</si>
  <si>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</si>
  <si>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</si>
  <si>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</si>
  <si>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</si>
  <si>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</si>
  <si>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</si>
  <si>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</si>
  <si>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</si>
  <si>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</si>
  <si>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</si>
  <si>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</si>
  <si>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</si>
  <si>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</si>
  <si>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</si>
  <si>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</si>
  <si>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</si>
  <si>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</si>
  <si>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</si>
  <si>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</si>
  <si>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</si>
  <si>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</si>
  <si>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</si>
  <si>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</si>
  <si>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50203010 02</t>
  </si>
  <si>
    <t>Office Supplies Expenses</t>
  </si>
  <si>
    <t>5 pieces Wireless mouse</t>
  </si>
  <si>
    <t>1 lot</t>
  </si>
  <si>
    <t>Shopping</t>
  </si>
  <si>
    <t>15-30 working days</t>
  </si>
  <si>
    <t>5 pieces Wireless Keyboard</t>
  </si>
  <si>
    <t>5 pieces Mouse Pad</t>
  </si>
  <si>
    <t>3 pieces Presentation Clicker</t>
  </si>
  <si>
    <t>5 pieces Wireless HDMI Transmitter and Reciever</t>
  </si>
  <si>
    <t>10 pieces Adaptor outlet socket</t>
  </si>
  <si>
    <t>Conference Chair</t>
  </si>
  <si>
    <t>12 pieces</t>
  </si>
  <si>
    <t>50203990 00</t>
  </si>
  <si>
    <t>Other Supplies and Materials</t>
  </si>
  <si>
    <t>Office Equipment</t>
  </si>
  <si>
    <t>Laboratory Equipment</t>
  </si>
  <si>
    <t>Various Handloom woven Fabric - CAR</t>
  </si>
  <si>
    <t>Small Value Procurement</t>
  </si>
  <si>
    <t>Customized Reversible Corporate Jacket with Detachable Hood</t>
  </si>
  <si>
    <t>Glass Dome for Doll</t>
  </si>
  <si>
    <t>35 piece</t>
  </si>
  <si>
    <t>Sintra Board</t>
  </si>
  <si>
    <t>10 piece</t>
  </si>
  <si>
    <t>ID lanyard(PVC)</t>
  </si>
  <si>
    <t>100 piece</t>
  </si>
  <si>
    <t>Lei</t>
  </si>
  <si>
    <t>50 piece</t>
  </si>
  <si>
    <t xml:space="preserve">Flower Arrangement </t>
  </si>
  <si>
    <t>lot</t>
  </si>
  <si>
    <t>50299070 00</t>
  </si>
  <si>
    <t>Subscription Expenses</t>
  </si>
  <si>
    <t xml:space="preserve">Sketch up Software </t>
  </si>
  <si>
    <t>COD</t>
  </si>
  <si>
    <t>50299020 00</t>
  </si>
  <si>
    <t>Printing and Publication Expenses</t>
  </si>
  <si>
    <t>Industrial Design Filling Fee</t>
  </si>
  <si>
    <t>Agency-to-Agency</t>
  </si>
  <si>
    <t>Brochure</t>
  </si>
  <si>
    <t>Calling Cards</t>
  </si>
  <si>
    <t>50299030 00</t>
  </si>
  <si>
    <t>Representation Expenses</t>
  </si>
  <si>
    <t>Negotiated Procurement</t>
  </si>
  <si>
    <t>on April 2024</t>
  </si>
  <si>
    <t>50202010 00</t>
  </si>
  <si>
    <t>Training Expenses</t>
  </si>
  <si>
    <t>Direct Contracting</t>
  </si>
  <si>
    <t xml:space="preserve">AVL Loom Training </t>
  </si>
  <si>
    <t>Other Professional Services</t>
  </si>
  <si>
    <t>Cultural Performances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</si>
  <si>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</si>
  <si>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</si>
  <si>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</si>
  <si>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</si>
  <si>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</si>
  <si>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</si>
  <si>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</si>
  <si>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</si>
  <si>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</si>
  <si>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EPHRAIM H. DE GRACIA</t>
  </si>
  <si>
    <t>MARILOU G. AGUSTIN</t>
  </si>
  <si>
    <t>MERLITA R. ODI</t>
  </si>
  <si>
    <t>JULIUS L. LEAÑO JR., Ph.D.</t>
  </si>
  <si>
    <t>Project Leader</t>
  </si>
  <si>
    <t>Head, FAD-PPGSS</t>
  </si>
  <si>
    <t>Head, FAD-BTS</t>
  </si>
  <si>
    <t>Director IV</t>
  </si>
  <si>
    <t>Date: _____________</t>
  </si>
  <si>
    <t>April</t>
  </si>
  <si>
    <t>May</t>
  </si>
  <si>
    <t>June</t>
  </si>
  <si>
    <t>Fabric Testing</t>
  </si>
  <si>
    <t xml:space="preserve">Fiber composition </t>
  </si>
  <si>
    <t>Fabric weight, thickness and Type of weave</t>
  </si>
  <si>
    <t xml:space="preserve">Room Accommodation </t>
  </si>
  <si>
    <t>Various Handloom woven Fabric - Luzon</t>
  </si>
  <si>
    <t>30 Yards</t>
  </si>
  <si>
    <t>16 Yards</t>
  </si>
  <si>
    <t>Charged to: Digitization of Philippine Textiles to Protect and Sustain the Handloom Weaving Sector</t>
  </si>
  <si>
    <t>Mobile Processing Device</t>
  </si>
  <si>
    <t>Split Type Mounted Inverter Airconditioner</t>
  </si>
  <si>
    <t>3 piece</t>
  </si>
  <si>
    <t>Repairs and Maintenance Expenses</t>
  </si>
  <si>
    <t>Annual Repair and Maintenance of Airconditioning Units</t>
  </si>
  <si>
    <t>1 Lot Repair and Maintenance of Bamboo Extraction Machine of BTFIH - La Union in Brgy. Casilagan, Naguilian La Union</t>
  </si>
  <si>
    <t>15 days upon receipt of Notice to Proceed (NTP)</t>
  </si>
  <si>
    <t>For 2nd Quarter of CY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</si>
</sst>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₱]#,##0.00"/>
  </numFmts>
  <fonts count="24" x14ac:knownFonts="1">
    <font>
      <sz val="11"/>
      <color theme="1"/>
      <name val="Arial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i/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u/>
      <sz val="8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2"/>
      <color rgb="FF000000"/>
      <name val="Arial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2" fillId="0" borderId="0" xfId="0" applyFont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0" xfId="0" applyFont="1"/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0" borderId="13" xfId="0" applyFont="1" applyBorder="1"/>
    <xf numFmtId="0" fontId="11" fillId="0" borderId="0" xfId="0" applyFont="1"/>
    <xf numFmtId="0" fontId="7" fillId="0" borderId="10" xfId="0" quotePrefix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4" fontId="7" fillId="2" borderId="17" xfId="0" applyNumberFormat="1" applyFont="1" applyFill="1" applyBorder="1" applyAlignment="1">
      <alignment horizontal="right" vertical="center" wrapText="1"/>
    </xf>
    <xf numFmtId="164" fontId="7" fillId="2" borderId="16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49" fontId="12" fillId="0" borderId="19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4" fontId="10" fillId="0" borderId="21" xfId="0" applyNumberFormat="1" applyFont="1" applyBorder="1" applyAlignment="1">
      <alignment horizontal="right" vertical="center" wrapText="1"/>
    </xf>
    <xf numFmtId="164" fontId="10" fillId="0" borderId="21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/>
    <xf numFmtId="164" fontId="10" fillId="0" borderId="16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vertical="center" wrapText="1"/>
    </xf>
    <xf numFmtId="4" fontId="10" fillId="0" borderId="19" xfId="0" applyNumberFormat="1" applyFont="1" applyBorder="1" applyAlignment="1">
      <alignment horizontal="right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left" vertical="center" wrapText="1"/>
    </xf>
    <xf numFmtId="0" fontId="10" fillId="2" borderId="19" xfId="0" applyFont="1" applyFill="1" applyBorder="1" applyAlignment="1">
      <alignment vertical="center"/>
    </xf>
    <xf numFmtId="4" fontId="10" fillId="2" borderId="19" xfId="0" applyNumberFormat="1" applyFont="1" applyFill="1" applyBorder="1" applyAlignment="1">
      <alignment horizontal="right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19" xfId="0" applyFont="1" applyFill="1" applyBorder="1"/>
    <xf numFmtId="0" fontId="12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left" vertical="center" wrapText="1"/>
    </xf>
    <xf numFmtId="164" fontId="10" fillId="0" borderId="19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4" fontId="10" fillId="0" borderId="20" xfId="0" applyNumberFormat="1" applyFont="1" applyBorder="1" applyAlignment="1">
      <alignment horizontal="right" vertical="center" wrapText="1"/>
    </xf>
    <xf numFmtId="164" fontId="10" fillId="0" borderId="20" xfId="0" applyNumberFormat="1" applyFont="1" applyBorder="1" applyAlignment="1">
      <alignment horizontal="right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9" xfId="0" applyFont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left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/>
    </xf>
    <xf numFmtId="4" fontId="10" fillId="0" borderId="21" xfId="0" applyNumberFormat="1" applyFont="1" applyBorder="1" applyAlignment="1">
      <alignment horizontal="right" vertical="center"/>
    </xf>
    <xf numFmtId="0" fontId="10" fillId="0" borderId="21" xfId="0" applyFont="1" applyBorder="1"/>
    <xf numFmtId="0" fontId="7" fillId="0" borderId="19" xfId="0" applyFont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left" vertical="center" wrapText="1"/>
    </xf>
    <xf numFmtId="0" fontId="10" fillId="3" borderId="19" xfId="0" applyFont="1" applyFill="1" applyBorder="1" applyAlignment="1">
      <alignment vertical="center"/>
    </xf>
    <xf numFmtId="4" fontId="10" fillId="3" borderId="19" xfId="0" applyNumberFormat="1" applyFont="1" applyFill="1" applyBorder="1" applyAlignment="1">
      <alignment horizontal="right" vertical="center"/>
    </xf>
    <xf numFmtId="0" fontId="10" fillId="3" borderId="19" xfId="0" applyFont="1" applyFill="1" applyBorder="1" applyAlignment="1">
      <alignment horizontal="center" vertical="center" wrapText="1"/>
    </xf>
    <xf numFmtId="0" fontId="10" fillId="3" borderId="19" xfId="0" applyFont="1" applyFill="1" applyBorder="1"/>
    <xf numFmtId="0" fontId="10" fillId="3" borderId="19" xfId="0" applyFont="1" applyFill="1" applyBorder="1" applyAlignment="1">
      <alignment horizontal="center" vertical="center"/>
    </xf>
    <xf numFmtId="0" fontId="10" fillId="3" borderId="0" xfId="0" applyFont="1" applyFill="1"/>
    <xf numFmtId="0" fontId="11" fillId="3" borderId="0" xfId="0" applyFont="1" applyFill="1"/>
    <xf numFmtId="0" fontId="10" fillId="0" borderId="19" xfId="0" applyFont="1" applyBorder="1" applyAlignment="1">
      <alignment vertical="center"/>
    </xf>
    <xf numFmtId="4" fontId="10" fillId="0" borderId="19" xfId="0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 vertical="center"/>
    </xf>
    <xf numFmtId="0" fontId="10" fillId="0" borderId="30" xfId="0" applyFont="1" applyBorder="1"/>
    <xf numFmtId="0" fontId="11" fillId="0" borderId="30" xfId="0" applyFont="1" applyBorder="1"/>
    <xf numFmtId="0" fontId="14" fillId="0" borderId="0" xfId="0" applyFont="1" applyAlignment="1">
      <alignment vertical="center"/>
    </xf>
    <xf numFmtId="165" fontId="13" fillId="0" borderId="0" xfId="0" applyNumberFormat="1" applyFont="1" applyAlignment="1">
      <alignment horizontal="center"/>
    </xf>
    <xf numFmtId="0" fontId="7" fillId="0" borderId="20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0" borderId="0" xfId="0" applyFont="1" applyAlignment="1">
      <alignment horizontal="left"/>
    </xf>
    <xf numFmtId="0" fontId="7" fillId="0" borderId="19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15" fillId="0" borderId="0" xfId="0" applyFont="1"/>
    <xf numFmtId="164" fontId="15" fillId="0" borderId="0" xfId="0" applyNumberFormat="1" applyFont="1" applyAlignment="1">
      <alignment horizont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4" fontId="17" fillId="0" borderId="0" xfId="0" applyNumberFormat="1" applyFont="1" applyAlignment="1">
      <alignment horizontal="right" vertical="center" wrapText="1"/>
    </xf>
    <xf numFmtId="4" fontId="15" fillId="0" borderId="0" xfId="0" applyNumberFormat="1" applyFont="1" applyAlignment="1">
      <alignment horizontal="right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" fontId="20" fillId="0" borderId="0" xfId="0" applyNumberFormat="1" applyFont="1" applyAlignment="1">
      <alignment horizontal="right"/>
    </xf>
    <xf numFmtId="0" fontId="21" fillId="0" borderId="0" xfId="0" applyFont="1" applyAlignment="1">
      <alignment horizontal="left" vertical="center" wrapText="1"/>
    </xf>
    <xf numFmtId="0" fontId="22" fillId="0" borderId="0" xfId="0" applyFont="1"/>
    <xf numFmtId="0" fontId="21" fillId="0" borderId="0" xfId="0" applyFont="1" applyAlignment="1">
      <alignment wrapText="1"/>
    </xf>
    <xf numFmtId="0" fontId="23" fillId="0" borderId="0" xfId="0" applyFont="1"/>
    <xf numFmtId="0" fontId="7" fillId="2" borderId="33" xfId="0" applyFont="1" applyFill="1" applyBorder="1" applyAlignment="1">
      <alignment horizontal="left" vertical="center" wrapText="1"/>
    </xf>
    <xf numFmtId="49" fontId="10" fillId="0" borderId="22" xfId="0" applyNumberFormat="1" applyFont="1" applyBorder="1" applyAlignment="1">
      <alignment vertical="center" wrapText="1"/>
    </xf>
    <xf numFmtId="0" fontId="7" fillId="3" borderId="22" xfId="0" applyFont="1" applyFill="1" applyBorder="1" applyAlignment="1">
      <alignment horizontal="left" vertical="center" wrapText="1"/>
    </xf>
    <xf numFmtId="0" fontId="10" fillId="3" borderId="22" xfId="0" applyFont="1" applyFill="1" applyBorder="1" applyAlignment="1">
      <alignment horizontal="left" vertical="center" wrapText="1"/>
    </xf>
    <xf numFmtId="0" fontId="10" fillId="3" borderId="19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10" xfId="0" applyFont="1" applyBorder="1"/>
    <xf numFmtId="0" fontId="7" fillId="0" borderId="5" xfId="0" applyFont="1" applyBorder="1" applyAlignment="1">
      <alignment horizontal="center" vertical="center" wrapText="1"/>
    </xf>
    <xf numFmtId="0" fontId="9" fillId="0" borderId="6" xfId="0" applyFont="1" applyBorder="1"/>
    <xf numFmtId="0" fontId="9" fillId="0" borderId="7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8" xfId="0" applyFont="1" applyBorder="1"/>
    <xf numFmtId="0" fontId="8" fillId="0" borderId="2" xfId="0" applyFont="1" applyBorder="1" applyAlignment="1">
      <alignment horizontal="center" vertical="center" wrapText="1"/>
    </xf>
    <xf numFmtId="0" fontId="9" fillId="0" borderId="9" xfId="0" applyFont="1" applyBorder="1"/>
    <xf numFmtId="4" fontId="7" fillId="0" borderId="3" xfId="0" applyNumberFormat="1" applyFont="1" applyBorder="1" applyAlignment="1">
      <alignment horizontal="center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9" fillId="0" borderId="16" xfId="0" applyFont="1" applyBorder="1"/>
    <xf numFmtId="0" fontId="10" fillId="0" borderId="2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9" fillId="0" borderId="20" xfId="0" applyFont="1" applyBorder="1"/>
    <xf numFmtId="164" fontId="10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4" fontId="1" fillId="0" borderId="25" xfId="0" applyNumberFormat="1" applyFont="1" applyBorder="1" applyAlignment="1">
      <alignment horizontal="center"/>
    </xf>
    <xf numFmtId="0" fontId="9" fillId="0" borderId="30" xfId="0" applyFont="1" applyBorder="1"/>
    <xf numFmtId="0" fontId="9" fillId="0" borderId="24" xfId="0" applyFont="1" applyBorder="1"/>
    <xf numFmtId="0" fontId="10" fillId="0" borderId="0" xfId="0" applyFont="1" applyAlignment="1">
      <alignment horizontal="left"/>
    </xf>
    <xf numFmtId="164" fontId="15" fillId="0" borderId="0" xfId="0" applyNumberFormat="1" applyFont="1" applyAlignment="1">
      <alignment horizontal="center"/>
    </xf>
    <xf numFmtId="165" fontId="13" fillId="0" borderId="31" xfId="0" applyNumberFormat="1" applyFont="1" applyBorder="1" applyAlignment="1">
      <alignment horizontal="right"/>
    </xf>
    <xf numFmtId="0" fontId="9" fillId="0" borderId="31" xfId="0" applyFont="1" applyBorder="1"/>
    <xf numFmtId="0" fontId="21" fillId="0" borderId="0" xfId="0" applyFont="1" applyAlignment="1">
      <alignment horizontal="left" wrapText="1"/>
    </xf>
    <xf numFmtId="164" fontId="23" fillId="0" borderId="0" xfId="0" applyNumberFormat="1" applyFont="1" applyAlignment="1">
      <alignment horizontal="left" vertical="center" wrapText="1"/>
    </xf>
    <xf numFmtId="164" fontId="1" fillId="0" borderId="27" xfId="0" applyNumberFormat="1" applyFont="1" applyBorder="1" applyAlignment="1">
      <alignment horizontal="center"/>
    </xf>
    <xf numFmtId="0" fontId="9" fillId="0" borderId="32" xfId="0" applyFont="1" applyBorder="1"/>
    <xf numFmtId="0" fontId="9" fillId="0" borderId="2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1.xml"/><Relationship Id="rId18" Type="http://schemas.microsoft.com/office/2017/10/relationships/person" Target="persons/person6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17" Type="http://schemas.microsoft.com/office/2017/10/relationships/person" Target="persons/person5.xml"/><Relationship Id="rId2" Type="http://schemas.openxmlformats.org/officeDocument/2006/relationships/worksheet" Target="worksheets/sheet2.xml"/><Relationship Id="rId16" Type="http://schemas.microsoft.com/office/2017/10/relationships/person" Target="persons/person4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5" Type="http://schemas.microsoft.com/office/2017/10/relationships/person" Target="persons/person2.xml"/><Relationship Id="rId10" Type="http://schemas.microsoft.com/office/2017/10/relationships/person" Target="persons/person.xml"/><Relationship Id="rId19" Type="http://schemas.microsoft.com/office/2017/10/relationships/person" Target="persons/person7.xml"/><Relationship Id="rId9" Type="http://schemas.openxmlformats.org/officeDocument/2006/relationships/sharedStrings" Target="sharedStrings.xml"/><Relationship Id="rId14" Type="http://schemas.microsoft.com/office/2017/10/relationships/person" Target="persons/person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-190500</xdr:rowOff>
    </xdr:from>
    <xdr:ext cx="11201400" cy="13506450"/>
    <xdr:pic>
      <xdr:nvPicPr>
        <xdr:cNvPr id="2" name="image18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12"/>
  <sheetViews>
    <sheetView tabSelected="1" workbookViewId="0">
      <selection activeCell="H38" sqref="H38"/>
    </sheetView>
  </sheetViews>
  <sheetFormatPr defaultColWidth="12.59765625" defaultRowHeight="15" customHeight="1" x14ac:dyDescent="0.25"/>
  <cols>
    <col min="1" max="1" width="10.3984375" customWidth="1"/>
    <col min="2" max="2" width="9.09765625" customWidth="1"/>
    <col min="3" max="3" width="54" customWidth="1"/>
    <col min="4" max="4" width="11.59765625" customWidth="1"/>
    <col min="5" max="5" width="10.09765625" customWidth="1"/>
    <col min="6" max="6" width="11.19921875" customWidth="1"/>
    <col min="7" max="7" width="14.69921875" customWidth="1"/>
    <col min="8" max="8" width="10.3984375" customWidth="1"/>
    <col min="9" max="12" width="7.59765625" customWidth="1"/>
    <col min="13" max="13" width="8.5" customWidth="1"/>
    <col min="14" max="14" width="4.09765625" customWidth="1"/>
    <col min="15" max="16" width="2.59765625" customWidth="1"/>
    <col min="17" max="17" width="4.59765625" customWidth="1"/>
    <col min="18" max="18" width="5.59765625" customWidth="1"/>
    <col min="19" max="19" width="5.69921875" customWidth="1"/>
    <col min="20" max="20" width="2.59765625" customWidth="1"/>
    <col min="21" max="21" width="3.5" customWidth="1"/>
    <col min="22" max="22" width="4" customWidth="1"/>
    <col min="23" max="23" width="3.3984375" customWidth="1"/>
    <col min="24" max="24" width="2.8984375" customWidth="1"/>
    <col min="25" max="25" width="3.5" customWidth="1"/>
    <col min="26" max="26" width="2.59765625" customWidth="1"/>
    <col min="27" max="27" width="2.69921875" customWidth="1"/>
    <col min="28" max="28" width="2.59765625" customWidth="1"/>
    <col min="29" max="29" width="2.8984375" customWidth="1"/>
    <col min="30" max="30" width="2.3984375" customWidth="1"/>
    <col min="31" max="31" width="2.8984375" customWidth="1"/>
    <col min="32" max="32" width="2.3984375" customWidth="1"/>
    <col min="33" max="33" width="2.19921875" customWidth="1"/>
    <col min="34" max="34" width="2.8984375" customWidth="1"/>
    <col min="35" max="35" width="22.59765625" customWidth="1"/>
    <col min="36" max="37" width="7.59765625" customWidth="1"/>
  </cols>
  <sheetData>
    <row r="1" spans="1:39" ht="15.6" x14ac:dyDescent="0.25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"/>
      <c r="AK1" s="1"/>
    </row>
    <row r="2" spans="1:39" ht="13.8" x14ac:dyDescent="0.25">
      <c r="A2" s="134" t="s">
        <v>158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"/>
      <c r="AK2" s="1"/>
    </row>
    <row r="3" spans="1:39" ht="13.8" x14ac:dyDescent="0.25">
      <c r="A3" s="135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"/>
      <c r="AK3" s="1"/>
    </row>
    <row r="4" spans="1:39" ht="15.6" x14ac:dyDescent="0.25">
      <c r="A4" s="2" t="s">
        <v>1</v>
      </c>
      <c r="B4" s="3"/>
      <c r="C4" s="4"/>
      <c r="D4" s="4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1"/>
      <c r="AH4" s="1"/>
      <c r="AI4" s="1"/>
      <c r="AJ4" s="1"/>
      <c r="AK4" s="1"/>
    </row>
    <row r="5" spans="1:39" ht="15.6" x14ac:dyDescent="0.25">
      <c r="A5" s="6"/>
      <c r="B5" s="3"/>
      <c r="C5" s="4"/>
      <c r="D5" s="1"/>
      <c r="E5" s="7"/>
      <c r="F5" s="8"/>
      <c r="G5" s="9"/>
      <c r="H5" s="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9" ht="15.6" x14ac:dyDescent="0.25">
      <c r="A6" s="2" t="s">
        <v>150</v>
      </c>
      <c r="B6" s="3"/>
      <c r="C6" s="4"/>
      <c r="D6" s="1"/>
      <c r="E6" s="7"/>
      <c r="F6" s="8"/>
      <c r="G6" s="9"/>
      <c r="H6" s="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9" ht="15.6" x14ac:dyDescent="0.25">
      <c r="A7" s="6" t="s">
        <v>2</v>
      </c>
      <c r="B7" s="3"/>
      <c r="C7" s="4"/>
      <c r="D7" s="1"/>
      <c r="E7" s="7"/>
      <c r="F7" s="8"/>
      <c r="G7" s="9"/>
      <c r="H7" s="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9" ht="22.5" customHeight="1" x14ac:dyDescent="0.25">
      <c r="A8" s="136" t="s">
        <v>3</v>
      </c>
      <c r="B8" s="138" t="s">
        <v>4</v>
      </c>
      <c r="C8" s="127" t="s">
        <v>5</v>
      </c>
      <c r="D8" s="10" t="s">
        <v>6</v>
      </c>
      <c r="E8" s="140" t="s">
        <v>7</v>
      </c>
      <c r="F8" s="141" t="s">
        <v>8</v>
      </c>
      <c r="G8" s="127" t="s">
        <v>9</v>
      </c>
      <c r="H8" s="127" t="s">
        <v>10</v>
      </c>
      <c r="I8" s="129" t="s">
        <v>11</v>
      </c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1"/>
      <c r="AJ8" s="11"/>
      <c r="AK8" s="11"/>
    </row>
    <row r="9" spans="1:39" ht="13.8" x14ac:dyDescent="0.25">
      <c r="A9" s="137"/>
      <c r="B9" s="139"/>
      <c r="C9" s="128"/>
      <c r="D9" s="12" t="s">
        <v>12</v>
      </c>
      <c r="E9" s="128"/>
      <c r="F9" s="128"/>
      <c r="G9" s="128"/>
      <c r="H9" s="128"/>
      <c r="I9" s="12" t="s">
        <v>140</v>
      </c>
      <c r="J9" s="12" t="s">
        <v>141</v>
      </c>
      <c r="K9" s="12" t="s">
        <v>142</v>
      </c>
      <c r="L9" s="12" t="s">
        <v>13</v>
      </c>
      <c r="M9" s="12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2" t="s">
        <v>24</v>
      </c>
      <c r="X9" s="12" t="s">
        <v>25</v>
      </c>
      <c r="Y9" s="12" t="s">
        <v>26</v>
      </c>
      <c r="Z9" s="12" t="s">
        <v>27</v>
      </c>
      <c r="AA9" s="12" t="s">
        <v>28</v>
      </c>
      <c r="AB9" s="12" t="s">
        <v>29</v>
      </c>
      <c r="AC9" s="12" t="s">
        <v>30</v>
      </c>
      <c r="AD9" s="12" t="s">
        <v>31</v>
      </c>
      <c r="AE9" s="13" t="s">
        <v>32</v>
      </c>
      <c r="AF9" s="13" t="s">
        <v>33</v>
      </c>
      <c r="AG9" s="13" t="s">
        <v>34</v>
      </c>
      <c r="AH9" s="13" t="s">
        <v>35</v>
      </c>
      <c r="AI9" s="13" t="s">
        <v>36</v>
      </c>
      <c r="AJ9" s="14"/>
      <c r="AK9" s="11"/>
      <c r="AL9" s="15"/>
      <c r="AM9" s="15"/>
    </row>
    <row r="10" spans="1:39" ht="12" customHeight="1" x14ac:dyDescent="0.25">
      <c r="A10" s="16" t="s">
        <v>37</v>
      </c>
      <c r="B10" s="16" t="s">
        <v>38</v>
      </c>
      <c r="C10" s="16" t="s">
        <v>39</v>
      </c>
      <c r="D10" s="16" t="s">
        <v>40</v>
      </c>
      <c r="E10" s="16" t="s">
        <v>41</v>
      </c>
      <c r="F10" s="16" t="s">
        <v>42</v>
      </c>
      <c r="G10" s="16" t="s">
        <v>43</v>
      </c>
      <c r="H10" s="16" t="s">
        <v>44</v>
      </c>
      <c r="I10" s="16" t="s">
        <v>45</v>
      </c>
      <c r="J10" s="16" t="s">
        <v>46</v>
      </c>
      <c r="K10" s="16" t="s">
        <v>47</v>
      </c>
      <c r="L10" s="16" t="s">
        <v>48</v>
      </c>
      <c r="M10" s="16" t="s">
        <v>49</v>
      </c>
      <c r="N10" s="16" t="s">
        <v>50</v>
      </c>
      <c r="O10" s="16" t="s">
        <v>51</v>
      </c>
      <c r="P10" s="16" t="s">
        <v>52</v>
      </c>
      <c r="Q10" s="16" t="s">
        <v>53</v>
      </c>
      <c r="R10" s="16" t="s">
        <v>54</v>
      </c>
      <c r="S10" s="16" t="s">
        <v>55</v>
      </c>
      <c r="T10" s="16" t="s">
        <v>56</v>
      </c>
      <c r="U10" s="16" t="s">
        <v>57</v>
      </c>
      <c r="V10" s="16" t="s">
        <v>58</v>
      </c>
      <c r="W10" s="16" t="s">
        <v>59</v>
      </c>
      <c r="X10" s="16" t="s">
        <v>60</v>
      </c>
      <c r="Y10" s="16" t="s">
        <v>61</v>
      </c>
      <c r="Z10" s="16" t="s">
        <v>62</v>
      </c>
      <c r="AA10" s="16" t="s">
        <v>63</v>
      </c>
      <c r="AB10" s="16" t="s">
        <v>64</v>
      </c>
      <c r="AC10" s="16" t="s">
        <v>65</v>
      </c>
      <c r="AD10" s="16" t="s">
        <v>66</v>
      </c>
      <c r="AE10" s="16" t="s">
        <v>67</v>
      </c>
      <c r="AF10" s="16" t="s">
        <v>68</v>
      </c>
      <c r="AG10" s="16" t="s">
        <v>69</v>
      </c>
      <c r="AH10" s="16" t="s">
        <v>70</v>
      </c>
      <c r="AI10" s="16" t="s">
        <v>71</v>
      </c>
      <c r="AJ10" s="17"/>
      <c r="AK10" s="18"/>
      <c r="AL10" s="19"/>
      <c r="AM10" s="19"/>
    </row>
    <row r="11" spans="1:39" ht="13.8" x14ac:dyDescent="0.25">
      <c r="A11" s="20" t="s">
        <v>72</v>
      </c>
      <c r="B11" s="21"/>
      <c r="C11" s="22" t="s">
        <v>73</v>
      </c>
      <c r="D11" s="23"/>
      <c r="E11" s="24"/>
      <c r="F11" s="25"/>
      <c r="G11" s="23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3"/>
      <c r="AH11" s="23"/>
      <c r="AI11" s="27"/>
      <c r="AJ11" s="11"/>
      <c r="AK11" s="11"/>
    </row>
    <row r="12" spans="1:39" ht="13.8" x14ac:dyDescent="0.25">
      <c r="A12" s="28"/>
      <c r="B12" s="29"/>
      <c r="C12" s="30" t="s">
        <v>74</v>
      </c>
      <c r="D12" s="142" t="s">
        <v>75</v>
      </c>
      <c r="E12" s="32">
        <v>3000</v>
      </c>
      <c r="F12" s="33">
        <f>E12*I12</f>
        <v>15000</v>
      </c>
      <c r="G12" s="144" t="s">
        <v>76</v>
      </c>
      <c r="H12" s="142" t="s">
        <v>77</v>
      </c>
      <c r="I12" s="35">
        <v>5</v>
      </c>
      <c r="J12" s="35"/>
      <c r="K12" s="35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11"/>
      <c r="AK12" s="11"/>
    </row>
    <row r="13" spans="1:39" ht="13.8" x14ac:dyDescent="0.25">
      <c r="A13" s="28"/>
      <c r="B13" s="29"/>
      <c r="C13" s="30" t="s">
        <v>78</v>
      </c>
      <c r="D13" s="143"/>
      <c r="E13" s="32">
        <v>3500</v>
      </c>
      <c r="F13" s="37">
        <f>E13*I13</f>
        <v>17500</v>
      </c>
      <c r="G13" s="143"/>
      <c r="H13" s="143"/>
      <c r="I13" s="35">
        <v>5</v>
      </c>
      <c r="J13" s="35"/>
      <c r="K13" s="35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11"/>
      <c r="AK13" s="11"/>
    </row>
    <row r="14" spans="1:39" ht="13.8" x14ac:dyDescent="0.25">
      <c r="A14" s="28"/>
      <c r="B14" s="29"/>
      <c r="C14" s="38" t="s">
        <v>79</v>
      </c>
      <c r="D14" s="143"/>
      <c r="E14" s="32">
        <v>200</v>
      </c>
      <c r="F14" s="37">
        <f>E14*I14</f>
        <v>1000</v>
      </c>
      <c r="G14" s="143"/>
      <c r="H14" s="143"/>
      <c r="I14" s="35">
        <v>5</v>
      </c>
      <c r="J14" s="35"/>
      <c r="K14" s="35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11"/>
      <c r="AK14" s="11"/>
    </row>
    <row r="15" spans="1:39" ht="15.75" customHeight="1" x14ac:dyDescent="0.25">
      <c r="A15" s="28"/>
      <c r="B15" s="40"/>
      <c r="C15" s="38" t="s">
        <v>80</v>
      </c>
      <c r="D15" s="145" t="s">
        <v>75</v>
      </c>
      <c r="E15" s="32">
        <v>9000</v>
      </c>
      <c r="F15" s="147">
        <v>12100</v>
      </c>
      <c r="G15" s="148" t="s">
        <v>76</v>
      </c>
      <c r="H15" s="142" t="s">
        <v>77</v>
      </c>
      <c r="I15" s="35">
        <v>3</v>
      </c>
      <c r="J15" s="35"/>
      <c r="K15" s="35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11"/>
      <c r="AK15" s="11"/>
    </row>
    <row r="16" spans="1:39" ht="15.75" customHeight="1" x14ac:dyDescent="0.25">
      <c r="A16" s="28"/>
      <c r="B16" s="40"/>
      <c r="C16" s="38" t="s">
        <v>81</v>
      </c>
      <c r="D16" s="143"/>
      <c r="E16" s="32">
        <v>3000</v>
      </c>
      <c r="F16" s="143"/>
      <c r="G16" s="143"/>
      <c r="H16" s="143"/>
      <c r="I16" s="35">
        <v>5</v>
      </c>
      <c r="J16" s="35"/>
      <c r="K16" s="3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11"/>
      <c r="AK16" s="11"/>
    </row>
    <row r="17" spans="1:37" ht="15.75" customHeight="1" x14ac:dyDescent="0.25">
      <c r="A17" s="28"/>
      <c r="B17" s="40"/>
      <c r="C17" s="38" t="s">
        <v>82</v>
      </c>
      <c r="D17" s="143"/>
      <c r="E17" s="32">
        <v>100</v>
      </c>
      <c r="F17" s="143"/>
      <c r="G17" s="143"/>
      <c r="H17" s="146"/>
      <c r="I17" s="35">
        <v>10</v>
      </c>
      <c r="J17" s="35"/>
      <c r="K17" s="35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11"/>
      <c r="AK17" s="11"/>
    </row>
    <row r="18" spans="1:37" ht="22.8" x14ac:dyDescent="0.25">
      <c r="A18" s="28"/>
      <c r="B18" s="29"/>
      <c r="C18" s="38" t="s">
        <v>83</v>
      </c>
      <c r="D18" s="31" t="s">
        <v>84</v>
      </c>
      <c r="E18" s="32">
        <v>7500</v>
      </c>
      <c r="F18" s="33">
        <v>90000</v>
      </c>
      <c r="G18" s="35" t="s">
        <v>76</v>
      </c>
      <c r="H18" s="41" t="s">
        <v>77</v>
      </c>
      <c r="I18" s="35">
        <v>12</v>
      </c>
      <c r="J18" s="35"/>
      <c r="K18" s="35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11"/>
      <c r="AK18" s="11"/>
    </row>
    <row r="19" spans="1:37" ht="13.8" x14ac:dyDescent="0.25">
      <c r="A19" s="28"/>
      <c r="B19" s="29"/>
      <c r="C19" s="123" t="s">
        <v>151</v>
      </c>
      <c r="D19" s="31"/>
      <c r="E19" s="32"/>
      <c r="F19" s="33"/>
      <c r="G19" s="35"/>
      <c r="H19" s="41"/>
      <c r="I19" s="35"/>
      <c r="J19" s="35"/>
      <c r="K19" s="35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11"/>
      <c r="AK19" s="11"/>
    </row>
    <row r="20" spans="1:37" ht="15.75" customHeight="1" x14ac:dyDescent="0.25">
      <c r="A20" s="28"/>
      <c r="B20" s="29"/>
      <c r="C20" s="38"/>
      <c r="D20" s="31"/>
      <c r="E20" s="32"/>
      <c r="F20" s="33"/>
      <c r="G20" s="35"/>
      <c r="H20" s="36"/>
      <c r="I20" s="35"/>
      <c r="J20" s="35"/>
      <c r="K20" s="35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11"/>
      <c r="AK20" s="11"/>
    </row>
    <row r="21" spans="1:37" ht="15.75" customHeight="1" x14ac:dyDescent="0.25">
      <c r="A21" s="42" t="s">
        <v>85</v>
      </c>
      <c r="B21" s="43"/>
      <c r="C21" s="44" t="s">
        <v>86</v>
      </c>
      <c r="D21" s="45"/>
      <c r="E21" s="46"/>
      <c r="F21" s="45"/>
      <c r="G21" s="47"/>
      <c r="H21" s="48"/>
      <c r="I21" s="47"/>
      <c r="J21" s="47"/>
      <c r="K21" s="47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11"/>
      <c r="AK21" s="11"/>
    </row>
    <row r="22" spans="1:37" ht="15.75" hidden="1" customHeight="1" x14ac:dyDescent="0.25">
      <c r="A22" s="28"/>
      <c r="B22" s="49"/>
      <c r="C22" s="50"/>
      <c r="D22" s="31"/>
      <c r="E22" s="32"/>
      <c r="F22" s="33"/>
      <c r="G22" s="35"/>
      <c r="H22" s="36"/>
      <c r="I22" s="35"/>
      <c r="J22" s="35"/>
      <c r="K22" s="35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11"/>
      <c r="AK22" s="11"/>
    </row>
    <row r="23" spans="1:37" ht="15.75" hidden="1" customHeight="1" x14ac:dyDescent="0.25">
      <c r="A23" s="28"/>
      <c r="B23" s="49"/>
      <c r="C23" s="50"/>
      <c r="D23" s="31"/>
      <c r="E23" s="32"/>
      <c r="F23" s="33"/>
      <c r="G23" s="35"/>
      <c r="H23" s="36"/>
      <c r="I23" s="35"/>
      <c r="J23" s="35"/>
      <c r="K23" s="35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11"/>
      <c r="AK23" s="11"/>
    </row>
    <row r="24" spans="1:37" ht="15.75" hidden="1" customHeight="1" x14ac:dyDescent="0.25">
      <c r="A24" s="28"/>
      <c r="B24" s="49"/>
      <c r="C24" s="50"/>
      <c r="D24" s="31"/>
      <c r="E24" s="32"/>
      <c r="F24" s="33"/>
      <c r="G24" s="35"/>
      <c r="H24" s="36"/>
      <c r="I24" s="35"/>
      <c r="J24" s="35"/>
      <c r="K24" s="35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11"/>
      <c r="AK24" s="11"/>
    </row>
    <row r="25" spans="1:37" ht="15.75" hidden="1" customHeight="1" x14ac:dyDescent="0.25">
      <c r="A25" s="28"/>
      <c r="B25" s="49"/>
      <c r="C25" s="50"/>
      <c r="D25" s="31"/>
      <c r="E25" s="32"/>
      <c r="F25" s="33"/>
      <c r="G25" s="35"/>
      <c r="H25" s="36"/>
      <c r="I25" s="35"/>
      <c r="J25" s="35"/>
      <c r="K25" s="35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11"/>
      <c r="AK25" s="11"/>
    </row>
    <row r="26" spans="1:37" ht="15.75" hidden="1" customHeight="1" x14ac:dyDescent="0.25">
      <c r="A26" s="28"/>
      <c r="B26" s="49"/>
      <c r="C26" s="50"/>
      <c r="D26" s="31"/>
      <c r="E26" s="32"/>
      <c r="F26" s="33"/>
      <c r="G26" s="35"/>
      <c r="H26" s="36"/>
      <c r="I26" s="35"/>
      <c r="J26" s="35"/>
      <c r="K26" s="35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11"/>
      <c r="AK26" s="11"/>
    </row>
    <row r="27" spans="1:37" ht="15.75" hidden="1" customHeight="1" x14ac:dyDescent="0.25">
      <c r="A27" s="28"/>
      <c r="B27" s="49"/>
      <c r="C27" s="50"/>
      <c r="D27" s="31"/>
      <c r="E27" s="32"/>
      <c r="F27" s="33"/>
      <c r="G27" s="35"/>
      <c r="H27" s="36"/>
      <c r="I27" s="35"/>
      <c r="J27" s="35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11"/>
      <c r="AK27" s="11"/>
    </row>
    <row r="28" spans="1:37" ht="15.75" hidden="1" customHeight="1" x14ac:dyDescent="0.25">
      <c r="A28" s="51"/>
      <c r="B28" s="49"/>
      <c r="C28" s="52"/>
      <c r="D28" s="41"/>
      <c r="E28" s="39"/>
      <c r="F28" s="53"/>
      <c r="G28" s="35"/>
      <c r="H28" s="36"/>
      <c r="I28" s="35"/>
      <c r="J28" s="35"/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11"/>
      <c r="AK28" s="11"/>
    </row>
    <row r="29" spans="1:37" ht="15.75" hidden="1" customHeight="1" x14ac:dyDescent="0.25">
      <c r="A29" s="28"/>
      <c r="B29" s="54"/>
      <c r="C29" s="44" t="s">
        <v>87</v>
      </c>
      <c r="D29" s="45"/>
      <c r="E29" s="46"/>
      <c r="F29" s="45"/>
      <c r="G29" s="47"/>
      <c r="H29" s="48"/>
      <c r="I29" s="47"/>
      <c r="J29" s="47"/>
      <c r="K29" s="47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11"/>
      <c r="AK29" s="11"/>
    </row>
    <row r="30" spans="1:37" ht="15.75" hidden="1" customHeight="1" x14ac:dyDescent="0.25">
      <c r="A30" s="28"/>
      <c r="B30" s="49"/>
      <c r="C30" s="50"/>
      <c r="D30" s="31"/>
      <c r="E30" s="32"/>
      <c r="F30" s="33"/>
      <c r="G30" s="35"/>
      <c r="H30" s="36"/>
      <c r="I30" s="35"/>
      <c r="J30" s="35"/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11"/>
      <c r="AK30" s="11"/>
    </row>
    <row r="31" spans="1:37" ht="15.75" hidden="1" customHeight="1" x14ac:dyDescent="0.25">
      <c r="A31" s="28"/>
      <c r="B31" s="49"/>
      <c r="C31" s="50"/>
      <c r="D31" s="31"/>
      <c r="E31" s="32"/>
      <c r="F31" s="33"/>
      <c r="G31" s="35"/>
      <c r="H31" s="36"/>
      <c r="I31" s="35"/>
      <c r="J31" s="35"/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11"/>
      <c r="AK31" s="11"/>
    </row>
    <row r="32" spans="1:37" ht="15.75" hidden="1" customHeight="1" x14ac:dyDescent="0.25">
      <c r="A32" s="28"/>
      <c r="B32" s="49"/>
      <c r="C32" s="50"/>
      <c r="D32" s="31"/>
      <c r="E32" s="32"/>
      <c r="F32" s="33"/>
      <c r="G32" s="35"/>
      <c r="H32" s="36"/>
      <c r="I32" s="35"/>
      <c r="J32" s="35"/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11"/>
      <c r="AK32" s="11"/>
    </row>
    <row r="33" spans="1:37" ht="15.75" hidden="1" customHeight="1" x14ac:dyDescent="0.25">
      <c r="A33" s="28"/>
      <c r="B33" s="49"/>
      <c r="C33" s="50"/>
      <c r="D33" s="31"/>
      <c r="E33" s="32"/>
      <c r="F33" s="33"/>
      <c r="G33" s="35"/>
      <c r="H33" s="36"/>
      <c r="I33" s="35"/>
      <c r="J33" s="35"/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11"/>
      <c r="AK33" s="11"/>
    </row>
    <row r="34" spans="1:37" ht="15.75" hidden="1" customHeight="1" x14ac:dyDescent="0.25">
      <c r="A34" s="28"/>
      <c r="B34" s="54"/>
      <c r="C34" s="44" t="s">
        <v>88</v>
      </c>
      <c r="D34" s="45"/>
      <c r="E34" s="46"/>
      <c r="F34" s="45"/>
      <c r="G34" s="47"/>
      <c r="H34" s="48"/>
      <c r="I34" s="47"/>
      <c r="J34" s="47"/>
      <c r="K34" s="47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11"/>
      <c r="AK34" s="11"/>
    </row>
    <row r="35" spans="1:37" ht="15.75" hidden="1" customHeight="1" x14ac:dyDescent="0.25">
      <c r="A35" s="28"/>
      <c r="B35" s="49"/>
      <c r="C35" s="50"/>
      <c r="D35" s="31"/>
      <c r="E35" s="32"/>
      <c r="F35" s="33"/>
      <c r="G35" s="35"/>
      <c r="H35" s="36"/>
      <c r="I35" s="35"/>
      <c r="J35" s="35"/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11"/>
      <c r="AK35" s="11"/>
    </row>
    <row r="36" spans="1:37" ht="15.75" hidden="1" customHeight="1" x14ac:dyDescent="0.25">
      <c r="A36" s="28"/>
      <c r="B36" s="49"/>
      <c r="C36" s="50"/>
      <c r="D36" s="31"/>
      <c r="E36" s="32"/>
      <c r="F36" s="33"/>
      <c r="G36" s="35"/>
      <c r="H36" s="36"/>
      <c r="I36" s="35"/>
      <c r="J36" s="35"/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11"/>
      <c r="AK36" s="11"/>
    </row>
    <row r="37" spans="1:37" ht="15.75" hidden="1" customHeight="1" x14ac:dyDescent="0.25">
      <c r="A37" s="28"/>
      <c r="B37" s="49"/>
      <c r="C37" s="50"/>
      <c r="D37" s="31"/>
      <c r="E37" s="32"/>
      <c r="F37" s="33"/>
      <c r="G37" s="35"/>
      <c r="H37" s="36"/>
      <c r="I37" s="35"/>
      <c r="J37" s="35"/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11"/>
      <c r="AK37" s="11"/>
    </row>
    <row r="38" spans="1:37" ht="23.25" customHeight="1" x14ac:dyDescent="0.25">
      <c r="A38" s="28"/>
      <c r="B38" s="49"/>
      <c r="C38" s="55" t="s">
        <v>89</v>
      </c>
      <c r="D38" s="56" t="s">
        <v>149</v>
      </c>
      <c r="E38" s="57">
        <v>1000</v>
      </c>
      <c r="F38" s="58">
        <f>E38*I38</f>
        <v>16000</v>
      </c>
      <c r="G38" s="41" t="s">
        <v>90</v>
      </c>
      <c r="H38" s="56" t="s">
        <v>77</v>
      </c>
      <c r="I38" s="59">
        <v>16</v>
      </c>
      <c r="J38" s="60"/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11"/>
      <c r="AK38" s="11"/>
    </row>
    <row r="39" spans="1:37" ht="24" customHeight="1" x14ac:dyDescent="0.25">
      <c r="A39" s="28"/>
      <c r="B39" s="49"/>
      <c r="C39" s="61" t="s">
        <v>147</v>
      </c>
      <c r="D39" s="41" t="s">
        <v>148</v>
      </c>
      <c r="E39" s="39">
        <v>1000</v>
      </c>
      <c r="F39" s="39">
        <f>I39*E39</f>
        <v>30000</v>
      </c>
      <c r="G39" s="41" t="s">
        <v>90</v>
      </c>
      <c r="H39" s="41" t="s">
        <v>77</v>
      </c>
      <c r="I39" s="41">
        <v>30</v>
      </c>
      <c r="J39" s="62"/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11"/>
      <c r="AK39" s="11"/>
    </row>
    <row r="40" spans="1:37" ht="22.8" x14ac:dyDescent="0.25">
      <c r="A40" s="28"/>
      <c r="B40" s="49"/>
      <c r="C40" s="61" t="s">
        <v>91</v>
      </c>
      <c r="D40" s="31" t="s">
        <v>99</v>
      </c>
      <c r="E40" s="32">
        <v>1500</v>
      </c>
      <c r="F40" s="32">
        <f>E40*I40</f>
        <v>75000</v>
      </c>
      <c r="G40" s="41" t="s">
        <v>90</v>
      </c>
      <c r="H40" s="31" t="s">
        <v>77</v>
      </c>
      <c r="I40" s="31">
        <v>50</v>
      </c>
      <c r="J40" s="64"/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11"/>
      <c r="AK40" s="11"/>
    </row>
    <row r="41" spans="1:37" ht="22.8" x14ac:dyDescent="0.25">
      <c r="A41" s="28"/>
      <c r="B41" s="49"/>
      <c r="C41" s="55" t="s">
        <v>92</v>
      </c>
      <c r="D41" s="31" t="s">
        <v>93</v>
      </c>
      <c r="E41" s="32">
        <v>2000</v>
      </c>
      <c r="F41" s="32">
        <v>70000</v>
      </c>
      <c r="G41" s="41" t="s">
        <v>90</v>
      </c>
      <c r="H41" s="31" t="s">
        <v>77</v>
      </c>
      <c r="I41" s="35">
        <v>35</v>
      </c>
      <c r="J41" s="64"/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11"/>
      <c r="AK41" s="11"/>
    </row>
    <row r="42" spans="1:37" ht="22.8" x14ac:dyDescent="0.25">
      <c r="A42" s="28"/>
      <c r="B42" s="49"/>
      <c r="C42" s="55" t="s">
        <v>94</v>
      </c>
      <c r="D42" s="31" t="s">
        <v>95</v>
      </c>
      <c r="E42" s="32">
        <v>1800</v>
      </c>
      <c r="F42" s="32">
        <f>E42*10</f>
        <v>18000</v>
      </c>
      <c r="G42" s="41" t="s">
        <v>90</v>
      </c>
      <c r="H42" s="31" t="s">
        <v>77</v>
      </c>
      <c r="I42" s="35">
        <v>10</v>
      </c>
      <c r="J42" s="64"/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11"/>
      <c r="AK42" s="11"/>
    </row>
    <row r="43" spans="1:37" ht="22.8" x14ac:dyDescent="0.25">
      <c r="A43" s="28"/>
      <c r="B43" s="49"/>
      <c r="C43" s="55" t="s">
        <v>96</v>
      </c>
      <c r="D43" s="31" t="s">
        <v>97</v>
      </c>
      <c r="E43" s="32">
        <v>350</v>
      </c>
      <c r="F43" s="32">
        <f>E43*100</f>
        <v>35000</v>
      </c>
      <c r="G43" s="41" t="s">
        <v>90</v>
      </c>
      <c r="H43" s="31" t="s">
        <v>77</v>
      </c>
      <c r="I43" s="35">
        <v>100</v>
      </c>
      <c r="J43" s="64"/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11"/>
      <c r="AK43" s="11"/>
    </row>
    <row r="44" spans="1:37" ht="22.8" x14ac:dyDescent="0.25">
      <c r="A44" s="28"/>
      <c r="B44" s="49"/>
      <c r="C44" s="55" t="s">
        <v>98</v>
      </c>
      <c r="D44" s="31" t="s">
        <v>99</v>
      </c>
      <c r="E44" s="32">
        <v>500</v>
      </c>
      <c r="F44" s="32">
        <f>E44*50</f>
        <v>25000</v>
      </c>
      <c r="G44" s="41" t="s">
        <v>90</v>
      </c>
      <c r="H44" s="31" t="s">
        <v>77</v>
      </c>
      <c r="I44" s="35">
        <v>50</v>
      </c>
      <c r="J44" s="64"/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11"/>
      <c r="AK44" s="11"/>
    </row>
    <row r="45" spans="1:37" ht="22.8" x14ac:dyDescent="0.25">
      <c r="A45" s="28"/>
      <c r="B45" s="49"/>
      <c r="C45" s="55" t="s">
        <v>152</v>
      </c>
      <c r="D45" s="31" t="s">
        <v>153</v>
      </c>
      <c r="E45" s="32">
        <v>49999</v>
      </c>
      <c r="F45" s="32">
        <v>149997</v>
      </c>
      <c r="G45" s="41" t="s">
        <v>90</v>
      </c>
      <c r="H45" s="31" t="s">
        <v>77</v>
      </c>
      <c r="I45" s="35"/>
      <c r="J45" s="64">
        <v>3</v>
      </c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11"/>
      <c r="AK45" s="11"/>
    </row>
    <row r="46" spans="1:37" ht="22.8" x14ac:dyDescent="0.25">
      <c r="A46" s="28"/>
      <c r="B46" s="49"/>
      <c r="C46" s="55" t="s">
        <v>100</v>
      </c>
      <c r="D46" s="31" t="s">
        <v>101</v>
      </c>
      <c r="E46" s="32">
        <v>20000</v>
      </c>
      <c r="F46" s="32">
        <v>20000</v>
      </c>
      <c r="G46" s="41" t="s">
        <v>90</v>
      </c>
      <c r="H46" s="31" t="s">
        <v>77</v>
      </c>
      <c r="I46" s="35">
        <v>1</v>
      </c>
      <c r="J46" s="64"/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11"/>
      <c r="AK46" s="11"/>
    </row>
    <row r="47" spans="1:37" ht="15.75" customHeight="1" x14ac:dyDescent="0.25">
      <c r="A47" s="42"/>
      <c r="B47" s="43"/>
      <c r="C47" s="65" t="s">
        <v>143</v>
      </c>
      <c r="D47" s="45"/>
      <c r="E47" s="46"/>
      <c r="F47" s="45"/>
      <c r="G47" s="66"/>
      <c r="H47" s="48"/>
      <c r="I47" s="47"/>
      <c r="J47" s="47"/>
      <c r="K47" s="47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11"/>
      <c r="AK47" s="11"/>
    </row>
    <row r="48" spans="1:37" ht="25.8" customHeight="1" x14ac:dyDescent="0.25">
      <c r="A48" s="28"/>
      <c r="B48" s="68"/>
      <c r="C48" s="55" t="s">
        <v>145</v>
      </c>
      <c r="D48" s="31" t="s">
        <v>95</v>
      </c>
      <c r="E48" s="72">
        <v>1000</v>
      </c>
      <c r="F48" s="32">
        <f>E48*I48</f>
        <v>10000</v>
      </c>
      <c r="G48" s="41" t="s">
        <v>90</v>
      </c>
      <c r="H48" s="31" t="s">
        <v>77</v>
      </c>
      <c r="I48" s="35">
        <v>10</v>
      </c>
      <c r="J48" s="69"/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11"/>
      <c r="AK48" s="11"/>
    </row>
    <row r="49" spans="1:39" ht="22.8" x14ac:dyDescent="0.25">
      <c r="A49" s="28"/>
      <c r="B49" s="49"/>
      <c r="C49" s="55" t="s">
        <v>144</v>
      </c>
      <c r="D49" s="31" t="s">
        <v>95</v>
      </c>
      <c r="E49" s="32">
        <v>1000</v>
      </c>
      <c r="F49" s="32">
        <f>E49*I49</f>
        <v>10000</v>
      </c>
      <c r="G49" s="41" t="s">
        <v>90</v>
      </c>
      <c r="H49" s="31" t="s">
        <v>77</v>
      </c>
      <c r="I49" s="31">
        <v>10</v>
      </c>
      <c r="J49" s="64"/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11"/>
      <c r="AK49" s="11"/>
    </row>
    <row r="50" spans="1:39" ht="15.75" customHeight="1" x14ac:dyDescent="0.25">
      <c r="A50" s="42" t="s">
        <v>102</v>
      </c>
      <c r="B50" s="43"/>
      <c r="C50" s="65" t="s">
        <v>103</v>
      </c>
      <c r="D50" s="45"/>
      <c r="E50" s="46"/>
      <c r="F50" s="45"/>
      <c r="G50" s="66"/>
      <c r="H50" s="48"/>
      <c r="I50" s="47"/>
      <c r="J50" s="47"/>
      <c r="K50" s="47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11"/>
      <c r="AK50" s="11"/>
    </row>
    <row r="51" spans="1:39" ht="27" customHeight="1" x14ac:dyDescent="0.25">
      <c r="A51" s="28"/>
      <c r="B51" s="67"/>
      <c r="C51" s="63" t="s">
        <v>104</v>
      </c>
      <c r="D51" s="31" t="s">
        <v>101</v>
      </c>
      <c r="E51" s="32">
        <v>30000</v>
      </c>
      <c r="F51" s="32">
        <v>30000</v>
      </c>
      <c r="G51" s="41" t="s">
        <v>90</v>
      </c>
      <c r="H51" s="31" t="s">
        <v>105</v>
      </c>
      <c r="I51" s="64">
        <v>1</v>
      </c>
      <c r="J51" s="64"/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11"/>
      <c r="AK51" s="11"/>
    </row>
    <row r="52" spans="1:39" ht="15.75" customHeight="1" x14ac:dyDescent="0.25">
      <c r="A52" s="42" t="s">
        <v>106</v>
      </c>
      <c r="B52" s="43"/>
      <c r="C52" s="122" t="s">
        <v>107</v>
      </c>
      <c r="D52" s="45"/>
      <c r="E52" s="46"/>
      <c r="F52" s="45"/>
      <c r="G52" s="66"/>
      <c r="H52" s="48"/>
      <c r="I52" s="47"/>
      <c r="J52" s="47"/>
      <c r="K52" s="47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11"/>
      <c r="AK52" s="11"/>
    </row>
    <row r="53" spans="1:39" ht="15.75" customHeight="1" x14ac:dyDescent="0.25">
      <c r="A53" s="28"/>
      <c r="B53" s="67"/>
      <c r="C53" s="61" t="s">
        <v>108</v>
      </c>
      <c r="D53" s="31" t="s">
        <v>101</v>
      </c>
      <c r="E53" s="32">
        <v>18000</v>
      </c>
      <c r="F53" s="32">
        <v>18000</v>
      </c>
      <c r="G53" s="41" t="s">
        <v>109</v>
      </c>
      <c r="H53" s="31" t="s">
        <v>105</v>
      </c>
      <c r="I53" s="64">
        <v>1</v>
      </c>
      <c r="J53" s="64"/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11"/>
      <c r="AK53" s="11"/>
    </row>
    <row r="54" spans="1:39" ht="28.2" customHeight="1" x14ac:dyDescent="0.25">
      <c r="A54" s="28"/>
      <c r="B54" s="68"/>
      <c r="C54" s="55" t="s">
        <v>110</v>
      </c>
      <c r="D54" s="34" t="s">
        <v>101</v>
      </c>
      <c r="E54" s="72">
        <v>5000</v>
      </c>
      <c r="F54" s="72">
        <v>5000</v>
      </c>
      <c r="G54" s="41" t="s">
        <v>90</v>
      </c>
      <c r="H54" s="31" t="s">
        <v>77</v>
      </c>
      <c r="I54" s="35">
        <v>1</v>
      </c>
      <c r="J54" s="69"/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11"/>
      <c r="AK54" s="11"/>
    </row>
    <row r="55" spans="1:39" ht="25.8" customHeight="1" x14ac:dyDescent="0.25">
      <c r="A55" s="28"/>
      <c r="B55" s="68"/>
      <c r="C55" s="55" t="s">
        <v>111</v>
      </c>
      <c r="D55" s="34" t="s">
        <v>101</v>
      </c>
      <c r="E55" s="72">
        <v>5000</v>
      </c>
      <c r="F55" s="72">
        <v>5000</v>
      </c>
      <c r="G55" s="41" t="s">
        <v>90</v>
      </c>
      <c r="H55" s="31" t="s">
        <v>77</v>
      </c>
      <c r="I55" s="35">
        <v>1</v>
      </c>
      <c r="J55" s="69"/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11"/>
      <c r="AK55" s="11"/>
    </row>
    <row r="56" spans="1:39" ht="15.75" customHeight="1" x14ac:dyDescent="0.25">
      <c r="A56" s="28"/>
      <c r="B56" s="68"/>
      <c r="C56" s="70"/>
      <c r="D56" s="71"/>
      <c r="E56" s="72"/>
      <c r="F56" s="71"/>
      <c r="G56" s="31"/>
      <c r="H56" s="73"/>
      <c r="I56" s="35"/>
      <c r="J56" s="69"/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11"/>
      <c r="AK56" s="11"/>
    </row>
    <row r="57" spans="1:39" ht="15.75" customHeight="1" x14ac:dyDescent="0.25">
      <c r="A57" s="42" t="s">
        <v>112</v>
      </c>
      <c r="B57" s="43"/>
      <c r="C57" s="65" t="s">
        <v>113</v>
      </c>
      <c r="D57" s="45"/>
      <c r="E57" s="46"/>
      <c r="F57" s="45"/>
      <c r="G57" s="66"/>
      <c r="H57" s="48"/>
      <c r="I57" s="47"/>
      <c r="J57" s="47"/>
      <c r="K57" s="47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11"/>
      <c r="AK57" s="11"/>
    </row>
    <row r="58" spans="1:39" ht="21.75" customHeight="1" x14ac:dyDescent="0.25">
      <c r="A58" s="28"/>
      <c r="B58" s="67"/>
      <c r="C58" s="55" t="s">
        <v>146</v>
      </c>
      <c r="D58" s="34" t="s">
        <v>101</v>
      </c>
      <c r="E58" s="72">
        <v>350000</v>
      </c>
      <c r="F58" s="72">
        <f>E58</f>
        <v>350000</v>
      </c>
      <c r="G58" s="31" t="s">
        <v>114</v>
      </c>
      <c r="H58" s="31" t="s">
        <v>115</v>
      </c>
      <c r="I58" s="35">
        <v>1</v>
      </c>
      <c r="J58" s="69"/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11"/>
      <c r="AK58" s="11"/>
    </row>
    <row r="59" spans="1:39" ht="15.75" customHeight="1" x14ac:dyDescent="0.25">
      <c r="A59" s="28"/>
      <c r="B59" s="68"/>
      <c r="C59" s="70"/>
      <c r="D59" s="71"/>
      <c r="E59" s="72"/>
      <c r="F59" s="71"/>
      <c r="G59" s="31"/>
      <c r="H59" s="73"/>
      <c r="I59" s="34"/>
      <c r="J59" s="69"/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11"/>
      <c r="AK59" s="11"/>
    </row>
    <row r="60" spans="1:39" ht="15.75" customHeight="1" x14ac:dyDescent="0.25">
      <c r="A60" s="42" t="s">
        <v>116</v>
      </c>
      <c r="B60" s="43"/>
      <c r="C60" s="65" t="s">
        <v>117</v>
      </c>
      <c r="D60" s="45"/>
      <c r="E60" s="46"/>
      <c r="F60" s="45"/>
      <c r="G60" s="66"/>
      <c r="H60" s="48"/>
      <c r="I60" s="47"/>
      <c r="J60" s="47"/>
      <c r="K60" s="47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11"/>
      <c r="AK60" s="11"/>
    </row>
    <row r="61" spans="1:39" ht="15.75" customHeight="1" x14ac:dyDescent="0.25">
      <c r="A61" s="74"/>
      <c r="B61" s="67"/>
      <c r="C61" s="52" t="s">
        <v>119</v>
      </c>
      <c r="D61" s="41" t="s">
        <v>101</v>
      </c>
      <c r="E61" s="39">
        <v>10000</v>
      </c>
      <c r="F61" s="39">
        <v>10000</v>
      </c>
      <c r="G61" s="41" t="s">
        <v>118</v>
      </c>
      <c r="H61" s="41" t="s">
        <v>105</v>
      </c>
      <c r="I61" s="41">
        <v>3</v>
      </c>
      <c r="J61" s="41"/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11"/>
      <c r="AK61" s="11"/>
    </row>
    <row r="62" spans="1:39" ht="15.75" customHeight="1" x14ac:dyDescent="0.25">
      <c r="A62" s="75"/>
      <c r="B62" s="76"/>
      <c r="C62" s="77"/>
      <c r="D62" s="78"/>
      <c r="E62" s="79"/>
      <c r="F62" s="78"/>
      <c r="G62" s="80"/>
      <c r="H62" s="81"/>
      <c r="I62" s="82"/>
      <c r="J62" s="82"/>
      <c r="K62" s="82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3"/>
      <c r="AK62" s="83"/>
      <c r="AL62" s="84"/>
      <c r="AM62" s="84"/>
    </row>
    <row r="63" spans="1:39" ht="15.75" customHeight="1" x14ac:dyDescent="0.25">
      <c r="A63" s="42"/>
      <c r="B63" s="43"/>
      <c r="C63" s="65" t="s">
        <v>154</v>
      </c>
      <c r="D63" s="45"/>
      <c r="E63" s="46"/>
      <c r="F63" s="45"/>
      <c r="G63" s="66"/>
      <c r="H63" s="48"/>
      <c r="I63" s="47"/>
      <c r="J63" s="47"/>
      <c r="K63" s="47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11"/>
      <c r="AK63" s="11"/>
    </row>
    <row r="64" spans="1:39" ht="55.8" customHeight="1" x14ac:dyDescent="0.25">
      <c r="A64" s="75"/>
      <c r="B64" s="76"/>
      <c r="C64" s="125" t="s">
        <v>155</v>
      </c>
      <c r="D64" s="82" t="s">
        <v>101</v>
      </c>
      <c r="E64" s="79">
        <v>80000</v>
      </c>
      <c r="F64" s="79">
        <v>80000</v>
      </c>
      <c r="G64" s="41" t="s">
        <v>90</v>
      </c>
      <c r="H64" s="126"/>
      <c r="I64" s="82"/>
      <c r="J64" s="82">
        <v>1</v>
      </c>
      <c r="K64" s="82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3"/>
      <c r="AK64" s="83"/>
      <c r="AL64" s="84"/>
      <c r="AM64" s="84"/>
    </row>
    <row r="65" spans="1:39" ht="55.2" customHeight="1" x14ac:dyDescent="0.25">
      <c r="A65" s="75"/>
      <c r="B65" s="76"/>
      <c r="C65" s="125" t="s">
        <v>156</v>
      </c>
      <c r="D65" s="82" t="s">
        <v>101</v>
      </c>
      <c r="E65" s="79">
        <v>150000</v>
      </c>
      <c r="F65" s="79">
        <v>150000</v>
      </c>
      <c r="G65" s="41" t="s">
        <v>90</v>
      </c>
      <c r="H65" s="126" t="s">
        <v>157</v>
      </c>
      <c r="I65" s="82"/>
      <c r="J65" s="82">
        <v>1</v>
      </c>
      <c r="K65" s="82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3"/>
      <c r="AK65" s="83"/>
      <c r="AL65" s="84"/>
      <c r="AM65" s="84"/>
    </row>
    <row r="66" spans="1:39" ht="15.75" customHeight="1" x14ac:dyDescent="0.25">
      <c r="A66" s="75"/>
      <c r="B66" s="76"/>
      <c r="C66" s="124"/>
      <c r="D66" s="78"/>
      <c r="E66" s="79"/>
      <c r="F66" s="78"/>
      <c r="G66" s="80"/>
      <c r="H66" s="81"/>
      <c r="I66" s="82"/>
      <c r="J66" s="82"/>
      <c r="K66" s="82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3"/>
      <c r="AK66" s="83"/>
      <c r="AL66" s="84"/>
      <c r="AM66" s="84"/>
    </row>
    <row r="67" spans="1:39" ht="15.75" customHeight="1" x14ac:dyDescent="0.25">
      <c r="A67" s="42"/>
      <c r="B67" s="43"/>
      <c r="C67" s="65" t="s">
        <v>120</v>
      </c>
      <c r="D67" s="45"/>
      <c r="E67" s="46"/>
      <c r="F67" s="45"/>
      <c r="G67" s="66"/>
      <c r="H67" s="48"/>
      <c r="I67" s="47"/>
      <c r="J67" s="47"/>
      <c r="K67" s="47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11"/>
      <c r="AK67" s="11"/>
    </row>
    <row r="68" spans="1:39" ht="15.75" customHeight="1" x14ac:dyDescent="0.25">
      <c r="A68" s="28"/>
      <c r="B68" s="67"/>
      <c r="C68" s="61" t="s">
        <v>121</v>
      </c>
      <c r="D68" s="31" t="s">
        <v>101</v>
      </c>
      <c r="E68" s="32">
        <v>40000</v>
      </c>
      <c r="F68" s="32">
        <v>10000</v>
      </c>
      <c r="G68" s="41" t="s">
        <v>109</v>
      </c>
      <c r="H68" s="31" t="s">
        <v>105</v>
      </c>
      <c r="I68" s="31">
        <v>1</v>
      </c>
      <c r="J68" s="64"/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11"/>
      <c r="AK68" s="11"/>
    </row>
    <row r="69" spans="1:39" ht="15.75" customHeight="1" x14ac:dyDescent="0.25">
      <c r="A69" s="28"/>
      <c r="B69" s="67"/>
      <c r="C69" s="55"/>
      <c r="D69" s="31"/>
      <c r="E69" s="32"/>
      <c r="F69" s="32"/>
      <c r="G69" s="41"/>
      <c r="H69" s="31"/>
      <c r="I69" s="31"/>
      <c r="J69" s="64"/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11"/>
      <c r="AK69" s="11"/>
    </row>
    <row r="70" spans="1:39" ht="15.75" customHeight="1" x14ac:dyDescent="0.25">
      <c r="A70" s="51"/>
      <c r="B70" s="68"/>
      <c r="C70" s="70"/>
      <c r="D70" s="85"/>
      <c r="E70" s="86"/>
      <c r="F70" s="85"/>
      <c r="G70" s="41"/>
      <c r="H70" s="36"/>
      <c r="I70" s="35"/>
      <c r="J70" s="87"/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88"/>
      <c r="AK70" s="88"/>
      <c r="AL70" s="89"/>
      <c r="AM70" s="89"/>
    </row>
    <row r="71" spans="1:39" ht="15.75" customHeight="1" x14ac:dyDescent="0.3">
      <c r="A71" s="90" t="s">
        <v>122</v>
      </c>
      <c r="B71" s="3"/>
      <c r="C71" s="4"/>
      <c r="D71" s="91"/>
      <c r="E71" s="156">
        <f>SUM(F12:F70)</f>
        <v>1252597</v>
      </c>
      <c r="F71" s="157"/>
      <c r="G71" s="9"/>
      <c r="H71" s="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9" ht="15.75" hidden="1" customHeight="1" x14ac:dyDescent="0.3">
      <c r="A72" s="92" t="s">
        <v>123</v>
      </c>
      <c r="B72" s="93"/>
      <c r="C72" s="94"/>
      <c r="D72" s="151">
        <f>PRODUCT(D71,0.1)</f>
        <v>0.1</v>
      </c>
      <c r="E72" s="152"/>
      <c r="F72" s="153"/>
      <c r="G72" s="9"/>
      <c r="H72" s="9"/>
      <c r="I72" s="154"/>
      <c r="J72" s="133"/>
      <c r="K72" s="154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95"/>
      <c r="AF72" s="95"/>
      <c r="AG72" s="1"/>
      <c r="AH72" s="1"/>
      <c r="AI72" s="1"/>
      <c r="AJ72" s="1"/>
      <c r="AK72" s="1"/>
    </row>
    <row r="73" spans="1:39" ht="15.75" hidden="1" customHeight="1" x14ac:dyDescent="0.3">
      <c r="A73" s="96" t="s">
        <v>124</v>
      </c>
      <c r="B73" s="97"/>
      <c r="C73" s="98"/>
      <c r="D73" s="160">
        <f>PRODUCT(D71,0.1)</f>
        <v>0.1</v>
      </c>
      <c r="E73" s="161"/>
      <c r="F73" s="162"/>
      <c r="G73" s="9"/>
      <c r="H73" s="9"/>
      <c r="I73" s="99"/>
      <c r="J73" s="99"/>
      <c r="K73" s="155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00"/>
      <c r="AF73" s="100"/>
      <c r="AG73" s="1"/>
      <c r="AH73" s="1"/>
      <c r="AI73" s="1"/>
      <c r="AJ73" s="1"/>
      <c r="AK73" s="1"/>
    </row>
    <row r="74" spans="1:39" ht="15.75" hidden="1" customHeight="1" x14ac:dyDescent="0.3">
      <c r="A74" s="96" t="s">
        <v>125</v>
      </c>
      <c r="B74" s="97"/>
      <c r="C74" s="98"/>
      <c r="D74" s="160">
        <f>SUM(D71:F73)</f>
        <v>1252597.2000000002</v>
      </c>
      <c r="E74" s="161"/>
      <c r="F74" s="162"/>
      <c r="G74" s="9"/>
      <c r="H74" s="9"/>
      <c r="I74" s="99"/>
      <c r="J74" s="99"/>
      <c r="K74" s="155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00"/>
      <c r="AF74" s="100"/>
      <c r="AG74" s="1"/>
      <c r="AH74" s="1"/>
      <c r="AI74" s="1"/>
      <c r="AJ74" s="1"/>
      <c r="AK74" s="1"/>
    </row>
    <row r="75" spans="1:39" ht="15.75" customHeight="1" x14ac:dyDescent="0.25">
      <c r="A75" s="101" t="s">
        <v>126</v>
      </c>
      <c r="B75" s="3"/>
      <c r="C75" s="4"/>
      <c r="D75" s="1"/>
      <c r="E75" s="7"/>
      <c r="F75" s="8"/>
      <c r="G75" s="9"/>
      <c r="H75" s="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9" ht="15.75" customHeight="1" x14ac:dyDescent="0.25">
      <c r="A76" s="102"/>
      <c r="B76" s="3"/>
      <c r="C76" s="4"/>
      <c r="D76" s="1"/>
      <c r="E76" s="7"/>
      <c r="F76" s="8"/>
      <c r="G76" s="9"/>
      <c r="H76" s="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9" ht="15.75" customHeight="1" x14ac:dyDescent="0.25">
      <c r="A77" s="103" t="s">
        <v>127</v>
      </c>
      <c r="B77" s="3"/>
      <c r="C77" s="104"/>
      <c r="D77" s="105" t="s">
        <v>128</v>
      </c>
      <c r="E77" s="105"/>
      <c r="F77" s="8"/>
      <c r="G77" s="106" t="s">
        <v>129</v>
      </c>
      <c r="H77" s="106"/>
      <c r="I77" s="105"/>
      <c r="J77" s="106" t="s">
        <v>130</v>
      </c>
      <c r="K77" s="106"/>
      <c r="L77" s="106"/>
      <c r="M77" s="106"/>
      <c r="N77" s="105"/>
      <c r="O77" s="105"/>
      <c r="P77" s="105"/>
      <c r="Q77" s="1"/>
      <c r="R77" s="1"/>
      <c r="S77" s="1"/>
      <c r="T77" s="1"/>
      <c r="U77" s="1"/>
      <c r="V77" s="1"/>
      <c r="W77" s="105"/>
      <c r="X77" s="105"/>
      <c r="Y77" s="105"/>
      <c r="Z77" s="105"/>
      <c r="AA77" s="105"/>
      <c r="AB77" s="105"/>
      <c r="AC77" s="105"/>
      <c r="AD77" s="105"/>
      <c r="AE77" s="1"/>
      <c r="AF77" s="1"/>
      <c r="AG77" s="1"/>
      <c r="AH77" s="1"/>
      <c r="AI77" s="1"/>
      <c r="AJ77" s="1"/>
      <c r="AK77" s="99"/>
    </row>
    <row r="78" spans="1:39" ht="15.75" customHeight="1" x14ac:dyDescent="0.25">
      <c r="A78" s="103"/>
      <c r="B78" s="3"/>
      <c r="C78" s="104"/>
      <c r="D78" s="1"/>
      <c r="E78" s="107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99"/>
      <c r="AK78" s="99"/>
    </row>
    <row r="79" spans="1:39" ht="15.75" customHeight="1" x14ac:dyDescent="0.25">
      <c r="A79" s="104"/>
      <c r="B79" s="3"/>
      <c r="C79" s="104"/>
      <c r="D79" s="99"/>
      <c r="E79" s="108"/>
      <c r="F79" s="109"/>
      <c r="G79" s="99"/>
      <c r="H79" s="9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99"/>
      <c r="X79" s="109"/>
      <c r="Y79" s="109"/>
      <c r="Z79" s="109"/>
      <c r="AA79" s="109"/>
      <c r="AB79" s="109"/>
      <c r="AC79" s="99"/>
      <c r="AD79" s="99"/>
      <c r="AE79" s="99"/>
      <c r="AF79" s="99"/>
      <c r="AG79" s="99"/>
      <c r="AH79" s="99"/>
      <c r="AI79" s="99"/>
      <c r="AJ79" s="99"/>
      <c r="AK79" s="99"/>
    </row>
    <row r="80" spans="1:39" ht="15.75" customHeight="1" x14ac:dyDescent="0.25">
      <c r="A80" s="149" t="s">
        <v>131</v>
      </c>
      <c r="B80" s="133"/>
      <c r="C80" s="133"/>
      <c r="D80" s="110" t="s">
        <v>132</v>
      </c>
      <c r="E80" s="111"/>
      <c r="F80" s="111"/>
      <c r="G80" s="110" t="s">
        <v>133</v>
      </c>
      <c r="H80" s="110"/>
      <c r="I80" s="111"/>
      <c r="J80" s="110" t="s">
        <v>134</v>
      </c>
      <c r="K80" s="110"/>
      <c r="L80" s="110"/>
      <c r="M80" s="110"/>
      <c r="N80" s="111"/>
      <c r="O80" s="111"/>
      <c r="P80" s="111"/>
      <c r="Q80" s="1"/>
      <c r="R80" s="1"/>
      <c r="S80" s="1"/>
      <c r="T80" s="1"/>
      <c r="U80" s="1"/>
      <c r="V80" s="1"/>
      <c r="W80" s="111"/>
      <c r="X80" s="111"/>
      <c r="Y80" s="111"/>
      <c r="Z80" s="111"/>
      <c r="AA80" s="111"/>
      <c r="AB80" s="111"/>
      <c r="AC80" s="111"/>
      <c r="AD80" s="111"/>
      <c r="AE80" s="1"/>
      <c r="AF80" s="1"/>
      <c r="AG80" s="1"/>
      <c r="AH80" s="1"/>
      <c r="AI80" s="1"/>
      <c r="AJ80" s="1"/>
      <c r="AK80" s="1"/>
    </row>
    <row r="81" spans="1:37" ht="15" customHeight="1" x14ac:dyDescent="0.25">
      <c r="A81" s="150" t="s">
        <v>135</v>
      </c>
      <c r="B81" s="133"/>
      <c r="C81" s="133"/>
      <c r="D81" s="112" t="s">
        <v>136</v>
      </c>
      <c r="E81" s="113"/>
      <c r="F81" s="113"/>
      <c r="G81" s="104" t="s">
        <v>137</v>
      </c>
      <c r="H81" s="104"/>
      <c r="I81" s="114"/>
      <c r="J81" s="104" t="s">
        <v>138</v>
      </c>
      <c r="K81" s="104"/>
      <c r="L81" s="104"/>
      <c r="M81" s="104"/>
      <c r="N81" s="114"/>
      <c r="O81" s="114"/>
      <c r="P81" s="114"/>
      <c r="Q81" s="1"/>
      <c r="R81" s="1"/>
      <c r="S81" s="1"/>
      <c r="T81" s="1"/>
      <c r="U81" s="1"/>
      <c r="V81" s="1"/>
      <c r="W81" s="113"/>
      <c r="X81" s="113"/>
      <c r="Y81" s="113"/>
      <c r="Z81" s="113"/>
      <c r="AA81" s="113"/>
      <c r="AB81" s="113"/>
      <c r="AC81" s="113"/>
      <c r="AD81" s="113"/>
      <c r="AE81" s="1"/>
      <c r="AF81" s="1"/>
      <c r="AG81" s="1"/>
      <c r="AH81" s="1"/>
      <c r="AI81" s="1"/>
      <c r="AJ81" s="99"/>
      <c r="AK81" s="99"/>
    </row>
    <row r="82" spans="1:37" ht="15.75" customHeight="1" x14ac:dyDescent="0.25">
      <c r="A82" s="1"/>
      <c r="B82" s="115"/>
      <c r="C82" s="1"/>
      <c r="D82" s="1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.75" customHeight="1" x14ac:dyDescent="0.25">
      <c r="A83" s="1" t="s">
        <v>139</v>
      </c>
      <c r="B83" s="115"/>
      <c r="C83" s="1"/>
      <c r="D83" s="1" t="s">
        <v>139</v>
      </c>
      <c r="E83" s="7"/>
      <c r="F83" s="1"/>
      <c r="G83" s="1" t="s">
        <v>139</v>
      </c>
      <c r="H83" s="1"/>
      <c r="I83" s="1"/>
      <c r="J83" s="1" t="s">
        <v>139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customHeight="1" x14ac:dyDescent="0.3">
      <c r="B84" s="116"/>
      <c r="E84" s="117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</row>
    <row r="85" spans="1:37" ht="15.75" customHeight="1" x14ac:dyDescent="0.3">
      <c r="B85" s="116"/>
      <c r="E85" s="117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</row>
    <row r="86" spans="1:37" ht="15.75" customHeight="1" x14ac:dyDescent="0.3">
      <c r="B86" s="116"/>
      <c r="E86" s="117"/>
      <c r="I86" s="119"/>
      <c r="J86" s="120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</row>
    <row r="87" spans="1:37" ht="15.75" customHeight="1" x14ac:dyDescent="0.3">
      <c r="B87" s="116"/>
      <c r="E87" s="117"/>
      <c r="I87" s="158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</row>
    <row r="88" spans="1:37" ht="15.75" customHeight="1" x14ac:dyDescent="0.3">
      <c r="B88" s="116"/>
      <c r="E88" s="117"/>
      <c r="I88" s="159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</row>
    <row r="89" spans="1:37" ht="15.75" customHeight="1" x14ac:dyDescent="0.3">
      <c r="B89" s="116"/>
      <c r="E89" s="117"/>
    </row>
    <row r="90" spans="1:37" ht="15.75" customHeight="1" x14ac:dyDescent="0.3">
      <c r="B90" s="116"/>
      <c r="E90" s="117"/>
    </row>
    <row r="91" spans="1:37" ht="15.75" customHeight="1" x14ac:dyDescent="0.3">
      <c r="B91" s="116"/>
      <c r="E91" s="117"/>
    </row>
    <row r="92" spans="1:37" ht="15.75" customHeight="1" x14ac:dyDescent="0.3">
      <c r="B92" s="116"/>
      <c r="E92" s="117"/>
    </row>
    <row r="93" spans="1:37" ht="15.75" customHeight="1" x14ac:dyDescent="0.3">
      <c r="B93" s="116"/>
      <c r="E93" s="117"/>
    </row>
    <row r="94" spans="1:37" ht="15.75" customHeight="1" x14ac:dyDescent="0.3">
      <c r="B94" s="116"/>
      <c r="E94" s="117"/>
    </row>
    <row r="95" spans="1:37" ht="15.75" customHeight="1" x14ac:dyDescent="0.3">
      <c r="B95" s="116"/>
      <c r="E95" s="117"/>
    </row>
    <row r="96" spans="1:37" ht="15.75" customHeight="1" x14ac:dyDescent="0.3">
      <c r="B96" s="116"/>
      <c r="E96" s="117"/>
    </row>
    <row r="97" spans="2:5" ht="15.75" customHeight="1" x14ac:dyDescent="0.3">
      <c r="B97" s="116"/>
      <c r="E97" s="117"/>
    </row>
    <row r="98" spans="2:5" ht="15.75" customHeight="1" x14ac:dyDescent="0.3">
      <c r="B98" s="116"/>
      <c r="E98" s="117"/>
    </row>
    <row r="99" spans="2:5" ht="15.75" customHeight="1" x14ac:dyDescent="0.3">
      <c r="B99" s="116"/>
      <c r="E99" s="117"/>
    </row>
    <row r="100" spans="2:5" ht="15.75" customHeight="1" x14ac:dyDescent="0.3">
      <c r="B100" s="116"/>
      <c r="E100" s="117"/>
    </row>
    <row r="101" spans="2:5" ht="15.75" customHeight="1" x14ac:dyDescent="0.3">
      <c r="B101" s="116"/>
      <c r="E101" s="117"/>
    </row>
    <row r="102" spans="2:5" ht="15.75" customHeight="1" x14ac:dyDescent="0.3">
      <c r="B102" s="116"/>
      <c r="E102" s="117"/>
    </row>
    <row r="103" spans="2:5" ht="15.75" customHeight="1" x14ac:dyDescent="0.3">
      <c r="B103" s="116"/>
      <c r="E103" s="117"/>
    </row>
    <row r="104" spans="2:5" ht="15.75" customHeight="1" x14ac:dyDescent="0.3">
      <c r="B104" s="116"/>
      <c r="E104" s="117"/>
    </row>
    <row r="105" spans="2:5" ht="15.75" customHeight="1" x14ac:dyDescent="0.3">
      <c r="B105" s="116"/>
      <c r="E105" s="117"/>
    </row>
    <row r="106" spans="2:5" ht="15.75" customHeight="1" x14ac:dyDescent="0.3">
      <c r="B106" s="116"/>
      <c r="E106" s="117"/>
    </row>
    <row r="107" spans="2:5" ht="15.75" customHeight="1" x14ac:dyDescent="0.3">
      <c r="B107" s="116"/>
      <c r="E107" s="117"/>
    </row>
    <row r="108" spans="2:5" ht="15.75" customHeight="1" x14ac:dyDescent="0.3">
      <c r="B108" s="116"/>
      <c r="E108" s="117"/>
    </row>
    <row r="109" spans="2:5" ht="15.75" customHeight="1" x14ac:dyDescent="0.3">
      <c r="B109" s="116"/>
      <c r="E109" s="117"/>
    </row>
    <row r="110" spans="2:5" ht="15.75" customHeight="1" x14ac:dyDescent="0.3">
      <c r="B110" s="116"/>
      <c r="E110" s="117"/>
    </row>
    <row r="111" spans="2:5" ht="15.75" customHeight="1" x14ac:dyDescent="0.3">
      <c r="B111" s="116"/>
      <c r="E111" s="117"/>
    </row>
    <row r="112" spans="2:5" ht="15.75" customHeight="1" x14ac:dyDescent="0.3">
      <c r="B112" s="116"/>
      <c r="E112" s="117"/>
    </row>
    <row r="113" spans="2:5" ht="15.75" customHeight="1" x14ac:dyDescent="0.3">
      <c r="B113" s="116"/>
      <c r="E113" s="117"/>
    </row>
    <row r="114" spans="2:5" ht="15.75" customHeight="1" x14ac:dyDescent="0.3">
      <c r="B114" s="116"/>
      <c r="E114" s="117"/>
    </row>
    <row r="115" spans="2:5" ht="15.75" customHeight="1" x14ac:dyDescent="0.3">
      <c r="B115" s="116"/>
      <c r="E115" s="117"/>
    </row>
    <row r="116" spans="2:5" ht="15.75" customHeight="1" x14ac:dyDescent="0.3">
      <c r="B116" s="116"/>
      <c r="E116" s="117"/>
    </row>
    <row r="117" spans="2:5" ht="15.75" customHeight="1" x14ac:dyDescent="0.3">
      <c r="B117" s="116"/>
      <c r="E117" s="117"/>
    </row>
    <row r="118" spans="2:5" ht="15.75" customHeight="1" x14ac:dyDescent="0.3">
      <c r="B118" s="116"/>
      <c r="E118" s="117"/>
    </row>
    <row r="119" spans="2:5" ht="15.75" customHeight="1" x14ac:dyDescent="0.3">
      <c r="B119" s="116"/>
      <c r="E119" s="117"/>
    </row>
    <row r="120" spans="2:5" ht="15.75" customHeight="1" x14ac:dyDescent="0.3">
      <c r="B120" s="116"/>
      <c r="E120" s="117"/>
    </row>
    <row r="121" spans="2:5" ht="15.75" customHeight="1" x14ac:dyDescent="0.3">
      <c r="B121" s="116"/>
      <c r="E121" s="117"/>
    </row>
    <row r="122" spans="2:5" ht="15.75" customHeight="1" x14ac:dyDescent="0.3">
      <c r="B122" s="116"/>
      <c r="E122" s="117"/>
    </row>
    <row r="123" spans="2:5" ht="15.75" customHeight="1" x14ac:dyDescent="0.3">
      <c r="B123" s="116"/>
      <c r="E123" s="117"/>
    </row>
    <row r="124" spans="2:5" ht="15.75" customHeight="1" x14ac:dyDescent="0.3">
      <c r="B124" s="116"/>
      <c r="E124" s="117"/>
    </row>
    <row r="125" spans="2:5" ht="15.75" customHeight="1" x14ac:dyDescent="0.3">
      <c r="B125" s="116"/>
      <c r="E125" s="117"/>
    </row>
    <row r="126" spans="2:5" ht="15.75" customHeight="1" x14ac:dyDescent="0.3">
      <c r="B126" s="116"/>
      <c r="E126" s="117"/>
    </row>
    <row r="127" spans="2:5" ht="15.75" customHeight="1" x14ac:dyDescent="0.3">
      <c r="B127" s="116"/>
      <c r="E127" s="117"/>
    </row>
    <row r="128" spans="2:5" ht="15.75" customHeight="1" x14ac:dyDescent="0.3">
      <c r="B128" s="116"/>
      <c r="E128" s="117"/>
    </row>
    <row r="129" spans="2:5" ht="15.75" customHeight="1" x14ac:dyDescent="0.3">
      <c r="B129" s="116"/>
      <c r="E129" s="117"/>
    </row>
    <row r="130" spans="2:5" ht="15.75" customHeight="1" x14ac:dyDescent="0.3">
      <c r="B130" s="116"/>
      <c r="E130" s="117"/>
    </row>
    <row r="131" spans="2:5" ht="15.75" customHeight="1" x14ac:dyDescent="0.3">
      <c r="B131" s="116"/>
      <c r="E131" s="117"/>
    </row>
    <row r="132" spans="2:5" ht="15.75" customHeight="1" x14ac:dyDescent="0.3">
      <c r="B132" s="116"/>
      <c r="E132" s="117"/>
    </row>
    <row r="133" spans="2:5" ht="15.75" customHeight="1" x14ac:dyDescent="0.3">
      <c r="B133" s="116"/>
      <c r="E133" s="117"/>
    </row>
    <row r="134" spans="2:5" ht="15.75" customHeight="1" x14ac:dyDescent="0.3">
      <c r="B134" s="116"/>
      <c r="E134" s="117"/>
    </row>
    <row r="135" spans="2:5" ht="15.75" customHeight="1" x14ac:dyDescent="0.3">
      <c r="B135" s="116"/>
      <c r="E135" s="117"/>
    </row>
    <row r="136" spans="2:5" ht="15.75" customHeight="1" x14ac:dyDescent="0.3">
      <c r="B136" s="116"/>
      <c r="E136" s="117"/>
    </row>
    <row r="137" spans="2:5" ht="15.75" customHeight="1" x14ac:dyDescent="0.3">
      <c r="B137" s="116"/>
      <c r="E137" s="117"/>
    </row>
    <row r="138" spans="2:5" ht="15.75" customHeight="1" x14ac:dyDescent="0.3">
      <c r="B138" s="116"/>
      <c r="E138" s="117"/>
    </row>
    <row r="139" spans="2:5" ht="15.75" customHeight="1" x14ac:dyDescent="0.3">
      <c r="B139" s="116"/>
      <c r="E139" s="117"/>
    </row>
    <row r="140" spans="2:5" ht="15.75" customHeight="1" x14ac:dyDescent="0.3">
      <c r="B140" s="116"/>
      <c r="E140" s="117"/>
    </row>
    <row r="141" spans="2:5" ht="15.75" customHeight="1" x14ac:dyDescent="0.3">
      <c r="B141" s="116"/>
      <c r="E141" s="117"/>
    </row>
    <row r="142" spans="2:5" ht="15.75" customHeight="1" x14ac:dyDescent="0.3">
      <c r="B142" s="116"/>
      <c r="E142" s="117"/>
    </row>
    <row r="143" spans="2:5" ht="15.75" customHeight="1" x14ac:dyDescent="0.3">
      <c r="B143" s="116"/>
      <c r="E143" s="117"/>
    </row>
    <row r="144" spans="2:5" ht="15.75" customHeight="1" x14ac:dyDescent="0.3">
      <c r="B144" s="116"/>
      <c r="E144" s="117"/>
    </row>
    <row r="145" spans="2:5" ht="15.75" customHeight="1" x14ac:dyDescent="0.3">
      <c r="B145" s="116"/>
      <c r="E145" s="117"/>
    </row>
    <row r="146" spans="2:5" ht="15.75" customHeight="1" x14ac:dyDescent="0.3">
      <c r="B146" s="116"/>
      <c r="E146" s="117"/>
    </row>
    <row r="147" spans="2:5" ht="15.75" customHeight="1" x14ac:dyDescent="0.3">
      <c r="B147" s="116"/>
      <c r="E147" s="117"/>
    </row>
    <row r="148" spans="2:5" ht="15.75" customHeight="1" x14ac:dyDescent="0.3">
      <c r="B148" s="116"/>
      <c r="E148" s="117"/>
    </row>
    <row r="149" spans="2:5" ht="15.75" customHeight="1" x14ac:dyDescent="0.3">
      <c r="B149" s="116"/>
      <c r="E149" s="117"/>
    </row>
    <row r="150" spans="2:5" ht="15.75" customHeight="1" x14ac:dyDescent="0.3">
      <c r="B150" s="116"/>
      <c r="E150" s="117"/>
    </row>
    <row r="151" spans="2:5" ht="15.75" customHeight="1" x14ac:dyDescent="0.3">
      <c r="B151" s="116"/>
      <c r="E151" s="117"/>
    </row>
    <row r="152" spans="2:5" ht="15.75" customHeight="1" x14ac:dyDescent="0.3">
      <c r="B152" s="116"/>
      <c r="E152" s="117"/>
    </row>
    <row r="153" spans="2:5" ht="15.75" customHeight="1" x14ac:dyDescent="0.3">
      <c r="B153" s="116"/>
      <c r="E153" s="117"/>
    </row>
    <row r="154" spans="2:5" ht="15.75" customHeight="1" x14ac:dyDescent="0.3">
      <c r="B154" s="116"/>
      <c r="E154" s="117"/>
    </row>
    <row r="155" spans="2:5" ht="15.75" customHeight="1" x14ac:dyDescent="0.3">
      <c r="B155" s="116"/>
      <c r="E155" s="117"/>
    </row>
    <row r="156" spans="2:5" ht="15.75" customHeight="1" x14ac:dyDescent="0.3">
      <c r="B156" s="116"/>
      <c r="E156" s="117"/>
    </row>
    <row r="157" spans="2:5" ht="15.75" customHeight="1" x14ac:dyDescent="0.3">
      <c r="B157" s="116"/>
      <c r="E157" s="117"/>
    </row>
    <row r="158" spans="2:5" ht="15.75" customHeight="1" x14ac:dyDescent="0.3">
      <c r="B158" s="116"/>
      <c r="E158" s="117"/>
    </row>
    <row r="159" spans="2:5" ht="15.75" customHeight="1" x14ac:dyDescent="0.3">
      <c r="B159" s="116"/>
      <c r="E159" s="117"/>
    </row>
    <row r="160" spans="2:5" ht="15.75" customHeight="1" x14ac:dyDescent="0.3">
      <c r="B160" s="116"/>
      <c r="E160" s="117"/>
    </row>
    <row r="161" spans="2:5" ht="15.75" customHeight="1" x14ac:dyDescent="0.3">
      <c r="B161" s="116"/>
      <c r="E161" s="117"/>
    </row>
    <row r="162" spans="2:5" ht="15.75" customHeight="1" x14ac:dyDescent="0.3">
      <c r="B162" s="116"/>
      <c r="E162" s="117"/>
    </row>
    <row r="163" spans="2:5" ht="15.75" customHeight="1" x14ac:dyDescent="0.3">
      <c r="B163" s="116"/>
      <c r="E163" s="117"/>
    </row>
    <row r="164" spans="2:5" ht="15.75" customHeight="1" x14ac:dyDescent="0.3">
      <c r="B164" s="116"/>
      <c r="E164" s="117"/>
    </row>
    <row r="165" spans="2:5" ht="15.75" customHeight="1" x14ac:dyDescent="0.3">
      <c r="B165" s="116"/>
      <c r="E165" s="117"/>
    </row>
    <row r="166" spans="2:5" ht="15.75" customHeight="1" x14ac:dyDescent="0.3">
      <c r="B166" s="116"/>
      <c r="E166" s="117"/>
    </row>
    <row r="167" spans="2:5" ht="15.75" customHeight="1" x14ac:dyDescent="0.3">
      <c r="B167" s="116"/>
      <c r="E167" s="117"/>
    </row>
    <row r="168" spans="2:5" ht="15.75" customHeight="1" x14ac:dyDescent="0.3">
      <c r="B168" s="116"/>
      <c r="E168" s="117"/>
    </row>
    <row r="169" spans="2:5" ht="15.75" customHeight="1" x14ac:dyDescent="0.3">
      <c r="B169" s="116"/>
      <c r="E169" s="117"/>
    </row>
    <row r="170" spans="2:5" ht="15.75" customHeight="1" x14ac:dyDescent="0.3">
      <c r="B170" s="116"/>
      <c r="E170" s="117"/>
    </row>
    <row r="171" spans="2:5" ht="15.75" customHeight="1" x14ac:dyDescent="0.3">
      <c r="B171" s="116"/>
      <c r="E171" s="117"/>
    </row>
    <row r="172" spans="2:5" ht="15.75" customHeight="1" x14ac:dyDescent="0.3">
      <c r="B172" s="116"/>
      <c r="E172" s="117"/>
    </row>
    <row r="173" spans="2:5" ht="15.75" customHeight="1" x14ac:dyDescent="0.3">
      <c r="B173" s="116"/>
      <c r="E173" s="117"/>
    </row>
    <row r="174" spans="2:5" ht="15.75" customHeight="1" x14ac:dyDescent="0.3">
      <c r="B174" s="116"/>
      <c r="E174" s="117"/>
    </row>
    <row r="175" spans="2:5" ht="15.75" customHeight="1" x14ac:dyDescent="0.3">
      <c r="B175" s="116"/>
      <c r="E175" s="117"/>
    </row>
    <row r="176" spans="2:5" ht="15.75" customHeight="1" x14ac:dyDescent="0.3">
      <c r="B176" s="116"/>
      <c r="E176" s="117"/>
    </row>
    <row r="177" spans="2:5" ht="15.75" customHeight="1" x14ac:dyDescent="0.3">
      <c r="B177" s="116"/>
      <c r="E177" s="117"/>
    </row>
    <row r="178" spans="2:5" ht="15.75" customHeight="1" x14ac:dyDescent="0.3">
      <c r="B178" s="116"/>
      <c r="E178" s="117"/>
    </row>
    <row r="179" spans="2:5" ht="15.75" customHeight="1" x14ac:dyDescent="0.3">
      <c r="B179" s="116"/>
      <c r="E179" s="117"/>
    </row>
    <row r="180" spans="2:5" ht="15.75" customHeight="1" x14ac:dyDescent="0.3">
      <c r="B180" s="116"/>
      <c r="E180" s="117"/>
    </row>
    <row r="181" spans="2:5" ht="15.75" customHeight="1" x14ac:dyDescent="0.3">
      <c r="B181" s="116"/>
      <c r="E181" s="117"/>
    </row>
    <row r="182" spans="2:5" ht="15.75" customHeight="1" x14ac:dyDescent="0.3">
      <c r="B182" s="116"/>
      <c r="E182" s="117"/>
    </row>
    <row r="183" spans="2:5" ht="15.75" customHeight="1" x14ac:dyDescent="0.3">
      <c r="B183" s="116"/>
      <c r="E183" s="117"/>
    </row>
    <row r="184" spans="2:5" ht="15.75" customHeight="1" x14ac:dyDescent="0.3">
      <c r="B184" s="116"/>
      <c r="E184" s="117"/>
    </row>
    <row r="185" spans="2:5" ht="15.75" customHeight="1" x14ac:dyDescent="0.3">
      <c r="B185" s="116"/>
      <c r="E185" s="117"/>
    </row>
    <row r="186" spans="2:5" ht="15.75" customHeight="1" x14ac:dyDescent="0.3">
      <c r="B186" s="116"/>
      <c r="E186" s="117"/>
    </row>
    <row r="187" spans="2:5" ht="15.75" customHeight="1" x14ac:dyDescent="0.3">
      <c r="B187" s="116"/>
      <c r="E187" s="117"/>
    </row>
    <row r="188" spans="2:5" ht="15.75" customHeight="1" x14ac:dyDescent="0.3">
      <c r="B188" s="116"/>
      <c r="E188" s="117"/>
    </row>
    <row r="189" spans="2:5" ht="15.75" customHeight="1" x14ac:dyDescent="0.3">
      <c r="B189" s="116"/>
      <c r="E189" s="117"/>
    </row>
    <row r="190" spans="2:5" ht="15.75" customHeight="1" x14ac:dyDescent="0.3">
      <c r="B190" s="116"/>
      <c r="E190" s="117"/>
    </row>
    <row r="191" spans="2:5" ht="15.75" customHeight="1" x14ac:dyDescent="0.3">
      <c r="B191" s="116"/>
      <c r="E191" s="117"/>
    </row>
    <row r="192" spans="2:5" ht="15.75" customHeight="1" x14ac:dyDescent="0.3">
      <c r="B192" s="116"/>
      <c r="E192" s="117"/>
    </row>
    <row r="193" spans="2:5" ht="15.75" customHeight="1" x14ac:dyDescent="0.3">
      <c r="B193" s="116"/>
      <c r="E193" s="117"/>
    </row>
    <row r="194" spans="2:5" ht="15.75" customHeight="1" x14ac:dyDescent="0.3">
      <c r="B194" s="116"/>
      <c r="E194" s="117"/>
    </row>
    <row r="195" spans="2:5" ht="15.75" customHeight="1" x14ac:dyDescent="0.3">
      <c r="B195" s="116"/>
      <c r="E195" s="117"/>
    </row>
    <row r="196" spans="2:5" ht="15.75" customHeight="1" x14ac:dyDescent="0.3">
      <c r="B196" s="116"/>
      <c r="E196" s="117"/>
    </row>
    <row r="197" spans="2:5" ht="15.75" customHeight="1" x14ac:dyDescent="0.3">
      <c r="B197" s="116"/>
      <c r="E197" s="117"/>
    </row>
    <row r="198" spans="2:5" ht="15.75" customHeight="1" x14ac:dyDescent="0.3">
      <c r="B198" s="116"/>
      <c r="E198" s="117"/>
    </row>
    <row r="199" spans="2:5" ht="15.75" customHeight="1" x14ac:dyDescent="0.3">
      <c r="B199" s="116"/>
      <c r="E199" s="117"/>
    </row>
    <row r="200" spans="2:5" ht="15.75" customHeight="1" x14ac:dyDescent="0.3">
      <c r="B200" s="116"/>
      <c r="E200" s="117"/>
    </row>
    <row r="201" spans="2:5" ht="15.75" customHeight="1" x14ac:dyDescent="0.3">
      <c r="B201" s="116"/>
      <c r="E201" s="117"/>
    </row>
    <row r="202" spans="2:5" ht="15.75" customHeight="1" x14ac:dyDescent="0.3">
      <c r="B202" s="116"/>
      <c r="E202" s="117"/>
    </row>
    <row r="203" spans="2:5" ht="15.75" customHeight="1" x14ac:dyDescent="0.3">
      <c r="B203" s="116"/>
      <c r="E203" s="117"/>
    </row>
    <row r="204" spans="2:5" ht="15.75" customHeight="1" x14ac:dyDescent="0.3">
      <c r="B204" s="116"/>
      <c r="E204" s="117"/>
    </row>
    <row r="205" spans="2:5" ht="15.75" customHeight="1" x14ac:dyDescent="0.3">
      <c r="B205" s="116"/>
      <c r="E205" s="117"/>
    </row>
    <row r="206" spans="2:5" ht="15.75" customHeight="1" x14ac:dyDescent="0.3">
      <c r="B206" s="116"/>
      <c r="E206" s="117"/>
    </row>
    <row r="207" spans="2:5" ht="15.75" customHeight="1" x14ac:dyDescent="0.3">
      <c r="B207" s="116"/>
      <c r="E207" s="117"/>
    </row>
    <row r="208" spans="2:5" ht="15.75" customHeight="1" x14ac:dyDescent="0.3">
      <c r="B208" s="116"/>
      <c r="E208" s="117"/>
    </row>
    <row r="209" spans="2:5" ht="15.75" customHeight="1" x14ac:dyDescent="0.3">
      <c r="B209" s="116"/>
      <c r="E209" s="117"/>
    </row>
    <row r="210" spans="2:5" ht="15.75" customHeight="1" x14ac:dyDescent="0.3">
      <c r="B210" s="116"/>
      <c r="E210" s="117"/>
    </row>
    <row r="211" spans="2:5" ht="15.75" customHeight="1" x14ac:dyDescent="0.3">
      <c r="B211" s="116"/>
      <c r="E211" s="117"/>
    </row>
    <row r="212" spans="2:5" ht="15.75" customHeight="1" x14ac:dyDescent="0.3">
      <c r="B212" s="116"/>
      <c r="E212" s="117"/>
    </row>
    <row r="213" spans="2:5" ht="15.75" customHeight="1" x14ac:dyDescent="0.3">
      <c r="B213" s="116"/>
      <c r="E213" s="117"/>
    </row>
    <row r="214" spans="2:5" ht="15.75" customHeight="1" x14ac:dyDescent="0.3">
      <c r="B214" s="116"/>
      <c r="E214" s="117"/>
    </row>
    <row r="215" spans="2:5" ht="15.75" customHeight="1" x14ac:dyDescent="0.3">
      <c r="B215" s="116"/>
      <c r="E215" s="117"/>
    </row>
    <row r="216" spans="2:5" ht="15.75" customHeight="1" x14ac:dyDescent="0.3">
      <c r="B216" s="116"/>
      <c r="E216" s="117"/>
    </row>
    <row r="217" spans="2:5" ht="15.75" customHeight="1" x14ac:dyDescent="0.3">
      <c r="B217" s="116"/>
      <c r="E217" s="117"/>
    </row>
    <row r="218" spans="2:5" ht="15.75" customHeight="1" x14ac:dyDescent="0.3">
      <c r="B218" s="116"/>
      <c r="E218" s="117"/>
    </row>
    <row r="219" spans="2:5" ht="15.75" customHeight="1" x14ac:dyDescent="0.3">
      <c r="B219" s="116"/>
      <c r="E219" s="117"/>
    </row>
    <row r="220" spans="2:5" ht="15.75" customHeight="1" x14ac:dyDescent="0.3">
      <c r="B220" s="116"/>
      <c r="E220" s="117"/>
    </row>
    <row r="221" spans="2:5" ht="15.75" customHeight="1" x14ac:dyDescent="0.3">
      <c r="B221" s="116"/>
      <c r="E221" s="117"/>
    </row>
    <row r="222" spans="2:5" ht="15.75" customHeight="1" x14ac:dyDescent="0.3">
      <c r="B222" s="116"/>
      <c r="E222" s="117"/>
    </row>
    <row r="223" spans="2:5" ht="15.75" customHeight="1" x14ac:dyDescent="0.3">
      <c r="B223" s="116"/>
      <c r="E223" s="117"/>
    </row>
    <row r="224" spans="2:5" ht="15.75" customHeight="1" x14ac:dyDescent="0.3">
      <c r="B224" s="116"/>
      <c r="E224" s="117"/>
    </row>
    <row r="225" spans="2:5" ht="15.75" customHeight="1" x14ac:dyDescent="0.3">
      <c r="B225" s="116"/>
      <c r="E225" s="117"/>
    </row>
    <row r="226" spans="2:5" ht="15.75" customHeight="1" x14ac:dyDescent="0.3">
      <c r="B226" s="116"/>
      <c r="E226" s="117"/>
    </row>
    <row r="227" spans="2:5" ht="15.75" customHeight="1" x14ac:dyDescent="0.3">
      <c r="B227" s="116"/>
      <c r="E227" s="117"/>
    </row>
    <row r="228" spans="2:5" ht="15.75" customHeight="1" x14ac:dyDescent="0.3">
      <c r="B228" s="116"/>
      <c r="E228" s="117"/>
    </row>
    <row r="229" spans="2:5" ht="15.75" customHeight="1" x14ac:dyDescent="0.3">
      <c r="B229" s="116"/>
      <c r="E229" s="117"/>
    </row>
    <row r="230" spans="2:5" ht="15.75" customHeight="1" x14ac:dyDescent="0.3">
      <c r="B230" s="116"/>
      <c r="E230" s="117"/>
    </row>
    <row r="231" spans="2:5" ht="15.75" customHeight="1" x14ac:dyDescent="0.3">
      <c r="B231" s="116"/>
      <c r="E231" s="117"/>
    </row>
    <row r="232" spans="2:5" ht="15.75" customHeight="1" x14ac:dyDescent="0.3">
      <c r="B232" s="116"/>
      <c r="E232" s="117"/>
    </row>
    <row r="233" spans="2:5" ht="15.75" customHeight="1" x14ac:dyDescent="0.3">
      <c r="B233" s="116"/>
      <c r="E233" s="117"/>
    </row>
    <row r="234" spans="2:5" ht="15.75" customHeight="1" x14ac:dyDescent="0.3">
      <c r="B234" s="116"/>
      <c r="E234" s="117"/>
    </row>
    <row r="235" spans="2:5" ht="15.75" customHeight="1" x14ac:dyDescent="0.3">
      <c r="B235" s="116"/>
      <c r="E235" s="117"/>
    </row>
    <row r="236" spans="2:5" ht="15.75" customHeight="1" x14ac:dyDescent="0.3">
      <c r="B236" s="116"/>
      <c r="E236" s="117"/>
    </row>
    <row r="237" spans="2:5" ht="15.75" customHeight="1" x14ac:dyDescent="0.3">
      <c r="B237" s="116"/>
      <c r="E237" s="117"/>
    </row>
    <row r="238" spans="2:5" ht="15.75" customHeight="1" x14ac:dyDescent="0.3">
      <c r="B238" s="116"/>
      <c r="E238" s="117"/>
    </row>
    <row r="239" spans="2:5" ht="15.75" customHeight="1" x14ac:dyDescent="0.3">
      <c r="B239" s="116"/>
      <c r="E239" s="117"/>
    </row>
    <row r="240" spans="2:5" ht="15.75" customHeight="1" x14ac:dyDescent="0.3">
      <c r="B240" s="116"/>
      <c r="E240" s="117"/>
    </row>
    <row r="241" spans="2:5" ht="15.75" customHeight="1" x14ac:dyDescent="0.3">
      <c r="B241" s="116"/>
      <c r="E241" s="117"/>
    </row>
    <row r="242" spans="2:5" ht="15.75" customHeight="1" x14ac:dyDescent="0.3">
      <c r="B242" s="116"/>
      <c r="E242" s="117"/>
    </row>
    <row r="243" spans="2:5" ht="15.75" customHeight="1" x14ac:dyDescent="0.3">
      <c r="B243" s="116"/>
      <c r="E243" s="117"/>
    </row>
    <row r="244" spans="2:5" ht="15.75" customHeight="1" x14ac:dyDescent="0.3">
      <c r="B244" s="116"/>
      <c r="E244" s="117"/>
    </row>
    <row r="245" spans="2:5" ht="15.75" customHeight="1" x14ac:dyDescent="0.3">
      <c r="B245" s="116"/>
      <c r="E245" s="117"/>
    </row>
    <row r="246" spans="2:5" ht="15.75" customHeight="1" x14ac:dyDescent="0.3">
      <c r="B246" s="116"/>
      <c r="E246" s="117"/>
    </row>
    <row r="247" spans="2:5" ht="15.75" customHeight="1" x14ac:dyDescent="0.3">
      <c r="B247" s="116"/>
      <c r="E247" s="117"/>
    </row>
    <row r="248" spans="2:5" ht="15.75" customHeight="1" x14ac:dyDescent="0.3">
      <c r="B248" s="116"/>
      <c r="E248" s="117"/>
    </row>
    <row r="249" spans="2:5" ht="15.75" customHeight="1" x14ac:dyDescent="0.3">
      <c r="B249" s="116"/>
      <c r="E249" s="117"/>
    </row>
    <row r="250" spans="2:5" ht="15.75" customHeight="1" x14ac:dyDescent="0.3">
      <c r="B250" s="116"/>
      <c r="E250" s="117"/>
    </row>
    <row r="251" spans="2:5" ht="15.75" customHeight="1" x14ac:dyDescent="0.3">
      <c r="B251" s="116"/>
      <c r="E251" s="117"/>
    </row>
    <row r="252" spans="2:5" ht="15.75" customHeight="1" x14ac:dyDescent="0.3">
      <c r="B252" s="116"/>
      <c r="E252" s="117"/>
    </row>
    <row r="253" spans="2:5" ht="15.75" customHeight="1" x14ac:dyDescent="0.3">
      <c r="B253" s="116"/>
      <c r="E253" s="117"/>
    </row>
    <row r="254" spans="2:5" ht="15.75" customHeight="1" x14ac:dyDescent="0.3">
      <c r="B254" s="116"/>
      <c r="E254" s="117"/>
    </row>
    <row r="255" spans="2:5" ht="15.75" customHeight="1" x14ac:dyDescent="0.3">
      <c r="B255" s="116"/>
      <c r="E255" s="117"/>
    </row>
    <row r="256" spans="2:5" ht="15.75" customHeight="1" x14ac:dyDescent="0.3">
      <c r="B256" s="116"/>
      <c r="E256" s="117"/>
    </row>
    <row r="257" spans="2:5" ht="15.75" customHeight="1" x14ac:dyDescent="0.3">
      <c r="B257" s="116"/>
      <c r="E257" s="117"/>
    </row>
    <row r="258" spans="2:5" ht="15.75" customHeight="1" x14ac:dyDescent="0.3">
      <c r="B258" s="116"/>
      <c r="E258" s="117"/>
    </row>
    <row r="259" spans="2:5" ht="15.75" customHeight="1" x14ac:dyDescent="0.3">
      <c r="B259" s="116"/>
      <c r="E259" s="117"/>
    </row>
    <row r="260" spans="2:5" ht="15.75" customHeight="1" x14ac:dyDescent="0.3">
      <c r="B260" s="116"/>
      <c r="E260" s="117"/>
    </row>
    <row r="261" spans="2:5" ht="15.75" customHeight="1" x14ac:dyDescent="0.3">
      <c r="B261" s="116"/>
      <c r="E261" s="117"/>
    </row>
    <row r="262" spans="2:5" ht="15.75" customHeight="1" x14ac:dyDescent="0.3">
      <c r="B262" s="116"/>
      <c r="E262" s="117"/>
    </row>
    <row r="263" spans="2:5" ht="15.75" customHeight="1" x14ac:dyDescent="0.3">
      <c r="B263" s="116"/>
      <c r="E263" s="117"/>
    </row>
    <row r="264" spans="2:5" ht="15.75" customHeight="1" x14ac:dyDescent="0.3">
      <c r="B264" s="116"/>
      <c r="E264" s="117"/>
    </row>
    <row r="265" spans="2:5" ht="15.75" customHeight="1" x14ac:dyDescent="0.3">
      <c r="B265" s="116"/>
      <c r="E265" s="117"/>
    </row>
    <row r="266" spans="2:5" ht="15.75" customHeight="1" x14ac:dyDescent="0.3">
      <c r="B266" s="116"/>
      <c r="E266" s="117"/>
    </row>
    <row r="267" spans="2:5" ht="15.75" customHeight="1" x14ac:dyDescent="0.3">
      <c r="B267" s="116"/>
      <c r="E267" s="117"/>
    </row>
    <row r="268" spans="2:5" ht="15.75" customHeight="1" x14ac:dyDescent="0.3">
      <c r="B268" s="116"/>
      <c r="E268" s="117"/>
    </row>
    <row r="269" spans="2:5" ht="15.75" customHeight="1" x14ac:dyDescent="0.3">
      <c r="B269" s="116"/>
      <c r="E269" s="117"/>
    </row>
    <row r="270" spans="2:5" ht="15.75" customHeight="1" x14ac:dyDescent="0.3">
      <c r="B270" s="116"/>
      <c r="E270" s="117"/>
    </row>
    <row r="271" spans="2:5" ht="15.75" customHeight="1" x14ac:dyDescent="0.3">
      <c r="B271" s="116"/>
      <c r="E271" s="117"/>
    </row>
    <row r="272" spans="2:5" ht="15.75" customHeight="1" x14ac:dyDescent="0.3">
      <c r="B272" s="116"/>
      <c r="E272" s="117"/>
    </row>
    <row r="273" spans="2:5" ht="15.75" customHeight="1" x14ac:dyDescent="0.3">
      <c r="B273" s="116"/>
      <c r="E273" s="117"/>
    </row>
    <row r="274" spans="2:5" ht="15.75" customHeight="1" x14ac:dyDescent="0.3">
      <c r="B274" s="116"/>
      <c r="E274" s="117"/>
    </row>
    <row r="275" spans="2:5" ht="15.75" customHeight="1" x14ac:dyDescent="0.3">
      <c r="B275" s="116"/>
      <c r="E275" s="117"/>
    </row>
    <row r="276" spans="2:5" ht="15.75" customHeight="1" x14ac:dyDescent="0.3">
      <c r="B276" s="116"/>
      <c r="E276" s="117"/>
    </row>
    <row r="277" spans="2:5" ht="15.75" customHeight="1" x14ac:dyDescent="0.3">
      <c r="B277" s="116"/>
      <c r="E277" s="117"/>
    </row>
    <row r="278" spans="2:5" ht="15.75" customHeight="1" x14ac:dyDescent="0.3">
      <c r="B278" s="116"/>
      <c r="E278" s="117"/>
    </row>
    <row r="279" spans="2:5" ht="15.75" customHeight="1" x14ac:dyDescent="0.3">
      <c r="B279" s="116"/>
      <c r="E279" s="117"/>
    </row>
    <row r="280" spans="2:5" ht="15.75" customHeight="1" x14ac:dyDescent="0.3">
      <c r="B280" s="116"/>
      <c r="E280" s="117"/>
    </row>
    <row r="281" spans="2:5" ht="15.75" customHeight="1" x14ac:dyDescent="0.3">
      <c r="B281" s="116"/>
      <c r="E281" s="117"/>
    </row>
    <row r="282" spans="2:5" ht="15.75" customHeight="1" x14ac:dyDescent="0.3">
      <c r="B282" s="116"/>
      <c r="E282" s="117"/>
    </row>
    <row r="283" spans="2:5" ht="15.75" customHeight="1" x14ac:dyDescent="0.3">
      <c r="B283" s="116"/>
      <c r="E283" s="117"/>
    </row>
    <row r="284" spans="2:5" ht="15.75" customHeight="1" x14ac:dyDescent="0.25">
      <c r="B284" s="116"/>
    </row>
    <row r="285" spans="2:5" ht="15.75" customHeight="1" x14ac:dyDescent="0.25">
      <c r="B285" s="116"/>
    </row>
    <row r="286" spans="2:5" ht="15.75" customHeight="1" x14ac:dyDescent="0.25">
      <c r="B286" s="116"/>
    </row>
    <row r="287" spans="2:5" ht="15.75" customHeight="1" x14ac:dyDescent="0.25">
      <c r="B287" s="116"/>
    </row>
    <row r="288" spans="2:5" ht="15.75" customHeight="1" x14ac:dyDescent="0.25">
      <c r="B288" s="116"/>
    </row>
    <row r="289" spans="2:2" ht="15.75" customHeight="1" x14ac:dyDescent="0.25">
      <c r="B289" s="116"/>
    </row>
    <row r="290" spans="2:2" ht="15.75" customHeight="1" x14ac:dyDescent="0.25">
      <c r="B290" s="116"/>
    </row>
    <row r="291" spans="2:2" ht="15.75" customHeight="1" x14ac:dyDescent="0.25">
      <c r="B291" s="116"/>
    </row>
    <row r="292" spans="2:2" ht="15.75" customHeight="1" x14ac:dyDescent="0.25">
      <c r="B292" s="116"/>
    </row>
    <row r="293" spans="2:2" ht="15.75" customHeight="1" x14ac:dyDescent="0.25">
      <c r="B293" s="116"/>
    </row>
    <row r="294" spans="2:2" ht="15.75" customHeight="1" x14ac:dyDescent="0.25">
      <c r="B294" s="116"/>
    </row>
    <row r="295" spans="2:2" ht="15.75" customHeight="1" x14ac:dyDescent="0.25">
      <c r="B295" s="116"/>
    </row>
    <row r="296" spans="2:2" ht="15.75" customHeight="1" x14ac:dyDescent="0.25">
      <c r="B296" s="116"/>
    </row>
    <row r="297" spans="2:2" ht="15.75" customHeight="1" x14ac:dyDescent="0.25">
      <c r="B297" s="116"/>
    </row>
    <row r="298" spans="2:2" ht="15.75" customHeight="1" x14ac:dyDescent="0.25">
      <c r="B298" s="116"/>
    </row>
    <row r="299" spans="2:2" ht="15.75" customHeight="1" x14ac:dyDescent="0.25">
      <c r="B299" s="116"/>
    </row>
    <row r="300" spans="2:2" ht="15.75" customHeight="1" x14ac:dyDescent="0.25">
      <c r="B300" s="116"/>
    </row>
    <row r="301" spans="2:2" ht="15.75" customHeight="1" x14ac:dyDescent="0.25">
      <c r="B301" s="116"/>
    </row>
    <row r="302" spans="2:2" ht="15.75" customHeight="1" x14ac:dyDescent="0.25">
      <c r="B302" s="116"/>
    </row>
    <row r="303" spans="2:2" ht="15.75" customHeight="1" x14ac:dyDescent="0.25">
      <c r="B303" s="116"/>
    </row>
    <row r="304" spans="2:2" ht="15.75" customHeight="1" x14ac:dyDescent="0.25">
      <c r="B304" s="116"/>
    </row>
    <row r="305" spans="2:2" ht="15.75" customHeight="1" x14ac:dyDescent="0.25">
      <c r="B305" s="116"/>
    </row>
    <row r="306" spans="2:2" ht="15.75" customHeight="1" x14ac:dyDescent="0.25">
      <c r="B306" s="116"/>
    </row>
    <row r="307" spans="2:2" ht="15.75" customHeight="1" x14ac:dyDescent="0.25">
      <c r="B307" s="116"/>
    </row>
    <row r="308" spans="2:2" ht="15.75" customHeight="1" x14ac:dyDescent="0.25">
      <c r="B308" s="116"/>
    </row>
    <row r="309" spans="2:2" ht="15.75" customHeight="1" x14ac:dyDescent="0.25">
      <c r="B309" s="116"/>
    </row>
    <row r="310" spans="2:2" ht="15.75" customHeight="1" x14ac:dyDescent="0.25">
      <c r="B310" s="116"/>
    </row>
    <row r="311" spans="2:2" ht="15.75" customHeight="1" x14ac:dyDescent="0.25">
      <c r="B311" s="116"/>
    </row>
    <row r="312" spans="2:2" ht="15.75" customHeight="1" x14ac:dyDescent="0.25">
      <c r="B312" s="116"/>
    </row>
    <row r="313" spans="2:2" ht="15.75" customHeight="1" x14ac:dyDescent="0.25">
      <c r="B313" s="116"/>
    </row>
    <row r="314" spans="2:2" ht="15.75" customHeight="1" x14ac:dyDescent="0.25">
      <c r="B314" s="116"/>
    </row>
    <row r="315" spans="2:2" ht="15.75" customHeight="1" x14ac:dyDescent="0.25">
      <c r="B315" s="116"/>
    </row>
    <row r="316" spans="2:2" ht="15.75" customHeight="1" x14ac:dyDescent="0.25">
      <c r="B316" s="116"/>
    </row>
    <row r="317" spans="2:2" ht="15.75" customHeight="1" x14ac:dyDescent="0.25">
      <c r="B317" s="116"/>
    </row>
    <row r="318" spans="2:2" ht="15.75" customHeight="1" x14ac:dyDescent="0.25">
      <c r="B318" s="116"/>
    </row>
    <row r="319" spans="2:2" ht="15.75" customHeight="1" x14ac:dyDescent="0.25">
      <c r="B319" s="116"/>
    </row>
    <row r="320" spans="2:2" ht="15.75" customHeight="1" x14ac:dyDescent="0.25">
      <c r="B320" s="116"/>
    </row>
    <row r="321" spans="2:2" ht="15.75" customHeight="1" x14ac:dyDescent="0.25">
      <c r="B321" s="116"/>
    </row>
    <row r="322" spans="2:2" ht="15.75" customHeight="1" x14ac:dyDescent="0.25">
      <c r="B322" s="116"/>
    </row>
    <row r="323" spans="2:2" ht="15.75" customHeight="1" x14ac:dyDescent="0.25">
      <c r="B323" s="116"/>
    </row>
    <row r="324" spans="2:2" ht="15.75" customHeight="1" x14ac:dyDescent="0.25">
      <c r="B324" s="116"/>
    </row>
    <row r="325" spans="2:2" ht="15.75" customHeight="1" x14ac:dyDescent="0.25">
      <c r="B325" s="116"/>
    </row>
    <row r="326" spans="2:2" ht="15.75" customHeight="1" x14ac:dyDescent="0.25">
      <c r="B326" s="116"/>
    </row>
    <row r="327" spans="2:2" ht="15.75" customHeight="1" x14ac:dyDescent="0.25">
      <c r="B327" s="116"/>
    </row>
    <row r="328" spans="2:2" ht="15.75" customHeight="1" x14ac:dyDescent="0.25">
      <c r="B328" s="116"/>
    </row>
    <row r="329" spans="2:2" ht="15.75" customHeight="1" x14ac:dyDescent="0.25">
      <c r="B329" s="116"/>
    </row>
    <row r="330" spans="2:2" ht="15.75" customHeight="1" x14ac:dyDescent="0.25">
      <c r="B330" s="116"/>
    </row>
    <row r="331" spans="2:2" ht="15.75" customHeight="1" x14ac:dyDescent="0.25">
      <c r="B331" s="116"/>
    </row>
    <row r="332" spans="2:2" ht="15.75" customHeight="1" x14ac:dyDescent="0.25">
      <c r="B332" s="116"/>
    </row>
    <row r="333" spans="2:2" ht="15.75" customHeight="1" x14ac:dyDescent="0.25">
      <c r="B333" s="116"/>
    </row>
    <row r="334" spans="2:2" ht="15.75" customHeight="1" x14ac:dyDescent="0.25">
      <c r="B334" s="116"/>
    </row>
    <row r="335" spans="2:2" ht="15.75" customHeight="1" x14ac:dyDescent="0.25">
      <c r="B335" s="116"/>
    </row>
    <row r="336" spans="2:2" ht="15.75" customHeight="1" x14ac:dyDescent="0.25">
      <c r="B336" s="116"/>
    </row>
    <row r="337" spans="2:2" ht="15.75" customHeight="1" x14ac:dyDescent="0.25">
      <c r="B337" s="116"/>
    </row>
    <row r="338" spans="2:2" ht="15.75" customHeight="1" x14ac:dyDescent="0.25">
      <c r="B338" s="116"/>
    </row>
    <row r="339" spans="2:2" ht="15.75" customHeight="1" x14ac:dyDescent="0.25">
      <c r="B339" s="116"/>
    </row>
    <row r="340" spans="2:2" ht="15.75" customHeight="1" x14ac:dyDescent="0.25">
      <c r="B340" s="116"/>
    </row>
    <row r="341" spans="2:2" ht="15.75" customHeight="1" x14ac:dyDescent="0.25">
      <c r="B341" s="116"/>
    </row>
    <row r="342" spans="2:2" ht="15.75" customHeight="1" x14ac:dyDescent="0.25">
      <c r="B342" s="116"/>
    </row>
    <row r="343" spans="2:2" ht="15.75" customHeight="1" x14ac:dyDescent="0.25">
      <c r="B343" s="116"/>
    </row>
    <row r="344" spans="2:2" ht="15.75" customHeight="1" x14ac:dyDescent="0.25">
      <c r="B344" s="116"/>
    </row>
    <row r="345" spans="2:2" ht="15.75" customHeight="1" x14ac:dyDescent="0.25">
      <c r="B345" s="116"/>
    </row>
    <row r="346" spans="2:2" ht="15.75" customHeight="1" x14ac:dyDescent="0.25">
      <c r="B346" s="116"/>
    </row>
    <row r="347" spans="2:2" ht="15.75" customHeight="1" x14ac:dyDescent="0.25">
      <c r="B347" s="116"/>
    </row>
    <row r="348" spans="2:2" ht="15.75" customHeight="1" x14ac:dyDescent="0.25">
      <c r="B348" s="116"/>
    </row>
    <row r="349" spans="2:2" ht="15.75" customHeight="1" x14ac:dyDescent="0.25">
      <c r="B349" s="116"/>
    </row>
    <row r="350" spans="2:2" ht="15.75" customHeight="1" x14ac:dyDescent="0.25">
      <c r="B350" s="116"/>
    </row>
    <row r="351" spans="2:2" ht="15.75" customHeight="1" x14ac:dyDescent="0.25">
      <c r="B351" s="116"/>
    </row>
    <row r="352" spans="2:2" ht="15.75" customHeight="1" x14ac:dyDescent="0.25">
      <c r="B352" s="116"/>
    </row>
    <row r="353" spans="2:2" ht="15.75" customHeight="1" x14ac:dyDescent="0.25">
      <c r="B353" s="116"/>
    </row>
    <row r="354" spans="2:2" ht="15.75" customHeight="1" x14ac:dyDescent="0.25">
      <c r="B354" s="116"/>
    </row>
    <row r="355" spans="2:2" ht="15.75" customHeight="1" x14ac:dyDescent="0.25">
      <c r="B355" s="116"/>
    </row>
    <row r="356" spans="2:2" ht="15.75" customHeight="1" x14ac:dyDescent="0.25">
      <c r="B356" s="116"/>
    </row>
    <row r="357" spans="2:2" ht="15.75" customHeight="1" x14ac:dyDescent="0.25">
      <c r="B357" s="116"/>
    </row>
    <row r="358" spans="2:2" ht="15.75" customHeight="1" x14ac:dyDescent="0.25">
      <c r="B358" s="116"/>
    </row>
    <row r="359" spans="2:2" ht="15.75" customHeight="1" x14ac:dyDescent="0.25">
      <c r="B359" s="116"/>
    </row>
    <row r="360" spans="2:2" ht="15.75" customHeight="1" x14ac:dyDescent="0.25">
      <c r="B360" s="116"/>
    </row>
    <row r="361" spans="2:2" ht="15.75" customHeight="1" x14ac:dyDescent="0.25">
      <c r="B361" s="116"/>
    </row>
    <row r="362" spans="2:2" ht="15.75" customHeight="1" x14ac:dyDescent="0.25">
      <c r="B362" s="116"/>
    </row>
    <row r="363" spans="2:2" ht="15.75" customHeight="1" x14ac:dyDescent="0.25">
      <c r="B363" s="116"/>
    </row>
    <row r="364" spans="2:2" ht="15.75" customHeight="1" x14ac:dyDescent="0.25">
      <c r="B364" s="116"/>
    </row>
    <row r="365" spans="2:2" ht="15.75" customHeight="1" x14ac:dyDescent="0.25">
      <c r="B365" s="116"/>
    </row>
    <row r="366" spans="2:2" ht="15.75" customHeight="1" x14ac:dyDescent="0.25">
      <c r="B366" s="116"/>
    </row>
    <row r="367" spans="2:2" ht="15.75" customHeight="1" x14ac:dyDescent="0.25">
      <c r="B367" s="116"/>
    </row>
    <row r="368" spans="2:2" ht="15.75" customHeight="1" x14ac:dyDescent="0.25">
      <c r="B368" s="116"/>
    </row>
    <row r="369" spans="2:2" ht="15.75" customHeight="1" x14ac:dyDescent="0.25">
      <c r="B369" s="116"/>
    </row>
    <row r="370" spans="2:2" ht="15.75" customHeight="1" x14ac:dyDescent="0.25">
      <c r="B370" s="116"/>
    </row>
    <row r="371" spans="2:2" ht="15.75" customHeight="1" x14ac:dyDescent="0.25">
      <c r="B371" s="116"/>
    </row>
    <row r="372" spans="2:2" ht="15.75" customHeight="1" x14ac:dyDescent="0.25">
      <c r="B372" s="116"/>
    </row>
    <row r="373" spans="2:2" ht="15.75" customHeight="1" x14ac:dyDescent="0.25">
      <c r="B373" s="116"/>
    </row>
    <row r="374" spans="2:2" ht="15.75" customHeight="1" x14ac:dyDescent="0.25">
      <c r="B374" s="116"/>
    </row>
    <row r="375" spans="2:2" ht="15.75" customHeight="1" x14ac:dyDescent="0.25">
      <c r="B375" s="116"/>
    </row>
    <row r="376" spans="2:2" ht="15.75" customHeight="1" x14ac:dyDescent="0.25">
      <c r="B376" s="116"/>
    </row>
    <row r="377" spans="2:2" ht="15.75" customHeight="1" x14ac:dyDescent="0.25">
      <c r="B377" s="116"/>
    </row>
    <row r="378" spans="2:2" ht="15.75" customHeight="1" x14ac:dyDescent="0.25">
      <c r="B378" s="116"/>
    </row>
    <row r="379" spans="2:2" ht="15.75" customHeight="1" x14ac:dyDescent="0.25">
      <c r="B379" s="116"/>
    </row>
    <row r="380" spans="2:2" ht="15.75" customHeight="1" x14ac:dyDescent="0.25">
      <c r="B380" s="116"/>
    </row>
    <row r="381" spans="2:2" ht="15.75" customHeight="1" x14ac:dyDescent="0.25">
      <c r="B381" s="116"/>
    </row>
    <row r="382" spans="2:2" ht="15.75" customHeight="1" x14ac:dyDescent="0.25">
      <c r="B382" s="116"/>
    </row>
    <row r="383" spans="2:2" ht="15.75" customHeight="1" x14ac:dyDescent="0.25">
      <c r="B383" s="116"/>
    </row>
    <row r="384" spans="2:2" ht="15.75" customHeight="1" x14ac:dyDescent="0.25">
      <c r="B384" s="116"/>
    </row>
    <row r="385" spans="2:2" ht="15.75" customHeight="1" x14ac:dyDescent="0.25">
      <c r="B385" s="116"/>
    </row>
    <row r="386" spans="2:2" ht="15.75" customHeight="1" x14ac:dyDescent="0.25">
      <c r="B386" s="116"/>
    </row>
    <row r="387" spans="2:2" ht="15.75" customHeight="1" x14ac:dyDescent="0.25">
      <c r="B387" s="116"/>
    </row>
    <row r="388" spans="2:2" ht="15.75" customHeight="1" x14ac:dyDescent="0.25">
      <c r="B388" s="116"/>
    </row>
    <row r="389" spans="2:2" ht="15.75" customHeight="1" x14ac:dyDescent="0.25">
      <c r="B389" s="116"/>
    </row>
    <row r="390" spans="2:2" ht="15.75" customHeight="1" x14ac:dyDescent="0.25">
      <c r="B390" s="116"/>
    </row>
    <row r="391" spans="2:2" ht="15.75" customHeight="1" x14ac:dyDescent="0.25">
      <c r="B391" s="116"/>
    </row>
    <row r="392" spans="2:2" ht="15.75" customHeight="1" x14ac:dyDescent="0.25">
      <c r="B392" s="116"/>
    </row>
    <row r="393" spans="2:2" ht="15.75" customHeight="1" x14ac:dyDescent="0.25">
      <c r="B393" s="116"/>
    </row>
    <row r="394" spans="2:2" ht="15.75" customHeight="1" x14ac:dyDescent="0.25">
      <c r="B394" s="116"/>
    </row>
    <row r="395" spans="2:2" ht="15.75" customHeight="1" x14ac:dyDescent="0.25">
      <c r="B395" s="116"/>
    </row>
    <row r="396" spans="2:2" ht="15.75" customHeight="1" x14ac:dyDescent="0.25">
      <c r="B396" s="116"/>
    </row>
    <row r="397" spans="2:2" ht="15.75" customHeight="1" x14ac:dyDescent="0.25">
      <c r="B397" s="116"/>
    </row>
    <row r="398" spans="2:2" ht="15.75" customHeight="1" x14ac:dyDescent="0.25">
      <c r="B398" s="116"/>
    </row>
    <row r="399" spans="2:2" ht="15.75" customHeight="1" x14ac:dyDescent="0.25">
      <c r="B399" s="116"/>
    </row>
    <row r="400" spans="2:2" ht="15.75" customHeight="1" x14ac:dyDescent="0.25">
      <c r="B400" s="116"/>
    </row>
    <row r="401" spans="2:2" ht="15.75" customHeight="1" x14ac:dyDescent="0.25">
      <c r="B401" s="116"/>
    </row>
    <row r="402" spans="2:2" ht="15.75" customHeight="1" x14ac:dyDescent="0.25">
      <c r="B402" s="116"/>
    </row>
    <row r="403" spans="2:2" ht="15.75" customHeight="1" x14ac:dyDescent="0.25">
      <c r="B403" s="116"/>
    </row>
    <row r="404" spans="2:2" ht="15.75" customHeight="1" x14ac:dyDescent="0.25">
      <c r="B404" s="116"/>
    </row>
    <row r="405" spans="2:2" ht="15.75" customHeight="1" x14ac:dyDescent="0.25">
      <c r="B405" s="116"/>
    </row>
    <row r="406" spans="2:2" ht="15.75" customHeight="1" x14ac:dyDescent="0.25">
      <c r="B406" s="116"/>
    </row>
    <row r="407" spans="2:2" ht="15.75" customHeight="1" x14ac:dyDescent="0.25">
      <c r="B407" s="116"/>
    </row>
    <row r="408" spans="2:2" ht="15.75" customHeight="1" x14ac:dyDescent="0.25">
      <c r="B408" s="116"/>
    </row>
    <row r="409" spans="2:2" ht="15.75" customHeight="1" x14ac:dyDescent="0.25">
      <c r="B409" s="116"/>
    </row>
    <row r="410" spans="2:2" ht="15.75" customHeight="1" x14ac:dyDescent="0.25">
      <c r="B410" s="116"/>
    </row>
    <row r="411" spans="2:2" ht="15.75" customHeight="1" x14ac:dyDescent="0.25">
      <c r="B411" s="116"/>
    </row>
    <row r="412" spans="2:2" ht="15.75" customHeight="1" x14ac:dyDescent="0.25">
      <c r="B412" s="116"/>
    </row>
    <row r="413" spans="2:2" ht="15.75" customHeight="1" x14ac:dyDescent="0.25">
      <c r="B413" s="116"/>
    </row>
    <row r="414" spans="2:2" ht="15.75" customHeight="1" x14ac:dyDescent="0.25">
      <c r="B414" s="116"/>
    </row>
    <row r="415" spans="2:2" ht="15.75" customHeight="1" x14ac:dyDescent="0.25">
      <c r="B415" s="116"/>
    </row>
    <row r="416" spans="2:2" ht="15.75" customHeight="1" x14ac:dyDescent="0.25">
      <c r="B416" s="116"/>
    </row>
    <row r="417" spans="2:2" ht="15.75" customHeight="1" x14ac:dyDescent="0.25">
      <c r="B417" s="116"/>
    </row>
    <row r="418" spans="2:2" ht="15.75" customHeight="1" x14ac:dyDescent="0.25">
      <c r="B418" s="116"/>
    </row>
    <row r="419" spans="2:2" ht="15.75" customHeight="1" x14ac:dyDescent="0.25">
      <c r="B419" s="116"/>
    </row>
    <row r="420" spans="2:2" ht="15.75" customHeight="1" x14ac:dyDescent="0.25">
      <c r="B420" s="116"/>
    </row>
    <row r="421" spans="2:2" ht="15.75" customHeight="1" x14ac:dyDescent="0.25">
      <c r="B421" s="116"/>
    </row>
    <row r="422" spans="2:2" ht="15.75" customHeight="1" x14ac:dyDescent="0.25">
      <c r="B422" s="116"/>
    </row>
    <row r="423" spans="2:2" ht="15.75" customHeight="1" x14ac:dyDescent="0.25">
      <c r="B423" s="116"/>
    </row>
    <row r="424" spans="2:2" ht="15.75" customHeight="1" x14ac:dyDescent="0.25">
      <c r="B424" s="116"/>
    </row>
    <row r="425" spans="2:2" ht="15.75" customHeight="1" x14ac:dyDescent="0.25">
      <c r="B425" s="116"/>
    </row>
    <row r="426" spans="2:2" ht="15.75" customHeight="1" x14ac:dyDescent="0.25">
      <c r="B426" s="116"/>
    </row>
    <row r="427" spans="2:2" ht="15.75" customHeight="1" x14ac:dyDescent="0.25">
      <c r="B427" s="116"/>
    </row>
    <row r="428" spans="2:2" ht="15.75" customHeight="1" x14ac:dyDescent="0.25">
      <c r="B428" s="116"/>
    </row>
    <row r="429" spans="2:2" ht="15.75" customHeight="1" x14ac:dyDescent="0.25">
      <c r="B429" s="116"/>
    </row>
    <row r="430" spans="2:2" ht="15.75" customHeight="1" x14ac:dyDescent="0.25">
      <c r="B430" s="116"/>
    </row>
    <row r="431" spans="2:2" ht="15.75" customHeight="1" x14ac:dyDescent="0.25">
      <c r="B431" s="116"/>
    </row>
    <row r="432" spans="2:2" ht="15.75" customHeight="1" x14ac:dyDescent="0.25">
      <c r="B432" s="116"/>
    </row>
    <row r="433" spans="2:2" ht="15.75" customHeight="1" x14ac:dyDescent="0.25">
      <c r="B433" s="116"/>
    </row>
    <row r="434" spans="2:2" ht="15.75" customHeight="1" x14ac:dyDescent="0.25">
      <c r="B434" s="116"/>
    </row>
    <row r="435" spans="2:2" ht="15.75" customHeight="1" x14ac:dyDescent="0.25">
      <c r="B435" s="116"/>
    </row>
    <row r="436" spans="2:2" ht="15.75" customHeight="1" x14ac:dyDescent="0.25">
      <c r="B436" s="116"/>
    </row>
    <row r="437" spans="2:2" ht="15.75" customHeight="1" x14ac:dyDescent="0.25">
      <c r="B437" s="116"/>
    </row>
    <row r="438" spans="2:2" ht="15.75" customHeight="1" x14ac:dyDescent="0.25">
      <c r="B438" s="116"/>
    </row>
    <row r="439" spans="2:2" ht="15.75" customHeight="1" x14ac:dyDescent="0.25">
      <c r="B439" s="116"/>
    </row>
    <row r="440" spans="2:2" ht="15.75" customHeight="1" x14ac:dyDescent="0.25">
      <c r="B440" s="116"/>
    </row>
    <row r="441" spans="2:2" ht="15.75" customHeight="1" x14ac:dyDescent="0.25">
      <c r="B441" s="116"/>
    </row>
    <row r="442" spans="2:2" ht="15.75" customHeight="1" x14ac:dyDescent="0.25">
      <c r="B442" s="116"/>
    </row>
    <row r="443" spans="2:2" ht="15.75" customHeight="1" x14ac:dyDescent="0.25">
      <c r="B443" s="116"/>
    </row>
    <row r="444" spans="2:2" ht="15.75" customHeight="1" x14ac:dyDescent="0.25">
      <c r="B444" s="116"/>
    </row>
    <row r="445" spans="2:2" ht="15.75" customHeight="1" x14ac:dyDescent="0.25">
      <c r="B445" s="116"/>
    </row>
    <row r="446" spans="2:2" ht="15.75" customHeight="1" x14ac:dyDescent="0.25">
      <c r="B446" s="116"/>
    </row>
    <row r="447" spans="2:2" ht="15.75" customHeight="1" x14ac:dyDescent="0.25">
      <c r="B447" s="116"/>
    </row>
    <row r="448" spans="2:2" ht="15.75" customHeight="1" x14ac:dyDescent="0.25">
      <c r="B448" s="116"/>
    </row>
    <row r="449" spans="2:2" ht="15.75" customHeight="1" x14ac:dyDescent="0.25">
      <c r="B449" s="116"/>
    </row>
    <row r="450" spans="2:2" ht="15.75" customHeight="1" x14ac:dyDescent="0.25">
      <c r="B450" s="116"/>
    </row>
    <row r="451" spans="2:2" ht="15.75" customHeight="1" x14ac:dyDescent="0.25">
      <c r="B451" s="116"/>
    </row>
    <row r="452" spans="2:2" ht="15.75" customHeight="1" x14ac:dyDescent="0.25">
      <c r="B452" s="116"/>
    </row>
    <row r="453" spans="2:2" ht="15.75" customHeight="1" x14ac:dyDescent="0.25">
      <c r="B453" s="116"/>
    </row>
    <row r="454" spans="2:2" ht="15.75" customHeight="1" x14ac:dyDescent="0.25">
      <c r="B454" s="116"/>
    </row>
    <row r="455" spans="2:2" ht="15.75" customHeight="1" x14ac:dyDescent="0.25">
      <c r="B455" s="116"/>
    </row>
    <row r="456" spans="2:2" ht="15.75" customHeight="1" x14ac:dyDescent="0.25">
      <c r="B456" s="116"/>
    </row>
    <row r="457" spans="2:2" ht="15.75" customHeight="1" x14ac:dyDescent="0.25">
      <c r="B457" s="116"/>
    </row>
    <row r="458" spans="2:2" ht="15.75" customHeight="1" x14ac:dyDescent="0.25">
      <c r="B458" s="116"/>
    </row>
    <row r="459" spans="2:2" ht="15.75" customHeight="1" x14ac:dyDescent="0.25">
      <c r="B459" s="116"/>
    </row>
    <row r="460" spans="2:2" ht="15.75" customHeight="1" x14ac:dyDescent="0.25">
      <c r="B460" s="116"/>
    </row>
    <row r="461" spans="2:2" ht="15.75" customHeight="1" x14ac:dyDescent="0.25">
      <c r="B461" s="116"/>
    </row>
    <row r="462" spans="2:2" ht="15.75" customHeight="1" x14ac:dyDescent="0.25">
      <c r="B462" s="116"/>
    </row>
    <row r="463" spans="2:2" ht="15.75" customHeight="1" x14ac:dyDescent="0.25">
      <c r="B463" s="116"/>
    </row>
    <row r="464" spans="2:2" ht="15.75" customHeight="1" x14ac:dyDescent="0.25">
      <c r="B464" s="116"/>
    </row>
    <row r="465" spans="2:2" ht="15.75" customHeight="1" x14ac:dyDescent="0.25">
      <c r="B465" s="116"/>
    </row>
    <row r="466" spans="2:2" ht="15.75" customHeight="1" x14ac:dyDescent="0.25">
      <c r="B466" s="116"/>
    </row>
    <row r="467" spans="2:2" ht="15.75" customHeight="1" x14ac:dyDescent="0.25">
      <c r="B467" s="116"/>
    </row>
    <row r="468" spans="2:2" ht="15.75" customHeight="1" x14ac:dyDescent="0.25">
      <c r="B468" s="116"/>
    </row>
    <row r="469" spans="2:2" ht="15.75" customHeight="1" x14ac:dyDescent="0.25">
      <c r="B469" s="116"/>
    </row>
    <row r="470" spans="2:2" ht="15.75" customHeight="1" x14ac:dyDescent="0.25">
      <c r="B470" s="116"/>
    </row>
    <row r="471" spans="2:2" ht="15.75" customHeight="1" x14ac:dyDescent="0.25">
      <c r="B471" s="116"/>
    </row>
    <row r="472" spans="2:2" ht="15.75" customHeight="1" x14ac:dyDescent="0.25">
      <c r="B472" s="116"/>
    </row>
    <row r="473" spans="2:2" ht="15.75" customHeight="1" x14ac:dyDescent="0.25">
      <c r="B473" s="116"/>
    </row>
    <row r="474" spans="2:2" ht="15.75" customHeight="1" x14ac:dyDescent="0.25">
      <c r="B474" s="116"/>
    </row>
    <row r="475" spans="2:2" ht="15.75" customHeight="1" x14ac:dyDescent="0.25">
      <c r="B475" s="116"/>
    </row>
    <row r="476" spans="2:2" ht="15.75" customHeight="1" x14ac:dyDescent="0.25">
      <c r="B476" s="116"/>
    </row>
    <row r="477" spans="2:2" ht="15.75" customHeight="1" x14ac:dyDescent="0.25">
      <c r="B477" s="116"/>
    </row>
    <row r="478" spans="2:2" ht="15.75" customHeight="1" x14ac:dyDescent="0.25">
      <c r="B478" s="116"/>
    </row>
    <row r="479" spans="2:2" ht="15.75" customHeight="1" x14ac:dyDescent="0.25">
      <c r="B479" s="116"/>
    </row>
    <row r="480" spans="2:2" ht="15.75" customHeight="1" x14ac:dyDescent="0.25">
      <c r="B480" s="116"/>
    </row>
    <row r="481" spans="2:2" ht="15.75" customHeight="1" x14ac:dyDescent="0.25">
      <c r="B481" s="116"/>
    </row>
    <row r="482" spans="2:2" ht="15.75" customHeight="1" x14ac:dyDescent="0.25">
      <c r="B482" s="116"/>
    </row>
    <row r="483" spans="2:2" ht="15.75" customHeight="1" x14ac:dyDescent="0.25">
      <c r="B483" s="116"/>
    </row>
    <row r="484" spans="2:2" ht="15.75" customHeight="1" x14ac:dyDescent="0.25">
      <c r="B484" s="116"/>
    </row>
    <row r="485" spans="2:2" ht="15.75" customHeight="1" x14ac:dyDescent="0.25">
      <c r="B485" s="116"/>
    </row>
    <row r="486" spans="2:2" ht="15.75" customHeight="1" x14ac:dyDescent="0.25">
      <c r="B486" s="116"/>
    </row>
    <row r="487" spans="2:2" ht="15.75" customHeight="1" x14ac:dyDescent="0.25">
      <c r="B487" s="116"/>
    </row>
    <row r="488" spans="2:2" ht="15.75" customHeight="1" x14ac:dyDescent="0.25">
      <c r="B488" s="116"/>
    </row>
    <row r="489" spans="2:2" ht="15.75" customHeight="1" x14ac:dyDescent="0.25">
      <c r="B489" s="116"/>
    </row>
    <row r="490" spans="2:2" ht="15.75" customHeight="1" x14ac:dyDescent="0.25">
      <c r="B490" s="116"/>
    </row>
    <row r="491" spans="2:2" ht="15.75" customHeight="1" x14ac:dyDescent="0.25">
      <c r="B491" s="116"/>
    </row>
    <row r="492" spans="2:2" ht="15.75" customHeight="1" x14ac:dyDescent="0.25">
      <c r="B492" s="116"/>
    </row>
    <row r="493" spans="2:2" ht="15.75" customHeight="1" x14ac:dyDescent="0.25">
      <c r="B493" s="116"/>
    </row>
    <row r="494" spans="2:2" ht="15.75" customHeight="1" x14ac:dyDescent="0.25">
      <c r="B494" s="116"/>
    </row>
    <row r="495" spans="2:2" ht="15.75" customHeight="1" x14ac:dyDescent="0.25">
      <c r="B495" s="116"/>
    </row>
    <row r="496" spans="2:2" ht="15.75" customHeight="1" x14ac:dyDescent="0.25">
      <c r="B496" s="116"/>
    </row>
    <row r="497" spans="2:2" ht="15.75" customHeight="1" x14ac:dyDescent="0.25">
      <c r="B497" s="116"/>
    </row>
    <row r="498" spans="2:2" ht="15.75" customHeight="1" x14ac:dyDescent="0.25">
      <c r="B498" s="116"/>
    </row>
    <row r="499" spans="2:2" ht="15.75" customHeight="1" x14ac:dyDescent="0.25">
      <c r="B499" s="116"/>
    </row>
    <row r="500" spans="2:2" ht="15.75" customHeight="1" x14ac:dyDescent="0.25">
      <c r="B500" s="116"/>
    </row>
    <row r="501" spans="2:2" ht="15.75" customHeight="1" x14ac:dyDescent="0.25">
      <c r="B501" s="116"/>
    </row>
    <row r="502" spans="2:2" ht="15.75" customHeight="1" x14ac:dyDescent="0.25">
      <c r="B502" s="116"/>
    </row>
    <row r="503" spans="2:2" ht="15.75" customHeight="1" x14ac:dyDescent="0.25">
      <c r="B503" s="116"/>
    </row>
    <row r="504" spans="2:2" ht="15.75" customHeight="1" x14ac:dyDescent="0.25">
      <c r="B504" s="116"/>
    </row>
    <row r="505" spans="2:2" ht="15.75" customHeight="1" x14ac:dyDescent="0.25">
      <c r="B505" s="116"/>
    </row>
    <row r="506" spans="2:2" ht="15.75" customHeight="1" x14ac:dyDescent="0.25">
      <c r="B506" s="116"/>
    </row>
    <row r="507" spans="2:2" ht="15.75" customHeight="1" x14ac:dyDescent="0.25">
      <c r="B507" s="116"/>
    </row>
    <row r="508" spans="2:2" ht="15.75" customHeight="1" x14ac:dyDescent="0.25">
      <c r="B508" s="116"/>
    </row>
    <row r="509" spans="2:2" ht="15.75" customHeight="1" x14ac:dyDescent="0.25">
      <c r="B509" s="116"/>
    </row>
    <row r="510" spans="2:2" ht="15.75" customHeight="1" x14ac:dyDescent="0.25">
      <c r="B510" s="116"/>
    </row>
    <row r="511" spans="2:2" ht="15.75" customHeight="1" x14ac:dyDescent="0.25">
      <c r="B511" s="116"/>
    </row>
    <row r="512" spans="2:2" ht="15.75" customHeight="1" x14ac:dyDescent="0.25">
      <c r="B512" s="116"/>
    </row>
    <row r="513" spans="2:2" ht="15.75" customHeight="1" x14ac:dyDescent="0.25">
      <c r="B513" s="116"/>
    </row>
    <row r="514" spans="2:2" ht="15.75" customHeight="1" x14ac:dyDescent="0.25">
      <c r="B514" s="116"/>
    </row>
    <row r="515" spans="2:2" ht="15.75" customHeight="1" x14ac:dyDescent="0.25">
      <c r="B515" s="116"/>
    </row>
    <row r="516" spans="2:2" ht="15.75" customHeight="1" x14ac:dyDescent="0.25">
      <c r="B516" s="116"/>
    </row>
    <row r="517" spans="2:2" ht="15.75" customHeight="1" x14ac:dyDescent="0.25">
      <c r="B517" s="116"/>
    </row>
    <row r="518" spans="2:2" ht="15.75" customHeight="1" x14ac:dyDescent="0.25">
      <c r="B518" s="116"/>
    </row>
    <row r="519" spans="2:2" ht="15.75" customHeight="1" x14ac:dyDescent="0.25">
      <c r="B519" s="116"/>
    </row>
    <row r="520" spans="2:2" ht="15.75" customHeight="1" x14ac:dyDescent="0.25">
      <c r="B520" s="116"/>
    </row>
    <row r="521" spans="2:2" ht="15.75" customHeight="1" x14ac:dyDescent="0.25">
      <c r="B521" s="116"/>
    </row>
    <row r="522" spans="2:2" ht="15.75" customHeight="1" x14ac:dyDescent="0.25">
      <c r="B522" s="116"/>
    </row>
    <row r="523" spans="2:2" ht="15.75" customHeight="1" x14ac:dyDescent="0.25">
      <c r="B523" s="116"/>
    </row>
    <row r="524" spans="2:2" ht="15.75" customHeight="1" x14ac:dyDescent="0.25">
      <c r="B524" s="116"/>
    </row>
    <row r="525" spans="2:2" ht="15.75" customHeight="1" x14ac:dyDescent="0.25">
      <c r="B525" s="116"/>
    </row>
    <row r="526" spans="2:2" ht="15.75" customHeight="1" x14ac:dyDescent="0.25">
      <c r="B526" s="116"/>
    </row>
    <row r="527" spans="2:2" ht="15.75" customHeight="1" x14ac:dyDescent="0.25">
      <c r="B527" s="116"/>
    </row>
    <row r="528" spans="2:2" ht="15.75" customHeight="1" x14ac:dyDescent="0.25">
      <c r="B528" s="116"/>
    </row>
    <row r="529" spans="2:2" ht="15.75" customHeight="1" x14ac:dyDescent="0.25">
      <c r="B529" s="116"/>
    </row>
    <row r="530" spans="2:2" ht="15.75" customHeight="1" x14ac:dyDescent="0.25">
      <c r="B530" s="116"/>
    </row>
    <row r="531" spans="2:2" ht="15.75" customHeight="1" x14ac:dyDescent="0.25">
      <c r="B531" s="116"/>
    </row>
    <row r="532" spans="2:2" ht="15.75" customHeight="1" x14ac:dyDescent="0.25">
      <c r="B532" s="116"/>
    </row>
    <row r="533" spans="2:2" ht="15.75" customHeight="1" x14ac:dyDescent="0.25">
      <c r="B533" s="116"/>
    </row>
    <row r="534" spans="2:2" ht="15.75" customHeight="1" x14ac:dyDescent="0.25">
      <c r="B534" s="116"/>
    </row>
    <row r="535" spans="2:2" ht="15.75" customHeight="1" x14ac:dyDescent="0.25">
      <c r="B535" s="116"/>
    </row>
    <row r="536" spans="2:2" ht="15.75" customHeight="1" x14ac:dyDescent="0.25">
      <c r="B536" s="116"/>
    </row>
    <row r="537" spans="2:2" ht="15.75" customHeight="1" x14ac:dyDescent="0.25">
      <c r="B537" s="116"/>
    </row>
    <row r="538" spans="2:2" ht="15.75" customHeight="1" x14ac:dyDescent="0.25">
      <c r="B538" s="116"/>
    </row>
    <row r="539" spans="2:2" ht="15.75" customHeight="1" x14ac:dyDescent="0.25">
      <c r="B539" s="116"/>
    </row>
    <row r="540" spans="2:2" ht="15.75" customHeight="1" x14ac:dyDescent="0.25">
      <c r="B540" s="116"/>
    </row>
    <row r="541" spans="2:2" ht="15.75" customHeight="1" x14ac:dyDescent="0.25">
      <c r="B541" s="116"/>
    </row>
    <row r="542" spans="2:2" ht="15.75" customHeight="1" x14ac:dyDescent="0.25">
      <c r="B542" s="116"/>
    </row>
    <row r="543" spans="2:2" ht="15.75" customHeight="1" x14ac:dyDescent="0.25">
      <c r="B543" s="116"/>
    </row>
    <row r="544" spans="2:2" ht="15.75" customHeight="1" x14ac:dyDescent="0.25">
      <c r="B544" s="116"/>
    </row>
    <row r="545" spans="2:2" ht="15.75" customHeight="1" x14ac:dyDescent="0.25">
      <c r="B545" s="116"/>
    </row>
    <row r="546" spans="2:2" ht="15.75" customHeight="1" x14ac:dyDescent="0.25">
      <c r="B546" s="116"/>
    </row>
    <row r="547" spans="2:2" ht="15.75" customHeight="1" x14ac:dyDescent="0.25">
      <c r="B547" s="116"/>
    </row>
    <row r="548" spans="2:2" ht="15.75" customHeight="1" x14ac:dyDescent="0.25">
      <c r="B548" s="116"/>
    </row>
    <row r="549" spans="2:2" ht="15.75" customHeight="1" x14ac:dyDescent="0.25">
      <c r="B549" s="116"/>
    </row>
    <row r="550" spans="2:2" ht="15.75" customHeight="1" x14ac:dyDescent="0.25">
      <c r="B550" s="116"/>
    </row>
    <row r="551" spans="2:2" ht="15.75" customHeight="1" x14ac:dyDescent="0.25">
      <c r="B551" s="116"/>
    </row>
    <row r="552" spans="2:2" ht="15.75" customHeight="1" x14ac:dyDescent="0.25">
      <c r="B552" s="116"/>
    </row>
    <row r="553" spans="2:2" ht="15.75" customHeight="1" x14ac:dyDescent="0.25">
      <c r="B553" s="116"/>
    </row>
    <row r="554" spans="2:2" ht="15.75" customHeight="1" x14ac:dyDescent="0.25">
      <c r="B554" s="116"/>
    </row>
    <row r="555" spans="2:2" ht="15.75" customHeight="1" x14ac:dyDescent="0.25">
      <c r="B555" s="116"/>
    </row>
    <row r="556" spans="2:2" ht="15.75" customHeight="1" x14ac:dyDescent="0.25">
      <c r="B556" s="116"/>
    </row>
    <row r="557" spans="2:2" ht="15.75" customHeight="1" x14ac:dyDescent="0.25">
      <c r="B557" s="116"/>
    </row>
    <row r="558" spans="2:2" ht="15.75" customHeight="1" x14ac:dyDescent="0.25">
      <c r="B558" s="116"/>
    </row>
    <row r="559" spans="2:2" ht="15.75" customHeight="1" x14ac:dyDescent="0.25">
      <c r="B559" s="116"/>
    </row>
    <row r="560" spans="2:2" ht="15.75" customHeight="1" x14ac:dyDescent="0.25">
      <c r="B560" s="116"/>
    </row>
    <row r="561" spans="2:2" ht="15.75" customHeight="1" x14ac:dyDescent="0.25">
      <c r="B561" s="116"/>
    </row>
    <row r="562" spans="2:2" ht="15.75" customHeight="1" x14ac:dyDescent="0.25">
      <c r="B562" s="116"/>
    </row>
    <row r="563" spans="2:2" ht="15.75" customHeight="1" x14ac:dyDescent="0.25">
      <c r="B563" s="116"/>
    </row>
    <row r="564" spans="2:2" ht="15.75" customHeight="1" x14ac:dyDescent="0.25">
      <c r="B564" s="116"/>
    </row>
    <row r="565" spans="2:2" ht="15.75" customHeight="1" x14ac:dyDescent="0.25">
      <c r="B565" s="116"/>
    </row>
    <row r="566" spans="2:2" ht="15.75" customHeight="1" x14ac:dyDescent="0.25">
      <c r="B566" s="116"/>
    </row>
    <row r="567" spans="2:2" ht="15.75" customHeight="1" x14ac:dyDescent="0.25">
      <c r="B567" s="116"/>
    </row>
    <row r="568" spans="2:2" ht="15.75" customHeight="1" x14ac:dyDescent="0.25">
      <c r="B568" s="116"/>
    </row>
    <row r="569" spans="2:2" ht="15.75" customHeight="1" x14ac:dyDescent="0.25">
      <c r="B569" s="116"/>
    </row>
    <row r="570" spans="2:2" ht="15.75" customHeight="1" x14ac:dyDescent="0.25">
      <c r="B570" s="116"/>
    </row>
    <row r="571" spans="2:2" ht="15.75" customHeight="1" x14ac:dyDescent="0.25">
      <c r="B571" s="116"/>
    </row>
    <row r="572" spans="2:2" ht="15.75" customHeight="1" x14ac:dyDescent="0.25">
      <c r="B572" s="116"/>
    </row>
    <row r="573" spans="2:2" ht="15.75" customHeight="1" x14ac:dyDescent="0.25">
      <c r="B573" s="116"/>
    </row>
    <row r="574" spans="2:2" ht="15.75" customHeight="1" x14ac:dyDescent="0.25">
      <c r="B574" s="116"/>
    </row>
    <row r="575" spans="2:2" ht="15.75" customHeight="1" x14ac:dyDescent="0.25">
      <c r="B575" s="116"/>
    </row>
    <row r="576" spans="2:2" ht="15.75" customHeight="1" x14ac:dyDescent="0.25">
      <c r="B576" s="116"/>
    </row>
    <row r="577" spans="2:2" ht="15.75" customHeight="1" x14ac:dyDescent="0.25">
      <c r="B577" s="116"/>
    </row>
    <row r="578" spans="2:2" ht="15.75" customHeight="1" x14ac:dyDescent="0.25">
      <c r="B578" s="116"/>
    </row>
    <row r="579" spans="2:2" ht="15.75" customHeight="1" x14ac:dyDescent="0.25">
      <c r="B579" s="116"/>
    </row>
    <row r="580" spans="2:2" ht="15.75" customHeight="1" x14ac:dyDescent="0.25">
      <c r="B580" s="116"/>
    </row>
    <row r="581" spans="2:2" ht="15.75" customHeight="1" x14ac:dyDescent="0.25">
      <c r="B581" s="116"/>
    </row>
    <row r="582" spans="2:2" ht="15.75" customHeight="1" x14ac:dyDescent="0.25">
      <c r="B582" s="116"/>
    </row>
    <row r="583" spans="2:2" ht="15.75" customHeight="1" x14ac:dyDescent="0.25">
      <c r="B583" s="116"/>
    </row>
    <row r="584" spans="2:2" ht="15.75" customHeight="1" x14ac:dyDescent="0.25">
      <c r="B584" s="116"/>
    </row>
    <row r="585" spans="2:2" ht="15.75" customHeight="1" x14ac:dyDescent="0.25">
      <c r="B585" s="116"/>
    </row>
    <row r="586" spans="2:2" ht="15.75" customHeight="1" x14ac:dyDescent="0.25">
      <c r="B586" s="116"/>
    </row>
    <row r="587" spans="2:2" ht="15.75" customHeight="1" x14ac:dyDescent="0.25">
      <c r="B587" s="116"/>
    </row>
    <row r="588" spans="2:2" ht="15.75" customHeight="1" x14ac:dyDescent="0.25">
      <c r="B588" s="116"/>
    </row>
    <row r="589" spans="2:2" ht="15.75" customHeight="1" x14ac:dyDescent="0.25">
      <c r="B589" s="116"/>
    </row>
    <row r="590" spans="2:2" ht="15.75" customHeight="1" x14ac:dyDescent="0.25">
      <c r="B590" s="116"/>
    </row>
    <row r="591" spans="2:2" ht="15.75" customHeight="1" x14ac:dyDescent="0.25">
      <c r="B591" s="116"/>
    </row>
    <row r="592" spans="2:2" ht="15.75" customHeight="1" x14ac:dyDescent="0.25">
      <c r="B592" s="116"/>
    </row>
    <row r="593" spans="2:2" ht="15.75" customHeight="1" x14ac:dyDescent="0.25">
      <c r="B593" s="116"/>
    </row>
    <row r="594" spans="2:2" ht="15.75" customHeight="1" x14ac:dyDescent="0.25">
      <c r="B594" s="116"/>
    </row>
    <row r="595" spans="2:2" ht="15.75" customHeight="1" x14ac:dyDescent="0.25">
      <c r="B595" s="116"/>
    </row>
    <row r="596" spans="2:2" ht="15.75" customHeight="1" x14ac:dyDescent="0.25">
      <c r="B596" s="116"/>
    </row>
    <row r="597" spans="2:2" ht="15.75" customHeight="1" x14ac:dyDescent="0.25">
      <c r="B597" s="116"/>
    </row>
    <row r="598" spans="2:2" ht="15.75" customHeight="1" x14ac:dyDescent="0.25">
      <c r="B598" s="116"/>
    </row>
    <row r="599" spans="2:2" ht="15.75" customHeight="1" x14ac:dyDescent="0.25">
      <c r="B599" s="116"/>
    </row>
    <row r="600" spans="2:2" ht="15.75" customHeight="1" x14ac:dyDescent="0.25">
      <c r="B600" s="116"/>
    </row>
    <row r="601" spans="2:2" ht="15.75" customHeight="1" x14ac:dyDescent="0.25">
      <c r="B601" s="116"/>
    </row>
    <row r="602" spans="2:2" ht="15.75" customHeight="1" x14ac:dyDescent="0.25">
      <c r="B602" s="116"/>
    </row>
    <row r="603" spans="2:2" ht="15.75" customHeight="1" x14ac:dyDescent="0.25">
      <c r="B603" s="116"/>
    </row>
    <row r="604" spans="2:2" ht="15.75" customHeight="1" x14ac:dyDescent="0.25">
      <c r="B604" s="116"/>
    </row>
    <row r="605" spans="2:2" ht="15.75" customHeight="1" x14ac:dyDescent="0.25">
      <c r="B605" s="116"/>
    </row>
    <row r="606" spans="2:2" ht="15.75" customHeight="1" x14ac:dyDescent="0.25">
      <c r="B606" s="116"/>
    </row>
    <row r="607" spans="2:2" ht="15.75" customHeight="1" x14ac:dyDescent="0.25">
      <c r="B607" s="116"/>
    </row>
    <row r="608" spans="2:2" ht="15.75" customHeight="1" x14ac:dyDescent="0.25">
      <c r="B608" s="116"/>
    </row>
    <row r="609" spans="2:2" ht="15.75" customHeight="1" x14ac:dyDescent="0.25">
      <c r="B609" s="116"/>
    </row>
    <row r="610" spans="2:2" ht="15.75" customHeight="1" x14ac:dyDescent="0.25">
      <c r="B610" s="116"/>
    </row>
    <row r="611" spans="2:2" ht="15.75" customHeight="1" x14ac:dyDescent="0.25">
      <c r="B611" s="116"/>
    </row>
    <row r="612" spans="2:2" ht="15.75" customHeight="1" x14ac:dyDescent="0.25">
      <c r="B612" s="116"/>
    </row>
    <row r="613" spans="2:2" ht="15.75" customHeight="1" x14ac:dyDescent="0.25">
      <c r="B613" s="116"/>
    </row>
    <row r="614" spans="2:2" ht="15.75" customHeight="1" x14ac:dyDescent="0.25">
      <c r="B614" s="116"/>
    </row>
    <row r="615" spans="2:2" ht="15.75" customHeight="1" x14ac:dyDescent="0.25">
      <c r="B615" s="116"/>
    </row>
    <row r="616" spans="2:2" ht="15.75" customHeight="1" x14ac:dyDescent="0.25">
      <c r="B616" s="116"/>
    </row>
    <row r="617" spans="2:2" ht="15.75" customHeight="1" x14ac:dyDescent="0.25">
      <c r="B617" s="116"/>
    </row>
    <row r="618" spans="2:2" ht="15.75" customHeight="1" x14ac:dyDescent="0.25">
      <c r="B618" s="116"/>
    </row>
    <row r="619" spans="2:2" ht="15.75" customHeight="1" x14ac:dyDescent="0.25">
      <c r="B619" s="116"/>
    </row>
    <row r="620" spans="2:2" ht="15.75" customHeight="1" x14ac:dyDescent="0.25">
      <c r="B620" s="116"/>
    </row>
    <row r="621" spans="2:2" ht="15.75" customHeight="1" x14ac:dyDescent="0.25">
      <c r="B621" s="116"/>
    </row>
    <row r="622" spans="2:2" ht="15.75" customHeight="1" x14ac:dyDescent="0.25">
      <c r="B622" s="116"/>
    </row>
    <row r="623" spans="2:2" ht="15.75" customHeight="1" x14ac:dyDescent="0.25">
      <c r="B623" s="116"/>
    </row>
    <row r="624" spans="2:2" ht="15.75" customHeight="1" x14ac:dyDescent="0.25">
      <c r="B624" s="116"/>
    </row>
    <row r="625" spans="2:2" ht="15.75" customHeight="1" x14ac:dyDescent="0.25">
      <c r="B625" s="116"/>
    </row>
    <row r="626" spans="2:2" ht="15.75" customHeight="1" x14ac:dyDescent="0.25">
      <c r="B626" s="116"/>
    </row>
    <row r="627" spans="2:2" ht="15.75" customHeight="1" x14ac:dyDescent="0.25">
      <c r="B627" s="116"/>
    </row>
    <row r="628" spans="2:2" ht="15.75" customHeight="1" x14ac:dyDescent="0.25">
      <c r="B628" s="116"/>
    </row>
    <row r="629" spans="2:2" ht="15.75" customHeight="1" x14ac:dyDescent="0.25">
      <c r="B629" s="116"/>
    </row>
    <row r="630" spans="2:2" ht="15.75" customHeight="1" x14ac:dyDescent="0.25">
      <c r="B630" s="116"/>
    </row>
    <row r="631" spans="2:2" ht="15.75" customHeight="1" x14ac:dyDescent="0.25">
      <c r="B631" s="116"/>
    </row>
    <row r="632" spans="2:2" ht="15.75" customHeight="1" x14ac:dyDescent="0.25">
      <c r="B632" s="116"/>
    </row>
    <row r="633" spans="2:2" ht="15.75" customHeight="1" x14ac:dyDescent="0.25">
      <c r="B633" s="116"/>
    </row>
    <row r="634" spans="2:2" ht="15.75" customHeight="1" x14ac:dyDescent="0.25">
      <c r="B634" s="116"/>
    </row>
    <row r="635" spans="2:2" ht="15.75" customHeight="1" x14ac:dyDescent="0.25">
      <c r="B635" s="116"/>
    </row>
    <row r="636" spans="2:2" ht="15.75" customHeight="1" x14ac:dyDescent="0.25">
      <c r="B636" s="116"/>
    </row>
    <row r="637" spans="2:2" ht="15.75" customHeight="1" x14ac:dyDescent="0.25">
      <c r="B637" s="116"/>
    </row>
    <row r="638" spans="2:2" ht="15.75" customHeight="1" x14ac:dyDescent="0.25">
      <c r="B638" s="116"/>
    </row>
    <row r="639" spans="2:2" ht="15.75" customHeight="1" x14ac:dyDescent="0.25">
      <c r="B639" s="116"/>
    </row>
    <row r="640" spans="2:2" ht="15.75" customHeight="1" x14ac:dyDescent="0.25">
      <c r="B640" s="116"/>
    </row>
    <row r="641" spans="2:2" ht="15.75" customHeight="1" x14ac:dyDescent="0.25">
      <c r="B641" s="116"/>
    </row>
    <row r="642" spans="2:2" ht="15.75" customHeight="1" x14ac:dyDescent="0.25">
      <c r="B642" s="116"/>
    </row>
    <row r="643" spans="2:2" ht="15.75" customHeight="1" x14ac:dyDescent="0.25">
      <c r="B643" s="116"/>
    </row>
    <row r="644" spans="2:2" ht="15.75" customHeight="1" x14ac:dyDescent="0.25">
      <c r="B644" s="116"/>
    </row>
    <row r="645" spans="2:2" ht="15.75" customHeight="1" x14ac:dyDescent="0.25">
      <c r="B645" s="116"/>
    </row>
    <row r="646" spans="2:2" ht="15.75" customHeight="1" x14ac:dyDescent="0.25">
      <c r="B646" s="116"/>
    </row>
    <row r="647" spans="2:2" ht="15.75" customHeight="1" x14ac:dyDescent="0.25">
      <c r="B647" s="116"/>
    </row>
    <row r="648" spans="2:2" ht="15.75" customHeight="1" x14ac:dyDescent="0.25">
      <c r="B648" s="116"/>
    </row>
    <row r="649" spans="2:2" ht="15.75" customHeight="1" x14ac:dyDescent="0.25">
      <c r="B649" s="116"/>
    </row>
    <row r="650" spans="2:2" ht="15.75" customHeight="1" x14ac:dyDescent="0.25">
      <c r="B650" s="116"/>
    </row>
    <row r="651" spans="2:2" ht="15.75" customHeight="1" x14ac:dyDescent="0.25">
      <c r="B651" s="116"/>
    </row>
    <row r="652" spans="2:2" ht="15.75" customHeight="1" x14ac:dyDescent="0.25">
      <c r="B652" s="116"/>
    </row>
    <row r="653" spans="2:2" ht="15.75" customHeight="1" x14ac:dyDescent="0.25">
      <c r="B653" s="116"/>
    </row>
    <row r="654" spans="2:2" ht="15.75" customHeight="1" x14ac:dyDescent="0.25">
      <c r="B654" s="116"/>
    </row>
    <row r="655" spans="2:2" ht="15.75" customHeight="1" x14ac:dyDescent="0.25">
      <c r="B655" s="116"/>
    </row>
    <row r="656" spans="2:2" ht="15.75" customHeight="1" x14ac:dyDescent="0.25">
      <c r="B656" s="116"/>
    </row>
    <row r="657" spans="2:2" ht="15.75" customHeight="1" x14ac:dyDescent="0.25">
      <c r="B657" s="116"/>
    </row>
    <row r="658" spans="2:2" ht="15.75" customHeight="1" x14ac:dyDescent="0.25">
      <c r="B658" s="116"/>
    </row>
    <row r="659" spans="2:2" ht="15.75" customHeight="1" x14ac:dyDescent="0.25">
      <c r="B659" s="116"/>
    </row>
    <row r="660" spans="2:2" ht="15.75" customHeight="1" x14ac:dyDescent="0.25">
      <c r="B660" s="116"/>
    </row>
    <row r="661" spans="2:2" ht="15.75" customHeight="1" x14ac:dyDescent="0.25">
      <c r="B661" s="116"/>
    </row>
    <row r="662" spans="2:2" ht="15.75" customHeight="1" x14ac:dyDescent="0.25">
      <c r="B662" s="116"/>
    </row>
    <row r="663" spans="2:2" ht="15.75" customHeight="1" x14ac:dyDescent="0.25">
      <c r="B663" s="116"/>
    </row>
    <row r="664" spans="2:2" ht="15.75" customHeight="1" x14ac:dyDescent="0.25">
      <c r="B664" s="116"/>
    </row>
    <row r="665" spans="2:2" ht="15.75" customHeight="1" x14ac:dyDescent="0.25">
      <c r="B665" s="116"/>
    </row>
    <row r="666" spans="2:2" ht="15.75" customHeight="1" x14ac:dyDescent="0.25">
      <c r="B666" s="116"/>
    </row>
    <row r="667" spans="2:2" ht="15.75" customHeight="1" x14ac:dyDescent="0.25">
      <c r="B667" s="116"/>
    </row>
    <row r="668" spans="2:2" ht="15.75" customHeight="1" x14ac:dyDescent="0.25">
      <c r="B668" s="116"/>
    </row>
    <row r="669" spans="2:2" ht="15.75" customHeight="1" x14ac:dyDescent="0.25">
      <c r="B669" s="116"/>
    </row>
    <row r="670" spans="2:2" ht="15.75" customHeight="1" x14ac:dyDescent="0.25">
      <c r="B670" s="116"/>
    </row>
    <row r="671" spans="2:2" ht="15.75" customHeight="1" x14ac:dyDescent="0.25">
      <c r="B671" s="116"/>
    </row>
    <row r="672" spans="2:2" ht="15.75" customHeight="1" x14ac:dyDescent="0.25">
      <c r="B672" s="116"/>
    </row>
    <row r="673" spans="2:2" ht="15.75" customHeight="1" x14ac:dyDescent="0.25">
      <c r="B673" s="116"/>
    </row>
    <row r="674" spans="2:2" ht="15.75" customHeight="1" x14ac:dyDescent="0.25">
      <c r="B674" s="116"/>
    </row>
    <row r="675" spans="2:2" ht="15.75" customHeight="1" x14ac:dyDescent="0.25">
      <c r="B675" s="116"/>
    </row>
    <row r="676" spans="2:2" ht="15.75" customHeight="1" x14ac:dyDescent="0.25">
      <c r="B676" s="116"/>
    </row>
    <row r="677" spans="2:2" ht="15.75" customHeight="1" x14ac:dyDescent="0.25">
      <c r="B677" s="116"/>
    </row>
    <row r="678" spans="2:2" ht="15.75" customHeight="1" x14ac:dyDescent="0.25">
      <c r="B678" s="116"/>
    </row>
    <row r="679" spans="2:2" ht="15.75" customHeight="1" x14ac:dyDescent="0.25">
      <c r="B679" s="116"/>
    </row>
    <row r="680" spans="2:2" ht="15.75" customHeight="1" x14ac:dyDescent="0.25">
      <c r="B680" s="116"/>
    </row>
    <row r="681" spans="2:2" ht="15.75" customHeight="1" x14ac:dyDescent="0.25">
      <c r="B681" s="116"/>
    </row>
    <row r="682" spans="2:2" ht="15.75" customHeight="1" x14ac:dyDescent="0.25">
      <c r="B682" s="116"/>
    </row>
    <row r="683" spans="2:2" ht="15.75" customHeight="1" x14ac:dyDescent="0.25">
      <c r="B683" s="116"/>
    </row>
    <row r="684" spans="2:2" ht="15.75" customHeight="1" x14ac:dyDescent="0.25">
      <c r="B684" s="116"/>
    </row>
    <row r="685" spans="2:2" ht="15.75" customHeight="1" x14ac:dyDescent="0.25">
      <c r="B685" s="116"/>
    </row>
    <row r="686" spans="2:2" ht="15.75" customHeight="1" x14ac:dyDescent="0.25">
      <c r="B686" s="116"/>
    </row>
    <row r="687" spans="2:2" ht="15.75" customHeight="1" x14ac:dyDescent="0.25">
      <c r="B687" s="116"/>
    </row>
    <row r="688" spans="2:2" ht="15.75" customHeight="1" x14ac:dyDescent="0.25">
      <c r="B688" s="116"/>
    </row>
    <row r="689" spans="2:2" ht="15.75" customHeight="1" x14ac:dyDescent="0.25">
      <c r="B689" s="116"/>
    </row>
    <row r="690" spans="2:2" ht="15.75" customHeight="1" x14ac:dyDescent="0.25">
      <c r="B690" s="116"/>
    </row>
    <row r="691" spans="2:2" ht="15.75" customHeight="1" x14ac:dyDescent="0.25">
      <c r="B691" s="116"/>
    </row>
    <row r="692" spans="2:2" ht="15.75" customHeight="1" x14ac:dyDescent="0.25">
      <c r="B692" s="116"/>
    </row>
    <row r="693" spans="2:2" ht="15.75" customHeight="1" x14ac:dyDescent="0.25">
      <c r="B693" s="116"/>
    </row>
    <row r="694" spans="2:2" ht="15.75" customHeight="1" x14ac:dyDescent="0.25">
      <c r="B694" s="116"/>
    </row>
    <row r="695" spans="2:2" ht="15.75" customHeight="1" x14ac:dyDescent="0.25">
      <c r="B695" s="116"/>
    </row>
    <row r="696" spans="2:2" ht="15.75" customHeight="1" x14ac:dyDescent="0.25">
      <c r="B696" s="116"/>
    </row>
    <row r="697" spans="2:2" ht="15.75" customHeight="1" x14ac:dyDescent="0.25">
      <c r="B697" s="116"/>
    </row>
    <row r="698" spans="2:2" ht="15.75" customHeight="1" x14ac:dyDescent="0.25">
      <c r="B698" s="116"/>
    </row>
    <row r="699" spans="2:2" ht="15.75" customHeight="1" x14ac:dyDescent="0.25">
      <c r="B699" s="116"/>
    </row>
    <row r="700" spans="2:2" ht="15.75" customHeight="1" x14ac:dyDescent="0.25">
      <c r="B700" s="116"/>
    </row>
    <row r="701" spans="2:2" ht="15.75" customHeight="1" x14ac:dyDescent="0.25">
      <c r="B701" s="116"/>
    </row>
    <row r="702" spans="2:2" ht="15.75" customHeight="1" x14ac:dyDescent="0.25">
      <c r="B702" s="116"/>
    </row>
    <row r="703" spans="2:2" ht="15.75" customHeight="1" x14ac:dyDescent="0.25">
      <c r="B703" s="116"/>
    </row>
    <row r="704" spans="2:2" ht="15.75" customHeight="1" x14ac:dyDescent="0.25">
      <c r="B704" s="116"/>
    </row>
    <row r="705" spans="2:2" ht="15.75" customHeight="1" x14ac:dyDescent="0.25">
      <c r="B705" s="116"/>
    </row>
    <row r="706" spans="2:2" ht="15.75" customHeight="1" x14ac:dyDescent="0.25">
      <c r="B706" s="116"/>
    </row>
    <row r="707" spans="2:2" ht="15.75" customHeight="1" x14ac:dyDescent="0.25">
      <c r="B707" s="116"/>
    </row>
    <row r="708" spans="2:2" ht="15.75" customHeight="1" x14ac:dyDescent="0.25">
      <c r="B708" s="116"/>
    </row>
    <row r="709" spans="2:2" ht="15.75" customHeight="1" x14ac:dyDescent="0.25">
      <c r="B709" s="116"/>
    </row>
    <row r="710" spans="2:2" ht="15.75" customHeight="1" x14ac:dyDescent="0.25">
      <c r="B710" s="116"/>
    </row>
    <row r="711" spans="2:2" ht="15.75" customHeight="1" x14ac:dyDescent="0.25">
      <c r="B711" s="116"/>
    </row>
    <row r="712" spans="2:2" ht="15.75" customHeight="1" x14ac:dyDescent="0.25">
      <c r="B712" s="116"/>
    </row>
    <row r="713" spans="2:2" ht="15.75" customHeight="1" x14ac:dyDescent="0.25">
      <c r="B713" s="116"/>
    </row>
    <row r="714" spans="2:2" ht="15.75" customHeight="1" x14ac:dyDescent="0.25">
      <c r="B714" s="116"/>
    </row>
    <row r="715" spans="2:2" ht="15.75" customHeight="1" x14ac:dyDescent="0.25">
      <c r="B715" s="116"/>
    </row>
    <row r="716" spans="2:2" ht="15.75" customHeight="1" x14ac:dyDescent="0.25">
      <c r="B716" s="116"/>
    </row>
    <row r="717" spans="2:2" ht="15.75" customHeight="1" x14ac:dyDescent="0.25">
      <c r="B717" s="116"/>
    </row>
    <row r="718" spans="2:2" ht="15.75" customHeight="1" x14ac:dyDescent="0.25">
      <c r="B718" s="116"/>
    </row>
    <row r="719" spans="2:2" ht="15.75" customHeight="1" x14ac:dyDescent="0.25">
      <c r="B719" s="116"/>
    </row>
    <row r="720" spans="2:2" ht="15.75" customHeight="1" x14ac:dyDescent="0.25">
      <c r="B720" s="116"/>
    </row>
    <row r="721" spans="2:2" ht="15.75" customHeight="1" x14ac:dyDescent="0.25">
      <c r="B721" s="116"/>
    </row>
    <row r="722" spans="2:2" ht="15.75" customHeight="1" x14ac:dyDescent="0.25">
      <c r="B722" s="116"/>
    </row>
    <row r="723" spans="2:2" ht="15.75" customHeight="1" x14ac:dyDescent="0.25">
      <c r="B723" s="116"/>
    </row>
    <row r="724" spans="2:2" ht="15.75" customHeight="1" x14ac:dyDescent="0.25">
      <c r="B724" s="116"/>
    </row>
    <row r="725" spans="2:2" ht="15.75" customHeight="1" x14ac:dyDescent="0.25">
      <c r="B725" s="116"/>
    </row>
    <row r="726" spans="2:2" ht="15.75" customHeight="1" x14ac:dyDescent="0.25">
      <c r="B726" s="116"/>
    </row>
    <row r="727" spans="2:2" ht="15.75" customHeight="1" x14ac:dyDescent="0.25">
      <c r="B727" s="116"/>
    </row>
    <row r="728" spans="2:2" ht="15.75" customHeight="1" x14ac:dyDescent="0.25">
      <c r="B728" s="116"/>
    </row>
    <row r="729" spans="2:2" ht="15.75" customHeight="1" x14ac:dyDescent="0.25">
      <c r="B729" s="116"/>
    </row>
    <row r="730" spans="2:2" ht="15.75" customHeight="1" x14ac:dyDescent="0.25">
      <c r="B730" s="116"/>
    </row>
    <row r="731" spans="2:2" ht="15.75" customHeight="1" x14ac:dyDescent="0.25">
      <c r="B731" s="116"/>
    </row>
    <row r="732" spans="2:2" ht="15.75" customHeight="1" x14ac:dyDescent="0.25">
      <c r="B732" s="116"/>
    </row>
    <row r="733" spans="2:2" ht="15.75" customHeight="1" x14ac:dyDescent="0.25">
      <c r="B733" s="116"/>
    </row>
    <row r="734" spans="2:2" ht="15.75" customHeight="1" x14ac:dyDescent="0.25">
      <c r="B734" s="116"/>
    </row>
    <row r="735" spans="2:2" ht="15.75" customHeight="1" x14ac:dyDescent="0.25">
      <c r="B735" s="116"/>
    </row>
    <row r="736" spans="2:2" ht="15.75" customHeight="1" x14ac:dyDescent="0.25">
      <c r="B736" s="116"/>
    </row>
    <row r="737" spans="2:2" ht="15.75" customHeight="1" x14ac:dyDescent="0.25">
      <c r="B737" s="116"/>
    </row>
    <row r="738" spans="2:2" ht="15.75" customHeight="1" x14ac:dyDescent="0.25">
      <c r="B738" s="116"/>
    </row>
    <row r="739" spans="2:2" ht="15.75" customHeight="1" x14ac:dyDescent="0.25">
      <c r="B739" s="116"/>
    </row>
    <row r="740" spans="2:2" ht="15.75" customHeight="1" x14ac:dyDescent="0.25">
      <c r="B740" s="116"/>
    </row>
    <row r="741" spans="2:2" ht="15.75" customHeight="1" x14ac:dyDescent="0.25">
      <c r="B741" s="116"/>
    </row>
    <row r="742" spans="2:2" ht="15.75" customHeight="1" x14ac:dyDescent="0.25">
      <c r="B742" s="116"/>
    </row>
    <row r="743" spans="2:2" ht="15.75" customHeight="1" x14ac:dyDescent="0.25">
      <c r="B743" s="116"/>
    </row>
    <row r="744" spans="2:2" ht="15.75" customHeight="1" x14ac:dyDescent="0.25">
      <c r="B744" s="116"/>
    </row>
    <row r="745" spans="2:2" ht="15.75" customHeight="1" x14ac:dyDescent="0.25">
      <c r="B745" s="116"/>
    </row>
    <row r="746" spans="2:2" ht="15.75" customHeight="1" x14ac:dyDescent="0.25">
      <c r="B746" s="116"/>
    </row>
    <row r="747" spans="2:2" ht="15.75" customHeight="1" x14ac:dyDescent="0.25">
      <c r="B747" s="116"/>
    </row>
    <row r="748" spans="2:2" ht="15.75" customHeight="1" x14ac:dyDescent="0.25">
      <c r="B748" s="116"/>
    </row>
    <row r="749" spans="2:2" ht="15.75" customHeight="1" x14ac:dyDescent="0.25">
      <c r="B749" s="116"/>
    </row>
    <row r="750" spans="2:2" ht="15.75" customHeight="1" x14ac:dyDescent="0.25">
      <c r="B750" s="116"/>
    </row>
    <row r="751" spans="2:2" ht="15.75" customHeight="1" x14ac:dyDescent="0.25">
      <c r="B751" s="116"/>
    </row>
    <row r="752" spans="2:2" ht="15.75" customHeight="1" x14ac:dyDescent="0.25">
      <c r="B752" s="116"/>
    </row>
    <row r="753" spans="2:2" ht="15.75" customHeight="1" x14ac:dyDescent="0.25">
      <c r="B753" s="116"/>
    </row>
    <row r="754" spans="2:2" ht="15.75" customHeight="1" x14ac:dyDescent="0.25">
      <c r="B754" s="116"/>
    </row>
    <row r="755" spans="2:2" ht="15.75" customHeight="1" x14ac:dyDescent="0.25">
      <c r="B755" s="116"/>
    </row>
    <row r="756" spans="2:2" ht="15.75" customHeight="1" x14ac:dyDescent="0.25">
      <c r="B756" s="116"/>
    </row>
    <row r="757" spans="2:2" ht="15.75" customHeight="1" x14ac:dyDescent="0.25">
      <c r="B757" s="116"/>
    </row>
    <row r="758" spans="2:2" ht="15.75" customHeight="1" x14ac:dyDescent="0.25">
      <c r="B758" s="116"/>
    </row>
    <row r="759" spans="2:2" ht="15.75" customHeight="1" x14ac:dyDescent="0.25">
      <c r="B759" s="116"/>
    </row>
    <row r="760" spans="2:2" ht="15.75" customHeight="1" x14ac:dyDescent="0.25">
      <c r="B760" s="116"/>
    </row>
    <row r="761" spans="2:2" ht="15.75" customHeight="1" x14ac:dyDescent="0.25">
      <c r="B761" s="116"/>
    </row>
    <row r="762" spans="2:2" ht="15.75" customHeight="1" x14ac:dyDescent="0.25">
      <c r="B762" s="116"/>
    </row>
    <row r="763" spans="2:2" ht="15.75" customHeight="1" x14ac:dyDescent="0.25">
      <c r="B763" s="116"/>
    </row>
    <row r="764" spans="2:2" ht="15.75" customHeight="1" x14ac:dyDescent="0.25">
      <c r="B764" s="116"/>
    </row>
    <row r="765" spans="2:2" ht="15.75" customHeight="1" x14ac:dyDescent="0.25">
      <c r="B765" s="116"/>
    </row>
    <row r="766" spans="2:2" ht="15.75" customHeight="1" x14ac:dyDescent="0.25">
      <c r="B766" s="116"/>
    </row>
    <row r="767" spans="2:2" ht="15.75" customHeight="1" x14ac:dyDescent="0.25">
      <c r="B767" s="116"/>
    </row>
    <row r="768" spans="2:2" ht="15.75" customHeight="1" x14ac:dyDescent="0.25">
      <c r="B768" s="116"/>
    </row>
    <row r="769" spans="2:2" ht="15.75" customHeight="1" x14ac:dyDescent="0.25">
      <c r="B769" s="116"/>
    </row>
    <row r="770" spans="2:2" ht="15.75" customHeight="1" x14ac:dyDescent="0.25">
      <c r="B770" s="116"/>
    </row>
    <row r="771" spans="2:2" ht="15.75" customHeight="1" x14ac:dyDescent="0.25">
      <c r="B771" s="116"/>
    </row>
    <row r="772" spans="2:2" ht="15.75" customHeight="1" x14ac:dyDescent="0.25">
      <c r="B772" s="116"/>
    </row>
    <row r="773" spans="2:2" ht="15.75" customHeight="1" x14ac:dyDescent="0.25">
      <c r="B773" s="116"/>
    </row>
    <row r="774" spans="2:2" ht="15.75" customHeight="1" x14ac:dyDescent="0.25">
      <c r="B774" s="116"/>
    </row>
    <row r="775" spans="2:2" ht="15.75" customHeight="1" x14ac:dyDescent="0.25">
      <c r="B775" s="116"/>
    </row>
    <row r="776" spans="2:2" ht="15.75" customHeight="1" x14ac:dyDescent="0.25">
      <c r="B776" s="116"/>
    </row>
    <row r="777" spans="2:2" ht="15.75" customHeight="1" x14ac:dyDescent="0.25">
      <c r="B777" s="116"/>
    </row>
    <row r="778" spans="2:2" ht="15.75" customHeight="1" x14ac:dyDescent="0.25">
      <c r="B778" s="116"/>
    </row>
    <row r="779" spans="2:2" ht="15.75" customHeight="1" x14ac:dyDescent="0.25">
      <c r="B779" s="116"/>
    </row>
    <row r="780" spans="2:2" ht="15.75" customHeight="1" x14ac:dyDescent="0.25">
      <c r="B780" s="116"/>
    </row>
    <row r="781" spans="2:2" ht="15.75" customHeight="1" x14ac:dyDescent="0.25">
      <c r="B781" s="116"/>
    </row>
    <row r="782" spans="2:2" ht="15.75" customHeight="1" x14ac:dyDescent="0.25">
      <c r="B782" s="116"/>
    </row>
    <row r="783" spans="2:2" ht="15.75" customHeight="1" x14ac:dyDescent="0.25">
      <c r="B783" s="116"/>
    </row>
    <row r="784" spans="2:2" ht="15.75" customHeight="1" x14ac:dyDescent="0.25">
      <c r="B784" s="116"/>
    </row>
    <row r="785" spans="2:2" ht="15.75" customHeight="1" x14ac:dyDescent="0.25">
      <c r="B785" s="116"/>
    </row>
    <row r="786" spans="2:2" ht="15.75" customHeight="1" x14ac:dyDescent="0.25">
      <c r="B786" s="116"/>
    </row>
    <row r="787" spans="2:2" ht="15.75" customHeight="1" x14ac:dyDescent="0.25">
      <c r="B787" s="116"/>
    </row>
    <row r="788" spans="2:2" ht="15.75" customHeight="1" x14ac:dyDescent="0.25">
      <c r="B788" s="116"/>
    </row>
    <row r="789" spans="2:2" ht="15.75" customHeight="1" x14ac:dyDescent="0.25">
      <c r="B789" s="116"/>
    </row>
    <row r="790" spans="2:2" ht="15.75" customHeight="1" x14ac:dyDescent="0.25">
      <c r="B790" s="116"/>
    </row>
    <row r="791" spans="2:2" ht="15.75" customHeight="1" x14ac:dyDescent="0.25">
      <c r="B791" s="116"/>
    </row>
    <row r="792" spans="2:2" ht="15.75" customHeight="1" x14ac:dyDescent="0.25">
      <c r="B792" s="116"/>
    </row>
    <row r="793" spans="2:2" ht="15.75" customHeight="1" x14ac:dyDescent="0.25">
      <c r="B793" s="116"/>
    </row>
    <row r="794" spans="2:2" ht="15.75" customHeight="1" x14ac:dyDescent="0.25">
      <c r="B794" s="116"/>
    </row>
    <row r="795" spans="2:2" ht="15.75" customHeight="1" x14ac:dyDescent="0.25">
      <c r="B795" s="116"/>
    </row>
    <row r="796" spans="2:2" ht="15.75" customHeight="1" x14ac:dyDescent="0.25">
      <c r="B796" s="116"/>
    </row>
    <row r="797" spans="2:2" ht="15.75" customHeight="1" x14ac:dyDescent="0.25">
      <c r="B797" s="116"/>
    </row>
    <row r="798" spans="2:2" ht="15.75" customHeight="1" x14ac:dyDescent="0.25">
      <c r="B798" s="116"/>
    </row>
    <row r="799" spans="2:2" ht="15.75" customHeight="1" x14ac:dyDescent="0.25">
      <c r="B799" s="116"/>
    </row>
    <row r="800" spans="2:2" ht="15.75" customHeight="1" x14ac:dyDescent="0.25">
      <c r="B800" s="116"/>
    </row>
    <row r="801" spans="2:2" ht="15.75" customHeight="1" x14ac:dyDescent="0.25">
      <c r="B801" s="116"/>
    </row>
    <row r="802" spans="2:2" ht="15.75" customHeight="1" x14ac:dyDescent="0.25">
      <c r="B802" s="116"/>
    </row>
    <row r="803" spans="2:2" ht="15.75" customHeight="1" x14ac:dyDescent="0.25">
      <c r="B803" s="116"/>
    </row>
    <row r="804" spans="2:2" ht="15.75" customHeight="1" x14ac:dyDescent="0.25">
      <c r="B804" s="116"/>
    </row>
    <row r="805" spans="2:2" ht="15.75" customHeight="1" x14ac:dyDescent="0.25">
      <c r="B805" s="116"/>
    </row>
    <row r="806" spans="2:2" ht="15.75" customHeight="1" x14ac:dyDescent="0.25">
      <c r="B806" s="116"/>
    </row>
    <row r="807" spans="2:2" ht="15.75" customHeight="1" x14ac:dyDescent="0.25">
      <c r="B807" s="116"/>
    </row>
    <row r="808" spans="2:2" ht="15.75" customHeight="1" x14ac:dyDescent="0.25">
      <c r="B808" s="116"/>
    </row>
    <row r="809" spans="2:2" ht="15.75" customHeight="1" x14ac:dyDescent="0.25">
      <c r="B809" s="116"/>
    </row>
    <row r="810" spans="2:2" ht="15.75" customHeight="1" x14ac:dyDescent="0.25">
      <c r="B810" s="116"/>
    </row>
    <row r="811" spans="2:2" ht="15.75" customHeight="1" x14ac:dyDescent="0.25">
      <c r="B811" s="116"/>
    </row>
    <row r="812" spans="2:2" ht="15.75" customHeight="1" x14ac:dyDescent="0.25">
      <c r="B812" s="116"/>
    </row>
    <row r="813" spans="2:2" ht="15.75" customHeight="1" x14ac:dyDescent="0.25">
      <c r="B813" s="116"/>
    </row>
    <row r="814" spans="2:2" ht="15.75" customHeight="1" x14ac:dyDescent="0.25">
      <c r="B814" s="116"/>
    </row>
    <row r="815" spans="2:2" ht="15.75" customHeight="1" x14ac:dyDescent="0.25">
      <c r="B815" s="116"/>
    </row>
    <row r="816" spans="2:2" ht="15.75" customHeight="1" x14ac:dyDescent="0.25">
      <c r="B816" s="116"/>
    </row>
    <row r="817" spans="2:2" ht="15.75" customHeight="1" x14ac:dyDescent="0.25">
      <c r="B817" s="116"/>
    </row>
    <row r="818" spans="2:2" ht="15.75" customHeight="1" x14ac:dyDescent="0.25">
      <c r="B818" s="116"/>
    </row>
    <row r="819" spans="2:2" ht="15.75" customHeight="1" x14ac:dyDescent="0.25">
      <c r="B819" s="116"/>
    </row>
    <row r="820" spans="2:2" ht="15.75" customHeight="1" x14ac:dyDescent="0.25">
      <c r="B820" s="116"/>
    </row>
    <row r="821" spans="2:2" ht="15.75" customHeight="1" x14ac:dyDescent="0.25">
      <c r="B821" s="116"/>
    </row>
    <row r="822" spans="2:2" ht="15.75" customHeight="1" x14ac:dyDescent="0.25">
      <c r="B822" s="116"/>
    </row>
    <row r="823" spans="2:2" ht="15.75" customHeight="1" x14ac:dyDescent="0.25">
      <c r="B823" s="116"/>
    </row>
    <row r="824" spans="2:2" ht="15.75" customHeight="1" x14ac:dyDescent="0.25">
      <c r="B824" s="116"/>
    </row>
    <row r="825" spans="2:2" ht="15.75" customHeight="1" x14ac:dyDescent="0.25">
      <c r="B825" s="116"/>
    </row>
    <row r="826" spans="2:2" ht="15.75" customHeight="1" x14ac:dyDescent="0.25">
      <c r="B826" s="116"/>
    </row>
    <row r="827" spans="2:2" ht="15.75" customHeight="1" x14ac:dyDescent="0.25">
      <c r="B827" s="116"/>
    </row>
    <row r="828" spans="2:2" ht="15.75" customHeight="1" x14ac:dyDescent="0.25">
      <c r="B828" s="116"/>
    </row>
    <row r="829" spans="2:2" ht="15.75" customHeight="1" x14ac:dyDescent="0.25">
      <c r="B829" s="116"/>
    </row>
    <row r="830" spans="2:2" ht="15.75" customHeight="1" x14ac:dyDescent="0.25">
      <c r="B830" s="116"/>
    </row>
    <row r="831" spans="2:2" ht="15.75" customHeight="1" x14ac:dyDescent="0.25">
      <c r="B831" s="116"/>
    </row>
    <row r="832" spans="2:2" ht="15.75" customHeight="1" x14ac:dyDescent="0.25">
      <c r="B832" s="116"/>
    </row>
    <row r="833" spans="2:2" ht="15.75" customHeight="1" x14ac:dyDescent="0.25">
      <c r="B833" s="116"/>
    </row>
    <row r="834" spans="2:2" ht="15.75" customHeight="1" x14ac:dyDescent="0.25">
      <c r="B834" s="116"/>
    </row>
    <row r="835" spans="2:2" ht="15.75" customHeight="1" x14ac:dyDescent="0.25">
      <c r="B835" s="116"/>
    </row>
    <row r="836" spans="2:2" ht="15.75" customHeight="1" x14ac:dyDescent="0.25">
      <c r="B836" s="116"/>
    </row>
    <row r="837" spans="2:2" ht="15.75" customHeight="1" x14ac:dyDescent="0.25">
      <c r="B837" s="116"/>
    </row>
    <row r="838" spans="2:2" ht="15.75" customHeight="1" x14ac:dyDescent="0.25">
      <c r="B838" s="116"/>
    </row>
    <row r="839" spans="2:2" ht="15.75" customHeight="1" x14ac:dyDescent="0.25">
      <c r="B839" s="116"/>
    </row>
    <row r="840" spans="2:2" ht="15.75" customHeight="1" x14ac:dyDescent="0.25">
      <c r="B840" s="116"/>
    </row>
    <row r="841" spans="2:2" ht="15.75" customHeight="1" x14ac:dyDescent="0.25">
      <c r="B841" s="116"/>
    </row>
    <row r="842" spans="2:2" ht="15.75" customHeight="1" x14ac:dyDescent="0.25">
      <c r="B842" s="116"/>
    </row>
    <row r="843" spans="2:2" ht="15.75" customHeight="1" x14ac:dyDescent="0.25">
      <c r="B843" s="116"/>
    </row>
    <row r="844" spans="2:2" ht="15.75" customHeight="1" x14ac:dyDescent="0.25">
      <c r="B844" s="116"/>
    </row>
    <row r="845" spans="2:2" ht="15.75" customHeight="1" x14ac:dyDescent="0.25">
      <c r="B845" s="116"/>
    </row>
    <row r="846" spans="2:2" ht="15.75" customHeight="1" x14ac:dyDescent="0.25">
      <c r="B846" s="116"/>
    </row>
    <row r="847" spans="2:2" ht="15.75" customHeight="1" x14ac:dyDescent="0.25">
      <c r="B847" s="116"/>
    </row>
    <row r="848" spans="2:2" ht="15.75" customHeight="1" x14ac:dyDescent="0.25">
      <c r="B848" s="116"/>
    </row>
    <row r="849" spans="2:2" ht="15.75" customHeight="1" x14ac:dyDescent="0.25">
      <c r="B849" s="116"/>
    </row>
    <row r="850" spans="2:2" ht="15.75" customHeight="1" x14ac:dyDescent="0.25">
      <c r="B850" s="116"/>
    </row>
    <row r="851" spans="2:2" ht="15.75" customHeight="1" x14ac:dyDescent="0.25">
      <c r="B851" s="116"/>
    </row>
    <row r="852" spans="2:2" ht="15.75" customHeight="1" x14ac:dyDescent="0.25">
      <c r="B852" s="116"/>
    </row>
    <row r="853" spans="2:2" ht="15.75" customHeight="1" x14ac:dyDescent="0.25">
      <c r="B853" s="116"/>
    </row>
    <row r="854" spans="2:2" ht="15.75" customHeight="1" x14ac:dyDescent="0.25">
      <c r="B854" s="116"/>
    </row>
    <row r="855" spans="2:2" ht="15.75" customHeight="1" x14ac:dyDescent="0.25">
      <c r="B855" s="116"/>
    </row>
    <row r="856" spans="2:2" ht="15.75" customHeight="1" x14ac:dyDescent="0.25">
      <c r="B856" s="116"/>
    </row>
    <row r="857" spans="2:2" ht="15.75" customHeight="1" x14ac:dyDescent="0.25">
      <c r="B857" s="116"/>
    </row>
    <row r="858" spans="2:2" ht="15.75" customHeight="1" x14ac:dyDescent="0.25">
      <c r="B858" s="116"/>
    </row>
    <row r="859" spans="2:2" ht="15.75" customHeight="1" x14ac:dyDescent="0.25">
      <c r="B859" s="116"/>
    </row>
    <row r="860" spans="2:2" ht="15.75" customHeight="1" x14ac:dyDescent="0.25">
      <c r="B860" s="116"/>
    </row>
    <row r="861" spans="2:2" ht="15.75" customHeight="1" x14ac:dyDescent="0.25">
      <c r="B861" s="116"/>
    </row>
    <row r="862" spans="2:2" ht="15.75" customHeight="1" x14ac:dyDescent="0.25">
      <c r="B862" s="116"/>
    </row>
    <row r="863" spans="2:2" ht="15.75" customHeight="1" x14ac:dyDescent="0.25">
      <c r="B863" s="116"/>
    </row>
    <row r="864" spans="2:2" ht="15.75" customHeight="1" x14ac:dyDescent="0.25">
      <c r="B864" s="116"/>
    </row>
    <row r="865" spans="2:2" ht="15.75" customHeight="1" x14ac:dyDescent="0.25">
      <c r="B865" s="116"/>
    </row>
    <row r="866" spans="2:2" ht="15.75" customHeight="1" x14ac:dyDescent="0.25">
      <c r="B866" s="116"/>
    </row>
    <row r="867" spans="2:2" ht="15.75" customHeight="1" x14ac:dyDescent="0.25">
      <c r="B867" s="116"/>
    </row>
    <row r="868" spans="2:2" ht="15.75" customHeight="1" x14ac:dyDescent="0.25">
      <c r="B868" s="116"/>
    </row>
    <row r="869" spans="2:2" ht="15.75" customHeight="1" x14ac:dyDescent="0.25">
      <c r="B869" s="116"/>
    </row>
    <row r="870" spans="2:2" ht="15.75" customHeight="1" x14ac:dyDescent="0.25">
      <c r="B870" s="116"/>
    </row>
    <row r="871" spans="2:2" ht="15.75" customHeight="1" x14ac:dyDescent="0.25">
      <c r="B871" s="116"/>
    </row>
    <row r="872" spans="2:2" ht="15.75" customHeight="1" x14ac:dyDescent="0.25">
      <c r="B872" s="116"/>
    </row>
    <row r="873" spans="2:2" ht="15.75" customHeight="1" x14ac:dyDescent="0.25">
      <c r="B873" s="116"/>
    </row>
    <row r="874" spans="2:2" ht="15.75" customHeight="1" x14ac:dyDescent="0.25">
      <c r="B874" s="116"/>
    </row>
    <row r="875" spans="2:2" ht="15.75" customHeight="1" x14ac:dyDescent="0.25">
      <c r="B875" s="116"/>
    </row>
    <row r="876" spans="2:2" ht="15.75" customHeight="1" x14ac:dyDescent="0.25">
      <c r="B876" s="116"/>
    </row>
    <row r="877" spans="2:2" ht="15.75" customHeight="1" x14ac:dyDescent="0.25">
      <c r="B877" s="116"/>
    </row>
    <row r="878" spans="2:2" ht="15.75" customHeight="1" x14ac:dyDescent="0.25">
      <c r="B878" s="116"/>
    </row>
    <row r="879" spans="2:2" ht="15.75" customHeight="1" x14ac:dyDescent="0.25">
      <c r="B879" s="116"/>
    </row>
    <row r="880" spans="2:2" ht="15.75" customHeight="1" x14ac:dyDescent="0.25">
      <c r="B880" s="116"/>
    </row>
    <row r="881" spans="2:2" ht="15.75" customHeight="1" x14ac:dyDescent="0.25">
      <c r="B881" s="116"/>
    </row>
    <row r="882" spans="2:2" ht="15.75" customHeight="1" x14ac:dyDescent="0.25">
      <c r="B882" s="116"/>
    </row>
    <row r="883" spans="2:2" ht="15.75" customHeight="1" x14ac:dyDescent="0.25">
      <c r="B883" s="116"/>
    </row>
    <row r="884" spans="2:2" ht="15.75" customHeight="1" x14ac:dyDescent="0.25">
      <c r="B884" s="116"/>
    </row>
    <row r="885" spans="2:2" ht="15.75" customHeight="1" x14ac:dyDescent="0.25">
      <c r="B885" s="116"/>
    </row>
    <row r="886" spans="2:2" ht="15.75" customHeight="1" x14ac:dyDescent="0.25">
      <c r="B886" s="116"/>
    </row>
    <row r="887" spans="2:2" ht="15.75" customHeight="1" x14ac:dyDescent="0.25">
      <c r="B887" s="116"/>
    </row>
    <row r="888" spans="2:2" ht="15.75" customHeight="1" x14ac:dyDescent="0.25">
      <c r="B888" s="116"/>
    </row>
    <row r="889" spans="2:2" ht="15.75" customHeight="1" x14ac:dyDescent="0.25">
      <c r="B889" s="116"/>
    </row>
    <row r="890" spans="2:2" ht="15.75" customHeight="1" x14ac:dyDescent="0.25">
      <c r="B890" s="116"/>
    </row>
    <row r="891" spans="2:2" ht="15.75" customHeight="1" x14ac:dyDescent="0.25">
      <c r="B891" s="116"/>
    </row>
    <row r="892" spans="2:2" ht="15.75" customHeight="1" x14ac:dyDescent="0.25">
      <c r="B892" s="116"/>
    </row>
    <row r="893" spans="2:2" ht="15.75" customHeight="1" x14ac:dyDescent="0.25">
      <c r="B893" s="116"/>
    </row>
    <row r="894" spans="2:2" ht="15.75" customHeight="1" x14ac:dyDescent="0.25">
      <c r="B894" s="116"/>
    </row>
    <row r="895" spans="2:2" ht="15.75" customHeight="1" x14ac:dyDescent="0.25">
      <c r="B895" s="116"/>
    </row>
    <row r="896" spans="2:2" ht="15.75" customHeight="1" x14ac:dyDescent="0.25">
      <c r="B896" s="116"/>
    </row>
    <row r="897" spans="2:2" ht="15.75" customHeight="1" x14ac:dyDescent="0.25">
      <c r="B897" s="116"/>
    </row>
    <row r="898" spans="2:2" ht="15.75" customHeight="1" x14ac:dyDescent="0.25">
      <c r="B898" s="116"/>
    </row>
    <row r="899" spans="2:2" ht="15.75" customHeight="1" x14ac:dyDescent="0.25">
      <c r="B899" s="116"/>
    </row>
    <row r="900" spans="2:2" ht="15.75" customHeight="1" x14ac:dyDescent="0.25">
      <c r="B900" s="116"/>
    </row>
    <row r="901" spans="2:2" ht="15.75" customHeight="1" x14ac:dyDescent="0.25">
      <c r="B901" s="116"/>
    </row>
    <row r="902" spans="2:2" ht="15.75" customHeight="1" x14ac:dyDescent="0.25">
      <c r="B902" s="116"/>
    </row>
    <row r="903" spans="2:2" ht="15.75" customHeight="1" x14ac:dyDescent="0.25">
      <c r="B903" s="116"/>
    </row>
    <row r="904" spans="2:2" ht="15.75" customHeight="1" x14ac:dyDescent="0.25">
      <c r="B904" s="116"/>
    </row>
    <row r="905" spans="2:2" ht="15.75" customHeight="1" x14ac:dyDescent="0.25">
      <c r="B905" s="116"/>
    </row>
    <row r="906" spans="2:2" ht="15.75" customHeight="1" x14ac:dyDescent="0.25">
      <c r="B906" s="116"/>
    </row>
    <row r="907" spans="2:2" ht="15.75" customHeight="1" x14ac:dyDescent="0.25">
      <c r="B907" s="116"/>
    </row>
    <row r="908" spans="2:2" ht="15.75" customHeight="1" x14ac:dyDescent="0.25">
      <c r="B908" s="116"/>
    </row>
    <row r="909" spans="2:2" ht="15.75" customHeight="1" x14ac:dyDescent="0.25">
      <c r="B909" s="116"/>
    </row>
    <row r="910" spans="2:2" ht="15.75" customHeight="1" x14ac:dyDescent="0.25">
      <c r="B910" s="116"/>
    </row>
    <row r="911" spans="2:2" ht="15.75" customHeight="1" x14ac:dyDescent="0.25">
      <c r="B911" s="116"/>
    </row>
    <row r="912" spans="2:2" ht="15.75" customHeight="1" x14ac:dyDescent="0.25">
      <c r="B912" s="116"/>
    </row>
    <row r="913" spans="2:2" ht="15.75" customHeight="1" x14ac:dyDescent="0.25">
      <c r="B913" s="116"/>
    </row>
    <row r="914" spans="2:2" ht="15.75" customHeight="1" x14ac:dyDescent="0.25">
      <c r="B914" s="116"/>
    </row>
    <row r="915" spans="2:2" ht="15.75" customHeight="1" x14ac:dyDescent="0.25">
      <c r="B915" s="116"/>
    </row>
    <row r="916" spans="2:2" ht="15.75" customHeight="1" x14ac:dyDescent="0.25">
      <c r="B916" s="116"/>
    </row>
    <row r="917" spans="2:2" ht="15.75" customHeight="1" x14ac:dyDescent="0.25">
      <c r="B917" s="116"/>
    </row>
    <row r="918" spans="2:2" ht="15.75" customHeight="1" x14ac:dyDescent="0.25">
      <c r="B918" s="116"/>
    </row>
    <row r="919" spans="2:2" ht="15.75" customHeight="1" x14ac:dyDescent="0.25">
      <c r="B919" s="116"/>
    </row>
    <row r="920" spans="2:2" ht="15.75" customHeight="1" x14ac:dyDescent="0.25">
      <c r="B920" s="116"/>
    </row>
    <row r="921" spans="2:2" ht="15.75" customHeight="1" x14ac:dyDescent="0.25">
      <c r="B921" s="116"/>
    </row>
    <row r="922" spans="2:2" ht="15.75" customHeight="1" x14ac:dyDescent="0.25">
      <c r="B922" s="116"/>
    </row>
    <row r="923" spans="2:2" ht="15.75" customHeight="1" x14ac:dyDescent="0.25">
      <c r="B923" s="116"/>
    </row>
    <row r="924" spans="2:2" ht="15.75" customHeight="1" x14ac:dyDescent="0.25">
      <c r="B924" s="116"/>
    </row>
    <row r="925" spans="2:2" ht="15.75" customHeight="1" x14ac:dyDescent="0.25">
      <c r="B925" s="116"/>
    </row>
    <row r="926" spans="2:2" ht="15.75" customHeight="1" x14ac:dyDescent="0.25">
      <c r="B926" s="116"/>
    </row>
    <row r="927" spans="2:2" ht="15.75" customHeight="1" x14ac:dyDescent="0.25">
      <c r="B927" s="116"/>
    </row>
    <row r="928" spans="2:2" ht="15.75" customHeight="1" x14ac:dyDescent="0.25">
      <c r="B928" s="116"/>
    </row>
    <row r="929" spans="2:2" ht="15.75" customHeight="1" x14ac:dyDescent="0.25">
      <c r="B929" s="116"/>
    </row>
    <row r="930" spans="2:2" ht="15.75" customHeight="1" x14ac:dyDescent="0.25">
      <c r="B930" s="116"/>
    </row>
    <row r="931" spans="2:2" ht="15.75" customHeight="1" x14ac:dyDescent="0.25">
      <c r="B931" s="116"/>
    </row>
    <row r="932" spans="2:2" ht="15.75" customHeight="1" x14ac:dyDescent="0.25">
      <c r="B932" s="116"/>
    </row>
    <row r="933" spans="2:2" ht="15.75" customHeight="1" x14ac:dyDescent="0.25">
      <c r="B933" s="116"/>
    </row>
    <row r="934" spans="2:2" ht="15.75" customHeight="1" x14ac:dyDescent="0.25">
      <c r="B934" s="116"/>
    </row>
    <row r="935" spans="2:2" ht="15.75" customHeight="1" x14ac:dyDescent="0.25">
      <c r="B935" s="116"/>
    </row>
    <row r="936" spans="2:2" ht="15.75" customHeight="1" x14ac:dyDescent="0.25">
      <c r="B936" s="116"/>
    </row>
    <row r="937" spans="2:2" ht="15.75" customHeight="1" x14ac:dyDescent="0.25">
      <c r="B937" s="116"/>
    </row>
    <row r="938" spans="2:2" ht="15.75" customHeight="1" x14ac:dyDescent="0.25">
      <c r="B938" s="116"/>
    </row>
    <row r="939" spans="2:2" ht="15.75" customHeight="1" x14ac:dyDescent="0.25">
      <c r="B939" s="116"/>
    </row>
    <row r="940" spans="2:2" ht="15.75" customHeight="1" x14ac:dyDescent="0.25">
      <c r="B940" s="116"/>
    </row>
    <row r="941" spans="2:2" ht="15.75" customHeight="1" x14ac:dyDescent="0.25">
      <c r="B941" s="116"/>
    </row>
    <row r="942" spans="2:2" ht="15.75" customHeight="1" x14ac:dyDescent="0.25">
      <c r="B942" s="116"/>
    </row>
    <row r="943" spans="2:2" ht="15.75" customHeight="1" x14ac:dyDescent="0.25">
      <c r="B943" s="116"/>
    </row>
    <row r="944" spans="2:2" ht="15.75" customHeight="1" x14ac:dyDescent="0.25">
      <c r="B944" s="116"/>
    </row>
    <row r="945" spans="2:2" ht="15.75" customHeight="1" x14ac:dyDescent="0.25">
      <c r="B945" s="116"/>
    </row>
    <row r="946" spans="2:2" ht="15.75" customHeight="1" x14ac:dyDescent="0.25">
      <c r="B946" s="116"/>
    </row>
    <row r="947" spans="2:2" ht="15.75" customHeight="1" x14ac:dyDescent="0.25">
      <c r="B947" s="116"/>
    </row>
    <row r="948" spans="2:2" ht="15.75" customHeight="1" x14ac:dyDescent="0.25">
      <c r="B948" s="116"/>
    </row>
    <row r="949" spans="2:2" ht="15.75" customHeight="1" x14ac:dyDescent="0.25">
      <c r="B949" s="116"/>
    </row>
    <row r="950" spans="2:2" ht="15.75" customHeight="1" x14ac:dyDescent="0.25">
      <c r="B950" s="116"/>
    </row>
    <row r="951" spans="2:2" ht="15.75" customHeight="1" x14ac:dyDescent="0.25">
      <c r="B951" s="116"/>
    </row>
    <row r="952" spans="2:2" ht="15.75" customHeight="1" x14ac:dyDescent="0.25">
      <c r="B952" s="116"/>
    </row>
    <row r="953" spans="2:2" ht="15.75" customHeight="1" x14ac:dyDescent="0.25">
      <c r="B953" s="116"/>
    </row>
    <row r="954" spans="2:2" ht="15.75" customHeight="1" x14ac:dyDescent="0.25">
      <c r="B954" s="116"/>
    </row>
    <row r="955" spans="2:2" ht="15.75" customHeight="1" x14ac:dyDescent="0.25">
      <c r="B955" s="116"/>
    </row>
    <row r="956" spans="2:2" ht="15.75" customHeight="1" x14ac:dyDescent="0.25">
      <c r="B956" s="116"/>
    </row>
    <row r="957" spans="2:2" ht="15.75" customHeight="1" x14ac:dyDescent="0.25">
      <c r="B957" s="116"/>
    </row>
    <row r="958" spans="2:2" ht="15.75" customHeight="1" x14ac:dyDescent="0.25">
      <c r="B958" s="116"/>
    </row>
    <row r="959" spans="2:2" ht="15.75" customHeight="1" x14ac:dyDescent="0.25">
      <c r="B959" s="116"/>
    </row>
    <row r="960" spans="2:2" ht="15.75" customHeight="1" x14ac:dyDescent="0.25">
      <c r="B960" s="116"/>
    </row>
    <row r="961" spans="2:2" ht="15.75" customHeight="1" x14ac:dyDescent="0.25">
      <c r="B961" s="116"/>
    </row>
    <row r="962" spans="2:2" ht="15.75" customHeight="1" x14ac:dyDescent="0.25">
      <c r="B962" s="116"/>
    </row>
    <row r="963" spans="2:2" ht="15.75" customHeight="1" x14ac:dyDescent="0.25">
      <c r="B963" s="116"/>
    </row>
    <row r="964" spans="2:2" ht="15.75" customHeight="1" x14ac:dyDescent="0.25">
      <c r="B964" s="116"/>
    </row>
    <row r="965" spans="2:2" ht="15.75" customHeight="1" x14ac:dyDescent="0.25">
      <c r="B965" s="116"/>
    </row>
    <row r="966" spans="2:2" ht="15.75" customHeight="1" x14ac:dyDescent="0.25">
      <c r="B966" s="116"/>
    </row>
    <row r="967" spans="2:2" ht="15.75" customHeight="1" x14ac:dyDescent="0.25">
      <c r="B967" s="116"/>
    </row>
    <row r="968" spans="2:2" ht="15.75" customHeight="1" x14ac:dyDescent="0.25">
      <c r="B968" s="116"/>
    </row>
    <row r="969" spans="2:2" ht="15.75" customHeight="1" x14ac:dyDescent="0.25">
      <c r="B969" s="116"/>
    </row>
    <row r="970" spans="2:2" ht="15.75" customHeight="1" x14ac:dyDescent="0.25">
      <c r="B970" s="116"/>
    </row>
    <row r="971" spans="2:2" ht="15.75" customHeight="1" x14ac:dyDescent="0.25">
      <c r="B971" s="116"/>
    </row>
    <row r="972" spans="2:2" ht="15.75" customHeight="1" x14ac:dyDescent="0.25">
      <c r="B972" s="116"/>
    </row>
    <row r="973" spans="2:2" ht="15.75" customHeight="1" x14ac:dyDescent="0.25">
      <c r="B973" s="116"/>
    </row>
    <row r="974" spans="2:2" ht="15.75" customHeight="1" x14ac:dyDescent="0.25">
      <c r="B974" s="116"/>
    </row>
    <row r="975" spans="2:2" ht="15.75" customHeight="1" x14ac:dyDescent="0.25">
      <c r="B975" s="116"/>
    </row>
    <row r="976" spans="2:2" ht="15.75" customHeight="1" x14ac:dyDescent="0.25">
      <c r="B976" s="116"/>
    </row>
    <row r="977" spans="2:2" ht="15.75" customHeight="1" x14ac:dyDescent="0.25">
      <c r="B977" s="116"/>
    </row>
    <row r="978" spans="2:2" ht="15.75" customHeight="1" x14ac:dyDescent="0.25">
      <c r="B978" s="116"/>
    </row>
    <row r="979" spans="2:2" ht="15.75" customHeight="1" x14ac:dyDescent="0.25">
      <c r="B979" s="116"/>
    </row>
    <row r="980" spans="2:2" ht="15.75" customHeight="1" x14ac:dyDescent="0.25">
      <c r="B980" s="116"/>
    </row>
    <row r="981" spans="2:2" ht="15.75" customHeight="1" x14ac:dyDescent="0.25">
      <c r="B981" s="116"/>
    </row>
    <row r="982" spans="2:2" ht="15.75" customHeight="1" x14ac:dyDescent="0.25">
      <c r="B982" s="116"/>
    </row>
    <row r="983" spans="2:2" ht="15.75" customHeight="1" x14ac:dyDescent="0.25">
      <c r="B983" s="116"/>
    </row>
    <row r="984" spans="2:2" ht="15.75" customHeight="1" x14ac:dyDescent="0.25">
      <c r="B984" s="116"/>
    </row>
    <row r="985" spans="2:2" ht="15.75" customHeight="1" x14ac:dyDescent="0.25">
      <c r="B985" s="116"/>
    </row>
    <row r="986" spans="2:2" ht="15.75" customHeight="1" x14ac:dyDescent="0.25">
      <c r="B986" s="116"/>
    </row>
    <row r="987" spans="2:2" ht="15.75" customHeight="1" x14ac:dyDescent="0.25">
      <c r="B987" s="116"/>
    </row>
    <row r="988" spans="2:2" ht="15.75" customHeight="1" x14ac:dyDescent="0.25">
      <c r="B988" s="116"/>
    </row>
    <row r="989" spans="2:2" ht="15.75" customHeight="1" x14ac:dyDescent="0.25">
      <c r="B989" s="116"/>
    </row>
    <row r="990" spans="2:2" ht="15.75" customHeight="1" x14ac:dyDescent="0.25">
      <c r="B990" s="116"/>
    </row>
    <row r="991" spans="2:2" ht="15.75" customHeight="1" x14ac:dyDescent="0.25">
      <c r="B991" s="116"/>
    </row>
    <row r="992" spans="2:2" ht="15.75" customHeight="1" x14ac:dyDescent="0.25">
      <c r="B992" s="116"/>
    </row>
    <row r="993" spans="2:2" ht="15.75" customHeight="1" x14ac:dyDescent="0.25">
      <c r="B993" s="116"/>
    </row>
    <row r="994" spans="2:2" ht="15.75" customHeight="1" x14ac:dyDescent="0.25">
      <c r="B994" s="116"/>
    </row>
    <row r="995" spans="2:2" ht="15.75" customHeight="1" x14ac:dyDescent="0.25">
      <c r="B995" s="116"/>
    </row>
    <row r="996" spans="2:2" ht="15.75" customHeight="1" x14ac:dyDescent="0.25">
      <c r="B996" s="116"/>
    </row>
    <row r="997" spans="2:2" ht="15.75" customHeight="1" x14ac:dyDescent="0.25">
      <c r="B997" s="116"/>
    </row>
    <row r="998" spans="2:2" ht="15.75" customHeight="1" x14ac:dyDescent="0.25">
      <c r="B998" s="116"/>
    </row>
    <row r="999" spans="2:2" ht="15.75" customHeight="1" x14ac:dyDescent="0.25">
      <c r="B999" s="116"/>
    </row>
    <row r="1000" spans="2:2" ht="15.75" customHeight="1" x14ac:dyDescent="0.25">
      <c r="B1000" s="116"/>
    </row>
    <row r="1001" spans="2:2" ht="15.75" customHeight="1" x14ac:dyDescent="0.25">
      <c r="B1001" s="116"/>
    </row>
    <row r="1002" spans="2:2" ht="15.75" customHeight="1" x14ac:dyDescent="0.25">
      <c r="B1002" s="116"/>
    </row>
    <row r="1003" spans="2:2" ht="15.75" customHeight="1" x14ac:dyDescent="0.25">
      <c r="B1003" s="116"/>
    </row>
    <row r="1004" spans="2:2" ht="15.75" customHeight="1" x14ac:dyDescent="0.25">
      <c r="B1004" s="116"/>
    </row>
    <row r="1005" spans="2:2" ht="15.75" customHeight="1" x14ac:dyDescent="0.25">
      <c r="B1005" s="116"/>
    </row>
    <row r="1006" spans="2:2" ht="15.75" customHeight="1" x14ac:dyDescent="0.25">
      <c r="B1006" s="116"/>
    </row>
    <row r="1007" spans="2:2" ht="15.75" customHeight="1" x14ac:dyDescent="0.25">
      <c r="B1007" s="116"/>
    </row>
    <row r="1008" spans="2:2" ht="15.75" customHeight="1" x14ac:dyDescent="0.25">
      <c r="B1008" s="116"/>
    </row>
    <row r="1009" spans="2:2" ht="15.75" customHeight="1" x14ac:dyDescent="0.25">
      <c r="B1009" s="116"/>
    </row>
    <row r="1010" spans="2:2" ht="15.75" customHeight="1" x14ac:dyDescent="0.25">
      <c r="B1010" s="116"/>
    </row>
    <row r="1011" spans="2:2" ht="15.75" customHeight="1" x14ac:dyDescent="0.25">
      <c r="B1011" s="116"/>
    </row>
    <row r="1012" spans="2:2" ht="15.75" customHeight="1" x14ac:dyDescent="0.25">
      <c r="B1012" s="116"/>
    </row>
  </sheetData>
  <mergeCells count="30">
    <mergeCell ref="E71:F71"/>
    <mergeCell ref="I87:AD87"/>
    <mergeCell ref="I88:AD88"/>
    <mergeCell ref="D73:F73"/>
    <mergeCell ref="D74:F74"/>
    <mergeCell ref="A80:C80"/>
    <mergeCell ref="A81:C81"/>
    <mergeCell ref="D72:F72"/>
    <mergeCell ref="I72:J72"/>
    <mergeCell ref="K72:AD72"/>
    <mergeCell ref="K73:AD73"/>
    <mergeCell ref="K74:AD74"/>
    <mergeCell ref="D12:D14"/>
    <mergeCell ref="G12:G14"/>
    <mergeCell ref="H12:H14"/>
    <mergeCell ref="D15:D17"/>
    <mergeCell ref="H15:H17"/>
    <mergeCell ref="F15:F17"/>
    <mergeCell ref="G15:G17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</mergeCells>
  <pageMargins left="0.7" right="0.7" top="0.75" bottom="0.75" header="0" footer="0"/>
  <pageSetup paperSize="14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9765625" defaultRowHeight="1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PPMP Quarter 2 Y2</vt:lpstr>
      <vt:lpstr>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Maybel Mangampo</cp:lastModifiedBy>
  <dcterms:created xsi:type="dcterms:W3CDTF">2024-01-03T07:55:13Z</dcterms:created>
  <dcterms:modified xsi:type="dcterms:W3CDTF">2024-05-20T05:59:46Z</dcterms:modified>
</cp:coreProperties>
</file>