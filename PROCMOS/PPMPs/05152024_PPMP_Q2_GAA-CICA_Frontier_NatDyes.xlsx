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PMP Quarter 2 (as of 15 May 20" sheetId="1" r:id="rId4"/>
  </sheets>
  <definedNames/>
  <calcPr/>
  <extLst>
    <ext uri="GoogleSheetsCustomDataVersion2">
      <go:sheetsCustomData xmlns:go="http://customooxmlschemas.google.com/" r:id="rId5" roundtripDataChecksum="J050BF841iUf2a5iVA9sMvPuvj+ULKmxYTuCOzGvWbc="/>
    </ext>
  </extLst>
</workbook>
</file>

<file path=xl/sharedStrings.xml><?xml version="1.0" encoding="utf-8"?>
<sst xmlns="http://schemas.openxmlformats.org/spreadsheetml/2006/main" count="807" uniqueCount="357">
  <si>
    <t>For 2nd Quarter of CY 2024</t>
  </si>
  <si>
    <t>END-USER/UNIT: RDD-CDABUS</t>
  </si>
  <si>
    <t>Charged to: GAA-CICA project entitled "FRONTIER: Fostering the Revitalization of Nascent Textile Innovation Ecosystems in the Regions - Establishment of Natural Dye Hub"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</si>
  <si>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</si>
  <si>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</si>
  <si>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</si>
  <si>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</si>
  <si>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</si>
  <si>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</si>
  <si>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</si>
  <si>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</si>
  <si>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</si>
  <si>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</si>
  <si>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</si>
  <si>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Apr</t>
  </si>
  <si>
    <t>May</t>
  </si>
  <si>
    <t>Jun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</si>
  <si>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</si>
  <si>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</si>
  <si>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</si>
  <si>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</si>
  <si>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</si>
  <si>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</si>
  <si>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</si>
  <si>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</si>
  <si>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</si>
  <si>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</si>
  <si>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</si>
  <si>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</si>
  <si>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</si>
  <si>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</si>
  <si>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</si>
  <si>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</si>
  <si>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</si>
  <si>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</si>
  <si>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</si>
  <si>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</si>
  <si>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</si>
  <si>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</si>
  <si>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</si>
  <si>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</si>
  <si>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</si>
  <si>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</si>
  <si>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</si>
  <si>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</si>
  <si>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</si>
  <si>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</si>
  <si>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</si>
  <si>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</si>
  <si>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</si>
  <si>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</si>
  <si>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</si>
  <si>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</si>
  <si>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</si>
  <si>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</si>
  <si>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</si>
  <si>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</si>
  <si>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</si>
  <si>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</si>
  <si>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</si>
  <si>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</si>
  <si>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</si>
  <si>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</si>
  <si>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</si>
  <si>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</si>
  <si>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</si>
  <si>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</si>
  <si>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</si>
  <si>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</si>
  <si>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</si>
  <si>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</si>
  <si>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</si>
  <si>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</si>
  <si>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</si>
  <si>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</si>
  <si>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</si>
  <si>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50604050 03</t>
  </si>
  <si>
    <t>Information &amp; Communication Technology Equipment</t>
  </si>
  <si>
    <t>Conference Room Projector</t>
  </si>
  <si>
    <t>1 piece</t>
  </si>
  <si>
    <t>Shopping</t>
  </si>
  <si>
    <t>15 working days</t>
  </si>
  <si>
    <t>Wireless Presentation Remote and Laser</t>
  </si>
  <si>
    <t>2 pieces</t>
  </si>
  <si>
    <t>HDMI Cable</t>
  </si>
  <si>
    <t>3 pieces</t>
  </si>
  <si>
    <t>Universal Extension Cable</t>
  </si>
  <si>
    <t>50203010 02</t>
  </si>
  <si>
    <t>Office Supplies Expenses</t>
  </si>
  <si>
    <t>Permanent marker (blue)</t>
  </si>
  <si>
    <t>1 box</t>
  </si>
  <si>
    <t>Permanent marker (black)</t>
  </si>
  <si>
    <t>Pencil</t>
  </si>
  <si>
    <t>5 boxes</t>
  </si>
  <si>
    <t>Sharpener</t>
  </si>
  <si>
    <t>Ballpen (Blue)</t>
  </si>
  <si>
    <t>100 pieces</t>
  </si>
  <si>
    <t>Gel pen (Blue)</t>
  </si>
  <si>
    <t>50 pieces</t>
  </si>
  <si>
    <t>Masking tape medium size</t>
  </si>
  <si>
    <t>25 pieces</t>
  </si>
  <si>
    <t>Masking tape large size</t>
  </si>
  <si>
    <t>Double adhesive tape</t>
  </si>
  <si>
    <t>Cubicle workstation</t>
  </si>
  <si>
    <t>2 lots</t>
  </si>
  <si>
    <t>Conference table</t>
  </si>
  <si>
    <t>Sofa set</t>
  </si>
  <si>
    <t>1 set</t>
  </si>
  <si>
    <t>Reversible Magnetic Mobile White Board</t>
  </si>
  <si>
    <t>1 pieces</t>
  </si>
  <si>
    <t>White Board Marker</t>
  </si>
  <si>
    <t>White Board Eraser</t>
  </si>
  <si>
    <t>20 pieces</t>
  </si>
  <si>
    <t>Printer Ink</t>
  </si>
  <si>
    <t xml:space="preserve">50 sets </t>
  </si>
  <si>
    <t>Multipurpose-Scissors</t>
  </si>
  <si>
    <t>10 pieces</t>
  </si>
  <si>
    <t>Toner</t>
  </si>
  <si>
    <t>Printer Maintenance Box</t>
  </si>
  <si>
    <t>5 pieces</t>
  </si>
  <si>
    <t>Sewing Thread Rack, 48 spool, wall-mounted</t>
  </si>
  <si>
    <t>Expanding Envelopes</t>
  </si>
  <si>
    <t>Paper Clips, various sizes</t>
  </si>
  <si>
    <t>50 boxes</t>
  </si>
  <si>
    <t>Binder Clips, various sizes</t>
  </si>
  <si>
    <t xml:space="preserve">50 boxes </t>
  </si>
  <si>
    <t>Portable Storage Box</t>
  </si>
  <si>
    <t>15 boxes</t>
  </si>
  <si>
    <t>Hardbound Signing Folder</t>
  </si>
  <si>
    <t>A4 Size Bond Paper</t>
  </si>
  <si>
    <t>25 boxes</t>
  </si>
  <si>
    <t>15-30 working days</t>
  </si>
  <si>
    <t>Folio Size Bond Paper</t>
  </si>
  <si>
    <t>Acrylic Name Plate Stand</t>
  </si>
  <si>
    <t>50203080 00</t>
  </si>
  <si>
    <t>Medical, Dental  Laboratory Supplies Expenses</t>
  </si>
  <si>
    <t>Vacuum pump</t>
  </si>
  <si>
    <t>30 working days</t>
  </si>
  <si>
    <t>Nitrile Gloves, ambidextrous, non-sterile, powder-free, various sizes</t>
  </si>
  <si>
    <t>60-90 working days</t>
  </si>
  <si>
    <t>White Nylon Mechanic Work Gloves, Size 7, Small, Nitrile Foam Coating</t>
  </si>
  <si>
    <t>10 packs</t>
  </si>
  <si>
    <t>White Nylon Mechanic Work Gloves, Size 8, Medium, Nitrile Foam Coating</t>
  </si>
  <si>
    <t>White Nylon Mechanic Work Gloves, Size 10, XL, Nitrile Foam Coating</t>
  </si>
  <si>
    <t>Stainless Steel Laboratory Trolley</t>
  </si>
  <si>
    <t>Beaker with handle 3000 mL, borosilicate glass</t>
  </si>
  <si>
    <t>Bleaching Solution</t>
  </si>
  <si>
    <t xml:space="preserve">40 gallons </t>
  </si>
  <si>
    <t xml:space="preserve">Liquid Detergent </t>
  </si>
  <si>
    <t xml:space="preserve">20 bottles </t>
  </si>
  <si>
    <t>Liquid Handsoap</t>
  </si>
  <si>
    <t>Disinfectant Spray</t>
  </si>
  <si>
    <t xml:space="preserve">25 bottles </t>
  </si>
  <si>
    <t>UV-Vis Rectangular Quartz Cuvette, with frosted and clear sides, 10mm</t>
  </si>
  <si>
    <t>4 pieces</t>
  </si>
  <si>
    <t>Negotiated Procurement - Small Value Procurement</t>
  </si>
  <si>
    <t>Quartz Cuvette, with frosted and clear sides, 20mm</t>
  </si>
  <si>
    <t>Whatman Filter Paper, 125mm</t>
  </si>
  <si>
    <t>Cleaning Sponge (Foam and Scratch)</t>
  </si>
  <si>
    <t>48 pieces</t>
  </si>
  <si>
    <t>Alcohol (Isopropyl)</t>
  </si>
  <si>
    <t>20 gallons</t>
  </si>
  <si>
    <t>Alcohol dispenser</t>
  </si>
  <si>
    <t>Fabric conditioner (Downy antibac)</t>
  </si>
  <si>
    <t>15 packs</t>
  </si>
  <si>
    <t>Laundry bar (Perla)</t>
  </si>
  <si>
    <t>Multipurpose Sponge and Foam (Scotch Brite)</t>
  </si>
  <si>
    <t>Natural dye powder (Yellow ginger)</t>
  </si>
  <si>
    <t>2 kilogram</t>
  </si>
  <si>
    <t>Natural dye powder (Mahogany)</t>
  </si>
  <si>
    <t>Natural dye powder (Talisay)</t>
  </si>
  <si>
    <t xml:space="preserve">Stainless Steel Strainers </t>
  </si>
  <si>
    <t>Glass container with aluminum lid 250ml</t>
  </si>
  <si>
    <t>Glass container with aluminum lid 50ml</t>
  </si>
  <si>
    <t>PET bottles 250ml</t>
  </si>
  <si>
    <t>Non-Ionic detergent (Cleanmate)</t>
  </si>
  <si>
    <t>25 gallons</t>
  </si>
  <si>
    <t>LPG Refill</t>
  </si>
  <si>
    <t>Per schedule</t>
  </si>
  <si>
    <t>Hose and regulator</t>
  </si>
  <si>
    <t>Plastic bag (black) Large</t>
  </si>
  <si>
    <t>Plastic bag (clear) Large</t>
  </si>
  <si>
    <t>Multipurpose Rag</t>
  </si>
  <si>
    <t xml:space="preserve">Disposable Face Mask </t>
  </si>
  <si>
    <t>20 boxes</t>
  </si>
  <si>
    <t>Interfolded paper towels, 2 ply, 150 pulls, 30 packs per box</t>
  </si>
  <si>
    <t>30 boxes</t>
  </si>
  <si>
    <t>Tissue paper, 3 ply, 24 rolls per pack</t>
  </si>
  <si>
    <t>30 packs</t>
  </si>
  <si>
    <t>Methanol, 2.5L, AR, CAS No. 67-56-1</t>
  </si>
  <si>
    <t>20 bottles</t>
  </si>
  <si>
    <t>Acetone, AR, 2.5L per bottle, CAS No. 67-64-1</t>
  </si>
  <si>
    <t>10 bottles</t>
  </si>
  <si>
    <t>Nutrient Broth, analytic grade, 500 grams per bottle</t>
  </si>
  <si>
    <t>Guar Gum, analytic grade, 1 kg per bottle</t>
  </si>
  <si>
    <t>3 bottles</t>
  </si>
  <si>
    <t>Cream of tartar, 500g per bottle</t>
  </si>
  <si>
    <t>2 bottles</t>
  </si>
  <si>
    <t>Ammonium sulfate, 500g per bottle</t>
  </si>
  <si>
    <t>Sodium acetate, 500g per bottle</t>
  </si>
  <si>
    <t xml:space="preserve">2 bottles </t>
  </si>
  <si>
    <t>Sodium Benzoate, 500g per bottle</t>
  </si>
  <si>
    <t>Citric Acid, 500g per bottle</t>
  </si>
  <si>
    <t>Tartaric Acid/Oxalic Acid, 1000g per bottle</t>
  </si>
  <si>
    <t>Sodium carbonate, 500g per bottle</t>
  </si>
  <si>
    <t>Potassium Alumium sulfate, Analytical grade, 1000g per bottle</t>
  </si>
  <si>
    <t xml:space="preserve">1 bottle </t>
  </si>
  <si>
    <t>Potassium Alumium sulfate, technical grade, 1000g per bottle</t>
  </si>
  <si>
    <t>Sodium hydroxide</t>
  </si>
  <si>
    <t>25 kilograms</t>
  </si>
  <si>
    <t>Copper Sulfate</t>
  </si>
  <si>
    <t>75 kilograms</t>
  </si>
  <si>
    <t>Soda ash</t>
  </si>
  <si>
    <t xml:space="preserve">Glacial Acetic Acid, technical grade, 30 kg per carbouy
</t>
  </si>
  <si>
    <t>Sodium hydrosulfite</t>
  </si>
  <si>
    <t>10 kilograms</t>
  </si>
  <si>
    <t>Calcium hydroxide(lime)</t>
  </si>
  <si>
    <t>Ethanol, 4L/cby</t>
  </si>
  <si>
    <t>5 carboy</t>
  </si>
  <si>
    <t>Hydrogen Peroxide</t>
  </si>
  <si>
    <t>10 carboy</t>
  </si>
  <si>
    <t>50203990 00</t>
  </si>
  <si>
    <t>Other Supplies Expenses</t>
  </si>
  <si>
    <t>Silkscreen Printing Table and Accessories</t>
  </si>
  <si>
    <t>Fluorscent Lamp</t>
  </si>
  <si>
    <t>Cable wires</t>
  </si>
  <si>
    <t>1 lot</t>
  </si>
  <si>
    <t>Weighing balance, digital, 0.5-7.5kg</t>
  </si>
  <si>
    <t>Weighing balance, mechanical, 60kg</t>
  </si>
  <si>
    <t>Tongs</t>
  </si>
  <si>
    <t>60 pieces</t>
  </si>
  <si>
    <t>LPG Tank and Refill</t>
  </si>
  <si>
    <t>Stirrers</t>
  </si>
  <si>
    <t>Strainer small</t>
  </si>
  <si>
    <t>30 pieces</t>
  </si>
  <si>
    <t>Strainer medium</t>
  </si>
  <si>
    <t>Strainer large</t>
  </si>
  <si>
    <t>Beakers</t>
  </si>
  <si>
    <t>Graduated Cylinders</t>
  </si>
  <si>
    <t>Polyethylene plastic (standard)</t>
  </si>
  <si>
    <t>25 packs</t>
  </si>
  <si>
    <t>Measuring cup, max 2 L capacity</t>
  </si>
  <si>
    <t>Stainless steel cup, 1L (for colormatching)</t>
  </si>
  <si>
    <t>Stainless steel vessel, 5L capacity</t>
  </si>
  <si>
    <t>Stainless vessel, 10L capacity</t>
  </si>
  <si>
    <t>Seedlings</t>
  </si>
  <si>
    <t>Plastic container, 120L</t>
  </si>
  <si>
    <t>Water sprinklers</t>
  </si>
  <si>
    <t>Water can</t>
  </si>
  <si>
    <t>Mosquito net</t>
  </si>
  <si>
    <t>Canvas (Lona)</t>
  </si>
  <si>
    <t>Shovel Round</t>
  </si>
  <si>
    <t>Shovel Spade</t>
  </si>
  <si>
    <t>Pico</t>
  </si>
  <si>
    <t>Pruning shear</t>
  </si>
  <si>
    <t>Bolo</t>
  </si>
  <si>
    <t>Hoe</t>
  </si>
  <si>
    <t>Carborundum</t>
  </si>
  <si>
    <t>Seedling bag</t>
  </si>
  <si>
    <t>Stainless vessel, 20 - 30 L cap.</t>
  </si>
  <si>
    <t>Coffee powder, 200g per bottle</t>
  </si>
  <si>
    <t>Ceramic mug and saucer</t>
  </si>
  <si>
    <t>15 pieces</t>
  </si>
  <si>
    <t>Drinking glass</t>
  </si>
  <si>
    <t>Ceramic plates</t>
  </si>
  <si>
    <t>Placemats</t>
  </si>
  <si>
    <t>Stainless vessel, 60 - 70 L cap</t>
  </si>
  <si>
    <t>Silkscreen frames</t>
  </si>
  <si>
    <t>25pieces</t>
  </si>
  <si>
    <t>Photographic table/light box</t>
  </si>
  <si>
    <t>Flat iron</t>
  </si>
  <si>
    <t>Hair blower</t>
  </si>
  <si>
    <t>Hand-held steamer</t>
  </si>
  <si>
    <t>Paint brush</t>
  </si>
  <si>
    <t>Craft Art blades</t>
  </si>
  <si>
    <t>10 sets</t>
  </si>
  <si>
    <t>Pails</t>
  </si>
  <si>
    <t>Basin</t>
  </si>
  <si>
    <t>Vietcong Burners</t>
  </si>
  <si>
    <t xml:space="preserve">20 pieces Naturally-dyed handloom woven fabrics </t>
  </si>
  <si>
    <t>Dye sources - Talisay leaves</t>
  </si>
  <si>
    <t>50 kilograms</t>
  </si>
  <si>
    <t>Cash Advance</t>
  </si>
  <si>
    <t>Dye sources - Annatto seeds</t>
  </si>
  <si>
    <t>Dye sources - Buko</t>
  </si>
  <si>
    <t>Dye sources - Cogon grass</t>
  </si>
  <si>
    <t>Dye sources - Yellow ginger</t>
  </si>
  <si>
    <t>Frequency Converter (Variable Frequency Drive)</t>
  </si>
  <si>
    <t>60 working days</t>
  </si>
  <si>
    <t>50211990 00</t>
  </si>
  <si>
    <t>Other Professional Services</t>
  </si>
  <si>
    <t>Heavy metal testing for fibers and fabrics</t>
  </si>
  <si>
    <t>10 lots</t>
  </si>
  <si>
    <t>Colorfastness Test for Dyed Fabrics</t>
  </si>
  <si>
    <t>Commissioned exhibit materials</t>
  </si>
  <si>
    <t>General Provision for Services</t>
  </si>
  <si>
    <t>5 lots</t>
  </si>
  <si>
    <t xml:space="preserve">Other professional services, weaving of 20 meters (length) × 20 inches (width), naturally-dyed yarns	</t>
  </si>
  <si>
    <t>Other professional services, sewing and development of naturally-dyed wearables for men and women</t>
  </si>
  <si>
    <t>Other professional services, sewing and development of naturally-dyed pina-bamboo fabrics into barong for men and women</t>
  </si>
  <si>
    <t>Printing and Binding Expenses</t>
  </si>
  <si>
    <t>Printing Services (Tarpaulin, etc.)</t>
  </si>
  <si>
    <t>Training expenses</t>
  </si>
  <si>
    <t>Training, seminars, and conferences expenses</t>
  </si>
  <si>
    <t>50299040 00</t>
  </si>
  <si>
    <t>Delivery and Transportation Expenses</t>
  </si>
  <si>
    <t>Delivery expense, from DOST-PTRI to weaving communities, partners, and stakeholders, and vice-versa</t>
  </si>
  <si>
    <t>30 lots</t>
  </si>
  <si>
    <t>Transportation expense, from DOST-PTRI to weaving communities, partners, and stakeholders, and vice-versa</t>
  </si>
  <si>
    <t>50213050 14</t>
  </si>
  <si>
    <t>Repair and Maintenance</t>
  </si>
  <si>
    <r>
      <rPr>
        <rFont val="Arial"/>
        <color theme="1"/>
        <sz val="9.0"/>
      </rPr>
      <t>Additional Works for Nat</t>
    </r>
    <r>
      <rPr>
        <rFont val="Arial"/>
        <i/>
        <color theme="1"/>
        <sz val="9.0"/>
      </rPr>
      <t xml:space="preserve">Dyes </t>
    </r>
    <r>
      <rPr>
        <rFont val="Arial"/>
        <color theme="1"/>
        <sz val="9.0"/>
      </rPr>
      <t>Hubs</t>
    </r>
  </si>
  <si>
    <t>3 lots</t>
  </si>
  <si>
    <t>Negotiated Procurement</t>
  </si>
  <si>
    <t>120 working days</t>
  </si>
  <si>
    <t>TBI repairs</t>
  </si>
  <si>
    <r>
      <rPr>
        <rFont val="Arial"/>
        <color theme="1"/>
        <sz val="9.0"/>
      </rPr>
      <t>Construction Works for Nat</t>
    </r>
    <r>
      <rPr>
        <rFont val="Arial"/>
        <i/>
        <color theme="1"/>
        <sz val="9.0"/>
      </rPr>
      <t>Dyes</t>
    </r>
    <r>
      <rPr>
        <rFont val="Arial"/>
        <color theme="1"/>
        <sz val="9.0"/>
      </rPr>
      <t xml:space="preserve"> Hubs</t>
    </r>
  </si>
  <si>
    <r>
      <rPr>
        <rFont val="Arial"/>
        <color theme="1"/>
        <sz val="9.0"/>
      </rPr>
      <t>Signages for Nat</t>
    </r>
    <r>
      <rPr>
        <rFont val="Arial"/>
        <i/>
        <color theme="1"/>
        <sz val="9.0"/>
      </rPr>
      <t>Dyes</t>
    </r>
    <r>
      <rPr>
        <rFont val="Arial"/>
        <color theme="1"/>
        <sz val="9.0"/>
      </rPr>
      <t xml:space="preserve"> Hubs</t>
    </r>
  </si>
  <si>
    <t>Local Travel Expenses</t>
  </si>
  <si>
    <t>Airplane Tickets</t>
  </si>
  <si>
    <t>15 lots</t>
  </si>
  <si>
    <t>Bus Tickets</t>
  </si>
  <si>
    <t>20 lots</t>
  </si>
  <si>
    <t>TNVS Fares</t>
  </si>
  <si>
    <t>Foreign Travel Expenses</t>
  </si>
  <si>
    <t>Airplane Tickets for Local and Foreign Resource Speakers of 2024 Philippine Dyes and Colorants Symposium</t>
  </si>
  <si>
    <t>Hotel Accommodation for Local and Foreign Resource Speakers of 2024 Philippine Dyes and Colorants Symposium</t>
  </si>
  <si>
    <t>50299030 00</t>
  </si>
  <si>
    <t>Representation Expenses</t>
  </si>
  <si>
    <t>Meals and snacks for meetings, trainings, and events</t>
  </si>
  <si>
    <t>Subscription Expenses</t>
  </si>
  <si>
    <t>Scientific Software</t>
  </si>
  <si>
    <t>50604050 14</t>
  </si>
  <si>
    <t>Capital Outlay - Technical &amp; Scientific Equipment</t>
  </si>
  <si>
    <t>UV-Vis Spectrophotometer</t>
  </si>
  <si>
    <t>Shaking Incubator</t>
  </si>
  <si>
    <t>Dye Source Chopper/Shredder</t>
  </si>
  <si>
    <t>Bench Scale Extraction/Dyeing Assembly and Accessories</t>
  </si>
  <si>
    <t>90 working days</t>
  </si>
  <si>
    <t>Packaging and Labelling Machine</t>
  </si>
  <si>
    <t>Digital Centrifuge</t>
  </si>
  <si>
    <t>TOTAL APPROVED BUDGET:</t>
  </si>
  <si>
    <t>NOTE:     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</si>
  <si>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</si>
  <si>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</si>
  <si>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</si>
  <si>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</si>
  <si>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>JENNELI E. CAYA</t>
  </si>
  <si>
    <t>MARILOU G. AGUSTIN</t>
  </si>
  <si>
    <t>MERLITA R. ODI</t>
  </si>
  <si>
    <t>JULIUS L. LEAÑO JR., Ph.D.</t>
  </si>
  <si>
    <t>Officer-in-Charge, Research and Development Division</t>
  </si>
  <si>
    <t>Head, FAD-PPGSS</t>
  </si>
  <si>
    <t>Head, FAD-BTS</t>
  </si>
  <si>
    <t>Director IV</t>
  </si>
  <si>
    <r>
      <rPr>
        <rFont val="Arial"/>
        <color rgb="FF000000"/>
        <sz val="11.0"/>
      </rPr>
      <t xml:space="preserve">Revision Date: </t>
    </r>
    <r>
      <rPr>
        <rFont val="Arial"/>
        <color rgb="FF000000"/>
        <sz val="11.0"/>
        <u/>
      </rPr>
      <t>17 April 2024</t>
    </r>
  </si>
  <si>
    <t>Date: _____________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</si>
</sst>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[$₱]#,##0.00"/>
  </numFmts>
  <fonts count="15">
    <font>
      <sz val="11.0"/>
      <color theme="1"/>
      <name val="Arial"/>
      <scheme val="minor"/>
    </font>
    <font>
      <b/>
      <sz val="12.0"/>
      <color theme="1"/>
      <name val="Arial"/>
    </font>
    <font>
      <sz val="11.0"/>
      <color theme="1"/>
      <name val="Arial"/>
    </font>
    <font>
      <b/>
      <i/>
      <sz val="9.0"/>
      <color theme="1"/>
      <name val="Arial"/>
    </font>
    <font>
      <sz val="9.0"/>
      <color theme="1"/>
      <name val="Arial"/>
    </font>
    <font>
      <i/>
      <sz val="9.0"/>
      <color theme="1"/>
      <name val="Arial"/>
    </font>
    <font>
      <b/>
      <sz val="9.0"/>
      <color theme="1"/>
      <name val="Arial"/>
    </font>
    <font/>
    <font>
      <sz val="9.0"/>
      <color rgb="FF000000"/>
      <name val="Arial"/>
    </font>
    <font>
      <b/>
      <u/>
      <sz val="9.0"/>
      <color theme="1"/>
      <name val="Arial"/>
    </font>
    <font>
      <u/>
      <sz val="9.0"/>
      <color theme="1"/>
      <name val="Arial"/>
    </font>
    <font>
      <b/>
      <color theme="1"/>
      <name val="Arial"/>
    </font>
    <font>
      <color theme="1"/>
      <name val="Arial"/>
    </font>
    <font>
      <sz val="11.0"/>
      <color rgb="FF000000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13">
    <border/>
    <border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shrinkToFit="0" vertical="center" wrapText="0"/>
    </xf>
    <xf borderId="0" fillId="0" fontId="2" numFmtId="4" xfId="0" applyAlignment="1" applyFont="1" applyNumberFormat="1">
      <alignment vertical="center"/>
    </xf>
    <xf borderId="0" fillId="0" fontId="2" numFmtId="164" xfId="0" applyAlignment="1" applyFont="1" applyNumberFormat="1">
      <alignment vertical="center"/>
    </xf>
    <xf borderId="0" fillId="0" fontId="4" numFmtId="0" xfId="0" applyAlignment="1" applyFont="1">
      <alignment vertical="center"/>
    </xf>
    <xf borderId="0" fillId="0" fontId="4" numFmtId="4" xfId="0" applyAlignment="1" applyFont="1" applyNumberFormat="1">
      <alignment vertical="center"/>
    </xf>
    <xf borderId="0" fillId="0" fontId="4" numFmtId="164" xfId="0" applyAlignment="1" applyFont="1" applyNumberFormat="1">
      <alignment vertical="center"/>
    </xf>
    <xf borderId="1" fillId="0" fontId="5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vertical="center"/>
    </xf>
    <xf borderId="1" fillId="0" fontId="4" numFmtId="4" xfId="0" applyAlignment="1" applyBorder="1" applyFont="1" applyNumberFormat="1">
      <alignment vertical="center"/>
    </xf>
    <xf borderId="1" fillId="0" fontId="4" numFmtId="164" xfId="0" applyAlignment="1" applyBorder="1" applyFont="1" applyNumberFormat="1">
      <alignment vertical="center"/>
    </xf>
    <xf borderId="2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3" fillId="0" fontId="6" numFmtId="4" xfId="0" applyAlignment="1" applyBorder="1" applyFont="1" applyNumberFormat="1">
      <alignment horizontal="center" shrinkToFit="0" vertical="center" wrapText="1"/>
    </xf>
    <xf borderId="3" fillId="0" fontId="6" numFmtId="164" xfId="0" applyAlignment="1" applyBorder="1" applyFont="1" applyNumberFormat="1">
      <alignment horizontal="center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5" fillId="0" fontId="7" numFmtId="0" xfId="0" applyBorder="1" applyFont="1"/>
    <xf borderId="6" fillId="0" fontId="7" numFmtId="0" xfId="0" applyBorder="1" applyFont="1"/>
    <xf borderId="7" fillId="0" fontId="7" numFmtId="0" xfId="0" applyBorder="1" applyFont="1"/>
    <xf borderId="8" fillId="0" fontId="7" numFmtId="0" xfId="0" applyBorder="1" applyFont="1"/>
    <xf borderId="8" fillId="0" fontId="6" numFmtId="0" xfId="0" applyAlignment="1" applyBorder="1" applyFont="1">
      <alignment horizontal="center" shrinkToFit="0" vertical="center" wrapText="1"/>
    </xf>
    <xf borderId="9" fillId="0" fontId="6" numFmtId="0" xfId="0" applyAlignment="1" applyBorder="1" applyFont="1">
      <alignment horizontal="center" shrinkToFit="0" vertical="center" wrapText="1"/>
    </xf>
    <xf quotePrefix="1" borderId="10" fillId="0" fontId="6" numFmtId="0" xfId="0" applyAlignment="1" applyBorder="1" applyFont="1">
      <alignment horizontal="center" shrinkToFit="0" vertical="center" wrapText="1"/>
    </xf>
    <xf quotePrefix="1" borderId="3" fillId="0" fontId="6" numFmtId="0" xfId="0" applyAlignment="1" applyBorder="1" applyFont="1">
      <alignment horizontal="center" shrinkToFit="0" vertical="center" wrapText="1"/>
    </xf>
    <xf quotePrefix="1" borderId="3" fillId="0" fontId="6" numFmtId="4" xfId="0" applyAlignment="1" applyBorder="1" applyFont="1" applyNumberFormat="1">
      <alignment horizontal="center" shrinkToFit="0" vertical="center" wrapText="1"/>
    </xf>
    <xf quotePrefix="1" borderId="3" fillId="0" fontId="6" numFmtId="164" xfId="0" applyAlignment="1" applyBorder="1" applyFont="1" applyNumberFormat="1">
      <alignment horizontal="center" shrinkToFit="0" vertical="center" wrapText="1"/>
    </xf>
    <xf quotePrefix="1" borderId="8" fillId="0" fontId="6" numFmtId="0" xfId="0" applyAlignment="1" applyBorder="1" applyFont="1">
      <alignment horizontal="center" shrinkToFit="0" vertical="center" wrapText="1"/>
    </xf>
    <xf quotePrefix="1" borderId="9" fillId="0" fontId="6" numFmtId="0" xfId="0" applyAlignment="1" applyBorder="1" applyFont="1">
      <alignment horizontal="center" shrinkToFit="0" vertical="center" wrapText="1"/>
    </xf>
    <xf borderId="11" fillId="2" fontId="6" numFmtId="0" xfId="0" applyAlignment="1" applyBorder="1" applyFill="1" applyFont="1">
      <alignment horizontal="center" shrinkToFit="0" vertical="center" wrapText="1"/>
    </xf>
    <xf borderId="11" fillId="2" fontId="4" numFmtId="0" xfId="0" applyAlignment="1" applyBorder="1" applyFont="1">
      <alignment vertical="center"/>
    </xf>
    <xf borderId="11" fillId="2" fontId="6" numFmtId="0" xfId="0" applyAlignment="1" applyBorder="1" applyFont="1">
      <alignment shrinkToFit="0" vertical="center" wrapText="1"/>
    </xf>
    <xf borderId="11" fillId="2" fontId="4" numFmtId="4" xfId="0" applyAlignment="1" applyBorder="1" applyFont="1" applyNumberFormat="1">
      <alignment vertical="center"/>
    </xf>
    <xf borderId="11" fillId="2" fontId="4" numFmtId="164" xfId="0" applyAlignment="1" applyBorder="1" applyFont="1" applyNumberFormat="1">
      <alignment vertical="center"/>
    </xf>
    <xf borderId="4" fillId="2" fontId="4" numFmtId="0" xfId="0" applyAlignment="1" applyBorder="1" applyFont="1">
      <alignment vertical="center"/>
    </xf>
    <xf borderId="11" fillId="0" fontId="4" numFmtId="0" xfId="0" applyAlignment="1" applyBorder="1" applyFont="1">
      <alignment vertical="center"/>
    </xf>
    <xf borderId="11" fillId="0" fontId="4" numFmtId="49" xfId="0" applyAlignment="1" applyBorder="1" applyFont="1" applyNumberFormat="1">
      <alignment vertical="center"/>
    </xf>
    <xf borderId="11" fillId="0" fontId="4" numFmtId="0" xfId="0" applyAlignment="1" applyBorder="1" applyFont="1">
      <alignment horizontal="center" shrinkToFit="0" vertical="center" wrapText="1"/>
    </xf>
    <xf borderId="11" fillId="0" fontId="4" numFmtId="4" xfId="0" applyAlignment="1" applyBorder="1" applyFont="1" applyNumberFormat="1">
      <alignment horizontal="right" shrinkToFit="0" vertical="center" wrapText="1"/>
    </xf>
    <xf borderId="11" fillId="0" fontId="4" numFmtId="164" xfId="0" applyAlignment="1" applyBorder="1" applyFont="1" applyNumberFormat="1">
      <alignment horizontal="center" shrinkToFit="0" vertical="center" wrapText="1"/>
    </xf>
    <xf borderId="11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vertical="center"/>
    </xf>
    <xf borderId="11" fillId="0" fontId="4" numFmtId="0" xfId="0" applyAlignment="1" applyBorder="1" applyFont="1">
      <alignment shrinkToFit="0" vertical="center" wrapText="1"/>
    </xf>
    <xf borderId="11" fillId="0" fontId="4" numFmtId="4" xfId="0" applyAlignment="1" applyBorder="1" applyFont="1" applyNumberFormat="1">
      <alignment horizontal="right" vertical="center"/>
    </xf>
    <xf borderId="11" fillId="2" fontId="6" numFmtId="0" xfId="0" applyAlignment="1" applyBorder="1" applyFont="1">
      <alignment vertical="center"/>
    </xf>
    <xf borderId="11" fillId="0" fontId="4" numFmtId="49" xfId="0" applyAlignment="1" applyBorder="1" applyFont="1" applyNumberFormat="1">
      <alignment horizontal="center" vertical="center"/>
    </xf>
    <xf borderId="11" fillId="3" fontId="4" numFmtId="49" xfId="0" applyAlignment="1" applyBorder="1" applyFill="1" applyFont="1" applyNumberFormat="1">
      <alignment vertical="center"/>
    </xf>
    <xf borderId="11" fillId="0" fontId="6" numFmtId="0" xfId="0" applyAlignment="1" applyBorder="1" applyFont="1">
      <alignment vertical="center"/>
    </xf>
    <xf borderId="11" fillId="0" fontId="8" numFmtId="49" xfId="0" applyAlignment="1" applyBorder="1" applyFont="1" applyNumberFormat="1">
      <alignment shrinkToFit="0" vertical="center" wrapText="0"/>
    </xf>
    <xf borderId="11" fillId="0" fontId="8" numFmtId="0" xfId="0" applyAlignment="1" applyBorder="1" applyFont="1">
      <alignment horizontal="center" shrinkToFit="0" vertical="center" wrapText="0"/>
    </xf>
    <xf borderId="11" fillId="0" fontId="8" numFmtId="4" xfId="0" applyAlignment="1" applyBorder="1" applyFont="1" applyNumberFormat="1">
      <alignment shrinkToFit="0" vertical="center" wrapText="0"/>
    </xf>
    <xf borderId="11" fillId="0" fontId="8" numFmtId="164" xfId="0" applyAlignment="1" applyBorder="1" applyFont="1" applyNumberFormat="1">
      <alignment shrinkToFit="0" vertical="center" wrapText="0"/>
    </xf>
    <xf borderId="11" fillId="2" fontId="4" numFmtId="49" xfId="0" applyAlignment="1" applyBorder="1" applyFont="1" applyNumberFormat="1">
      <alignment vertical="center"/>
    </xf>
    <xf borderId="11" fillId="2" fontId="6" numFmtId="49" xfId="0" applyAlignment="1" applyBorder="1" applyFont="1" applyNumberFormat="1">
      <alignment vertical="center"/>
    </xf>
    <xf borderId="11" fillId="3" fontId="8" numFmtId="49" xfId="0" applyAlignment="1" applyBorder="1" applyFont="1" applyNumberFormat="1">
      <alignment shrinkToFit="0" vertical="center" wrapText="0"/>
    </xf>
    <xf borderId="11" fillId="3" fontId="8" numFmtId="0" xfId="0" applyAlignment="1" applyBorder="1" applyFont="1">
      <alignment horizontal="center" shrinkToFit="0" vertical="center" wrapText="0"/>
    </xf>
    <xf borderId="11" fillId="0" fontId="8" numFmtId="49" xfId="0" applyAlignment="1" applyBorder="1" applyFont="1" applyNumberFormat="1">
      <alignment horizontal="left" shrinkToFit="0" vertical="center" wrapText="0"/>
    </xf>
    <xf borderId="11" fillId="0" fontId="4" numFmtId="49" xfId="0" applyAlignment="1" applyBorder="1" applyFont="1" applyNumberFormat="1">
      <alignment readingOrder="0" vertical="center"/>
    </xf>
    <xf borderId="11" fillId="0" fontId="8" numFmtId="0" xfId="0" applyAlignment="1" applyBorder="1" applyFont="1">
      <alignment horizontal="center" readingOrder="0" shrinkToFit="0" vertical="center" wrapText="0"/>
    </xf>
    <xf borderId="11" fillId="0" fontId="4" numFmtId="4" xfId="0" applyAlignment="1" applyBorder="1" applyFont="1" applyNumberFormat="1">
      <alignment horizontal="right" readingOrder="0" shrinkToFit="0" vertical="center" wrapText="1"/>
    </xf>
    <xf borderId="11" fillId="0" fontId="4" numFmtId="0" xfId="0" applyAlignment="1" applyBorder="1" applyFont="1">
      <alignment horizontal="center" readingOrder="0" shrinkToFit="0" vertical="center" wrapText="1"/>
    </xf>
    <xf borderId="11" fillId="0" fontId="4" numFmtId="0" xfId="0" applyAlignment="1" applyBorder="1" applyFont="1">
      <alignment horizontal="center" readingOrder="0" vertical="center"/>
    </xf>
    <xf borderId="11" fillId="0" fontId="4" numFmtId="49" xfId="0" applyAlignment="1" applyBorder="1" applyFont="1" applyNumberFormat="1">
      <alignment shrinkToFit="0" vertical="center" wrapText="1"/>
    </xf>
    <xf borderId="11" fillId="0" fontId="4" numFmtId="0" xfId="0" applyAlignment="1" applyBorder="1" applyFont="1">
      <alignment shrinkToFit="0" vertical="center" wrapText="0"/>
    </xf>
    <xf borderId="11" fillId="0" fontId="6" numFmtId="0" xfId="0" applyAlignment="1" applyBorder="1" applyFont="1">
      <alignment horizontal="center" shrinkToFit="0" vertical="center" wrapText="1"/>
    </xf>
    <xf borderId="11" fillId="0" fontId="4" numFmtId="4" xfId="0" applyAlignment="1" applyBorder="1" applyFont="1" applyNumberFormat="1">
      <alignment vertical="center"/>
    </xf>
    <xf borderId="11" fillId="0" fontId="4" numFmtId="164" xfId="0" applyAlignment="1" applyBorder="1" applyFont="1" applyNumberFormat="1">
      <alignment vertical="center"/>
    </xf>
    <xf borderId="11" fillId="0" fontId="4" numFmtId="49" xfId="0" applyAlignment="1" applyBorder="1" applyFont="1" applyNumberFormat="1">
      <alignment horizontal="center" shrinkToFit="0" vertical="center" wrapText="1"/>
    </xf>
    <xf borderId="11" fillId="2" fontId="6" numFmtId="0" xfId="0" applyAlignment="1" applyBorder="1" applyFont="1">
      <alignment horizontal="center" vertical="center"/>
    </xf>
    <xf borderId="11" fillId="2" fontId="4" numFmtId="0" xfId="0" applyAlignment="1" applyBorder="1" applyFont="1">
      <alignment horizontal="center" shrinkToFit="0" vertical="center" wrapText="1"/>
    </xf>
    <xf borderId="11" fillId="2" fontId="4" numFmtId="4" xfId="0" applyAlignment="1" applyBorder="1" applyFont="1" applyNumberFormat="1">
      <alignment horizontal="right" shrinkToFit="0" vertical="center" wrapText="1"/>
    </xf>
    <xf borderId="11" fillId="2" fontId="4" numFmtId="164" xfId="0" applyAlignment="1" applyBorder="1" applyFont="1" applyNumberFormat="1">
      <alignment horizontal="center" shrinkToFit="0" vertical="center" wrapText="1"/>
    </xf>
    <xf borderId="11" fillId="2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0" fillId="0" fontId="9" numFmtId="0" xfId="0" applyAlignment="1" applyFont="1">
      <alignment shrinkToFit="0" vertical="center" wrapText="0"/>
    </xf>
    <xf borderId="12" fillId="0" fontId="6" numFmtId="165" xfId="0" applyAlignment="1" applyBorder="1" applyFont="1" applyNumberFormat="1">
      <alignment horizontal="right" vertical="center"/>
    </xf>
    <xf borderId="12" fillId="0" fontId="7" numFmtId="0" xfId="0" applyBorder="1" applyFont="1"/>
    <xf borderId="0" fillId="0" fontId="10" numFmtId="0" xfId="0" applyAlignment="1" applyFont="1">
      <alignment shrinkToFit="0" vertical="center" wrapText="0"/>
    </xf>
    <xf borderId="0" fillId="0" fontId="11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shrinkToFit="0" vertical="center" wrapText="0"/>
    </xf>
    <xf borderId="0" fillId="0" fontId="12" numFmtId="0" xfId="0" applyAlignment="1" applyFont="1">
      <alignment vertical="center"/>
    </xf>
    <xf borderId="0" fillId="0" fontId="12" numFmtId="0" xfId="0" applyAlignment="1" applyFont="1">
      <alignment shrinkToFit="0" vertical="center" wrapText="0"/>
    </xf>
    <xf borderId="0" fillId="0" fontId="13" numFmtId="0" xfId="0" applyAlignment="1" applyFont="1">
      <alignment shrinkToFit="0" vertical="center" wrapText="0"/>
    </xf>
    <xf borderId="0" fillId="0" fontId="14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/>
  <cols>
    <col customWidth="1" min="1" max="1" width="12.63"/>
    <col customWidth="1" min="2" max="2" width="12.88"/>
    <col customWidth="1" min="3" max="3" width="70.13"/>
    <col customWidth="1" min="4" max="6" width="12.63"/>
    <col customWidth="1" min="7" max="7" width="21.88"/>
    <col customWidth="1" min="8" max="8" width="16.88"/>
    <col customWidth="1" hidden="1" min="14" max="35" width="12.63"/>
  </cols>
  <sheetData>
    <row r="1">
      <c r="A1" s="1"/>
    </row>
    <row r="2">
      <c r="A2" s="2" t="s">
        <v>0</v>
      </c>
    </row>
    <row r="3">
      <c r="A3" s="3"/>
    </row>
    <row r="4">
      <c r="A4" s="4" t="s">
        <v>1</v>
      </c>
      <c r="B4" s="3"/>
      <c r="C4" s="3"/>
      <c r="D4" s="3"/>
      <c r="E4" s="5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>
      <c r="A5" s="3"/>
      <c r="B5" s="3"/>
      <c r="C5" s="3"/>
      <c r="D5" s="3"/>
      <c r="E5" s="5"/>
      <c r="F5" s="6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>
      <c r="A6" s="4" t="s">
        <v>2</v>
      </c>
      <c r="B6" s="7"/>
      <c r="C6" s="7"/>
      <c r="D6" s="7"/>
      <c r="E6" s="8"/>
      <c r="F6" s="9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>
      <c r="A7" s="10" t="s">
        <v>3</v>
      </c>
      <c r="B7" s="11"/>
      <c r="C7" s="11"/>
      <c r="D7" s="11"/>
      <c r="E7" s="12"/>
      <c r="F7" s="13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</row>
    <row r="8">
      <c r="A8" s="14" t="s">
        <v>4</v>
      </c>
      <c r="B8" s="15" t="s">
        <v>5</v>
      </c>
      <c r="C8" s="15" t="s">
        <v>6</v>
      </c>
      <c r="D8" s="16" t="s">
        <v>7</v>
      </c>
      <c r="E8" s="17" t="s">
        <v>8</v>
      </c>
      <c r="F8" s="18" t="s">
        <v>9</v>
      </c>
      <c r="G8" s="15" t="s">
        <v>10</v>
      </c>
      <c r="H8" s="15" t="s">
        <v>11</v>
      </c>
      <c r="I8" s="19" t="s">
        <v>12</v>
      </c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1"/>
    </row>
    <row r="9">
      <c r="A9" s="22"/>
      <c r="B9" s="23"/>
      <c r="C9" s="23"/>
      <c r="D9" s="24" t="s">
        <v>13</v>
      </c>
      <c r="E9" s="23"/>
      <c r="F9" s="23"/>
      <c r="G9" s="23"/>
      <c r="H9" s="23"/>
      <c r="I9" s="24" t="s">
        <v>14</v>
      </c>
      <c r="J9" s="24" t="s">
        <v>15</v>
      </c>
      <c r="K9" s="24" t="s">
        <v>16</v>
      </c>
      <c r="L9" s="24" t="s">
        <v>17</v>
      </c>
      <c r="M9" s="24" t="s">
        <v>18</v>
      </c>
      <c r="N9" s="24" t="s">
        <v>19</v>
      </c>
      <c r="O9" s="24" t="s">
        <v>20</v>
      </c>
      <c r="P9" s="24" t="s">
        <v>21</v>
      </c>
      <c r="Q9" s="24" t="s">
        <v>22</v>
      </c>
      <c r="R9" s="24" t="s">
        <v>23</v>
      </c>
      <c r="S9" s="24" t="s">
        <v>24</v>
      </c>
      <c r="T9" s="24" t="s">
        <v>25</v>
      </c>
      <c r="U9" s="24" t="s">
        <v>26</v>
      </c>
      <c r="V9" s="24" t="s">
        <v>27</v>
      </c>
      <c r="W9" s="24" t="s">
        <v>28</v>
      </c>
      <c r="X9" s="24" t="s">
        <v>29</v>
      </c>
      <c r="Y9" s="24" t="s">
        <v>30</v>
      </c>
      <c r="Z9" s="24" t="s">
        <v>31</v>
      </c>
      <c r="AA9" s="24" t="s">
        <v>32</v>
      </c>
      <c r="AB9" s="24" t="s">
        <v>33</v>
      </c>
      <c r="AC9" s="24" t="s">
        <v>34</v>
      </c>
      <c r="AD9" s="24" t="s">
        <v>35</v>
      </c>
      <c r="AE9" s="24" t="s">
        <v>36</v>
      </c>
      <c r="AF9" s="24" t="s">
        <v>37</v>
      </c>
      <c r="AG9" s="24" t="s">
        <v>38</v>
      </c>
      <c r="AH9" s="24" t="s">
        <v>39</v>
      </c>
      <c r="AI9" s="25" t="s">
        <v>40</v>
      </c>
    </row>
    <row r="10">
      <c r="A10" s="26" t="s">
        <v>41</v>
      </c>
      <c r="B10" s="27" t="s">
        <v>42</v>
      </c>
      <c r="C10" s="27" t="s">
        <v>43</v>
      </c>
      <c r="D10" s="27" t="s">
        <v>44</v>
      </c>
      <c r="E10" s="28" t="s">
        <v>45</v>
      </c>
      <c r="F10" s="29" t="s">
        <v>46</v>
      </c>
      <c r="G10" s="27" t="s">
        <v>47</v>
      </c>
      <c r="H10" s="27" t="s">
        <v>48</v>
      </c>
      <c r="I10" s="27" t="s">
        <v>49</v>
      </c>
      <c r="J10" s="27" t="s">
        <v>50</v>
      </c>
      <c r="K10" s="27" t="s">
        <v>51</v>
      </c>
      <c r="L10" s="27" t="s">
        <v>52</v>
      </c>
      <c r="M10" s="27" t="s">
        <v>53</v>
      </c>
      <c r="N10" s="30" t="s">
        <v>54</v>
      </c>
      <c r="O10" s="30" t="s">
        <v>55</v>
      </c>
      <c r="P10" s="30" t="s">
        <v>56</v>
      </c>
      <c r="Q10" s="30" t="s">
        <v>57</v>
      </c>
      <c r="R10" s="30" t="s">
        <v>58</v>
      </c>
      <c r="S10" s="30" t="s">
        <v>59</v>
      </c>
      <c r="T10" s="30" t="s">
        <v>60</v>
      </c>
      <c r="U10" s="30" t="s">
        <v>61</v>
      </c>
      <c r="V10" s="30" t="s">
        <v>62</v>
      </c>
      <c r="W10" s="30" t="s">
        <v>63</v>
      </c>
      <c r="X10" s="30" t="s">
        <v>64</v>
      </c>
      <c r="Y10" s="30" t="s">
        <v>65</v>
      </c>
      <c r="Z10" s="30" t="s">
        <v>66</v>
      </c>
      <c r="AA10" s="30" t="s">
        <v>67</v>
      </c>
      <c r="AB10" s="30" t="s">
        <v>68</v>
      </c>
      <c r="AC10" s="30" t="s">
        <v>69</v>
      </c>
      <c r="AD10" s="30" t="s">
        <v>70</v>
      </c>
      <c r="AE10" s="30" t="s">
        <v>71</v>
      </c>
      <c r="AF10" s="30" t="s">
        <v>72</v>
      </c>
      <c r="AG10" s="30" t="s">
        <v>73</v>
      </c>
      <c r="AH10" s="30" t="s">
        <v>74</v>
      </c>
      <c r="AI10" s="31" t="s">
        <v>75</v>
      </c>
    </row>
    <row r="11">
      <c r="A11" s="32" t="s">
        <v>76</v>
      </c>
      <c r="B11" s="33"/>
      <c r="C11" s="34" t="s">
        <v>77</v>
      </c>
      <c r="D11" s="33"/>
      <c r="E11" s="35"/>
      <c r="F11" s="36"/>
      <c r="G11" s="33"/>
      <c r="H11" s="33"/>
      <c r="I11" s="33"/>
      <c r="J11" s="33"/>
      <c r="K11" s="33"/>
      <c r="L11" s="33"/>
      <c r="M11" s="33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</row>
    <row r="12">
      <c r="A12" s="38"/>
      <c r="B12" s="39"/>
      <c r="C12" s="39" t="s">
        <v>78</v>
      </c>
      <c r="D12" s="40" t="s">
        <v>79</v>
      </c>
      <c r="E12" s="41">
        <v>50000.0</v>
      </c>
      <c r="F12" s="42">
        <f>E12*1</f>
        <v>50000</v>
      </c>
      <c r="G12" s="43" t="s">
        <v>80</v>
      </c>
      <c r="H12" s="40" t="s">
        <v>81</v>
      </c>
      <c r="I12" s="43">
        <v>1.0</v>
      </c>
      <c r="J12" s="43">
        <v>0.0</v>
      </c>
      <c r="K12" s="43">
        <v>0.0</v>
      </c>
      <c r="L12" s="38"/>
      <c r="M12" s="38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</row>
    <row r="13">
      <c r="A13" s="38"/>
      <c r="B13" s="39"/>
      <c r="C13" s="39" t="s">
        <v>82</v>
      </c>
      <c r="D13" s="40" t="s">
        <v>83</v>
      </c>
      <c r="E13" s="41">
        <v>3000.0</v>
      </c>
      <c r="F13" s="42">
        <f>E13*2</f>
        <v>6000</v>
      </c>
      <c r="G13" s="43" t="s">
        <v>80</v>
      </c>
      <c r="H13" s="40" t="s">
        <v>81</v>
      </c>
      <c r="I13" s="43">
        <v>2.0</v>
      </c>
      <c r="J13" s="43">
        <v>0.0</v>
      </c>
      <c r="K13" s="43">
        <v>0.0</v>
      </c>
      <c r="L13" s="38"/>
      <c r="M13" s="38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</row>
    <row r="14">
      <c r="A14" s="38"/>
      <c r="B14" s="38"/>
      <c r="C14" s="45" t="s">
        <v>84</v>
      </c>
      <c r="D14" s="40" t="s">
        <v>85</v>
      </c>
      <c r="E14" s="41">
        <v>1500.0</v>
      </c>
      <c r="F14" s="42">
        <f>E14*4</f>
        <v>6000</v>
      </c>
      <c r="G14" s="43" t="s">
        <v>80</v>
      </c>
      <c r="H14" s="40" t="s">
        <v>81</v>
      </c>
      <c r="I14" s="40">
        <v>4.0</v>
      </c>
      <c r="J14" s="43">
        <v>0.0</v>
      </c>
      <c r="K14" s="43">
        <v>0.0</v>
      </c>
      <c r="L14" s="38"/>
      <c r="M14" s="38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</row>
    <row r="15">
      <c r="A15" s="38"/>
      <c r="B15" s="38"/>
      <c r="C15" s="45" t="s">
        <v>86</v>
      </c>
      <c r="D15" s="40" t="s">
        <v>85</v>
      </c>
      <c r="E15" s="41">
        <v>3000.0</v>
      </c>
      <c r="F15" s="42">
        <v>3000.0</v>
      </c>
      <c r="G15" s="43" t="s">
        <v>80</v>
      </c>
      <c r="H15" s="40" t="s">
        <v>81</v>
      </c>
      <c r="I15" s="40">
        <v>5.0</v>
      </c>
      <c r="J15" s="43">
        <v>0.0</v>
      </c>
      <c r="K15" s="43">
        <v>0.0</v>
      </c>
      <c r="L15" s="38"/>
      <c r="M15" s="38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</row>
    <row r="16">
      <c r="A16" s="32" t="s">
        <v>87</v>
      </c>
      <c r="B16" s="33"/>
      <c r="C16" s="34" t="s">
        <v>88</v>
      </c>
      <c r="D16" s="33"/>
      <c r="E16" s="35"/>
      <c r="F16" s="36"/>
      <c r="G16" s="33"/>
      <c r="H16" s="33"/>
      <c r="I16" s="33"/>
      <c r="J16" s="33"/>
      <c r="K16" s="33"/>
      <c r="L16" s="33"/>
      <c r="M16" s="33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</row>
    <row r="17">
      <c r="A17" s="38"/>
      <c r="B17" s="39"/>
      <c r="C17" s="39" t="s">
        <v>89</v>
      </c>
      <c r="D17" s="40" t="s">
        <v>90</v>
      </c>
      <c r="E17" s="41">
        <v>1000.0</v>
      </c>
      <c r="F17" s="41">
        <v>1000.0</v>
      </c>
      <c r="G17" s="43" t="s">
        <v>80</v>
      </c>
      <c r="H17" s="40" t="s">
        <v>81</v>
      </c>
      <c r="I17" s="43">
        <v>1.0</v>
      </c>
      <c r="J17" s="43">
        <v>0.0</v>
      </c>
      <c r="K17" s="43">
        <v>0.0</v>
      </c>
      <c r="L17" s="38"/>
      <c r="M17" s="38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</row>
    <row r="18">
      <c r="A18" s="38"/>
      <c r="B18" s="39"/>
      <c r="C18" s="39" t="s">
        <v>91</v>
      </c>
      <c r="D18" s="40" t="s">
        <v>90</v>
      </c>
      <c r="E18" s="41">
        <v>1000.0</v>
      </c>
      <c r="F18" s="41">
        <v>1000.0</v>
      </c>
      <c r="G18" s="43" t="s">
        <v>80</v>
      </c>
      <c r="H18" s="40" t="s">
        <v>81</v>
      </c>
      <c r="I18" s="43">
        <v>1.0</v>
      </c>
      <c r="J18" s="43">
        <v>0.0</v>
      </c>
      <c r="K18" s="43">
        <v>0.0</v>
      </c>
      <c r="L18" s="38"/>
      <c r="M18" s="38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</row>
    <row r="19">
      <c r="A19" s="38"/>
      <c r="B19" s="39"/>
      <c r="C19" s="39" t="s">
        <v>92</v>
      </c>
      <c r="D19" s="40" t="s">
        <v>93</v>
      </c>
      <c r="E19" s="41">
        <v>150.0</v>
      </c>
      <c r="F19" s="41">
        <v>750.0</v>
      </c>
      <c r="G19" s="43" t="s">
        <v>80</v>
      </c>
      <c r="H19" s="40" t="s">
        <v>81</v>
      </c>
      <c r="I19" s="43">
        <v>2.0</v>
      </c>
      <c r="J19" s="43">
        <v>2.0</v>
      </c>
      <c r="K19" s="43">
        <v>1.0</v>
      </c>
      <c r="L19" s="38"/>
      <c r="M19" s="38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</row>
    <row r="20">
      <c r="A20" s="38"/>
      <c r="B20" s="39"/>
      <c r="C20" s="39" t="s">
        <v>94</v>
      </c>
      <c r="D20" s="40" t="s">
        <v>83</v>
      </c>
      <c r="E20" s="41">
        <v>300.0</v>
      </c>
      <c r="F20" s="41">
        <v>600.0</v>
      </c>
      <c r="G20" s="43" t="s">
        <v>80</v>
      </c>
      <c r="H20" s="40" t="s">
        <v>81</v>
      </c>
      <c r="I20" s="43">
        <v>1.0</v>
      </c>
      <c r="J20" s="43">
        <v>1.0</v>
      </c>
      <c r="K20" s="43">
        <v>0.0</v>
      </c>
      <c r="L20" s="38"/>
      <c r="M20" s="38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</row>
    <row r="21" ht="15.75" customHeight="1">
      <c r="A21" s="38"/>
      <c r="B21" s="39"/>
      <c r="C21" s="39" t="s">
        <v>95</v>
      </c>
      <c r="D21" s="40" t="s">
        <v>96</v>
      </c>
      <c r="E21" s="41">
        <v>20.0</v>
      </c>
      <c r="F21" s="41">
        <v>2000.0</v>
      </c>
      <c r="G21" s="43" t="s">
        <v>80</v>
      </c>
      <c r="H21" s="40" t="s">
        <v>81</v>
      </c>
      <c r="I21" s="43">
        <v>45.0</v>
      </c>
      <c r="J21" s="43">
        <v>30.0</v>
      </c>
      <c r="K21" s="43">
        <v>30.0</v>
      </c>
      <c r="L21" s="38"/>
      <c r="M21" s="38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</row>
    <row r="22" ht="15.75" customHeight="1">
      <c r="A22" s="38"/>
      <c r="B22" s="39"/>
      <c r="C22" s="39" t="s">
        <v>97</v>
      </c>
      <c r="D22" s="40" t="s">
        <v>98</v>
      </c>
      <c r="E22" s="41">
        <v>100.0</v>
      </c>
      <c r="F22" s="41">
        <v>5000.0</v>
      </c>
      <c r="G22" s="43" t="s">
        <v>80</v>
      </c>
      <c r="H22" s="40" t="s">
        <v>81</v>
      </c>
      <c r="I22" s="43">
        <v>15.0</v>
      </c>
      <c r="J22" s="43">
        <v>15.0</v>
      </c>
      <c r="K22" s="43">
        <v>10.0</v>
      </c>
      <c r="L22" s="38"/>
      <c r="M22" s="38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</row>
    <row r="23" ht="15.75" customHeight="1">
      <c r="A23" s="38"/>
      <c r="B23" s="39"/>
      <c r="C23" s="39" t="s">
        <v>99</v>
      </c>
      <c r="D23" s="40" t="s">
        <v>100</v>
      </c>
      <c r="E23" s="41">
        <v>100.0</v>
      </c>
      <c r="F23" s="41">
        <v>2500.0</v>
      </c>
      <c r="G23" s="43" t="s">
        <v>80</v>
      </c>
      <c r="H23" s="40" t="s">
        <v>81</v>
      </c>
      <c r="I23" s="43">
        <v>10.0</v>
      </c>
      <c r="J23" s="43">
        <v>10.0</v>
      </c>
      <c r="K23" s="43">
        <v>5.0</v>
      </c>
      <c r="L23" s="38"/>
      <c r="M23" s="38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</row>
    <row r="24" ht="15.75" customHeight="1">
      <c r="A24" s="38"/>
      <c r="B24" s="39"/>
      <c r="C24" s="39" t="s">
        <v>101</v>
      </c>
      <c r="D24" s="40" t="s">
        <v>100</v>
      </c>
      <c r="E24" s="41">
        <v>120.0</v>
      </c>
      <c r="F24" s="41">
        <f>E24*25</f>
        <v>3000</v>
      </c>
      <c r="G24" s="43" t="s">
        <v>80</v>
      </c>
      <c r="H24" s="40" t="s">
        <v>81</v>
      </c>
      <c r="I24" s="43">
        <v>10.0</v>
      </c>
      <c r="J24" s="43">
        <v>10.0</v>
      </c>
      <c r="K24" s="43">
        <v>5.0</v>
      </c>
      <c r="L24" s="38"/>
      <c r="M24" s="38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</row>
    <row r="25" ht="15.75" customHeight="1">
      <c r="A25" s="38"/>
      <c r="B25" s="39"/>
      <c r="C25" s="39" t="s">
        <v>102</v>
      </c>
      <c r="D25" s="40" t="s">
        <v>100</v>
      </c>
      <c r="E25" s="41">
        <v>100.0</v>
      </c>
      <c r="F25" s="41">
        <v>2500.0</v>
      </c>
      <c r="G25" s="43" t="s">
        <v>80</v>
      </c>
      <c r="H25" s="40" t="s">
        <v>81</v>
      </c>
      <c r="I25" s="43">
        <v>10.0</v>
      </c>
      <c r="J25" s="43">
        <v>10.0</v>
      </c>
      <c r="K25" s="43">
        <v>5.0</v>
      </c>
      <c r="L25" s="38"/>
      <c r="M25" s="38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</row>
    <row r="26" ht="15.75" customHeight="1">
      <c r="A26" s="38"/>
      <c r="B26" s="39"/>
      <c r="C26" s="39" t="s">
        <v>103</v>
      </c>
      <c r="D26" s="40" t="s">
        <v>104</v>
      </c>
      <c r="E26" s="41">
        <v>22500.0</v>
      </c>
      <c r="F26" s="41">
        <f>E26*2</f>
        <v>45000</v>
      </c>
      <c r="G26" s="43" t="s">
        <v>80</v>
      </c>
      <c r="H26" s="40" t="s">
        <v>81</v>
      </c>
      <c r="I26" s="43">
        <v>2.0</v>
      </c>
      <c r="J26" s="43">
        <v>0.0</v>
      </c>
      <c r="K26" s="43">
        <v>0.0</v>
      </c>
      <c r="L26" s="38"/>
      <c r="M26" s="38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</row>
    <row r="27" ht="15.75" customHeight="1">
      <c r="A27" s="38"/>
      <c r="B27" s="39"/>
      <c r="C27" s="39" t="s">
        <v>105</v>
      </c>
      <c r="D27" s="40" t="s">
        <v>79</v>
      </c>
      <c r="E27" s="41">
        <v>15000.0</v>
      </c>
      <c r="F27" s="42">
        <v>15000.0</v>
      </c>
      <c r="G27" s="43" t="s">
        <v>80</v>
      </c>
      <c r="H27" s="40" t="s">
        <v>81</v>
      </c>
      <c r="I27" s="43">
        <v>1.0</v>
      </c>
      <c r="J27" s="43">
        <v>0.0</v>
      </c>
      <c r="K27" s="43">
        <v>0.0</v>
      </c>
      <c r="L27" s="38"/>
      <c r="M27" s="38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</row>
    <row r="28" ht="15.75" customHeight="1">
      <c r="A28" s="38"/>
      <c r="B28" s="39"/>
      <c r="C28" s="39" t="s">
        <v>106</v>
      </c>
      <c r="D28" s="40" t="s">
        <v>107</v>
      </c>
      <c r="E28" s="41">
        <v>30000.0</v>
      </c>
      <c r="F28" s="42">
        <v>30000.0</v>
      </c>
      <c r="G28" s="43" t="s">
        <v>80</v>
      </c>
      <c r="H28" s="40" t="s">
        <v>81</v>
      </c>
      <c r="I28" s="43">
        <v>1.0</v>
      </c>
      <c r="J28" s="43">
        <v>0.0</v>
      </c>
      <c r="K28" s="43">
        <v>0.0</v>
      </c>
      <c r="L28" s="38"/>
      <c r="M28" s="38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</row>
    <row r="29" ht="15.75" customHeight="1">
      <c r="A29" s="38"/>
      <c r="B29" s="39"/>
      <c r="C29" s="39" t="s">
        <v>108</v>
      </c>
      <c r="D29" s="40" t="s">
        <v>109</v>
      </c>
      <c r="E29" s="41">
        <v>5000.0</v>
      </c>
      <c r="F29" s="42">
        <v>5000.0</v>
      </c>
      <c r="G29" s="43" t="s">
        <v>80</v>
      </c>
      <c r="H29" s="40" t="s">
        <v>81</v>
      </c>
      <c r="I29" s="43">
        <v>3.0</v>
      </c>
      <c r="J29" s="43">
        <v>0.0</v>
      </c>
      <c r="K29" s="43">
        <v>0.0</v>
      </c>
      <c r="L29" s="38"/>
      <c r="M29" s="38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</row>
    <row r="30" ht="15.75" customHeight="1">
      <c r="A30" s="38"/>
      <c r="B30" s="39"/>
      <c r="C30" s="39" t="s">
        <v>110</v>
      </c>
      <c r="D30" s="40" t="s">
        <v>96</v>
      </c>
      <c r="E30" s="41">
        <v>100.0</v>
      </c>
      <c r="F30" s="42">
        <f>E30*100</f>
        <v>10000</v>
      </c>
      <c r="G30" s="43" t="s">
        <v>80</v>
      </c>
      <c r="H30" s="40" t="s">
        <v>81</v>
      </c>
      <c r="I30" s="43">
        <v>100.0</v>
      </c>
      <c r="J30" s="43">
        <v>0.0</v>
      </c>
      <c r="K30" s="43">
        <v>0.0</v>
      </c>
      <c r="L30" s="38"/>
      <c r="M30" s="38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</row>
    <row r="31" ht="15.75" customHeight="1">
      <c r="A31" s="38"/>
      <c r="B31" s="39"/>
      <c r="C31" s="39" t="s">
        <v>111</v>
      </c>
      <c r="D31" s="40" t="s">
        <v>112</v>
      </c>
      <c r="E31" s="41">
        <v>80.0</v>
      </c>
      <c r="F31" s="42">
        <f>E31*20</f>
        <v>1600</v>
      </c>
      <c r="G31" s="43" t="s">
        <v>80</v>
      </c>
      <c r="H31" s="40" t="s">
        <v>81</v>
      </c>
      <c r="I31" s="43">
        <v>20.0</v>
      </c>
      <c r="J31" s="43">
        <v>0.0</v>
      </c>
      <c r="K31" s="43">
        <v>0.0</v>
      </c>
      <c r="L31" s="38"/>
      <c r="M31" s="38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</row>
    <row r="32" ht="15.75" customHeight="1">
      <c r="A32" s="38"/>
      <c r="B32" s="38"/>
      <c r="C32" s="39" t="s">
        <v>113</v>
      </c>
      <c r="D32" s="40" t="s">
        <v>114</v>
      </c>
      <c r="E32" s="41">
        <v>3000.0</v>
      </c>
      <c r="F32" s="42">
        <f>E32*50</f>
        <v>150000</v>
      </c>
      <c r="G32" s="43" t="s">
        <v>80</v>
      </c>
      <c r="H32" s="40" t="s">
        <v>81</v>
      </c>
      <c r="I32" s="43">
        <v>20.0</v>
      </c>
      <c r="J32" s="43">
        <v>20.0</v>
      </c>
      <c r="K32" s="43">
        <v>10.0</v>
      </c>
      <c r="L32" s="38"/>
      <c r="M32" s="38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</row>
    <row r="33" ht="15.75" customHeight="1">
      <c r="A33" s="38"/>
      <c r="B33" s="38"/>
      <c r="C33" s="39" t="s">
        <v>115</v>
      </c>
      <c r="D33" s="40" t="s">
        <v>116</v>
      </c>
      <c r="E33" s="41">
        <v>250.0</v>
      </c>
      <c r="F33" s="42">
        <v>2500.0</v>
      </c>
      <c r="G33" s="43" t="s">
        <v>80</v>
      </c>
      <c r="H33" s="40" t="s">
        <v>81</v>
      </c>
      <c r="I33" s="43">
        <v>3.0</v>
      </c>
      <c r="J33" s="43">
        <v>3.0</v>
      </c>
      <c r="K33" s="43">
        <v>2.0</v>
      </c>
      <c r="L33" s="38"/>
      <c r="M33" s="38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</row>
    <row r="34" ht="15.75" customHeight="1">
      <c r="A34" s="38"/>
      <c r="B34" s="38"/>
      <c r="C34" s="39" t="s">
        <v>117</v>
      </c>
      <c r="D34" s="40" t="s">
        <v>100</v>
      </c>
      <c r="E34" s="41">
        <v>8000.0</v>
      </c>
      <c r="F34" s="42">
        <f>E34*25</f>
        <v>200000</v>
      </c>
      <c r="G34" s="43" t="s">
        <v>80</v>
      </c>
      <c r="H34" s="40" t="s">
        <v>81</v>
      </c>
      <c r="I34" s="43">
        <v>15.0</v>
      </c>
      <c r="J34" s="43">
        <v>5.0</v>
      </c>
      <c r="K34" s="43">
        <v>5.0</v>
      </c>
      <c r="L34" s="38"/>
      <c r="M34" s="38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</row>
    <row r="35" ht="15.75" customHeight="1">
      <c r="A35" s="38"/>
      <c r="B35" s="38"/>
      <c r="C35" s="39" t="s">
        <v>118</v>
      </c>
      <c r="D35" s="40" t="s">
        <v>119</v>
      </c>
      <c r="E35" s="41">
        <v>2000.0</v>
      </c>
      <c r="F35" s="42">
        <f>E35*5</f>
        <v>10000</v>
      </c>
      <c r="G35" s="43" t="s">
        <v>80</v>
      </c>
      <c r="H35" s="40" t="s">
        <v>81</v>
      </c>
      <c r="I35" s="43">
        <v>5.0</v>
      </c>
      <c r="J35" s="43">
        <v>0.0</v>
      </c>
      <c r="K35" s="43">
        <v>0.0</v>
      </c>
      <c r="L35" s="38"/>
      <c r="M35" s="38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</row>
    <row r="36" ht="15.75" customHeight="1">
      <c r="A36" s="38"/>
      <c r="B36" s="38"/>
      <c r="C36" s="38" t="s">
        <v>120</v>
      </c>
      <c r="D36" s="43" t="s">
        <v>119</v>
      </c>
      <c r="E36" s="46">
        <v>3000.0</v>
      </c>
      <c r="F36" s="46">
        <v>15000.0</v>
      </c>
      <c r="G36" s="43" t="s">
        <v>80</v>
      </c>
      <c r="H36" s="40" t="s">
        <v>81</v>
      </c>
      <c r="I36" s="43">
        <v>5.0</v>
      </c>
      <c r="J36" s="43">
        <v>0.0</v>
      </c>
      <c r="K36" s="43">
        <v>0.0</v>
      </c>
      <c r="L36" s="38"/>
      <c r="M36" s="38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</row>
    <row r="37" ht="15.75" customHeight="1">
      <c r="A37" s="38"/>
      <c r="B37" s="38"/>
      <c r="C37" s="38" t="s">
        <v>121</v>
      </c>
      <c r="D37" s="43" t="s">
        <v>98</v>
      </c>
      <c r="E37" s="46">
        <v>200.0</v>
      </c>
      <c r="F37" s="46">
        <f t="shared" ref="F37:F39" si="1">E37*50</f>
        <v>10000</v>
      </c>
      <c r="G37" s="43" t="s">
        <v>80</v>
      </c>
      <c r="H37" s="40" t="s">
        <v>81</v>
      </c>
      <c r="I37" s="43">
        <v>50.0</v>
      </c>
      <c r="J37" s="43">
        <v>0.0</v>
      </c>
      <c r="K37" s="43">
        <v>0.0</v>
      </c>
      <c r="L37" s="38"/>
      <c r="M37" s="38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</row>
    <row r="38" ht="15.75" customHeight="1">
      <c r="A38" s="38"/>
      <c r="B38" s="38"/>
      <c r="C38" s="38" t="s">
        <v>122</v>
      </c>
      <c r="D38" s="43" t="s">
        <v>123</v>
      </c>
      <c r="E38" s="46">
        <v>200.0</v>
      </c>
      <c r="F38" s="46">
        <f t="shared" si="1"/>
        <v>10000</v>
      </c>
      <c r="G38" s="43" t="s">
        <v>80</v>
      </c>
      <c r="H38" s="40" t="s">
        <v>81</v>
      </c>
      <c r="I38" s="43">
        <v>59.0</v>
      </c>
      <c r="J38" s="43">
        <v>0.0</v>
      </c>
      <c r="K38" s="43">
        <v>0.0</v>
      </c>
      <c r="L38" s="38"/>
      <c r="M38" s="38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</row>
    <row r="39" ht="15.75" customHeight="1">
      <c r="A39" s="38"/>
      <c r="B39" s="38"/>
      <c r="C39" s="38" t="s">
        <v>124</v>
      </c>
      <c r="D39" s="43" t="s">
        <v>125</v>
      </c>
      <c r="E39" s="46">
        <v>200.0</v>
      </c>
      <c r="F39" s="46">
        <f t="shared" si="1"/>
        <v>10000</v>
      </c>
      <c r="G39" s="43" t="s">
        <v>80</v>
      </c>
      <c r="H39" s="40" t="s">
        <v>81</v>
      </c>
      <c r="I39" s="43">
        <v>59.0</v>
      </c>
      <c r="J39" s="43">
        <v>0.0</v>
      </c>
      <c r="K39" s="43">
        <v>0.0</v>
      </c>
      <c r="L39" s="38"/>
      <c r="M39" s="38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</row>
    <row r="40" ht="15.75" customHeight="1">
      <c r="A40" s="38"/>
      <c r="B40" s="38"/>
      <c r="C40" s="38" t="s">
        <v>126</v>
      </c>
      <c r="D40" s="43" t="s">
        <v>127</v>
      </c>
      <c r="E40" s="46">
        <v>3000.0</v>
      </c>
      <c r="F40" s="46">
        <f>E40*15</f>
        <v>45000</v>
      </c>
      <c r="G40" s="43" t="s">
        <v>80</v>
      </c>
      <c r="H40" s="40" t="s">
        <v>81</v>
      </c>
      <c r="I40" s="43">
        <v>15.0</v>
      </c>
      <c r="J40" s="43">
        <v>0.0</v>
      </c>
      <c r="K40" s="43">
        <v>0.0</v>
      </c>
      <c r="L40" s="38"/>
      <c r="M40" s="38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</row>
    <row r="41" ht="15.75" customHeight="1">
      <c r="A41" s="38"/>
      <c r="B41" s="38"/>
      <c r="C41" s="38" t="s">
        <v>128</v>
      </c>
      <c r="D41" s="43" t="s">
        <v>112</v>
      </c>
      <c r="E41" s="46">
        <v>1000.0</v>
      </c>
      <c r="F41" s="46">
        <f>E41*20</f>
        <v>20000</v>
      </c>
      <c r="G41" s="43" t="s">
        <v>80</v>
      </c>
      <c r="H41" s="40" t="s">
        <v>81</v>
      </c>
      <c r="I41" s="43">
        <v>20.0</v>
      </c>
      <c r="J41" s="43">
        <v>0.0</v>
      </c>
      <c r="K41" s="43">
        <v>0.0</v>
      </c>
      <c r="L41" s="38"/>
      <c r="M41" s="38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</row>
    <row r="42" ht="15.75" customHeight="1">
      <c r="A42" s="38"/>
      <c r="B42" s="38"/>
      <c r="C42" s="39" t="s">
        <v>129</v>
      </c>
      <c r="D42" s="43" t="s">
        <v>130</v>
      </c>
      <c r="E42" s="46">
        <v>1700.0</v>
      </c>
      <c r="F42" s="46">
        <v>42500.0</v>
      </c>
      <c r="G42" s="43" t="s">
        <v>80</v>
      </c>
      <c r="H42" s="40" t="s">
        <v>131</v>
      </c>
      <c r="I42" s="43">
        <v>25.0</v>
      </c>
      <c r="J42" s="43">
        <v>0.0</v>
      </c>
      <c r="K42" s="43">
        <v>0.0</v>
      </c>
      <c r="L42" s="38"/>
      <c r="M42" s="38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</row>
    <row r="43" ht="15.75" customHeight="1">
      <c r="A43" s="38"/>
      <c r="B43" s="38"/>
      <c r="C43" s="39" t="s">
        <v>132</v>
      </c>
      <c r="D43" s="43" t="s">
        <v>130</v>
      </c>
      <c r="E43" s="46">
        <v>1700.0</v>
      </c>
      <c r="F43" s="46">
        <v>42500.0</v>
      </c>
      <c r="G43" s="43" t="s">
        <v>80</v>
      </c>
      <c r="H43" s="40" t="s">
        <v>131</v>
      </c>
      <c r="I43" s="43">
        <v>25.0</v>
      </c>
      <c r="J43" s="43">
        <v>0.0</v>
      </c>
      <c r="K43" s="43">
        <v>0.0</v>
      </c>
      <c r="L43" s="38"/>
      <c r="M43" s="38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</row>
    <row r="44" ht="15.75" customHeight="1">
      <c r="A44" s="38"/>
      <c r="B44" s="38"/>
      <c r="C44" s="38" t="s">
        <v>133</v>
      </c>
      <c r="D44" s="43" t="s">
        <v>112</v>
      </c>
      <c r="E44" s="46">
        <v>500.0</v>
      </c>
      <c r="F44" s="46">
        <f>E44*20</f>
        <v>10000</v>
      </c>
      <c r="G44" s="43" t="s">
        <v>80</v>
      </c>
      <c r="H44" s="40" t="s">
        <v>81</v>
      </c>
      <c r="I44" s="43">
        <v>25.0</v>
      </c>
      <c r="J44" s="43">
        <v>0.0</v>
      </c>
      <c r="K44" s="43">
        <v>0.0</v>
      </c>
      <c r="L44" s="38"/>
      <c r="M44" s="38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</row>
    <row r="45" ht="15.75" customHeight="1">
      <c r="A45" s="32" t="s">
        <v>134</v>
      </c>
      <c r="B45" s="33"/>
      <c r="C45" s="47" t="s">
        <v>135</v>
      </c>
      <c r="D45" s="33"/>
      <c r="E45" s="35"/>
      <c r="F45" s="33"/>
      <c r="G45" s="33"/>
      <c r="H45" s="33"/>
      <c r="I45" s="33"/>
      <c r="J45" s="33"/>
      <c r="K45" s="33"/>
      <c r="L45" s="33"/>
      <c r="M45" s="33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</row>
    <row r="46" ht="15.75" customHeight="1">
      <c r="A46" s="38"/>
      <c r="B46" s="48"/>
      <c r="C46" s="39" t="s">
        <v>136</v>
      </c>
      <c r="D46" s="40" t="s">
        <v>104</v>
      </c>
      <c r="E46" s="41">
        <v>40000.0</v>
      </c>
      <c r="F46" s="42">
        <f>E46*2</f>
        <v>80000</v>
      </c>
      <c r="G46" s="40" t="s">
        <v>80</v>
      </c>
      <c r="H46" s="40" t="s">
        <v>137</v>
      </c>
      <c r="I46" s="43">
        <v>2.0</v>
      </c>
      <c r="J46" s="43">
        <v>0.0</v>
      </c>
      <c r="K46" s="43">
        <v>0.0</v>
      </c>
      <c r="L46" s="38"/>
      <c r="M46" s="38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</row>
    <row r="47" ht="15.75" customHeight="1">
      <c r="A47" s="38"/>
      <c r="B47" s="48"/>
      <c r="C47" s="39" t="s">
        <v>138</v>
      </c>
      <c r="D47" s="40" t="s">
        <v>130</v>
      </c>
      <c r="E47" s="41">
        <v>1500.0</v>
      </c>
      <c r="F47" s="42">
        <v>37500.0</v>
      </c>
      <c r="G47" s="40" t="s">
        <v>80</v>
      </c>
      <c r="H47" s="40" t="s">
        <v>139</v>
      </c>
      <c r="I47" s="43">
        <v>50.0</v>
      </c>
      <c r="J47" s="43">
        <v>0.0</v>
      </c>
      <c r="K47" s="43">
        <v>0.0</v>
      </c>
      <c r="L47" s="38"/>
      <c r="M47" s="38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</row>
    <row r="48" ht="15.75" customHeight="1">
      <c r="A48" s="38"/>
      <c r="B48" s="39"/>
      <c r="C48" s="49" t="s">
        <v>140</v>
      </c>
      <c r="D48" s="40" t="s">
        <v>141</v>
      </c>
      <c r="E48" s="41">
        <v>4000.0</v>
      </c>
      <c r="F48" s="42">
        <f t="shared" ref="F48:F50" si="2">E48*10</f>
        <v>40000</v>
      </c>
      <c r="G48" s="40" t="s">
        <v>80</v>
      </c>
      <c r="H48" s="40" t="s">
        <v>81</v>
      </c>
      <c r="I48" s="43">
        <v>10.0</v>
      </c>
      <c r="J48" s="43">
        <v>0.0</v>
      </c>
      <c r="K48" s="43">
        <v>0.0</v>
      </c>
      <c r="L48" s="38"/>
      <c r="M48" s="38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</row>
    <row r="49" ht="15.75" customHeight="1">
      <c r="A49" s="38"/>
      <c r="B49" s="39"/>
      <c r="C49" s="49" t="s">
        <v>142</v>
      </c>
      <c r="D49" s="40" t="s">
        <v>141</v>
      </c>
      <c r="E49" s="41">
        <v>5500.0</v>
      </c>
      <c r="F49" s="42">
        <f t="shared" si="2"/>
        <v>55000</v>
      </c>
      <c r="G49" s="40" t="s">
        <v>80</v>
      </c>
      <c r="H49" s="40" t="s">
        <v>81</v>
      </c>
      <c r="I49" s="43">
        <v>10.0</v>
      </c>
      <c r="J49" s="43">
        <v>0.0</v>
      </c>
      <c r="K49" s="43">
        <v>0.0</v>
      </c>
      <c r="L49" s="38"/>
      <c r="M49" s="38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</row>
    <row r="50" ht="15.75" customHeight="1">
      <c r="A50" s="38"/>
      <c r="B50" s="39"/>
      <c r="C50" s="49" t="s">
        <v>143</v>
      </c>
      <c r="D50" s="40" t="s">
        <v>141</v>
      </c>
      <c r="E50" s="41">
        <v>6500.0</v>
      </c>
      <c r="F50" s="42">
        <f t="shared" si="2"/>
        <v>65000</v>
      </c>
      <c r="G50" s="40" t="s">
        <v>80</v>
      </c>
      <c r="H50" s="40" t="s">
        <v>81</v>
      </c>
      <c r="I50" s="43">
        <v>10.0</v>
      </c>
      <c r="J50" s="43">
        <v>0.0</v>
      </c>
      <c r="K50" s="43">
        <v>0.0</v>
      </c>
      <c r="L50" s="38"/>
      <c r="M50" s="38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</row>
    <row r="51" ht="15.75" customHeight="1">
      <c r="A51" s="38"/>
      <c r="B51" s="39"/>
      <c r="C51" s="49" t="s">
        <v>144</v>
      </c>
      <c r="D51" s="40" t="s">
        <v>83</v>
      </c>
      <c r="E51" s="41">
        <v>5000.0</v>
      </c>
      <c r="F51" s="42">
        <f>E51*2</f>
        <v>10000</v>
      </c>
      <c r="G51" s="40" t="s">
        <v>80</v>
      </c>
      <c r="H51" s="43" t="s">
        <v>137</v>
      </c>
      <c r="I51" s="43">
        <v>2.0</v>
      </c>
      <c r="J51" s="43">
        <v>0.0</v>
      </c>
      <c r="K51" s="43">
        <v>0.0</v>
      </c>
      <c r="L51" s="38"/>
      <c r="M51" s="38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</row>
    <row r="52" ht="15.75" customHeight="1">
      <c r="A52" s="38"/>
      <c r="B52" s="39"/>
      <c r="C52" s="39" t="s">
        <v>145</v>
      </c>
      <c r="D52" s="40" t="s">
        <v>119</v>
      </c>
      <c r="E52" s="41">
        <v>2000.0</v>
      </c>
      <c r="F52" s="42">
        <f>E52*5</f>
        <v>10000</v>
      </c>
      <c r="G52" s="40" t="s">
        <v>80</v>
      </c>
      <c r="H52" s="43" t="s">
        <v>137</v>
      </c>
      <c r="I52" s="43">
        <v>5.0</v>
      </c>
      <c r="J52" s="43">
        <v>0.0</v>
      </c>
      <c r="K52" s="43">
        <v>0.0</v>
      </c>
      <c r="L52" s="38"/>
      <c r="M52" s="38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</row>
    <row r="53" ht="15.75" customHeight="1">
      <c r="A53" s="50"/>
      <c r="B53" s="39"/>
      <c r="C53" s="39" t="s">
        <v>146</v>
      </c>
      <c r="D53" s="40" t="s">
        <v>147</v>
      </c>
      <c r="E53" s="41">
        <v>500.0</v>
      </c>
      <c r="F53" s="42">
        <f>E53*40</f>
        <v>20000</v>
      </c>
      <c r="G53" s="40" t="s">
        <v>80</v>
      </c>
      <c r="H53" s="40" t="s">
        <v>81</v>
      </c>
      <c r="I53" s="43">
        <v>40.0</v>
      </c>
      <c r="J53" s="43">
        <v>0.0</v>
      </c>
      <c r="K53" s="43">
        <v>0.0</v>
      </c>
      <c r="L53" s="38"/>
      <c r="M53" s="38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</row>
    <row r="54" ht="15.75" customHeight="1">
      <c r="A54" s="50"/>
      <c r="B54" s="39"/>
      <c r="C54" s="39" t="s">
        <v>148</v>
      </c>
      <c r="D54" s="40" t="s">
        <v>149</v>
      </c>
      <c r="E54" s="41">
        <v>900.0</v>
      </c>
      <c r="F54" s="42">
        <f t="shared" ref="F54:F55" si="3">E54*20</f>
        <v>18000</v>
      </c>
      <c r="G54" s="40" t="s">
        <v>80</v>
      </c>
      <c r="H54" s="40" t="s">
        <v>81</v>
      </c>
      <c r="I54" s="43">
        <v>20.0</v>
      </c>
      <c r="J54" s="43">
        <v>0.0</v>
      </c>
      <c r="K54" s="43">
        <v>0.0</v>
      </c>
      <c r="L54" s="38"/>
      <c r="M54" s="38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</row>
    <row r="55" ht="15.75" customHeight="1">
      <c r="A55" s="50"/>
      <c r="B55" s="39"/>
      <c r="C55" s="39" t="s">
        <v>150</v>
      </c>
      <c r="D55" s="40" t="s">
        <v>149</v>
      </c>
      <c r="E55" s="41">
        <v>500.0</v>
      </c>
      <c r="F55" s="42">
        <f t="shared" si="3"/>
        <v>10000</v>
      </c>
      <c r="G55" s="40" t="s">
        <v>80</v>
      </c>
      <c r="H55" s="40" t="s">
        <v>81</v>
      </c>
      <c r="I55" s="43">
        <v>20.0</v>
      </c>
      <c r="J55" s="43">
        <v>0.0</v>
      </c>
      <c r="K55" s="43">
        <v>0.0</v>
      </c>
      <c r="L55" s="38"/>
      <c r="M55" s="38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</row>
    <row r="56" ht="15.75" customHeight="1">
      <c r="A56" s="50"/>
      <c r="B56" s="39"/>
      <c r="C56" s="39" t="s">
        <v>151</v>
      </c>
      <c r="D56" s="40" t="s">
        <v>152</v>
      </c>
      <c r="E56" s="41">
        <v>800.0</v>
      </c>
      <c r="F56" s="42">
        <v>20000.0</v>
      </c>
      <c r="G56" s="40" t="s">
        <v>80</v>
      </c>
      <c r="H56" s="40" t="s">
        <v>81</v>
      </c>
      <c r="I56" s="43">
        <v>50.0</v>
      </c>
      <c r="J56" s="43">
        <v>0.0</v>
      </c>
      <c r="K56" s="43">
        <v>0.0</v>
      </c>
      <c r="L56" s="38"/>
      <c r="M56" s="38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</row>
    <row r="57" ht="15.75" customHeight="1">
      <c r="A57" s="50"/>
      <c r="B57" s="39"/>
      <c r="C57" s="39" t="s">
        <v>153</v>
      </c>
      <c r="D57" s="40" t="s">
        <v>154</v>
      </c>
      <c r="E57" s="41">
        <v>10000.0</v>
      </c>
      <c r="F57" s="42">
        <v>40000.0</v>
      </c>
      <c r="G57" s="40" t="s">
        <v>155</v>
      </c>
      <c r="H57" s="43" t="s">
        <v>137</v>
      </c>
      <c r="I57" s="43">
        <v>4.0</v>
      </c>
      <c r="J57" s="43">
        <v>0.0</v>
      </c>
      <c r="K57" s="43">
        <v>0.0</v>
      </c>
      <c r="L57" s="38"/>
      <c r="M57" s="38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</row>
    <row r="58" ht="15.75" customHeight="1">
      <c r="A58" s="50"/>
      <c r="B58" s="39"/>
      <c r="C58" s="39" t="s">
        <v>156</v>
      </c>
      <c r="D58" s="40" t="s">
        <v>154</v>
      </c>
      <c r="E58" s="41">
        <v>10000.0</v>
      </c>
      <c r="F58" s="42">
        <v>40000.0</v>
      </c>
      <c r="G58" s="40" t="s">
        <v>155</v>
      </c>
      <c r="H58" s="43" t="s">
        <v>137</v>
      </c>
      <c r="I58" s="43">
        <v>4.0</v>
      </c>
      <c r="J58" s="43">
        <v>0.0</v>
      </c>
      <c r="K58" s="43">
        <v>0.0</v>
      </c>
      <c r="L58" s="38"/>
      <c r="M58" s="38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</row>
    <row r="59" ht="15.75" customHeight="1">
      <c r="A59" s="50"/>
      <c r="B59" s="39"/>
      <c r="C59" s="39" t="s">
        <v>157</v>
      </c>
      <c r="D59" s="40" t="s">
        <v>130</v>
      </c>
      <c r="E59" s="41">
        <v>5000.0</v>
      </c>
      <c r="F59" s="42">
        <v>125000.0</v>
      </c>
      <c r="G59" s="40" t="s">
        <v>80</v>
      </c>
      <c r="H59" s="40" t="s">
        <v>81</v>
      </c>
      <c r="I59" s="43">
        <v>25.0</v>
      </c>
      <c r="J59" s="43">
        <v>0.0</v>
      </c>
      <c r="K59" s="43">
        <v>0.0</v>
      </c>
      <c r="L59" s="38"/>
      <c r="M59" s="38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</row>
    <row r="60" ht="15.75" customHeight="1">
      <c r="A60" s="50"/>
      <c r="B60" s="39"/>
      <c r="C60" s="39" t="s">
        <v>158</v>
      </c>
      <c r="D60" s="40" t="s">
        <v>159</v>
      </c>
      <c r="E60" s="41">
        <v>100.0</v>
      </c>
      <c r="F60" s="42">
        <f>E60*48</f>
        <v>4800</v>
      </c>
      <c r="G60" s="40" t="s">
        <v>80</v>
      </c>
      <c r="H60" s="40" t="s">
        <v>81</v>
      </c>
      <c r="I60" s="43">
        <v>48.0</v>
      </c>
      <c r="J60" s="43">
        <v>0.0</v>
      </c>
      <c r="K60" s="43">
        <v>0.0</v>
      </c>
      <c r="L60" s="38"/>
      <c r="M60" s="38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</row>
    <row r="61" ht="15.75" customHeight="1">
      <c r="A61" s="50"/>
      <c r="B61" s="39"/>
      <c r="C61" s="39" t="s">
        <v>160</v>
      </c>
      <c r="D61" s="40" t="s">
        <v>161</v>
      </c>
      <c r="E61" s="41">
        <v>530.0</v>
      </c>
      <c r="F61" s="42">
        <v>10600.0</v>
      </c>
      <c r="G61" s="40" t="s">
        <v>80</v>
      </c>
      <c r="H61" s="40" t="s">
        <v>81</v>
      </c>
      <c r="I61" s="43">
        <v>50.0</v>
      </c>
      <c r="J61" s="43">
        <v>0.0</v>
      </c>
      <c r="K61" s="43">
        <v>0.0</v>
      </c>
      <c r="L61" s="38"/>
      <c r="M61" s="38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</row>
    <row r="62" ht="15.75" customHeight="1">
      <c r="A62" s="50"/>
      <c r="B62" s="39"/>
      <c r="C62" s="39" t="s">
        <v>162</v>
      </c>
      <c r="D62" s="40" t="s">
        <v>119</v>
      </c>
      <c r="E62" s="41">
        <v>1000.0</v>
      </c>
      <c r="F62" s="42">
        <v>5000.0</v>
      </c>
      <c r="G62" s="40" t="s">
        <v>80</v>
      </c>
      <c r="H62" s="40" t="s">
        <v>81</v>
      </c>
      <c r="I62" s="43"/>
      <c r="J62" s="43"/>
      <c r="K62" s="43"/>
      <c r="L62" s="38"/>
      <c r="M62" s="38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</row>
    <row r="63" ht="15.75" customHeight="1">
      <c r="A63" s="50"/>
      <c r="B63" s="39"/>
      <c r="C63" s="39" t="s">
        <v>163</v>
      </c>
      <c r="D63" s="40" t="s">
        <v>164</v>
      </c>
      <c r="E63" s="41">
        <v>500.0</v>
      </c>
      <c r="F63" s="42">
        <v>7500.0</v>
      </c>
      <c r="G63" s="43" t="s">
        <v>80</v>
      </c>
      <c r="H63" s="40" t="s">
        <v>81</v>
      </c>
      <c r="I63" s="43">
        <v>15.0</v>
      </c>
      <c r="J63" s="43">
        <v>0.0</v>
      </c>
      <c r="K63" s="43">
        <v>0.0</v>
      </c>
      <c r="L63" s="38"/>
      <c r="M63" s="38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</row>
    <row r="64" ht="15.75" customHeight="1">
      <c r="A64" s="50"/>
      <c r="B64" s="39"/>
      <c r="C64" s="39" t="s">
        <v>165</v>
      </c>
      <c r="D64" s="40" t="s">
        <v>100</v>
      </c>
      <c r="E64" s="41">
        <v>20.0</v>
      </c>
      <c r="F64" s="42">
        <v>500.0</v>
      </c>
      <c r="G64" s="43" t="s">
        <v>80</v>
      </c>
      <c r="H64" s="40" t="s">
        <v>81</v>
      </c>
      <c r="I64" s="43">
        <v>25.0</v>
      </c>
      <c r="J64" s="43">
        <v>0.0</v>
      </c>
      <c r="K64" s="43">
        <v>0.0</v>
      </c>
      <c r="L64" s="38"/>
      <c r="M64" s="38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</row>
    <row r="65" ht="15.75" customHeight="1">
      <c r="A65" s="50"/>
      <c r="B65" s="39"/>
      <c r="C65" s="39" t="s">
        <v>166</v>
      </c>
      <c r="D65" s="40" t="s">
        <v>100</v>
      </c>
      <c r="E65" s="41">
        <v>75.0</v>
      </c>
      <c r="F65" s="42">
        <v>1875.0</v>
      </c>
      <c r="G65" s="43" t="s">
        <v>80</v>
      </c>
      <c r="H65" s="40" t="s">
        <v>81</v>
      </c>
      <c r="I65" s="43">
        <v>25.0</v>
      </c>
      <c r="J65" s="43">
        <v>0.0</v>
      </c>
      <c r="K65" s="43">
        <v>0.0</v>
      </c>
      <c r="L65" s="38"/>
      <c r="M65" s="38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</row>
    <row r="66" ht="15.75" customHeight="1">
      <c r="A66" s="50"/>
      <c r="B66" s="39"/>
      <c r="C66" s="39" t="s">
        <v>167</v>
      </c>
      <c r="D66" s="40" t="s">
        <v>168</v>
      </c>
      <c r="E66" s="41">
        <v>25000.0</v>
      </c>
      <c r="F66" s="42">
        <v>25000.0</v>
      </c>
      <c r="G66" s="43" t="s">
        <v>80</v>
      </c>
      <c r="H66" s="43" t="s">
        <v>137</v>
      </c>
      <c r="I66" s="43">
        <v>1.0</v>
      </c>
      <c r="J66" s="43">
        <v>0.0</v>
      </c>
      <c r="K66" s="43">
        <v>0.0</v>
      </c>
      <c r="L66" s="38"/>
      <c r="M66" s="38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</row>
    <row r="67" ht="15.75" customHeight="1">
      <c r="A67" s="50"/>
      <c r="B67" s="39"/>
      <c r="C67" s="39" t="s">
        <v>169</v>
      </c>
      <c r="D67" s="40" t="s">
        <v>168</v>
      </c>
      <c r="E67" s="41">
        <v>25000.0</v>
      </c>
      <c r="F67" s="42">
        <v>25000.0</v>
      </c>
      <c r="G67" s="43" t="s">
        <v>80</v>
      </c>
      <c r="H67" s="43" t="s">
        <v>137</v>
      </c>
      <c r="I67" s="43">
        <v>1.0</v>
      </c>
      <c r="J67" s="43">
        <v>0.0</v>
      </c>
      <c r="K67" s="43">
        <v>0.0</v>
      </c>
      <c r="L67" s="38"/>
      <c r="M67" s="38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</row>
    <row r="68" ht="15.75" customHeight="1">
      <c r="A68" s="50"/>
      <c r="B68" s="39"/>
      <c r="C68" s="39" t="s">
        <v>170</v>
      </c>
      <c r="D68" s="40" t="s">
        <v>168</v>
      </c>
      <c r="E68" s="41">
        <v>25000.0</v>
      </c>
      <c r="F68" s="42">
        <v>25000.0</v>
      </c>
      <c r="G68" s="43" t="s">
        <v>80</v>
      </c>
      <c r="H68" s="43" t="s">
        <v>137</v>
      </c>
      <c r="I68" s="43">
        <v>1.0</v>
      </c>
      <c r="J68" s="43">
        <v>0.0</v>
      </c>
      <c r="K68" s="43">
        <v>0.0</v>
      </c>
      <c r="L68" s="38"/>
      <c r="M68" s="38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</row>
    <row r="69" ht="15.75" customHeight="1">
      <c r="A69" s="50"/>
      <c r="B69" s="39"/>
      <c r="C69" s="39" t="s">
        <v>171</v>
      </c>
      <c r="D69" s="40" t="s">
        <v>98</v>
      </c>
      <c r="E69" s="41">
        <v>250.0</v>
      </c>
      <c r="F69" s="42">
        <v>12500.0</v>
      </c>
      <c r="G69" s="43" t="s">
        <v>80</v>
      </c>
      <c r="H69" s="40" t="s">
        <v>81</v>
      </c>
      <c r="I69" s="43">
        <v>5.0</v>
      </c>
      <c r="J69" s="43">
        <v>0.0</v>
      </c>
      <c r="K69" s="43">
        <v>0.0</v>
      </c>
      <c r="L69" s="38"/>
      <c r="M69" s="38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</row>
    <row r="70" ht="15.75" customHeight="1">
      <c r="A70" s="50"/>
      <c r="B70" s="39"/>
      <c r="C70" s="39" t="s">
        <v>172</v>
      </c>
      <c r="D70" s="40" t="s">
        <v>100</v>
      </c>
      <c r="E70" s="41">
        <v>125.0</v>
      </c>
      <c r="F70" s="42">
        <v>3125.0</v>
      </c>
      <c r="G70" s="43" t="s">
        <v>80</v>
      </c>
      <c r="H70" s="43" t="s">
        <v>137</v>
      </c>
      <c r="I70" s="43">
        <v>25.0</v>
      </c>
      <c r="J70" s="43">
        <v>0.0</v>
      </c>
      <c r="K70" s="43">
        <v>0.0</v>
      </c>
      <c r="L70" s="38"/>
      <c r="M70" s="38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</row>
    <row r="71" ht="15.75" customHeight="1">
      <c r="A71" s="50"/>
      <c r="B71" s="39"/>
      <c r="C71" s="39" t="s">
        <v>173</v>
      </c>
      <c r="D71" s="40" t="s">
        <v>96</v>
      </c>
      <c r="E71" s="41">
        <v>75.0</v>
      </c>
      <c r="F71" s="42">
        <v>7500.0</v>
      </c>
      <c r="G71" s="43" t="s">
        <v>80</v>
      </c>
      <c r="H71" s="43" t="s">
        <v>137</v>
      </c>
      <c r="I71" s="43">
        <v>100.0</v>
      </c>
      <c r="J71" s="43">
        <v>0.0</v>
      </c>
      <c r="K71" s="43">
        <v>0.0</v>
      </c>
      <c r="L71" s="38"/>
      <c r="M71" s="38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</row>
    <row r="72" ht="15.75" customHeight="1">
      <c r="A72" s="50"/>
      <c r="B72" s="39"/>
      <c r="C72" s="39" t="s">
        <v>174</v>
      </c>
      <c r="D72" s="40" t="s">
        <v>98</v>
      </c>
      <c r="E72" s="41">
        <v>500.0</v>
      </c>
      <c r="F72" s="42">
        <v>25000.0</v>
      </c>
      <c r="G72" s="43" t="s">
        <v>80</v>
      </c>
      <c r="H72" s="43" t="s">
        <v>137</v>
      </c>
      <c r="I72" s="43">
        <v>20.0</v>
      </c>
      <c r="J72" s="43">
        <v>20.0</v>
      </c>
      <c r="K72" s="43">
        <v>10.0</v>
      </c>
      <c r="L72" s="38"/>
      <c r="M72" s="38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</row>
    <row r="73" ht="15.75" customHeight="1">
      <c r="A73" s="50"/>
      <c r="B73" s="39"/>
      <c r="C73" s="39" t="s">
        <v>175</v>
      </c>
      <c r="D73" s="40" t="s">
        <v>176</v>
      </c>
      <c r="E73" s="41">
        <v>800.0</v>
      </c>
      <c r="F73" s="42">
        <v>20000.0</v>
      </c>
      <c r="G73" s="43" t="s">
        <v>80</v>
      </c>
      <c r="H73" s="43" t="s">
        <v>137</v>
      </c>
      <c r="I73" s="43">
        <v>25.0</v>
      </c>
      <c r="J73" s="43">
        <v>0.0</v>
      </c>
      <c r="K73" s="43">
        <v>0.0</v>
      </c>
      <c r="L73" s="38"/>
      <c r="M73" s="38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</row>
    <row r="74" ht="15.75" customHeight="1">
      <c r="A74" s="50"/>
      <c r="B74" s="39"/>
      <c r="C74" s="51" t="s">
        <v>177</v>
      </c>
      <c r="D74" s="40" t="s">
        <v>116</v>
      </c>
      <c r="E74" s="41">
        <v>1500.0</v>
      </c>
      <c r="F74" s="42">
        <f>E74*10</f>
        <v>15000</v>
      </c>
      <c r="G74" s="43" t="s">
        <v>80</v>
      </c>
      <c r="H74" s="43" t="s">
        <v>178</v>
      </c>
      <c r="I74" s="43">
        <v>10.0</v>
      </c>
      <c r="J74" s="43">
        <v>0.0</v>
      </c>
      <c r="K74" s="43">
        <v>0.0</v>
      </c>
      <c r="L74" s="38"/>
      <c r="M74" s="38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</row>
    <row r="75" ht="15.75" customHeight="1">
      <c r="A75" s="50"/>
      <c r="B75" s="39"/>
      <c r="C75" s="39" t="s">
        <v>179</v>
      </c>
      <c r="D75" s="40" t="s">
        <v>85</v>
      </c>
      <c r="E75" s="41">
        <v>1000.0</v>
      </c>
      <c r="F75" s="42">
        <v>3000.0</v>
      </c>
      <c r="G75" s="43" t="s">
        <v>80</v>
      </c>
      <c r="H75" s="40" t="s">
        <v>81</v>
      </c>
      <c r="I75" s="43">
        <v>3.0</v>
      </c>
      <c r="J75" s="43">
        <v>0.0</v>
      </c>
      <c r="K75" s="43">
        <v>0.0</v>
      </c>
      <c r="L75" s="38"/>
      <c r="M75" s="38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</row>
    <row r="76" ht="15.75" customHeight="1">
      <c r="A76" s="50"/>
      <c r="B76" s="39"/>
      <c r="C76" s="39" t="s">
        <v>180</v>
      </c>
      <c r="D76" s="40" t="s">
        <v>100</v>
      </c>
      <c r="E76" s="41">
        <v>150.0</v>
      </c>
      <c r="F76" s="42">
        <v>3750.0</v>
      </c>
      <c r="G76" s="43" t="s">
        <v>80</v>
      </c>
      <c r="H76" s="40" t="s">
        <v>81</v>
      </c>
      <c r="I76" s="43">
        <v>25.0</v>
      </c>
      <c r="J76" s="43">
        <v>0.0</v>
      </c>
      <c r="K76" s="43">
        <v>0.0</v>
      </c>
      <c r="L76" s="38"/>
      <c r="M76" s="38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</row>
    <row r="77" ht="15.75" customHeight="1">
      <c r="A77" s="50"/>
      <c r="B77" s="39"/>
      <c r="C77" s="39" t="s">
        <v>181</v>
      </c>
      <c r="D77" s="40" t="s">
        <v>100</v>
      </c>
      <c r="E77" s="41">
        <v>150.0</v>
      </c>
      <c r="F77" s="42">
        <v>3750.0</v>
      </c>
      <c r="G77" s="43" t="s">
        <v>80</v>
      </c>
      <c r="H77" s="40" t="s">
        <v>81</v>
      </c>
      <c r="I77" s="43">
        <v>25.0</v>
      </c>
      <c r="J77" s="43">
        <v>0.0</v>
      </c>
      <c r="K77" s="43">
        <v>0.0</v>
      </c>
      <c r="L77" s="38"/>
      <c r="M77" s="38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</row>
    <row r="78" ht="15.75" customHeight="1">
      <c r="A78" s="50"/>
      <c r="B78" s="39"/>
      <c r="C78" s="39" t="s">
        <v>182</v>
      </c>
      <c r="D78" s="40" t="s">
        <v>96</v>
      </c>
      <c r="E78" s="41">
        <v>5.0</v>
      </c>
      <c r="F78" s="42">
        <v>500.0</v>
      </c>
      <c r="G78" s="43" t="s">
        <v>80</v>
      </c>
      <c r="H78" s="40" t="s">
        <v>81</v>
      </c>
      <c r="I78" s="43">
        <v>100.0</v>
      </c>
      <c r="J78" s="43">
        <v>0.0</v>
      </c>
      <c r="K78" s="43">
        <v>0.0</v>
      </c>
      <c r="L78" s="38"/>
      <c r="M78" s="38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</row>
    <row r="79" ht="15.75" customHeight="1">
      <c r="A79" s="50"/>
      <c r="B79" s="39"/>
      <c r="C79" s="39" t="s">
        <v>183</v>
      </c>
      <c r="D79" s="40" t="s">
        <v>184</v>
      </c>
      <c r="E79" s="41">
        <v>100.0</v>
      </c>
      <c r="F79" s="42">
        <v>2000.0</v>
      </c>
      <c r="G79" s="43" t="s">
        <v>80</v>
      </c>
      <c r="H79" s="40" t="s">
        <v>81</v>
      </c>
      <c r="I79" s="43">
        <v>50.0</v>
      </c>
      <c r="J79" s="43">
        <v>0.0</v>
      </c>
      <c r="K79" s="43">
        <v>0.0</v>
      </c>
      <c r="L79" s="38"/>
      <c r="M79" s="38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</row>
    <row r="80" ht="15.75" customHeight="1">
      <c r="A80" s="38"/>
      <c r="B80" s="38"/>
      <c r="C80" s="38" t="s">
        <v>185</v>
      </c>
      <c r="D80" s="43" t="s">
        <v>186</v>
      </c>
      <c r="E80" s="46">
        <v>2500.0</v>
      </c>
      <c r="F80" s="46">
        <f t="shared" ref="F80:F81" si="4">E80*30</f>
        <v>75000</v>
      </c>
      <c r="G80" s="43" t="s">
        <v>80</v>
      </c>
      <c r="H80" s="40" t="s">
        <v>81</v>
      </c>
      <c r="I80" s="43">
        <v>30.0</v>
      </c>
      <c r="J80" s="43">
        <v>0.0</v>
      </c>
      <c r="K80" s="43">
        <v>0.0</v>
      </c>
      <c r="L80" s="38"/>
      <c r="M80" s="38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</row>
    <row r="81" ht="15.75" customHeight="1">
      <c r="A81" s="38"/>
      <c r="B81" s="38"/>
      <c r="C81" s="38" t="s">
        <v>187</v>
      </c>
      <c r="D81" s="43" t="s">
        <v>188</v>
      </c>
      <c r="E81" s="46">
        <v>1000.0</v>
      </c>
      <c r="F81" s="46">
        <f t="shared" si="4"/>
        <v>30000</v>
      </c>
      <c r="G81" s="43" t="s">
        <v>80</v>
      </c>
      <c r="H81" s="40" t="s">
        <v>81</v>
      </c>
      <c r="I81" s="43">
        <v>30.0</v>
      </c>
      <c r="J81" s="43">
        <v>0.0</v>
      </c>
      <c r="K81" s="43">
        <v>0.0</v>
      </c>
      <c r="L81" s="38"/>
      <c r="M81" s="38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</row>
    <row r="82" ht="15.75" customHeight="1">
      <c r="A82" s="38"/>
      <c r="B82" s="38"/>
      <c r="C82" s="39" t="s">
        <v>189</v>
      </c>
      <c r="D82" s="40" t="s">
        <v>190</v>
      </c>
      <c r="E82" s="41">
        <v>1500.0</v>
      </c>
      <c r="F82" s="42">
        <v>30000.0</v>
      </c>
      <c r="G82" s="40" t="s">
        <v>155</v>
      </c>
      <c r="H82" s="43" t="s">
        <v>137</v>
      </c>
      <c r="I82" s="43">
        <v>20.0</v>
      </c>
      <c r="J82" s="43">
        <v>0.0</v>
      </c>
      <c r="K82" s="43">
        <v>0.0</v>
      </c>
      <c r="L82" s="38"/>
      <c r="M82" s="38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</row>
    <row r="83" ht="15.75" customHeight="1">
      <c r="A83" s="38"/>
      <c r="B83" s="38"/>
      <c r="C83" s="39" t="s">
        <v>191</v>
      </c>
      <c r="D83" s="40" t="s">
        <v>192</v>
      </c>
      <c r="E83" s="41">
        <v>5000.0</v>
      </c>
      <c r="F83" s="42">
        <v>50000.0</v>
      </c>
      <c r="G83" s="40" t="s">
        <v>155</v>
      </c>
      <c r="H83" s="43" t="s">
        <v>137</v>
      </c>
      <c r="I83" s="43">
        <v>10.0</v>
      </c>
      <c r="J83" s="43">
        <v>0.0</v>
      </c>
      <c r="K83" s="43">
        <v>0.0</v>
      </c>
      <c r="L83" s="38"/>
      <c r="M83" s="38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</row>
    <row r="84" ht="15.75" customHeight="1">
      <c r="A84" s="38"/>
      <c r="B84" s="38"/>
      <c r="C84" s="39" t="s">
        <v>193</v>
      </c>
      <c r="D84" s="40" t="s">
        <v>192</v>
      </c>
      <c r="E84" s="41">
        <v>7000.0</v>
      </c>
      <c r="F84" s="42">
        <v>70000.0</v>
      </c>
      <c r="G84" s="40" t="s">
        <v>155</v>
      </c>
      <c r="H84" s="43" t="s">
        <v>137</v>
      </c>
      <c r="I84" s="43">
        <v>10.0</v>
      </c>
      <c r="J84" s="43">
        <v>0.0</v>
      </c>
      <c r="K84" s="43">
        <v>0.0</v>
      </c>
      <c r="L84" s="38"/>
      <c r="M84" s="38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</row>
    <row r="85" ht="15.75" customHeight="1">
      <c r="A85" s="38"/>
      <c r="B85" s="38"/>
      <c r="C85" s="39" t="s">
        <v>194</v>
      </c>
      <c r="D85" s="52" t="s">
        <v>195</v>
      </c>
      <c r="E85" s="53">
        <v>15000.0</v>
      </c>
      <c r="F85" s="54">
        <f>E85*3</f>
        <v>45000</v>
      </c>
      <c r="G85" s="40" t="s">
        <v>155</v>
      </c>
      <c r="H85" s="43" t="s">
        <v>137</v>
      </c>
      <c r="I85" s="43">
        <v>1.0</v>
      </c>
      <c r="J85" s="43">
        <v>1.0</v>
      </c>
      <c r="K85" s="43">
        <v>1.0</v>
      </c>
      <c r="L85" s="38"/>
      <c r="M85" s="38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</row>
    <row r="86" ht="15.75" customHeight="1">
      <c r="A86" s="38"/>
      <c r="B86" s="38"/>
      <c r="C86" s="51" t="s">
        <v>196</v>
      </c>
      <c r="D86" s="52" t="s">
        <v>197</v>
      </c>
      <c r="E86" s="53">
        <v>500.0</v>
      </c>
      <c r="F86" s="54">
        <v>1000.0</v>
      </c>
      <c r="G86" s="40" t="s">
        <v>155</v>
      </c>
      <c r="H86" s="43" t="s">
        <v>137</v>
      </c>
      <c r="I86" s="43"/>
      <c r="J86" s="43"/>
      <c r="K86" s="43"/>
      <c r="L86" s="38"/>
      <c r="M86" s="38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</row>
    <row r="87" ht="15.75" customHeight="1">
      <c r="A87" s="38"/>
      <c r="B87" s="38"/>
      <c r="C87" s="51" t="s">
        <v>198</v>
      </c>
      <c r="D87" s="52" t="s">
        <v>197</v>
      </c>
      <c r="E87" s="53">
        <v>1000.0</v>
      </c>
      <c r="F87" s="54">
        <v>2000.0</v>
      </c>
      <c r="G87" s="40" t="s">
        <v>155</v>
      </c>
      <c r="H87" s="43" t="s">
        <v>137</v>
      </c>
      <c r="I87" s="43">
        <v>1.0</v>
      </c>
      <c r="J87" s="43">
        <v>1.0</v>
      </c>
      <c r="K87" s="43">
        <v>0.0</v>
      </c>
      <c r="L87" s="38"/>
      <c r="M87" s="38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</row>
    <row r="88" ht="15.75" customHeight="1">
      <c r="A88" s="38"/>
      <c r="B88" s="38"/>
      <c r="C88" s="51" t="s">
        <v>199</v>
      </c>
      <c r="D88" s="52" t="s">
        <v>200</v>
      </c>
      <c r="E88" s="53">
        <v>1500.0</v>
      </c>
      <c r="F88" s="54">
        <v>3000.0</v>
      </c>
      <c r="G88" s="40" t="s">
        <v>155</v>
      </c>
      <c r="H88" s="43" t="s">
        <v>137</v>
      </c>
      <c r="I88" s="43">
        <v>1.0</v>
      </c>
      <c r="J88" s="43">
        <v>1.0</v>
      </c>
      <c r="K88" s="43">
        <v>0.0</v>
      </c>
      <c r="L88" s="38"/>
      <c r="M88" s="38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</row>
    <row r="89" ht="15.75" customHeight="1">
      <c r="A89" s="38"/>
      <c r="B89" s="38"/>
      <c r="C89" s="51" t="s">
        <v>201</v>
      </c>
      <c r="D89" s="52" t="s">
        <v>197</v>
      </c>
      <c r="E89" s="53">
        <v>1000.0</v>
      </c>
      <c r="F89" s="54">
        <v>2000.0</v>
      </c>
      <c r="G89" s="40" t="s">
        <v>155</v>
      </c>
      <c r="H89" s="43" t="s">
        <v>137</v>
      </c>
      <c r="I89" s="43">
        <v>1.0</v>
      </c>
      <c r="J89" s="43">
        <v>1.0</v>
      </c>
      <c r="K89" s="43">
        <v>0.0</v>
      </c>
      <c r="L89" s="38"/>
      <c r="M89" s="38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</row>
    <row r="90" ht="15.75" customHeight="1">
      <c r="A90" s="38"/>
      <c r="B90" s="38"/>
      <c r="C90" s="51" t="s">
        <v>202</v>
      </c>
      <c r="D90" s="52" t="s">
        <v>197</v>
      </c>
      <c r="E90" s="38">
        <v>800.0</v>
      </c>
      <c r="F90" s="38">
        <v>1600.0</v>
      </c>
      <c r="G90" s="40" t="s">
        <v>155</v>
      </c>
      <c r="H90" s="43" t="s">
        <v>137</v>
      </c>
      <c r="I90" s="43">
        <v>1.0</v>
      </c>
      <c r="J90" s="43">
        <v>1.0</v>
      </c>
      <c r="K90" s="43">
        <v>0.0</v>
      </c>
      <c r="L90" s="38"/>
      <c r="M90" s="38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</row>
    <row r="91" ht="15.75" customHeight="1">
      <c r="A91" s="38"/>
      <c r="B91" s="38"/>
      <c r="C91" s="51" t="s">
        <v>203</v>
      </c>
      <c r="D91" s="52" t="s">
        <v>197</v>
      </c>
      <c r="E91" s="53">
        <v>1500.0</v>
      </c>
      <c r="F91" s="54">
        <v>3000.0</v>
      </c>
      <c r="G91" s="40" t="s">
        <v>155</v>
      </c>
      <c r="H91" s="43" t="s">
        <v>137</v>
      </c>
      <c r="I91" s="43">
        <v>1.0</v>
      </c>
      <c r="J91" s="43">
        <v>1.0</v>
      </c>
      <c r="K91" s="43">
        <v>0.0</v>
      </c>
      <c r="L91" s="38"/>
      <c r="M91" s="38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</row>
    <row r="92" ht="15.75" customHeight="1">
      <c r="A92" s="38"/>
      <c r="B92" s="38"/>
      <c r="C92" s="51" t="s">
        <v>204</v>
      </c>
      <c r="D92" s="52" t="s">
        <v>197</v>
      </c>
      <c r="E92" s="53">
        <v>800.0</v>
      </c>
      <c r="F92" s="54">
        <v>1600.0</v>
      </c>
      <c r="G92" s="40" t="s">
        <v>155</v>
      </c>
      <c r="H92" s="43" t="s">
        <v>137</v>
      </c>
      <c r="I92" s="43">
        <v>1.0</v>
      </c>
      <c r="J92" s="43">
        <v>1.0</v>
      </c>
      <c r="K92" s="43">
        <v>0.0</v>
      </c>
      <c r="L92" s="38"/>
      <c r="M92" s="38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</row>
    <row r="93" ht="15.75" customHeight="1">
      <c r="A93" s="38"/>
      <c r="B93" s="38"/>
      <c r="C93" s="51" t="s">
        <v>205</v>
      </c>
      <c r="D93" s="52" t="s">
        <v>206</v>
      </c>
      <c r="E93" s="53">
        <v>3000.0</v>
      </c>
      <c r="F93" s="54">
        <v>3000.0</v>
      </c>
      <c r="G93" s="40" t="s">
        <v>155</v>
      </c>
      <c r="H93" s="43" t="s">
        <v>137</v>
      </c>
      <c r="I93" s="43">
        <v>1.0</v>
      </c>
      <c r="J93" s="43">
        <v>0.0</v>
      </c>
      <c r="K93" s="43">
        <v>0.0</v>
      </c>
      <c r="L93" s="38"/>
      <c r="M93" s="38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</row>
    <row r="94" ht="15.75" customHeight="1">
      <c r="A94" s="38"/>
      <c r="B94" s="38"/>
      <c r="C94" s="51" t="s">
        <v>207</v>
      </c>
      <c r="D94" s="52" t="s">
        <v>197</v>
      </c>
      <c r="E94" s="53">
        <v>500.0</v>
      </c>
      <c r="F94" s="54">
        <v>1000.0</v>
      </c>
      <c r="G94" s="40" t="s">
        <v>155</v>
      </c>
      <c r="H94" s="43" t="s">
        <v>137</v>
      </c>
      <c r="I94" s="43">
        <v>1.0</v>
      </c>
      <c r="J94" s="43">
        <v>1.0</v>
      </c>
      <c r="K94" s="43">
        <v>0.0</v>
      </c>
      <c r="L94" s="38"/>
      <c r="M94" s="38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</row>
    <row r="95" ht="15.75" customHeight="1">
      <c r="A95" s="38"/>
      <c r="B95" s="38"/>
      <c r="C95" s="51" t="s">
        <v>208</v>
      </c>
      <c r="D95" s="52" t="s">
        <v>209</v>
      </c>
      <c r="E95" s="53">
        <v>600.0</v>
      </c>
      <c r="F95" s="54">
        <v>15000.0</v>
      </c>
      <c r="G95" s="40" t="s">
        <v>155</v>
      </c>
      <c r="H95" s="43" t="s">
        <v>137</v>
      </c>
      <c r="I95" s="43">
        <v>25.0</v>
      </c>
      <c r="J95" s="43">
        <v>0.0</v>
      </c>
      <c r="K95" s="43">
        <v>0.0</v>
      </c>
      <c r="L95" s="38"/>
      <c r="M95" s="38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</row>
    <row r="96" ht="15.75" customHeight="1">
      <c r="A96" s="38"/>
      <c r="B96" s="38"/>
      <c r="C96" s="51" t="s">
        <v>210</v>
      </c>
      <c r="D96" s="52" t="s">
        <v>211</v>
      </c>
      <c r="E96" s="53">
        <v>450.0</v>
      </c>
      <c r="F96" s="54">
        <v>33750.0</v>
      </c>
      <c r="G96" s="40" t="s">
        <v>155</v>
      </c>
      <c r="H96" s="43" t="s">
        <v>137</v>
      </c>
      <c r="I96" s="43">
        <v>75.0</v>
      </c>
      <c r="J96" s="43">
        <v>0.0</v>
      </c>
      <c r="K96" s="43">
        <v>0.0</v>
      </c>
      <c r="L96" s="38"/>
      <c r="M96" s="38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</row>
    <row r="97" ht="15.75" customHeight="1">
      <c r="A97" s="38"/>
      <c r="B97" s="38"/>
      <c r="C97" s="51" t="s">
        <v>212</v>
      </c>
      <c r="D97" s="52" t="s">
        <v>209</v>
      </c>
      <c r="E97" s="53">
        <v>450.0</v>
      </c>
      <c r="F97" s="54">
        <v>11250.0</v>
      </c>
      <c r="G97" s="40" t="s">
        <v>155</v>
      </c>
      <c r="H97" s="43" t="s">
        <v>137</v>
      </c>
      <c r="I97" s="43">
        <v>25.0</v>
      </c>
      <c r="J97" s="43">
        <v>0.0</v>
      </c>
      <c r="K97" s="43">
        <v>0.0</v>
      </c>
      <c r="L97" s="38"/>
      <c r="M97" s="38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</row>
    <row r="98" ht="15.75" customHeight="1">
      <c r="A98" s="38"/>
      <c r="B98" s="38"/>
      <c r="C98" s="39" t="s">
        <v>213</v>
      </c>
      <c r="D98" s="52" t="s">
        <v>192</v>
      </c>
      <c r="E98" s="53">
        <v>1200.0</v>
      </c>
      <c r="F98" s="54">
        <v>12000.0</v>
      </c>
      <c r="G98" s="40" t="s">
        <v>155</v>
      </c>
      <c r="H98" s="43" t="s">
        <v>137</v>
      </c>
      <c r="I98" s="43">
        <v>10.0</v>
      </c>
      <c r="J98" s="43">
        <v>0.0</v>
      </c>
      <c r="K98" s="43">
        <v>0.0</v>
      </c>
      <c r="L98" s="38"/>
      <c r="M98" s="38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</row>
    <row r="99" ht="15.75" customHeight="1">
      <c r="A99" s="38"/>
      <c r="B99" s="38"/>
      <c r="C99" s="51" t="s">
        <v>214</v>
      </c>
      <c r="D99" s="52" t="s">
        <v>215</v>
      </c>
      <c r="E99" s="53">
        <v>900.0</v>
      </c>
      <c r="F99" s="54">
        <v>9000.0</v>
      </c>
      <c r="G99" s="40" t="s">
        <v>155</v>
      </c>
      <c r="H99" s="43" t="s">
        <v>137</v>
      </c>
      <c r="I99" s="43">
        <v>10.0</v>
      </c>
      <c r="J99" s="43">
        <v>0.0</v>
      </c>
      <c r="K99" s="43">
        <v>0.0</v>
      </c>
      <c r="L99" s="38"/>
      <c r="M99" s="38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</row>
    <row r="100" ht="15.75" customHeight="1">
      <c r="A100" s="38"/>
      <c r="B100" s="38"/>
      <c r="C100" s="51" t="s">
        <v>216</v>
      </c>
      <c r="D100" s="52" t="s">
        <v>215</v>
      </c>
      <c r="E100" s="53">
        <v>600.0</v>
      </c>
      <c r="F100" s="54">
        <v>6000.0</v>
      </c>
      <c r="G100" s="40" t="s">
        <v>155</v>
      </c>
      <c r="H100" s="43" t="s">
        <v>137</v>
      </c>
      <c r="I100" s="43">
        <v>10.0</v>
      </c>
      <c r="J100" s="43">
        <v>0.0</v>
      </c>
      <c r="K100" s="43">
        <v>0.0</v>
      </c>
      <c r="L100" s="38"/>
      <c r="M100" s="38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</row>
    <row r="101" ht="15.75" customHeight="1">
      <c r="A101" s="38"/>
      <c r="B101" s="38"/>
      <c r="C101" s="51" t="s">
        <v>217</v>
      </c>
      <c r="D101" s="52" t="s">
        <v>218</v>
      </c>
      <c r="E101" s="53">
        <v>2500.0</v>
      </c>
      <c r="F101" s="54">
        <v>12500.0</v>
      </c>
      <c r="G101" s="40" t="s">
        <v>155</v>
      </c>
      <c r="H101" s="43" t="s">
        <v>137</v>
      </c>
      <c r="I101" s="43">
        <v>5.0</v>
      </c>
      <c r="J101" s="43">
        <v>0.0</v>
      </c>
      <c r="K101" s="43">
        <v>0.0</v>
      </c>
      <c r="L101" s="38"/>
      <c r="M101" s="38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</row>
    <row r="102" ht="15.75" customHeight="1">
      <c r="A102" s="38"/>
      <c r="B102" s="38"/>
      <c r="C102" s="51" t="s">
        <v>219</v>
      </c>
      <c r="D102" s="52" t="s">
        <v>220</v>
      </c>
      <c r="E102" s="53">
        <v>2000.0</v>
      </c>
      <c r="F102" s="54">
        <v>20000.0</v>
      </c>
      <c r="G102" s="40" t="s">
        <v>155</v>
      </c>
      <c r="H102" s="43" t="s">
        <v>137</v>
      </c>
      <c r="I102" s="43">
        <v>10.0</v>
      </c>
      <c r="J102" s="43">
        <v>0.0</v>
      </c>
      <c r="K102" s="43">
        <v>0.0</v>
      </c>
      <c r="L102" s="38"/>
      <c r="M102" s="38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</row>
    <row r="103" ht="15.75" customHeight="1">
      <c r="A103" s="47" t="s">
        <v>221</v>
      </c>
      <c r="B103" s="55"/>
      <c r="C103" s="56" t="s">
        <v>222</v>
      </c>
      <c r="D103" s="33"/>
      <c r="E103" s="35"/>
      <c r="F103" s="36"/>
      <c r="G103" s="33"/>
      <c r="H103" s="33"/>
      <c r="I103" s="33"/>
      <c r="J103" s="33"/>
      <c r="K103" s="33"/>
      <c r="L103" s="33"/>
      <c r="M103" s="33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</row>
    <row r="104" ht="15.75" customHeight="1">
      <c r="A104" s="38"/>
      <c r="B104" s="38"/>
      <c r="C104" s="51" t="s">
        <v>223</v>
      </c>
      <c r="D104" s="52" t="s">
        <v>107</v>
      </c>
      <c r="E104" s="53">
        <v>50000.0</v>
      </c>
      <c r="F104" s="54">
        <v>50000.0</v>
      </c>
      <c r="G104" s="40" t="s">
        <v>155</v>
      </c>
      <c r="H104" s="43" t="s">
        <v>137</v>
      </c>
      <c r="I104" s="43">
        <v>1.0</v>
      </c>
      <c r="J104" s="43">
        <v>0.0</v>
      </c>
      <c r="K104" s="43">
        <v>0.0</v>
      </c>
      <c r="L104" s="38"/>
      <c r="M104" s="38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</row>
    <row r="105" ht="15.75" customHeight="1">
      <c r="A105" s="38"/>
      <c r="B105" s="39"/>
      <c r="C105" s="57" t="s">
        <v>224</v>
      </c>
      <c r="D105" s="58" t="s">
        <v>119</v>
      </c>
      <c r="E105" s="53">
        <v>2000.0</v>
      </c>
      <c r="F105" s="54">
        <v>10000.0</v>
      </c>
      <c r="G105" s="40" t="s">
        <v>155</v>
      </c>
      <c r="H105" s="43" t="s">
        <v>137</v>
      </c>
      <c r="I105" s="43"/>
      <c r="J105" s="43"/>
      <c r="K105" s="43"/>
      <c r="L105" s="38"/>
      <c r="M105" s="38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</row>
    <row r="106" ht="15.75" customHeight="1">
      <c r="A106" s="38"/>
      <c r="B106" s="39"/>
      <c r="C106" s="51" t="s">
        <v>225</v>
      </c>
      <c r="D106" s="58" t="s">
        <v>226</v>
      </c>
      <c r="E106" s="53">
        <v>500.0</v>
      </c>
      <c r="F106" s="54">
        <v>25000.0</v>
      </c>
      <c r="G106" s="40" t="s">
        <v>155</v>
      </c>
      <c r="H106" s="43" t="s">
        <v>137</v>
      </c>
      <c r="I106" s="43"/>
      <c r="J106" s="43"/>
      <c r="K106" s="43"/>
      <c r="L106" s="38"/>
      <c r="M106" s="38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</row>
    <row r="107" ht="15.75" customHeight="1">
      <c r="A107" s="38"/>
      <c r="B107" s="39"/>
      <c r="C107" s="51" t="s">
        <v>227</v>
      </c>
      <c r="D107" s="52" t="s">
        <v>100</v>
      </c>
      <c r="E107" s="53">
        <v>1000.0</v>
      </c>
      <c r="F107" s="54">
        <v>25000.0</v>
      </c>
      <c r="G107" s="40" t="s">
        <v>155</v>
      </c>
      <c r="H107" s="43" t="s">
        <v>137</v>
      </c>
      <c r="I107" s="43">
        <v>5.0</v>
      </c>
      <c r="J107" s="43">
        <v>0.0</v>
      </c>
      <c r="K107" s="43">
        <v>0.0</v>
      </c>
      <c r="L107" s="38"/>
      <c r="M107" s="38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</row>
    <row r="108" ht="15.75" customHeight="1">
      <c r="A108" s="38"/>
      <c r="B108" s="39"/>
      <c r="C108" s="51" t="s">
        <v>228</v>
      </c>
      <c r="D108" s="52" t="s">
        <v>100</v>
      </c>
      <c r="E108" s="53">
        <v>3000.0</v>
      </c>
      <c r="F108" s="54">
        <v>75000.0</v>
      </c>
      <c r="G108" s="40" t="s">
        <v>155</v>
      </c>
      <c r="H108" s="43" t="s">
        <v>137</v>
      </c>
      <c r="I108" s="43">
        <v>5.0</v>
      </c>
      <c r="J108" s="43">
        <v>0.0</v>
      </c>
      <c r="K108" s="43">
        <v>0.0</v>
      </c>
      <c r="L108" s="38"/>
      <c r="M108" s="38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</row>
    <row r="109" ht="15.75" customHeight="1">
      <c r="A109" s="38"/>
      <c r="B109" s="39"/>
      <c r="C109" s="51" t="s">
        <v>229</v>
      </c>
      <c r="D109" s="52" t="s">
        <v>230</v>
      </c>
      <c r="E109" s="53">
        <v>2000.0</v>
      </c>
      <c r="F109" s="54">
        <v>120000.0</v>
      </c>
      <c r="G109" s="40" t="s">
        <v>155</v>
      </c>
      <c r="H109" s="43" t="s">
        <v>137</v>
      </c>
      <c r="I109" s="43">
        <v>15.0</v>
      </c>
      <c r="J109" s="43">
        <v>0.0</v>
      </c>
      <c r="K109" s="43">
        <v>0.0</v>
      </c>
      <c r="L109" s="38"/>
      <c r="M109" s="38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</row>
    <row r="110" ht="15.75" customHeight="1">
      <c r="A110" s="38"/>
      <c r="B110" s="39"/>
      <c r="C110" s="51" t="s">
        <v>231</v>
      </c>
      <c r="D110" s="52" t="s">
        <v>116</v>
      </c>
      <c r="E110" s="53">
        <v>6000.0</v>
      </c>
      <c r="F110" s="54">
        <f>E110*10</f>
        <v>60000</v>
      </c>
      <c r="G110" s="40" t="s">
        <v>155</v>
      </c>
      <c r="H110" s="43" t="s">
        <v>137</v>
      </c>
      <c r="I110" s="43">
        <v>10.0</v>
      </c>
      <c r="J110" s="43">
        <v>0.0</v>
      </c>
      <c r="K110" s="43">
        <v>0.0</v>
      </c>
      <c r="L110" s="38"/>
      <c r="M110" s="38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</row>
    <row r="111" ht="15.75" customHeight="1">
      <c r="A111" s="38"/>
      <c r="B111" s="39"/>
      <c r="C111" s="51" t="s">
        <v>232</v>
      </c>
      <c r="D111" s="52" t="s">
        <v>100</v>
      </c>
      <c r="E111" s="53">
        <f>F111/25</f>
        <v>800</v>
      </c>
      <c r="F111" s="54">
        <v>20000.0</v>
      </c>
      <c r="G111" s="40" t="s">
        <v>155</v>
      </c>
      <c r="H111" s="43" t="s">
        <v>137</v>
      </c>
      <c r="I111" s="43">
        <v>25.0</v>
      </c>
      <c r="J111" s="43">
        <v>0.0</v>
      </c>
      <c r="K111" s="43">
        <v>0.0</v>
      </c>
      <c r="L111" s="38"/>
      <c r="M111" s="38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</row>
    <row r="112" ht="15.75" customHeight="1">
      <c r="A112" s="38"/>
      <c r="B112" s="39"/>
      <c r="C112" s="51" t="s">
        <v>233</v>
      </c>
      <c r="D112" s="52" t="s">
        <v>234</v>
      </c>
      <c r="E112" s="53">
        <f t="shared" ref="E112:E115" si="5">F112/10</f>
        <v>750</v>
      </c>
      <c r="F112" s="54">
        <v>7500.0</v>
      </c>
      <c r="G112" s="40" t="s">
        <v>155</v>
      </c>
      <c r="H112" s="43" t="s">
        <v>137</v>
      </c>
      <c r="I112" s="43">
        <v>10.0</v>
      </c>
      <c r="J112" s="43">
        <v>0.0</v>
      </c>
      <c r="K112" s="43">
        <v>0.0</v>
      </c>
      <c r="L112" s="38"/>
      <c r="M112" s="38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</row>
    <row r="113" ht="15.75" customHeight="1">
      <c r="A113" s="38"/>
      <c r="B113" s="39"/>
      <c r="C113" s="51" t="s">
        <v>235</v>
      </c>
      <c r="D113" s="52" t="s">
        <v>234</v>
      </c>
      <c r="E113" s="53">
        <f t="shared" si="5"/>
        <v>1050</v>
      </c>
      <c r="F113" s="54">
        <v>10500.0</v>
      </c>
      <c r="G113" s="40" t="s">
        <v>155</v>
      </c>
      <c r="H113" s="43" t="s">
        <v>137</v>
      </c>
      <c r="I113" s="43">
        <v>10.0</v>
      </c>
      <c r="J113" s="43">
        <v>0.0</v>
      </c>
      <c r="K113" s="43">
        <v>0.0</v>
      </c>
      <c r="L113" s="38"/>
      <c r="M113" s="38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</row>
    <row r="114" ht="15.75" customHeight="1">
      <c r="A114" s="38"/>
      <c r="B114" s="39"/>
      <c r="C114" s="51" t="s">
        <v>236</v>
      </c>
      <c r="D114" s="52" t="s">
        <v>234</v>
      </c>
      <c r="E114" s="53">
        <f t="shared" si="5"/>
        <v>1350</v>
      </c>
      <c r="F114" s="54">
        <v>13500.0</v>
      </c>
      <c r="G114" s="40" t="s">
        <v>155</v>
      </c>
      <c r="H114" s="43" t="s">
        <v>137</v>
      </c>
      <c r="I114" s="43">
        <v>10.0</v>
      </c>
      <c r="J114" s="43">
        <v>0.0</v>
      </c>
      <c r="K114" s="43">
        <v>0.0</v>
      </c>
      <c r="L114" s="38"/>
      <c r="M114" s="38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</row>
    <row r="115" ht="15.75" customHeight="1">
      <c r="A115" s="38"/>
      <c r="B115" s="39"/>
      <c r="C115" s="51" t="s">
        <v>237</v>
      </c>
      <c r="D115" s="52" t="s">
        <v>234</v>
      </c>
      <c r="E115" s="53">
        <f t="shared" si="5"/>
        <v>5400</v>
      </c>
      <c r="F115" s="54">
        <v>54000.0</v>
      </c>
      <c r="G115" s="40" t="s">
        <v>155</v>
      </c>
      <c r="H115" s="43" t="s">
        <v>137</v>
      </c>
      <c r="I115" s="43">
        <v>10.0</v>
      </c>
      <c r="J115" s="43">
        <v>0.0</v>
      </c>
      <c r="K115" s="43">
        <v>0.0</v>
      </c>
      <c r="L115" s="38"/>
      <c r="M115" s="38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</row>
    <row r="116" ht="15.75" customHeight="1">
      <c r="A116" s="38"/>
      <c r="B116" s="39"/>
      <c r="C116" s="51" t="s">
        <v>238</v>
      </c>
      <c r="D116" s="52" t="s">
        <v>230</v>
      </c>
      <c r="E116" s="53">
        <f>F116/5</f>
        <v>5400</v>
      </c>
      <c r="F116" s="54">
        <v>27000.0</v>
      </c>
      <c r="G116" s="40" t="s">
        <v>155</v>
      </c>
      <c r="H116" s="43" t="s">
        <v>137</v>
      </c>
      <c r="I116" s="43">
        <v>5.0</v>
      </c>
      <c r="J116" s="43">
        <v>0.0</v>
      </c>
      <c r="K116" s="43">
        <v>0.0</v>
      </c>
      <c r="L116" s="38"/>
      <c r="M116" s="38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</row>
    <row r="117" ht="15.75" customHeight="1">
      <c r="A117" s="38"/>
      <c r="B117" s="39"/>
      <c r="C117" s="51" t="s">
        <v>239</v>
      </c>
      <c r="D117" s="52" t="s">
        <v>240</v>
      </c>
      <c r="E117" s="53">
        <v>1800.0</v>
      </c>
      <c r="F117" s="54">
        <f>E117*5</f>
        <v>9000</v>
      </c>
      <c r="G117" s="40" t="s">
        <v>155</v>
      </c>
      <c r="H117" s="43" t="s">
        <v>137</v>
      </c>
      <c r="I117" s="43">
        <v>5.0</v>
      </c>
      <c r="J117" s="43">
        <v>0.0</v>
      </c>
      <c r="K117" s="43">
        <v>0.0</v>
      </c>
      <c r="L117" s="38"/>
      <c r="M117" s="38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</row>
    <row r="118" ht="15.75" customHeight="1">
      <c r="A118" s="38"/>
      <c r="B118" s="39"/>
      <c r="C118" s="51" t="s">
        <v>241</v>
      </c>
      <c r="D118" s="52" t="s">
        <v>230</v>
      </c>
      <c r="E118" s="53">
        <v>900.0</v>
      </c>
      <c r="F118" s="54">
        <v>54000.0</v>
      </c>
      <c r="G118" s="40" t="s">
        <v>155</v>
      </c>
      <c r="H118" s="43" t="s">
        <v>137</v>
      </c>
      <c r="I118" s="43">
        <v>10.0</v>
      </c>
      <c r="J118" s="43">
        <v>0.0</v>
      </c>
      <c r="K118" s="43">
        <v>0.0</v>
      </c>
      <c r="L118" s="38"/>
      <c r="M118" s="38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  <c r="AI118" s="44"/>
    </row>
    <row r="119" ht="15.75" customHeight="1">
      <c r="A119" s="38"/>
      <c r="B119" s="39"/>
      <c r="C119" s="51" t="s">
        <v>242</v>
      </c>
      <c r="D119" s="52" t="s">
        <v>230</v>
      </c>
      <c r="E119" s="53">
        <v>4000.0</v>
      </c>
      <c r="F119" s="54">
        <v>240000.0</v>
      </c>
      <c r="G119" s="40" t="s">
        <v>155</v>
      </c>
      <c r="H119" s="43" t="s">
        <v>137</v>
      </c>
      <c r="I119" s="43">
        <v>25.0</v>
      </c>
      <c r="J119" s="43">
        <v>0.0</v>
      </c>
      <c r="K119" s="43">
        <v>0.0</v>
      </c>
      <c r="L119" s="38"/>
      <c r="M119" s="38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</row>
    <row r="120" ht="15.75" customHeight="1">
      <c r="A120" s="38"/>
      <c r="B120" s="39"/>
      <c r="C120" s="51" t="s">
        <v>243</v>
      </c>
      <c r="D120" s="52" t="s">
        <v>230</v>
      </c>
      <c r="E120" s="53">
        <v>5000.0</v>
      </c>
      <c r="F120" s="54">
        <v>300000.0</v>
      </c>
      <c r="G120" s="40" t="s">
        <v>155</v>
      </c>
      <c r="H120" s="43" t="s">
        <v>137</v>
      </c>
      <c r="I120" s="43">
        <v>10.0</v>
      </c>
      <c r="J120" s="43">
        <v>0.0</v>
      </c>
      <c r="K120" s="43">
        <v>0.0</v>
      </c>
      <c r="L120" s="38"/>
      <c r="M120" s="38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</row>
    <row r="121" ht="15.75" customHeight="1">
      <c r="A121" s="38"/>
      <c r="B121" s="39"/>
      <c r="C121" s="51" t="s">
        <v>244</v>
      </c>
      <c r="D121" s="52" t="s">
        <v>230</v>
      </c>
      <c r="E121" s="53">
        <v>7000.0</v>
      </c>
      <c r="F121" s="54">
        <v>420000.0</v>
      </c>
      <c r="G121" s="40" t="s">
        <v>155</v>
      </c>
      <c r="H121" s="43" t="s">
        <v>137</v>
      </c>
      <c r="I121" s="43">
        <v>25.0</v>
      </c>
      <c r="J121" s="43">
        <v>0.0</v>
      </c>
      <c r="K121" s="43">
        <v>0.0</v>
      </c>
      <c r="L121" s="38"/>
      <c r="M121" s="38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</row>
    <row r="122" ht="15.75" customHeight="1">
      <c r="A122" s="38"/>
      <c r="B122" s="39"/>
      <c r="C122" s="59" t="s">
        <v>245</v>
      </c>
      <c r="D122" s="52" t="s">
        <v>226</v>
      </c>
      <c r="E122" s="53">
        <v>5000.0</v>
      </c>
      <c r="F122" s="54">
        <v>25000.0</v>
      </c>
      <c r="G122" s="40" t="s">
        <v>155</v>
      </c>
      <c r="H122" s="43" t="s">
        <v>137</v>
      </c>
      <c r="I122" s="43">
        <v>1.0</v>
      </c>
      <c r="J122" s="43">
        <v>0.0</v>
      </c>
      <c r="K122" s="43">
        <v>0.0</v>
      </c>
      <c r="L122" s="38"/>
      <c r="M122" s="38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  <c r="AI122" s="44"/>
    </row>
    <row r="123" ht="15.75" customHeight="1">
      <c r="A123" s="38"/>
      <c r="B123" s="39"/>
      <c r="C123" s="51" t="s">
        <v>246</v>
      </c>
      <c r="D123" s="52" t="s">
        <v>116</v>
      </c>
      <c r="E123" s="53">
        <v>900.0</v>
      </c>
      <c r="F123" s="54">
        <f>E123*10</f>
        <v>9000</v>
      </c>
      <c r="G123" s="40" t="s">
        <v>155</v>
      </c>
      <c r="H123" s="43" t="s">
        <v>137</v>
      </c>
      <c r="I123" s="43">
        <v>10.0</v>
      </c>
      <c r="J123" s="43">
        <v>0.0</v>
      </c>
      <c r="K123" s="43">
        <v>0.0</v>
      </c>
      <c r="L123" s="38"/>
      <c r="M123" s="38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</row>
    <row r="124" ht="15.75" customHeight="1">
      <c r="A124" s="38"/>
      <c r="B124" s="39"/>
      <c r="C124" s="51" t="s">
        <v>247</v>
      </c>
      <c r="D124" s="52" t="s">
        <v>116</v>
      </c>
      <c r="E124" s="53">
        <v>700.0</v>
      </c>
      <c r="F124" s="54">
        <v>7000.0</v>
      </c>
      <c r="G124" s="40" t="s">
        <v>155</v>
      </c>
      <c r="H124" s="43" t="s">
        <v>137</v>
      </c>
      <c r="I124" s="43">
        <v>10.0</v>
      </c>
      <c r="J124" s="43">
        <v>0.0</v>
      </c>
      <c r="K124" s="43">
        <v>0.0</v>
      </c>
      <c r="L124" s="38"/>
      <c r="M124" s="38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</row>
    <row r="125" ht="15.75" customHeight="1">
      <c r="A125" s="38"/>
      <c r="B125" s="39"/>
      <c r="C125" s="51" t="s">
        <v>248</v>
      </c>
      <c r="D125" s="52" t="s">
        <v>119</v>
      </c>
      <c r="E125" s="53">
        <v>700.0</v>
      </c>
      <c r="F125" s="54">
        <v>3500.0</v>
      </c>
      <c r="G125" s="40" t="s">
        <v>155</v>
      </c>
      <c r="H125" s="43" t="s">
        <v>137</v>
      </c>
      <c r="I125" s="43">
        <v>5.0</v>
      </c>
      <c r="J125" s="43">
        <v>0.0</v>
      </c>
      <c r="K125" s="43">
        <v>0.0</v>
      </c>
      <c r="L125" s="38"/>
      <c r="M125" s="38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</row>
    <row r="126" ht="15.75" customHeight="1">
      <c r="A126" s="38"/>
      <c r="B126" s="39"/>
      <c r="C126" s="51" t="s">
        <v>249</v>
      </c>
      <c r="D126" s="52" t="s">
        <v>119</v>
      </c>
      <c r="E126" s="53">
        <v>400.0</v>
      </c>
      <c r="F126" s="54">
        <v>10000.0</v>
      </c>
      <c r="G126" s="40" t="s">
        <v>155</v>
      </c>
      <c r="H126" s="43" t="s">
        <v>137</v>
      </c>
      <c r="I126" s="43">
        <v>5.0</v>
      </c>
      <c r="J126" s="43">
        <v>0.0</v>
      </c>
      <c r="K126" s="43">
        <v>0.0</v>
      </c>
      <c r="L126" s="38"/>
      <c r="M126" s="38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</row>
    <row r="127" ht="15.75" customHeight="1">
      <c r="A127" s="38"/>
      <c r="B127" s="39"/>
      <c r="C127" s="51" t="s">
        <v>250</v>
      </c>
      <c r="D127" s="52" t="s">
        <v>119</v>
      </c>
      <c r="E127" s="53">
        <f>F127/6</f>
        <v>4500</v>
      </c>
      <c r="F127" s="54">
        <v>27000.0</v>
      </c>
      <c r="G127" s="40" t="s">
        <v>155</v>
      </c>
      <c r="H127" s="43" t="s">
        <v>137</v>
      </c>
      <c r="I127" s="43">
        <v>5.0</v>
      </c>
      <c r="J127" s="43">
        <v>0.0</v>
      </c>
      <c r="K127" s="43">
        <v>0.0</v>
      </c>
      <c r="L127" s="38"/>
      <c r="M127" s="38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</row>
    <row r="128" ht="15.75" customHeight="1">
      <c r="A128" s="38"/>
      <c r="B128" s="39"/>
      <c r="C128" s="51" t="s">
        <v>251</v>
      </c>
      <c r="D128" s="52" t="s">
        <v>119</v>
      </c>
      <c r="E128" s="53">
        <v>900.0</v>
      </c>
      <c r="F128" s="54">
        <v>4500.0</v>
      </c>
      <c r="G128" s="40" t="s">
        <v>155</v>
      </c>
      <c r="H128" s="43" t="s">
        <v>137</v>
      </c>
      <c r="I128" s="43">
        <v>5.0</v>
      </c>
      <c r="J128" s="43">
        <v>0.0</v>
      </c>
      <c r="K128" s="43">
        <v>0.0</v>
      </c>
      <c r="L128" s="38"/>
      <c r="M128" s="38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</row>
    <row r="129" ht="15.75" customHeight="1">
      <c r="A129" s="38"/>
      <c r="B129" s="39"/>
      <c r="C129" s="51" t="s">
        <v>252</v>
      </c>
      <c r="D129" s="52" t="s">
        <v>119</v>
      </c>
      <c r="E129" s="53">
        <v>900.0</v>
      </c>
      <c r="F129" s="54">
        <f>E129*5</f>
        <v>4500</v>
      </c>
      <c r="G129" s="40" t="s">
        <v>155</v>
      </c>
      <c r="H129" s="43" t="s">
        <v>137</v>
      </c>
      <c r="I129" s="43">
        <v>5.0</v>
      </c>
      <c r="J129" s="43">
        <v>0.0</v>
      </c>
      <c r="K129" s="43">
        <v>0.0</v>
      </c>
      <c r="L129" s="38"/>
      <c r="M129" s="38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</row>
    <row r="130" ht="15.75" customHeight="1">
      <c r="A130" s="38"/>
      <c r="B130" s="39"/>
      <c r="C130" s="51" t="s">
        <v>253</v>
      </c>
      <c r="D130" s="52" t="s">
        <v>116</v>
      </c>
      <c r="E130" s="53">
        <v>900.0</v>
      </c>
      <c r="F130" s="54">
        <f t="shared" ref="F130:F131" si="6">E130*10</f>
        <v>9000</v>
      </c>
      <c r="G130" s="40" t="s">
        <v>155</v>
      </c>
      <c r="H130" s="43" t="s">
        <v>137</v>
      </c>
      <c r="I130" s="43">
        <v>10.0</v>
      </c>
      <c r="J130" s="43">
        <v>0.0</v>
      </c>
      <c r="K130" s="43">
        <v>0.0</v>
      </c>
      <c r="L130" s="38"/>
      <c r="M130" s="38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</row>
    <row r="131" ht="15.75" customHeight="1">
      <c r="A131" s="38"/>
      <c r="B131" s="39"/>
      <c r="C131" s="51" t="s">
        <v>254</v>
      </c>
      <c r="D131" s="52" t="s">
        <v>116</v>
      </c>
      <c r="E131" s="53">
        <v>900.0</v>
      </c>
      <c r="F131" s="54">
        <f t="shared" si="6"/>
        <v>9000</v>
      </c>
      <c r="G131" s="40" t="s">
        <v>155</v>
      </c>
      <c r="H131" s="43" t="s">
        <v>137</v>
      </c>
      <c r="I131" s="43">
        <v>10.0</v>
      </c>
      <c r="J131" s="43">
        <v>0.0</v>
      </c>
      <c r="K131" s="43">
        <v>0.0</v>
      </c>
      <c r="L131" s="38"/>
      <c r="M131" s="38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</row>
    <row r="132" ht="15.75" customHeight="1">
      <c r="A132" s="38"/>
      <c r="B132" s="39"/>
      <c r="C132" s="51" t="s">
        <v>255</v>
      </c>
      <c r="D132" s="52" t="s">
        <v>119</v>
      </c>
      <c r="E132" s="53">
        <f t="shared" ref="E132:E133" si="7">F132/5</f>
        <v>2500</v>
      </c>
      <c r="F132" s="54">
        <v>12500.0</v>
      </c>
      <c r="G132" s="40" t="s">
        <v>155</v>
      </c>
      <c r="H132" s="43" t="s">
        <v>137</v>
      </c>
      <c r="I132" s="43">
        <v>5.0</v>
      </c>
      <c r="J132" s="43">
        <v>0.0</v>
      </c>
      <c r="K132" s="43">
        <v>0.0</v>
      </c>
      <c r="L132" s="38"/>
      <c r="M132" s="38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</row>
    <row r="133" ht="15.75" customHeight="1">
      <c r="A133" s="38"/>
      <c r="B133" s="39"/>
      <c r="C133" s="51" t="s">
        <v>256</v>
      </c>
      <c r="D133" s="52" t="s">
        <v>119</v>
      </c>
      <c r="E133" s="53">
        <f t="shared" si="7"/>
        <v>1500</v>
      </c>
      <c r="F133" s="54">
        <v>7500.0</v>
      </c>
      <c r="G133" s="40" t="s">
        <v>155</v>
      </c>
      <c r="H133" s="43" t="s">
        <v>137</v>
      </c>
      <c r="I133" s="43">
        <v>5.0</v>
      </c>
      <c r="J133" s="43">
        <v>0.0</v>
      </c>
      <c r="K133" s="43">
        <v>0.0</v>
      </c>
      <c r="L133" s="38"/>
      <c r="M133" s="38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</row>
    <row r="134" ht="15.75" customHeight="1">
      <c r="A134" s="38"/>
      <c r="B134" s="39"/>
      <c r="C134" s="51" t="s">
        <v>257</v>
      </c>
      <c r="D134" s="52" t="s">
        <v>119</v>
      </c>
      <c r="E134" s="53">
        <v>500.0</v>
      </c>
      <c r="F134" s="54">
        <v>2500.0</v>
      </c>
      <c r="G134" s="40" t="s">
        <v>155</v>
      </c>
      <c r="H134" s="43" t="s">
        <v>137</v>
      </c>
      <c r="I134" s="43">
        <v>5.0</v>
      </c>
      <c r="J134" s="43">
        <v>0.0</v>
      </c>
      <c r="K134" s="43">
        <v>0.0</v>
      </c>
      <c r="L134" s="38"/>
      <c r="M134" s="38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</row>
    <row r="135" ht="15.75" customHeight="1">
      <c r="A135" s="38"/>
      <c r="B135" s="39"/>
      <c r="C135" s="51" t="s">
        <v>258</v>
      </c>
      <c r="D135" s="52" t="s">
        <v>116</v>
      </c>
      <c r="E135" s="53">
        <f>F135/10</f>
        <v>1500</v>
      </c>
      <c r="F135" s="54">
        <v>15000.0</v>
      </c>
      <c r="G135" s="40" t="s">
        <v>155</v>
      </c>
      <c r="H135" s="43" t="s">
        <v>137</v>
      </c>
      <c r="I135" s="43">
        <v>10.0</v>
      </c>
      <c r="J135" s="43">
        <v>0.0</v>
      </c>
      <c r="K135" s="43">
        <v>0.0</v>
      </c>
      <c r="L135" s="38"/>
      <c r="M135" s="38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</row>
    <row r="136" ht="15.75" customHeight="1">
      <c r="A136" s="38"/>
      <c r="B136" s="39"/>
      <c r="C136" s="51" t="s">
        <v>259</v>
      </c>
      <c r="D136" s="52" t="s">
        <v>112</v>
      </c>
      <c r="E136" s="53">
        <f>F136/20</f>
        <v>8000</v>
      </c>
      <c r="F136" s="54">
        <v>160000.0</v>
      </c>
      <c r="G136" s="40" t="s">
        <v>155</v>
      </c>
      <c r="H136" s="43" t="s">
        <v>137</v>
      </c>
      <c r="I136" s="43">
        <v>20.0</v>
      </c>
      <c r="J136" s="43">
        <v>0.0</v>
      </c>
      <c r="K136" s="43">
        <v>0.0</v>
      </c>
      <c r="L136" s="38"/>
      <c r="M136" s="38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</row>
    <row r="137" ht="15.75" customHeight="1">
      <c r="A137" s="38"/>
      <c r="B137" s="39"/>
      <c r="C137" s="51" t="s">
        <v>260</v>
      </c>
      <c r="D137" s="52" t="s">
        <v>119</v>
      </c>
      <c r="E137" s="53">
        <v>600.0</v>
      </c>
      <c r="F137" s="54">
        <v>3000.0</v>
      </c>
      <c r="G137" s="40" t="s">
        <v>155</v>
      </c>
      <c r="H137" s="43" t="s">
        <v>137</v>
      </c>
      <c r="I137" s="43">
        <v>2.0</v>
      </c>
      <c r="J137" s="43">
        <v>2.0</v>
      </c>
      <c r="K137" s="43">
        <v>1.0</v>
      </c>
      <c r="L137" s="38"/>
      <c r="M137" s="38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</row>
    <row r="138" ht="15.75" customHeight="1">
      <c r="A138" s="38"/>
      <c r="B138" s="39"/>
      <c r="C138" s="51" t="s">
        <v>261</v>
      </c>
      <c r="D138" s="52" t="s">
        <v>262</v>
      </c>
      <c r="E138" s="53">
        <v>500.0</v>
      </c>
      <c r="F138" s="54">
        <v>7500.0</v>
      </c>
      <c r="G138" s="40" t="s">
        <v>155</v>
      </c>
      <c r="H138" s="43" t="s">
        <v>137</v>
      </c>
      <c r="I138" s="43">
        <v>5.0</v>
      </c>
      <c r="J138" s="43">
        <v>5.0</v>
      </c>
      <c r="K138" s="43">
        <v>5.0</v>
      </c>
      <c r="L138" s="38"/>
      <c r="M138" s="38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</row>
    <row r="139" ht="15.75" customHeight="1">
      <c r="A139" s="38"/>
      <c r="B139" s="39"/>
      <c r="C139" s="51" t="s">
        <v>263</v>
      </c>
      <c r="D139" s="52" t="s">
        <v>262</v>
      </c>
      <c r="E139" s="53">
        <v>100.0</v>
      </c>
      <c r="F139" s="54">
        <v>1500.0</v>
      </c>
      <c r="G139" s="40" t="s">
        <v>155</v>
      </c>
      <c r="H139" s="43" t="s">
        <v>137</v>
      </c>
      <c r="I139" s="43">
        <v>5.0</v>
      </c>
      <c r="J139" s="43">
        <v>5.0</v>
      </c>
      <c r="K139" s="43">
        <v>5.0</v>
      </c>
      <c r="L139" s="38"/>
      <c r="M139" s="38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</row>
    <row r="140" ht="15.75" customHeight="1">
      <c r="A140" s="38"/>
      <c r="B140" s="39"/>
      <c r="C140" s="51" t="s">
        <v>264</v>
      </c>
      <c r="D140" s="52" t="s">
        <v>262</v>
      </c>
      <c r="E140" s="53">
        <v>100.0</v>
      </c>
      <c r="F140" s="54">
        <v>1500.0</v>
      </c>
      <c r="G140" s="40" t="s">
        <v>155</v>
      </c>
      <c r="H140" s="43" t="s">
        <v>137</v>
      </c>
      <c r="I140" s="43">
        <v>5.0</v>
      </c>
      <c r="J140" s="43">
        <v>5.0</v>
      </c>
      <c r="K140" s="43">
        <v>5.0</v>
      </c>
      <c r="L140" s="38"/>
      <c r="M140" s="38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</row>
    <row r="141" ht="15.75" customHeight="1">
      <c r="A141" s="38"/>
      <c r="B141" s="39"/>
      <c r="C141" s="51" t="s">
        <v>265</v>
      </c>
      <c r="D141" s="52" t="s">
        <v>262</v>
      </c>
      <c r="E141" s="53">
        <v>150.0</v>
      </c>
      <c r="F141" s="54">
        <v>1500.0</v>
      </c>
      <c r="G141" s="40" t="s">
        <v>155</v>
      </c>
      <c r="H141" s="43" t="s">
        <v>137</v>
      </c>
      <c r="I141" s="43">
        <v>5.0</v>
      </c>
      <c r="J141" s="43">
        <v>5.0</v>
      </c>
      <c r="K141" s="43">
        <v>5.0</v>
      </c>
      <c r="L141" s="38"/>
      <c r="M141" s="38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</row>
    <row r="142" ht="15.75" customHeight="1">
      <c r="A142" s="38"/>
      <c r="B142" s="39"/>
      <c r="C142" s="51" t="s">
        <v>266</v>
      </c>
      <c r="D142" s="52" t="s">
        <v>262</v>
      </c>
      <c r="E142" s="53">
        <v>20000.0</v>
      </c>
      <c r="F142" s="54">
        <v>300000.0</v>
      </c>
      <c r="G142" s="40" t="s">
        <v>155</v>
      </c>
      <c r="H142" s="43" t="s">
        <v>137</v>
      </c>
      <c r="I142" s="43">
        <v>15.0</v>
      </c>
      <c r="J142" s="43">
        <v>0.0</v>
      </c>
      <c r="K142" s="43">
        <v>0.0</v>
      </c>
      <c r="L142" s="38"/>
      <c r="M142" s="38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  <c r="AI142" s="44"/>
    </row>
    <row r="143" ht="15.75" customHeight="1">
      <c r="A143" s="38"/>
      <c r="B143" s="39"/>
      <c r="C143" s="51" t="s">
        <v>267</v>
      </c>
      <c r="D143" s="52" t="s">
        <v>268</v>
      </c>
      <c r="E143" s="53">
        <v>1000.0</v>
      </c>
      <c r="F143" s="54">
        <f>E143*25</f>
        <v>25000</v>
      </c>
      <c r="G143" s="40" t="s">
        <v>155</v>
      </c>
      <c r="H143" s="43" t="s">
        <v>137</v>
      </c>
      <c r="I143" s="43">
        <v>10.0</v>
      </c>
      <c r="J143" s="43">
        <v>10.0</v>
      </c>
      <c r="K143" s="43">
        <v>5.0</v>
      </c>
      <c r="L143" s="38"/>
      <c r="M143" s="38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</row>
    <row r="144" ht="15.75" customHeight="1">
      <c r="A144" s="38"/>
      <c r="B144" s="39"/>
      <c r="C144" s="51" t="s">
        <v>269</v>
      </c>
      <c r="D144" s="52" t="s">
        <v>79</v>
      </c>
      <c r="E144" s="53">
        <v>50000.0</v>
      </c>
      <c r="F144" s="54">
        <v>5000.0</v>
      </c>
      <c r="G144" s="40" t="s">
        <v>155</v>
      </c>
      <c r="H144" s="43" t="s">
        <v>137</v>
      </c>
      <c r="I144" s="43">
        <v>1.0</v>
      </c>
      <c r="J144" s="43">
        <v>0.0</v>
      </c>
      <c r="K144" s="43">
        <v>0.0</v>
      </c>
      <c r="L144" s="38"/>
      <c r="M144" s="38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</row>
    <row r="145" ht="15.75" customHeight="1">
      <c r="A145" s="38"/>
      <c r="B145" s="39"/>
      <c r="C145" s="51" t="s">
        <v>270</v>
      </c>
      <c r="D145" s="52" t="s">
        <v>83</v>
      </c>
      <c r="E145" s="53">
        <v>1500.0</v>
      </c>
      <c r="F145" s="54">
        <v>3000.0</v>
      </c>
      <c r="G145" s="40" t="s">
        <v>155</v>
      </c>
      <c r="H145" s="43" t="s">
        <v>137</v>
      </c>
      <c r="I145" s="43">
        <v>1.0</v>
      </c>
      <c r="J145" s="43">
        <v>1.0</v>
      </c>
      <c r="K145" s="43">
        <v>0.0</v>
      </c>
      <c r="L145" s="38"/>
      <c r="M145" s="38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</row>
    <row r="146" ht="15.75" customHeight="1">
      <c r="A146" s="38"/>
      <c r="B146" s="39"/>
      <c r="C146" s="51" t="s">
        <v>271</v>
      </c>
      <c r="D146" s="52" t="s">
        <v>79</v>
      </c>
      <c r="E146" s="53">
        <v>2000.0</v>
      </c>
      <c r="F146" s="54">
        <v>2000.0</v>
      </c>
      <c r="G146" s="40" t="s">
        <v>155</v>
      </c>
      <c r="H146" s="43" t="s">
        <v>137</v>
      </c>
      <c r="I146" s="43">
        <v>1.0</v>
      </c>
      <c r="J146" s="43">
        <v>0.0</v>
      </c>
      <c r="K146" s="43">
        <v>0.0</v>
      </c>
      <c r="L146" s="38"/>
      <c r="M146" s="38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  <c r="AI146" s="44"/>
    </row>
    <row r="147" ht="15.75" customHeight="1">
      <c r="A147" s="38"/>
      <c r="B147" s="39"/>
      <c r="C147" s="51" t="s">
        <v>272</v>
      </c>
      <c r="D147" s="52" t="s">
        <v>79</v>
      </c>
      <c r="E147" s="53">
        <v>3000.0</v>
      </c>
      <c r="F147" s="54">
        <v>3000.0</v>
      </c>
      <c r="G147" s="40" t="s">
        <v>155</v>
      </c>
      <c r="H147" s="43" t="s">
        <v>137</v>
      </c>
      <c r="I147" s="43">
        <v>1.0</v>
      </c>
      <c r="J147" s="43">
        <v>0.0</v>
      </c>
      <c r="K147" s="43">
        <v>0.0</v>
      </c>
      <c r="L147" s="38"/>
      <c r="M147" s="38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</row>
    <row r="148" ht="15.75" customHeight="1">
      <c r="A148" s="38"/>
      <c r="B148" s="39"/>
      <c r="C148" s="51" t="s">
        <v>273</v>
      </c>
      <c r="D148" s="52" t="s">
        <v>98</v>
      </c>
      <c r="E148" s="53">
        <v>100.0</v>
      </c>
      <c r="F148" s="54">
        <v>5000.0</v>
      </c>
      <c r="G148" s="40" t="s">
        <v>155</v>
      </c>
      <c r="H148" s="43" t="s">
        <v>137</v>
      </c>
      <c r="I148" s="43">
        <v>15.0</v>
      </c>
      <c r="J148" s="43">
        <v>15.0</v>
      </c>
      <c r="K148" s="43">
        <v>10.0</v>
      </c>
      <c r="L148" s="38"/>
      <c r="M148" s="38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  <c r="AI148" s="44"/>
    </row>
    <row r="149" ht="15.75" customHeight="1">
      <c r="A149" s="38"/>
      <c r="B149" s="39"/>
      <c r="C149" s="51" t="s">
        <v>274</v>
      </c>
      <c r="D149" s="52" t="s">
        <v>275</v>
      </c>
      <c r="E149" s="53">
        <v>500.0</v>
      </c>
      <c r="F149" s="54">
        <f>E149*10</f>
        <v>5000</v>
      </c>
      <c r="G149" s="40" t="s">
        <v>155</v>
      </c>
      <c r="H149" s="43" t="s">
        <v>137</v>
      </c>
      <c r="I149" s="43">
        <v>4.0</v>
      </c>
      <c r="J149" s="43">
        <v>3.0</v>
      </c>
      <c r="K149" s="43">
        <v>3.0</v>
      </c>
      <c r="L149" s="38"/>
      <c r="M149" s="38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  <c r="AI149" s="44"/>
    </row>
    <row r="150" ht="15.75" customHeight="1">
      <c r="A150" s="38"/>
      <c r="B150" s="39"/>
      <c r="C150" s="51" t="s">
        <v>276</v>
      </c>
      <c r="D150" s="52" t="s">
        <v>262</v>
      </c>
      <c r="E150" s="53">
        <f t="shared" ref="E150:E151" si="8">F150/15</f>
        <v>1000</v>
      </c>
      <c r="F150" s="54">
        <v>15000.0</v>
      </c>
      <c r="G150" s="40" t="s">
        <v>155</v>
      </c>
      <c r="H150" s="43" t="s">
        <v>137</v>
      </c>
      <c r="I150" s="43">
        <v>15.0</v>
      </c>
      <c r="J150" s="43">
        <v>0.0</v>
      </c>
      <c r="K150" s="43">
        <v>0.0</v>
      </c>
      <c r="L150" s="38"/>
      <c r="M150" s="38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  <c r="AI150" s="44"/>
    </row>
    <row r="151" ht="15.75" customHeight="1">
      <c r="A151" s="38"/>
      <c r="B151" s="39"/>
      <c r="C151" s="51" t="s">
        <v>277</v>
      </c>
      <c r="D151" s="52" t="s">
        <v>262</v>
      </c>
      <c r="E151" s="53">
        <f t="shared" si="8"/>
        <v>1000</v>
      </c>
      <c r="F151" s="54">
        <v>15000.0</v>
      </c>
      <c r="G151" s="40" t="s">
        <v>155</v>
      </c>
      <c r="H151" s="43" t="s">
        <v>137</v>
      </c>
      <c r="I151" s="43">
        <v>15.0</v>
      </c>
      <c r="J151" s="43">
        <v>0.0</v>
      </c>
      <c r="K151" s="43">
        <v>0.0</v>
      </c>
      <c r="L151" s="38"/>
      <c r="M151" s="38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  <c r="AI151" s="44"/>
    </row>
    <row r="152" ht="15.75" customHeight="1">
      <c r="A152" s="38"/>
      <c r="B152" s="39"/>
      <c r="C152" s="51" t="s">
        <v>278</v>
      </c>
      <c r="D152" s="52" t="s">
        <v>112</v>
      </c>
      <c r="E152" s="53">
        <v>5000.0</v>
      </c>
      <c r="F152" s="54">
        <v>100000.0</v>
      </c>
      <c r="G152" s="40" t="s">
        <v>155</v>
      </c>
      <c r="H152" s="43" t="s">
        <v>137</v>
      </c>
      <c r="I152" s="43">
        <v>10.0</v>
      </c>
      <c r="J152" s="43">
        <v>0.0</v>
      </c>
      <c r="K152" s="43">
        <v>0.0</v>
      </c>
      <c r="L152" s="38"/>
      <c r="M152" s="38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4"/>
      <c r="AI152" s="44"/>
    </row>
    <row r="153" ht="15.75" customHeight="1">
      <c r="A153" s="38"/>
      <c r="B153" s="39"/>
      <c r="C153" s="39" t="s">
        <v>279</v>
      </c>
      <c r="D153" s="52" t="s">
        <v>226</v>
      </c>
      <c r="E153" s="41">
        <v>30000.0</v>
      </c>
      <c r="F153" s="42">
        <v>600000.0</v>
      </c>
      <c r="G153" s="40" t="s">
        <v>155</v>
      </c>
      <c r="H153" s="40" t="s">
        <v>178</v>
      </c>
      <c r="I153" s="43"/>
      <c r="J153" s="43"/>
      <c r="K153" s="43"/>
      <c r="L153" s="38"/>
      <c r="M153" s="38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  <c r="AI153" s="44"/>
    </row>
    <row r="154" ht="15.75" customHeight="1">
      <c r="A154" s="38"/>
      <c r="B154" s="39"/>
      <c r="C154" s="39" t="s">
        <v>280</v>
      </c>
      <c r="D154" s="52" t="s">
        <v>281</v>
      </c>
      <c r="E154" s="41">
        <v>40.0</v>
      </c>
      <c r="F154" s="42">
        <f t="shared" ref="F154:F155" si="9">E154*50</f>
        <v>2000</v>
      </c>
      <c r="G154" s="40" t="s">
        <v>282</v>
      </c>
      <c r="H154" s="40" t="s">
        <v>178</v>
      </c>
      <c r="I154" s="43">
        <v>50.0</v>
      </c>
      <c r="J154" s="43">
        <v>0.0</v>
      </c>
      <c r="K154" s="43">
        <v>0.0</v>
      </c>
      <c r="L154" s="38"/>
      <c r="M154" s="38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  <c r="AI154" s="44"/>
    </row>
    <row r="155" ht="15.75" customHeight="1">
      <c r="A155" s="38"/>
      <c r="B155" s="39"/>
      <c r="C155" s="39" t="s">
        <v>283</v>
      </c>
      <c r="D155" s="52" t="s">
        <v>281</v>
      </c>
      <c r="E155" s="41">
        <v>250.0</v>
      </c>
      <c r="F155" s="42">
        <f t="shared" si="9"/>
        <v>12500</v>
      </c>
      <c r="G155" s="40" t="s">
        <v>282</v>
      </c>
      <c r="H155" s="40" t="s">
        <v>178</v>
      </c>
      <c r="I155" s="43">
        <v>25.0</v>
      </c>
      <c r="J155" s="43">
        <v>0.0</v>
      </c>
      <c r="K155" s="43">
        <v>0.0</v>
      </c>
      <c r="L155" s="38"/>
      <c r="M155" s="38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  <c r="AI155" s="44"/>
    </row>
    <row r="156" ht="15.75" customHeight="1">
      <c r="A156" s="38"/>
      <c r="B156" s="39"/>
      <c r="C156" s="39" t="s">
        <v>284</v>
      </c>
      <c r="D156" s="52" t="s">
        <v>209</v>
      </c>
      <c r="E156" s="41">
        <v>50.0</v>
      </c>
      <c r="F156" s="42">
        <f t="shared" ref="F156:F158" si="10">E156*25</f>
        <v>1250</v>
      </c>
      <c r="G156" s="40" t="s">
        <v>282</v>
      </c>
      <c r="H156" s="40" t="s">
        <v>178</v>
      </c>
      <c r="I156" s="43">
        <v>25.0</v>
      </c>
      <c r="J156" s="43">
        <v>0.0</v>
      </c>
      <c r="K156" s="43">
        <v>0.0</v>
      </c>
      <c r="L156" s="38"/>
      <c r="M156" s="38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  <c r="AI156" s="44"/>
    </row>
    <row r="157" ht="15.75" customHeight="1">
      <c r="A157" s="38"/>
      <c r="B157" s="39"/>
      <c r="C157" s="39" t="s">
        <v>285</v>
      </c>
      <c r="D157" s="52" t="s">
        <v>209</v>
      </c>
      <c r="E157" s="41">
        <v>40.0</v>
      </c>
      <c r="F157" s="42">
        <f t="shared" si="10"/>
        <v>1000</v>
      </c>
      <c r="G157" s="40" t="s">
        <v>282</v>
      </c>
      <c r="H157" s="40" t="s">
        <v>178</v>
      </c>
      <c r="I157" s="43">
        <v>25.0</v>
      </c>
      <c r="J157" s="43">
        <v>0.0</v>
      </c>
      <c r="K157" s="43">
        <v>0.0</v>
      </c>
      <c r="L157" s="38"/>
      <c r="M157" s="38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  <c r="AI157" s="44"/>
    </row>
    <row r="158" ht="15.75" customHeight="1">
      <c r="A158" s="38"/>
      <c r="B158" s="39"/>
      <c r="C158" s="39" t="s">
        <v>286</v>
      </c>
      <c r="D158" s="52" t="s">
        <v>209</v>
      </c>
      <c r="E158" s="41">
        <v>150.0</v>
      </c>
      <c r="F158" s="42">
        <f t="shared" si="10"/>
        <v>3750</v>
      </c>
      <c r="G158" s="40" t="s">
        <v>282</v>
      </c>
      <c r="H158" s="40" t="s">
        <v>178</v>
      </c>
      <c r="I158" s="43">
        <v>25.0</v>
      </c>
      <c r="J158" s="43">
        <v>0.0</v>
      </c>
      <c r="K158" s="43">
        <v>0.0</v>
      </c>
      <c r="L158" s="38"/>
      <c r="M158" s="38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</row>
    <row r="159" ht="15.75" customHeight="1">
      <c r="A159" s="38"/>
      <c r="B159" s="39"/>
      <c r="C159" s="60" t="s">
        <v>287</v>
      </c>
      <c r="D159" s="61" t="s">
        <v>226</v>
      </c>
      <c r="E159" s="62">
        <v>25000.0</v>
      </c>
      <c r="F159" s="62">
        <v>25000.0</v>
      </c>
      <c r="G159" s="40" t="s">
        <v>155</v>
      </c>
      <c r="H159" s="63" t="s">
        <v>288</v>
      </c>
      <c r="I159" s="64">
        <v>0.0</v>
      </c>
      <c r="J159" s="64">
        <v>1.0</v>
      </c>
      <c r="K159" s="64">
        <v>0.0</v>
      </c>
      <c r="L159" s="38"/>
      <c r="M159" s="38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</row>
    <row r="160" ht="15.75" customHeight="1">
      <c r="A160" s="32" t="s">
        <v>289</v>
      </c>
      <c r="B160" s="33"/>
      <c r="C160" s="47" t="s">
        <v>290</v>
      </c>
      <c r="D160" s="35"/>
      <c r="E160" s="35"/>
      <c r="F160" s="33"/>
      <c r="G160" s="33"/>
      <c r="H160" s="33"/>
      <c r="I160" s="33"/>
      <c r="J160" s="33"/>
      <c r="K160" s="33"/>
      <c r="L160" s="33"/>
      <c r="M160" s="33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</row>
    <row r="161" ht="15.75" customHeight="1">
      <c r="A161" s="38"/>
      <c r="B161" s="65"/>
      <c r="C161" s="39" t="s">
        <v>291</v>
      </c>
      <c r="D161" s="52" t="s">
        <v>292</v>
      </c>
      <c r="E161" s="41">
        <v>50000.0</v>
      </c>
      <c r="F161" s="42">
        <f t="shared" ref="F161:F163" si="11">E161*10</f>
        <v>500000</v>
      </c>
      <c r="G161" s="40" t="s">
        <v>155</v>
      </c>
      <c r="H161" s="40" t="s">
        <v>178</v>
      </c>
      <c r="I161" s="43"/>
      <c r="J161" s="43"/>
      <c r="K161" s="43"/>
      <c r="L161" s="38"/>
      <c r="M161" s="38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</row>
    <row r="162" ht="15.75" customHeight="1">
      <c r="A162" s="38"/>
      <c r="B162" s="65"/>
      <c r="C162" s="39" t="s">
        <v>293</v>
      </c>
      <c r="D162" s="52" t="s">
        <v>292</v>
      </c>
      <c r="E162" s="41">
        <v>5000.0</v>
      </c>
      <c r="F162" s="42">
        <f t="shared" si="11"/>
        <v>50000</v>
      </c>
      <c r="G162" s="40" t="s">
        <v>155</v>
      </c>
      <c r="H162" s="40" t="s">
        <v>178</v>
      </c>
      <c r="I162" s="43"/>
      <c r="J162" s="43"/>
      <c r="K162" s="43"/>
      <c r="L162" s="38"/>
      <c r="M162" s="38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</row>
    <row r="163" ht="15.75" customHeight="1">
      <c r="A163" s="38"/>
      <c r="B163" s="65"/>
      <c r="C163" s="39" t="s">
        <v>294</v>
      </c>
      <c r="D163" s="52" t="s">
        <v>292</v>
      </c>
      <c r="E163" s="41">
        <v>10000.0</v>
      </c>
      <c r="F163" s="42">
        <f t="shared" si="11"/>
        <v>100000</v>
      </c>
      <c r="G163" s="40" t="s">
        <v>155</v>
      </c>
      <c r="H163" s="40" t="s">
        <v>178</v>
      </c>
      <c r="I163" s="43">
        <v>10.0</v>
      </c>
      <c r="J163" s="43">
        <v>0.0</v>
      </c>
      <c r="K163" s="43">
        <v>0.0</v>
      </c>
      <c r="L163" s="38"/>
      <c r="M163" s="38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</row>
    <row r="164" ht="15.75" customHeight="1">
      <c r="A164" s="38"/>
      <c r="B164" s="65"/>
      <c r="C164" s="39" t="s">
        <v>295</v>
      </c>
      <c r="D164" s="40" t="s">
        <v>296</v>
      </c>
      <c r="E164" s="41">
        <v>10000.0</v>
      </c>
      <c r="F164" s="42">
        <f t="shared" ref="F164:F166" si="12">E164*5</f>
        <v>50000</v>
      </c>
      <c r="G164" s="40" t="s">
        <v>155</v>
      </c>
      <c r="H164" s="40" t="s">
        <v>178</v>
      </c>
      <c r="I164" s="43">
        <v>5.0</v>
      </c>
      <c r="J164" s="43">
        <v>0.0</v>
      </c>
      <c r="K164" s="43">
        <v>0.0</v>
      </c>
      <c r="L164" s="38"/>
      <c r="M164" s="38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</row>
    <row r="165" ht="15.75" customHeight="1">
      <c r="A165" s="38"/>
      <c r="B165" s="39"/>
      <c r="C165" s="39" t="s">
        <v>297</v>
      </c>
      <c r="D165" s="40" t="s">
        <v>296</v>
      </c>
      <c r="E165" s="41">
        <v>49999.0</v>
      </c>
      <c r="F165" s="42">
        <f t="shared" si="12"/>
        <v>249995</v>
      </c>
      <c r="G165" s="40" t="s">
        <v>155</v>
      </c>
      <c r="H165" s="40" t="s">
        <v>178</v>
      </c>
      <c r="I165" s="43">
        <v>5.0</v>
      </c>
      <c r="J165" s="43">
        <v>0.0</v>
      </c>
      <c r="K165" s="43">
        <v>0.0</v>
      </c>
      <c r="L165" s="38"/>
      <c r="M165" s="38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</row>
    <row r="166" ht="15.75" customHeight="1">
      <c r="A166" s="38"/>
      <c r="B166" s="38"/>
      <c r="C166" s="45" t="s">
        <v>298</v>
      </c>
      <c r="D166" s="40" t="s">
        <v>296</v>
      </c>
      <c r="E166" s="41">
        <v>30000.0</v>
      </c>
      <c r="F166" s="42">
        <f t="shared" si="12"/>
        <v>150000</v>
      </c>
      <c r="G166" s="40" t="s">
        <v>155</v>
      </c>
      <c r="H166" s="40" t="s">
        <v>178</v>
      </c>
      <c r="I166" s="43">
        <v>5.0</v>
      </c>
      <c r="J166" s="43">
        <v>0.0</v>
      </c>
      <c r="K166" s="43">
        <v>0.0</v>
      </c>
      <c r="L166" s="38"/>
      <c r="M166" s="66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</row>
    <row r="167" ht="15.75" customHeight="1">
      <c r="A167" s="38"/>
      <c r="B167" s="38"/>
      <c r="C167" s="45" t="s">
        <v>299</v>
      </c>
      <c r="D167" s="40" t="s">
        <v>104</v>
      </c>
      <c r="E167" s="41">
        <v>15000.0</v>
      </c>
      <c r="F167" s="42">
        <f>E167*2</f>
        <v>30000</v>
      </c>
      <c r="G167" s="40" t="s">
        <v>155</v>
      </c>
      <c r="H167" s="40" t="s">
        <v>178</v>
      </c>
      <c r="I167" s="43">
        <v>2.0</v>
      </c>
      <c r="J167" s="43">
        <v>0.0</v>
      </c>
      <c r="K167" s="43">
        <v>0.0</v>
      </c>
      <c r="L167" s="38"/>
      <c r="M167" s="66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</row>
    <row r="168" ht="15.75" customHeight="1">
      <c r="A168" s="32"/>
      <c r="B168" s="55"/>
      <c r="C168" s="56" t="s">
        <v>300</v>
      </c>
      <c r="D168" s="33"/>
      <c r="E168" s="35"/>
      <c r="F168" s="36"/>
      <c r="G168" s="33"/>
      <c r="H168" s="33"/>
      <c r="I168" s="33"/>
      <c r="J168" s="33"/>
      <c r="K168" s="33"/>
      <c r="L168" s="33"/>
      <c r="M168" s="33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</row>
    <row r="169" ht="15.75" customHeight="1">
      <c r="A169" s="38"/>
      <c r="B169" s="38"/>
      <c r="C169" s="45" t="s">
        <v>301</v>
      </c>
      <c r="D169" s="40" t="s">
        <v>292</v>
      </c>
      <c r="E169" s="41">
        <v>7000.0</v>
      </c>
      <c r="F169" s="42">
        <f>E169*10</f>
        <v>70000</v>
      </c>
      <c r="G169" s="40" t="s">
        <v>155</v>
      </c>
      <c r="H169" s="40" t="s">
        <v>178</v>
      </c>
      <c r="I169" s="43"/>
      <c r="J169" s="43"/>
      <c r="K169" s="43"/>
      <c r="L169" s="38"/>
      <c r="M169" s="66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</row>
    <row r="170" ht="15.75" customHeight="1">
      <c r="A170" s="32"/>
      <c r="B170" s="55"/>
      <c r="C170" s="56" t="s">
        <v>302</v>
      </c>
      <c r="D170" s="33"/>
      <c r="E170" s="35"/>
      <c r="F170" s="36"/>
      <c r="G170" s="33"/>
      <c r="H170" s="33"/>
      <c r="I170" s="33"/>
      <c r="J170" s="33"/>
      <c r="K170" s="33"/>
      <c r="L170" s="33"/>
      <c r="M170" s="33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</row>
    <row r="171" ht="15.75" customHeight="1">
      <c r="A171" s="67"/>
      <c r="B171" s="39"/>
      <c r="C171" s="39" t="s">
        <v>303</v>
      </c>
      <c r="D171" s="43" t="s">
        <v>296</v>
      </c>
      <c r="E171" s="68">
        <v>15000.0</v>
      </c>
      <c r="F171" s="69">
        <f>E171*5</f>
        <v>75000</v>
      </c>
      <c r="G171" s="40" t="s">
        <v>282</v>
      </c>
      <c r="H171" s="40" t="s">
        <v>178</v>
      </c>
      <c r="I171" s="38">
        <v>0.0</v>
      </c>
      <c r="J171" s="38">
        <v>2.0</v>
      </c>
      <c r="K171" s="38">
        <v>3.0</v>
      </c>
      <c r="L171" s="38"/>
      <c r="M171" s="38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</row>
    <row r="172" ht="15.75" customHeight="1">
      <c r="A172" s="32" t="s">
        <v>304</v>
      </c>
      <c r="B172" s="55"/>
      <c r="C172" s="56" t="s">
        <v>305</v>
      </c>
      <c r="D172" s="33"/>
      <c r="E172" s="35"/>
      <c r="F172" s="36"/>
      <c r="G172" s="33"/>
      <c r="H172" s="33"/>
      <c r="I172" s="33"/>
      <c r="J172" s="33"/>
      <c r="K172" s="33"/>
      <c r="L172" s="33"/>
      <c r="M172" s="33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</row>
    <row r="173" ht="15.75" customHeight="1">
      <c r="A173" s="38"/>
      <c r="B173" s="38"/>
      <c r="C173" s="45" t="s">
        <v>306</v>
      </c>
      <c r="D173" s="40" t="s">
        <v>307</v>
      </c>
      <c r="E173" s="41">
        <v>1000.0</v>
      </c>
      <c r="F173" s="42">
        <f t="shared" ref="F173:F174" si="13">E173*30</f>
        <v>30000</v>
      </c>
      <c r="G173" s="40" t="s">
        <v>282</v>
      </c>
      <c r="H173" s="40" t="s">
        <v>178</v>
      </c>
      <c r="I173" s="43">
        <v>10.0</v>
      </c>
      <c r="J173" s="43">
        <v>10.0</v>
      </c>
      <c r="K173" s="43">
        <v>10.0</v>
      </c>
      <c r="L173" s="38"/>
      <c r="M173" s="38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</row>
    <row r="174" ht="15.75" customHeight="1">
      <c r="A174" s="38"/>
      <c r="B174" s="38"/>
      <c r="C174" s="45" t="s">
        <v>308</v>
      </c>
      <c r="D174" s="40" t="s">
        <v>307</v>
      </c>
      <c r="E174" s="41">
        <v>1000.0</v>
      </c>
      <c r="F174" s="42">
        <f t="shared" si="13"/>
        <v>30000</v>
      </c>
      <c r="G174" s="40" t="s">
        <v>282</v>
      </c>
      <c r="H174" s="40" t="s">
        <v>178</v>
      </c>
      <c r="I174" s="43">
        <v>10.0</v>
      </c>
      <c r="J174" s="43">
        <v>10.0</v>
      </c>
      <c r="K174" s="43">
        <v>10.0</v>
      </c>
      <c r="L174" s="38"/>
      <c r="M174" s="38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</row>
    <row r="175" ht="15.75" customHeight="1">
      <c r="A175" s="32" t="s">
        <v>309</v>
      </c>
      <c r="B175" s="33"/>
      <c r="C175" s="47" t="s">
        <v>310</v>
      </c>
      <c r="D175" s="33"/>
      <c r="E175" s="35"/>
      <c r="F175" s="33"/>
      <c r="G175" s="33"/>
      <c r="H175" s="33"/>
      <c r="I175" s="33"/>
      <c r="J175" s="33"/>
      <c r="K175" s="33"/>
      <c r="L175" s="33"/>
      <c r="M175" s="33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</row>
    <row r="176" ht="15.75" customHeight="1">
      <c r="A176" s="38"/>
      <c r="B176" s="38"/>
      <c r="C176" s="38" t="s">
        <v>311</v>
      </c>
      <c r="D176" s="43" t="s">
        <v>312</v>
      </c>
      <c r="E176" s="46">
        <v>600000.0</v>
      </c>
      <c r="F176" s="46">
        <f>E176*3</f>
        <v>1800000</v>
      </c>
      <c r="G176" s="40" t="s">
        <v>313</v>
      </c>
      <c r="H176" s="43" t="s">
        <v>314</v>
      </c>
      <c r="I176" s="43">
        <v>1.0</v>
      </c>
      <c r="J176" s="43">
        <v>1.0</v>
      </c>
      <c r="K176" s="43">
        <v>1.0</v>
      </c>
      <c r="L176" s="38"/>
      <c r="M176" s="38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</row>
    <row r="177" ht="15.75" customHeight="1">
      <c r="A177" s="38"/>
      <c r="B177" s="38"/>
      <c r="C177" s="38" t="s">
        <v>315</v>
      </c>
      <c r="D177" s="43" t="s">
        <v>226</v>
      </c>
      <c r="E177" s="46">
        <v>500000.0</v>
      </c>
      <c r="F177" s="46">
        <f>E177</f>
        <v>500000</v>
      </c>
      <c r="G177" s="40" t="s">
        <v>313</v>
      </c>
      <c r="H177" s="43" t="s">
        <v>314</v>
      </c>
      <c r="I177" s="43"/>
      <c r="J177" s="43"/>
      <c r="K177" s="43"/>
      <c r="L177" s="38"/>
      <c r="M177" s="38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</row>
    <row r="178" ht="15.75" customHeight="1">
      <c r="A178" s="38"/>
      <c r="B178" s="38"/>
      <c r="C178" s="38" t="s">
        <v>316</v>
      </c>
      <c r="D178" s="43" t="s">
        <v>104</v>
      </c>
      <c r="E178" s="46">
        <v>1500000.0</v>
      </c>
      <c r="F178" s="46">
        <f>E178*2</f>
        <v>3000000</v>
      </c>
      <c r="G178" s="40" t="s">
        <v>313</v>
      </c>
      <c r="H178" s="43" t="s">
        <v>314</v>
      </c>
      <c r="I178" s="43">
        <v>1.0</v>
      </c>
      <c r="J178" s="43">
        <v>1.0</v>
      </c>
      <c r="K178" s="43">
        <v>1.0</v>
      </c>
      <c r="L178" s="38"/>
      <c r="M178" s="38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</row>
    <row r="179" ht="15.75" customHeight="1">
      <c r="A179" s="38"/>
      <c r="B179" s="38"/>
      <c r="C179" s="38" t="s">
        <v>317</v>
      </c>
      <c r="D179" s="43" t="s">
        <v>296</v>
      </c>
      <c r="E179" s="46">
        <v>200000.0</v>
      </c>
      <c r="F179" s="46">
        <v>1000000.0</v>
      </c>
      <c r="G179" s="40" t="s">
        <v>313</v>
      </c>
      <c r="H179" s="43" t="s">
        <v>314</v>
      </c>
      <c r="I179" s="43">
        <v>2.0</v>
      </c>
      <c r="J179" s="43">
        <v>2.0</v>
      </c>
      <c r="K179" s="43">
        <v>1.0</v>
      </c>
      <c r="L179" s="38"/>
      <c r="M179" s="38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</row>
    <row r="180" ht="15.75" customHeight="1">
      <c r="A180" s="32"/>
      <c r="B180" s="33"/>
      <c r="C180" s="47" t="s">
        <v>318</v>
      </c>
      <c r="D180" s="33"/>
      <c r="E180" s="35"/>
      <c r="F180" s="33"/>
      <c r="G180" s="33"/>
      <c r="H180" s="33"/>
      <c r="I180" s="33"/>
      <c r="J180" s="33"/>
      <c r="K180" s="33"/>
      <c r="L180" s="33"/>
      <c r="M180" s="33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</row>
    <row r="181" ht="15.75" customHeight="1">
      <c r="A181" s="38"/>
      <c r="B181" s="38"/>
      <c r="C181" s="38" t="s">
        <v>319</v>
      </c>
      <c r="D181" s="40" t="s">
        <v>320</v>
      </c>
      <c r="E181" s="41">
        <v>50000.0</v>
      </c>
      <c r="F181" s="41">
        <f>E181*15</f>
        <v>750000</v>
      </c>
      <c r="G181" s="40" t="s">
        <v>155</v>
      </c>
      <c r="H181" s="40" t="s">
        <v>178</v>
      </c>
      <c r="I181" s="43">
        <v>5.0</v>
      </c>
      <c r="J181" s="43">
        <v>10.0</v>
      </c>
      <c r="K181" s="43">
        <v>5.0</v>
      </c>
      <c r="L181" s="38"/>
      <c r="M181" s="38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4"/>
      <c r="AH181" s="44"/>
      <c r="AI181" s="44"/>
    </row>
    <row r="182" ht="15.75" customHeight="1">
      <c r="A182" s="38"/>
      <c r="B182" s="38"/>
      <c r="C182" s="38" t="s">
        <v>321</v>
      </c>
      <c r="D182" s="70" t="s">
        <v>322</v>
      </c>
      <c r="E182" s="41">
        <v>3000.0</v>
      </c>
      <c r="F182" s="41">
        <f>E182*20</f>
        <v>60000</v>
      </c>
      <c r="G182" s="40" t="s">
        <v>155</v>
      </c>
      <c r="H182" s="40" t="s">
        <v>178</v>
      </c>
      <c r="I182" s="43">
        <v>5.0</v>
      </c>
      <c r="J182" s="43">
        <v>10.0</v>
      </c>
      <c r="K182" s="43">
        <v>5.0</v>
      </c>
      <c r="L182" s="38"/>
      <c r="M182" s="38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4"/>
      <c r="AH182" s="44"/>
      <c r="AI182" s="44"/>
    </row>
    <row r="183" ht="15.75" customHeight="1">
      <c r="A183" s="38"/>
      <c r="B183" s="38"/>
      <c r="C183" s="38" t="s">
        <v>323</v>
      </c>
      <c r="D183" s="40" t="s">
        <v>320</v>
      </c>
      <c r="E183" s="41">
        <v>2000.0</v>
      </c>
      <c r="F183" s="41">
        <f>E183*15</f>
        <v>30000</v>
      </c>
      <c r="G183" s="40" t="s">
        <v>282</v>
      </c>
      <c r="H183" s="40" t="s">
        <v>178</v>
      </c>
      <c r="I183" s="43">
        <v>5.0</v>
      </c>
      <c r="J183" s="43">
        <v>5.0</v>
      </c>
      <c r="K183" s="43">
        <v>5.0</v>
      </c>
      <c r="L183" s="38"/>
      <c r="M183" s="38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4"/>
      <c r="AH183" s="44"/>
      <c r="AI183" s="44"/>
    </row>
    <row r="184" ht="15.75" customHeight="1">
      <c r="A184" s="71"/>
      <c r="B184" s="33"/>
      <c r="C184" s="47" t="s">
        <v>324</v>
      </c>
      <c r="D184" s="72"/>
      <c r="E184" s="73"/>
      <c r="F184" s="74"/>
      <c r="G184" s="72"/>
      <c r="H184" s="72"/>
      <c r="I184" s="75"/>
      <c r="J184" s="75"/>
      <c r="K184" s="75"/>
      <c r="L184" s="33"/>
      <c r="M184" s="33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</row>
    <row r="185" ht="15.75" customHeight="1">
      <c r="A185" s="38"/>
      <c r="B185" s="38"/>
      <c r="C185" s="45" t="s">
        <v>325</v>
      </c>
      <c r="D185" s="40" t="s">
        <v>104</v>
      </c>
      <c r="E185" s="41">
        <v>50000.0</v>
      </c>
      <c r="F185" s="41">
        <f t="shared" ref="F185:F186" si="14">E185*2</f>
        <v>100000</v>
      </c>
      <c r="G185" s="40" t="s">
        <v>155</v>
      </c>
      <c r="H185" s="40" t="s">
        <v>178</v>
      </c>
      <c r="I185" s="43">
        <v>0.0</v>
      </c>
      <c r="J185" s="43">
        <v>0.0</v>
      </c>
      <c r="K185" s="43">
        <v>2.0</v>
      </c>
      <c r="L185" s="38"/>
      <c r="M185" s="38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4"/>
      <c r="AH185" s="44"/>
      <c r="AI185" s="44"/>
    </row>
    <row r="186" ht="15.75" customHeight="1">
      <c r="A186" s="38"/>
      <c r="B186" s="38"/>
      <c r="C186" s="45" t="s">
        <v>326</v>
      </c>
      <c r="D186" s="40" t="s">
        <v>104</v>
      </c>
      <c r="E186" s="41">
        <v>30000.0</v>
      </c>
      <c r="F186" s="41">
        <f t="shared" si="14"/>
        <v>60000</v>
      </c>
      <c r="G186" s="40" t="s">
        <v>155</v>
      </c>
      <c r="H186" s="40" t="s">
        <v>178</v>
      </c>
      <c r="I186" s="43">
        <v>0.0</v>
      </c>
      <c r="J186" s="43">
        <v>0.0</v>
      </c>
      <c r="K186" s="43">
        <v>2.0</v>
      </c>
      <c r="L186" s="38"/>
      <c r="M186" s="38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  <c r="AH186" s="44"/>
      <c r="AI186" s="44"/>
    </row>
    <row r="187" ht="15.75" customHeight="1">
      <c r="A187" s="71" t="s">
        <v>327</v>
      </c>
      <c r="B187" s="33"/>
      <c r="C187" s="47" t="s">
        <v>328</v>
      </c>
      <c r="D187" s="72"/>
      <c r="E187" s="73"/>
      <c r="F187" s="74"/>
      <c r="G187" s="72"/>
      <c r="H187" s="72"/>
      <c r="I187" s="75"/>
      <c r="J187" s="75"/>
      <c r="K187" s="75"/>
      <c r="L187" s="33"/>
      <c r="M187" s="33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</row>
    <row r="188" ht="15.75" customHeight="1">
      <c r="A188" s="38"/>
      <c r="B188" s="38"/>
      <c r="C188" s="38" t="s">
        <v>329</v>
      </c>
      <c r="D188" s="40" t="s">
        <v>320</v>
      </c>
      <c r="E188" s="41">
        <v>15000.0</v>
      </c>
      <c r="F188" s="42">
        <f>E188*15</f>
        <v>225000</v>
      </c>
      <c r="G188" s="40" t="s">
        <v>155</v>
      </c>
      <c r="H188" s="40" t="s">
        <v>178</v>
      </c>
      <c r="I188" s="43">
        <v>5.0</v>
      </c>
      <c r="J188" s="43">
        <v>5.0</v>
      </c>
      <c r="K188" s="40">
        <v>5.0</v>
      </c>
      <c r="L188" s="43"/>
      <c r="M188" s="43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  <c r="AA188" s="76"/>
      <c r="AB188" s="76"/>
      <c r="AC188" s="76"/>
      <c r="AD188" s="76"/>
      <c r="AE188" s="76"/>
      <c r="AF188" s="76"/>
      <c r="AG188" s="76"/>
      <c r="AH188" s="76"/>
      <c r="AI188" s="76"/>
    </row>
    <row r="189" ht="15.75" customHeight="1">
      <c r="A189" s="32"/>
      <c r="B189" s="33"/>
      <c r="C189" s="47" t="s">
        <v>330</v>
      </c>
      <c r="D189" s="33"/>
      <c r="E189" s="35"/>
      <c r="F189" s="33"/>
      <c r="G189" s="72"/>
      <c r="H189" s="72"/>
      <c r="I189" s="75"/>
      <c r="J189" s="75"/>
      <c r="K189" s="75"/>
      <c r="L189" s="33"/>
      <c r="M189" s="33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</row>
    <row r="190" ht="15.75" customHeight="1">
      <c r="A190" s="38"/>
      <c r="B190" s="50"/>
      <c r="C190" s="38" t="s">
        <v>331</v>
      </c>
      <c r="D190" s="40" t="s">
        <v>226</v>
      </c>
      <c r="E190" s="41">
        <v>500000.0</v>
      </c>
      <c r="F190" s="42">
        <f>E190*1</f>
        <v>500000</v>
      </c>
      <c r="G190" s="40" t="s">
        <v>155</v>
      </c>
      <c r="H190" s="40" t="s">
        <v>178</v>
      </c>
      <c r="I190" s="43">
        <v>0.0</v>
      </c>
      <c r="J190" s="43">
        <v>0.0</v>
      </c>
      <c r="K190" s="43">
        <v>1.0</v>
      </c>
      <c r="L190" s="43"/>
      <c r="M190" s="43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  <c r="AA190" s="76"/>
      <c r="AB190" s="76"/>
      <c r="AC190" s="76"/>
      <c r="AD190" s="76"/>
      <c r="AE190" s="76"/>
      <c r="AF190" s="76"/>
      <c r="AG190" s="76"/>
      <c r="AH190" s="76"/>
      <c r="AI190" s="76"/>
    </row>
    <row r="191" ht="15.75" customHeight="1">
      <c r="A191" s="32" t="s">
        <v>332</v>
      </c>
      <c r="B191" s="33"/>
      <c r="C191" s="47" t="s">
        <v>333</v>
      </c>
      <c r="D191" s="33"/>
      <c r="E191" s="35"/>
      <c r="F191" s="33"/>
      <c r="G191" s="72"/>
      <c r="H191" s="72"/>
      <c r="I191" s="75"/>
      <c r="J191" s="75"/>
      <c r="K191" s="75"/>
      <c r="L191" s="33"/>
      <c r="M191" s="33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</row>
    <row r="192" ht="15.75" customHeight="1">
      <c r="A192" s="38"/>
      <c r="B192" s="38"/>
      <c r="C192" s="38" t="s">
        <v>334</v>
      </c>
      <c r="D192" s="40" t="s">
        <v>226</v>
      </c>
      <c r="E192" s="41">
        <v>2000000.0</v>
      </c>
      <c r="F192" s="41">
        <v>2000000.0</v>
      </c>
      <c r="G192" s="40" t="s">
        <v>313</v>
      </c>
      <c r="H192" s="43" t="s">
        <v>314</v>
      </c>
      <c r="I192" s="43">
        <v>0.0</v>
      </c>
      <c r="J192" s="43">
        <v>0.0</v>
      </c>
      <c r="K192" s="43">
        <v>1.0</v>
      </c>
      <c r="L192" s="43"/>
      <c r="M192" s="43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  <c r="AA192" s="76"/>
      <c r="AB192" s="76"/>
      <c r="AC192" s="76"/>
      <c r="AD192" s="76"/>
      <c r="AE192" s="76"/>
      <c r="AF192" s="76"/>
      <c r="AG192" s="76"/>
      <c r="AH192" s="76"/>
      <c r="AI192" s="76"/>
    </row>
    <row r="193" ht="15.75" customHeight="1">
      <c r="A193" s="38"/>
      <c r="B193" s="38"/>
      <c r="C193" s="38" t="s">
        <v>335</v>
      </c>
      <c r="D193" s="40" t="s">
        <v>226</v>
      </c>
      <c r="E193" s="41">
        <v>250000.0</v>
      </c>
      <c r="F193" s="41">
        <v>250000.0</v>
      </c>
      <c r="G193" s="40" t="s">
        <v>313</v>
      </c>
      <c r="H193" s="43" t="s">
        <v>314</v>
      </c>
      <c r="I193" s="43">
        <v>0.0</v>
      </c>
      <c r="J193" s="43">
        <v>0.0</v>
      </c>
      <c r="K193" s="43">
        <v>1.0</v>
      </c>
      <c r="L193" s="43"/>
      <c r="M193" s="43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  <c r="AF193" s="76"/>
      <c r="AG193" s="76"/>
      <c r="AH193" s="76"/>
      <c r="AI193" s="76"/>
    </row>
    <row r="194" ht="15.75" customHeight="1">
      <c r="A194" s="38"/>
      <c r="B194" s="38"/>
      <c r="C194" s="38" t="s">
        <v>336</v>
      </c>
      <c r="D194" s="40" t="s">
        <v>226</v>
      </c>
      <c r="E194" s="41"/>
      <c r="F194" s="41"/>
      <c r="G194" s="40"/>
      <c r="H194" s="43"/>
      <c r="I194" s="43"/>
      <c r="J194" s="43"/>
      <c r="K194" s="43"/>
      <c r="L194" s="43"/>
      <c r="M194" s="43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  <c r="AA194" s="76"/>
      <c r="AB194" s="76"/>
      <c r="AC194" s="76"/>
      <c r="AD194" s="76"/>
      <c r="AE194" s="76"/>
      <c r="AF194" s="76"/>
      <c r="AG194" s="76"/>
      <c r="AH194" s="76"/>
      <c r="AI194" s="76"/>
    </row>
    <row r="195" ht="15.75" customHeight="1">
      <c r="A195" s="38"/>
      <c r="B195" s="38"/>
      <c r="C195" s="38" t="s">
        <v>337</v>
      </c>
      <c r="D195" s="40" t="s">
        <v>226</v>
      </c>
      <c r="E195" s="41">
        <v>200000.0</v>
      </c>
      <c r="F195" s="41">
        <v>200000.0</v>
      </c>
      <c r="G195" s="40" t="s">
        <v>155</v>
      </c>
      <c r="H195" s="43" t="s">
        <v>338</v>
      </c>
      <c r="I195" s="43">
        <v>1.0</v>
      </c>
      <c r="J195" s="43">
        <v>0.0</v>
      </c>
      <c r="K195" s="43">
        <v>0.0</v>
      </c>
      <c r="L195" s="43"/>
      <c r="M195" s="43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  <c r="AA195" s="76"/>
      <c r="AB195" s="76"/>
      <c r="AC195" s="76"/>
      <c r="AD195" s="76"/>
      <c r="AE195" s="76"/>
      <c r="AF195" s="76"/>
      <c r="AG195" s="76"/>
      <c r="AH195" s="76"/>
      <c r="AI195" s="76"/>
    </row>
    <row r="196" ht="15.75" customHeight="1">
      <c r="A196" s="38"/>
      <c r="B196" s="38"/>
      <c r="C196" s="38" t="s">
        <v>339</v>
      </c>
      <c r="D196" s="70" t="s">
        <v>226</v>
      </c>
      <c r="E196" s="41">
        <v>200000.0</v>
      </c>
      <c r="F196" s="41">
        <v>200000.0</v>
      </c>
      <c r="G196" s="40" t="s">
        <v>155</v>
      </c>
      <c r="H196" s="43" t="s">
        <v>338</v>
      </c>
      <c r="I196" s="43">
        <v>1.0</v>
      </c>
      <c r="J196" s="43">
        <v>0.0</v>
      </c>
      <c r="K196" s="43">
        <v>0.0</v>
      </c>
      <c r="L196" s="43"/>
      <c r="M196" s="43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  <c r="AA196" s="76"/>
      <c r="AB196" s="76"/>
      <c r="AC196" s="76"/>
      <c r="AD196" s="76"/>
      <c r="AE196" s="76"/>
      <c r="AF196" s="76"/>
      <c r="AG196" s="76"/>
      <c r="AH196" s="76"/>
      <c r="AI196" s="76"/>
    </row>
    <row r="197" ht="15.75" customHeight="1">
      <c r="A197" s="38"/>
      <c r="B197" s="38"/>
      <c r="C197" s="38" t="s">
        <v>340</v>
      </c>
      <c r="D197" s="40" t="s">
        <v>226</v>
      </c>
      <c r="E197" s="41">
        <v>200000.0</v>
      </c>
      <c r="F197" s="41">
        <v>200000.0</v>
      </c>
      <c r="G197" s="40" t="s">
        <v>155</v>
      </c>
      <c r="H197" s="43" t="s">
        <v>314</v>
      </c>
      <c r="I197" s="43">
        <v>1.0</v>
      </c>
      <c r="J197" s="43">
        <v>0.0</v>
      </c>
      <c r="K197" s="43">
        <v>0.0</v>
      </c>
      <c r="L197" s="66"/>
      <c r="M197" s="38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</row>
    <row r="198" ht="15.75" customHeight="1">
      <c r="A198" s="77" t="s">
        <v>341</v>
      </c>
      <c r="B198" s="7"/>
      <c r="C198" s="7"/>
      <c r="D198" s="78">
        <f>SUM(F12:F188)</f>
        <v>13792045</v>
      </c>
      <c r="E198" s="79"/>
      <c r="F198" s="79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</row>
    <row r="199" ht="15.75" customHeight="1">
      <c r="A199" s="80" t="s">
        <v>342</v>
      </c>
      <c r="B199" s="7"/>
      <c r="C199" s="7"/>
      <c r="D199" s="7"/>
      <c r="E199" s="8"/>
      <c r="F199" s="9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</row>
    <row r="200" ht="15.75" customHeight="1">
      <c r="A200" s="3"/>
      <c r="B200" s="3"/>
      <c r="C200" s="3"/>
      <c r="D200" s="3"/>
      <c r="E200" s="5"/>
      <c r="F200" s="6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</row>
    <row r="201" ht="15.75" customHeight="1">
      <c r="A201" s="81" t="s">
        <v>343</v>
      </c>
      <c r="B201" s="3"/>
      <c r="C201" s="3"/>
      <c r="D201" s="82" t="s">
        <v>344</v>
      </c>
      <c r="E201" s="5"/>
      <c r="F201" s="6"/>
      <c r="G201" s="81" t="s">
        <v>345</v>
      </c>
      <c r="H201" s="3"/>
      <c r="I201" s="3"/>
      <c r="J201" s="83" t="s">
        <v>346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</row>
    <row r="202" ht="15.75" customHeight="1">
      <c r="A202" s="3"/>
      <c r="B202" s="3"/>
      <c r="C202" s="3"/>
      <c r="D202" s="3"/>
      <c r="E202" s="5"/>
      <c r="F202" s="6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</row>
    <row r="203" ht="15.75" customHeight="1">
      <c r="A203" s="3"/>
      <c r="B203" s="3"/>
      <c r="C203" s="3"/>
      <c r="D203" s="3"/>
      <c r="E203" s="5"/>
      <c r="F203" s="6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</row>
    <row r="204" ht="15.75" customHeight="1">
      <c r="A204" s="3"/>
      <c r="B204" s="3"/>
      <c r="C204" s="3"/>
      <c r="D204" s="3"/>
      <c r="E204" s="5"/>
      <c r="F204" s="6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</row>
    <row r="205" ht="15.75" customHeight="1">
      <c r="A205" s="81" t="s">
        <v>347</v>
      </c>
      <c r="D205" s="83" t="s">
        <v>348</v>
      </c>
      <c r="E205" s="5"/>
      <c r="F205" s="6"/>
      <c r="G205" s="81" t="s">
        <v>349</v>
      </c>
      <c r="H205" s="3"/>
      <c r="I205" s="3"/>
      <c r="J205" s="83" t="s">
        <v>350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</row>
    <row r="206" ht="15.75" customHeight="1">
      <c r="A206" s="84" t="s">
        <v>351</v>
      </c>
      <c r="D206" s="85" t="s">
        <v>352</v>
      </c>
      <c r="E206" s="5"/>
      <c r="F206" s="6"/>
      <c r="G206" s="84" t="s">
        <v>353</v>
      </c>
      <c r="H206" s="3"/>
      <c r="I206" s="3"/>
      <c r="J206" s="85" t="s">
        <v>354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</row>
    <row r="207" ht="15.75" customHeight="1">
      <c r="A207" s="3"/>
      <c r="B207" s="3"/>
      <c r="C207" s="3"/>
      <c r="D207" s="3"/>
      <c r="E207" s="5"/>
      <c r="F207" s="6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</row>
    <row r="208" ht="15.75" customHeight="1">
      <c r="A208" s="86" t="s">
        <v>355</v>
      </c>
      <c r="B208" s="3"/>
      <c r="C208" s="3"/>
      <c r="D208" s="85" t="s">
        <v>356</v>
      </c>
      <c r="E208" s="5"/>
      <c r="F208" s="6"/>
      <c r="G208" s="84" t="s">
        <v>356</v>
      </c>
      <c r="H208" s="3"/>
      <c r="I208" s="3"/>
      <c r="J208" s="85" t="s">
        <v>356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</row>
    <row r="209" ht="15.75" customHeight="1">
      <c r="A209" s="3"/>
      <c r="B209" s="3"/>
      <c r="C209" s="3"/>
      <c r="D209" s="3"/>
      <c r="E209" s="5"/>
      <c r="F209" s="6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</row>
    <row r="210" ht="15.75" customHeight="1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</row>
    <row r="211" ht="15.75" customHeight="1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</row>
    <row r="212" ht="15.75" customHeight="1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</row>
    <row r="213" ht="15.75" customHeight="1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</row>
    <row r="214" ht="15.75" customHeight="1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</row>
    <row r="215" ht="15.75" customHeight="1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</row>
    <row r="216" ht="15.75" customHeight="1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</row>
    <row r="217" ht="15.75" customHeight="1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</row>
    <row r="218" ht="15.75" customHeight="1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</row>
    <row r="219" ht="15.75" customHeight="1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</row>
    <row r="220" ht="15.75" customHeight="1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</row>
    <row r="221" ht="15.75" customHeight="1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</row>
    <row r="222" ht="15.75" customHeight="1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</row>
    <row r="223" ht="15.75" customHeight="1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</row>
    <row r="224" ht="15.75" customHeight="1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</row>
    <row r="225" ht="15.75" customHeight="1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</row>
    <row r="226" ht="15.75" customHeight="1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</row>
    <row r="227" ht="15.75" customHeight="1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</row>
    <row r="228" ht="15.75" customHeight="1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</row>
    <row r="229" ht="15.75" customHeight="1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</row>
    <row r="230" ht="15.75" customHeight="1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</row>
    <row r="231" ht="15.75" customHeight="1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</row>
    <row r="232" ht="15.75" customHeight="1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</row>
    <row r="233" ht="15.75" customHeight="1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</row>
    <row r="234" ht="15.75" customHeight="1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</row>
    <row r="235" ht="15.75" customHeight="1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</row>
    <row r="236" ht="15.75" customHeight="1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</row>
    <row r="237" ht="15.75" customHeight="1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</row>
    <row r="238" ht="15.75" customHeight="1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</row>
    <row r="239" ht="15.75" customHeight="1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</row>
    <row r="240" ht="15.75" customHeight="1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</row>
    <row r="241" ht="15.75" customHeight="1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</row>
    <row r="242" ht="15.75" customHeight="1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</row>
    <row r="243" ht="15.75" customHeight="1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</row>
    <row r="244" ht="15.75" customHeight="1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</row>
    <row r="245" ht="15.75" customHeight="1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</row>
    <row r="246" ht="15.75" customHeight="1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</row>
    <row r="247" ht="15.75" customHeight="1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</row>
    <row r="248" ht="15.75" customHeight="1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</row>
    <row r="249" ht="15.75" customHeight="1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</row>
    <row r="250" ht="15.75" customHeight="1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</row>
    <row r="251" ht="15.75" customHeight="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</row>
    <row r="252" ht="15.75" customHeight="1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</row>
    <row r="253" ht="15.75" customHeight="1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</row>
    <row r="254" ht="15.75" customHeight="1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</row>
    <row r="255" ht="15.75" customHeight="1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</row>
    <row r="256" ht="15.75" customHeight="1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</row>
    <row r="257" ht="15.75" customHeight="1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</row>
    <row r="258" ht="15.75" customHeight="1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</row>
    <row r="259" ht="15.75" customHeight="1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</row>
    <row r="260" ht="15.75" customHeight="1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</row>
    <row r="261" ht="15.75" customHeight="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</row>
    <row r="262" ht="15.75" customHeight="1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</row>
    <row r="263" ht="15.75" customHeight="1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</row>
    <row r="264" ht="15.75" customHeight="1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</row>
    <row r="265" ht="15.75" customHeight="1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</row>
    <row r="266" ht="15.75" customHeight="1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</row>
    <row r="267" ht="15.75" customHeight="1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</row>
    <row r="268" ht="15.75" customHeight="1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</row>
    <row r="269" ht="15.75" customHeight="1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</row>
    <row r="270" ht="15.75" customHeight="1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</row>
    <row r="271" ht="15.75" customHeight="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</row>
    <row r="272" ht="15.75" customHeight="1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</row>
    <row r="273" ht="15.75" customHeight="1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</row>
    <row r="274" ht="15.75" customHeight="1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</row>
    <row r="275" ht="15.75" customHeight="1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</row>
    <row r="276" ht="15.75" customHeight="1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</row>
    <row r="277" ht="15.75" customHeight="1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</row>
    <row r="278" ht="15.75" customHeight="1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</row>
    <row r="279" ht="15.75" customHeight="1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</row>
    <row r="280" ht="15.75" customHeight="1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</row>
    <row r="281" ht="15.75" customHeight="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</row>
    <row r="282" ht="15.75" customHeight="1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</row>
    <row r="283" ht="15.75" customHeight="1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  <c r="AC283" s="84"/>
      <c r="AD283" s="84"/>
      <c r="AE283" s="84"/>
      <c r="AF283" s="84"/>
      <c r="AG283" s="84"/>
      <c r="AH283" s="84"/>
      <c r="AI283" s="84"/>
    </row>
    <row r="284" ht="15.75" customHeight="1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</row>
    <row r="285" ht="15.75" customHeight="1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</row>
    <row r="286" ht="15.75" customHeight="1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</row>
    <row r="287" ht="15.75" customHeight="1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</row>
    <row r="288" ht="15.75" customHeight="1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</row>
    <row r="289" ht="15.75" customHeight="1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</row>
    <row r="290" ht="15.75" customHeight="1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</row>
    <row r="291" ht="15.75" customHeight="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</row>
    <row r="292" ht="15.75" customHeight="1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</row>
    <row r="293" ht="15.75" customHeight="1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</row>
    <row r="294" ht="15.75" customHeight="1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</row>
    <row r="295" ht="15.75" customHeight="1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</row>
    <row r="296" ht="15.75" customHeight="1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</row>
    <row r="297" ht="15.75" customHeight="1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</row>
    <row r="298" ht="15.75" customHeight="1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</row>
    <row r="299" ht="15.75" customHeight="1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</row>
    <row r="300" ht="15.75" customHeight="1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</row>
    <row r="301" ht="15.75" customHeight="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</row>
    <row r="302" ht="15.75" customHeight="1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</row>
    <row r="303" ht="15.75" customHeight="1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</row>
    <row r="304" ht="15.75" customHeight="1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</row>
    <row r="305" ht="15.75" customHeight="1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</row>
    <row r="306" ht="15.75" customHeight="1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</row>
    <row r="307" ht="15.75" customHeight="1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</row>
    <row r="308" ht="15.75" customHeight="1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</row>
    <row r="309" ht="15.75" customHeight="1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</row>
    <row r="310" ht="15.75" customHeight="1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</row>
    <row r="311" ht="15.75" customHeight="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</row>
    <row r="312" ht="15.75" customHeight="1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</row>
    <row r="313" ht="15.75" customHeight="1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</row>
    <row r="314" ht="15.75" customHeight="1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</row>
    <row r="315" ht="15.75" customHeight="1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</row>
    <row r="316" ht="15.75" customHeight="1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</row>
    <row r="317" ht="15.75" customHeight="1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</row>
    <row r="318" ht="15.75" customHeight="1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</row>
    <row r="319" ht="15.75" customHeight="1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</row>
    <row r="320" ht="15.75" customHeight="1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</row>
    <row r="321" ht="15.75" customHeight="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</row>
    <row r="322" ht="15.75" customHeight="1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</row>
    <row r="323" ht="15.75" customHeight="1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</row>
    <row r="324" ht="15.75" customHeight="1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</row>
    <row r="325" ht="15.75" customHeight="1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</row>
    <row r="326" ht="15.75" customHeight="1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</row>
    <row r="327" ht="15.75" customHeight="1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</row>
    <row r="328" ht="15.75" customHeight="1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</row>
    <row r="329" ht="15.75" customHeight="1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</row>
    <row r="330" ht="15.75" customHeight="1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</row>
    <row r="331" ht="15.75" customHeight="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</row>
    <row r="332" ht="15.75" customHeight="1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</row>
    <row r="333" ht="15.75" customHeight="1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</row>
    <row r="334" ht="15.75" customHeight="1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</row>
    <row r="335" ht="15.75" customHeight="1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</row>
    <row r="336" ht="15.75" customHeight="1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</row>
    <row r="337" ht="15.75" customHeight="1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</row>
    <row r="338" ht="15.75" customHeight="1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</row>
    <row r="339" ht="15.75" customHeight="1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</row>
    <row r="340" ht="15.75" customHeight="1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</row>
    <row r="341" ht="15.75" customHeight="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</row>
    <row r="342" ht="15.75" customHeight="1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</row>
    <row r="343" ht="15.75" customHeight="1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</row>
    <row r="344" ht="15.75" customHeight="1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</row>
    <row r="345" ht="15.75" customHeight="1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</row>
    <row r="346" ht="15.75" customHeight="1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</row>
    <row r="347" ht="15.75" customHeight="1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</row>
    <row r="348" ht="15.75" customHeight="1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</row>
    <row r="349" ht="15.75" customHeight="1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</row>
    <row r="350" ht="15.75" customHeight="1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</row>
    <row r="351" ht="15.75" customHeight="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</row>
    <row r="352" ht="15.75" customHeight="1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</row>
    <row r="353" ht="15.75" customHeight="1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</row>
    <row r="354" ht="15.75" customHeight="1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</row>
    <row r="355" ht="15.75" customHeight="1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</row>
    <row r="356" ht="15.75" customHeight="1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</row>
    <row r="357" ht="15.75" customHeight="1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</row>
    <row r="358" ht="15.75" customHeight="1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</row>
    <row r="359" ht="15.75" customHeight="1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</row>
    <row r="360" ht="15.75" customHeight="1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</row>
    <row r="361" ht="15.75" customHeight="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</row>
    <row r="362" ht="15.75" customHeight="1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</row>
    <row r="363" ht="15.75" customHeight="1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</row>
    <row r="364" ht="15.75" customHeight="1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</row>
    <row r="365" ht="15.75" customHeight="1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</row>
    <row r="366" ht="15.75" customHeight="1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</row>
    <row r="367" ht="15.75" customHeight="1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</row>
    <row r="368" ht="15.75" customHeight="1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</row>
    <row r="369" ht="15.75" customHeight="1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</row>
    <row r="370" ht="15.75" customHeight="1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</row>
    <row r="371" ht="15.75" customHeight="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</row>
    <row r="372" ht="15.75" customHeight="1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</row>
    <row r="373" ht="15.75" customHeight="1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</row>
    <row r="374" ht="15.75" customHeight="1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</row>
    <row r="375" ht="15.75" customHeight="1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</row>
    <row r="376" ht="15.75" customHeight="1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</row>
    <row r="377" ht="15.75" customHeight="1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</row>
    <row r="378" ht="15.75" customHeight="1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</row>
    <row r="379" ht="15.75" customHeight="1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</row>
    <row r="380" ht="15.75" customHeight="1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</row>
    <row r="381" ht="15.75" customHeight="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</row>
    <row r="382" ht="15.75" customHeight="1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</row>
    <row r="383" ht="15.75" customHeight="1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</row>
    <row r="384" ht="15.75" customHeight="1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</row>
    <row r="385" ht="15.75" customHeight="1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</row>
    <row r="386" ht="15.75" customHeight="1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</row>
    <row r="387" ht="15.75" customHeight="1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</row>
    <row r="388" ht="15.75" customHeight="1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</row>
    <row r="389" ht="15.75" customHeight="1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</row>
    <row r="390" ht="15.75" customHeight="1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</row>
    <row r="391" ht="15.75" customHeight="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</row>
    <row r="392" ht="15.75" customHeight="1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</row>
    <row r="393" ht="15.75" customHeight="1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</row>
    <row r="394" ht="15.75" customHeight="1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</row>
    <row r="395" ht="15.75" customHeight="1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</row>
    <row r="396" ht="15.75" customHeight="1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</row>
    <row r="397" ht="15.75" customHeight="1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</row>
    <row r="398" ht="15.75" customHeight="1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</row>
    <row r="399" ht="15.75" customHeight="1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</row>
    <row r="400" ht="15.75" customHeight="1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</row>
    <row r="401" ht="15.75" customHeight="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</row>
    <row r="402" ht="15.75" customHeight="1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</row>
    <row r="403" ht="15.75" customHeight="1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</row>
    <row r="404" ht="15.75" customHeight="1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</row>
    <row r="405" ht="15.75" customHeight="1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</row>
    <row r="406" ht="15.75" customHeight="1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</row>
    <row r="407" ht="15.75" customHeight="1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</row>
    <row r="408" ht="15.75" customHeight="1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</row>
    <row r="409" ht="15.75" customHeight="1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  <c r="AA409" s="87"/>
      <c r="AB409" s="87"/>
      <c r="AC409" s="87"/>
      <c r="AD409" s="87"/>
      <c r="AE409" s="87"/>
      <c r="AF409" s="87"/>
      <c r="AG409" s="87"/>
      <c r="AH409" s="87"/>
      <c r="AI409" s="87"/>
    </row>
    <row r="410" ht="15.75" customHeight="1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  <c r="AA410" s="87"/>
      <c r="AB410" s="87"/>
      <c r="AC410" s="87"/>
      <c r="AD410" s="87"/>
      <c r="AE410" s="87"/>
      <c r="AF410" s="87"/>
      <c r="AG410" s="87"/>
      <c r="AH410" s="87"/>
      <c r="AI410" s="87"/>
    </row>
    <row r="411" ht="15.75" customHeight="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  <c r="AD411" s="87"/>
      <c r="AE411" s="87"/>
      <c r="AF411" s="87"/>
      <c r="AG411" s="87"/>
      <c r="AH411" s="87"/>
      <c r="AI411" s="87"/>
    </row>
    <row r="412" ht="15.75" customHeight="1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  <c r="AA412" s="87"/>
      <c r="AB412" s="87"/>
      <c r="AC412" s="87"/>
      <c r="AD412" s="87"/>
      <c r="AE412" s="87"/>
      <c r="AF412" s="87"/>
      <c r="AG412" s="87"/>
      <c r="AH412" s="87"/>
      <c r="AI412" s="87"/>
    </row>
    <row r="413" ht="15.75" customHeight="1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  <c r="AA413" s="87"/>
      <c r="AB413" s="87"/>
      <c r="AC413" s="87"/>
      <c r="AD413" s="87"/>
      <c r="AE413" s="87"/>
      <c r="AF413" s="87"/>
      <c r="AG413" s="87"/>
      <c r="AH413" s="87"/>
      <c r="AI413" s="87"/>
    </row>
    <row r="414" ht="15.75" customHeight="1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  <c r="AA414" s="87"/>
      <c r="AB414" s="87"/>
      <c r="AC414" s="87"/>
      <c r="AD414" s="87"/>
      <c r="AE414" s="87"/>
      <c r="AF414" s="87"/>
      <c r="AG414" s="87"/>
      <c r="AH414" s="87"/>
      <c r="AI414" s="87"/>
    </row>
    <row r="415" ht="15.75" customHeight="1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  <c r="AA415" s="87"/>
      <c r="AB415" s="87"/>
      <c r="AC415" s="87"/>
      <c r="AD415" s="87"/>
      <c r="AE415" s="87"/>
      <c r="AF415" s="87"/>
      <c r="AG415" s="87"/>
      <c r="AH415" s="87"/>
      <c r="AI415" s="87"/>
    </row>
    <row r="416" ht="15.75" customHeight="1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  <c r="AA416" s="87"/>
      <c r="AB416" s="87"/>
      <c r="AC416" s="87"/>
      <c r="AD416" s="87"/>
      <c r="AE416" s="87"/>
      <c r="AF416" s="87"/>
      <c r="AG416" s="87"/>
      <c r="AH416" s="87"/>
      <c r="AI416" s="87"/>
    </row>
    <row r="417" ht="15.75" customHeight="1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  <c r="AA417" s="87"/>
      <c r="AB417" s="87"/>
      <c r="AC417" s="87"/>
      <c r="AD417" s="87"/>
      <c r="AE417" s="87"/>
      <c r="AF417" s="87"/>
      <c r="AG417" s="87"/>
      <c r="AH417" s="87"/>
      <c r="AI417" s="87"/>
    </row>
    <row r="418" ht="15.75" customHeight="1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  <c r="AA418" s="87"/>
      <c r="AB418" s="87"/>
      <c r="AC418" s="87"/>
      <c r="AD418" s="87"/>
      <c r="AE418" s="87"/>
      <c r="AF418" s="87"/>
      <c r="AG418" s="87"/>
      <c r="AH418" s="87"/>
      <c r="AI418" s="87"/>
    </row>
    <row r="419" ht="15.75" customHeight="1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  <c r="AA419" s="87"/>
      <c r="AB419" s="87"/>
      <c r="AC419" s="87"/>
      <c r="AD419" s="87"/>
      <c r="AE419" s="87"/>
      <c r="AF419" s="87"/>
      <c r="AG419" s="87"/>
      <c r="AH419" s="87"/>
      <c r="AI419" s="87"/>
    </row>
    <row r="420" ht="15.75" customHeight="1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  <c r="AA420" s="87"/>
      <c r="AB420" s="87"/>
      <c r="AC420" s="87"/>
      <c r="AD420" s="87"/>
      <c r="AE420" s="87"/>
      <c r="AF420" s="87"/>
      <c r="AG420" s="87"/>
      <c r="AH420" s="87"/>
      <c r="AI420" s="87"/>
    </row>
    <row r="421" ht="15.75" customHeight="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  <c r="AA421" s="87"/>
      <c r="AB421" s="87"/>
      <c r="AC421" s="87"/>
      <c r="AD421" s="87"/>
      <c r="AE421" s="87"/>
      <c r="AF421" s="87"/>
      <c r="AG421" s="87"/>
      <c r="AH421" s="87"/>
      <c r="AI421" s="87"/>
    </row>
    <row r="422" ht="15.75" customHeight="1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  <c r="AA422" s="87"/>
      <c r="AB422" s="87"/>
      <c r="AC422" s="87"/>
      <c r="AD422" s="87"/>
      <c r="AE422" s="87"/>
      <c r="AF422" s="87"/>
      <c r="AG422" s="87"/>
      <c r="AH422" s="87"/>
      <c r="AI422" s="87"/>
    </row>
    <row r="423" ht="15.75" customHeight="1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  <c r="AA423" s="87"/>
      <c r="AB423" s="87"/>
      <c r="AC423" s="87"/>
      <c r="AD423" s="87"/>
      <c r="AE423" s="87"/>
      <c r="AF423" s="87"/>
      <c r="AG423" s="87"/>
      <c r="AH423" s="87"/>
      <c r="AI423" s="87"/>
    </row>
    <row r="424" ht="15.75" customHeight="1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  <c r="AA424" s="87"/>
      <c r="AB424" s="87"/>
      <c r="AC424" s="87"/>
      <c r="AD424" s="87"/>
      <c r="AE424" s="87"/>
      <c r="AF424" s="87"/>
      <c r="AG424" s="87"/>
      <c r="AH424" s="87"/>
      <c r="AI424" s="87"/>
    </row>
    <row r="425" ht="15.75" customHeight="1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  <c r="AA425" s="87"/>
      <c r="AB425" s="87"/>
      <c r="AC425" s="87"/>
      <c r="AD425" s="87"/>
      <c r="AE425" s="87"/>
      <c r="AF425" s="87"/>
      <c r="AG425" s="87"/>
      <c r="AH425" s="87"/>
      <c r="AI425" s="87"/>
    </row>
    <row r="426" ht="15.75" customHeight="1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  <c r="AA426" s="87"/>
      <c r="AB426" s="87"/>
      <c r="AC426" s="87"/>
      <c r="AD426" s="87"/>
      <c r="AE426" s="87"/>
      <c r="AF426" s="87"/>
      <c r="AG426" s="87"/>
      <c r="AH426" s="87"/>
      <c r="AI426" s="87"/>
    </row>
    <row r="427" ht="15.75" customHeight="1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  <c r="AA427" s="87"/>
      <c r="AB427" s="87"/>
      <c r="AC427" s="87"/>
      <c r="AD427" s="87"/>
      <c r="AE427" s="87"/>
      <c r="AF427" s="87"/>
      <c r="AG427" s="87"/>
      <c r="AH427" s="87"/>
      <c r="AI427" s="87"/>
    </row>
    <row r="428" ht="15.75" customHeight="1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  <c r="AA428" s="87"/>
      <c r="AB428" s="87"/>
      <c r="AC428" s="87"/>
      <c r="AD428" s="87"/>
      <c r="AE428" s="87"/>
      <c r="AF428" s="87"/>
      <c r="AG428" s="87"/>
      <c r="AH428" s="87"/>
      <c r="AI428" s="87"/>
    </row>
    <row r="429" ht="15.75" customHeight="1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  <c r="AA429" s="87"/>
      <c r="AB429" s="87"/>
      <c r="AC429" s="87"/>
      <c r="AD429" s="87"/>
      <c r="AE429" s="87"/>
      <c r="AF429" s="87"/>
      <c r="AG429" s="87"/>
      <c r="AH429" s="87"/>
      <c r="AI429" s="87"/>
    </row>
    <row r="430" ht="15.75" customHeight="1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  <c r="AA430" s="87"/>
      <c r="AB430" s="87"/>
      <c r="AC430" s="87"/>
      <c r="AD430" s="87"/>
      <c r="AE430" s="87"/>
      <c r="AF430" s="87"/>
      <c r="AG430" s="87"/>
      <c r="AH430" s="87"/>
      <c r="AI430" s="87"/>
    </row>
    <row r="431" ht="15.75" customHeight="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  <c r="AA431" s="87"/>
      <c r="AB431" s="87"/>
      <c r="AC431" s="87"/>
      <c r="AD431" s="87"/>
      <c r="AE431" s="87"/>
      <c r="AF431" s="87"/>
      <c r="AG431" s="87"/>
      <c r="AH431" s="87"/>
      <c r="AI431" s="87"/>
    </row>
    <row r="432" ht="15.75" customHeight="1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  <c r="AA432" s="87"/>
      <c r="AB432" s="87"/>
      <c r="AC432" s="87"/>
      <c r="AD432" s="87"/>
      <c r="AE432" s="87"/>
      <c r="AF432" s="87"/>
      <c r="AG432" s="87"/>
      <c r="AH432" s="87"/>
      <c r="AI432" s="87"/>
    </row>
    <row r="433" ht="15.75" customHeight="1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  <c r="AA433" s="87"/>
      <c r="AB433" s="87"/>
      <c r="AC433" s="87"/>
      <c r="AD433" s="87"/>
      <c r="AE433" s="87"/>
      <c r="AF433" s="87"/>
      <c r="AG433" s="87"/>
      <c r="AH433" s="87"/>
      <c r="AI433" s="87"/>
    </row>
    <row r="434" ht="15.75" customHeight="1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  <c r="AA434" s="87"/>
      <c r="AB434" s="87"/>
      <c r="AC434" s="87"/>
      <c r="AD434" s="87"/>
      <c r="AE434" s="87"/>
      <c r="AF434" s="87"/>
      <c r="AG434" s="87"/>
      <c r="AH434" s="87"/>
      <c r="AI434" s="87"/>
    </row>
    <row r="435" ht="15.75" customHeight="1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  <c r="AA435" s="87"/>
      <c r="AB435" s="87"/>
      <c r="AC435" s="87"/>
      <c r="AD435" s="87"/>
      <c r="AE435" s="87"/>
      <c r="AF435" s="87"/>
      <c r="AG435" s="87"/>
      <c r="AH435" s="87"/>
      <c r="AI435" s="87"/>
    </row>
    <row r="436" ht="15.75" customHeight="1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  <c r="AA436" s="87"/>
      <c r="AB436" s="87"/>
      <c r="AC436" s="87"/>
      <c r="AD436" s="87"/>
      <c r="AE436" s="87"/>
      <c r="AF436" s="87"/>
      <c r="AG436" s="87"/>
      <c r="AH436" s="87"/>
      <c r="AI436" s="87"/>
    </row>
    <row r="437" ht="15.75" customHeight="1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  <c r="AA437" s="87"/>
      <c r="AB437" s="87"/>
      <c r="AC437" s="87"/>
      <c r="AD437" s="87"/>
      <c r="AE437" s="87"/>
      <c r="AF437" s="87"/>
      <c r="AG437" s="87"/>
      <c r="AH437" s="87"/>
      <c r="AI437" s="87"/>
    </row>
    <row r="438" ht="15.75" customHeight="1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  <c r="AA438" s="87"/>
      <c r="AB438" s="87"/>
      <c r="AC438" s="87"/>
      <c r="AD438" s="87"/>
      <c r="AE438" s="87"/>
      <c r="AF438" s="87"/>
      <c r="AG438" s="87"/>
      <c r="AH438" s="87"/>
      <c r="AI438" s="87"/>
    </row>
    <row r="439" ht="15.75" customHeight="1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  <c r="AA439" s="87"/>
      <c r="AB439" s="87"/>
      <c r="AC439" s="87"/>
      <c r="AD439" s="87"/>
      <c r="AE439" s="87"/>
      <c r="AF439" s="87"/>
      <c r="AG439" s="87"/>
      <c r="AH439" s="87"/>
      <c r="AI439" s="87"/>
    </row>
    <row r="440" ht="15.75" customHeight="1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  <c r="AA440" s="87"/>
      <c r="AB440" s="87"/>
      <c r="AC440" s="87"/>
      <c r="AD440" s="87"/>
      <c r="AE440" s="87"/>
      <c r="AF440" s="87"/>
      <c r="AG440" s="87"/>
      <c r="AH440" s="87"/>
      <c r="AI440" s="87"/>
    </row>
    <row r="441" ht="15.75" customHeight="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  <c r="AA441" s="87"/>
      <c r="AB441" s="87"/>
      <c r="AC441" s="87"/>
      <c r="AD441" s="87"/>
      <c r="AE441" s="87"/>
      <c r="AF441" s="87"/>
      <c r="AG441" s="87"/>
      <c r="AH441" s="87"/>
      <c r="AI441" s="87"/>
    </row>
    <row r="442" ht="15.75" customHeight="1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  <c r="AA442" s="87"/>
      <c r="AB442" s="87"/>
      <c r="AC442" s="87"/>
      <c r="AD442" s="87"/>
      <c r="AE442" s="87"/>
      <c r="AF442" s="87"/>
      <c r="AG442" s="87"/>
      <c r="AH442" s="87"/>
      <c r="AI442" s="87"/>
    </row>
    <row r="443" ht="15.75" customHeight="1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  <c r="AA443" s="87"/>
      <c r="AB443" s="87"/>
      <c r="AC443" s="87"/>
      <c r="AD443" s="87"/>
      <c r="AE443" s="87"/>
      <c r="AF443" s="87"/>
      <c r="AG443" s="87"/>
      <c r="AH443" s="87"/>
      <c r="AI443" s="87"/>
    </row>
    <row r="444" ht="15.75" customHeight="1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  <c r="AA444" s="87"/>
      <c r="AB444" s="87"/>
      <c r="AC444" s="87"/>
      <c r="AD444" s="87"/>
      <c r="AE444" s="87"/>
      <c r="AF444" s="87"/>
      <c r="AG444" s="87"/>
      <c r="AH444" s="87"/>
      <c r="AI444" s="87"/>
    </row>
    <row r="445" ht="15.75" customHeight="1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  <c r="AA445" s="87"/>
      <c r="AB445" s="87"/>
      <c r="AC445" s="87"/>
      <c r="AD445" s="87"/>
      <c r="AE445" s="87"/>
      <c r="AF445" s="87"/>
      <c r="AG445" s="87"/>
      <c r="AH445" s="87"/>
      <c r="AI445" s="87"/>
    </row>
    <row r="446" ht="15.75" customHeight="1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  <c r="AA446" s="87"/>
      <c r="AB446" s="87"/>
      <c r="AC446" s="87"/>
      <c r="AD446" s="87"/>
      <c r="AE446" s="87"/>
      <c r="AF446" s="87"/>
      <c r="AG446" s="87"/>
      <c r="AH446" s="87"/>
      <c r="AI446" s="87"/>
    </row>
    <row r="447" ht="15.75" customHeight="1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  <c r="AA447" s="87"/>
      <c r="AB447" s="87"/>
      <c r="AC447" s="87"/>
      <c r="AD447" s="87"/>
      <c r="AE447" s="87"/>
      <c r="AF447" s="87"/>
      <c r="AG447" s="87"/>
      <c r="AH447" s="87"/>
      <c r="AI447" s="87"/>
    </row>
    <row r="448" ht="15.75" customHeight="1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  <c r="AA448" s="87"/>
      <c r="AB448" s="87"/>
      <c r="AC448" s="87"/>
      <c r="AD448" s="87"/>
      <c r="AE448" s="87"/>
      <c r="AF448" s="87"/>
      <c r="AG448" s="87"/>
      <c r="AH448" s="87"/>
      <c r="AI448" s="87"/>
    </row>
    <row r="449" ht="15.75" customHeight="1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  <c r="AA449" s="87"/>
      <c r="AB449" s="87"/>
      <c r="AC449" s="87"/>
      <c r="AD449" s="87"/>
      <c r="AE449" s="87"/>
      <c r="AF449" s="87"/>
      <c r="AG449" s="87"/>
      <c r="AH449" s="87"/>
      <c r="AI449" s="87"/>
    </row>
    <row r="450" ht="15.75" customHeight="1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  <c r="AA450" s="87"/>
      <c r="AB450" s="87"/>
      <c r="AC450" s="87"/>
      <c r="AD450" s="87"/>
      <c r="AE450" s="87"/>
      <c r="AF450" s="87"/>
      <c r="AG450" s="87"/>
      <c r="AH450" s="87"/>
      <c r="AI450" s="87"/>
    </row>
    <row r="451" ht="15.75" customHeight="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  <c r="AA451" s="87"/>
      <c r="AB451" s="87"/>
      <c r="AC451" s="87"/>
      <c r="AD451" s="87"/>
      <c r="AE451" s="87"/>
      <c r="AF451" s="87"/>
      <c r="AG451" s="87"/>
      <c r="AH451" s="87"/>
      <c r="AI451" s="87"/>
    </row>
    <row r="452" ht="15.75" customHeight="1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  <c r="AA452" s="87"/>
      <c r="AB452" s="87"/>
      <c r="AC452" s="87"/>
      <c r="AD452" s="87"/>
      <c r="AE452" s="87"/>
      <c r="AF452" s="87"/>
      <c r="AG452" s="87"/>
      <c r="AH452" s="87"/>
      <c r="AI452" s="87"/>
    </row>
    <row r="453" ht="15.75" customHeight="1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  <c r="AA453" s="87"/>
      <c r="AB453" s="87"/>
      <c r="AC453" s="87"/>
      <c r="AD453" s="87"/>
      <c r="AE453" s="87"/>
      <c r="AF453" s="87"/>
      <c r="AG453" s="87"/>
      <c r="AH453" s="87"/>
      <c r="AI453" s="87"/>
    </row>
    <row r="454" ht="15.75" customHeight="1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  <c r="AA454" s="87"/>
      <c r="AB454" s="87"/>
      <c r="AC454" s="87"/>
      <c r="AD454" s="87"/>
      <c r="AE454" s="87"/>
      <c r="AF454" s="87"/>
      <c r="AG454" s="87"/>
      <c r="AH454" s="87"/>
      <c r="AI454" s="87"/>
    </row>
    <row r="455" ht="15.75" customHeight="1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  <c r="AA455" s="87"/>
      <c r="AB455" s="87"/>
      <c r="AC455" s="87"/>
      <c r="AD455" s="87"/>
      <c r="AE455" s="87"/>
      <c r="AF455" s="87"/>
      <c r="AG455" s="87"/>
      <c r="AH455" s="87"/>
      <c r="AI455" s="87"/>
    </row>
    <row r="456" ht="15.75" customHeight="1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  <c r="AA456" s="87"/>
      <c r="AB456" s="87"/>
      <c r="AC456" s="87"/>
      <c r="AD456" s="87"/>
      <c r="AE456" s="87"/>
      <c r="AF456" s="87"/>
      <c r="AG456" s="87"/>
      <c r="AH456" s="87"/>
      <c r="AI456" s="87"/>
    </row>
    <row r="457" ht="15.75" customHeight="1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  <c r="AA457" s="87"/>
      <c r="AB457" s="87"/>
      <c r="AC457" s="87"/>
      <c r="AD457" s="87"/>
      <c r="AE457" s="87"/>
      <c r="AF457" s="87"/>
      <c r="AG457" s="87"/>
      <c r="AH457" s="87"/>
      <c r="AI457" s="87"/>
    </row>
    <row r="458" ht="15.75" customHeight="1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  <c r="AA458" s="87"/>
      <c r="AB458" s="87"/>
      <c r="AC458" s="87"/>
      <c r="AD458" s="87"/>
      <c r="AE458" s="87"/>
      <c r="AF458" s="87"/>
      <c r="AG458" s="87"/>
      <c r="AH458" s="87"/>
      <c r="AI458" s="87"/>
    </row>
    <row r="459" ht="15.75" customHeight="1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  <c r="AA459" s="87"/>
      <c r="AB459" s="87"/>
      <c r="AC459" s="87"/>
      <c r="AD459" s="87"/>
      <c r="AE459" s="87"/>
      <c r="AF459" s="87"/>
      <c r="AG459" s="87"/>
      <c r="AH459" s="87"/>
      <c r="AI459" s="87"/>
    </row>
    <row r="460" ht="15.75" customHeight="1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  <c r="AA460" s="87"/>
      <c r="AB460" s="87"/>
      <c r="AC460" s="87"/>
      <c r="AD460" s="87"/>
      <c r="AE460" s="87"/>
      <c r="AF460" s="87"/>
      <c r="AG460" s="87"/>
      <c r="AH460" s="87"/>
      <c r="AI460" s="87"/>
    </row>
    <row r="461" ht="15.75" customHeight="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  <c r="AA461" s="87"/>
      <c r="AB461" s="87"/>
      <c r="AC461" s="87"/>
      <c r="AD461" s="87"/>
      <c r="AE461" s="87"/>
      <c r="AF461" s="87"/>
      <c r="AG461" s="87"/>
      <c r="AH461" s="87"/>
      <c r="AI461" s="87"/>
    </row>
    <row r="462" ht="15.75" customHeight="1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  <c r="AA462" s="87"/>
      <c r="AB462" s="87"/>
      <c r="AC462" s="87"/>
      <c r="AD462" s="87"/>
      <c r="AE462" s="87"/>
      <c r="AF462" s="87"/>
      <c r="AG462" s="87"/>
      <c r="AH462" s="87"/>
      <c r="AI462" s="87"/>
    </row>
    <row r="463" ht="15.75" customHeight="1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  <c r="AA463" s="87"/>
      <c r="AB463" s="87"/>
      <c r="AC463" s="87"/>
      <c r="AD463" s="87"/>
      <c r="AE463" s="87"/>
      <c r="AF463" s="87"/>
      <c r="AG463" s="87"/>
      <c r="AH463" s="87"/>
      <c r="AI463" s="87"/>
    </row>
    <row r="464" ht="15.75" customHeight="1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  <c r="AA464" s="87"/>
      <c r="AB464" s="87"/>
      <c r="AC464" s="87"/>
      <c r="AD464" s="87"/>
      <c r="AE464" s="87"/>
      <c r="AF464" s="87"/>
      <c r="AG464" s="87"/>
      <c r="AH464" s="87"/>
      <c r="AI464" s="87"/>
    </row>
    <row r="465" ht="15.75" customHeight="1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  <c r="AA465" s="87"/>
      <c r="AB465" s="87"/>
      <c r="AC465" s="87"/>
      <c r="AD465" s="87"/>
      <c r="AE465" s="87"/>
      <c r="AF465" s="87"/>
      <c r="AG465" s="87"/>
      <c r="AH465" s="87"/>
      <c r="AI465" s="87"/>
    </row>
    <row r="466" ht="15.75" customHeight="1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  <c r="AA466" s="87"/>
      <c r="AB466" s="87"/>
      <c r="AC466" s="87"/>
      <c r="AD466" s="87"/>
      <c r="AE466" s="87"/>
      <c r="AF466" s="87"/>
      <c r="AG466" s="87"/>
      <c r="AH466" s="87"/>
      <c r="AI466" s="87"/>
    </row>
    <row r="467" ht="15.75" customHeight="1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  <c r="AA467" s="87"/>
      <c r="AB467" s="87"/>
      <c r="AC467" s="87"/>
      <c r="AD467" s="87"/>
      <c r="AE467" s="87"/>
      <c r="AF467" s="87"/>
      <c r="AG467" s="87"/>
      <c r="AH467" s="87"/>
      <c r="AI467" s="87"/>
    </row>
    <row r="468" ht="15.75" customHeight="1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  <c r="AA468" s="87"/>
      <c r="AB468" s="87"/>
      <c r="AC468" s="87"/>
      <c r="AD468" s="87"/>
      <c r="AE468" s="87"/>
      <c r="AF468" s="87"/>
      <c r="AG468" s="87"/>
      <c r="AH468" s="87"/>
      <c r="AI468" s="87"/>
    </row>
    <row r="469" ht="15.75" customHeight="1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  <c r="AA469" s="87"/>
      <c r="AB469" s="87"/>
      <c r="AC469" s="87"/>
      <c r="AD469" s="87"/>
      <c r="AE469" s="87"/>
      <c r="AF469" s="87"/>
      <c r="AG469" s="87"/>
      <c r="AH469" s="87"/>
      <c r="AI469" s="87"/>
    </row>
    <row r="470" ht="15.75" customHeight="1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  <c r="AA470" s="87"/>
      <c r="AB470" s="87"/>
      <c r="AC470" s="87"/>
      <c r="AD470" s="87"/>
      <c r="AE470" s="87"/>
      <c r="AF470" s="87"/>
      <c r="AG470" s="87"/>
      <c r="AH470" s="87"/>
      <c r="AI470" s="87"/>
    </row>
    <row r="471" ht="15.75" customHeight="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  <c r="AA471" s="87"/>
      <c r="AB471" s="87"/>
      <c r="AC471" s="87"/>
      <c r="AD471" s="87"/>
      <c r="AE471" s="87"/>
      <c r="AF471" s="87"/>
      <c r="AG471" s="87"/>
      <c r="AH471" s="87"/>
      <c r="AI471" s="87"/>
    </row>
    <row r="472" ht="15.75" customHeight="1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  <c r="AA472" s="87"/>
      <c r="AB472" s="87"/>
      <c r="AC472" s="87"/>
      <c r="AD472" s="87"/>
      <c r="AE472" s="87"/>
      <c r="AF472" s="87"/>
      <c r="AG472" s="87"/>
      <c r="AH472" s="87"/>
      <c r="AI472" s="87"/>
    </row>
    <row r="473" ht="15.75" customHeight="1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  <c r="AA473" s="87"/>
      <c r="AB473" s="87"/>
      <c r="AC473" s="87"/>
      <c r="AD473" s="87"/>
      <c r="AE473" s="87"/>
      <c r="AF473" s="87"/>
      <c r="AG473" s="87"/>
      <c r="AH473" s="87"/>
      <c r="AI473" s="87"/>
    </row>
    <row r="474" ht="15.75" customHeight="1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  <c r="AA474" s="87"/>
      <c r="AB474" s="87"/>
      <c r="AC474" s="87"/>
      <c r="AD474" s="87"/>
      <c r="AE474" s="87"/>
      <c r="AF474" s="87"/>
      <c r="AG474" s="87"/>
      <c r="AH474" s="87"/>
      <c r="AI474" s="87"/>
    </row>
    <row r="475" ht="15.75" customHeight="1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  <c r="AA475" s="87"/>
      <c r="AB475" s="87"/>
      <c r="AC475" s="87"/>
      <c r="AD475" s="87"/>
      <c r="AE475" s="87"/>
      <c r="AF475" s="87"/>
      <c r="AG475" s="87"/>
      <c r="AH475" s="87"/>
      <c r="AI475" s="87"/>
    </row>
    <row r="476" ht="15.75" customHeight="1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  <c r="AA476" s="87"/>
      <c r="AB476" s="87"/>
      <c r="AC476" s="87"/>
      <c r="AD476" s="87"/>
      <c r="AE476" s="87"/>
      <c r="AF476" s="87"/>
      <c r="AG476" s="87"/>
      <c r="AH476" s="87"/>
      <c r="AI476" s="87"/>
    </row>
    <row r="477" ht="15.75" customHeight="1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  <c r="AA477" s="87"/>
      <c r="AB477" s="87"/>
      <c r="AC477" s="87"/>
      <c r="AD477" s="87"/>
      <c r="AE477" s="87"/>
      <c r="AF477" s="87"/>
      <c r="AG477" s="87"/>
      <c r="AH477" s="87"/>
      <c r="AI477" s="87"/>
    </row>
    <row r="478" ht="15.75" customHeight="1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  <c r="AA478" s="87"/>
      <c r="AB478" s="87"/>
      <c r="AC478" s="87"/>
      <c r="AD478" s="87"/>
      <c r="AE478" s="87"/>
      <c r="AF478" s="87"/>
      <c r="AG478" s="87"/>
      <c r="AH478" s="87"/>
      <c r="AI478" s="87"/>
    </row>
    <row r="479" ht="15.75" customHeight="1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  <c r="AA479" s="87"/>
      <c r="AB479" s="87"/>
      <c r="AC479" s="87"/>
      <c r="AD479" s="87"/>
      <c r="AE479" s="87"/>
      <c r="AF479" s="87"/>
      <c r="AG479" s="87"/>
      <c r="AH479" s="87"/>
      <c r="AI479" s="87"/>
    </row>
    <row r="480" ht="15.75" customHeight="1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  <c r="AA480" s="87"/>
      <c r="AB480" s="87"/>
      <c r="AC480" s="87"/>
      <c r="AD480" s="87"/>
      <c r="AE480" s="87"/>
      <c r="AF480" s="87"/>
      <c r="AG480" s="87"/>
      <c r="AH480" s="87"/>
      <c r="AI480" s="87"/>
    </row>
    <row r="481" ht="15.75" customHeight="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  <c r="AA481" s="87"/>
      <c r="AB481" s="87"/>
      <c r="AC481" s="87"/>
      <c r="AD481" s="87"/>
      <c r="AE481" s="87"/>
      <c r="AF481" s="87"/>
      <c r="AG481" s="87"/>
      <c r="AH481" s="87"/>
      <c r="AI481" s="87"/>
    </row>
    <row r="482" ht="15.75" customHeight="1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  <c r="AA482" s="87"/>
      <c r="AB482" s="87"/>
      <c r="AC482" s="87"/>
      <c r="AD482" s="87"/>
      <c r="AE482" s="87"/>
      <c r="AF482" s="87"/>
      <c r="AG482" s="87"/>
      <c r="AH482" s="87"/>
      <c r="AI482" s="87"/>
    </row>
    <row r="483" ht="15.75" customHeight="1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  <c r="AA483" s="87"/>
      <c r="AB483" s="87"/>
      <c r="AC483" s="87"/>
      <c r="AD483" s="87"/>
      <c r="AE483" s="87"/>
      <c r="AF483" s="87"/>
      <c r="AG483" s="87"/>
      <c r="AH483" s="87"/>
      <c r="AI483" s="87"/>
    </row>
    <row r="484" ht="15.75" customHeight="1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  <c r="AD484" s="87"/>
      <c r="AE484" s="87"/>
      <c r="AF484" s="87"/>
      <c r="AG484" s="87"/>
      <c r="AH484" s="87"/>
      <c r="AI484" s="87"/>
    </row>
    <row r="485" ht="15.75" customHeight="1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7"/>
      <c r="AD485" s="87"/>
      <c r="AE485" s="87"/>
      <c r="AF485" s="87"/>
      <c r="AG485" s="87"/>
      <c r="AH485" s="87"/>
      <c r="AI485" s="87"/>
    </row>
    <row r="486" ht="15.75" customHeight="1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  <c r="AA486" s="87"/>
      <c r="AB486" s="87"/>
      <c r="AC486" s="87"/>
      <c r="AD486" s="87"/>
      <c r="AE486" s="87"/>
      <c r="AF486" s="87"/>
      <c r="AG486" s="87"/>
      <c r="AH486" s="87"/>
      <c r="AI486" s="87"/>
    </row>
    <row r="487" ht="15.75" customHeight="1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  <c r="AA487" s="87"/>
      <c r="AB487" s="87"/>
      <c r="AC487" s="87"/>
      <c r="AD487" s="87"/>
      <c r="AE487" s="87"/>
      <c r="AF487" s="87"/>
      <c r="AG487" s="87"/>
      <c r="AH487" s="87"/>
      <c r="AI487" s="87"/>
    </row>
    <row r="488" ht="15.75" customHeight="1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87"/>
      <c r="AF488" s="87"/>
      <c r="AG488" s="87"/>
      <c r="AH488" s="87"/>
      <c r="AI488" s="87"/>
    </row>
    <row r="489" ht="15.75" customHeight="1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87"/>
      <c r="AG489" s="87"/>
      <c r="AH489" s="87"/>
      <c r="AI489" s="87"/>
    </row>
    <row r="490" ht="15.75" customHeight="1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  <c r="AD490" s="87"/>
      <c r="AE490" s="87"/>
      <c r="AF490" s="87"/>
      <c r="AG490" s="87"/>
      <c r="AH490" s="87"/>
      <c r="AI490" s="87"/>
    </row>
    <row r="491" ht="15.75" customHeight="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87"/>
      <c r="AG491" s="87"/>
      <c r="AH491" s="87"/>
      <c r="AI491" s="87"/>
    </row>
    <row r="492" ht="15.75" customHeight="1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87"/>
      <c r="AG492" s="87"/>
      <c r="AH492" s="87"/>
      <c r="AI492" s="87"/>
    </row>
    <row r="493" ht="15.75" customHeight="1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87"/>
      <c r="AG493" s="87"/>
      <c r="AH493" s="87"/>
      <c r="AI493" s="87"/>
    </row>
    <row r="494" ht="15.75" customHeight="1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  <c r="AD494" s="87"/>
      <c r="AE494" s="87"/>
      <c r="AF494" s="87"/>
      <c r="AG494" s="87"/>
      <c r="AH494" s="87"/>
      <c r="AI494" s="87"/>
    </row>
    <row r="495" ht="15.75" customHeight="1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87"/>
      <c r="AF495" s="87"/>
      <c r="AG495" s="87"/>
      <c r="AH495" s="87"/>
      <c r="AI495" s="87"/>
    </row>
    <row r="496" ht="15.75" customHeight="1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  <c r="AD496" s="87"/>
      <c r="AE496" s="87"/>
      <c r="AF496" s="87"/>
      <c r="AG496" s="87"/>
      <c r="AH496" s="87"/>
      <c r="AI496" s="87"/>
    </row>
    <row r="497" ht="15.75" customHeight="1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7"/>
      <c r="AD497" s="87"/>
      <c r="AE497" s="87"/>
      <c r="AF497" s="87"/>
      <c r="AG497" s="87"/>
      <c r="AH497" s="87"/>
      <c r="AI497" s="87"/>
    </row>
    <row r="498" ht="15.75" customHeight="1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  <c r="AE498" s="87"/>
      <c r="AF498" s="87"/>
      <c r="AG498" s="87"/>
      <c r="AH498" s="87"/>
      <c r="AI498" s="87"/>
    </row>
    <row r="499" ht="15.75" customHeight="1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  <c r="AD499" s="87"/>
      <c r="AE499" s="87"/>
      <c r="AF499" s="87"/>
      <c r="AG499" s="87"/>
      <c r="AH499" s="87"/>
      <c r="AI499" s="87"/>
    </row>
    <row r="500" ht="15.75" customHeight="1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  <c r="AD500" s="87"/>
      <c r="AE500" s="87"/>
      <c r="AF500" s="87"/>
      <c r="AG500" s="87"/>
      <c r="AH500" s="87"/>
      <c r="AI500" s="87"/>
    </row>
    <row r="501" ht="15.75" customHeight="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  <c r="AA501" s="87"/>
      <c r="AB501" s="87"/>
      <c r="AC501" s="87"/>
      <c r="AD501" s="87"/>
      <c r="AE501" s="87"/>
      <c r="AF501" s="87"/>
      <c r="AG501" s="87"/>
      <c r="AH501" s="87"/>
      <c r="AI501" s="87"/>
    </row>
    <row r="502" ht="15.75" customHeight="1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  <c r="AA502" s="87"/>
      <c r="AB502" s="87"/>
      <c r="AC502" s="87"/>
      <c r="AD502" s="87"/>
      <c r="AE502" s="87"/>
      <c r="AF502" s="87"/>
      <c r="AG502" s="87"/>
      <c r="AH502" s="87"/>
      <c r="AI502" s="87"/>
    </row>
    <row r="503" ht="15.75" customHeight="1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  <c r="AA503" s="87"/>
      <c r="AB503" s="87"/>
      <c r="AC503" s="87"/>
      <c r="AD503" s="87"/>
      <c r="AE503" s="87"/>
      <c r="AF503" s="87"/>
      <c r="AG503" s="87"/>
      <c r="AH503" s="87"/>
      <c r="AI503" s="87"/>
    </row>
    <row r="504" ht="15.75" customHeight="1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  <c r="AA504" s="87"/>
      <c r="AB504" s="87"/>
      <c r="AC504" s="87"/>
      <c r="AD504" s="87"/>
      <c r="AE504" s="87"/>
      <c r="AF504" s="87"/>
      <c r="AG504" s="87"/>
      <c r="AH504" s="87"/>
      <c r="AI504" s="87"/>
    </row>
    <row r="505" ht="15.75" customHeight="1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  <c r="AA505" s="87"/>
      <c r="AB505" s="87"/>
      <c r="AC505" s="87"/>
      <c r="AD505" s="87"/>
      <c r="AE505" s="87"/>
      <c r="AF505" s="87"/>
      <c r="AG505" s="87"/>
      <c r="AH505" s="87"/>
      <c r="AI505" s="87"/>
    </row>
    <row r="506" ht="15.75" customHeight="1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  <c r="AA506" s="87"/>
      <c r="AB506" s="87"/>
      <c r="AC506" s="87"/>
      <c r="AD506" s="87"/>
      <c r="AE506" s="87"/>
      <c r="AF506" s="87"/>
      <c r="AG506" s="87"/>
      <c r="AH506" s="87"/>
      <c r="AI506" s="87"/>
    </row>
    <row r="507" ht="15.75" customHeight="1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  <c r="AA507" s="87"/>
      <c r="AB507" s="87"/>
      <c r="AC507" s="87"/>
      <c r="AD507" s="87"/>
      <c r="AE507" s="87"/>
      <c r="AF507" s="87"/>
      <c r="AG507" s="87"/>
      <c r="AH507" s="87"/>
      <c r="AI507" s="87"/>
    </row>
    <row r="508" ht="15.75" customHeight="1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  <c r="AA508" s="87"/>
      <c r="AB508" s="87"/>
      <c r="AC508" s="87"/>
      <c r="AD508" s="87"/>
      <c r="AE508" s="87"/>
      <c r="AF508" s="87"/>
      <c r="AG508" s="87"/>
      <c r="AH508" s="87"/>
      <c r="AI508" s="87"/>
    </row>
    <row r="509" ht="15.75" customHeight="1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  <c r="AA509" s="87"/>
      <c r="AB509" s="87"/>
      <c r="AC509" s="87"/>
      <c r="AD509" s="87"/>
      <c r="AE509" s="87"/>
      <c r="AF509" s="87"/>
      <c r="AG509" s="87"/>
      <c r="AH509" s="87"/>
      <c r="AI509" s="87"/>
    </row>
    <row r="510" ht="15.75" customHeight="1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  <c r="AA510" s="87"/>
      <c r="AB510" s="87"/>
      <c r="AC510" s="87"/>
      <c r="AD510" s="87"/>
      <c r="AE510" s="87"/>
      <c r="AF510" s="87"/>
      <c r="AG510" s="87"/>
      <c r="AH510" s="87"/>
      <c r="AI510" s="87"/>
    </row>
    <row r="511" ht="15.75" customHeight="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  <c r="AA511" s="87"/>
      <c r="AB511" s="87"/>
      <c r="AC511" s="87"/>
      <c r="AD511" s="87"/>
      <c r="AE511" s="87"/>
      <c r="AF511" s="87"/>
      <c r="AG511" s="87"/>
      <c r="AH511" s="87"/>
      <c r="AI511" s="87"/>
    </row>
    <row r="512" ht="15.75" customHeight="1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  <c r="AA512" s="87"/>
      <c r="AB512" s="87"/>
      <c r="AC512" s="87"/>
      <c r="AD512" s="87"/>
      <c r="AE512" s="87"/>
      <c r="AF512" s="87"/>
      <c r="AG512" s="87"/>
      <c r="AH512" s="87"/>
      <c r="AI512" s="87"/>
    </row>
    <row r="513" ht="15.75" customHeight="1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  <c r="AA513" s="87"/>
      <c r="AB513" s="87"/>
      <c r="AC513" s="87"/>
      <c r="AD513" s="87"/>
      <c r="AE513" s="87"/>
      <c r="AF513" s="87"/>
      <c r="AG513" s="87"/>
      <c r="AH513" s="87"/>
      <c r="AI513" s="87"/>
    </row>
    <row r="514" ht="15.75" customHeight="1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  <c r="AA514" s="87"/>
      <c r="AB514" s="87"/>
      <c r="AC514" s="87"/>
      <c r="AD514" s="87"/>
      <c r="AE514" s="87"/>
      <c r="AF514" s="87"/>
      <c r="AG514" s="87"/>
      <c r="AH514" s="87"/>
      <c r="AI514" s="87"/>
    </row>
    <row r="515" ht="15.75" customHeight="1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  <c r="AA515" s="87"/>
      <c r="AB515" s="87"/>
      <c r="AC515" s="87"/>
      <c r="AD515" s="87"/>
      <c r="AE515" s="87"/>
      <c r="AF515" s="87"/>
      <c r="AG515" s="87"/>
      <c r="AH515" s="87"/>
      <c r="AI515" s="87"/>
    </row>
    <row r="516" ht="15.75" customHeight="1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  <c r="AA516" s="87"/>
      <c r="AB516" s="87"/>
      <c r="AC516" s="87"/>
      <c r="AD516" s="87"/>
      <c r="AE516" s="87"/>
      <c r="AF516" s="87"/>
      <c r="AG516" s="87"/>
      <c r="AH516" s="87"/>
      <c r="AI516" s="87"/>
    </row>
    <row r="517" ht="15.75" customHeight="1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  <c r="AA517" s="87"/>
      <c r="AB517" s="87"/>
      <c r="AC517" s="87"/>
      <c r="AD517" s="87"/>
      <c r="AE517" s="87"/>
      <c r="AF517" s="87"/>
      <c r="AG517" s="87"/>
      <c r="AH517" s="87"/>
      <c r="AI517" s="87"/>
    </row>
    <row r="518" ht="15.75" customHeight="1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  <c r="AA518" s="87"/>
      <c r="AB518" s="87"/>
      <c r="AC518" s="87"/>
      <c r="AD518" s="87"/>
      <c r="AE518" s="87"/>
      <c r="AF518" s="87"/>
      <c r="AG518" s="87"/>
      <c r="AH518" s="87"/>
      <c r="AI518" s="87"/>
    </row>
    <row r="519" ht="15.75" customHeight="1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  <c r="AA519" s="87"/>
      <c r="AB519" s="87"/>
      <c r="AC519" s="87"/>
      <c r="AD519" s="87"/>
      <c r="AE519" s="87"/>
      <c r="AF519" s="87"/>
      <c r="AG519" s="87"/>
      <c r="AH519" s="87"/>
      <c r="AI519" s="87"/>
    </row>
    <row r="520" ht="15.75" customHeight="1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  <c r="AA520" s="87"/>
      <c r="AB520" s="87"/>
      <c r="AC520" s="87"/>
      <c r="AD520" s="87"/>
      <c r="AE520" s="87"/>
      <c r="AF520" s="87"/>
      <c r="AG520" s="87"/>
      <c r="AH520" s="87"/>
      <c r="AI520" s="87"/>
    </row>
    <row r="521" ht="15.75" customHeight="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  <c r="AA521" s="87"/>
      <c r="AB521" s="87"/>
      <c r="AC521" s="87"/>
      <c r="AD521" s="87"/>
      <c r="AE521" s="87"/>
      <c r="AF521" s="87"/>
      <c r="AG521" s="87"/>
      <c r="AH521" s="87"/>
      <c r="AI521" s="87"/>
    </row>
    <row r="522" ht="15.75" customHeight="1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  <c r="AA522" s="87"/>
      <c r="AB522" s="87"/>
      <c r="AC522" s="87"/>
      <c r="AD522" s="87"/>
      <c r="AE522" s="87"/>
      <c r="AF522" s="87"/>
      <c r="AG522" s="87"/>
      <c r="AH522" s="87"/>
      <c r="AI522" s="87"/>
    </row>
    <row r="523" ht="15.75" customHeight="1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  <c r="AA523" s="87"/>
      <c r="AB523" s="87"/>
      <c r="AC523" s="87"/>
      <c r="AD523" s="87"/>
      <c r="AE523" s="87"/>
      <c r="AF523" s="87"/>
      <c r="AG523" s="87"/>
      <c r="AH523" s="87"/>
      <c r="AI523" s="87"/>
    </row>
    <row r="524" ht="15.75" customHeight="1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  <c r="AA524" s="87"/>
      <c r="AB524" s="87"/>
      <c r="AC524" s="87"/>
      <c r="AD524" s="87"/>
      <c r="AE524" s="87"/>
      <c r="AF524" s="87"/>
      <c r="AG524" s="87"/>
      <c r="AH524" s="87"/>
      <c r="AI524" s="87"/>
    </row>
    <row r="525" ht="15.75" customHeight="1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  <c r="AA525" s="87"/>
      <c r="AB525" s="87"/>
      <c r="AC525" s="87"/>
      <c r="AD525" s="87"/>
      <c r="AE525" s="87"/>
      <c r="AF525" s="87"/>
      <c r="AG525" s="87"/>
      <c r="AH525" s="87"/>
      <c r="AI525" s="87"/>
    </row>
    <row r="526" ht="15.75" customHeight="1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  <c r="AA526" s="87"/>
      <c r="AB526" s="87"/>
      <c r="AC526" s="87"/>
      <c r="AD526" s="87"/>
      <c r="AE526" s="87"/>
      <c r="AF526" s="87"/>
      <c r="AG526" s="87"/>
      <c r="AH526" s="87"/>
      <c r="AI526" s="87"/>
    </row>
    <row r="527" ht="15.75" customHeight="1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  <c r="AA527" s="87"/>
      <c r="AB527" s="87"/>
      <c r="AC527" s="87"/>
      <c r="AD527" s="87"/>
      <c r="AE527" s="87"/>
      <c r="AF527" s="87"/>
      <c r="AG527" s="87"/>
      <c r="AH527" s="87"/>
      <c r="AI527" s="87"/>
    </row>
    <row r="528" ht="15.75" customHeight="1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  <c r="AA528" s="87"/>
      <c r="AB528" s="87"/>
      <c r="AC528" s="87"/>
      <c r="AD528" s="87"/>
      <c r="AE528" s="87"/>
      <c r="AF528" s="87"/>
      <c r="AG528" s="87"/>
      <c r="AH528" s="87"/>
      <c r="AI528" s="87"/>
    </row>
    <row r="529" ht="15.75" customHeight="1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  <c r="AA529" s="87"/>
      <c r="AB529" s="87"/>
      <c r="AC529" s="87"/>
      <c r="AD529" s="87"/>
      <c r="AE529" s="87"/>
      <c r="AF529" s="87"/>
      <c r="AG529" s="87"/>
      <c r="AH529" s="87"/>
      <c r="AI529" s="87"/>
    </row>
    <row r="530" ht="15.75" customHeight="1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  <c r="AA530" s="87"/>
      <c r="AB530" s="87"/>
      <c r="AC530" s="87"/>
      <c r="AD530" s="87"/>
      <c r="AE530" s="87"/>
      <c r="AF530" s="87"/>
      <c r="AG530" s="87"/>
      <c r="AH530" s="87"/>
      <c r="AI530" s="87"/>
    </row>
    <row r="531" ht="15.75" customHeight="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  <c r="AA531" s="87"/>
      <c r="AB531" s="87"/>
      <c r="AC531" s="87"/>
      <c r="AD531" s="87"/>
      <c r="AE531" s="87"/>
      <c r="AF531" s="87"/>
      <c r="AG531" s="87"/>
      <c r="AH531" s="87"/>
      <c r="AI531" s="87"/>
    </row>
    <row r="532" ht="15.75" customHeight="1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  <c r="AA532" s="87"/>
      <c r="AB532" s="87"/>
      <c r="AC532" s="87"/>
      <c r="AD532" s="87"/>
      <c r="AE532" s="87"/>
      <c r="AF532" s="87"/>
      <c r="AG532" s="87"/>
      <c r="AH532" s="87"/>
      <c r="AI532" s="87"/>
    </row>
    <row r="533" ht="15.75" customHeight="1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  <c r="AA533" s="87"/>
      <c r="AB533" s="87"/>
      <c r="AC533" s="87"/>
      <c r="AD533" s="87"/>
      <c r="AE533" s="87"/>
      <c r="AF533" s="87"/>
      <c r="AG533" s="87"/>
      <c r="AH533" s="87"/>
      <c r="AI533" s="87"/>
    </row>
    <row r="534" ht="15.75" customHeight="1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  <c r="AA534" s="87"/>
      <c r="AB534" s="87"/>
      <c r="AC534" s="87"/>
      <c r="AD534" s="87"/>
      <c r="AE534" s="87"/>
      <c r="AF534" s="87"/>
      <c r="AG534" s="87"/>
      <c r="AH534" s="87"/>
      <c r="AI534" s="87"/>
    </row>
    <row r="535" ht="15.75" customHeight="1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  <c r="AA535" s="87"/>
      <c r="AB535" s="87"/>
      <c r="AC535" s="87"/>
      <c r="AD535" s="87"/>
      <c r="AE535" s="87"/>
      <c r="AF535" s="87"/>
      <c r="AG535" s="87"/>
      <c r="AH535" s="87"/>
      <c r="AI535" s="87"/>
    </row>
    <row r="536" ht="15.75" customHeight="1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  <c r="AA536" s="87"/>
      <c r="AB536" s="87"/>
      <c r="AC536" s="87"/>
      <c r="AD536" s="87"/>
      <c r="AE536" s="87"/>
      <c r="AF536" s="87"/>
      <c r="AG536" s="87"/>
      <c r="AH536" s="87"/>
      <c r="AI536" s="87"/>
    </row>
    <row r="537" ht="15.75" customHeight="1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  <c r="AA537" s="87"/>
      <c r="AB537" s="87"/>
      <c r="AC537" s="87"/>
      <c r="AD537" s="87"/>
      <c r="AE537" s="87"/>
      <c r="AF537" s="87"/>
      <c r="AG537" s="87"/>
      <c r="AH537" s="87"/>
      <c r="AI537" s="87"/>
    </row>
    <row r="538" ht="15.75" customHeight="1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  <c r="AA538" s="87"/>
      <c r="AB538" s="87"/>
      <c r="AC538" s="87"/>
      <c r="AD538" s="87"/>
      <c r="AE538" s="87"/>
      <c r="AF538" s="87"/>
      <c r="AG538" s="87"/>
      <c r="AH538" s="87"/>
      <c r="AI538" s="87"/>
    </row>
    <row r="539" ht="15.75" customHeight="1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  <c r="AA539" s="87"/>
      <c r="AB539" s="87"/>
      <c r="AC539" s="87"/>
      <c r="AD539" s="87"/>
      <c r="AE539" s="87"/>
      <c r="AF539" s="87"/>
      <c r="AG539" s="87"/>
      <c r="AH539" s="87"/>
      <c r="AI539" s="87"/>
    </row>
    <row r="540" ht="15.75" customHeight="1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  <c r="AA540" s="87"/>
      <c r="AB540" s="87"/>
      <c r="AC540" s="87"/>
      <c r="AD540" s="87"/>
      <c r="AE540" s="87"/>
      <c r="AF540" s="87"/>
      <c r="AG540" s="87"/>
      <c r="AH540" s="87"/>
      <c r="AI540" s="87"/>
    </row>
    <row r="541" ht="15.75" customHeight="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  <c r="AA541" s="87"/>
      <c r="AB541" s="87"/>
      <c r="AC541" s="87"/>
      <c r="AD541" s="87"/>
      <c r="AE541" s="87"/>
      <c r="AF541" s="87"/>
      <c r="AG541" s="87"/>
      <c r="AH541" s="87"/>
      <c r="AI541" s="87"/>
    </row>
    <row r="542" ht="15.75" customHeight="1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  <c r="AA542" s="87"/>
      <c r="AB542" s="87"/>
      <c r="AC542" s="87"/>
      <c r="AD542" s="87"/>
      <c r="AE542" s="87"/>
      <c r="AF542" s="87"/>
      <c r="AG542" s="87"/>
      <c r="AH542" s="87"/>
      <c r="AI542" s="87"/>
    </row>
    <row r="543" ht="15.75" customHeight="1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  <c r="AA543" s="87"/>
      <c r="AB543" s="87"/>
      <c r="AC543" s="87"/>
      <c r="AD543" s="87"/>
      <c r="AE543" s="87"/>
      <c r="AF543" s="87"/>
      <c r="AG543" s="87"/>
      <c r="AH543" s="87"/>
      <c r="AI543" s="87"/>
    </row>
    <row r="544" ht="15.75" customHeight="1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  <c r="AA544" s="87"/>
      <c r="AB544" s="87"/>
      <c r="AC544" s="87"/>
      <c r="AD544" s="87"/>
      <c r="AE544" s="87"/>
      <c r="AF544" s="87"/>
      <c r="AG544" s="87"/>
      <c r="AH544" s="87"/>
      <c r="AI544" s="87"/>
    </row>
    <row r="545" ht="15.75" customHeight="1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  <c r="AA545" s="87"/>
      <c r="AB545" s="87"/>
      <c r="AC545" s="87"/>
      <c r="AD545" s="87"/>
      <c r="AE545" s="87"/>
      <c r="AF545" s="87"/>
      <c r="AG545" s="87"/>
      <c r="AH545" s="87"/>
      <c r="AI545" s="87"/>
    </row>
    <row r="546" ht="15.75" customHeight="1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  <c r="AA546" s="87"/>
      <c r="AB546" s="87"/>
      <c r="AC546" s="87"/>
      <c r="AD546" s="87"/>
      <c r="AE546" s="87"/>
      <c r="AF546" s="87"/>
      <c r="AG546" s="87"/>
      <c r="AH546" s="87"/>
      <c r="AI546" s="87"/>
    </row>
    <row r="547" ht="15.75" customHeight="1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  <c r="AA547" s="87"/>
      <c r="AB547" s="87"/>
      <c r="AC547" s="87"/>
      <c r="AD547" s="87"/>
      <c r="AE547" s="87"/>
      <c r="AF547" s="87"/>
      <c r="AG547" s="87"/>
      <c r="AH547" s="87"/>
      <c r="AI547" s="87"/>
    </row>
    <row r="548" ht="15.75" customHeight="1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  <c r="AA548" s="87"/>
      <c r="AB548" s="87"/>
      <c r="AC548" s="87"/>
      <c r="AD548" s="87"/>
      <c r="AE548" s="87"/>
      <c r="AF548" s="87"/>
      <c r="AG548" s="87"/>
      <c r="AH548" s="87"/>
      <c r="AI548" s="87"/>
    </row>
    <row r="549" ht="15.75" customHeight="1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  <c r="AA549" s="87"/>
      <c r="AB549" s="87"/>
      <c r="AC549" s="87"/>
      <c r="AD549" s="87"/>
      <c r="AE549" s="87"/>
      <c r="AF549" s="87"/>
      <c r="AG549" s="87"/>
      <c r="AH549" s="87"/>
      <c r="AI549" s="87"/>
    </row>
    <row r="550" ht="15.75" customHeight="1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  <c r="AA550" s="87"/>
      <c r="AB550" s="87"/>
      <c r="AC550" s="87"/>
      <c r="AD550" s="87"/>
      <c r="AE550" s="87"/>
      <c r="AF550" s="87"/>
      <c r="AG550" s="87"/>
      <c r="AH550" s="87"/>
      <c r="AI550" s="87"/>
    </row>
    <row r="551" ht="15.75" customHeight="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  <c r="AA551" s="87"/>
      <c r="AB551" s="87"/>
      <c r="AC551" s="87"/>
      <c r="AD551" s="87"/>
      <c r="AE551" s="87"/>
      <c r="AF551" s="87"/>
      <c r="AG551" s="87"/>
      <c r="AH551" s="87"/>
      <c r="AI551" s="87"/>
    </row>
    <row r="552" ht="15.75" customHeight="1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  <c r="AA552" s="87"/>
      <c r="AB552" s="87"/>
      <c r="AC552" s="87"/>
      <c r="AD552" s="87"/>
      <c r="AE552" s="87"/>
      <c r="AF552" s="87"/>
      <c r="AG552" s="87"/>
      <c r="AH552" s="87"/>
      <c r="AI552" s="87"/>
    </row>
    <row r="553" ht="15.75" customHeight="1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  <c r="AA553" s="87"/>
      <c r="AB553" s="87"/>
      <c r="AC553" s="87"/>
      <c r="AD553" s="87"/>
      <c r="AE553" s="87"/>
      <c r="AF553" s="87"/>
      <c r="AG553" s="87"/>
      <c r="AH553" s="87"/>
      <c r="AI553" s="87"/>
    </row>
    <row r="554" ht="15.75" customHeight="1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  <c r="AA554" s="87"/>
      <c r="AB554" s="87"/>
      <c r="AC554" s="87"/>
      <c r="AD554" s="87"/>
      <c r="AE554" s="87"/>
      <c r="AF554" s="87"/>
      <c r="AG554" s="87"/>
      <c r="AH554" s="87"/>
      <c r="AI554" s="87"/>
    </row>
    <row r="555" ht="15.75" customHeight="1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  <c r="AA555" s="87"/>
      <c r="AB555" s="87"/>
      <c r="AC555" s="87"/>
      <c r="AD555" s="87"/>
      <c r="AE555" s="87"/>
      <c r="AF555" s="87"/>
      <c r="AG555" s="87"/>
      <c r="AH555" s="87"/>
      <c r="AI555" s="87"/>
    </row>
    <row r="556" ht="15.75" customHeight="1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  <c r="AA556" s="87"/>
      <c r="AB556" s="87"/>
      <c r="AC556" s="87"/>
      <c r="AD556" s="87"/>
      <c r="AE556" s="87"/>
      <c r="AF556" s="87"/>
      <c r="AG556" s="87"/>
      <c r="AH556" s="87"/>
      <c r="AI556" s="87"/>
    </row>
    <row r="557" ht="15.75" customHeight="1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  <c r="AA557" s="87"/>
      <c r="AB557" s="87"/>
      <c r="AC557" s="87"/>
      <c r="AD557" s="87"/>
      <c r="AE557" s="87"/>
      <c r="AF557" s="87"/>
      <c r="AG557" s="87"/>
      <c r="AH557" s="87"/>
      <c r="AI557" s="87"/>
    </row>
    <row r="558" ht="15.75" customHeight="1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  <c r="AA558" s="87"/>
      <c r="AB558" s="87"/>
      <c r="AC558" s="87"/>
      <c r="AD558" s="87"/>
      <c r="AE558" s="87"/>
      <c r="AF558" s="87"/>
      <c r="AG558" s="87"/>
      <c r="AH558" s="87"/>
      <c r="AI558" s="87"/>
    </row>
    <row r="559" ht="15.75" customHeight="1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  <c r="AA559" s="87"/>
      <c r="AB559" s="87"/>
      <c r="AC559" s="87"/>
      <c r="AD559" s="87"/>
      <c r="AE559" s="87"/>
      <c r="AF559" s="87"/>
      <c r="AG559" s="87"/>
      <c r="AH559" s="87"/>
      <c r="AI559" s="87"/>
    </row>
    <row r="560" ht="15.75" customHeight="1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  <c r="AA560" s="87"/>
      <c r="AB560" s="87"/>
      <c r="AC560" s="87"/>
      <c r="AD560" s="87"/>
      <c r="AE560" s="87"/>
      <c r="AF560" s="87"/>
      <c r="AG560" s="87"/>
      <c r="AH560" s="87"/>
      <c r="AI560" s="87"/>
    </row>
    <row r="561" ht="15.75" customHeight="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  <c r="AA561" s="87"/>
      <c r="AB561" s="87"/>
      <c r="AC561" s="87"/>
      <c r="AD561" s="87"/>
      <c r="AE561" s="87"/>
      <c r="AF561" s="87"/>
      <c r="AG561" s="87"/>
      <c r="AH561" s="87"/>
      <c r="AI561" s="87"/>
    </row>
    <row r="562" ht="15.75" customHeight="1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  <c r="AA562" s="87"/>
      <c r="AB562" s="87"/>
      <c r="AC562" s="87"/>
      <c r="AD562" s="87"/>
      <c r="AE562" s="87"/>
      <c r="AF562" s="87"/>
      <c r="AG562" s="87"/>
      <c r="AH562" s="87"/>
      <c r="AI562" s="87"/>
    </row>
    <row r="563" ht="15.75" customHeight="1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  <c r="AA563" s="87"/>
      <c r="AB563" s="87"/>
      <c r="AC563" s="87"/>
      <c r="AD563" s="87"/>
      <c r="AE563" s="87"/>
      <c r="AF563" s="87"/>
      <c r="AG563" s="87"/>
      <c r="AH563" s="87"/>
      <c r="AI563" s="87"/>
    </row>
    <row r="564" ht="15.75" customHeight="1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  <c r="AA564" s="87"/>
      <c r="AB564" s="87"/>
      <c r="AC564" s="87"/>
      <c r="AD564" s="87"/>
      <c r="AE564" s="87"/>
      <c r="AF564" s="87"/>
      <c r="AG564" s="87"/>
      <c r="AH564" s="87"/>
      <c r="AI564" s="87"/>
    </row>
    <row r="565" ht="15.75" customHeight="1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  <c r="AA565" s="87"/>
      <c r="AB565" s="87"/>
      <c r="AC565" s="87"/>
      <c r="AD565" s="87"/>
      <c r="AE565" s="87"/>
      <c r="AF565" s="87"/>
      <c r="AG565" s="87"/>
      <c r="AH565" s="87"/>
      <c r="AI565" s="87"/>
    </row>
    <row r="566" ht="15.75" customHeight="1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  <c r="AA566" s="87"/>
      <c r="AB566" s="87"/>
      <c r="AC566" s="87"/>
      <c r="AD566" s="87"/>
      <c r="AE566" s="87"/>
      <c r="AF566" s="87"/>
      <c r="AG566" s="87"/>
      <c r="AH566" s="87"/>
      <c r="AI566" s="87"/>
    </row>
    <row r="567" ht="15.75" customHeight="1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  <c r="AA567" s="87"/>
      <c r="AB567" s="87"/>
      <c r="AC567" s="87"/>
      <c r="AD567" s="87"/>
      <c r="AE567" s="87"/>
      <c r="AF567" s="87"/>
      <c r="AG567" s="87"/>
      <c r="AH567" s="87"/>
      <c r="AI567" s="87"/>
    </row>
    <row r="568" ht="15.75" customHeight="1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  <c r="AA568" s="87"/>
      <c r="AB568" s="87"/>
      <c r="AC568" s="87"/>
      <c r="AD568" s="87"/>
      <c r="AE568" s="87"/>
      <c r="AF568" s="87"/>
      <c r="AG568" s="87"/>
      <c r="AH568" s="87"/>
      <c r="AI568" s="87"/>
    </row>
    <row r="569" ht="15.75" customHeight="1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  <c r="AA569" s="87"/>
      <c r="AB569" s="87"/>
      <c r="AC569" s="87"/>
      <c r="AD569" s="87"/>
      <c r="AE569" s="87"/>
      <c r="AF569" s="87"/>
      <c r="AG569" s="87"/>
      <c r="AH569" s="87"/>
      <c r="AI569" s="87"/>
    </row>
    <row r="570" ht="15.75" customHeight="1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  <c r="AA570" s="87"/>
      <c r="AB570" s="87"/>
      <c r="AC570" s="87"/>
      <c r="AD570" s="87"/>
      <c r="AE570" s="87"/>
      <c r="AF570" s="87"/>
      <c r="AG570" s="87"/>
      <c r="AH570" s="87"/>
      <c r="AI570" s="87"/>
    </row>
    <row r="571" ht="15.75" customHeight="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  <c r="AA571" s="87"/>
      <c r="AB571" s="87"/>
      <c r="AC571" s="87"/>
      <c r="AD571" s="87"/>
      <c r="AE571" s="87"/>
      <c r="AF571" s="87"/>
      <c r="AG571" s="87"/>
      <c r="AH571" s="87"/>
      <c r="AI571" s="87"/>
    </row>
    <row r="572" ht="15.75" customHeight="1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  <c r="AA572" s="87"/>
      <c r="AB572" s="87"/>
      <c r="AC572" s="87"/>
      <c r="AD572" s="87"/>
      <c r="AE572" s="87"/>
      <c r="AF572" s="87"/>
      <c r="AG572" s="87"/>
      <c r="AH572" s="87"/>
      <c r="AI572" s="87"/>
    </row>
    <row r="573" ht="15.75" customHeight="1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  <c r="AA573" s="87"/>
      <c r="AB573" s="87"/>
      <c r="AC573" s="87"/>
      <c r="AD573" s="87"/>
      <c r="AE573" s="87"/>
      <c r="AF573" s="87"/>
      <c r="AG573" s="87"/>
      <c r="AH573" s="87"/>
      <c r="AI573" s="87"/>
    </row>
    <row r="574" ht="15.75" customHeight="1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  <c r="AA574" s="87"/>
      <c r="AB574" s="87"/>
      <c r="AC574" s="87"/>
      <c r="AD574" s="87"/>
      <c r="AE574" s="87"/>
      <c r="AF574" s="87"/>
      <c r="AG574" s="87"/>
      <c r="AH574" s="87"/>
      <c r="AI574" s="87"/>
    </row>
    <row r="575" ht="15.75" customHeight="1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  <c r="AA575" s="87"/>
      <c r="AB575" s="87"/>
      <c r="AC575" s="87"/>
      <c r="AD575" s="87"/>
      <c r="AE575" s="87"/>
      <c r="AF575" s="87"/>
      <c r="AG575" s="87"/>
      <c r="AH575" s="87"/>
      <c r="AI575" s="87"/>
    </row>
    <row r="576" ht="15.75" customHeight="1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  <c r="AA576" s="87"/>
      <c r="AB576" s="87"/>
      <c r="AC576" s="87"/>
      <c r="AD576" s="87"/>
      <c r="AE576" s="87"/>
      <c r="AF576" s="87"/>
      <c r="AG576" s="87"/>
      <c r="AH576" s="87"/>
      <c r="AI576" s="87"/>
    </row>
    <row r="577" ht="15.75" customHeight="1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  <c r="AA577" s="87"/>
      <c r="AB577" s="87"/>
      <c r="AC577" s="87"/>
      <c r="AD577" s="87"/>
      <c r="AE577" s="87"/>
      <c r="AF577" s="87"/>
      <c r="AG577" s="87"/>
      <c r="AH577" s="87"/>
      <c r="AI577" s="87"/>
    </row>
    <row r="578" ht="15.75" customHeight="1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  <c r="AA578" s="87"/>
      <c r="AB578" s="87"/>
      <c r="AC578" s="87"/>
      <c r="AD578" s="87"/>
      <c r="AE578" s="87"/>
      <c r="AF578" s="87"/>
      <c r="AG578" s="87"/>
      <c r="AH578" s="87"/>
      <c r="AI578" s="87"/>
    </row>
    <row r="579" ht="15.75" customHeight="1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  <c r="AA579" s="87"/>
      <c r="AB579" s="87"/>
      <c r="AC579" s="87"/>
      <c r="AD579" s="87"/>
      <c r="AE579" s="87"/>
      <c r="AF579" s="87"/>
      <c r="AG579" s="87"/>
      <c r="AH579" s="87"/>
      <c r="AI579" s="87"/>
    </row>
    <row r="580" ht="15.75" customHeight="1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  <c r="AA580" s="87"/>
      <c r="AB580" s="87"/>
      <c r="AC580" s="87"/>
      <c r="AD580" s="87"/>
      <c r="AE580" s="87"/>
      <c r="AF580" s="87"/>
      <c r="AG580" s="87"/>
      <c r="AH580" s="87"/>
      <c r="AI580" s="87"/>
    </row>
    <row r="581" ht="15.75" customHeight="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  <c r="AA581" s="87"/>
      <c r="AB581" s="87"/>
      <c r="AC581" s="87"/>
      <c r="AD581" s="87"/>
      <c r="AE581" s="87"/>
      <c r="AF581" s="87"/>
      <c r="AG581" s="87"/>
      <c r="AH581" s="87"/>
      <c r="AI581" s="87"/>
    </row>
    <row r="582" ht="15.75" customHeight="1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  <c r="AA582" s="87"/>
      <c r="AB582" s="87"/>
      <c r="AC582" s="87"/>
      <c r="AD582" s="87"/>
      <c r="AE582" s="87"/>
      <c r="AF582" s="87"/>
      <c r="AG582" s="87"/>
      <c r="AH582" s="87"/>
      <c r="AI582" s="87"/>
    </row>
    <row r="583" ht="15.75" customHeight="1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  <c r="AA583" s="87"/>
      <c r="AB583" s="87"/>
      <c r="AC583" s="87"/>
      <c r="AD583" s="87"/>
      <c r="AE583" s="87"/>
      <c r="AF583" s="87"/>
      <c r="AG583" s="87"/>
      <c r="AH583" s="87"/>
      <c r="AI583" s="87"/>
    </row>
    <row r="584" ht="15.75" customHeight="1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  <c r="AA584" s="87"/>
      <c r="AB584" s="87"/>
      <c r="AC584" s="87"/>
      <c r="AD584" s="87"/>
      <c r="AE584" s="87"/>
      <c r="AF584" s="87"/>
      <c r="AG584" s="87"/>
      <c r="AH584" s="87"/>
      <c r="AI584" s="87"/>
    </row>
    <row r="585" ht="15.75" customHeight="1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  <c r="AA585" s="87"/>
      <c r="AB585" s="87"/>
      <c r="AC585" s="87"/>
      <c r="AD585" s="87"/>
      <c r="AE585" s="87"/>
      <c r="AF585" s="87"/>
      <c r="AG585" s="87"/>
      <c r="AH585" s="87"/>
      <c r="AI585" s="87"/>
    </row>
    <row r="586" ht="15.75" customHeight="1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  <c r="AA586" s="87"/>
      <c r="AB586" s="87"/>
      <c r="AC586" s="87"/>
      <c r="AD586" s="87"/>
      <c r="AE586" s="87"/>
      <c r="AF586" s="87"/>
      <c r="AG586" s="87"/>
      <c r="AH586" s="87"/>
      <c r="AI586" s="87"/>
    </row>
    <row r="587" ht="15.75" customHeight="1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  <c r="AA587" s="87"/>
      <c r="AB587" s="87"/>
      <c r="AC587" s="87"/>
      <c r="AD587" s="87"/>
      <c r="AE587" s="87"/>
      <c r="AF587" s="87"/>
      <c r="AG587" s="87"/>
      <c r="AH587" s="87"/>
      <c r="AI587" s="87"/>
    </row>
    <row r="588" ht="15.75" customHeight="1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  <c r="AA588" s="87"/>
      <c r="AB588" s="87"/>
      <c r="AC588" s="87"/>
      <c r="AD588" s="87"/>
      <c r="AE588" s="87"/>
      <c r="AF588" s="87"/>
      <c r="AG588" s="87"/>
      <c r="AH588" s="87"/>
      <c r="AI588" s="87"/>
    </row>
    <row r="589" ht="15.75" customHeight="1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  <c r="AA589" s="87"/>
      <c r="AB589" s="87"/>
      <c r="AC589" s="87"/>
      <c r="AD589" s="87"/>
      <c r="AE589" s="87"/>
      <c r="AF589" s="87"/>
      <c r="AG589" s="87"/>
      <c r="AH589" s="87"/>
      <c r="AI589" s="87"/>
    </row>
    <row r="590" ht="15.75" customHeight="1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  <c r="AA590" s="87"/>
      <c r="AB590" s="87"/>
      <c r="AC590" s="87"/>
      <c r="AD590" s="87"/>
      <c r="AE590" s="87"/>
      <c r="AF590" s="87"/>
      <c r="AG590" s="87"/>
      <c r="AH590" s="87"/>
      <c r="AI590" s="87"/>
    </row>
    <row r="591" ht="15.75" customHeight="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  <c r="AA591" s="87"/>
      <c r="AB591" s="87"/>
      <c r="AC591" s="87"/>
      <c r="AD591" s="87"/>
      <c r="AE591" s="87"/>
      <c r="AF591" s="87"/>
      <c r="AG591" s="87"/>
      <c r="AH591" s="87"/>
      <c r="AI591" s="87"/>
    </row>
    <row r="592" ht="15.75" customHeight="1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  <c r="AA592" s="87"/>
      <c r="AB592" s="87"/>
      <c r="AC592" s="87"/>
      <c r="AD592" s="87"/>
      <c r="AE592" s="87"/>
      <c r="AF592" s="87"/>
      <c r="AG592" s="87"/>
      <c r="AH592" s="87"/>
      <c r="AI592" s="87"/>
    </row>
    <row r="593" ht="15.75" customHeight="1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  <c r="AA593" s="87"/>
      <c r="AB593" s="87"/>
      <c r="AC593" s="87"/>
      <c r="AD593" s="87"/>
      <c r="AE593" s="87"/>
      <c r="AF593" s="87"/>
      <c r="AG593" s="87"/>
      <c r="AH593" s="87"/>
      <c r="AI593" s="87"/>
    </row>
    <row r="594" ht="15.75" customHeight="1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  <c r="AA594" s="87"/>
      <c r="AB594" s="87"/>
      <c r="AC594" s="87"/>
      <c r="AD594" s="87"/>
      <c r="AE594" s="87"/>
      <c r="AF594" s="87"/>
      <c r="AG594" s="87"/>
      <c r="AH594" s="87"/>
      <c r="AI594" s="87"/>
    </row>
    <row r="595" ht="15.75" customHeight="1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  <c r="AA595" s="87"/>
      <c r="AB595" s="87"/>
      <c r="AC595" s="87"/>
      <c r="AD595" s="87"/>
      <c r="AE595" s="87"/>
      <c r="AF595" s="87"/>
      <c r="AG595" s="87"/>
      <c r="AH595" s="87"/>
      <c r="AI595" s="87"/>
    </row>
    <row r="596" ht="15.75" customHeight="1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  <c r="AA596" s="87"/>
      <c r="AB596" s="87"/>
      <c r="AC596" s="87"/>
      <c r="AD596" s="87"/>
      <c r="AE596" s="87"/>
      <c r="AF596" s="87"/>
      <c r="AG596" s="87"/>
      <c r="AH596" s="87"/>
      <c r="AI596" s="87"/>
    </row>
    <row r="597" ht="15.75" customHeight="1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  <c r="AA597" s="87"/>
      <c r="AB597" s="87"/>
      <c r="AC597" s="87"/>
      <c r="AD597" s="87"/>
      <c r="AE597" s="87"/>
      <c r="AF597" s="87"/>
      <c r="AG597" s="87"/>
      <c r="AH597" s="87"/>
      <c r="AI597" s="87"/>
    </row>
    <row r="598" ht="15.75" customHeight="1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  <c r="AA598" s="87"/>
      <c r="AB598" s="87"/>
      <c r="AC598" s="87"/>
      <c r="AD598" s="87"/>
      <c r="AE598" s="87"/>
      <c r="AF598" s="87"/>
      <c r="AG598" s="87"/>
      <c r="AH598" s="87"/>
      <c r="AI598" s="87"/>
    </row>
    <row r="599" ht="15.75" customHeight="1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  <c r="AA599" s="87"/>
      <c r="AB599" s="87"/>
      <c r="AC599" s="87"/>
      <c r="AD599" s="87"/>
      <c r="AE599" s="87"/>
      <c r="AF599" s="87"/>
      <c r="AG599" s="87"/>
      <c r="AH599" s="87"/>
      <c r="AI599" s="87"/>
    </row>
    <row r="600" ht="15.75" customHeight="1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  <c r="AA600" s="87"/>
      <c r="AB600" s="87"/>
      <c r="AC600" s="87"/>
      <c r="AD600" s="87"/>
      <c r="AE600" s="87"/>
      <c r="AF600" s="87"/>
      <c r="AG600" s="87"/>
      <c r="AH600" s="87"/>
      <c r="AI600" s="87"/>
    </row>
    <row r="601" ht="15.75" customHeight="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  <c r="AA601" s="87"/>
      <c r="AB601" s="87"/>
      <c r="AC601" s="87"/>
      <c r="AD601" s="87"/>
      <c r="AE601" s="87"/>
      <c r="AF601" s="87"/>
      <c r="AG601" s="87"/>
      <c r="AH601" s="87"/>
      <c r="AI601" s="87"/>
    </row>
    <row r="602" ht="15.75" customHeight="1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  <c r="AA602" s="87"/>
      <c r="AB602" s="87"/>
      <c r="AC602" s="87"/>
      <c r="AD602" s="87"/>
      <c r="AE602" s="87"/>
      <c r="AF602" s="87"/>
      <c r="AG602" s="87"/>
      <c r="AH602" s="87"/>
      <c r="AI602" s="87"/>
    </row>
    <row r="603" ht="15.75" customHeight="1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  <c r="AA603" s="87"/>
      <c r="AB603" s="87"/>
      <c r="AC603" s="87"/>
      <c r="AD603" s="87"/>
      <c r="AE603" s="87"/>
      <c r="AF603" s="87"/>
      <c r="AG603" s="87"/>
      <c r="AH603" s="87"/>
      <c r="AI603" s="87"/>
    </row>
    <row r="604" ht="15.75" customHeight="1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  <c r="AA604" s="87"/>
      <c r="AB604" s="87"/>
      <c r="AC604" s="87"/>
      <c r="AD604" s="87"/>
      <c r="AE604" s="87"/>
      <c r="AF604" s="87"/>
      <c r="AG604" s="87"/>
      <c r="AH604" s="87"/>
      <c r="AI604" s="87"/>
    </row>
    <row r="605" ht="15.75" customHeight="1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  <c r="AA605" s="87"/>
      <c r="AB605" s="87"/>
      <c r="AC605" s="87"/>
      <c r="AD605" s="87"/>
      <c r="AE605" s="87"/>
      <c r="AF605" s="87"/>
      <c r="AG605" s="87"/>
      <c r="AH605" s="87"/>
      <c r="AI605" s="87"/>
    </row>
    <row r="606" ht="15.75" customHeight="1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  <c r="AA606" s="87"/>
      <c r="AB606" s="87"/>
      <c r="AC606" s="87"/>
      <c r="AD606" s="87"/>
      <c r="AE606" s="87"/>
      <c r="AF606" s="87"/>
      <c r="AG606" s="87"/>
      <c r="AH606" s="87"/>
      <c r="AI606" s="87"/>
    </row>
    <row r="607" ht="15.75" customHeight="1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  <c r="AA607" s="87"/>
      <c r="AB607" s="87"/>
      <c r="AC607" s="87"/>
      <c r="AD607" s="87"/>
      <c r="AE607" s="87"/>
      <c r="AF607" s="87"/>
      <c r="AG607" s="87"/>
      <c r="AH607" s="87"/>
      <c r="AI607" s="87"/>
    </row>
    <row r="608" ht="15.75" customHeight="1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  <c r="AA608" s="87"/>
      <c r="AB608" s="87"/>
      <c r="AC608" s="87"/>
      <c r="AD608" s="87"/>
      <c r="AE608" s="87"/>
      <c r="AF608" s="87"/>
      <c r="AG608" s="87"/>
      <c r="AH608" s="87"/>
      <c r="AI608" s="87"/>
    </row>
    <row r="609" ht="15.75" customHeight="1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  <c r="AA609" s="87"/>
      <c r="AB609" s="87"/>
      <c r="AC609" s="87"/>
      <c r="AD609" s="87"/>
      <c r="AE609" s="87"/>
      <c r="AF609" s="87"/>
      <c r="AG609" s="87"/>
      <c r="AH609" s="87"/>
      <c r="AI609" s="87"/>
    </row>
    <row r="610" ht="15.75" customHeight="1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  <c r="AA610" s="87"/>
      <c r="AB610" s="87"/>
      <c r="AC610" s="87"/>
      <c r="AD610" s="87"/>
      <c r="AE610" s="87"/>
      <c r="AF610" s="87"/>
      <c r="AG610" s="87"/>
      <c r="AH610" s="87"/>
      <c r="AI610" s="87"/>
    </row>
    <row r="611" ht="15.75" customHeight="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  <c r="AA611" s="87"/>
      <c r="AB611" s="87"/>
      <c r="AC611" s="87"/>
      <c r="AD611" s="87"/>
      <c r="AE611" s="87"/>
      <c r="AF611" s="87"/>
      <c r="AG611" s="87"/>
      <c r="AH611" s="87"/>
      <c r="AI611" s="87"/>
    </row>
    <row r="612" ht="15.75" customHeight="1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  <c r="AA612" s="87"/>
      <c r="AB612" s="87"/>
      <c r="AC612" s="87"/>
      <c r="AD612" s="87"/>
      <c r="AE612" s="87"/>
      <c r="AF612" s="87"/>
      <c r="AG612" s="87"/>
      <c r="AH612" s="87"/>
      <c r="AI612" s="87"/>
    </row>
    <row r="613" ht="15.75" customHeight="1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  <c r="AA613" s="87"/>
      <c r="AB613" s="87"/>
      <c r="AC613" s="87"/>
      <c r="AD613" s="87"/>
      <c r="AE613" s="87"/>
      <c r="AF613" s="87"/>
      <c r="AG613" s="87"/>
      <c r="AH613" s="87"/>
      <c r="AI613" s="87"/>
    </row>
    <row r="614" ht="15.75" customHeight="1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  <c r="AA614" s="87"/>
      <c r="AB614" s="87"/>
      <c r="AC614" s="87"/>
      <c r="AD614" s="87"/>
      <c r="AE614" s="87"/>
      <c r="AF614" s="87"/>
      <c r="AG614" s="87"/>
      <c r="AH614" s="87"/>
      <c r="AI614" s="87"/>
    </row>
    <row r="615" ht="15.75" customHeight="1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  <c r="AA615" s="87"/>
      <c r="AB615" s="87"/>
      <c r="AC615" s="87"/>
      <c r="AD615" s="87"/>
      <c r="AE615" s="87"/>
      <c r="AF615" s="87"/>
      <c r="AG615" s="87"/>
      <c r="AH615" s="87"/>
      <c r="AI615" s="87"/>
    </row>
    <row r="616" ht="15.75" customHeight="1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  <c r="AA616" s="87"/>
      <c r="AB616" s="87"/>
      <c r="AC616" s="87"/>
      <c r="AD616" s="87"/>
      <c r="AE616" s="87"/>
      <c r="AF616" s="87"/>
      <c r="AG616" s="87"/>
      <c r="AH616" s="87"/>
      <c r="AI616" s="87"/>
    </row>
    <row r="617" ht="15.75" customHeight="1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  <c r="AA617" s="87"/>
      <c r="AB617" s="87"/>
      <c r="AC617" s="87"/>
      <c r="AD617" s="87"/>
      <c r="AE617" s="87"/>
      <c r="AF617" s="87"/>
      <c r="AG617" s="87"/>
      <c r="AH617" s="87"/>
      <c r="AI617" s="87"/>
    </row>
    <row r="618" ht="15.75" customHeight="1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  <c r="AA618" s="87"/>
      <c r="AB618" s="87"/>
      <c r="AC618" s="87"/>
      <c r="AD618" s="87"/>
      <c r="AE618" s="87"/>
      <c r="AF618" s="87"/>
      <c r="AG618" s="87"/>
      <c r="AH618" s="87"/>
      <c r="AI618" s="87"/>
    </row>
    <row r="619" ht="15.75" customHeight="1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  <c r="AA619" s="87"/>
      <c r="AB619" s="87"/>
      <c r="AC619" s="87"/>
      <c r="AD619" s="87"/>
      <c r="AE619" s="87"/>
      <c r="AF619" s="87"/>
      <c r="AG619" s="87"/>
      <c r="AH619" s="87"/>
      <c r="AI619" s="87"/>
    </row>
    <row r="620" ht="15.75" customHeight="1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  <c r="AA620" s="87"/>
      <c r="AB620" s="87"/>
      <c r="AC620" s="87"/>
      <c r="AD620" s="87"/>
      <c r="AE620" s="87"/>
      <c r="AF620" s="87"/>
      <c r="AG620" s="87"/>
      <c r="AH620" s="87"/>
      <c r="AI620" s="87"/>
    </row>
    <row r="621" ht="15.75" customHeight="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  <c r="AA621" s="87"/>
      <c r="AB621" s="87"/>
      <c r="AC621" s="87"/>
      <c r="AD621" s="87"/>
      <c r="AE621" s="87"/>
      <c r="AF621" s="87"/>
      <c r="AG621" s="87"/>
      <c r="AH621" s="87"/>
      <c r="AI621" s="87"/>
    </row>
    <row r="622" ht="15.75" customHeight="1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  <c r="AA622" s="87"/>
      <c r="AB622" s="87"/>
      <c r="AC622" s="87"/>
      <c r="AD622" s="87"/>
      <c r="AE622" s="87"/>
      <c r="AF622" s="87"/>
      <c r="AG622" s="87"/>
      <c r="AH622" s="87"/>
      <c r="AI622" s="87"/>
    </row>
    <row r="623" ht="15.75" customHeight="1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  <c r="AA623" s="87"/>
      <c r="AB623" s="87"/>
      <c r="AC623" s="87"/>
      <c r="AD623" s="87"/>
      <c r="AE623" s="87"/>
      <c r="AF623" s="87"/>
      <c r="AG623" s="87"/>
      <c r="AH623" s="87"/>
      <c r="AI623" s="87"/>
    </row>
    <row r="624" ht="15.75" customHeight="1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  <c r="AA624" s="87"/>
      <c r="AB624" s="87"/>
      <c r="AC624" s="87"/>
      <c r="AD624" s="87"/>
      <c r="AE624" s="87"/>
      <c r="AF624" s="87"/>
      <c r="AG624" s="87"/>
      <c r="AH624" s="87"/>
      <c r="AI624" s="87"/>
    </row>
    <row r="625" ht="15.75" customHeight="1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  <c r="AA625" s="87"/>
      <c r="AB625" s="87"/>
      <c r="AC625" s="87"/>
      <c r="AD625" s="87"/>
      <c r="AE625" s="87"/>
      <c r="AF625" s="87"/>
      <c r="AG625" s="87"/>
      <c r="AH625" s="87"/>
      <c r="AI625" s="87"/>
    </row>
    <row r="626" ht="15.75" customHeight="1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  <c r="AA626" s="87"/>
      <c r="AB626" s="87"/>
      <c r="AC626" s="87"/>
      <c r="AD626" s="87"/>
      <c r="AE626" s="87"/>
      <c r="AF626" s="87"/>
      <c r="AG626" s="87"/>
      <c r="AH626" s="87"/>
      <c r="AI626" s="87"/>
    </row>
    <row r="627" ht="15.75" customHeight="1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  <c r="AA627" s="87"/>
      <c r="AB627" s="87"/>
      <c r="AC627" s="87"/>
      <c r="AD627" s="87"/>
      <c r="AE627" s="87"/>
      <c r="AF627" s="87"/>
      <c r="AG627" s="87"/>
      <c r="AH627" s="87"/>
      <c r="AI627" s="87"/>
    </row>
    <row r="628" ht="15.75" customHeight="1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  <c r="AA628" s="87"/>
      <c r="AB628" s="87"/>
      <c r="AC628" s="87"/>
      <c r="AD628" s="87"/>
      <c r="AE628" s="87"/>
      <c r="AF628" s="87"/>
      <c r="AG628" s="87"/>
      <c r="AH628" s="87"/>
      <c r="AI628" s="87"/>
    </row>
    <row r="629" ht="15.75" customHeight="1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  <c r="AA629" s="87"/>
      <c r="AB629" s="87"/>
      <c r="AC629" s="87"/>
      <c r="AD629" s="87"/>
      <c r="AE629" s="87"/>
      <c r="AF629" s="87"/>
      <c r="AG629" s="87"/>
      <c r="AH629" s="87"/>
      <c r="AI629" s="87"/>
    </row>
    <row r="630" ht="15.75" customHeight="1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  <c r="AA630" s="87"/>
      <c r="AB630" s="87"/>
      <c r="AC630" s="87"/>
      <c r="AD630" s="87"/>
      <c r="AE630" s="87"/>
      <c r="AF630" s="87"/>
      <c r="AG630" s="87"/>
      <c r="AH630" s="87"/>
      <c r="AI630" s="87"/>
    </row>
    <row r="631" ht="15.75" customHeight="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  <c r="AA631" s="87"/>
      <c r="AB631" s="87"/>
      <c r="AC631" s="87"/>
      <c r="AD631" s="87"/>
      <c r="AE631" s="87"/>
      <c r="AF631" s="87"/>
      <c r="AG631" s="87"/>
      <c r="AH631" s="87"/>
      <c r="AI631" s="87"/>
    </row>
    <row r="632" ht="15.75" customHeight="1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  <c r="AA632" s="87"/>
      <c r="AB632" s="87"/>
      <c r="AC632" s="87"/>
      <c r="AD632" s="87"/>
      <c r="AE632" s="87"/>
      <c r="AF632" s="87"/>
      <c r="AG632" s="87"/>
      <c r="AH632" s="87"/>
      <c r="AI632" s="87"/>
    </row>
    <row r="633" ht="15.75" customHeight="1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  <c r="AA633" s="87"/>
      <c r="AB633" s="87"/>
      <c r="AC633" s="87"/>
      <c r="AD633" s="87"/>
      <c r="AE633" s="87"/>
      <c r="AF633" s="87"/>
      <c r="AG633" s="87"/>
      <c r="AH633" s="87"/>
      <c r="AI633" s="87"/>
    </row>
    <row r="634" ht="15.75" customHeight="1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  <c r="AA634" s="87"/>
      <c r="AB634" s="87"/>
      <c r="AC634" s="87"/>
      <c r="AD634" s="87"/>
      <c r="AE634" s="87"/>
      <c r="AF634" s="87"/>
      <c r="AG634" s="87"/>
      <c r="AH634" s="87"/>
      <c r="AI634" s="87"/>
    </row>
    <row r="635" ht="15.75" customHeight="1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  <c r="AA635" s="87"/>
      <c r="AB635" s="87"/>
      <c r="AC635" s="87"/>
      <c r="AD635" s="87"/>
      <c r="AE635" s="87"/>
      <c r="AF635" s="87"/>
      <c r="AG635" s="87"/>
      <c r="AH635" s="87"/>
      <c r="AI635" s="87"/>
    </row>
    <row r="636" ht="15.75" customHeight="1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  <c r="AA636" s="87"/>
      <c r="AB636" s="87"/>
      <c r="AC636" s="87"/>
      <c r="AD636" s="87"/>
      <c r="AE636" s="87"/>
      <c r="AF636" s="87"/>
      <c r="AG636" s="87"/>
      <c r="AH636" s="87"/>
      <c r="AI636" s="87"/>
    </row>
    <row r="637" ht="15.75" customHeight="1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  <c r="AA637" s="87"/>
      <c r="AB637" s="87"/>
      <c r="AC637" s="87"/>
      <c r="AD637" s="87"/>
      <c r="AE637" s="87"/>
      <c r="AF637" s="87"/>
      <c r="AG637" s="87"/>
      <c r="AH637" s="87"/>
      <c r="AI637" s="87"/>
    </row>
    <row r="638" ht="15.75" customHeight="1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  <c r="AA638" s="87"/>
      <c r="AB638" s="87"/>
      <c r="AC638" s="87"/>
      <c r="AD638" s="87"/>
      <c r="AE638" s="87"/>
      <c r="AF638" s="87"/>
      <c r="AG638" s="87"/>
      <c r="AH638" s="87"/>
      <c r="AI638" s="87"/>
    </row>
    <row r="639" ht="15.75" customHeight="1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  <c r="AA639" s="87"/>
      <c r="AB639" s="87"/>
      <c r="AC639" s="87"/>
      <c r="AD639" s="87"/>
      <c r="AE639" s="87"/>
      <c r="AF639" s="87"/>
      <c r="AG639" s="87"/>
      <c r="AH639" s="87"/>
      <c r="AI639" s="87"/>
    </row>
    <row r="640" ht="15.75" customHeight="1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  <c r="AA640" s="87"/>
      <c r="AB640" s="87"/>
      <c r="AC640" s="87"/>
      <c r="AD640" s="87"/>
      <c r="AE640" s="87"/>
      <c r="AF640" s="87"/>
      <c r="AG640" s="87"/>
      <c r="AH640" s="87"/>
      <c r="AI640" s="87"/>
    </row>
    <row r="641" ht="15.75" customHeight="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  <c r="AA641" s="87"/>
      <c r="AB641" s="87"/>
      <c r="AC641" s="87"/>
      <c r="AD641" s="87"/>
      <c r="AE641" s="87"/>
      <c r="AF641" s="87"/>
      <c r="AG641" s="87"/>
      <c r="AH641" s="87"/>
      <c r="AI641" s="87"/>
    </row>
    <row r="642" ht="15.75" customHeight="1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  <c r="AA642" s="87"/>
      <c r="AB642" s="87"/>
      <c r="AC642" s="87"/>
      <c r="AD642" s="87"/>
      <c r="AE642" s="87"/>
      <c r="AF642" s="87"/>
      <c r="AG642" s="87"/>
      <c r="AH642" s="87"/>
      <c r="AI642" s="87"/>
    </row>
    <row r="643" ht="15.75" customHeight="1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  <c r="AA643" s="87"/>
      <c r="AB643" s="87"/>
      <c r="AC643" s="87"/>
      <c r="AD643" s="87"/>
      <c r="AE643" s="87"/>
      <c r="AF643" s="87"/>
      <c r="AG643" s="87"/>
      <c r="AH643" s="87"/>
      <c r="AI643" s="87"/>
    </row>
    <row r="644" ht="15.75" customHeight="1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  <c r="AA644" s="87"/>
      <c r="AB644" s="87"/>
      <c r="AC644" s="87"/>
      <c r="AD644" s="87"/>
      <c r="AE644" s="87"/>
      <c r="AF644" s="87"/>
      <c r="AG644" s="87"/>
      <c r="AH644" s="87"/>
      <c r="AI644" s="87"/>
    </row>
    <row r="645" ht="15.75" customHeight="1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  <c r="AA645" s="87"/>
      <c r="AB645" s="87"/>
      <c r="AC645" s="87"/>
      <c r="AD645" s="87"/>
      <c r="AE645" s="87"/>
      <c r="AF645" s="87"/>
      <c r="AG645" s="87"/>
      <c r="AH645" s="87"/>
      <c r="AI645" s="87"/>
    </row>
    <row r="646" ht="15.75" customHeight="1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  <c r="AA646" s="87"/>
      <c r="AB646" s="87"/>
      <c r="AC646" s="87"/>
      <c r="AD646" s="87"/>
      <c r="AE646" s="87"/>
      <c r="AF646" s="87"/>
      <c r="AG646" s="87"/>
      <c r="AH646" s="87"/>
      <c r="AI646" s="87"/>
    </row>
    <row r="647" ht="15.75" customHeight="1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  <c r="AA647" s="87"/>
      <c r="AB647" s="87"/>
      <c r="AC647" s="87"/>
      <c r="AD647" s="87"/>
      <c r="AE647" s="87"/>
      <c r="AF647" s="87"/>
      <c r="AG647" s="87"/>
      <c r="AH647" s="87"/>
      <c r="AI647" s="87"/>
    </row>
    <row r="648" ht="15.75" customHeight="1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  <c r="AA648" s="87"/>
      <c r="AB648" s="87"/>
      <c r="AC648" s="87"/>
      <c r="AD648" s="87"/>
      <c r="AE648" s="87"/>
      <c r="AF648" s="87"/>
      <c r="AG648" s="87"/>
      <c r="AH648" s="87"/>
      <c r="AI648" s="87"/>
    </row>
    <row r="649" ht="15.75" customHeight="1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  <c r="AA649" s="87"/>
      <c r="AB649" s="87"/>
      <c r="AC649" s="87"/>
      <c r="AD649" s="87"/>
      <c r="AE649" s="87"/>
      <c r="AF649" s="87"/>
      <c r="AG649" s="87"/>
      <c r="AH649" s="87"/>
      <c r="AI649" s="87"/>
    </row>
    <row r="650" ht="15.75" customHeight="1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  <c r="AA650" s="87"/>
      <c r="AB650" s="87"/>
      <c r="AC650" s="87"/>
      <c r="AD650" s="87"/>
      <c r="AE650" s="87"/>
      <c r="AF650" s="87"/>
      <c r="AG650" s="87"/>
      <c r="AH650" s="87"/>
      <c r="AI650" s="87"/>
    </row>
    <row r="651" ht="15.75" customHeight="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  <c r="AA651" s="87"/>
      <c r="AB651" s="87"/>
      <c r="AC651" s="87"/>
      <c r="AD651" s="87"/>
      <c r="AE651" s="87"/>
      <c r="AF651" s="87"/>
      <c r="AG651" s="87"/>
      <c r="AH651" s="87"/>
      <c r="AI651" s="87"/>
    </row>
    <row r="652" ht="15.75" customHeight="1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  <c r="AA652" s="87"/>
      <c r="AB652" s="87"/>
      <c r="AC652" s="87"/>
      <c r="AD652" s="87"/>
      <c r="AE652" s="87"/>
      <c r="AF652" s="87"/>
      <c r="AG652" s="87"/>
      <c r="AH652" s="87"/>
      <c r="AI652" s="87"/>
    </row>
    <row r="653" ht="15.75" customHeight="1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  <c r="AA653" s="87"/>
      <c r="AB653" s="87"/>
      <c r="AC653" s="87"/>
      <c r="AD653" s="87"/>
      <c r="AE653" s="87"/>
      <c r="AF653" s="87"/>
      <c r="AG653" s="87"/>
      <c r="AH653" s="87"/>
      <c r="AI653" s="87"/>
    </row>
    <row r="654" ht="15.75" customHeight="1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  <c r="AA654" s="87"/>
      <c r="AB654" s="87"/>
      <c r="AC654" s="87"/>
      <c r="AD654" s="87"/>
      <c r="AE654" s="87"/>
      <c r="AF654" s="87"/>
      <c r="AG654" s="87"/>
      <c r="AH654" s="87"/>
      <c r="AI654" s="87"/>
    </row>
    <row r="655" ht="15.75" customHeight="1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  <c r="AA655" s="87"/>
      <c r="AB655" s="87"/>
      <c r="AC655" s="87"/>
      <c r="AD655" s="87"/>
      <c r="AE655" s="87"/>
      <c r="AF655" s="87"/>
      <c r="AG655" s="87"/>
      <c r="AH655" s="87"/>
      <c r="AI655" s="87"/>
    </row>
    <row r="656" ht="15.75" customHeight="1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  <c r="AA656" s="87"/>
      <c r="AB656" s="87"/>
      <c r="AC656" s="87"/>
      <c r="AD656" s="87"/>
      <c r="AE656" s="87"/>
      <c r="AF656" s="87"/>
      <c r="AG656" s="87"/>
      <c r="AH656" s="87"/>
      <c r="AI656" s="87"/>
    </row>
    <row r="657" ht="15.75" customHeight="1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  <c r="AA657" s="87"/>
      <c r="AB657" s="87"/>
      <c r="AC657" s="87"/>
      <c r="AD657" s="87"/>
      <c r="AE657" s="87"/>
      <c r="AF657" s="87"/>
      <c r="AG657" s="87"/>
      <c r="AH657" s="87"/>
      <c r="AI657" s="87"/>
    </row>
    <row r="658" ht="15.75" customHeight="1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  <c r="AA658" s="87"/>
      <c r="AB658" s="87"/>
      <c r="AC658" s="87"/>
      <c r="AD658" s="87"/>
      <c r="AE658" s="87"/>
      <c r="AF658" s="87"/>
      <c r="AG658" s="87"/>
      <c r="AH658" s="87"/>
      <c r="AI658" s="87"/>
    </row>
    <row r="659" ht="15.75" customHeight="1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  <c r="AA659" s="87"/>
      <c r="AB659" s="87"/>
      <c r="AC659" s="87"/>
      <c r="AD659" s="87"/>
      <c r="AE659" s="87"/>
      <c r="AF659" s="87"/>
      <c r="AG659" s="87"/>
      <c r="AH659" s="87"/>
      <c r="AI659" s="87"/>
    </row>
    <row r="660" ht="15.75" customHeight="1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  <c r="AA660" s="87"/>
      <c r="AB660" s="87"/>
      <c r="AC660" s="87"/>
      <c r="AD660" s="87"/>
      <c r="AE660" s="87"/>
      <c r="AF660" s="87"/>
      <c r="AG660" s="87"/>
      <c r="AH660" s="87"/>
      <c r="AI660" s="87"/>
    </row>
    <row r="661" ht="15.75" customHeight="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  <c r="AA661" s="87"/>
      <c r="AB661" s="87"/>
      <c r="AC661" s="87"/>
      <c r="AD661" s="87"/>
      <c r="AE661" s="87"/>
      <c r="AF661" s="87"/>
      <c r="AG661" s="87"/>
      <c r="AH661" s="87"/>
      <c r="AI661" s="87"/>
    </row>
    <row r="662" ht="15.75" customHeight="1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  <c r="AA662" s="87"/>
      <c r="AB662" s="87"/>
      <c r="AC662" s="87"/>
      <c r="AD662" s="87"/>
      <c r="AE662" s="87"/>
      <c r="AF662" s="87"/>
      <c r="AG662" s="87"/>
      <c r="AH662" s="87"/>
      <c r="AI662" s="87"/>
    </row>
    <row r="663" ht="15.75" customHeight="1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  <c r="AA663" s="87"/>
      <c r="AB663" s="87"/>
      <c r="AC663" s="87"/>
      <c r="AD663" s="87"/>
      <c r="AE663" s="87"/>
      <c r="AF663" s="87"/>
      <c r="AG663" s="87"/>
      <c r="AH663" s="87"/>
      <c r="AI663" s="87"/>
    </row>
    <row r="664" ht="15.75" customHeight="1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  <c r="AA664" s="87"/>
      <c r="AB664" s="87"/>
      <c r="AC664" s="87"/>
      <c r="AD664" s="87"/>
      <c r="AE664" s="87"/>
      <c r="AF664" s="87"/>
      <c r="AG664" s="87"/>
      <c r="AH664" s="87"/>
      <c r="AI664" s="87"/>
    </row>
    <row r="665" ht="15.75" customHeight="1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  <c r="AA665" s="87"/>
      <c r="AB665" s="87"/>
      <c r="AC665" s="87"/>
      <c r="AD665" s="87"/>
      <c r="AE665" s="87"/>
      <c r="AF665" s="87"/>
      <c r="AG665" s="87"/>
      <c r="AH665" s="87"/>
      <c r="AI665" s="87"/>
    </row>
    <row r="666" ht="15.75" customHeight="1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  <c r="AA666" s="87"/>
      <c r="AB666" s="87"/>
      <c r="AC666" s="87"/>
      <c r="AD666" s="87"/>
      <c r="AE666" s="87"/>
      <c r="AF666" s="87"/>
      <c r="AG666" s="87"/>
      <c r="AH666" s="87"/>
      <c r="AI666" s="87"/>
    </row>
    <row r="667" ht="15.75" customHeight="1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  <c r="AA667" s="87"/>
      <c r="AB667" s="87"/>
      <c r="AC667" s="87"/>
      <c r="AD667" s="87"/>
      <c r="AE667" s="87"/>
      <c r="AF667" s="87"/>
      <c r="AG667" s="87"/>
      <c r="AH667" s="87"/>
      <c r="AI667" s="87"/>
    </row>
    <row r="668" ht="15.75" customHeight="1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  <c r="AA668" s="87"/>
      <c r="AB668" s="87"/>
      <c r="AC668" s="87"/>
      <c r="AD668" s="87"/>
      <c r="AE668" s="87"/>
      <c r="AF668" s="87"/>
      <c r="AG668" s="87"/>
      <c r="AH668" s="87"/>
      <c r="AI668" s="87"/>
    </row>
    <row r="669" ht="15.75" customHeight="1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  <c r="AA669" s="87"/>
      <c r="AB669" s="87"/>
      <c r="AC669" s="87"/>
      <c r="AD669" s="87"/>
      <c r="AE669" s="87"/>
      <c r="AF669" s="87"/>
      <c r="AG669" s="87"/>
      <c r="AH669" s="87"/>
      <c r="AI669" s="87"/>
    </row>
    <row r="670" ht="15.75" customHeight="1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  <c r="AA670" s="87"/>
      <c r="AB670" s="87"/>
      <c r="AC670" s="87"/>
      <c r="AD670" s="87"/>
      <c r="AE670" s="87"/>
      <c r="AF670" s="87"/>
      <c r="AG670" s="87"/>
      <c r="AH670" s="87"/>
      <c r="AI670" s="87"/>
    </row>
    <row r="671" ht="15.75" customHeight="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  <c r="AA671" s="87"/>
      <c r="AB671" s="87"/>
      <c r="AC671" s="87"/>
      <c r="AD671" s="87"/>
      <c r="AE671" s="87"/>
      <c r="AF671" s="87"/>
      <c r="AG671" s="87"/>
      <c r="AH671" s="87"/>
      <c r="AI671" s="87"/>
    </row>
    <row r="672" ht="15.75" customHeight="1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  <c r="AA672" s="87"/>
      <c r="AB672" s="87"/>
      <c r="AC672" s="87"/>
      <c r="AD672" s="87"/>
      <c r="AE672" s="87"/>
      <c r="AF672" s="87"/>
      <c r="AG672" s="87"/>
      <c r="AH672" s="87"/>
      <c r="AI672" s="87"/>
    </row>
    <row r="673" ht="15.75" customHeight="1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  <c r="AA673" s="87"/>
      <c r="AB673" s="87"/>
      <c r="AC673" s="87"/>
      <c r="AD673" s="87"/>
      <c r="AE673" s="87"/>
      <c r="AF673" s="87"/>
      <c r="AG673" s="87"/>
      <c r="AH673" s="87"/>
      <c r="AI673" s="87"/>
    </row>
    <row r="674" ht="15.75" customHeight="1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  <c r="AA674" s="87"/>
      <c r="AB674" s="87"/>
      <c r="AC674" s="87"/>
      <c r="AD674" s="87"/>
      <c r="AE674" s="87"/>
      <c r="AF674" s="87"/>
      <c r="AG674" s="87"/>
      <c r="AH674" s="87"/>
      <c r="AI674" s="87"/>
    </row>
    <row r="675" ht="15.75" customHeight="1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  <c r="AA675" s="87"/>
      <c r="AB675" s="87"/>
      <c r="AC675" s="87"/>
      <c r="AD675" s="87"/>
      <c r="AE675" s="87"/>
      <c r="AF675" s="87"/>
      <c r="AG675" s="87"/>
      <c r="AH675" s="87"/>
      <c r="AI675" s="87"/>
    </row>
    <row r="676" ht="15.75" customHeight="1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  <c r="AA676" s="87"/>
      <c r="AB676" s="87"/>
      <c r="AC676" s="87"/>
      <c r="AD676" s="87"/>
      <c r="AE676" s="87"/>
      <c r="AF676" s="87"/>
      <c r="AG676" s="87"/>
      <c r="AH676" s="87"/>
      <c r="AI676" s="87"/>
    </row>
    <row r="677" ht="15.75" customHeight="1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  <c r="AA677" s="87"/>
      <c r="AB677" s="87"/>
      <c r="AC677" s="87"/>
      <c r="AD677" s="87"/>
      <c r="AE677" s="87"/>
      <c r="AF677" s="87"/>
      <c r="AG677" s="87"/>
      <c r="AH677" s="87"/>
      <c r="AI677" s="87"/>
    </row>
    <row r="678" ht="15.75" customHeight="1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  <c r="AA678" s="87"/>
      <c r="AB678" s="87"/>
      <c r="AC678" s="87"/>
      <c r="AD678" s="87"/>
      <c r="AE678" s="87"/>
      <c r="AF678" s="87"/>
      <c r="AG678" s="87"/>
      <c r="AH678" s="87"/>
      <c r="AI678" s="87"/>
    </row>
    <row r="679" ht="15.75" customHeight="1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  <c r="AA679" s="87"/>
      <c r="AB679" s="87"/>
      <c r="AC679" s="87"/>
      <c r="AD679" s="87"/>
      <c r="AE679" s="87"/>
      <c r="AF679" s="87"/>
      <c r="AG679" s="87"/>
      <c r="AH679" s="87"/>
      <c r="AI679" s="87"/>
    </row>
    <row r="680" ht="15.75" customHeight="1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  <c r="AA680" s="87"/>
      <c r="AB680" s="87"/>
      <c r="AC680" s="87"/>
      <c r="AD680" s="87"/>
      <c r="AE680" s="87"/>
      <c r="AF680" s="87"/>
      <c r="AG680" s="87"/>
      <c r="AH680" s="87"/>
      <c r="AI680" s="87"/>
    </row>
    <row r="681" ht="15.75" customHeight="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  <c r="AA681" s="87"/>
      <c r="AB681" s="87"/>
      <c r="AC681" s="87"/>
      <c r="AD681" s="87"/>
      <c r="AE681" s="87"/>
      <c r="AF681" s="87"/>
      <c r="AG681" s="87"/>
      <c r="AH681" s="87"/>
      <c r="AI681" s="87"/>
    </row>
    <row r="682" ht="15.75" customHeight="1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  <c r="AA682" s="87"/>
      <c r="AB682" s="87"/>
      <c r="AC682" s="87"/>
      <c r="AD682" s="87"/>
      <c r="AE682" s="87"/>
      <c r="AF682" s="87"/>
      <c r="AG682" s="87"/>
      <c r="AH682" s="87"/>
      <c r="AI682" s="87"/>
    </row>
    <row r="683" ht="15.75" customHeight="1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  <c r="AA683" s="87"/>
      <c r="AB683" s="87"/>
      <c r="AC683" s="87"/>
      <c r="AD683" s="87"/>
      <c r="AE683" s="87"/>
      <c r="AF683" s="87"/>
      <c r="AG683" s="87"/>
      <c r="AH683" s="87"/>
      <c r="AI683" s="87"/>
    </row>
    <row r="684" ht="15.75" customHeight="1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  <c r="AA684" s="87"/>
      <c r="AB684" s="87"/>
      <c r="AC684" s="87"/>
      <c r="AD684" s="87"/>
      <c r="AE684" s="87"/>
      <c r="AF684" s="87"/>
      <c r="AG684" s="87"/>
      <c r="AH684" s="87"/>
      <c r="AI684" s="87"/>
    </row>
    <row r="685" ht="15.75" customHeight="1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  <c r="AA685" s="87"/>
      <c r="AB685" s="87"/>
      <c r="AC685" s="87"/>
      <c r="AD685" s="87"/>
      <c r="AE685" s="87"/>
      <c r="AF685" s="87"/>
      <c r="AG685" s="87"/>
      <c r="AH685" s="87"/>
      <c r="AI685" s="87"/>
    </row>
    <row r="686" ht="15.75" customHeight="1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  <c r="AA686" s="87"/>
      <c r="AB686" s="87"/>
      <c r="AC686" s="87"/>
      <c r="AD686" s="87"/>
      <c r="AE686" s="87"/>
      <c r="AF686" s="87"/>
      <c r="AG686" s="87"/>
      <c r="AH686" s="87"/>
      <c r="AI686" s="87"/>
    </row>
    <row r="687" ht="15.75" customHeight="1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  <c r="AA687" s="87"/>
      <c r="AB687" s="87"/>
      <c r="AC687" s="87"/>
      <c r="AD687" s="87"/>
      <c r="AE687" s="87"/>
      <c r="AF687" s="87"/>
      <c r="AG687" s="87"/>
      <c r="AH687" s="87"/>
      <c r="AI687" s="87"/>
    </row>
    <row r="688" ht="15.75" customHeight="1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  <c r="AA688" s="87"/>
      <c r="AB688" s="87"/>
      <c r="AC688" s="87"/>
      <c r="AD688" s="87"/>
      <c r="AE688" s="87"/>
      <c r="AF688" s="87"/>
      <c r="AG688" s="87"/>
      <c r="AH688" s="87"/>
      <c r="AI688" s="87"/>
    </row>
    <row r="689" ht="15.75" customHeight="1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  <c r="AA689" s="87"/>
      <c r="AB689" s="87"/>
      <c r="AC689" s="87"/>
      <c r="AD689" s="87"/>
      <c r="AE689" s="87"/>
      <c r="AF689" s="87"/>
      <c r="AG689" s="87"/>
      <c r="AH689" s="87"/>
      <c r="AI689" s="87"/>
    </row>
    <row r="690" ht="15.75" customHeight="1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  <c r="AA690" s="87"/>
      <c r="AB690" s="87"/>
      <c r="AC690" s="87"/>
      <c r="AD690" s="87"/>
      <c r="AE690" s="87"/>
      <c r="AF690" s="87"/>
      <c r="AG690" s="87"/>
      <c r="AH690" s="87"/>
      <c r="AI690" s="87"/>
    </row>
    <row r="691" ht="15.75" customHeight="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  <c r="AA691" s="87"/>
      <c r="AB691" s="87"/>
      <c r="AC691" s="87"/>
      <c r="AD691" s="87"/>
      <c r="AE691" s="87"/>
      <c r="AF691" s="87"/>
      <c r="AG691" s="87"/>
      <c r="AH691" s="87"/>
      <c r="AI691" s="87"/>
    </row>
    <row r="692" ht="15.75" customHeight="1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  <c r="AA692" s="87"/>
      <c r="AB692" s="87"/>
      <c r="AC692" s="87"/>
      <c r="AD692" s="87"/>
      <c r="AE692" s="87"/>
      <c r="AF692" s="87"/>
      <c r="AG692" s="87"/>
      <c r="AH692" s="87"/>
      <c r="AI692" s="87"/>
    </row>
    <row r="693" ht="15.75" customHeight="1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  <c r="AA693" s="87"/>
      <c r="AB693" s="87"/>
      <c r="AC693" s="87"/>
      <c r="AD693" s="87"/>
      <c r="AE693" s="87"/>
      <c r="AF693" s="87"/>
      <c r="AG693" s="87"/>
      <c r="AH693" s="87"/>
      <c r="AI693" s="87"/>
    </row>
    <row r="694" ht="15.75" customHeight="1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  <c r="AA694" s="87"/>
      <c r="AB694" s="87"/>
      <c r="AC694" s="87"/>
      <c r="AD694" s="87"/>
      <c r="AE694" s="87"/>
      <c r="AF694" s="87"/>
      <c r="AG694" s="87"/>
      <c r="AH694" s="87"/>
      <c r="AI694" s="87"/>
    </row>
    <row r="695" ht="15.75" customHeight="1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  <c r="AA695" s="87"/>
      <c r="AB695" s="87"/>
      <c r="AC695" s="87"/>
      <c r="AD695" s="87"/>
      <c r="AE695" s="87"/>
      <c r="AF695" s="87"/>
      <c r="AG695" s="87"/>
      <c r="AH695" s="87"/>
      <c r="AI695" s="87"/>
    </row>
    <row r="696" ht="15.75" customHeight="1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  <c r="AA696" s="87"/>
      <c r="AB696" s="87"/>
      <c r="AC696" s="87"/>
      <c r="AD696" s="87"/>
      <c r="AE696" s="87"/>
      <c r="AF696" s="87"/>
      <c r="AG696" s="87"/>
      <c r="AH696" s="87"/>
      <c r="AI696" s="87"/>
    </row>
    <row r="697" ht="15.75" customHeight="1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  <c r="AA697" s="87"/>
      <c r="AB697" s="87"/>
      <c r="AC697" s="87"/>
      <c r="AD697" s="87"/>
      <c r="AE697" s="87"/>
      <c r="AF697" s="87"/>
      <c r="AG697" s="87"/>
      <c r="AH697" s="87"/>
      <c r="AI697" s="87"/>
    </row>
    <row r="698" ht="15.75" customHeight="1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  <c r="AA698" s="87"/>
      <c r="AB698" s="87"/>
      <c r="AC698" s="87"/>
      <c r="AD698" s="87"/>
      <c r="AE698" s="87"/>
      <c r="AF698" s="87"/>
      <c r="AG698" s="87"/>
      <c r="AH698" s="87"/>
      <c r="AI698" s="87"/>
    </row>
    <row r="699" ht="15.75" customHeight="1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  <c r="AA699" s="87"/>
      <c r="AB699" s="87"/>
      <c r="AC699" s="87"/>
      <c r="AD699" s="87"/>
      <c r="AE699" s="87"/>
      <c r="AF699" s="87"/>
      <c r="AG699" s="87"/>
      <c r="AH699" s="87"/>
      <c r="AI699" s="87"/>
    </row>
    <row r="700" ht="15.75" customHeight="1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  <c r="AA700" s="87"/>
      <c r="AB700" s="87"/>
      <c r="AC700" s="87"/>
      <c r="AD700" s="87"/>
      <c r="AE700" s="87"/>
      <c r="AF700" s="87"/>
      <c r="AG700" s="87"/>
      <c r="AH700" s="87"/>
      <c r="AI700" s="87"/>
    </row>
    <row r="701" ht="15.75" customHeight="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  <c r="AA701" s="87"/>
      <c r="AB701" s="87"/>
      <c r="AC701" s="87"/>
      <c r="AD701" s="87"/>
      <c r="AE701" s="87"/>
      <c r="AF701" s="87"/>
      <c r="AG701" s="87"/>
      <c r="AH701" s="87"/>
      <c r="AI701" s="87"/>
    </row>
    <row r="702" ht="15.75" customHeight="1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  <c r="AA702" s="87"/>
      <c r="AB702" s="87"/>
      <c r="AC702" s="87"/>
      <c r="AD702" s="87"/>
      <c r="AE702" s="87"/>
      <c r="AF702" s="87"/>
      <c r="AG702" s="87"/>
      <c r="AH702" s="87"/>
      <c r="AI702" s="87"/>
    </row>
    <row r="703" ht="15.75" customHeight="1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  <c r="AA703" s="87"/>
      <c r="AB703" s="87"/>
      <c r="AC703" s="87"/>
      <c r="AD703" s="87"/>
      <c r="AE703" s="87"/>
      <c r="AF703" s="87"/>
      <c r="AG703" s="87"/>
      <c r="AH703" s="87"/>
      <c r="AI703" s="87"/>
    </row>
    <row r="704" ht="15.75" customHeight="1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  <c r="AA704" s="87"/>
      <c r="AB704" s="87"/>
      <c r="AC704" s="87"/>
      <c r="AD704" s="87"/>
      <c r="AE704" s="87"/>
      <c r="AF704" s="87"/>
      <c r="AG704" s="87"/>
      <c r="AH704" s="87"/>
      <c r="AI704" s="87"/>
    </row>
    <row r="705" ht="15.75" customHeight="1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  <c r="AA705" s="87"/>
      <c r="AB705" s="87"/>
      <c r="AC705" s="87"/>
      <c r="AD705" s="87"/>
      <c r="AE705" s="87"/>
      <c r="AF705" s="87"/>
      <c r="AG705" s="87"/>
      <c r="AH705" s="87"/>
      <c r="AI705" s="87"/>
    </row>
    <row r="706" ht="15.75" customHeight="1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  <c r="AA706" s="87"/>
      <c r="AB706" s="87"/>
      <c r="AC706" s="87"/>
      <c r="AD706" s="87"/>
      <c r="AE706" s="87"/>
      <c r="AF706" s="87"/>
      <c r="AG706" s="87"/>
      <c r="AH706" s="87"/>
      <c r="AI706" s="87"/>
    </row>
    <row r="707" ht="15.75" customHeight="1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  <c r="AA707" s="87"/>
      <c r="AB707" s="87"/>
      <c r="AC707" s="87"/>
      <c r="AD707" s="87"/>
      <c r="AE707" s="87"/>
      <c r="AF707" s="87"/>
      <c r="AG707" s="87"/>
      <c r="AH707" s="87"/>
      <c r="AI707" s="87"/>
    </row>
    <row r="708" ht="15.75" customHeight="1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  <c r="AA708" s="87"/>
      <c r="AB708" s="87"/>
      <c r="AC708" s="87"/>
      <c r="AD708" s="87"/>
      <c r="AE708" s="87"/>
      <c r="AF708" s="87"/>
      <c r="AG708" s="87"/>
      <c r="AH708" s="87"/>
      <c r="AI708" s="87"/>
    </row>
    <row r="709" ht="15.75" customHeight="1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  <c r="AA709" s="87"/>
      <c r="AB709" s="87"/>
      <c r="AC709" s="87"/>
      <c r="AD709" s="87"/>
      <c r="AE709" s="87"/>
      <c r="AF709" s="87"/>
      <c r="AG709" s="87"/>
      <c r="AH709" s="87"/>
      <c r="AI709" s="87"/>
    </row>
    <row r="710" ht="15.75" customHeight="1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  <c r="AA710" s="87"/>
      <c r="AB710" s="87"/>
      <c r="AC710" s="87"/>
      <c r="AD710" s="87"/>
      <c r="AE710" s="87"/>
      <c r="AF710" s="87"/>
      <c r="AG710" s="87"/>
      <c r="AH710" s="87"/>
      <c r="AI710" s="87"/>
    </row>
    <row r="711" ht="15.75" customHeight="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  <c r="AA711" s="87"/>
      <c r="AB711" s="87"/>
      <c r="AC711" s="87"/>
      <c r="AD711" s="87"/>
      <c r="AE711" s="87"/>
      <c r="AF711" s="87"/>
      <c r="AG711" s="87"/>
      <c r="AH711" s="87"/>
      <c r="AI711" s="87"/>
    </row>
    <row r="712" ht="15.75" customHeight="1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  <c r="AA712" s="87"/>
      <c r="AB712" s="87"/>
      <c r="AC712" s="87"/>
      <c r="AD712" s="87"/>
      <c r="AE712" s="87"/>
      <c r="AF712" s="87"/>
      <c r="AG712" s="87"/>
      <c r="AH712" s="87"/>
      <c r="AI712" s="87"/>
    </row>
    <row r="713" ht="15.75" customHeight="1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  <c r="AA713" s="87"/>
      <c r="AB713" s="87"/>
      <c r="AC713" s="87"/>
      <c r="AD713" s="87"/>
      <c r="AE713" s="87"/>
      <c r="AF713" s="87"/>
      <c r="AG713" s="87"/>
      <c r="AH713" s="87"/>
      <c r="AI713" s="87"/>
    </row>
    <row r="714" ht="15.75" customHeight="1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  <c r="AA714" s="87"/>
      <c r="AB714" s="87"/>
      <c r="AC714" s="87"/>
      <c r="AD714" s="87"/>
      <c r="AE714" s="87"/>
      <c r="AF714" s="87"/>
      <c r="AG714" s="87"/>
      <c r="AH714" s="87"/>
      <c r="AI714" s="87"/>
    </row>
    <row r="715" ht="15.75" customHeight="1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  <c r="AA715" s="87"/>
      <c r="AB715" s="87"/>
      <c r="AC715" s="87"/>
      <c r="AD715" s="87"/>
      <c r="AE715" s="87"/>
      <c r="AF715" s="87"/>
      <c r="AG715" s="87"/>
      <c r="AH715" s="87"/>
      <c r="AI715" s="87"/>
    </row>
    <row r="716" ht="15.75" customHeight="1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  <c r="AA716" s="87"/>
      <c r="AB716" s="87"/>
      <c r="AC716" s="87"/>
      <c r="AD716" s="87"/>
      <c r="AE716" s="87"/>
      <c r="AF716" s="87"/>
      <c r="AG716" s="87"/>
      <c r="AH716" s="87"/>
      <c r="AI716" s="87"/>
    </row>
    <row r="717" ht="15.75" customHeight="1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  <c r="AA717" s="87"/>
      <c r="AB717" s="87"/>
      <c r="AC717" s="87"/>
      <c r="AD717" s="87"/>
      <c r="AE717" s="87"/>
      <c r="AF717" s="87"/>
      <c r="AG717" s="87"/>
      <c r="AH717" s="87"/>
      <c r="AI717" s="87"/>
    </row>
    <row r="718" ht="15.75" customHeight="1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  <c r="AA718" s="87"/>
      <c r="AB718" s="87"/>
      <c r="AC718" s="87"/>
      <c r="AD718" s="87"/>
      <c r="AE718" s="87"/>
      <c r="AF718" s="87"/>
      <c r="AG718" s="87"/>
      <c r="AH718" s="87"/>
      <c r="AI718" s="87"/>
    </row>
    <row r="719" ht="15.75" customHeight="1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  <c r="AA719" s="87"/>
      <c r="AB719" s="87"/>
      <c r="AC719" s="87"/>
      <c r="AD719" s="87"/>
      <c r="AE719" s="87"/>
      <c r="AF719" s="87"/>
      <c r="AG719" s="87"/>
      <c r="AH719" s="87"/>
      <c r="AI719" s="87"/>
    </row>
    <row r="720" ht="15.75" customHeight="1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  <c r="AA720" s="87"/>
      <c r="AB720" s="87"/>
      <c r="AC720" s="87"/>
      <c r="AD720" s="87"/>
      <c r="AE720" s="87"/>
      <c r="AF720" s="87"/>
      <c r="AG720" s="87"/>
      <c r="AH720" s="87"/>
      <c r="AI720" s="87"/>
    </row>
    <row r="721" ht="15.75" customHeight="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  <c r="AA721" s="87"/>
      <c r="AB721" s="87"/>
      <c r="AC721" s="87"/>
      <c r="AD721" s="87"/>
      <c r="AE721" s="87"/>
      <c r="AF721" s="87"/>
      <c r="AG721" s="87"/>
      <c r="AH721" s="87"/>
      <c r="AI721" s="87"/>
    </row>
    <row r="722" ht="15.75" customHeight="1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  <c r="AA722" s="87"/>
      <c r="AB722" s="87"/>
      <c r="AC722" s="87"/>
      <c r="AD722" s="87"/>
      <c r="AE722" s="87"/>
      <c r="AF722" s="87"/>
      <c r="AG722" s="87"/>
      <c r="AH722" s="87"/>
      <c r="AI722" s="87"/>
    </row>
    <row r="723" ht="15.75" customHeight="1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  <c r="AA723" s="87"/>
      <c r="AB723" s="87"/>
      <c r="AC723" s="87"/>
      <c r="AD723" s="87"/>
      <c r="AE723" s="87"/>
      <c r="AF723" s="87"/>
      <c r="AG723" s="87"/>
      <c r="AH723" s="87"/>
      <c r="AI723" s="87"/>
    </row>
    <row r="724" ht="15.75" customHeight="1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  <c r="AA724" s="87"/>
      <c r="AB724" s="87"/>
      <c r="AC724" s="87"/>
      <c r="AD724" s="87"/>
      <c r="AE724" s="87"/>
      <c r="AF724" s="87"/>
      <c r="AG724" s="87"/>
      <c r="AH724" s="87"/>
      <c r="AI724" s="87"/>
    </row>
    <row r="725" ht="15.75" customHeight="1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  <c r="AA725" s="87"/>
      <c r="AB725" s="87"/>
      <c r="AC725" s="87"/>
      <c r="AD725" s="87"/>
      <c r="AE725" s="87"/>
      <c r="AF725" s="87"/>
      <c r="AG725" s="87"/>
      <c r="AH725" s="87"/>
      <c r="AI725" s="87"/>
    </row>
    <row r="726" ht="15.75" customHeight="1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  <c r="AA726" s="87"/>
      <c r="AB726" s="87"/>
      <c r="AC726" s="87"/>
      <c r="AD726" s="87"/>
      <c r="AE726" s="87"/>
      <c r="AF726" s="87"/>
      <c r="AG726" s="87"/>
      <c r="AH726" s="87"/>
      <c r="AI726" s="87"/>
    </row>
    <row r="727" ht="15.75" customHeight="1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  <c r="AA727" s="87"/>
      <c r="AB727" s="87"/>
      <c r="AC727" s="87"/>
      <c r="AD727" s="87"/>
      <c r="AE727" s="87"/>
      <c r="AF727" s="87"/>
      <c r="AG727" s="87"/>
      <c r="AH727" s="87"/>
      <c r="AI727" s="87"/>
    </row>
    <row r="728" ht="15.75" customHeight="1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  <c r="AA728" s="87"/>
      <c r="AB728" s="87"/>
      <c r="AC728" s="87"/>
      <c r="AD728" s="87"/>
      <c r="AE728" s="87"/>
      <c r="AF728" s="87"/>
      <c r="AG728" s="87"/>
      <c r="AH728" s="87"/>
      <c r="AI728" s="87"/>
    </row>
    <row r="729" ht="15.75" customHeight="1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  <c r="AA729" s="87"/>
      <c r="AB729" s="87"/>
      <c r="AC729" s="87"/>
      <c r="AD729" s="87"/>
      <c r="AE729" s="87"/>
      <c r="AF729" s="87"/>
      <c r="AG729" s="87"/>
      <c r="AH729" s="87"/>
      <c r="AI729" s="87"/>
    </row>
    <row r="730" ht="15.75" customHeight="1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  <c r="AA730" s="87"/>
      <c r="AB730" s="87"/>
      <c r="AC730" s="87"/>
      <c r="AD730" s="87"/>
      <c r="AE730" s="87"/>
      <c r="AF730" s="87"/>
      <c r="AG730" s="87"/>
      <c r="AH730" s="87"/>
      <c r="AI730" s="87"/>
    </row>
    <row r="731" ht="15.75" customHeight="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  <c r="AA731" s="87"/>
      <c r="AB731" s="87"/>
      <c r="AC731" s="87"/>
      <c r="AD731" s="87"/>
      <c r="AE731" s="87"/>
      <c r="AF731" s="87"/>
      <c r="AG731" s="87"/>
      <c r="AH731" s="87"/>
      <c r="AI731" s="87"/>
    </row>
    <row r="732" ht="15.75" customHeight="1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  <c r="AA732" s="87"/>
      <c r="AB732" s="87"/>
      <c r="AC732" s="87"/>
      <c r="AD732" s="87"/>
      <c r="AE732" s="87"/>
      <c r="AF732" s="87"/>
      <c r="AG732" s="87"/>
      <c r="AH732" s="87"/>
      <c r="AI732" s="87"/>
    </row>
    <row r="733" ht="15.75" customHeight="1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  <c r="AA733" s="87"/>
      <c r="AB733" s="87"/>
      <c r="AC733" s="87"/>
      <c r="AD733" s="87"/>
      <c r="AE733" s="87"/>
      <c r="AF733" s="87"/>
      <c r="AG733" s="87"/>
      <c r="AH733" s="87"/>
      <c r="AI733" s="87"/>
    </row>
    <row r="734" ht="15.75" customHeight="1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  <c r="AA734" s="87"/>
      <c r="AB734" s="87"/>
      <c r="AC734" s="87"/>
      <c r="AD734" s="87"/>
      <c r="AE734" s="87"/>
      <c r="AF734" s="87"/>
      <c r="AG734" s="87"/>
      <c r="AH734" s="87"/>
      <c r="AI734" s="87"/>
    </row>
    <row r="735" ht="15.75" customHeight="1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  <c r="AA735" s="87"/>
      <c r="AB735" s="87"/>
      <c r="AC735" s="87"/>
      <c r="AD735" s="87"/>
      <c r="AE735" s="87"/>
      <c r="AF735" s="87"/>
      <c r="AG735" s="87"/>
      <c r="AH735" s="87"/>
      <c r="AI735" s="87"/>
    </row>
    <row r="736" ht="15.75" customHeight="1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  <c r="AA736" s="87"/>
      <c r="AB736" s="87"/>
      <c r="AC736" s="87"/>
      <c r="AD736" s="87"/>
      <c r="AE736" s="87"/>
      <c r="AF736" s="87"/>
      <c r="AG736" s="87"/>
      <c r="AH736" s="87"/>
      <c r="AI736" s="87"/>
    </row>
    <row r="737" ht="15.75" customHeight="1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  <c r="AA737" s="87"/>
      <c r="AB737" s="87"/>
      <c r="AC737" s="87"/>
      <c r="AD737" s="87"/>
      <c r="AE737" s="87"/>
      <c r="AF737" s="87"/>
      <c r="AG737" s="87"/>
      <c r="AH737" s="87"/>
      <c r="AI737" s="87"/>
    </row>
    <row r="738" ht="15.75" customHeight="1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  <c r="AA738" s="87"/>
      <c r="AB738" s="87"/>
      <c r="AC738" s="87"/>
      <c r="AD738" s="87"/>
      <c r="AE738" s="87"/>
      <c r="AF738" s="87"/>
      <c r="AG738" s="87"/>
      <c r="AH738" s="87"/>
      <c r="AI738" s="87"/>
    </row>
    <row r="739" ht="15.75" customHeight="1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  <c r="AA739" s="87"/>
      <c r="AB739" s="87"/>
      <c r="AC739" s="87"/>
      <c r="AD739" s="87"/>
      <c r="AE739" s="87"/>
      <c r="AF739" s="87"/>
      <c r="AG739" s="87"/>
      <c r="AH739" s="87"/>
      <c r="AI739" s="87"/>
    </row>
    <row r="740" ht="15.75" customHeight="1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  <c r="AA740" s="87"/>
      <c r="AB740" s="87"/>
      <c r="AC740" s="87"/>
      <c r="AD740" s="87"/>
      <c r="AE740" s="87"/>
      <c r="AF740" s="87"/>
      <c r="AG740" s="87"/>
      <c r="AH740" s="87"/>
      <c r="AI740" s="87"/>
    </row>
    <row r="741" ht="15.75" customHeight="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  <c r="AA741" s="87"/>
      <c r="AB741" s="87"/>
      <c r="AC741" s="87"/>
      <c r="AD741" s="87"/>
      <c r="AE741" s="87"/>
      <c r="AF741" s="87"/>
      <c r="AG741" s="87"/>
      <c r="AH741" s="87"/>
      <c r="AI741" s="87"/>
    </row>
    <row r="742" ht="15.75" customHeight="1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  <c r="AA742" s="87"/>
      <c r="AB742" s="87"/>
      <c r="AC742" s="87"/>
      <c r="AD742" s="87"/>
      <c r="AE742" s="87"/>
      <c r="AF742" s="87"/>
      <c r="AG742" s="87"/>
      <c r="AH742" s="87"/>
      <c r="AI742" s="87"/>
    </row>
    <row r="743" ht="15.75" customHeight="1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  <c r="AA743" s="87"/>
      <c r="AB743" s="87"/>
      <c r="AC743" s="87"/>
      <c r="AD743" s="87"/>
      <c r="AE743" s="87"/>
      <c r="AF743" s="87"/>
      <c r="AG743" s="87"/>
      <c r="AH743" s="87"/>
      <c r="AI743" s="87"/>
    </row>
    <row r="744" ht="15.75" customHeight="1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  <c r="AA744" s="87"/>
      <c r="AB744" s="87"/>
      <c r="AC744" s="87"/>
      <c r="AD744" s="87"/>
      <c r="AE744" s="87"/>
      <c r="AF744" s="87"/>
      <c r="AG744" s="87"/>
      <c r="AH744" s="87"/>
      <c r="AI744" s="87"/>
    </row>
    <row r="745" ht="15.75" customHeight="1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  <c r="AA745" s="87"/>
      <c r="AB745" s="87"/>
      <c r="AC745" s="87"/>
      <c r="AD745" s="87"/>
      <c r="AE745" s="87"/>
      <c r="AF745" s="87"/>
      <c r="AG745" s="87"/>
      <c r="AH745" s="87"/>
      <c r="AI745" s="87"/>
    </row>
    <row r="746" ht="15.75" customHeight="1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  <c r="AA746" s="87"/>
      <c r="AB746" s="87"/>
      <c r="AC746" s="87"/>
      <c r="AD746" s="87"/>
      <c r="AE746" s="87"/>
      <c r="AF746" s="87"/>
      <c r="AG746" s="87"/>
      <c r="AH746" s="87"/>
      <c r="AI746" s="87"/>
    </row>
    <row r="747" ht="15.75" customHeight="1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  <c r="AA747" s="87"/>
      <c r="AB747" s="87"/>
      <c r="AC747" s="87"/>
      <c r="AD747" s="87"/>
      <c r="AE747" s="87"/>
      <c r="AF747" s="87"/>
      <c r="AG747" s="87"/>
      <c r="AH747" s="87"/>
      <c r="AI747" s="87"/>
    </row>
    <row r="748" ht="15.75" customHeight="1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  <c r="AA748" s="87"/>
      <c r="AB748" s="87"/>
      <c r="AC748" s="87"/>
      <c r="AD748" s="87"/>
      <c r="AE748" s="87"/>
      <c r="AF748" s="87"/>
      <c r="AG748" s="87"/>
      <c r="AH748" s="87"/>
      <c r="AI748" s="87"/>
    </row>
    <row r="749" ht="15.75" customHeight="1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  <c r="AA749" s="87"/>
      <c r="AB749" s="87"/>
      <c r="AC749" s="87"/>
      <c r="AD749" s="87"/>
      <c r="AE749" s="87"/>
      <c r="AF749" s="87"/>
      <c r="AG749" s="87"/>
      <c r="AH749" s="87"/>
      <c r="AI749" s="87"/>
    </row>
    <row r="750" ht="15.75" customHeight="1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  <c r="AA750" s="87"/>
      <c r="AB750" s="87"/>
      <c r="AC750" s="87"/>
      <c r="AD750" s="87"/>
      <c r="AE750" s="87"/>
      <c r="AF750" s="87"/>
      <c r="AG750" s="87"/>
      <c r="AH750" s="87"/>
      <c r="AI750" s="87"/>
    </row>
    <row r="751" ht="15.75" customHeight="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  <c r="AA751" s="87"/>
      <c r="AB751" s="87"/>
      <c r="AC751" s="87"/>
      <c r="AD751" s="87"/>
      <c r="AE751" s="87"/>
      <c r="AF751" s="87"/>
      <c r="AG751" s="87"/>
      <c r="AH751" s="87"/>
      <c r="AI751" s="87"/>
    </row>
    <row r="752" ht="15.75" customHeight="1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  <c r="AA752" s="87"/>
      <c r="AB752" s="87"/>
      <c r="AC752" s="87"/>
      <c r="AD752" s="87"/>
      <c r="AE752" s="87"/>
      <c r="AF752" s="87"/>
      <c r="AG752" s="87"/>
      <c r="AH752" s="87"/>
      <c r="AI752" s="87"/>
    </row>
    <row r="753" ht="15.75" customHeight="1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  <c r="AA753" s="87"/>
      <c r="AB753" s="87"/>
      <c r="AC753" s="87"/>
      <c r="AD753" s="87"/>
      <c r="AE753" s="87"/>
      <c r="AF753" s="87"/>
      <c r="AG753" s="87"/>
      <c r="AH753" s="87"/>
      <c r="AI753" s="87"/>
    </row>
    <row r="754" ht="15.75" customHeight="1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  <c r="AA754" s="87"/>
      <c r="AB754" s="87"/>
      <c r="AC754" s="87"/>
      <c r="AD754" s="87"/>
      <c r="AE754" s="87"/>
      <c r="AF754" s="87"/>
      <c r="AG754" s="87"/>
      <c r="AH754" s="87"/>
      <c r="AI754" s="87"/>
    </row>
    <row r="755" ht="15.75" customHeight="1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  <c r="AA755" s="87"/>
      <c r="AB755" s="87"/>
      <c r="AC755" s="87"/>
      <c r="AD755" s="87"/>
      <c r="AE755" s="87"/>
      <c r="AF755" s="87"/>
      <c r="AG755" s="87"/>
      <c r="AH755" s="87"/>
      <c r="AI755" s="87"/>
    </row>
    <row r="756" ht="15.75" customHeight="1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  <c r="AA756" s="87"/>
      <c r="AB756" s="87"/>
      <c r="AC756" s="87"/>
      <c r="AD756" s="87"/>
      <c r="AE756" s="87"/>
      <c r="AF756" s="87"/>
      <c r="AG756" s="87"/>
      <c r="AH756" s="87"/>
      <c r="AI756" s="87"/>
    </row>
    <row r="757" ht="15.75" customHeight="1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  <c r="AA757" s="87"/>
      <c r="AB757" s="87"/>
      <c r="AC757" s="87"/>
      <c r="AD757" s="87"/>
      <c r="AE757" s="87"/>
      <c r="AF757" s="87"/>
      <c r="AG757" s="87"/>
      <c r="AH757" s="87"/>
      <c r="AI757" s="87"/>
    </row>
    <row r="758" ht="15.75" customHeight="1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  <c r="AA758" s="87"/>
      <c r="AB758" s="87"/>
      <c r="AC758" s="87"/>
      <c r="AD758" s="87"/>
      <c r="AE758" s="87"/>
      <c r="AF758" s="87"/>
      <c r="AG758" s="87"/>
      <c r="AH758" s="87"/>
      <c r="AI758" s="87"/>
    </row>
    <row r="759" ht="15.75" customHeight="1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  <c r="AA759" s="87"/>
      <c r="AB759" s="87"/>
      <c r="AC759" s="87"/>
      <c r="AD759" s="87"/>
      <c r="AE759" s="87"/>
      <c r="AF759" s="87"/>
      <c r="AG759" s="87"/>
      <c r="AH759" s="87"/>
      <c r="AI759" s="87"/>
    </row>
    <row r="760" ht="15.75" customHeight="1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  <c r="AA760" s="87"/>
      <c r="AB760" s="87"/>
      <c r="AC760" s="87"/>
      <c r="AD760" s="87"/>
      <c r="AE760" s="87"/>
      <c r="AF760" s="87"/>
      <c r="AG760" s="87"/>
      <c r="AH760" s="87"/>
      <c r="AI760" s="87"/>
    </row>
    <row r="761" ht="15.75" customHeight="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  <c r="AA761" s="87"/>
      <c r="AB761" s="87"/>
      <c r="AC761" s="87"/>
      <c r="AD761" s="87"/>
      <c r="AE761" s="87"/>
      <c r="AF761" s="87"/>
      <c r="AG761" s="87"/>
      <c r="AH761" s="87"/>
      <c r="AI761" s="87"/>
    </row>
    <row r="762" ht="15.75" customHeight="1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  <c r="AA762" s="87"/>
      <c r="AB762" s="87"/>
      <c r="AC762" s="87"/>
      <c r="AD762" s="87"/>
      <c r="AE762" s="87"/>
      <c r="AF762" s="87"/>
      <c r="AG762" s="87"/>
      <c r="AH762" s="87"/>
      <c r="AI762" s="87"/>
    </row>
    <row r="763" ht="15.75" customHeight="1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  <c r="AA763" s="87"/>
      <c r="AB763" s="87"/>
      <c r="AC763" s="87"/>
      <c r="AD763" s="87"/>
      <c r="AE763" s="87"/>
      <c r="AF763" s="87"/>
      <c r="AG763" s="87"/>
      <c r="AH763" s="87"/>
      <c r="AI763" s="87"/>
    </row>
    <row r="764" ht="15.75" customHeight="1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  <c r="AA764" s="87"/>
      <c r="AB764" s="87"/>
      <c r="AC764" s="87"/>
      <c r="AD764" s="87"/>
      <c r="AE764" s="87"/>
      <c r="AF764" s="87"/>
      <c r="AG764" s="87"/>
      <c r="AH764" s="87"/>
      <c r="AI764" s="87"/>
    </row>
    <row r="765" ht="15.75" customHeight="1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  <c r="AA765" s="87"/>
      <c r="AB765" s="87"/>
      <c r="AC765" s="87"/>
      <c r="AD765" s="87"/>
      <c r="AE765" s="87"/>
      <c r="AF765" s="87"/>
      <c r="AG765" s="87"/>
      <c r="AH765" s="87"/>
      <c r="AI765" s="87"/>
    </row>
    <row r="766" ht="15.75" customHeight="1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  <c r="AA766" s="87"/>
      <c r="AB766" s="87"/>
      <c r="AC766" s="87"/>
      <c r="AD766" s="87"/>
      <c r="AE766" s="87"/>
      <c r="AF766" s="87"/>
      <c r="AG766" s="87"/>
      <c r="AH766" s="87"/>
      <c r="AI766" s="87"/>
    </row>
    <row r="767" ht="15.75" customHeight="1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  <c r="AA767" s="87"/>
      <c r="AB767" s="87"/>
      <c r="AC767" s="87"/>
      <c r="AD767" s="87"/>
      <c r="AE767" s="87"/>
      <c r="AF767" s="87"/>
      <c r="AG767" s="87"/>
      <c r="AH767" s="87"/>
      <c r="AI767" s="87"/>
    </row>
    <row r="768" ht="15.75" customHeight="1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  <c r="AA768" s="87"/>
      <c r="AB768" s="87"/>
      <c r="AC768" s="87"/>
      <c r="AD768" s="87"/>
      <c r="AE768" s="87"/>
      <c r="AF768" s="87"/>
      <c r="AG768" s="87"/>
      <c r="AH768" s="87"/>
      <c r="AI768" s="87"/>
    </row>
    <row r="769" ht="15.75" customHeight="1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  <c r="AA769" s="87"/>
      <c r="AB769" s="87"/>
      <c r="AC769" s="87"/>
      <c r="AD769" s="87"/>
      <c r="AE769" s="87"/>
      <c r="AF769" s="87"/>
      <c r="AG769" s="87"/>
      <c r="AH769" s="87"/>
      <c r="AI769" s="87"/>
    </row>
    <row r="770" ht="15.75" customHeight="1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  <c r="AA770" s="87"/>
      <c r="AB770" s="87"/>
      <c r="AC770" s="87"/>
      <c r="AD770" s="87"/>
      <c r="AE770" s="87"/>
      <c r="AF770" s="87"/>
      <c r="AG770" s="87"/>
      <c r="AH770" s="87"/>
      <c r="AI770" s="87"/>
    </row>
    <row r="771" ht="15.75" customHeight="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  <c r="AA771" s="87"/>
      <c r="AB771" s="87"/>
      <c r="AC771" s="87"/>
      <c r="AD771" s="87"/>
      <c r="AE771" s="87"/>
      <c r="AF771" s="87"/>
      <c r="AG771" s="87"/>
      <c r="AH771" s="87"/>
      <c r="AI771" s="87"/>
    </row>
    <row r="772" ht="15.75" customHeight="1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  <c r="AA772" s="87"/>
      <c r="AB772" s="87"/>
      <c r="AC772" s="87"/>
      <c r="AD772" s="87"/>
      <c r="AE772" s="87"/>
      <c r="AF772" s="87"/>
      <c r="AG772" s="87"/>
      <c r="AH772" s="87"/>
      <c r="AI772" s="87"/>
    </row>
    <row r="773" ht="15.75" customHeight="1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  <c r="AA773" s="87"/>
      <c r="AB773" s="87"/>
      <c r="AC773" s="87"/>
      <c r="AD773" s="87"/>
      <c r="AE773" s="87"/>
      <c r="AF773" s="87"/>
      <c r="AG773" s="87"/>
      <c r="AH773" s="87"/>
      <c r="AI773" s="87"/>
    </row>
    <row r="774" ht="15.75" customHeight="1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  <c r="AA774" s="87"/>
      <c r="AB774" s="87"/>
      <c r="AC774" s="87"/>
      <c r="AD774" s="87"/>
      <c r="AE774" s="87"/>
      <c r="AF774" s="87"/>
      <c r="AG774" s="87"/>
      <c r="AH774" s="87"/>
      <c r="AI774" s="87"/>
    </row>
    <row r="775" ht="15.75" customHeight="1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  <c r="AA775" s="87"/>
      <c r="AB775" s="87"/>
      <c r="AC775" s="87"/>
      <c r="AD775" s="87"/>
      <c r="AE775" s="87"/>
      <c r="AF775" s="87"/>
      <c r="AG775" s="87"/>
      <c r="AH775" s="87"/>
      <c r="AI775" s="87"/>
    </row>
    <row r="776" ht="15.75" customHeight="1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  <c r="AA776" s="87"/>
      <c r="AB776" s="87"/>
      <c r="AC776" s="87"/>
      <c r="AD776" s="87"/>
      <c r="AE776" s="87"/>
      <c r="AF776" s="87"/>
      <c r="AG776" s="87"/>
      <c r="AH776" s="87"/>
      <c r="AI776" s="87"/>
    </row>
    <row r="777" ht="15.75" customHeight="1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  <c r="AA777" s="87"/>
      <c r="AB777" s="87"/>
      <c r="AC777" s="87"/>
      <c r="AD777" s="87"/>
      <c r="AE777" s="87"/>
      <c r="AF777" s="87"/>
      <c r="AG777" s="87"/>
      <c r="AH777" s="87"/>
      <c r="AI777" s="87"/>
    </row>
    <row r="778" ht="15.75" customHeight="1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  <c r="AA778" s="87"/>
      <c r="AB778" s="87"/>
      <c r="AC778" s="87"/>
      <c r="AD778" s="87"/>
      <c r="AE778" s="87"/>
      <c r="AF778" s="87"/>
      <c r="AG778" s="87"/>
      <c r="AH778" s="87"/>
      <c r="AI778" s="87"/>
    </row>
    <row r="779" ht="15.75" customHeight="1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  <c r="AA779" s="87"/>
      <c r="AB779" s="87"/>
      <c r="AC779" s="87"/>
      <c r="AD779" s="87"/>
      <c r="AE779" s="87"/>
      <c r="AF779" s="87"/>
      <c r="AG779" s="87"/>
      <c r="AH779" s="87"/>
      <c r="AI779" s="87"/>
    </row>
    <row r="780" ht="15.75" customHeight="1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  <c r="AA780" s="87"/>
      <c r="AB780" s="87"/>
      <c r="AC780" s="87"/>
      <c r="AD780" s="87"/>
      <c r="AE780" s="87"/>
      <c r="AF780" s="87"/>
      <c r="AG780" s="87"/>
      <c r="AH780" s="87"/>
      <c r="AI780" s="87"/>
    </row>
    <row r="781" ht="15.75" customHeight="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  <c r="AA781" s="87"/>
      <c r="AB781" s="87"/>
      <c r="AC781" s="87"/>
      <c r="AD781" s="87"/>
      <c r="AE781" s="87"/>
      <c r="AF781" s="87"/>
      <c r="AG781" s="87"/>
      <c r="AH781" s="87"/>
      <c r="AI781" s="87"/>
    </row>
    <row r="782" ht="15.75" customHeight="1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  <c r="AA782" s="87"/>
      <c r="AB782" s="87"/>
      <c r="AC782" s="87"/>
      <c r="AD782" s="87"/>
      <c r="AE782" s="87"/>
      <c r="AF782" s="87"/>
      <c r="AG782" s="87"/>
      <c r="AH782" s="87"/>
      <c r="AI782" s="87"/>
    </row>
    <row r="783" ht="15.75" customHeight="1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  <c r="AA783" s="87"/>
      <c r="AB783" s="87"/>
      <c r="AC783" s="87"/>
      <c r="AD783" s="87"/>
      <c r="AE783" s="87"/>
      <c r="AF783" s="87"/>
      <c r="AG783" s="87"/>
      <c r="AH783" s="87"/>
      <c r="AI783" s="87"/>
    </row>
    <row r="784" ht="15.75" customHeight="1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  <c r="AA784" s="87"/>
      <c r="AB784" s="87"/>
      <c r="AC784" s="87"/>
      <c r="AD784" s="87"/>
      <c r="AE784" s="87"/>
      <c r="AF784" s="87"/>
      <c r="AG784" s="87"/>
      <c r="AH784" s="87"/>
      <c r="AI784" s="87"/>
    </row>
    <row r="785" ht="15.75" customHeight="1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  <c r="AA785" s="87"/>
      <c r="AB785" s="87"/>
      <c r="AC785" s="87"/>
      <c r="AD785" s="87"/>
      <c r="AE785" s="87"/>
      <c r="AF785" s="87"/>
      <c r="AG785" s="87"/>
      <c r="AH785" s="87"/>
      <c r="AI785" s="87"/>
    </row>
    <row r="786" ht="15.75" customHeight="1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  <c r="AA786" s="87"/>
      <c r="AB786" s="87"/>
      <c r="AC786" s="87"/>
      <c r="AD786" s="87"/>
      <c r="AE786" s="87"/>
      <c r="AF786" s="87"/>
      <c r="AG786" s="87"/>
      <c r="AH786" s="87"/>
      <c r="AI786" s="87"/>
    </row>
    <row r="787" ht="15.75" customHeight="1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  <c r="AA787" s="87"/>
      <c r="AB787" s="87"/>
      <c r="AC787" s="87"/>
      <c r="AD787" s="87"/>
      <c r="AE787" s="87"/>
      <c r="AF787" s="87"/>
      <c r="AG787" s="87"/>
      <c r="AH787" s="87"/>
      <c r="AI787" s="87"/>
    </row>
    <row r="788" ht="15.75" customHeight="1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  <c r="AA788" s="87"/>
      <c r="AB788" s="87"/>
      <c r="AC788" s="87"/>
      <c r="AD788" s="87"/>
      <c r="AE788" s="87"/>
      <c r="AF788" s="87"/>
      <c r="AG788" s="87"/>
      <c r="AH788" s="87"/>
      <c r="AI788" s="87"/>
    </row>
    <row r="789" ht="15.75" customHeight="1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  <c r="AA789" s="87"/>
      <c r="AB789" s="87"/>
      <c r="AC789" s="87"/>
      <c r="AD789" s="87"/>
      <c r="AE789" s="87"/>
      <c r="AF789" s="87"/>
      <c r="AG789" s="87"/>
      <c r="AH789" s="87"/>
      <c r="AI789" s="87"/>
    </row>
    <row r="790" ht="15.75" customHeight="1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  <c r="AA790" s="87"/>
      <c r="AB790" s="87"/>
      <c r="AC790" s="87"/>
      <c r="AD790" s="87"/>
      <c r="AE790" s="87"/>
      <c r="AF790" s="87"/>
      <c r="AG790" s="87"/>
      <c r="AH790" s="87"/>
      <c r="AI790" s="87"/>
    </row>
    <row r="791" ht="15.75" customHeight="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  <c r="AA791" s="87"/>
      <c r="AB791" s="87"/>
      <c r="AC791" s="87"/>
      <c r="AD791" s="87"/>
      <c r="AE791" s="87"/>
      <c r="AF791" s="87"/>
      <c r="AG791" s="87"/>
      <c r="AH791" s="87"/>
      <c r="AI791" s="87"/>
    </row>
    <row r="792" ht="15.75" customHeight="1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  <c r="AA792" s="87"/>
      <c r="AB792" s="87"/>
      <c r="AC792" s="87"/>
      <c r="AD792" s="87"/>
      <c r="AE792" s="87"/>
      <c r="AF792" s="87"/>
      <c r="AG792" s="87"/>
      <c r="AH792" s="87"/>
      <c r="AI792" s="87"/>
    </row>
    <row r="793" ht="15.75" customHeight="1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  <c r="AA793" s="87"/>
      <c r="AB793" s="87"/>
      <c r="AC793" s="87"/>
      <c r="AD793" s="87"/>
      <c r="AE793" s="87"/>
      <c r="AF793" s="87"/>
      <c r="AG793" s="87"/>
      <c r="AH793" s="87"/>
      <c r="AI793" s="87"/>
    </row>
    <row r="794" ht="15.75" customHeight="1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  <c r="AA794" s="87"/>
      <c r="AB794" s="87"/>
      <c r="AC794" s="87"/>
      <c r="AD794" s="87"/>
      <c r="AE794" s="87"/>
      <c r="AF794" s="87"/>
      <c r="AG794" s="87"/>
      <c r="AH794" s="87"/>
      <c r="AI794" s="87"/>
    </row>
    <row r="795" ht="15.75" customHeight="1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  <c r="AA795" s="87"/>
      <c r="AB795" s="87"/>
      <c r="AC795" s="87"/>
      <c r="AD795" s="87"/>
      <c r="AE795" s="87"/>
      <c r="AF795" s="87"/>
      <c r="AG795" s="87"/>
      <c r="AH795" s="87"/>
      <c r="AI795" s="87"/>
    </row>
    <row r="796" ht="15.75" customHeight="1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  <c r="AA796" s="87"/>
      <c r="AB796" s="87"/>
      <c r="AC796" s="87"/>
      <c r="AD796" s="87"/>
      <c r="AE796" s="87"/>
      <c r="AF796" s="87"/>
      <c r="AG796" s="87"/>
      <c r="AH796" s="87"/>
      <c r="AI796" s="87"/>
    </row>
    <row r="797" ht="15.75" customHeight="1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  <c r="AA797" s="87"/>
      <c r="AB797" s="87"/>
      <c r="AC797" s="87"/>
      <c r="AD797" s="87"/>
      <c r="AE797" s="87"/>
      <c r="AF797" s="87"/>
      <c r="AG797" s="87"/>
      <c r="AH797" s="87"/>
      <c r="AI797" s="87"/>
    </row>
    <row r="798" ht="15.75" customHeight="1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  <c r="AA798" s="87"/>
      <c r="AB798" s="87"/>
      <c r="AC798" s="87"/>
      <c r="AD798" s="87"/>
      <c r="AE798" s="87"/>
      <c r="AF798" s="87"/>
      <c r="AG798" s="87"/>
      <c r="AH798" s="87"/>
      <c r="AI798" s="87"/>
    </row>
    <row r="799" ht="15.75" customHeight="1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  <c r="AA799" s="87"/>
      <c r="AB799" s="87"/>
      <c r="AC799" s="87"/>
      <c r="AD799" s="87"/>
      <c r="AE799" s="87"/>
      <c r="AF799" s="87"/>
      <c r="AG799" s="87"/>
      <c r="AH799" s="87"/>
      <c r="AI799" s="87"/>
    </row>
    <row r="800" ht="15.75" customHeight="1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  <c r="AA800" s="87"/>
      <c r="AB800" s="87"/>
      <c r="AC800" s="87"/>
      <c r="AD800" s="87"/>
      <c r="AE800" s="87"/>
      <c r="AF800" s="87"/>
      <c r="AG800" s="87"/>
      <c r="AH800" s="87"/>
      <c r="AI800" s="87"/>
    </row>
    <row r="801" ht="15.75" customHeight="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  <c r="AA801" s="87"/>
      <c r="AB801" s="87"/>
      <c r="AC801" s="87"/>
      <c r="AD801" s="87"/>
      <c r="AE801" s="87"/>
      <c r="AF801" s="87"/>
      <c r="AG801" s="87"/>
      <c r="AH801" s="87"/>
      <c r="AI801" s="87"/>
    </row>
    <row r="802" ht="15.75" customHeight="1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  <c r="AA802" s="87"/>
      <c r="AB802" s="87"/>
      <c r="AC802" s="87"/>
      <c r="AD802" s="87"/>
      <c r="AE802" s="87"/>
      <c r="AF802" s="87"/>
      <c r="AG802" s="87"/>
      <c r="AH802" s="87"/>
      <c r="AI802" s="87"/>
    </row>
    <row r="803" ht="15.75" customHeight="1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  <c r="AA803" s="87"/>
      <c r="AB803" s="87"/>
      <c r="AC803" s="87"/>
      <c r="AD803" s="87"/>
      <c r="AE803" s="87"/>
      <c r="AF803" s="87"/>
      <c r="AG803" s="87"/>
      <c r="AH803" s="87"/>
      <c r="AI803" s="87"/>
    </row>
    <row r="804" ht="15.75" customHeight="1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  <c r="AA804" s="87"/>
      <c r="AB804" s="87"/>
      <c r="AC804" s="87"/>
      <c r="AD804" s="87"/>
      <c r="AE804" s="87"/>
      <c r="AF804" s="87"/>
      <c r="AG804" s="87"/>
      <c r="AH804" s="87"/>
      <c r="AI804" s="87"/>
    </row>
    <row r="805" ht="15.75" customHeight="1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  <c r="AA805" s="87"/>
      <c r="AB805" s="87"/>
      <c r="AC805" s="87"/>
      <c r="AD805" s="87"/>
      <c r="AE805" s="87"/>
      <c r="AF805" s="87"/>
      <c r="AG805" s="87"/>
      <c r="AH805" s="87"/>
      <c r="AI805" s="87"/>
    </row>
    <row r="806" ht="15.75" customHeight="1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  <c r="AA806" s="87"/>
      <c r="AB806" s="87"/>
      <c r="AC806" s="87"/>
      <c r="AD806" s="87"/>
      <c r="AE806" s="87"/>
      <c r="AF806" s="87"/>
      <c r="AG806" s="87"/>
      <c r="AH806" s="87"/>
      <c r="AI806" s="87"/>
    </row>
    <row r="807" ht="15.75" customHeight="1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  <c r="AA807" s="87"/>
      <c r="AB807" s="87"/>
      <c r="AC807" s="87"/>
      <c r="AD807" s="87"/>
      <c r="AE807" s="87"/>
      <c r="AF807" s="87"/>
      <c r="AG807" s="87"/>
      <c r="AH807" s="87"/>
      <c r="AI807" s="87"/>
    </row>
    <row r="808" ht="15.75" customHeight="1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  <c r="AA808" s="87"/>
      <c r="AB808" s="87"/>
      <c r="AC808" s="87"/>
      <c r="AD808" s="87"/>
      <c r="AE808" s="87"/>
      <c r="AF808" s="87"/>
      <c r="AG808" s="87"/>
      <c r="AH808" s="87"/>
      <c r="AI808" s="87"/>
    </row>
    <row r="809" ht="15.75" customHeight="1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  <c r="AA809" s="87"/>
      <c r="AB809" s="87"/>
      <c r="AC809" s="87"/>
      <c r="AD809" s="87"/>
      <c r="AE809" s="87"/>
      <c r="AF809" s="87"/>
      <c r="AG809" s="87"/>
      <c r="AH809" s="87"/>
      <c r="AI809" s="87"/>
    </row>
    <row r="810" ht="15.75" customHeight="1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  <c r="AA810" s="87"/>
      <c r="AB810" s="87"/>
      <c r="AC810" s="87"/>
      <c r="AD810" s="87"/>
      <c r="AE810" s="87"/>
      <c r="AF810" s="87"/>
      <c r="AG810" s="87"/>
      <c r="AH810" s="87"/>
      <c r="AI810" s="87"/>
    </row>
    <row r="811" ht="15.75" customHeight="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  <c r="AA811" s="87"/>
      <c r="AB811" s="87"/>
      <c r="AC811" s="87"/>
      <c r="AD811" s="87"/>
      <c r="AE811" s="87"/>
      <c r="AF811" s="87"/>
      <c r="AG811" s="87"/>
      <c r="AH811" s="87"/>
      <c r="AI811" s="87"/>
    </row>
    <row r="812" ht="15.75" customHeight="1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  <c r="AA812" s="87"/>
      <c r="AB812" s="87"/>
      <c r="AC812" s="87"/>
      <c r="AD812" s="87"/>
      <c r="AE812" s="87"/>
      <c r="AF812" s="87"/>
      <c r="AG812" s="87"/>
      <c r="AH812" s="87"/>
      <c r="AI812" s="87"/>
    </row>
    <row r="813" ht="15.75" customHeight="1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  <c r="AA813" s="87"/>
      <c r="AB813" s="87"/>
      <c r="AC813" s="87"/>
      <c r="AD813" s="87"/>
      <c r="AE813" s="87"/>
      <c r="AF813" s="87"/>
      <c r="AG813" s="87"/>
      <c r="AH813" s="87"/>
      <c r="AI813" s="87"/>
    </row>
    <row r="814" ht="15.75" customHeight="1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  <c r="AA814" s="87"/>
      <c r="AB814" s="87"/>
      <c r="AC814" s="87"/>
      <c r="AD814" s="87"/>
      <c r="AE814" s="87"/>
      <c r="AF814" s="87"/>
      <c r="AG814" s="87"/>
      <c r="AH814" s="87"/>
      <c r="AI814" s="87"/>
    </row>
    <row r="815" ht="15.75" customHeight="1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  <c r="AA815" s="87"/>
      <c r="AB815" s="87"/>
      <c r="AC815" s="87"/>
      <c r="AD815" s="87"/>
      <c r="AE815" s="87"/>
      <c r="AF815" s="87"/>
      <c r="AG815" s="87"/>
      <c r="AH815" s="87"/>
      <c r="AI815" s="87"/>
    </row>
    <row r="816" ht="15.75" customHeight="1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  <c r="AA816" s="87"/>
      <c r="AB816" s="87"/>
      <c r="AC816" s="87"/>
      <c r="AD816" s="87"/>
      <c r="AE816" s="87"/>
      <c r="AF816" s="87"/>
      <c r="AG816" s="87"/>
      <c r="AH816" s="87"/>
      <c r="AI816" s="87"/>
    </row>
    <row r="817" ht="15.75" customHeight="1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  <c r="AA817" s="87"/>
      <c r="AB817" s="87"/>
      <c r="AC817" s="87"/>
      <c r="AD817" s="87"/>
      <c r="AE817" s="87"/>
      <c r="AF817" s="87"/>
      <c r="AG817" s="87"/>
      <c r="AH817" s="87"/>
      <c r="AI817" s="87"/>
    </row>
    <row r="818" ht="15.75" customHeight="1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  <c r="AA818" s="87"/>
      <c r="AB818" s="87"/>
      <c r="AC818" s="87"/>
      <c r="AD818" s="87"/>
      <c r="AE818" s="87"/>
      <c r="AF818" s="87"/>
      <c r="AG818" s="87"/>
      <c r="AH818" s="87"/>
      <c r="AI818" s="87"/>
    </row>
    <row r="819" ht="15.75" customHeight="1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  <c r="AA819" s="87"/>
      <c r="AB819" s="87"/>
      <c r="AC819" s="87"/>
      <c r="AD819" s="87"/>
      <c r="AE819" s="87"/>
      <c r="AF819" s="87"/>
      <c r="AG819" s="87"/>
      <c r="AH819" s="87"/>
      <c r="AI819" s="87"/>
    </row>
    <row r="820" ht="15.75" customHeight="1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  <c r="AA820" s="87"/>
      <c r="AB820" s="87"/>
      <c r="AC820" s="87"/>
      <c r="AD820" s="87"/>
      <c r="AE820" s="87"/>
      <c r="AF820" s="87"/>
      <c r="AG820" s="87"/>
      <c r="AH820" s="87"/>
      <c r="AI820" s="87"/>
    </row>
    <row r="821" ht="15.75" customHeight="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  <c r="AA821" s="87"/>
      <c r="AB821" s="87"/>
      <c r="AC821" s="87"/>
      <c r="AD821" s="87"/>
      <c r="AE821" s="87"/>
      <c r="AF821" s="87"/>
      <c r="AG821" s="87"/>
      <c r="AH821" s="87"/>
      <c r="AI821" s="87"/>
    </row>
    <row r="822" ht="15.75" customHeight="1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  <c r="AA822" s="87"/>
      <c r="AB822" s="87"/>
      <c r="AC822" s="87"/>
      <c r="AD822" s="87"/>
      <c r="AE822" s="87"/>
      <c r="AF822" s="87"/>
      <c r="AG822" s="87"/>
      <c r="AH822" s="87"/>
      <c r="AI822" s="87"/>
    </row>
    <row r="823" ht="15.75" customHeight="1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  <c r="AA823" s="87"/>
      <c r="AB823" s="87"/>
      <c r="AC823" s="87"/>
      <c r="AD823" s="87"/>
      <c r="AE823" s="87"/>
      <c r="AF823" s="87"/>
      <c r="AG823" s="87"/>
      <c r="AH823" s="87"/>
      <c r="AI823" s="87"/>
    </row>
    <row r="824" ht="15.75" customHeight="1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  <c r="AA824" s="87"/>
      <c r="AB824" s="87"/>
      <c r="AC824" s="87"/>
      <c r="AD824" s="87"/>
      <c r="AE824" s="87"/>
      <c r="AF824" s="87"/>
      <c r="AG824" s="87"/>
      <c r="AH824" s="87"/>
      <c r="AI824" s="87"/>
    </row>
    <row r="825" ht="15.75" customHeight="1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  <c r="AA825" s="87"/>
      <c r="AB825" s="87"/>
      <c r="AC825" s="87"/>
      <c r="AD825" s="87"/>
      <c r="AE825" s="87"/>
      <c r="AF825" s="87"/>
      <c r="AG825" s="87"/>
      <c r="AH825" s="87"/>
      <c r="AI825" s="87"/>
    </row>
    <row r="826" ht="15.75" customHeight="1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  <c r="AA826" s="87"/>
      <c r="AB826" s="87"/>
      <c r="AC826" s="87"/>
      <c r="AD826" s="87"/>
      <c r="AE826" s="87"/>
      <c r="AF826" s="87"/>
      <c r="AG826" s="87"/>
      <c r="AH826" s="87"/>
      <c r="AI826" s="87"/>
    </row>
    <row r="827" ht="15.75" customHeight="1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  <c r="AA827" s="87"/>
      <c r="AB827" s="87"/>
      <c r="AC827" s="87"/>
      <c r="AD827" s="87"/>
      <c r="AE827" s="87"/>
      <c r="AF827" s="87"/>
      <c r="AG827" s="87"/>
      <c r="AH827" s="87"/>
      <c r="AI827" s="87"/>
    </row>
    <row r="828" ht="15.75" customHeight="1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  <c r="AA828" s="87"/>
      <c r="AB828" s="87"/>
      <c r="AC828" s="87"/>
      <c r="AD828" s="87"/>
      <c r="AE828" s="87"/>
      <c r="AF828" s="87"/>
      <c r="AG828" s="87"/>
      <c r="AH828" s="87"/>
      <c r="AI828" s="87"/>
    </row>
    <row r="829" ht="15.75" customHeight="1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  <c r="AA829" s="87"/>
      <c r="AB829" s="87"/>
      <c r="AC829" s="87"/>
      <c r="AD829" s="87"/>
      <c r="AE829" s="87"/>
      <c r="AF829" s="87"/>
      <c r="AG829" s="87"/>
      <c r="AH829" s="87"/>
      <c r="AI829" s="87"/>
    </row>
    <row r="830" ht="15.75" customHeight="1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  <c r="AA830" s="87"/>
      <c r="AB830" s="87"/>
      <c r="AC830" s="87"/>
      <c r="AD830" s="87"/>
      <c r="AE830" s="87"/>
      <c r="AF830" s="87"/>
      <c r="AG830" s="87"/>
      <c r="AH830" s="87"/>
      <c r="AI830" s="87"/>
    </row>
    <row r="831" ht="15.75" customHeight="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  <c r="AA831" s="87"/>
      <c r="AB831" s="87"/>
      <c r="AC831" s="87"/>
      <c r="AD831" s="87"/>
      <c r="AE831" s="87"/>
      <c r="AF831" s="87"/>
      <c r="AG831" s="87"/>
      <c r="AH831" s="87"/>
      <c r="AI831" s="87"/>
    </row>
    <row r="832" ht="15.75" customHeight="1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  <c r="AA832" s="87"/>
      <c r="AB832" s="87"/>
      <c r="AC832" s="87"/>
      <c r="AD832" s="87"/>
      <c r="AE832" s="87"/>
      <c r="AF832" s="87"/>
      <c r="AG832" s="87"/>
      <c r="AH832" s="87"/>
      <c r="AI832" s="87"/>
    </row>
    <row r="833" ht="15.75" customHeight="1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  <c r="AA833" s="87"/>
      <c r="AB833" s="87"/>
      <c r="AC833" s="87"/>
      <c r="AD833" s="87"/>
      <c r="AE833" s="87"/>
      <c r="AF833" s="87"/>
      <c r="AG833" s="87"/>
      <c r="AH833" s="87"/>
      <c r="AI833" s="87"/>
    </row>
    <row r="834" ht="15.75" customHeight="1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  <c r="AA834" s="87"/>
      <c r="AB834" s="87"/>
      <c r="AC834" s="87"/>
      <c r="AD834" s="87"/>
      <c r="AE834" s="87"/>
      <c r="AF834" s="87"/>
      <c r="AG834" s="87"/>
      <c r="AH834" s="87"/>
      <c r="AI834" s="87"/>
    </row>
    <row r="835" ht="15.75" customHeight="1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  <c r="AA835" s="87"/>
      <c r="AB835" s="87"/>
      <c r="AC835" s="87"/>
      <c r="AD835" s="87"/>
      <c r="AE835" s="87"/>
      <c r="AF835" s="87"/>
      <c r="AG835" s="87"/>
      <c r="AH835" s="87"/>
      <c r="AI835" s="87"/>
    </row>
    <row r="836" ht="15.75" customHeight="1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  <c r="AA836" s="87"/>
      <c r="AB836" s="87"/>
      <c r="AC836" s="87"/>
      <c r="AD836" s="87"/>
      <c r="AE836" s="87"/>
      <c r="AF836" s="87"/>
      <c r="AG836" s="87"/>
      <c r="AH836" s="87"/>
      <c r="AI836" s="87"/>
    </row>
    <row r="837" ht="15.75" customHeight="1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  <c r="AA837" s="87"/>
      <c r="AB837" s="87"/>
      <c r="AC837" s="87"/>
      <c r="AD837" s="87"/>
      <c r="AE837" s="87"/>
      <c r="AF837" s="87"/>
      <c r="AG837" s="87"/>
      <c r="AH837" s="87"/>
      <c r="AI837" s="87"/>
    </row>
    <row r="838" ht="15.75" customHeight="1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  <c r="AA838" s="87"/>
      <c r="AB838" s="87"/>
      <c r="AC838" s="87"/>
      <c r="AD838" s="87"/>
      <c r="AE838" s="87"/>
      <c r="AF838" s="87"/>
      <c r="AG838" s="87"/>
      <c r="AH838" s="87"/>
      <c r="AI838" s="87"/>
    </row>
    <row r="839" ht="15.75" customHeight="1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  <c r="AA839" s="87"/>
      <c r="AB839" s="87"/>
      <c r="AC839" s="87"/>
      <c r="AD839" s="87"/>
      <c r="AE839" s="87"/>
      <c r="AF839" s="87"/>
      <c r="AG839" s="87"/>
      <c r="AH839" s="87"/>
      <c r="AI839" s="87"/>
    </row>
    <row r="840" ht="15.75" customHeight="1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  <c r="AA840" s="87"/>
      <c r="AB840" s="87"/>
      <c r="AC840" s="87"/>
      <c r="AD840" s="87"/>
      <c r="AE840" s="87"/>
      <c r="AF840" s="87"/>
      <c r="AG840" s="87"/>
      <c r="AH840" s="87"/>
      <c r="AI840" s="87"/>
    </row>
    <row r="841" ht="15.75" customHeight="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  <c r="AA841" s="87"/>
      <c r="AB841" s="87"/>
      <c r="AC841" s="87"/>
      <c r="AD841" s="87"/>
      <c r="AE841" s="87"/>
      <c r="AF841" s="87"/>
      <c r="AG841" s="87"/>
      <c r="AH841" s="87"/>
      <c r="AI841" s="87"/>
    </row>
    <row r="842" ht="15.75" customHeight="1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  <c r="AA842" s="87"/>
      <c r="AB842" s="87"/>
      <c r="AC842" s="87"/>
      <c r="AD842" s="87"/>
      <c r="AE842" s="87"/>
      <c r="AF842" s="87"/>
      <c r="AG842" s="87"/>
      <c r="AH842" s="87"/>
      <c r="AI842" s="87"/>
    </row>
    <row r="843" ht="15.75" customHeight="1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  <c r="AA843" s="87"/>
      <c r="AB843" s="87"/>
      <c r="AC843" s="87"/>
      <c r="AD843" s="87"/>
      <c r="AE843" s="87"/>
      <c r="AF843" s="87"/>
      <c r="AG843" s="87"/>
      <c r="AH843" s="87"/>
      <c r="AI843" s="87"/>
    </row>
    <row r="844" ht="15.75" customHeight="1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  <c r="AA844" s="87"/>
      <c r="AB844" s="87"/>
      <c r="AC844" s="87"/>
      <c r="AD844" s="87"/>
      <c r="AE844" s="87"/>
      <c r="AF844" s="87"/>
      <c r="AG844" s="87"/>
      <c r="AH844" s="87"/>
      <c r="AI844" s="87"/>
    </row>
    <row r="845" ht="15.75" customHeight="1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  <c r="AA845" s="87"/>
      <c r="AB845" s="87"/>
      <c r="AC845" s="87"/>
      <c r="AD845" s="87"/>
      <c r="AE845" s="87"/>
      <c r="AF845" s="87"/>
      <c r="AG845" s="87"/>
      <c r="AH845" s="87"/>
      <c r="AI845" s="87"/>
    </row>
    <row r="846" ht="15.75" customHeight="1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  <c r="AA846" s="87"/>
      <c r="AB846" s="87"/>
      <c r="AC846" s="87"/>
      <c r="AD846" s="87"/>
      <c r="AE846" s="87"/>
      <c r="AF846" s="87"/>
      <c r="AG846" s="87"/>
      <c r="AH846" s="87"/>
      <c r="AI846" s="87"/>
    </row>
    <row r="847" ht="15.75" customHeight="1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  <c r="AA847" s="87"/>
      <c r="AB847" s="87"/>
      <c r="AC847" s="87"/>
      <c r="AD847" s="87"/>
      <c r="AE847" s="87"/>
      <c r="AF847" s="87"/>
      <c r="AG847" s="87"/>
      <c r="AH847" s="87"/>
      <c r="AI847" s="87"/>
    </row>
    <row r="848" ht="15.75" customHeight="1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  <c r="AA848" s="87"/>
      <c r="AB848" s="87"/>
      <c r="AC848" s="87"/>
      <c r="AD848" s="87"/>
      <c r="AE848" s="87"/>
      <c r="AF848" s="87"/>
      <c r="AG848" s="87"/>
      <c r="AH848" s="87"/>
      <c r="AI848" s="87"/>
    </row>
    <row r="849" ht="15.75" customHeight="1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  <c r="AA849" s="87"/>
      <c r="AB849" s="87"/>
      <c r="AC849" s="87"/>
      <c r="AD849" s="87"/>
      <c r="AE849" s="87"/>
      <c r="AF849" s="87"/>
      <c r="AG849" s="87"/>
      <c r="AH849" s="87"/>
      <c r="AI849" s="87"/>
    </row>
    <row r="850" ht="15.75" customHeight="1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  <c r="AA850" s="87"/>
      <c r="AB850" s="87"/>
      <c r="AC850" s="87"/>
      <c r="AD850" s="87"/>
      <c r="AE850" s="87"/>
      <c r="AF850" s="87"/>
      <c r="AG850" s="87"/>
      <c r="AH850" s="87"/>
      <c r="AI850" s="87"/>
    </row>
    <row r="851" ht="15.75" customHeight="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  <c r="AA851" s="87"/>
      <c r="AB851" s="87"/>
      <c r="AC851" s="87"/>
      <c r="AD851" s="87"/>
      <c r="AE851" s="87"/>
      <c r="AF851" s="87"/>
      <c r="AG851" s="87"/>
      <c r="AH851" s="87"/>
      <c r="AI851" s="87"/>
    </row>
    <row r="852" ht="15.75" customHeight="1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  <c r="AA852" s="87"/>
      <c r="AB852" s="87"/>
      <c r="AC852" s="87"/>
      <c r="AD852" s="87"/>
      <c r="AE852" s="87"/>
      <c r="AF852" s="87"/>
      <c r="AG852" s="87"/>
      <c r="AH852" s="87"/>
      <c r="AI852" s="87"/>
    </row>
    <row r="853" ht="15.75" customHeight="1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  <c r="AA853" s="87"/>
      <c r="AB853" s="87"/>
      <c r="AC853" s="87"/>
      <c r="AD853" s="87"/>
      <c r="AE853" s="87"/>
      <c r="AF853" s="87"/>
      <c r="AG853" s="87"/>
      <c r="AH853" s="87"/>
      <c r="AI853" s="87"/>
    </row>
    <row r="854" ht="15.75" customHeight="1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  <c r="AA854" s="87"/>
      <c r="AB854" s="87"/>
      <c r="AC854" s="87"/>
      <c r="AD854" s="87"/>
      <c r="AE854" s="87"/>
      <c r="AF854" s="87"/>
      <c r="AG854" s="87"/>
      <c r="AH854" s="87"/>
      <c r="AI854" s="87"/>
    </row>
    <row r="855" ht="15.75" customHeight="1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  <c r="AA855" s="87"/>
      <c r="AB855" s="87"/>
      <c r="AC855" s="87"/>
      <c r="AD855" s="87"/>
      <c r="AE855" s="87"/>
      <c r="AF855" s="87"/>
      <c r="AG855" s="87"/>
      <c r="AH855" s="87"/>
      <c r="AI855" s="87"/>
    </row>
    <row r="856" ht="15.75" customHeight="1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  <c r="AA856" s="87"/>
      <c r="AB856" s="87"/>
      <c r="AC856" s="87"/>
      <c r="AD856" s="87"/>
      <c r="AE856" s="87"/>
      <c r="AF856" s="87"/>
      <c r="AG856" s="87"/>
      <c r="AH856" s="87"/>
      <c r="AI856" s="87"/>
    </row>
    <row r="857" ht="15.75" customHeight="1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  <c r="AA857" s="87"/>
      <c r="AB857" s="87"/>
      <c r="AC857" s="87"/>
      <c r="AD857" s="87"/>
      <c r="AE857" s="87"/>
      <c r="AF857" s="87"/>
      <c r="AG857" s="87"/>
      <c r="AH857" s="87"/>
      <c r="AI857" s="87"/>
    </row>
    <row r="858" ht="15.75" customHeight="1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  <c r="AA858" s="87"/>
      <c r="AB858" s="87"/>
      <c r="AC858" s="87"/>
      <c r="AD858" s="87"/>
      <c r="AE858" s="87"/>
      <c r="AF858" s="87"/>
      <c r="AG858" s="87"/>
      <c r="AH858" s="87"/>
      <c r="AI858" s="87"/>
    </row>
    <row r="859" ht="15.75" customHeight="1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  <c r="AA859" s="87"/>
      <c r="AB859" s="87"/>
      <c r="AC859" s="87"/>
      <c r="AD859" s="87"/>
      <c r="AE859" s="87"/>
      <c r="AF859" s="87"/>
      <c r="AG859" s="87"/>
      <c r="AH859" s="87"/>
      <c r="AI859" s="87"/>
    </row>
    <row r="860" ht="15.75" customHeight="1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  <c r="AA860" s="87"/>
      <c r="AB860" s="87"/>
      <c r="AC860" s="87"/>
      <c r="AD860" s="87"/>
      <c r="AE860" s="87"/>
      <c r="AF860" s="87"/>
      <c r="AG860" s="87"/>
      <c r="AH860" s="87"/>
      <c r="AI860" s="87"/>
    </row>
    <row r="861" ht="15.75" customHeight="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  <c r="AA861" s="87"/>
      <c r="AB861" s="87"/>
      <c r="AC861" s="87"/>
      <c r="AD861" s="87"/>
      <c r="AE861" s="87"/>
      <c r="AF861" s="87"/>
      <c r="AG861" s="87"/>
      <c r="AH861" s="87"/>
      <c r="AI861" s="87"/>
    </row>
    <row r="862" ht="15.75" customHeight="1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  <c r="AA862" s="87"/>
      <c r="AB862" s="87"/>
      <c r="AC862" s="87"/>
      <c r="AD862" s="87"/>
      <c r="AE862" s="87"/>
      <c r="AF862" s="87"/>
      <c r="AG862" s="87"/>
      <c r="AH862" s="87"/>
      <c r="AI862" s="87"/>
    </row>
    <row r="863" ht="15.75" customHeight="1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  <c r="AA863" s="87"/>
      <c r="AB863" s="87"/>
      <c r="AC863" s="87"/>
      <c r="AD863" s="87"/>
      <c r="AE863" s="87"/>
      <c r="AF863" s="87"/>
      <c r="AG863" s="87"/>
      <c r="AH863" s="87"/>
      <c r="AI863" s="87"/>
    </row>
    <row r="864" ht="15.75" customHeight="1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  <c r="AA864" s="87"/>
      <c r="AB864" s="87"/>
      <c r="AC864" s="87"/>
      <c r="AD864" s="87"/>
      <c r="AE864" s="87"/>
      <c r="AF864" s="87"/>
      <c r="AG864" s="87"/>
      <c r="AH864" s="87"/>
      <c r="AI864" s="87"/>
    </row>
    <row r="865" ht="15.75" customHeight="1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  <c r="AA865" s="87"/>
      <c r="AB865" s="87"/>
      <c r="AC865" s="87"/>
      <c r="AD865" s="87"/>
      <c r="AE865" s="87"/>
      <c r="AF865" s="87"/>
      <c r="AG865" s="87"/>
      <c r="AH865" s="87"/>
      <c r="AI865" s="87"/>
    </row>
    <row r="866" ht="15.75" customHeight="1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  <c r="AA866" s="87"/>
      <c r="AB866" s="87"/>
      <c r="AC866" s="87"/>
      <c r="AD866" s="87"/>
      <c r="AE866" s="87"/>
      <c r="AF866" s="87"/>
      <c r="AG866" s="87"/>
      <c r="AH866" s="87"/>
      <c r="AI866" s="87"/>
    </row>
    <row r="867" ht="15.75" customHeight="1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  <c r="AA867" s="87"/>
      <c r="AB867" s="87"/>
      <c r="AC867" s="87"/>
      <c r="AD867" s="87"/>
      <c r="AE867" s="87"/>
      <c r="AF867" s="87"/>
      <c r="AG867" s="87"/>
      <c r="AH867" s="87"/>
      <c r="AI867" s="87"/>
    </row>
    <row r="868" ht="15.75" customHeight="1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  <c r="AA868" s="87"/>
      <c r="AB868" s="87"/>
      <c r="AC868" s="87"/>
      <c r="AD868" s="87"/>
      <c r="AE868" s="87"/>
      <c r="AF868" s="87"/>
      <c r="AG868" s="87"/>
      <c r="AH868" s="87"/>
      <c r="AI868" s="87"/>
    </row>
    <row r="869" ht="15.75" customHeight="1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  <c r="AA869" s="87"/>
      <c r="AB869" s="87"/>
      <c r="AC869" s="87"/>
      <c r="AD869" s="87"/>
      <c r="AE869" s="87"/>
      <c r="AF869" s="87"/>
      <c r="AG869" s="87"/>
      <c r="AH869" s="87"/>
      <c r="AI869" s="87"/>
    </row>
    <row r="870" ht="15.75" customHeight="1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  <c r="AA870" s="87"/>
      <c r="AB870" s="87"/>
      <c r="AC870" s="87"/>
      <c r="AD870" s="87"/>
      <c r="AE870" s="87"/>
      <c r="AF870" s="87"/>
      <c r="AG870" s="87"/>
      <c r="AH870" s="87"/>
      <c r="AI870" s="87"/>
    </row>
    <row r="871" ht="15.75" customHeight="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  <c r="AA871" s="87"/>
      <c r="AB871" s="87"/>
      <c r="AC871" s="87"/>
      <c r="AD871" s="87"/>
      <c r="AE871" s="87"/>
      <c r="AF871" s="87"/>
      <c r="AG871" s="87"/>
      <c r="AH871" s="87"/>
      <c r="AI871" s="87"/>
    </row>
    <row r="872" ht="15.75" customHeight="1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  <c r="AA872" s="87"/>
      <c r="AB872" s="87"/>
      <c r="AC872" s="87"/>
      <c r="AD872" s="87"/>
      <c r="AE872" s="87"/>
      <c r="AF872" s="87"/>
      <c r="AG872" s="87"/>
      <c r="AH872" s="87"/>
      <c r="AI872" s="87"/>
    </row>
    <row r="873" ht="15.75" customHeight="1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  <c r="AA873" s="87"/>
      <c r="AB873" s="87"/>
      <c r="AC873" s="87"/>
      <c r="AD873" s="87"/>
      <c r="AE873" s="87"/>
      <c r="AF873" s="87"/>
      <c r="AG873" s="87"/>
      <c r="AH873" s="87"/>
      <c r="AI873" s="87"/>
    </row>
    <row r="874" ht="15.75" customHeight="1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  <c r="AA874" s="87"/>
      <c r="AB874" s="87"/>
      <c r="AC874" s="87"/>
      <c r="AD874" s="87"/>
      <c r="AE874" s="87"/>
      <c r="AF874" s="87"/>
      <c r="AG874" s="87"/>
      <c r="AH874" s="87"/>
      <c r="AI874" s="87"/>
    </row>
    <row r="875" ht="15.75" customHeight="1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  <c r="AA875" s="87"/>
      <c r="AB875" s="87"/>
      <c r="AC875" s="87"/>
      <c r="AD875" s="87"/>
      <c r="AE875" s="87"/>
      <c r="AF875" s="87"/>
      <c r="AG875" s="87"/>
      <c r="AH875" s="87"/>
      <c r="AI875" s="87"/>
    </row>
    <row r="876" ht="15.75" customHeight="1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  <c r="AA876" s="87"/>
      <c r="AB876" s="87"/>
      <c r="AC876" s="87"/>
      <c r="AD876" s="87"/>
      <c r="AE876" s="87"/>
      <c r="AF876" s="87"/>
      <c r="AG876" s="87"/>
      <c r="AH876" s="87"/>
      <c r="AI876" s="87"/>
    </row>
    <row r="877" ht="15.75" customHeight="1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  <c r="AA877" s="87"/>
      <c r="AB877" s="87"/>
      <c r="AC877" s="87"/>
      <c r="AD877" s="87"/>
      <c r="AE877" s="87"/>
      <c r="AF877" s="87"/>
      <c r="AG877" s="87"/>
      <c r="AH877" s="87"/>
      <c r="AI877" s="87"/>
    </row>
    <row r="878" ht="15.75" customHeight="1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  <c r="AA878" s="87"/>
      <c r="AB878" s="87"/>
      <c r="AC878" s="87"/>
      <c r="AD878" s="87"/>
      <c r="AE878" s="87"/>
      <c r="AF878" s="87"/>
      <c r="AG878" s="87"/>
      <c r="AH878" s="87"/>
      <c r="AI878" s="87"/>
    </row>
    <row r="879" ht="15.75" customHeight="1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  <c r="AA879" s="87"/>
      <c r="AB879" s="87"/>
      <c r="AC879" s="87"/>
      <c r="AD879" s="87"/>
      <c r="AE879" s="87"/>
      <c r="AF879" s="87"/>
      <c r="AG879" s="87"/>
      <c r="AH879" s="87"/>
      <c r="AI879" s="87"/>
    </row>
    <row r="880" ht="15.75" customHeight="1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  <c r="AA880" s="87"/>
      <c r="AB880" s="87"/>
      <c r="AC880" s="87"/>
      <c r="AD880" s="87"/>
      <c r="AE880" s="87"/>
      <c r="AF880" s="87"/>
      <c r="AG880" s="87"/>
      <c r="AH880" s="87"/>
      <c r="AI880" s="87"/>
    </row>
    <row r="881" ht="15.75" customHeight="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  <c r="AA881" s="87"/>
      <c r="AB881" s="87"/>
      <c r="AC881" s="87"/>
      <c r="AD881" s="87"/>
      <c r="AE881" s="87"/>
      <c r="AF881" s="87"/>
      <c r="AG881" s="87"/>
      <c r="AH881" s="87"/>
      <c r="AI881" s="87"/>
    </row>
    <row r="882" ht="15.75" customHeight="1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  <c r="AA882" s="87"/>
      <c r="AB882" s="87"/>
      <c r="AC882" s="87"/>
      <c r="AD882" s="87"/>
      <c r="AE882" s="87"/>
      <c r="AF882" s="87"/>
      <c r="AG882" s="87"/>
      <c r="AH882" s="87"/>
      <c r="AI882" s="87"/>
    </row>
    <row r="883" ht="15.75" customHeight="1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  <c r="AA883" s="87"/>
      <c r="AB883" s="87"/>
      <c r="AC883" s="87"/>
      <c r="AD883" s="87"/>
      <c r="AE883" s="87"/>
      <c r="AF883" s="87"/>
      <c r="AG883" s="87"/>
      <c r="AH883" s="87"/>
      <c r="AI883" s="87"/>
    </row>
    <row r="884" ht="15.75" customHeight="1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  <c r="AA884" s="87"/>
      <c r="AB884" s="87"/>
      <c r="AC884" s="87"/>
      <c r="AD884" s="87"/>
      <c r="AE884" s="87"/>
      <c r="AF884" s="87"/>
      <c r="AG884" s="87"/>
      <c r="AH884" s="87"/>
      <c r="AI884" s="87"/>
    </row>
    <row r="885" ht="15.75" customHeight="1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  <c r="AA885" s="87"/>
      <c r="AB885" s="87"/>
      <c r="AC885" s="87"/>
      <c r="AD885" s="87"/>
      <c r="AE885" s="87"/>
      <c r="AF885" s="87"/>
      <c r="AG885" s="87"/>
      <c r="AH885" s="87"/>
      <c r="AI885" s="87"/>
    </row>
    <row r="886" ht="15.75" customHeight="1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  <c r="AA886" s="87"/>
      <c r="AB886" s="87"/>
      <c r="AC886" s="87"/>
      <c r="AD886" s="87"/>
      <c r="AE886" s="87"/>
      <c r="AF886" s="87"/>
      <c r="AG886" s="87"/>
      <c r="AH886" s="87"/>
      <c r="AI886" s="87"/>
    </row>
    <row r="887" ht="15.75" customHeight="1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  <c r="AA887" s="87"/>
      <c r="AB887" s="87"/>
      <c r="AC887" s="87"/>
      <c r="AD887" s="87"/>
      <c r="AE887" s="87"/>
      <c r="AF887" s="87"/>
      <c r="AG887" s="87"/>
      <c r="AH887" s="87"/>
      <c r="AI887" s="87"/>
    </row>
    <row r="888" ht="15.75" customHeight="1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  <c r="AA888" s="87"/>
      <c r="AB888" s="87"/>
      <c r="AC888" s="87"/>
      <c r="AD888" s="87"/>
      <c r="AE888" s="87"/>
      <c r="AF888" s="87"/>
      <c r="AG888" s="87"/>
      <c r="AH888" s="87"/>
      <c r="AI888" s="87"/>
    </row>
    <row r="889" ht="15.75" customHeight="1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  <c r="AA889" s="87"/>
      <c r="AB889" s="87"/>
      <c r="AC889" s="87"/>
      <c r="AD889" s="87"/>
      <c r="AE889" s="87"/>
      <c r="AF889" s="87"/>
      <c r="AG889" s="87"/>
      <c r="AH889" s="87"/>
      <c r="AI889" s="87"/>
    </row>
    <row r="890" ht="15.75" customHeight="1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  <c r="AA890" s="87"/>
      <c r="AB890" s="87"/>
      <c r="AC890" s="87"/>
      <c r="AD890" s="87"/>
      <c r="AE890" s="87"/>
      <c r="AF890" s="87"/>
      <c r="AG890" s="87"/>
      <c r="AH890" s="87"/>
      <c r="AI890" s="87"/>
    </row>
    <row r="891" ht="15.75" customHeight="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  <c r="AA891" s="87"/>
      <c r="AB891" s="87"/>
      <c r="AC891" s="87"/>
      <c r="AD891" s="87"/>
      <c r="AE891" s="87"/>
      <c r="AF891" s="87"/>
      <c r="AG891" s="87"/>
      <c r="AH891" s="87"/>
      <c r="AI891" s="87"/>
    </row>
    <row r="892" ht="15.75" customHeight="1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  <c r="AA892" s="87"/>
      <c r="AB892" s="87"/>
      <c r="AC892" s="87"/>
      <c r="AD892" s="87"/>
      <c r="AE892" s="87"/>
      <c r="AF892" s="87"/>
      <c r="AG892" s="87"/>
      <c r="AH892" s="87"/>
      <c r="AI892" s="87"/>
    </row>
    <row r="893" ht="15.75" customHeight="1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  <c r="AA893" s="87"/>
      <c r="AB893" s="87"/>
      <c r="AC893" s="87"/>
      <c r="AD893" s="87"/>
      <c r="AE893" s="87"/>
      <c r="AF893" s="87"/>
      <c r="AG893" s="87"/>
      <c r="AH893" s="87"/>
      <c r="AI893" s="87"/>
    </row>
    <row r="894" ht="15.75" customHeight="1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  <c r="AA894" s="87"/>
      <c r="AB894" s="87"/>
      <c r="AC894" s="87"/>
      <c r="AD894" s="87"/>
      <c r="AE894" s="87"/>
      <c r="AF894" s="87"/>
      <c r="AG894" s="87"/>
      <c r="AH894" s="87"/>
      <c r="AI894" s="87"/>
    </row>
    <row r="895" ht="15.75" customHeight="1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  <c r="AA895" s="87"/>
      <c r="AB895" s="87"/>
      <c r="AC895" s="87"/>
      <c r="AD895" s="87"/>
      <c r="AE895" s="87"/>
      <c r="AF895" s="87"/>
      <c r="AG895" s="87"/>
      <c r="AH895" s="87"/>
      <c r="AI895" s="87"/>
    </row>
    <row r="896" ht="15.75" customHeight="1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  <c r="AA896" s="87"/>
      <c r="AB896" s="87"/>
      <c r="AC896" s="87"/>
      <c r="AD896" s="87"/>
      <c r="AE896" s="87"/>
      <c r="AF896" s="87"/>
      <c r="AG896" s="87"/>
      <c r="AH896" s="87"/>
      <c r="AI896" s="87"/>
    </row>
    <row r="897" ht="15.75" customHeight="1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  <c r="AA897" s="87"/>
      <c r="AB897" s="87"/>
      <c r="AC897" s="87"/>
      <c r="AD897" s="87"/>
      <c r="AE897" s="87"/>
      <c r="AF897" s="87"/>
      <c r="AG897" s="87"/>
      <c r="AH897" s="87"/>
      <c r="AI897" s="87"/>
    </row>
    <row r="898" ht="15.75" customHeight="1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  <c r="AA898" s="87"/>
      <c r="AB898" s="87"/>
      <c r="AC898" s="87"/>
      <c r="AD898" s="87"/>
      <c r="AE898" s="87"/>
      <c r="AF898" s="87"/>
      <c r="AG898" s="87"/>
      <c r="AH898" s="87"/>
      <c r="AI898" s="87"/>
    </row>
    <row r="899" ht="15.75" customHeight="1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  <c r="AA899" s="87"/>
      <c r="AB899" s="87"/>
      <c r="AC899" s="87"/>
      <c r="AD899" s="87"/>
      <c r="AE899" s="87"/>
      <c r="AF899" s="87"/>
      <c r="AG899" s="87"/>
      <c r="AH899" s="87"/>
      <c r="AI899" s="87"/>
    </row>
    <row r="900" ht="15.75" customHeight="1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  <c r="AA900" s="87"/>
      <c r="AB900" s="87"/>
      <c r="AC900" s="87"/>
      <c r="AD900" s="87"/>
      <c r="AE900" s="87"/>
      <c r="AF900" s="87"/>
      <c r="AG900" s="87"/>
      <c r="AH900" s="87"/>
      <c r="AI900" s="87"/>
    </row>
    <row r="901" ht="15.75" customHeight="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  <c r="AA901" s="87"/>
      <c r="AB901" s="87"/>
      <c r="AC901" s="87"/>
      <c r="AD901" s="87"/>
      <c r="AE901" s="87"/>
      <c r="AF901" s="87"/>
      <c r="AG901" s="87"/>
      <c r="AH901" s="87"/>
      <c r="AI901" s="87"/>
    </row>
    <row r="902" ht="15.75" customHeight="1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  <c r="AA902" s="87"/>
      <c r="AB902" s="87"/>
      <c r="AC902" s="87"/>
      <c r="AD902" s="87"/>
      <c r="AE902" s="87"/>
      <c r="AF902" s="87"/>
      <c r="AG902" s="87"/>
      <c r="AH902" s="87"/>
      <c r="AI902" s="87"/>
    </row>
    <row r="903" ht="15.75" customHeight="1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  <c r="AA903" s="87"/>
      <c r="AB903" s="87"/>
      <c r="AC903" s="87"/>
      <c r="AD903" s="87"/>
      <c r="AE903" s="87"/>
      <c r="AF903" s="87"/>
      <c r="AG903" s="87"/>
      <c r="AH903" s="87"/>
      <c r="AI903" s="87"/>
    </row>
    <row r="904" ht="15.75" customHeight="1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  <c r="AA904" s="87"/>
      <c r="AB904" s="87"/>
      <c r="AC904" s="87"/>
      <c r="AD904" s="87"/>
      <c r="AE904" s="87"/>
      <c r="AF904" s="87"/>
      <c r="AG904" s="87"/>
      <c r="AH904" s="87"/>
      <c r="AI904" s="87"/>
    </row>
    <row r="905" ht="15.75" customHeight="1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  <c r="AA905" s="87"/>
      <c r="AB905" s="87"/>
      <c r="AC905" s="87"/>
      <c r="AD905" s="87"/>
      <c r="AE905" s="87"/>
      <c r="AF905" s="87"/>
      <c r="AG905" s="87"/>
      <c r="AH905" s="87"/>
      <c r="AI905" s="87"/>
    </row>
    <row r="906" ht="15.75" customHeight="1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  <c r="AA906" s="87"/>
      <c r="AB906" s="87"/>
      <c r="AC906" s="87"/>
      <c r="AD906" s="87"/>
      <c r="AE906" s="87"/>
      <c r="AF906" s="87"/>
      <c r="AG906" s="87"/>
      <c r="AH906" s="87"/>
      <c r="AI906" s="87"/>
    </row>
    <row r="907" ht="15.75" customHeight="1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  <c r="AA907" s="87"/>
      <c r="AB907" s="87"/>
      <c r="AC907" s="87"/>
      <c r="AD907" s="87"/>
      <c r="AE907" s="87"/>
      <c r="AF907" s="87"/>
      <c r="AG907" s="87"/>
      <c r="AH907" s="87"/>
      <c r="AI907" s="87"/>
    </row>
    <row r="908" ht="15.75" customHeight="1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  <c r="AA908" s="87"/>
      <c r="AB908" s="87"/>
      <c r="AC908" s="87"/>
      <c r="AD908" s="87"/>
      <c r="AE908" s="87"/>
      <c r="AF908" s="87"/>
      <c r="AG908" s="87"/>
      <c r="AH908" s="87"/>
      <c r="AI908" s="87"/>
    </row>
    <row r="909" ht="15.75" customHeight="1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  <c r="AA909" s="87"/>
      <c r="AB909" s="87"/>
      <c r="AC909" s="87"/>
      <c r="AD909" s="87"/>
      <c r="AE909" s="87"/>
      <c r="AF909" s="87"/>
      <c r="AG909" s="87"/>
      <c r="AH909" s="87"/>
      <c r="AI909" s="87"/>
    </row>
    <row r="910" ht="15.75" customHeight="1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  <c r="AA910" s="87"/>
      <c r="AB910" s="87"/>
      <c r="AC910" s="87"/>
      <c r="AD910" s="87"/>
      <c r="AE910" s="87"/>
      <c r="AF910" s="87"/>
      <c r="AG910" s="87"/>
      <c r="AH910" s="87"/>
      <c r="AI910" s="87"/>
    </row>
    <row r="911" ht="15.75" customHeight="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  <c r="AA911" s="87"/>
      <c r="AB911" s="87"/>
      <c r="AC911" s="87"/>
      <c r="AD911" s="87"/>
      <c r="AE911" s="87"/>
      <c r="AF911" s="87"/>
      <c r="AG911" s="87"/>
      <c r="AH911" s="87"/>
      <c r="AI911" s="87"/>
    </row>
    <row r="912" ht="15.75" customHeight="1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  <c r="AA912" s="87"/>
      <c r="AB912" s="87"/>
      <c r="AC912" s="87"/>
      <c r="AD912" s="87"/>
      <c r="AE912" s="87"/>
      <c r="AF912" s="87"/>
      <c r="AG912" s="87"/>
      <c r="AH912" s="87"/>
      <c r="AI912" s="87"/>
    </row>
    <row r="913" ht="15.75" customHeight="1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  <c r="AA913" s="87"/>
      <c r="AB913" s="87"/>
      <c r="AC913" s="87"/>
      <c r="AD913" s="87"/>
      <c r="AE913" s="87"/>
      <c r="AF913" s="87"/>
      <c r="AG913" s="87"/>
      <c r="AH913" s="87"/>
      <c r="AI913" s="87"/>
    </row>
    <row r="914" ht="15.75" customHeight="1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  <c r="AA914" s="87"/>
      <c r="AB914" s="87"/>
      <c r="AC914" s="87"/>
      <c r="AD914" s="87"/>
      <c r="AE914" s="87"/>
      <c r="AF914" s="87"/>
      <c r="AG914" s="87"/>
      <c r="AH914" s="87"/>
      <c r="AI914" s="87"/>
    </row>
    <row r="915" ht="15.75" customHeight="1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  <c r="AA915" s="87"/>
      <c r="AB915" s="87"/>
      <c r="AC915" s="87"/>
      <c r="AD915" s="87"/>
      <c r="AE915" s="87"/>
      <c r="AF915" s="87"/>
      <c r="AG915" s="87"/>
      <c r="AH915" s="87"/>
      <c r="AI915" s="87"/>
    </row>
    <row r="916" ht="15.75" customHeight="1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  <c r="AA916" s="87"/>
      <c r="AB916" s="87"/>
      <c r="AC916" s="87"/>
      <c r="AD916" s="87"/>
      <c r="AE916" s="87"/>
      <c r="AF916" s="87"/>
      <c r="AG916" s="87"/>
      <c r="AH916" s="87"/>
      <c r="AI916" s="87"/>
    </row>
    <row r="917" ht="15.75" customHeight="1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  <c r="AA917" s="87"/>
      <c r="AB917" s="87"/>
      <c r="AC917" s="87"/>
      <c r="AD917" s="87"/>
      <c r="AE917" s="87"/>
      <c r="AF917" s="87"/>
      <c r="AG917" s="87"/>
      <c r="AH917" s="87"/>
      <c r="AI917" s="87"/>
    </row>
    <row r="918" ht="15.75" customHeight="1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  <c r="AA918" s="87"/>
      <c r="AB918" s="87"/>
      <c r="AC918" s="87"/>
      <c r="AD918" s="87"/>
      <c r="AE918" s="87"/>
      <c r="AF918" s="87"/>
      <c r="AG918" s="87"/>
      <c r="AH918" s="87"/>
      <c r="AI918" s="87"/>
    </row>
    <row r="919" ht="15.75" customHeight="1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  <c r="AA919" s="87"/>
      <c r="AB919" s="87"/>
      <c r="AC919" s="87"/>
      <c r="AD919" s="87"/>
      <c r="AE919" s="87"/>
      <c r="AF919" s="87"/>
      <c r="AG919" s="87"/>
      <c r="AH919" s="87"/>
      <c r="AI919" s="87"/>
    </row>
    <row r="920" ht="15.75" customHeight="1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  <c r="AA920" s="87"/>
      <c r="AB920" s="87"/>
      <c r="AC920" s="87"/>
      <c r="AD920" s="87"/>
      <c r="AE920" s="87"/>
      <c r="AF920" s="87"/>
      <c r="AG920" s="87"/>
      <c r="AH920" s="87"/>
      <c r="AI920" s="87"/>
    </row>
    <row r="921" ht="15.75" customHeight="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  <c r="AA921" s="87"/>
      <c r="AB921" s="87"/>
      <c r="AC921" s="87"/>
      <c r="AD921" s="87"/>
      <c r="AE921" s="87"/>
      <c r="AF921" s="87"/>
      <c r="AG921" s="87"/>
      <c r="AH921" s="87"/>
      <c r="AI921" s="87"/>
    </row>
    <row r="922" ht="15.75" customHeight="1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  <c r="AA922" s="87"/>
      <c r="AB922" s="87"/>
      <c r="AC922" s="87"/>
      <c r="AD922" s="87"/>
      <c r="AE922" s="87"/>
      <c r="AF922" s="87"/>
      <c r="AG922" s="87"/>
      <c r="AH922" s="87"/>
      <c r="AI922" s="87"/>
    </row>
    <row r="923" ht="15.75" customHeight="1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  <c r="AA923" s="87"/>
      <c r="AB923" s="87"/>
      <c r="AC923" s="87"/>
      <c r="AD923" s="87"/>
      <c r="AE923" s="87"/>
      <c r="AF923" s="87"/>
      <c r="AG923" s="87"/>
      <c r="AH923" s="87"/>
      <c r="AI923" s="87"/>
    </row>
    <row r="924" ht="15.75" customHeight="1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  <c r="AA924" s="87"/>
      <c r="AB924" s="87"/>
      <c r="AC924" s="87"/>
      <c r="AD924" s="87"/>
      <c r="AE924" s="87"/>
      <c r="AF924" s="87"/>
      <c r="AG924" s="87"/>
      <c r="AH924" s="87"/>
      <c r="AI924" s="87"/>
    </row>
    <row r="925" ht="15.75" customHeight="1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  <c r="AA925" s="87"/>
      <c r="AB925" s="87"/>
      <c r="AC925" s="87"/>
      <c r="AD925" s="87"/>
      <c r="AE925" s="87"/>
      <c r="AF925" s="87"/>
      <c r="AG925" s="87"/>
      <c r="AH925" s="87"/>
      <c r="AI925" s="87"/>
    </row>
    <row r="926" ht="15.75" customHeight="1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  <c r="AA926" s="87"/>
      <c r="AB926" s="87"/>
      <c r="AC926" s="87"/>
      <c r="AD926" s="87"/>
      <c r="AE926" s="87"/>
      <c r="AF926" s="87"/>
      <c r="AG926" s="87"/>
      <c r="AH926" s="87"/>
      <c r="AI926" s="87"/>
    </row>
    <row r="927" ht="15.75" customHeight="1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  <c r="AA927" s="87"/>
      <c r="AB927" s="87"/>
      <c r="AC927" s="87"/>
      <c r="AD927" s="87"/>
      <c r="AE927" s="87"/>
      <c r="AF927" s="87"/>
      <c r="AG927" s="87"/>
      <c r="AH927" s="87"/>
      <c r="AI927" s="87"/>
    </row>
    <row r="928" ht="15.75" customHeight="1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  <c r="AA928" s="87"/>
      <c r="AB928" s="87"/>
      <c r="AC928" s="87"/>
      <c r="AD928" s="87"/>
      <c r="AE928" s="87"/>
      <c r="AF928" s="87"/>
      <c r="AG928" s="87"/>
      <c r="AH928" s="87"/>
      <c r="AI928" s="87"/>
    </row>
    <row r="929" ht="15.75" customHeight="1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  <c r="AA929" s="87"/>
      <c r="AB929" s="87"/>
      <c r="AC929" s="87"/>
      <c r="AD929" s="87"/>
      <c r="AE929" s="87"/>
      <c r="AF929" s="87"/>
      <c r="AG929" s="87"/>
      <c r="AH929" s="87"/>
      <c r="AI929" s="87"/>
    </row>
    <row r="930" ht="15.75" customHeight="1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  <c r="AA930" s="87"/>
      <c r="AB930" s="87"/>
      <c r="AC930" s="87"/>
      <c r="AD930" s="87"/>
      <c r="AE930" s="87"/>
      <c r="AF930" s="87"/>
      <c r="AG930" s="87"/>
      <c r="AH930" s="87"/>
      <c r="AI930" s="87"/>
    </row>
    <row r="931" ht="15.75" customHeight="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  <c r="AA931" s="87"/>
      <c r="AB931" s="87"/>
      <c r="AC931" s="87"/>
      <c r="AD931" s="87"/>
      <c r="AE931" s="87"/>
      <c r="AF931" s="87"/>
      <c r="AG931" s="87"/>
      <c r="AH931" s="87"/>
      <c r="AI931" s="87"/>
    </row>
    <row r="932" ht="15.75" customHeight="1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  <c r="AA932" s="87"/>
      <c r="AB932" s="87"/>
      <c r="AC932" s="87"/>
      <c r="AD932" s="87"/>
      <c r="AE932" s="87"/>
      <c r="AF932" s="87"/>
      <c r="AG932" s="87"/>
      <c r="AH932" s="87"/>
      <c r="AI932" s="87"/>
    </row>
    <row r="933" ht="15.75" customHeight="1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  <c r="AA933" s="87"/>
      <c r="AB933" s="87"/>
      <c r="AC933" s="87"/>
      <c r="AD933" s="87"/>
      <c r="AE933" s="87"/>
      <c r="AF933" s="87"/>
      <c r="AG933" s="87"/>
      <c r="AH933" s="87"/>
      <c r="AI933" s="87"/>
    </row>
    <row r="934" ht="15.75" customHeight="1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  <c r="AA934" s="87"/>
      <c r="AB934" s="87"/>
      <c r="AC934" s="87"/>
      <c r="AD934" s="87"/>
      <c r="AE934" s="87"/>
      <c r="AF934" s="87"/>
      <c r="AG934" s="87"/>
      <c r="AH934" s="87"/>
      <c r="AI934" s="87"/>
    </row>
    <row r="935" ht="15.75" customHeight="1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  <c r="AA935" s="87"/>
      <c r="AB935" s="87"/>
      <c r="AC935" s="87"/>
      <c r="AD935" s="87"/>
      <c r="AE935" s="87"/>
      <c r="AF935" s="87"/>
      <c r="AG935" s="87"/>
      <c r="AH935" s="87"/>
      <c r="AI935" s="87"/>
    </row>
    <row r="936" ht="15.75" customHeight="1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  <c r="AA936" s="87"/>
      <c r="AB936" s="87"/>
      <c r="AC936" s="87"/>
      <c r="AD936" s="87"/>
      <c r="AE936" s="87"/>
      <c r="AF936" s="87"/>
      <c r="AG936" s="87"/>
      <c r="AH936" s="87"/>
      <c r="AI936" s="87"/>
    </row>
    <row r="937" ht="15.75" customHeight="1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  <c r="AA937" s="87"/>
      <c r="AB937" s="87"/>
      <c r="AC937" s="87"/>
      <c r="AD937" s="87"/>
      <c r="AE937" s="87"/>
      <c r="AF937" s="87"/>
      <c r="AG937" s="87"/>
      <c r="AH937" s="87"/>
      <c r="AI937" s="87"/>
    </row>
    <row r="938" ht="15.75" customHeight="1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  <c r="AA938" s="87"/>
      <c r="AB938" s="87"/>
      <c r="AC938" s="87"/>
      <c r="AD938" s="87"/>
      <c r="AE938" s="87"/>
      <c r="AF938" s="87"/>
      <c r="AG938" s="87"/>
      <c r="AH938" s="87"/>
      <c r="AI938" s="87"/>
    </row>
    <row r="939" ht="15.75" customHeight="1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  <c r="AA939" s="87"/>
      <c r="AB939" s="87"/>
      <c r="AC939" s="87"/>
      <c r="AD939" s="87"/>
      <c r="AE939" s="87"/>
      <c r="AF939" s="87"/>
      <c r="AG939" s="87"/>
      <c r="AH939" s="87"/>
      <c r="AI939" s="87"/>
    </row>
    <row r="940" ht="15.75" customHeight="1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  <c r="AA940" s="87"/>
      <c r="AB940" s="87"/>
      <c r="AC940" s="87"/>
      <c r="AD940" s="87"/>
      <c r="AE940" s="87"/>
      <c r="AF940" s="87"/>
      <c r="AG940" s="87"/>
      <c r="AH940" s="87"/>
      <c r="AI940" s="87"/>
    </row>
    <row r="941" ht="15.75" customHeight="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  <c r="AA941" s="87"/>
      <c r="AB941" s="87"/>
      <c r="AC941" s="87"/>
      <c r="AD941" s="87"/>
      <c r="AE941" s="87"/>
      <c r="AF941" s="87"/>
      <c r="AG941" s="87"/>
      <c r="AH941" s="87"/>
      <c r="AI941" s="87"/>
    </row>
    <row r="942" ht="15.75" customHeight="1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  <c r="AA942" s="87"/>
      <c r="AB942" s="87"/>
      <c r="AC942" s="87"/>
      <c r="AD942" s="87"/>
      <c r="AE942" s="87"/>
      <c r="AF942" s="87"/>
      <c r="AG942" s="87"/>
      <c r="AH942" s="87"/>
      <c r="AI942" s="87"/>
    </row>
    <row r="943" ht="15.75" customHeight="1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  <c r="AA943" s="87"/>
      <c r="AB943" s="87"/>
      <c r="AC943" s="87"/>
      <c r="AD943" s="87"/>
      <c r="AE943" s="87"/>
      <c r="AF943" s="87"/>
      <c r="AG943" s="87"/>
      <c r="AH943" s="87"/>
      <c r="AI943" s="87"/>
    </row>
    <row r="944" ht="15.75" customHeight="1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  <c r="AA944" s="87"/>
      <c r="AB944" s="87"/>
      <c r="AC944" s="87"/>
      <c r="AD944" s="87"/>
      <c r="AE944" s="87"/>
      <c r="AF944" s="87"/>
      <c r="AG944" s="87"/>
      <c r="AH944" s="87"/>
      <c r="AI944" s="87"/>
    </row>
    <row r="945" ht="15.75" customHeight="1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  <c r="AA945" s="87"/>
      <c r="AB945" s="87"/>
      <c r="AC945" s="87"/>
      <c r="AD945" s="87"/>
      <c r="AE945" s="87"/>
      <c r="AF945" s="87"/>
      <c r="AG945" s="87"/>
      <c r="AH945" s="87"/>
      <c r="AI945" s="87"/>
    </row>
    <row r="946" ht="15.75" customHeight="1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  <c r="AA946" s="87"/>
      <c r="AB946" s="87"/>
      <c r="AC946" s="87"/>
      <c r="AD946" s="87"/>
      <c r="AE946" s="87"/>
      <c r="AF946" s="87"/>
      <c r="AG946" s="87"/>
      <c r="AH946" s="87"/>
      <c r="AI946" s="87"/>
    </row>
    <row r="947" ht="15.75" customHeight="1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  <c r="AA947" s="87"/>
      <c r="AB947" s="87"/>
      <c r="AC947" s="87"/>
      <c r="AD947" s="87"/>
      <c r="AE947" s="87"/>
      <c r="AF947" s="87"/>
      <c r="AG947" s="87"/>
      <c r="AH947" s="87"/>
      <c r="AI947" s="87"/>
    </row>
    <row r="948" ht="15.75" customHeight="1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  <c r="AA948" s="87"/>
      <c r="AB948" s="87"/>
      <c r="AC948" s="87"/>
      <c r="AD948" s="87"/>
      <c r="AE948" s="87"/>
      <c r="AF948" s="87"/>
      <c r="AG948" s="87"/>
      <c r="AH948" s="87"/>
      <c r="AI948" s="87"/>
    </row>
    <row r="949" ht="15.75" customHeight="1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  <c r="AA949" s="87"/>
      <c r="AB949" s="87"/>
      <c r="AC949" s="87"/>
      <c r="AD949" s="87"/>
      <c r="AE949" s="87"/>
      <c r="AF949" s="87"/>
      <c r="AG949" s="87"/>
      <c r="AH949" s="87"/>
      <c r="AI949" s="87"/>
    </row>
    <row r="950" ht="15.75" customHeight="1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  <c r="AA950" s="87"/>
      <c r="AB950" s="87"/>
      <c r="AC950" s="87"/>
      <c r="AD950" s="87"/>
      <c r="AE950" s="87"/>
      <c r="AF950" s="87"/>
      <c r="AG950" s="87"/>
      <c r="AH950" s="87"/>
      <c r="AI950" s="87"/>
    </row>
    <row r="951" ht="15.75" customHeight="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  <c r="AA951" s="87"/>
      <c r="AB951" s="87"/>
      <c r="AC951" s="87"/>
      <c r="AD951" s="87"/>
      <c r="AE951" s="87"/>
      <c r="AF951" s="87"/>
      <c r="AG951" s="87"/>
      <c r="AH951" s="87"/>
      <c r="AI951" s="87"/>
    </row>
    <row r="952" ht="15.75" customHeight="1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  <c r="AA952" s="87"/>
      <c r="AB952" s="87"/>
      <c r="AC952" s="87"/>
      <c r="AD952" s="87"/>
      <c r="AE952" s="87"/>
      <c r="AF952" s="87"/>
      <c r="AG952" s="87"/>
      <c r="AH952" s="87"/>
      <c r="AI952" s="87"/>
    </row>
    <row r="953" ht="15.75" customHeight="1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  <c r="AA953" s="87"/>
      <c r="AB953" s="87"/>
      <c r="AC953" s="87"/>
      <c r="AD953" s="87"/>
      <c r="AE953" s="87"/>
      <c r="AF953" s="87"/>
      <c r="AG953" s="87"/>
      <c r="AH953" s="87"/>
      <c r="AI953" s="87"/>
    </row>
    <row r="954" ht="15.75" customHeight="1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  <c r="AA954" s="87"/>
      <c r="AB954" s="87"/>
      <c r="AC954" s="87"/>
      <c r="AD954" s="87"/>
      <c r="AE954" s="87"/>
      <c r="AF954" s="87"/>
      <c r="AG954" s="87"/>
      <c r="AH954" s="87"/>
      <c r="AI954" s="87"/>
    </row>
    <row r="955" ht="15.75" customHeight="1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  <c r="AA955" s="87"/>
      <c r="AB955" s="87"/>
      <c r="AC955" s="87"/>
      <c r="AD955" s="87"/>
      <c r="AE955" s="87"/>
      <c r="AF955" s="87"/>
      <c r="AG955" s="87"/>
      <c r="AH955" s="87"/>
      <c r="AI955" s="87"/>
    </row>
    <row r="956" ht="15.75" customHeight="1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  <c r="AA956" s="87"/>
      <c r="AB956" s="87"/>
      <c r="AC956" s="87"/>
      <c r="AD956" s="87"/>
      <c r="AE956" s="87"/>
      <c r="AF956" s="87"/>
      <c r="AG956" s="87"/>
      <c r="AH956" s="87"/>
      <c r="AI956" s="87"/>
    </row>
    <row r="957" ht="15.75" customHeight="1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  <c r="AA957" s="87"/>
      <c r="AB957" s="87"/>
      <c r="AC957" s="87"/>
      <c r="AD957" s="87"/>
      <c r="AE957" s="87"/>
      <c r="AF957" s="87"/>
      <c r="AG957" s="87"/>
      <c r="AH957" s="87"/>
      <c r="AI957" s="87"/>
    </row>
    <row r="958" ht="15.75" customHeight="1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  <c r="AA958" s="87"/>
      <c r="AB958" s="87"/>
      <c r="AC958" s="87"/>
      <c r="AD958" s="87"/>
      <c r="AE958" s="87"/>
      <c r="AF958" s="87"/>
      <c r="AG958" s="87"/>
      <c r="AH958" s="87"/>
      <c r="AI958" s="87"/>
    </row>
    <row r="959" ht="15.75" customHeight="1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  <c r="AA959" s="87"/>
      <c r="AB959" s="87"/>
      <c r="AC959" s="87"/>
      <c r="AD959" s="87"/>
      <c r="AE959" s="87"/>
      <c r="AF959" s="87"/>
      <c r="AG959" s="87"/>
      <c r="AH959" s="87"/>
      <c r="AI959" s="87"/>
    </row>
    <row r="960" ht="15.75" customHeight="1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  <c r="AA960" s="87"/>
      <c r="AB960" s="87"/>
      <c r="AC960" s="87"/>
      <c r="AD960" s="87"/>
      <c r="AE960" s="87"/>
      <c r="AF960" s="87"/>
      <c r="AG960" s="87"/>
      <c r="AH960" s="87"/>
      <c r="AI960" s="87"/>
    </row>
    <row r="961" ht="15.75" customHeight="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  <c r="AA961" s="87"/>
      <c r="AB961" s="87"/>
      <c r="AC961" s="87"/>
      <c r="AD961" s="87"/>
      <c r="AE961" s="87"/>
      <c r="AF961" s="87"/>
      <c r="AG961" s="87"/>
      <c r="AH961" s="87"/>
      <c r="AI961" s="87"/>
    </row>
    <row r="962" ht="15.75" customHeight="1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  <c r="AA962" s="87"/>
      <c r="AB962" s="87"/>
      <c r="AC962" s="87"/>
      <c r="AD962" s="87"/>
      <c r="AE962" s="87"/>
      <c r="AF962" s="87"/>
      <c r="AG962" s="87"/>
      <c r="AH962" s="87"/>
      <c r="AI962" s="87"/>
    </row>
    <row r="963" ht="15.75" customHeight="1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  <c r="AA963" s="87"/>
      <c r="AB963" s="87"/>
      <c r="AC963" s="87"/>
      <c r="AD963" s="87"/>
      <c r="AE963" s="87"/>
      <c r="AF963" s="87"/>
      <c r="AG963" s="87"/>
      <c r="AH963" s="87"/>
      <c r="AI963" s="87"/>
    </row>
    <row r="964" ht="15.75" customHeight="1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  <c r="AA964" s="87"/>
      <c r="AB964" s="87"/>
      <c r="AC964" s="87"/>
      <c r="AD964" s="87"/>
      <c r="AE964" s="87"/>
      <c r="AF964" s="87"/>
      <c r="AG964" s="87"/>
      <c r="AH964" s="87"/>
      <c r="AI964" s="87"/>
    </row>
    <row r="965" ht="15.75" customHeight="1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  <c r="AA965" s="87"/>
      <c r="AB965" s="87"/>
      <c r="AC965" s="87"/>
      <c r="AD965" s="87"/>
      <c r="AE965" s="87"/>
      <c r="AF965" s="87"/>
      <c r="AG965" s="87"/>
      <c r="AH965" s="87"/>
      <c r="AI965" s="87"/>
    </row>
    <row r="966" ht="15.75" customHeight="1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  <c r="AA966" s="87"/>
      <c r="AB966" s="87"/>
      <c r="AC966" s="87"/>
      <c r="AD966" s="87"/>
      <c r="AE966" s="87"/>
      <c r="AF966" s="87"/>
      <c r="AG966" s="87"/>
      <c r="AH966" s="87"/>
      <c r="AI966" s="87"/>
    </row>
    <row r="967" ht="15.75" customHeight="1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  <c r="AA967" s="87"/>
      <c r="AB967" s="87"/>
      <c r="AC967" s="87"/>
      <c r="AD967" s="87"/>
      <c r="AE967" s="87"/>
      <c r="AF967" s="87"/>
      <c r="AG967" s="87"/>
      <c r="AH967" s="87"/>
      <c r="AI967" s="87"/>
    </row>
    <row r="968" ht="15.75" customHeight="1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  <c r="AA968" s="87"/>
      <c r="AB968" s="87"/>
      <c r="AC968" s="87"/>
      <c r="AD968" s="87"/>
      <c r="AE968" s="87"/>
      <c r="AF968" s="87"/>
      <c r="AG968" s="87"/>
      <c r="AH968" s="87"/>
      <c r="AI968" s="87"/>
    </row>
    <row r="969" ht="15.75" customHeight="1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  <c r="AA969" s="87"/>
      <c r="AB969" s="87"/>
      <c r="AC969" s="87"/>
      <c r="AD969" s="87"/>
      <c r="AE969" s="87"/>
      <c r="AF969" s="87"/>
      <c r="AG969" s="87"/>
      <c r="AH969" s="87"/>
      <c r="AI969" s="87"/>
    </row>
    <row r="970" ht="15.75" customHeight="1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  <c r="AA970" s="87"/>
      <c r="AB970" s="87"/>
      <c r="AC970" s="87"/>
      <c r="AD970" s="87"/>
      <c r="AE970" s="87"/>
      <c r="AF970" s="87"/>
      <c r="AG970" s="87"/>
      <c r="AH970" s="87"/>
      <c r="AI970" s="87"/>
    </row>
    <row r="971" ht="15.75" customHeight="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  <c r="AA971" s="87"/>
      <c r="AB971" s="87"/>
      <c r="AC971" s="87"/>
      <c r="AD971" s="87"/>
      <c r="AE971" s="87"/>
      <c r="AF971" s="87"/>
      <c r="AG971" s="87"/>
      <c r="AH971" s="87"/>
      <c r="AI971" s="87"/>
    </row>
    <row r="972" ht="15.75" customHeight="1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  <c r="AA972" s="87"/>
      <c r="AB972" s="87"/>
      <c r="AC972" s="87"/>
      <c r="AD972" s="87"/>
      <c r="AE972" s="87"/>
      <c r="AF972" s="87"/>
      <c r="AG972" s="87"/>
      <c r="AH972" s="87"/>
      <c r="AI972" s="87"/>
    </row>
    <row r="973" ht="15.75" customHeight="1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  <c r="AA973" s="87"/>
      <c r="AB973" s="87"/>
      <c r="AC973" s="87"/>
      <c r="AD973" s="87"/>
      <c r="AE973" s="87"/>
      <c r="AF973" s="87"/>
      <c r="AG973" s="87"/>
      <c r="AH973" s="87"/>
      <c r="AI973" s="87"/>
    </row>
    <row r="974" ht="15.75" customHeight="1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  <c r="AA974" s="87"/>
      <c r="AB974" s="87"/>
      <c r="AC974" s="87"/>
      <c r="AD974" s="87"/>
      <c r="AE974" s="87"/>
      <c r="AF974" s="87"/>
      <c r="AG974" s="87"/>
      <c r="AH974" s="87"/>
      <c r="AI974" s="87"/>
    </row>
    <row r="975" ht="15.75" customHeight="1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  <c r="AA975" s="87"/>
      <c r="AB975" s="87"/>
      <c r="AC975" s="87"/>
      <c r="AD975" s="87"/>
      <c r="AE975" s="87"/>
      <c r="AF975" s="87"/>
      <c r="AG975" s="87"/>
      <c r="AH975" s="87"/>
      <c r="AI975" s="87"/>
    </row>
    <row r="976" ht="15.75" customHeight="1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  <c r="AA976" s="87"/>
      <c r="AB976" s="87"/>
      <c r="AC976" s="87"/>
      <c r="AD976" s="87"/>
      <c r="AE976" s="87"/>
      <c r="AF976" s="87"/>
      <c r="AG976" s="87"/>
      <c r="AH976" s="87"/>
      <c r="AI976" s="87"/>
    </row>
    <row r="977" ht="15.75" customHeight="1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  <c r="AA977" s="87"/>
      <c r="AB977" s="87"/>
      <c r="AC977" s="87"/>
      <c r="AD977" s="87"/>
      <c r="AE977" s="87"/>
      <c r="AF977" s="87"/>
      <c r="AG977" s="87"/>
      <c r="AH977" s="87"/>
      <c r="AI977" s="87"/>
    </row>
    <row r="978" ht="15.75" customHeight="1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  <c r="AA978" s="87"/>
      <c r="AB978" s="87"/>
      <c r="AC978" s="87"/>
      <c r="AD978" s="87"/>
      <c r="AE978" s="87"/>
      <c r="AF978" s="87"/>
      <c r="AG978" s="87"/>
      <c r="AH978" s="87"/>
      <c r="AI978" s="87"/>
    </row>
    <row r="979" ht="15.75" customHeight="1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  <c r="AA979" s="87"/>
      <c r="AB979" s="87"/>
      <c r="AC979" s="87"/>
      <c r="AD979" s="87"/>
      <c r="AE979" s="87"/>
      <c r="AF979" s="87"/>
      <c r="AG979" s="87"/>
      <c r="AH979" s="87"/>
      <c r="AI979" s="87"/>
    </row>
    <row r="980" ht="15.75" customHeight="1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  <c r="AA980" s="87"/>
      <c r="AB980" s="87"/>
      <c r="AC980" s="87"/>
      <c r="AD980" s="87"/>
      <c r="AE980" s="87"/>
      <c r="AF980" s="87"/>
      <c r="AG980" s="87"/>
      <c r="AH980" s="87"/>
      <c r="AI980" s="87"/>
    </row>
    <row r="981" ht="15.75" customHeight="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  <c r="AA981" s="87"/>
      <c r="AB981" s="87"/>
      <c r="AC981" s="87"/>
      <c r="AD981" s="87"/>
      <c r="AE981" s="87"/>
      <c r="AF981" s="87"/>
      <c r="AG981" s="87"/>
      <c r="AH981" s="87"/>
      <c r="AI981" s="87"/>
    </row>
    <row r="982" ht="15.75" customHeight="1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  <c r="AA982" s="87"/>
      <c r="AB982" s="87"/>
      <c r="AC982" s="87"/>
      <c r="AD982" s="87"/>
      <c r="AE982" s="87"/>
      <c r="AF982" s="87"/>
      <c r="AG982" s="87"/>
      <c r="AH982" s="87"/>
      <c r="AI982" s="87"/>
    </row>
    <row r="983" ht="15.75" customHeight="1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  <c r="AA983" s="87"/>
      <c r="AB983" s="87"/>
      <c r="AC983" s="87"/>
      <c r="AD983" s="87"/>
      <c r="AE983" s="87"/>
      <c r="AF983" s="87"/>
      <c r="AG983" s="87"/>
      <c r="AH983" s="87"/>
      <c r="AI983" s="87"/>
    </row>
    <row r="984" ht="15.75" customHeight="1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  <c r="AA984" s="87"/>
      <c r="AB984" s="87"/>
      <c r="AC984" s="87"/>
      <c r="AD984" s="87"/>
      <c r="AE984" s="87"/>
      <c r="AF984" s="87"/>
      <c r="AG984" s="87"/>
      <c r="AH984" s="87"/>
      <c r="AI984" s="87"/>
    </row>
    <row r="985" ht="15.75" customHeight="1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  <c r="AA985" s="87"/>
      <c r="AB985" s="87"/>
      <c r="AC985" s="87"/>
      <c r="AD985" s="87"/>
      <c r="AE985" s="87"/>
      <c r="AF985" s="87"/>
      <c r="AG985" s="87"/>
      <c r="AH985" s="87"/>
      <c r="AI985" s="87"/>
    </row>
    <row r="986" ht="15.75" customHeight="1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  <c r="AA986" s="87"/>
      <c r="AB986" s="87"/>
      <c r="AC986" s="87"/>
      <c r="AD986" s="87"/>
      <c r="AE986" s="87"/>
      <c r="AF986" s="87"/>
      <c r="AG986" s="87"/>
      <c r="AH986" s="87"/>
      <c r="AI986" s="87"/>
    </row>
    <row r="987" ht="15.75" customHeight="1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  <c r="AA987" s="87"/>
      <c r="AB987" s="87"/>
      <c r="AC987" s="87"/>
      <c r="AD987" s="87"/>
      <c r="AE987" s="87"/>
      <c r="AF987" s="87"/>
      <c r="AG987" s="87"/>
      <c r="AH987" s="87"/>
      <c r="AI987" s="87"/>
    </row>
    <row r="988" ht="15.75" customHeight="1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  <c r="AA988" s="87"/>
      <c r="AB988" s="87"/>
      <c r="AC988" s="87"/>
      <c r="AD988" s="87"/>
      <c r="AE988" s="87"/>
      <c r="AF988" s="87"/>
      <c r="AG988" s="87"/>
      <c r="AH988" s="87"/>
      <c r="AI988" s="87"/>
    </row>
    <row r="989" ht="15.75" customHeight="1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  <c r="AA989" s="87"/>
      <c r="AB989" s="87"/>
      <c r="AC989" s="87"/>
      <c r="AD989" s="87"/>
      <c r="AE989" s="87"/>
      <c r="AF989" s="87"/>
      <c r="AG989" s="87"/>
      <c r="AH989" s="87"/>
      <c r="AI989" s="87"/>
    </row>
    <row r="990" ht="15.75" customHeight="1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  <c r="AA990" s="87"/>
      <c r="AB990" s="87"/>
      <c r="AC990" s="87"/>
      <c r="AD990" s="87"/>
      <c r="AE990" s="87"/>
      <c r="AF990" s="87"/>
      <c r="AG990" s="87"/>
      <c r="AH990" s="87"/>
      <c r="AI990" s="87"/>
    </row>
    <row r="991" ht="15.75" customHeight="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  <c r="AA991" s="87"/>
      <c r="AB991" s="87"/>
      <c r="AC991" s="87"/>
      <c r="AD991" s="87"/>
      <c r="AE991" s="87"/>
      <c r="AF991" s="87"/>
      <c r="AG991" s="87"/>
      <c r="AH991" s="87"/>
      <c r="AI991" s="87"/>
    </row>
    <row r="992" ht="15.75" customHeight="1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  <c r="AA992" s="87"/>
      <c r="AB992" s="87"/>
      <c r="AC992" s="87"/>
      <c r="AD992" s="87"/>
      <c r="AE992" s="87"/>
      <c r="AF992" s="87"/>
      <c r="AG992" s="87"/>
      <c r="AH992" s="87"/>
      <c r="AI992" s="87"/>
    </row>
    <row r="993" ht="15.75" customHeight="1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  <c r="AA993" s="87"/>
      <c r="AB993" s="87"/>
      <c r="AC993" s="87"/>
      <c r="AD993" s="87"/>
      <c r="AE993" s="87"/>
      <c r="AF993" s="87"/>
      <c r="AG993" s="87"/>
      <c r="AH993" s="87"/>
      <c r="AI993" s="87"/>
    </row>
    <row r="994" ht="15.75" customHeight="1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  <c r="AA994" s="87"/>
      <c r="AB994" s="87"/>
      <c r="AC994" s="87"/>
      <c r="AD994" s="87"/>
      <c r="AE994" s="87"/>
      <c r="AF994" s="87"/>
      <c r="AG994" s="87"/>
      <c r="AH994" s="87"/>
      <c r="AI994" s="87"/>
    </row>
    <row r="995" ht="15.75" customHeight="1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  <c r="AA995" s="87"/>
      <c r="AB995" s="87"/>
      <c r="AC995" s="87"/>
      <c r="AD995" s="87"/>
      <c r="AE995" s="87"/>
      <c r="AF995" s="87"/>
      <c r="AG995" s="87"/>
      <c r="AH995" s="87"/>
      <c r="AI995" s="87"/>
    </row>
    <row r="996" ht="15.75" customHeight="1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  <c r="AA996" s="87"/>
      <c r="AB996" s="87"/>
      <c r="AC996" s="87"/>
      <c r="AD996" s="87"/>
      <c r="AE996" s="87"/>
      <c r="AF996" s="87"/>
      <c r="AG996" s="87"/>
      <c r="AH996" s="87"/>
      <c r="AI996" s="87"/>
    </row>
    <row r="997" ht="15.75" customHeight="1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  <c r="AA997" s="87"/>
      <c r="AB997" s="87"/>
      <c r="AC997" s="87"/>
      <c r="AD997" s="87"/>
      <c r="AE997" s="87"/>
      <c r="AF997" s="87"/>
      <c r="AG997" s="87"/>
      <c r="AH997" s="87"/>
      <c r="AI997" s="87"/>
    </row>
    <row r="998" ht="15.75" customHeight="1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  <c r="AA998" s="87"/>
      <c r="AB998" s="87"/>
      <c r="AC998" s="87"/>
      <c r="AD998" s="87"/>
      <c r="AE998" s="87"/>
      <c r="AF998" s="87"/>
      <c r="AG998" s="87"/>
      <c r="AH998" s="87"/>
      <c r="AI998" s="87"/>
    </row>
    <row r="999" ht="15.75" customHeight="1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  <c r="AA999" s="87"/>
      <c r="AB999" s="87"/>
      <c r="AC999" s="87"/>
      <c r="AD999" s="87"/>
      <c r="AE999" s="87"/>
      <c r="AF999" s="87"/>
      <c r="AG999" s="87"/>
      <c r="AH999" s="87"/>
      <c r="AI999" s="87"/>
    </row>
    <row r="1000" ht="15.75" customHeight="1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  <c r="AA1000" s="87"/>
      <c r="AB1000" s="87"/>
      <c r="AC1000" s="87"/>
      <c r="AD1000" s="87"/>
      <c r="AE1000" s="87"/>
      <c r="AF1000" s="87"/>
      <c r="AG1000" s="87"/>
      <c r="AH1000" s="87"/>
      <c r="AI1000" s="87"/>
    </row>
    <row r="1001" ht="15.75" customHeight="1">
      <c r="A1001" s="87"/>
      <c r="B1001" s="87"/>
      <c r="C1001" s="87"/>
      <c r="D1001" s="87"/>
      <c r="E1001" s="87"/>
      <c r="F1001" s="87"/>
      <c r="G1001" s="87"/>
      <c r="H1001" s="87"/>
      <c r="I1001" s="87"/>
      <c r="J1001" s="87"/>
      <c r="K1001" s="87"/>
      <c r="L1001" s="87"/>
      <c r="M1001" s="87"/>
      <c r="N1001" s="87"/>
      <c r="O1001" s="87"/>
      <c r="P1001" s="87"/>
      <c r="Q1001" s="87"/>
      <c r="R1001" s="87"/>
      <c r="S1001" s="87"/>
      <c r="T1001" s="87"/>
      <c r="U1001" s="87"/>
      <c r="V1001" s="87"/>
      <c r="W1001" s="87"/>
      <c r="X1001" s="87"/>
      <c r="Y1001" s="87"/>
      <c r="Z1001" s="87"/>
      <c r="AA1001" s="87"/>
      <c r="AB1001" s="87"/>
      <c r="AC1001" s="87"/>
      <c r="AD1001" s="87"/>
      <c r="AE1001" s="87"/>
      <c r="AF1001" s="87"/>
      <c r="AG1001" s="87"/>
      <c r="AH1001" s="87"/>
      <c r="AI1001" s="87"/>
    </row>
  </sheetData>
  <mergeCells count="14">
    <mergeCell ref="A1:AI1"/>
    <mergeCell ref="A2:AI2"/>
    <mergeCell ref="A3:AI3"/>
    <mergeCell ref="A8:A9"/>
    <mergeCell ref="B8:B9"/>
    <mergeCell ref="F8:F9"/>
    <mergeCell ref="E8:E9"/>
    <mergeCell ref="G8:G9"/>
    <mergeCell ref="D198:F198"/>
    <mergeCell ref="A205:C205"/>
    <mergeCell ref="A206:C206"/>
    <mergeCell ref="H8:H9"/>
    <mergeCell ref="I8:AI8"/>
    <mergeCell ref="C8:C9"/>
  </mergeCells>
  <printOptions horizontalCentered="1"/>
  <pageMargins bottom="0.75" footer="0.0" header="0.0" left="1.25" right="0.25" top="0.75"/>
  <pageSetup fitToHeight="0" orientation="landscape" pageOrder="overThenDown" paperHeight="8.5in" paperWidth="14in"/>
  <drawing r:id="rId1"/>
</worksheet>
</file>