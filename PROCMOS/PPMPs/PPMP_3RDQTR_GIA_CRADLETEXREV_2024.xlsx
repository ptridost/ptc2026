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Sample 1 (2)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1">
      <text>
        <t xml:space="preserve">======
ID#AAAALw1HShk
upmnih    (2021-04-08 04:25:07)
Prepared by: Project Staff/ Research Associate</t>
      </text>
    </comment>
    <comment authorId="0" ref="C121">
      <text>
        <t xml:space="preserve">======
ID#AAAALw1HSho
upmnih    (2021-04-08 04:25:07)
Submitted by: Project Leader</t>
      </text>
    </comment>
  </commentList>
</comments>
</file>

<file path=xl/sharedStrings.xml><?xml version="1.0" encoding="utf-8"?>
<sst xmlns="http://schemas.openxmlformats.org/spreadsheetml/2006/main" count="252" uniqueCount="153">
  <si>
    <t xml:space="preserve">  PROJECT PROCUREMENT MANAGEMENT PLAN (PPMP) 2024</t>
  </si>
  <si>
    <t>For 3rd Quarter of CY 2024</t>
  </si>
  <si>
    <t>END-USER/UNIT: RDD-CDABUS</t>
  </si>
  <si>
    <t>Charged to: "Sustainable Material Solution from Post-Industrial Textile Wastes”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</si>
  <si>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</si>
  <si>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</si>
  <si>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</si>
  <si>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</si>
  <si>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</si>
  <si>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</si>
  <si>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</si>
  <si>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</si>
  <si>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</si>
  <si>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</si>
  <si>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</si>
  <si>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</t>
  </si>
  <si>
    <t>Sept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</si>
  <si>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</si>
  <si>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</si>
  <si>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</si>
  <si>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</si>
  <si>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</si>
  <si>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</si>
  <si>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</si>
  <si>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</si>
  <si>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</si>
  <si>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</si>
  <si>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</si>
  <si>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50203010 02</t>
  </si>
  <si>
    <t>Office Supplies - Indirect Cost</t>
  </si>
  <si>
    <t>Bond Paper  A4, 70gsm</t>
  </si>
  <si>
    <t>25 reams</t>
  </si>
  <si>
    <t>Small Value Procurement</t>
  </si>
  <si>
    <t>within 15 working days</t>
  </si>
  <si>
    <t>50203080 00</t>
  </si>
  <si>
    <t>Medical, Dental  Laboratory Supplies Expenses</t>
  </si>
  <si>
    <t>Fabrics</t>
  </si>
  <si>
    <t>90 meters</t>
  </si>
  <si>
    <t>30 meters 100% cotton (200 gsm knitted, 200 gsm  twill, 200 gsm  woven)</t>
  </si>
  <si>
    <t>30 meters 100% polyster (200 gsm knitted,200 gsm  twill, 200 gsm woven)</t>
  </si>
  <si>
    <t>30 meters cotton/polyster blends (200 gsm knitted, 200 gsm  twill, 200 gsm woven)</t>
  </si>
  <si>
    <t>Hydrogen Peroxide</t>
  </si>
  <si>
    <t>10 carboy</t>
  </si>
  <si>
    <t>Public Bidding</t>
  </si>
  <si>
    <t xml:space="preserve">Sodium Hydroxide </t>
  </si>
  <si>
    <t>4 carboy</t>
  </si>
  <si>
    <t>Sodium Silicate</t>
  </si>
  <si>
    <t>5 gallon</t>
  </si>
  <si>
    <t>ICT</t>
  </si>
  <si>
    <t>Digital Camera</t>
  </si>
  <si>
    <t>1 lot</t>
  </si>
  <si>
    <t>15-30 working days</t>
  </si>
  <si>
    <t>50203990 00</t>
  </si>
  <si>
    <t>Other Supplies Expenses - Direct Cost</t>
  </si>
  <si>
    <t xml:space="preserve">Ergonomic Table </t>
  </si>
  <si>
    <t>2 pcs</t>
  </si>
  <si>
    <t>Office Chair</t>
  </si>
  <si>
    <t>10 pcs</t>
  </si>
  <si>
    <t>Tokens for RSTW Region VI (Bamboo Pen)</t>
  </si>
  <si>
    <t>200 pcs</t>
  </si>
  <si>
    <t>Tokens for RSTW Region VI (Tote Bag)</t>
  </si>
  <si>
    <t>50 pcs</t>
  </si>
  <si>
    <t>Pineapple fibers</t>
  </si>
  <si>
    <t>10 kgs</t>
  </si>
  <si>
    <t xml:space="preserve">Office Steel Cabinet </t>
  </si>
  <si>
    <t>2 pc</t>
  </si>
  <si>
    <t xml:space="preserve">Tokens for CRA Signing </t>
  </si>
  <si>
    <t>20 pcs</t>
  </si>
  <si>
    <t>TexRev Polo</t>
  </si>
  <si>
    <t>15 pcs</t>
  </si>
  <si>
    <t>Vacuum Cleaner</t>
  </si>
  <si>
    <t>Storage Box</t>
  </si>
  <si>
    <t xml:space="preserve">Stand fan </t>
  </si>
  <si>
    <t>5 pc</t>
  </si>
  <si>
    <t>Gloves for Shredding</t>
  </si>
  <si>
    <t>6 pairs</t>
  </si>
  <si>
    <t>50211990 00</t>
  </si>
  <si>
    <t>Testing - Other Professional Services</t>
  </si>
  <si>
    <t>YARN EVALUATION</t>
  </si>
  <si>
    <t>Fiber Composition, method (AATCC 20A)</t>
  </si>
  <si>
    <t>30 samples</t>
  </si>
  <si>
    <t>Agency-to-Agency/Negotiated Procurement-Small Value Procuremen</t>
  </si>
  <si>
    <t>15 working days</t>
  </si>
  <si>
    <t>Breaking Strength and Elongation (ASTM D2256/D2256M)</t>
  </si>
  <si>
    <t>Abrasion Resistance (Equipment Method)</t>
  </si>
  <si>
    <t>40 samples</t>
  </si>
  <si>
    <t>Yarn Evenness (ASTM D1425/1425M)</t>
  </si>
  <si>
    <t>Yarn Hairiness (ASTM D5647)</t>
  </si>
  <si>
    <t>Yarn Number (ASTM D1059)</t>
  </si>
  <si>
    <t>Twist in Yarns (ASTM D1423/D1423M-16)</t>
  </si>
  <si>
    <t>Worksheets Copy</t>
  </si>
  <si>
    <t xml:space="preserve">Agency-to-Agency/Negotiated </t>
  </si>
  <si>
    <t>Yarn Spinning</t>
  </si>
  <si>
    <t>50 kgs</t>
  </si>
  <si>
    <t>Differential Scanning Calorimetry</t>
  </si>
  <si>
    <t>Thermogravimetric Analysis</t>
  </si>
  <si>
    <t>FABRIC EVALUATION</t>
  </si>
  <si>
    <t>Fabric Weight (ASTM D3776/D3776M)</t>
  </si>
  <si>
    <t>10 sample</t>
  </si>
  <si>
    <t>Thread Count (ASTM D3775)</t>
  </si>
  <si>
    <t>Breaking Force / Strength (ASTM D5035)</t>
  </si>
  <si>
    <t>Pilling Resistance (ASTM D3512M)</t>
  </si>
  <si>
    <t>FESEM Imaging (charging only c/o Sir Dexter)</t>
  </si>
  <si>
    <t>7 sample</t>
  </si>
  <si>
    <t>Representation Expenses - SDO</t>
  </si>
  <si>
    <r>
      <rPr>
        <rFont val="Arial"/>
        <b/>
        <color theme="1"/>
        <sz val="11.0"/>
      </rPr>
      <t>Office Supplies - SDO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-</t>
    </r>
  </si>
  <si>
    <t>Stapler with scissors set</t>
  </si>
  <si>
    <t>Shopping</t>
  </si>
  <si>
    <t>Clearbook, long, 20-80 pockets, any color</t>
  </si>
  <si>
    <t>Plastic ruler, 12 inch</t>
  </si>
  <si>
    <t>Sticky notes 3 x 3 Yellow</t>
  </si>
  <si>
    <t>4 pcs</t>
  </si>
  <si>
    <t>3M Facemask (for fine dust)</t>
  </si>
  <si>
    <t>Scissors</t>
  </si>
  <si>
    <t>5 pcs</t>
  </si>
  <si>
    <t>50604050 14</t>
  </si>
  <si>
    <t>Technical &amp; Scientific Equipment - Capital Outlay</t>
  </si>
  <si>
    <t>One (1) lot LABORATORY DRAWING FRAME</t>
  </si>
  <si>
    <t>60-90 working days</t>
  </si>
  <si>
    <t>Travelling Expenses</t>
  </si>
  <si>
    <t>Cash Advance</t>
  </si>
  <si>
    <t>Autosweep RFID Load</t>
  </si>
  <si>
    <t>Repair and Maintenance</t>
  </si>
  <si>
    <t xml:space="preserve"> Repair of Split Type wall mounted aircon</t>
  </si>
  <si>
    <t>Other Professional Services - Product Dev</t>
  </si>
  <si>
    <t xml:space="preserve">Fabric Printing Services </t>
  </si>
  <si>
    <t>Professional Sewing Services</t>
  </si>
  <si>
    <t>Framing Services</t>
  </si>
  <si>
    <t>Embroidery Work</t>
  </si>
  <si>
    <t>Courier Fee Diliman to DOST PTRI</t>
  </si>
  <si>
    <t xml:space="preserve">Small Value Procurement 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</si>
  <si>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</si>
  <si>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</si>
  <si>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</si>
  <si>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</si>
  <si>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</si>
  <si>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</si>
  <si>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</si>
  <si>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</si>
  <si>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</si>
  <si>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</si>
  <si>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</si>
  <si>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</si>
  <si>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</si>
  <si>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</si>
  <si>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</si>
  <si>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</si>
  <si>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</si>
  <si>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</si>
  <si>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</si>
  <si>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</si>
  <si>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April 15, 2024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</si>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</sst>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3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2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left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3" fillId="3" fontId="6" numFmtId="4" xfId="0" applyAlignment="1" applyBorder="1" applyFont="1" applyNumberFormat="1">
      <alignment horizontal="right" shrinkToFit="0" vertical="center" wrapText="1"/>
    </xf>
    <xf borderId="13" fillId="3" fontId="6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15" fillId="3" fontId="9" numFmtId="0" xfId="0" applyBorder="1" applyFont="1"/>
    <xf borderId="15" fillId="3" fontId="2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17" fillId="0" fontId="2" numFmtId="49" xfId="0" applyAlignment="1" applyBorder="1" applyFont="1" applyNumberFormat="1">
      <alignment horizontal="left" readingOrder="0" vertical="center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4" xfId="0" applyAlignment="1" applyBorder="1" applyFont="1" applyNumberForma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17" fillId="0" fontId="2" numFmtId="0" xfId="0" applyBorder="1" applyFont="1"/>
    <xf borderId="17" fillId="0" fontId="2" numFmtId="49" xfId="0" applyAlignment="1" applyBorder="1" applyFont="1" applyNumberFormat="1">
      <alignment horizontal="center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horizontal="center"/>
    </xf>
    <xf borderId="20" fillId="0" fontId="2" numFmtId="0" xfId="0" applyBorder="1" applyFont="1"/>
    <xf borderId="21" fillId="3" fontId="10" numFmtId="49" xfId="0" applyBorder="1" applyFont="1" applyNumberFormat="1"/>
    <xf borderId="13" fillId="3" fontId="2" numFmtId="0" xfId="0" applyAlignment="1" applyBorder="1" applyFont="1">
      <alignment horizontal="center" shrinkToFit="0" vertical="center" wrapText="1"/>
    </xf>
    <xf borderId="13" fillId="3" fontId="2" numFmtId="4" xfId="0" applyAlignment="1" applyBorder="1" applyFont="1" applyNumberFormat="1">
      <alignment horizontal="right" shrinkToFit="0" vertical="center" wrapText="1"/>
    </xf>
    <xf borderId="13" fillId="3" fontId="2" numFmtId="164" xfId="0" applyAlignment="1" applyBorder="1" applyFont="1" applyNumberFormat="1">
      <alignment horizontal="center" shrinkToFit="0" vertical="center" wrapText="1"/>
    </xf>
    <xf borderId="20" fillId="3" fontId="2" numFmtId="0" xfId="0" applyBorder="1" applyFont="1"/>
    <xf borderId="17" fillId="0" fontId="2" numFmtId="49" xfId="0" applyAlignment="1" applyBorder="1" applyFont="1" applyNumberFormat="1">
      <alignment readingOrder="0"/>
    </xf>
    <xf borderId="20" fillId="0" fontId="2" numFmtId="0" xfId="0" applyAlignment="1" applyBorder="1" applyFont="1">
      <alignment horizontal="center" readingOrder="0"/>
    </xf>
    <xf borderId="20" fillId="0" fontId="2" numFmtId="0" xfId="0" applyAlignment="1" applyBorder="1" applyFont="1">
      <alignment readingOrder="0"/>
    </xf>
    <xf borderId="18" fillId="0" fontId="2" numFmtId="4" xfId="0" applyAlignment="1" applyBorder="1" applyFont="1" applyNumberFormat="1">
      <alignment horizontal="right" shrinkToFit="0" vertical="center" wrapText="1"/>
    </xf>
    <xf borderId="17" fillId="0" fontId="2" numFmtId="49" xfId="0" applyBorder="1" applyFont="1" applyNumberFormat="1"/>
    <xf borderId="21" fillId="2" fontId="10" numFmtId="0" xfId="0" applyAlignment="1" applyBorder="1" applyFont="1">
      <alignment horizontal="left" vertical="center"/>
    </xf>
    <xf borderId="20" fillId="2" fontId="2" numFmtId="0" xfId="0" applyBorder="1" applyFont="1"/>
    <xf borderId="18" fillId="2" fontId="2" numFmtId="4" xfId="0" applyAlignment="1" applyBorder="1" applyFont="1" applyNumberFormat="1">
      <alignment horizontal="right"/>
    </xf>
    <xf borderId="15" fillId="2" fontId="9" numFmtId="0" xfId="0" applyBorder="1" applyFont="1"/>
    <xf borderId="15" fillId="2" fontId="2" numFmtId="0" xfId="0" applyBorder="1" applyFont="1"/>
    <xf borderId="13" fillId="2" fontId="2" numFmtId="4" xfId="0" applyAlignment="1" applyBorder="1" applyFont="1" applyNumberFormat="1">
      <alignment horizontal="right"/>
    </xf>
    <xf borderId="12" fillId="0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left" vertical="center"/>
    </xf>
    <xf borderId="13" fillId="3" fontId="2" numFmtId="4" xfId="0" applyAlignment="1" applyBorder="1" applyFont="1" applyNumberFormat="1">
      <alignment horizontal="right"/>
    </xf>
    <xf borderId="21" fillId="2" fontId="2" numFmtId="0" xfId="0" applyAlignment="1" applyBorder="1" applyFont="1">
      <alignment horizontal="left" vertical="center"/>
    </xf>
    <xf borderId="20" fillId="2" fontId="2" numFmtId="0" xfId="0" applyAlignment="1" applyBorder="1" applyFont="1">
      <alignment horizontal="center"/>
    </xf>
    <xf borderId="13" fillId="2" fontId="2" numFmtId="4" xfId="0" applyAlignment="1" applyBorder="1" applyFont="1" applyNumberFormat="1">
      <alignment horizontal="center"/>
    </xf>
    <xf borderId="20" fillId="2" fontId="2" numFmtId="3" xfId="0" applyAlignment="1" applyBorder="1" applyFont="1" applyNumberFormat="1">
      <alignment horizontal="center"/>
    </xf>
    <xf borderId="20" fillId="2" fontId="2" numFmtId="0" xfId="0" applyAlignment="1" applyBorder="1" applyFont="1">
      <alignment horizontal="center" readingOrder="0"/>
    </xf>
    <xf borderId="20" fillId="2" fontId="2" numFmtId="0" xfId="0" applyAlignment="1" applyBorder="1" applyFont="1">
      <alignment readingOrder="0"/>
    </xf>
    <xf borderId="13" fillId="2" fontId="2" numFmtId="4" xfId="0" applyAlignment="1" applyBorder="1" applyFont="1" applyNumberFormat="1">
      <alignment horizontal="right" shrinkToFit="0" vertical="center" wrapText="1"/>
    </xf>
    <xf borderId="20" fillId="2" fontId="2" numFmtId="4" xfId="0" applyAlignment="1" applyBorder="1" applyFont="1" applyNumberFormat="1">
      <alignment horizontal="right"/>
    </xf>
    <xf borderId="17" fillId="0" fontId="2" numFmtId="49" xfId="0" applyAlignment="1" applyBorder="1" applyFont="1" applyNumberFormat="1">
      <alignment horizontal="left" vertical="center"/>
    </xf>
    <xf borderId="21" fillId="2" fontId="2" numFmtId="49" xfId="0" applyAlignment="1" applyBorder="1" applyFont="1" applyNumberFormat="1">
      <alignment readingOrder="0"/>
    </xf>
    <xf borderId="13" fillId="2" fontId="2" numFmtId="0" xfId="0" applyAlignment="1" applyBorder="1" applyFont="1">
      <alignment horizontal="center" readingOrder="0" shrinkToFit="0" vertical="center" wrapText="1"/>
    </xf>
    <xf borderId="13" fillId="2" fontId="2" numFmtId="4" xfId="0" applyAlignment="1" applyBorder="1" applyFont="1" applyNumberFormat="1">
      <alignment horizontal="center" readingOrder="0" shrinkToFit="0" vertical="center" wrapText="1"/>
    </xf>
    <xf borderId="13" fillId="2" fontId="2" numFmtId="164" xfId="0" applyAlignment="1" applyBorder="1" applyFont="1" applyNumberFormat="1">
      <alignment readingOrder="0" shrinkToFit="0" vertical="center" wrapText="1"/>
    </xf>
    <xf borderId="17" fillId="0" fontId="2" numFmtId="0" xfId="0" applyAlignment="1" applyBorder="1" applyFont="1">
      <alignment horizontal="left" readingOrder="0" vertical="center"/>
    </xf>
    <xf borderId="0" fillId="4" fontId="11" numFmtId="0" xfId="0" applyAlignment="1" applyFill="1" applyFont="1">
      <alignment horizontal="left" readingOrder="0"/>
    </xf>
    <xf borderId="17" fillId="5" fontId="2" numFmtId="0" xfId="0" applyAlignment="1" applyBorder="1" applyFill="1" applyFont="1">
      <alignment horizontal="left" readingOrder="0" vertical="center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readingOrder="0" shrinkToFit="0" vertical="bottom" wrapText="1"/>
    </xf>
    <xf borderId="20" fillId="0" fontId="2" numFmtId="4" xfId="0" applyAlignment="1" applyBorder="1" applyFont="1" applyNumberFormat="1">
      <alignment horizontal="right" vertical="bottom"/>
    </xf>
    <xf borderId="20" fillId="0" fontId="2" numFmtId="0" xfId="0" applyAlignment="1" applyBorder="1" applyFont="1">
      <alignment shrinkToFit="0" vertical="bottom" wrapText="1"/>
    </xf>
    <xf borderId="20" fillId="0" fontId="2" numFmtId="0" xfId="0" applyAlignment="1" applyBorder="1" applyFont="1">
      <alignment vertical="bottom"/>
    </xf>
    <xf borderId="20" fillId="0" fontId="2" numFmtId="4" xfId="0" applyAlignment="1" applyBorder="1" applyFont="1" applyNumberFormat="1">
      <alignment horizontal="right" vertical="top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6" fillId="4" fontId="10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horizontal="left" readingOrder="0" vertical="center"/>
    </xf>
    <xf borderId="18" fillId="4" fontId="2" numFmtId="0" xfId="0" applyAlignment="1" applyBorder="1" applyFont="1">
      <alignment horizontal="center" readingOrder="0" shrinkToFit="0" vertical="center" wrapText="1"/>
    </xf>
    <xf borderId="18" fillId="4" fontId="2" numFmtId="4" xfId="0" applyAlignment="1" applyBorder="1" applyFont="1" applyNumberFormat="1">
      <alignment horizontal="right" readingOrder="0" shrinkToFit="0" vertical="center" wrapText="1"/>
    </xf>
    <xf borderId="18" fillId="4" fontId="2" numFmtId="164" xfId="0" applyAlignment="1" applyBorder="1" applyFont="1" applyNumberFormat="1">
      <alignment horizontal="center" readingOrder="0" shrinkToFit="0" vertical="center" wrapText="1"/>
    </xf>
    <xf borderId="20" fillId="4" fontId="2" numFmtId="0" xfId="0" applyAlignment="1" applyBorder="1" applyFont="1">
      <alignment horizontal="center" readingOrder="0"/>
    </xf>
    <xf borderId="20" fillId="4" fontId="2" numFmtId="0" xfId="0" applyAlignment="1" applyBorder="1" applyFont="1">
      <alignment horizontal="center" readingOrder="0" vertical="center"/>
    </xf>
    <xf borderId="20" fillId="4" fontId="2" numFmtId="0" xfId="0" applyBorder="1" applyFont="1"/>
    <xf borderId="0" fillId="4" fontId="9" numFmtId="0" xfId="0" applyFont="1"/>
    <xf borderId="0" fillId="4" fontId="12" numFmtId="0" xfId="0" applyFont="1"/>
    <xf borderId="20" fillId="0" fontId="2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readingOrder="0" shrinkToFit="0" vertical="bottom" wrapText="1"/>
    </xf>
    <xf borderId="18" fillId="0" fontId="2" numFmtId="4" xfId="0" applyAlignment="1" applyBorder="1" applyFont="1" applyNumberFormat="1">
      <alignment horizontal="right" readingOrder="0" vertical="bottom"/>
    </xf>
    <xf borderId="18" fillId="0" fontId="2" numFmtId="4" xfId="0" applyAlignment="1" applyBorder="1" applyFont="1" applyNumberFormat="1">
      <alignment horizontal="right" vertical="bottom"/>
    </xf>
    <xf borderId="17" fillId="6" fontId="10" numFmtId="0" xfId="0" applyAlignment="1" applyBorder="1" applyFill="1" applyFont="1">
      <alignment horizontal="left" readingOrder="0" vertical="center"/>
    </xf>
    <xf borderId="18" fillId="6" fontId="2" numFmtId="0" xfId="0" applyAlignment="1" applyBorder="1" applyFont="1">
      <alignment horizontal="center" shrinkToFit="0" vertical="center" wrapText="1"/>
    </xf>
    <xf borderId="18" fillId="6" fontId="2" numFmtId="4" xfId="0" applyAlignment="1" applyBorder="1" applyFont="1" applyNumberFormat="1">
      <alignment horizontal="right" shrinkToFit="0" vertical="center" wrapText="1"/>
    </xf>
    <xf borderId="18" fillId="6" fontId="2" numFmtId="164" xfId="0" applyAlignment="1" applyBorder="1" applyFont="1" applyNumberFormat="1">
      <alignment horizontal="center" shrinkToFit="0" vertical="center" wrapText="1"/>
    </xf>
    <xf borderId="20" fillId="6" fontId="2" numFmtId="0" xfId="0" applyBorder="1" applyFont="1"/>
    <xf borderId="0" fillId="6" fontId="9" numFmtId="0" xfId="0" applyFont="1"/>
    <xf borderId="0" fillId="6" fontId="12" numFmtId="0" xfId="0" applyFont="1"/>
    <xf borderId="17" fillId="6" fontId="2" numFmtId="0" xfId="0" applyAlignment="1" applyBorder="1" applyFont="1">
      <alignment horizontal="left" readingOrder="0" vertical="center"/>
    </xf>
    <xf borderId="20" fillId="0" fontId="13" numFmtId="0" xfId="0" applyAlignment="1" applyBorder="1" applyFont="1">
      <alignment horizontal="center" readingOrder="0" vertical="bottom"/>
    </xf>
    <xf borderId="20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20" fillId="5" fontId="2" numFmtId="0" xfId="0" applyAlignment="1" applyBorder="1" applyFont="1">
      <alignment horizontal="left" readingOrder="0" vertical="center"/>
    </xf>
    <xf borderId="18" fillId="6" fontId="2" numFmtId="0" xfId="0" applyAlignment="1" applyBorder="1" applyFont="1">
      <alignment horizontal="center" readingOrder="0" shrinkToFit="0" vertical="center" wrapText="1"/>
    </xf>
    <xf borderId="18" fillId="6" fontId="2" numFmtId="4" xfId="0" applyAlignment="1" applyBorder="1" applyFont="1" applyNumberFormat="1">
      <alignment horizontal="right" readingOrder="0" shrinkToFit="0" vertical="center" wrapText="1"/>
    </xf>
    <xf borderId="18" fillId="6" fontId="2" numFmtId="164" xfId="0" applyAlignment="1" applyBorder="1" applyFont="1" applyNumberFormat="1">
      <alignment horizontal="center" readingOrder="0" shrinkToFit="0" vertical="center" wrapText="1"/>
    </xf>
    <xf borderId="20" fillId="6" fontId="2" numFmtId="0" xfId="0" applyAlignment="1" applyBorder="1" applyFont="1">
      <alignment horizontal="center" readingOrder="0"/>
    </xf>
    <xf borderId="17" fillId="7" fontId="2" numFmtId="0" xfId="0" applyAlignment="1" applyBorder="1" applyFill="1" applyFont="1">
      <alignment horizontal="left" readingOrder="0" vertical="center"/>
    </xf>
    <xf borderId="22" fillId="0" fontId="10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center" shrinkToFit="0" vertical="center" wrapText="1"/>
    </xf>
    <xf borderId="20" fillId="0" fontId="2" numFmtId="4" xfId="0" applyAlignment="1" applyBorder="1" applyFont="1" applyNumberFormat="1">
      <alignment horizontal="right" shrinkToFit="0" vertical="center" wrapText="1"/>
    </xf>
    <xf borderId="20" fillId="0" fontId="2" numFmtId="164" xfId="0" applyAlignment="1" applyBorder="1" applyFont="1" applyNumberFormat="1">
      <alignment horizontal="center" shrinkToFit="0" vertical="center" wrapText="1"/>
    </xf>
    <xf borderId="21" fillId="8" fontId="10" numFmtId="0" xfId="0" applyAlignment="1" applyBorder="1" applyFill="1" applyFont="1">
      <alignment horizontal="left" vertical="center"/>
    </xf>
    <xf borderId="20" fillId="8" fontId="2" numFmtId="0" xfId="0" applyBorder="1" applyFont="1"/>
    <xf borderId="20" fillId="8" fontId="2" numFmtId="4" xfId="0" applyAlignment="1" applyBorder="1" applyFont="1" applyNumberFormat="1">
      <alignment horizontal="right"/>
    </xf>
    <xf borderId="23" fillId="0" fontId="6" numFmtId="0" xfId="0" applyAlignment="1" applyBorder="1" applyFont="1">
      <alignment horizontal="left" shrinkToFit="0" vertical="center" wrapText="1"/>
    </xf>
    <xf borderId="24" fillId="0" fontId="8" numFmtId="0" xfId="0" applyBorder="1" applyFont="1"/>
    <xf borderId="25" fillId="0" fontId="8" numFmtId="0" xfId="0" applyBorder="1" applyFont="1"/>
    <xf borderId="0" fillId="0" fontId="6" numFmtId="0" xfId="0" applyAlignment="1" applyFont="1">
      <alignment vertical="center"/>
    </xf>
    <xf borderId="0" fillId="0" fontId="14" numFmtId="0" xfId="0" applyAlignment="1" applyFont="1">
      <alignment vertical="center"/>
    </xf>
    <xf borderId="26" fillId="0" fontId="2" numFmtId="164" xfId="0" applyAlignment="1" applyBorder="1" applyFont="1" applyNumberFormat="1">
      <alignment readingOrder="0"/>
    </xf>
    <xf borderId="0" fillId="0" fontId="15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9" fillId="0" fontId="8" numFmtId="0" xfId="0" applyBorder="1" applyFont="1"/>
    <xf borderId="0" fillId="0" fontId="9" numFmtId="0" xfId="0" applyAlignment="1" applyFont="1">
      <alignment horizontal="left"/>
    </xf>
    <xf borderId="20" fillId="0" fontId="6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0" fillId="0" fontId="14" numFmtId="0" xfId="0" applyFont="1"/>
    <xf borderId="0" fillId="0" fontId="14" numFmtId="164" xfId="0" applyAlignment="1" applyFont="1" applyNumberFormat="1">
      <alignment horizontal="center"/>
    </xf>
    <xf borderId="0" fillId="0" fontId="16" numFmtId="0" xfId="0" applyAlignment="1" applyFont="1">
      <alignment vertical="center"/>
    </xf>
    <xf borderId="0" fillId="0" fontId="2" numFmtId="0" xfId="0" applyAlignment="1" applyFont="1">
      <alignment horizontal="center" readingOrder="0" shrinkToFit="0" wrapText="1"/>
    </xf>
    <xf borderId="0" fillId="0" fontId="1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4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8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4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19" numFmtId="4" xfId="0" applyAlignment="1" applyFont="1" applyNumberFormat="1">
      <alignment horizontal="right"/>
    </xf>
    <xf borderId="0" fillId="0" fontId="20" numFmtId="0" xfId="0" applyAlignment="1" applyFont="1">
      <alignment horizontal="left" shrinkToFit="0" vertical="center" wrapText="1"/>
    </xf>
    <xf borderId="0" fillId="0" fontId="21" numFmtId="0" xfId="0" applyFont="1"/>
    <xf borderId="0" fillId="0" fontId="20" numFmtId="0" xfId="0" applyAlignment="1" applyFont="1">
      <alignment shrinkToFit="0" wrapText="1"/>
    </xf>
    <xf borderId="0" fillId="0" fontId="22" numFmtId="0" xfId="0" applyFont="1"/>
    <xf borderId="0" fillId="0" fontId="20" numFmtId="0" xfId="0" applyAlignment="1" applyFont="1">
      <alignment horizontal="left" shrinkToFit="0" wrapText="1"/>
    </xf>
    <xf borderId="0" fillId="0" fontId="22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68.13"/>
    <col customWidth="1" min="3" max="3" width="11.63"/>
    <col customWidth="1" min="4" max="5" width="13.75"/>
    <col customWidth="1" min="6" max="6" width="31.0"/>
    <col customWidth="1" min="7" max="7" width="19.5"/>
    <col customWidth="1" min="8" max="8" width="9.25"/>
    <col customWidth="1" min="9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2" t="s">
        <v>5</v>
      </c>
      <c r="B8" s="13" t="s">
        <v>6</v>
      </c>
      <c r="C8" s="14" t="s">
        <v>7</v>
      </c>
      <c r="D8" s="15" t="s">
        <v>8</v>
      </c>
      <c r="E8" s="16" t="s">
        <v>9</v>
      </c>
      <c r="F8" s="17" t="s">
        <v>10</v>
      </c>
      <c r="G8" s="13" t="s">
        <v>11</v>
      </c>
      <c r="H8" s="18" t="s">
        <v>12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1"/>
      <c r="X8" s="21"/>
    </row>
    <row r="9">
      <c r="A9" s="22"/>
      <c r="B9" s="23"/>
      <c r="C9" s="24" t="s">
        <v>13</v>
      </c>
      <c r="D9" s="23"/>
      <c r="E9" s="23"/>
      <c r="F9" s="23"/>
      <c r="G9" s="23"/>
      <c r="H9" s="25" t="s">
        <v>14</v>
      </c>
      <c r="I9" s="25" t="s">
        <v>15</v>
      </c>
      <c r="J9" s="25" t="s">
        <v>16</v>
      </c>
      <c r="K9" s="26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7" t="str">
        <f>$V$9</f>
        <v>REMARKS</v>
      </c>
      <c r="V9" s="27" t="s">
        <v>27</v>
      </c>
      <c r="W9" s="28"/>
      <c r="X9" s="21"/>
    </row>
    <row r="10">
      <c r="A10" s="29" t="s">
        <v>28</v>
      </c>
      <c r="B10" s="30" t="s">
        <v>29</v>
      </c>
      <c r="C10" s="31"/>
      <c r="D10" s="32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7"/>
      <c r="X10" s="37"/>
      <c r="Y10" s="38"/>
      <c r="Z10" s="38"/>
    </row>
    <row r="11" ht="15.0" customHeight="1">
      <c r="A11" s="39"/>
      <c r="B11" s="40" t="s">
        <v>30</v>
      </c>
      <c r="C11" s="41" t="s">
        <v>31</v>
      </c>
      <c r="D11" s="42">
        <v>300.0</v>
      </c>
      <c r="E11" s="43">
        <v>7500.0</v>
      </c>
      <c r="F11" s="44" t="s">
        <v>32</v>
      </c>
      <c r="G11" s="44" t="s">
        <v>33</v>
      </c>
      <c r="H11" s="44">
        <v>25.0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6"/>
      <c r="V11" s="47"/>
      <c r="W11" s="21"/>
      <c r="X11" s="21"/>
    </row>
    <row r="12" ht="15.0" customHeight="1">
      <c r="A12" s="39"/>
      <c r="B12" s="40"/>
      <c r="C12" s="41"/>
      <c r="D12" s="42"/>
      <c r="E12" s="43"/>
      <c r="F12" s="44"/>
      <c r="G12" s="44"/>
      <c r="H12" s="44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7"/>
      <c r="W12" s="21"/>
      <c r="X12" s="21"/>
    </row>
    <row r="13" ht="15.0" customHeight="1">
      <c r="A13" s="39"/>
      <c r="B13" s="48"/>
      <c r="C13" s="49"/>
      <c r="D13" s="50"/>
      <c r="E13" s="51"/>
      <c r="F13" s="52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21"/>
      <c r="X13" s="21"/>
    </row>
    <row r="14" ht="15.0" customHeight="1">
      <c r="A14" s="29" t="s">
        <v>34</v>
      </c>
      <c r="B14" s="54" t="s">
        <v>35</v>
      </c>
      <c r="C14" s="55"/>
      <c r="D14" s="56"/>
      <c r="E14" s="5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37"/>
      <c r="X14" s="37"/>
      <c r="Y14" s="38"/>
      <c r="Z14" s="38"/>
    </row>
    <row r="15" ht="15.0" customHeight="1">
      <c r="A15" s="39"/>
      <c r="B15" s="59" t="s">
        <v>36</v>
      </c>
      <c r="C15" s="41" t="s">
        <v>37</v>
      </c>
      <c r="D15" s="42">
        <v>400.0</v>
      </c>
      <c r="E15" s="43">
        <v>36000.0</v>
      </c>
      <c r="F15" s="60" t="s">
        <v>32</v>
      </c>
      <c r="G15" s="61" t="s">
        <v>33</v>
      </c>
      <c r="H15" s="53"/>
      <c r="I15" s="61">
        <v>90.0</v>
      </c>
      <c r="J15" s="60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21"/>
      <c r="X15" s="21"/>
    </row>
    <row r="16" ht="15.0" customHeight="1">
      <c r="A16" s="39"/>
      <c r="B16" s="40" t="s">
        <v>38</v>
      </c>
      <c r="C16" s="49"/>
      <c r="D16" s="62"/>
      <c r="E16" s="51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21"/>
      <c r="X16" s="21"/>
    </row>
    <row r="17" ht="15.0" customHeight="1">
      <c r="A17" s="39"/>
      <c r="B17" s="40" t="s">
        <v>39</v>
      </c>
      <c r="C17" s="49"/>
      <c r="D17" s="62"/>
      <c r="E17" s="51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21"/>
      <c r="X17" s="21"/>
    </row>
    <row r="18" ht="15.0" customHeight="1">
      <c r="A18" s="39"/>
      <c r="B18" s="40" t="s">
        <v>40</v>
      </c>
      <c r="C18" s="49"/>
      <c r="D18" s="62"/>
      <c r="E18" s="51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21"/>
      <c r="X18" s="21"/>
    </row>
    <row r="19" ht="15.75" customHeight="1">
      <c r="A19" s="39"/>
      <c r="B19" s="59" t="s">
        <v>41</v>
      </c>
      <c r="C19" s="41" t="s">
        <v>42</v>
      </c>
      <c r="D19" s="42">
        <v>8000.0</v>
      </c>
      <c r="E19" s="43">
        <v>80000.0</v>
      </c>
      <c r="F19" s="60" t="s">
        <v>43</v>
      </c>
      <c r="G19" s="61" t="s">
        <v>33</v>
      </c>
      <c r="H19" s="60">
        <v>10.0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21"/>
      <c r="X19" s="21"/>
    </row>
    <row r="20" ht="15.75" customHeight="1">
      <c r="A20" s="39"/>
      <c r="B20" s="59" t="s">
        <v>44</v>
      </c>
      <c r="C20" s="41" t="s">
        <v>45</v>
      </c>
      <c r="D20" s="42">
        <v>12500.0</v>
      </c>
      <c r="E20" s="43">
        <v>50000.0</v>
      </c>
      <c r="F20" s="60" t="s">
        <v>43</v>
      </c>
      <c r="G20" s="61" t="s">
        <v>33</v>
      </c>
      <c r="H20" s="60">
        <v>4.0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21"/>
      <c r="X20" s="21"/>
    </row>
    <row r="21" ht="15.75" customHeight="1">
      <c r="A21" s="39"/>
      <c r="B21" s="59" t="s">
        <v>46</v>
      </c>
      <c r="C21" s="41" t="s">
        <v>47</v>
      </c>
      <c r="D21" s="42">
        <v>10000.0</v>
      </c>
      <c r="E21" s="43">
        <v>50000.0</v>
      </c>
      <c r="F21" s="60" t="s">
        <v>43</v>
      </c>
      <c r="G21" s="61" t="s">
        <v>33</v>
      </c>
      <c r="H21" s="60">
        <v>5.0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21"/>
      <c r="X21" s="21"/>
    </row>
    <row r="22" ht="15.75" customHeight="1">
      <c r="A22" s="39"/>
      <c r="B22" s="63"/>
      <c r="C22" s="49"/>
      <c r="D22" s="50"/>
      <c r="E22" s="51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21"/>
      <c r="X22" s="21"/>
    </row>
    <row r="23" ht="15.0" customHeight="1">
      <c r="A23" s="29"/>
      <c r="B23" s="64"/>
      <c r="C23" s="65"/>
      <c r="D23" s="66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7"/>
      <c r="X23" s="67"/>
      <c r="Y23" s="68"/>
      <c r="Z23" s="68"/>
    </row>
    <row r="24" ht="15.0" customHeight="1">
      <c r="A24" s="29"/>
      <c r="B24" s="64"/>
      <c r="C24" s="65"/>
      <c r="D24" s="69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7"/>
      <c r="X24" s="67"/>
      <c r="Y24" s="68"/>
      <c r="Z24" s="68"/>
    </row>
    <row r="25" ht="15.0" customHeight="1">
      <c r="A25" s="70"/>
      <c r="B25" s="71" t="s">
        <v>48</v>
      </c>
      <c r="C25" s="58"/>
      <c r="D25" s="72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37"/>
      <c r="X25" s="37"/>
      <c r="Y25" s="38"/>
      <c r="Z25" s="38"/>
    </row>
    <row r="26" ht="15.0" customHeight="1">
      <c r="A26" s="29"/>
      <c r="B26" s="73" t="s">
        <v>49</v>
      </c>
      <c r="C26" s="74" t="s">
        <v>50</v>
      </c>
      <c r="D26" s="75">
        <v>50000.0</v>
      </c>
      <c r="E26" s="76">
        <v>50000.0</v>
      </c>
      <c r="F26" s="65"/>
      <c r="G26" s="77" t="s">
        <v>51</v>
      </c>
      <c r="H26" s="78"/>
      <c r="I26" s="77">
        <v>1.0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7"/>
      <c r="X26" s="67"/>
      <c r="Y26" s="68"/>
      <c r="Z26" s="68"/>
    </row>
    <row r="27" ht="15.75" customHeight="1">
      <c r="A27" s="29"/>
      <c r="B27" s="73"/>
      <c r="C27" s="74"/>
      <c r="D27" s="79"/>
      <c r="E27" s="80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7"/>
      <c r="X27" s="67"/>
      <c r="Y27" s="68"/>
      <c r="Z27" s="68"/>
    </row>
    <row r="28" ht="15.75" customHeight="1">
      <c r="A28" s="29" t="s">
        <v>52</v>
      </c>
      <c r="B28" s="54" t="s">
        <v>53</v>
      </c>
      <c r="C28" s="55"/>
      <c r="D28" s="56"/>
      <c r="E28" s="57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37"/>
      <c r="X28" s="37"/>
      <c r="Y28" s="38"/>
      <c r="Z28" s="38"/>
    </row>
    <row r="29" ht="15.75" customHeight="1">
      <c r="A29" s="29"/>
      <c r="B29" s="81" t="s">
        <v>54</v>
      </c>
      <c r="C29" s="41" t="s">
        <v>55</v>
      </c>
      <c r="D29" s="42">
        <v>45000.0</v>
      </c>
      <c r="E29" s="43">
        <v>90000.0</v>
      </c>
      <c r="F29" s="60" t="s">
        <v>43</v>
      </c>
      <c r="G29" s="52" t="s">
        <v>33</v>
      </c>
      <c r="H29" s="60">
        <v>2.0</v>
      </c>
      <c r="I29" s="53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7"/>
      <c r="X29" s="67"/>
      <c r="Y29" s="68"/>
      <c r="Z29" s="68"/>
    </row>
    <row r="30" ht="15.75" customHeight="1">
      <c r="A30" s="29"/>
      <c r="B30" s="82" t="s">
        <v>56</v>
      </c>
      <c r="C30" s="83" t="s">
        <v>57</v>
      </c>
      <c r="D30" s="84">
        <v>10000.0</v>
      </c>
      <c r="E30" s="85">
        <v>100000.0</v>
      </c>
      <c r="F30" s="77" t="s">
        <v>43</v>
      </c>
      <c r="G30" s="77" t="s">
        <v>33</v>
      </c>
      <c r="H30" s="77">
        <v>10.0</v>
      </c>
      <c r="I30" s="78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7"/>
      <c r="X30" s="67"/>
      <c r="Y30" s="68"/>
      <c r="Z30" s="68"/>
    </row>
    <row r="31" ht="15.0" customHeight="1">
      <c r="A31" s="39"/>
      <c r="B31" s="40" t="s">
        <v>58</v>
      </c>
      <c r="C31" s="41" t="s">
        <v>59</v>
      </c>
      <c r="D31" s="42">
        <v>60.0</v>
      </c>
      <c r="E31" s="43">
        <v>12000.0</v>
      </c>
      <c r="F31" s="60" t="s">
        <v>32</v>
      </c>
      <c r="G31" s="60" t="s">
        <v>33</v>
      </c>
      <c r="H31" s="60">
        <v>200.0</v>
      </c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21"/>
      <c r="X31" s="21"/>
    </row>
    <row r="32" ht="15.0" customHeight="1">
      <c r="A32" s="39"/>
      <c r="B32" s="40" t="s">
        <v>60</v>
      </c>
      <c r="C32" s="41" t="s">
        <v>61</v>
      </c>
      <c r="D32" s="42">
        <v>400.0</v>
      </c>
      <c r="E32" s="43">
        <v>20000.0</v>
      </c>
      <c r="F32" s="60" t="s">
        <v>32</v>
      </c>
      <c r="G32" s="60" t="s">
        <v>33</v>
      </c>
      <c r="H32" s="60">
        <v>50.0</v>
      </c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21"/>
      <c r="X32" s="21"/>
    </row>
    <row r="33" ht="15.0" customHeight="1">
      <c r="A33" s="39"/>
      <c r="B33" s="40" t="s">
        <v>62</v>
      </c>
      <c r="C33" s="41" t="s">
        <v>63</v>
      </c>
      <c r="D33" s="42">
        <v>600.0</v>
      </c>
      <c r="E33" s="43">
        <v>6000.0</v>
      </c>
      <c r="F33" s="60" t="s">
        <v>32</v>
      </c>
      <c r="G33" s="60" t="s">
        <v>33</v>
      </c>
      <c r="H33" s="60">
        <v>10.0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21"/>
      <c r="X33" s="21"/>
    </row>
    <row r="34" ht="15.75" customHeight="1">
      <c r="A34" s="39"/>
      <c r="B34" s="86" t="s">
        <v>64</v>
      </c>
      <c r="C34" s="41" t="s">
        <v>65</v>
      </c>
      <c r="D34" s="42">
        <v>13000.0</v>
      </c>
      <c r="E34" s="43">
        <v>26000.0</v>
      </c>
      <c r="F34" s="60" t="s">
        <v>32</v>
      </c>
      <c r="G34" s="61" t="s">
        <v>33</v>
      </c>
      <c r="H34" s="60">
        <v>2.0</v>
      </c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21"/>
      <c r="X34" s="21"/>
    </row>
    <row r="35" ht="15.75" customHeight="1">
      <c r="A35" s="39"/>
      <c r="B35" s="86" t="s">
        <v>66</v>
      </c>
      <c r="C35" s="41" t="s">
        <v>67</v>
      </c>
      <c r="D35" s="42">
        <v>500.0</v>
      </c>
      <c r="E35" s="51">
        <f>D35*20</f>
        <v>10000</v>
      </c>
      <c r="F35" s="60" t="s">
        <v>32</v>
      </c>
      <c r="G35" s="61" t="s">
        <v>33</v>
      </c>
      <c r="H35" s="53"/>
      <c r="I35" s="60">
        <v>20.0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21"/>
      <c r="X35" s="21"/>
    </row>
    <row r="36" ht="15.75" customHeight="1">
      <c r="A36" s="39"/>
      <c r="B36" s="86" t="s">
        <v>68</v>
      </c>
      <c r="C36" s="41" t="s">
        <v>69</v>
      </c>
      <c r="D36" s="42">
        <v>1200.0</v>
      </c>
      <c r="E36" s="51">
        <f>D36*15</f>
        <v>18000</v>
      </c>
      <c r="F36" s="60" t="s">
        <v>32</v>
      </c>
      <c r="G36" s="87" t="s">
        <v>33</v>
      </c>
      <c r="H36" s="60">
        <v>15.0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21"/>
      <c r="X36" s="21"/>
    </row>
    <row r="37" ht="15.75" customHeight="1">
      <c r="A37" s="39"/>
      <c r="B37" s="86" t="s">
        <v>70</v>
      </c>
      <c r="C37" s="41" t="s">
        <v>55</v>
      </c>
      <c r="D37" s="42">
        <v>6000.0</v>
      </c>
      <c r="E37" s="43">
        <v>12000.0</v>
      </c>
      <c r="F37" s="60" t="s">
        <v>32</v>
      </c>
      <c r="G37" s="61" t="s">
        <v>33</v>
      </c>
      <c r="H37" s="60">
        <v>2.0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21"/>
      <c r="X37" s="21"/>
    </row>
    <row r="38" ht="15.75" customHeight="1">
      <c r="A38" s="39"/>
      <c r="B38" s="86" t="s">
        <v>71</v>
      </c>
      <c r="C38" s="41" t="s">
        <v>57</v>
      </c>
      <c r="D38" s="42">
        <v>1000.0</v>
      </c>
      <c r="E38" s="43">
        <v>10000.0</v>
      </c>
      <c r="F38" s="60" t="s">
        <v>32</v>
      </c>
      <c r="G38" s="61" t="s">
        <v>33</v>
      </c>
      <c r="H38" s="53"/>
      <c r="I38" s="60">
        <v>10.0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21"/>
      <c r="X38" s="21"/>
    </row>
    <row r="39" ht="15.75" customHeight="1">
      <c r="A39" s="39"/>
      <c r="B39" s="86" t="s">
        <v>72</v>
      </c>
      <c r="C39" s="41" t="s">
        <v>73</v>
      </c>
      <c r="D39" s="42">
        <v>3500.0</v>
      </c>
      <c r="E39" s="43">
        <v>17500.0</v>
      </c>
      <c r="F39" s="60" t="s">
        <v>32</v>
      </c>
      <c r="G39" s="61" t="s">
        <v>33</v>
      </c>
      <c r="H39" s="53"/>
      <c r="I39" s="60">
        <v>5.0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21"/>
      <c r="X39" s="21"/>
    </row>
    <row r="40" ht="15.75" customHeight="1">
      <c r="A40" s="39"/>
      <c r="B40" s="88" t="s">
        <v>74</v>
      </c>
      <c r="C40" s="41" t="s">
        <v>75</v>
      </c>
      <c r="D40" s="42">
        <v>500.0</v>
      </c>
      <c r="E40" s="51">
        <f>D40*6</f>
        <v>3000</v>
      </c>
      <c r="F40" s="61" t="s">
        <v>32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21"/>
      <c r="X40" s="21"/>
    </row>
    <row r="41" ht="15.75" customHeight="1">
      <c r="A41" s="39"/>
      <c r="B41" s="89"/>
      <c r="C41" s="49"/>
      <c r="D41" s="50"/>
      <c r="E41" s="51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21"/>
      <c r="X41" s="21"/>
    </row>
    <row r="42" ht="15.75" customHeight="1">
      <c r="A42" s="29" t="s">
        <v>76</v>
      </c>
      <c r="B42" s="71" t="s">
        <v>77</v>
      </c>
      <c r="C42" s="55"/>
      <c r="D42" s="56"/>
      <c r="E42" s="57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37"/>
      <c r="X42" s="37"/>
      <c r="Y42" s="38"/>
      <c r="Z42" s="38"/>
    </row>
    <row r="43" ht="18.75" customHeight="1">
      <c r="A43" s="39"/>
      <c r="B43" s="90" t="s">
        <v>78</v>
      </c>
      <c r="C43" s="41"/>
      <c r="D43" s="42"/>
      <c r="E43" s="43"/>
      <c r="F43" s="91"/>
      <c r="G43" s="92"/>
      <c r="H43" s="92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21"/>
      <c r="X43" s="21"/>
    </row>
    <row r="44" ht="29.25" customHeight="1">
      <c r="A44" s="39"/>
      <c r="B44" s="86" t="s">
        <v>79</v>
      </c>
      <c r="C44" s="41" t="s">
        <v>80</v>
      </c>
      <c r="D44" s="42">
        <v>1500.0</v>
      </c>
      <c r="E44" s="43">
        <f t="shared" ref="E44:E45" si="1">D44*30</f>
        <v>45000</v>
      </c>
      <c r="F44" s="91" t="s">
        <v>81</v>
      </c>
      <c r="G44" s="92" t="s">
        <v>82</v>
      </c>
      <c r="H44" s="92">
        <v>10.0</v>
      </c>
      <c r="I44" s="92">
        <v>10.0</v>
      </c>
      <c r="J44" s="92">
        <v>10.0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21"/>
      <c r="X44" s="21"/>
    </row>
    <row r="45" ht="15.75" customHeight="1">
      <c r="A45" s="39"/>
      <c r="B45" s="93" t="s">
        <v>83</v>
      </c>
      <c r="C45" s="41" t="s">
        <v>80</v>
      </c>
      <c r="D45" s="94">
        <v>1200.0</v>
      </c>
      <c r="E45" s="43">
        <f t="shared" si="1"/>
        <v>36000</v>
      </c>
      <c r="F45" s="91" t="s">
        <v>81</v>
      </c>
      <c r="G45" s="92" t="s">
        <v>82</v>
      </c>
      <c r="H45" s="92">
        <v>10.0</v>
      </c>
      <c r="I45" s="92">
        <v>10.0</v>
      </c>
      <c r="J45" s="92">
        <v>10.0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21"/>
      <c r="X45" s="21"/>
    </row>
    <row r="46" ht="15.75" customHeight="1">
      <c r="A46" s="39"/>
      <c r="B46" s="95" t="s">
        <v>84</v>
      </c>
      <c r="C46" s="41" t="s">
        <v>85</v>
      </c>
      <c r="D46" s="94">
        <v>900.0</v>
      </c>
      <c r="E46" s="43">
        <f>D46*40</f>
        <v>36000</v>
      </c>
      <c r="F46" s="91" t="s">
        <v>81</v>
      </c>
      <c r="G46" s="92" t="s">
        <v>82</v>
      </c>
      <c r="H46" s="92">
        <v>10.0</v>
      </c>
      <c r="I46" s="92">
        <v>10.0</v>
      </c>
      <c r="J46" s="92">
        <v>20.0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21"/>
      <c r="X46" s="21"/>
    </row>
    <row r="47" ht="15.75" customHeight="1">
      <c r="A47" s="39"/>
      <c r="B47" s="95" t="s">
        <v>86</v>
      </c>
      <c r="C47" s="41" t="s">
        <v>80</v>
      </c>
      <c r="D47" s="94">
        <v>1200.0</v>
      </c>
      <c r="E47" s="43">
        <f t="shared" ref="E47:E51" si="2">D47*30</f>
        <v>36000</v>
      </c>
      <c r="F47" s="91" t="s">
        <v>81</v>
      </c>
      <c r="G47" s="92" t="s">
        <v>82</v>
      </c>
      <c r="H47" s="92">
        <v>10.0</v>
      </c>
      <c r="I47" s="92">
        <v>10.0</v>
      </c>
      <c r="J47" s="92">
        <v>10.0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21"/>
      <c r="X47" s="21"/>
    </row>
    <row r="48" ht="15.75" customHeight="1">
      <c r="A48" s="39"/>
      <c r="B48" s="95" t="s">
        <v>87</v>
      </c>
      <c r="C48" s="41" t="s">
        <v>80</v>
      </c>
      <c r="D48" s="94">
        <v>1200.0</v>
      </c>
      <c r="E48" s="43">
        <f t="shared" si="2"/>
        <v>36000</v>
      </c>
      <c r="F48" s="91" t="s">
        <v>81</v>
      </c>
      <c r="G48" s="92" t="s">
        <v>82</v>
      </c>
      <c r="H48" s="92">
        <v>10.0</v>
      </c>
      <c r="I48" s="92">
        <v>10.0</v>
      </c>
      <c r="J48" s="92">
        <v>10.0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21"/>
      <c r="X48" s="21"/>
    </row>
    <row r="49" ht="15.75" customHeight="1">
      <c r="A49" s="39"/>
      <c r="B49" s="96" t="s">
        <v>88</v>
      </c>
      <c r="C49" s="41" t="s">
        <v>80</v>
      </c>
      <c r="D49" s="97">
        <v>600.0</v>
      </c>
      <c r="E49" s="43">
        <f t="shared" si="2"/>
        <v>18000</v>
      </c>
      <c r="F49" s="91" t="s">
        <v>81</v>
      </c>
      <c r="G49" s="92" t="s">
        <v>82</v>
      </c>
      <c r="H49" s="92">
        <v>10.0</v>
      </c>
      <c r="I49" s="92">
        <v>10.0</v>
      </c>
      <c r="J49" s="92">
        <v>10.0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21"/>
      <c r="X49" s="21"/>
    </row>
    <row r="50" ht="15.75" customHeight="1">
      <c r="A50" s="39"/>
      <c r="B50" s="96" t="s">
        <v>89</v>
      </c>
      <c r="C50" s="41" t="s">
        <v>80</v>
      </c>
      <c r="D50" s="97">
        <v>800.0</v>
      </c>
      <c r="E50" s="43">
        <f t="shared" si="2"/>
        <v>24000</v>
      </c>
      <c r="F50" s="91" t="s">
        <v>81</v>
      </c>
      <c r="G50" s="92" t="s">
        <v>82</v>
      </c>
      <c r="H50" s="92">
        <v>10.0</v>
      </c>
      <c r="I50" s="92">
        <v>10.0</v>
      </c>
      <c r="J50" s="92">
        <v>10.0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21"/>
      <c r="X50" s="21"/>
    </row>
    <row r="51" ht="15.75" customHeight="1">
      <c r="A51" s="39"/>
      <c r="B51" s="86" t="s">
        <v>90</v>
      </c>
      <c r="C51" s="41" t="s">
        <v>80</v>
      </c>
      <c r="D51" s="98">
        <v>420.0</v>
      </c>
      <c r="E51" s="43">
        <f t="shared" si="2"/>
        <v>12600</v>
      </c>
      <c r="F51" s="60" t="s">
        <v>91</v>
      </c>
      <c r="G51" s="60" t="s">
        <v>82</v>
      </c>
      <c r="H51" s="92">
        <v>10.0</v>
      </c>
      <c r="I51" s="92">
        <v>10.0</v>
      </c>
      <c r="J51" s="92">
        <v>10.0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21"/>
      <c r="X51" s="21"/>
    </row>
    <row r="52" ht="15.75" customHeight="1">
      <c r="A52" s="99"/>
      <c r="B52" s="100" t="s">
        <v>92</v>
      </c>
      <c r="C52" s="101" t="s">
        <v>93</v>
      </c>
      <c r="D52" s="102">
        <v>300.0</v>
      </c>
      <c r="E52" s="103">
        <f>D52*50</f>
        <v>15000</v>
      </c>
      <c r="F52" s="104" t="s">
        <v>91</v>
      </c>
      <c r="G52" s="104" t="s">
        <v>82</v>
      </c>
      <c r="H52" s="105">
        <v>25.0</v>
      </c>
      <c r="I52" s="105">
        <v>25.0</v>
      </c>
      <c r="J52" s="105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7"/>
      <c r="X52" s="107"/>
      <c r="Y52" s="108"/>
      <c r="Z52" s="108"/>
    </row>
    <row r="53" ht="15.75" customHeight="1">
      <c r="A53" s="99"/>
      <c r="B53" s="88" t="s">
        <v>94</v>
      </c>
      <c r="C53" s="101" t="s">
        <v>80</v>
      </c>
      <c r="D53" s="102">
        <v>3000.0</v>
      </c>
      <c r="E53" s="103">
        <f>D53*30</f>
        <v>90000</v>
      </c>
      <c r="F53" s="104"/>
      <c r="G53" s="104"/>
      <c r="H53" s="105"/>
      <c r="I53" s="105"/>
      <c r="J53" s="105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7"/>
      <c r="X53" s="107"/>
      <c r="Y53" s="108"/>
      <c r="Z53" s="108"/>
    </row>
    <row r="54" ht="15.75" customHeight="1">
      <c r="A54" s="99"/>
      <c r="B54" s="88" t="s">
        <v>95</v>
      </c>
      <c r="C54" s="101" t="s">
        <v>80</v>
      </c>
      <c r="D54" s="102"/>
      <c r="E54" s="103"/>
      <c r="F54" s="104"/>
      <c r="G54" s="104"/>
      <c r="H54" s="105"/>
      <c r="I54" s="105"/>
      <c r="J54" s="105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7"/>
      <c r="X54" s="107"/>
      <c r="Y54" s="108"/>
      <c r="Z54" s="108"/>
    </row>
    <row r="55" ht="15.75" customHeight="1">
      <c r="A55" s="39"/>
      <c r="B55" s="90" t="s">
        <v>96</v>
      </c>
      <c r="C55" s="49"/>
      <c r="D55" s="62"/>
      <c r="E55" s="51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21"/>
      <c r="X55" s="21"/>
    </row>
    <row r="56" ht="15.75" customHeight="1">
      <c r="A56" s="39"/>
      <c r="B56" s="86" t="s">
        <v>97</v>
      </c>
      <c r="C56" s="41" t="s">
        <v>98</v>
      </c>
      <c r="D56" s="98">
        <v>250.0</v>
      </c>
      <c r="E56" s="43">
        <v>2500.0</v>
      </c>
      <c r="F56" s="109" t="s">
        <v>81</v>
      </c>
      <c r="G56" s="92" t="s">
        <v>82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21"/>
      <c r="X56" s="21"/>
    </row>
    <row r="57" ht="17.25" customHeight="1">
      <c r="A57" s="39"/>
      <c r="B57" s="86" t="s">
        <v>99</v>
      </c>
      <c r="C57" s="41" t="s">
        <v>98</v>
      </c>
      <c r="D57" s="98">
        <v>225.0</v>
      </c>
      <c r="E57" s="43">
        <v>2250.0</v>
      </c>
      <c r="F57" s="109" t="s">
        <v>81</v>
      </c>
      <c r="G57" s="92" t="s">
        <v>82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21"/>
      <c r="X57" s="21"/>
    </row>
    <row r="58" ht="15.75" customHeight="1">
      <c r="A58" s="110"/>
      <c r="B58" s="86" t="s">
        <v>100</v>
      </c>
      <c r="C58" s="41" t="s">
        <v>98</v>
      </c>
      <c r="D58" s="98">
        <v>735.0</v>
      </c>
      <c r="E58" s="43">
        <v>7350.0</v>
      </c>
      <c r="F58" s="109" t="s">
        <v>81</v>
      </c>
      <c r="G58" s="60" t="s">
        <v>82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21"/>
      <c r="X58" s="21"/>
    </row>
    <row r="59" ht="15.75" customHeight="1">
      <c r="A59" s="39"/>
      <c r="B59" s="93" t="s">
        <v>101</v>
      </c>
      <c r="C59" s="41" t="s">
        <v>98</v>
      </c>
      <c r="D59" s="94">
        <v>1100.0</v>
      </c>
      <c r="E59" s="43">
        <v>11000.0</v>
      </c>
      <c r="F59" s="91" t="s">
        <v>81</v>
      </c>
      <c r="G59" s="92" t="s">
        <v>82</v>
      </c>
      <c r="H59" s="92">
        <v>6.0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21"/>
      <c r="X59" s="21"/>
    </row>
    <row r="60" ht="15.75" customHeight="1">
      <c r="A60" s="39"/>
      <c r="B60" s="111" t="s">
        <v>102</v>
      </c>
      <c r="C60" s="41" t="s">
        <v>103</v>
      </c>
      <c r="D60" s="112">
        <v>8000.0</v>
      </c>
      <c r="E60" s="43">
        <v>56000.0</v>
      </c>
      <c r="F60" s="91" t="s">
        <v>81</v>
      </c>
      <c r="G60" s="92" t="s">
        <v>82</v>
      </c>
      <c r="H60" s="92"/>
      <c r="I60" s="61">
        <v>8.0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21"/>
      <c r="X60" s="21"/>
    </row>
    <row r="61" ht="15.75" customHeight="1">
      <c r="A61" s="39"/>
      <c r="B61" s="111"/>
      <c r="C61" s="41"/>
      <c r="D61" s="113"/>
      <c r="E61" s="43"/>
      <c r="F61" s="91"/>
      <c r="G61" s="92"/>
      <c r="H61" s="92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21"/>
      <c r="X61" s="21"/>
    </row>
    <row r="62" ht="15.75" customHeight="1">
      <c r="A62" s="39"/>
      <c r="B62" s="114" t="s">
        <v>104</v>
      </c>
      <c r="C62" s="115"/>
      <c r="D62" s="116"/>
      <c r="E62" s="117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9"/>
      <c r="X62" s="119"/>
      <c r="Y62" s="120"/>
      <c r="Z62" s="120"/>
    </row>
    <row r="63" ht="15.75" customHeight="1">
      <c r="A63" s="39"/>
      <c r="B63" s="86"/>
      <c r="C63" s="41"/>
      <c r="D63" s="42"/>
      <c r="E63" s="43"/>
      <c r="F63" s="60"/>
      <c r="G63" s="60"/>
      <c r="H63" s="60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21"/>
      <c r="X63" s="21"/>
    </row>
    <row r="64" ht="15.75" customHeight="1">
      <c r="A64" s="39"/>
      <c r="B64" s="86"/>
      <c r="C64" s="41"/>
      <c r="D64" s="42"/>
      <c r="E64" s="43"/>
      <c r="F64" s="60"/>
      <c r="G64" s="60"/>
      <c r="H64" s="60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21"/>
      <c r="X64" s="21"/>
    </row>
    <row r="65" ht="15.75" customHeight="1">
      <c r="A65" s="39"/>
      <c r="B65" s="86"/>
      <c r="C65" s="41"/>
      <c r="D65" s="42"/>
      <c r="E65" s="43"/>
      <c r="F65" s="60"/>
      <c r="G65" s="60"/>
      <c r="H65" s="60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21"/>
      <c r="X65" s="21"/>
    </row>
    <row r="66" ht="15.75" customHeight="1">
      <c r="A66" s="39"/>
      <c r="B66" s="89"/>
      <c r="C66" s="49"/>
      <c r="D66" s="62"/>
      <c r="E66" s="51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21"/>
      <c r="X66" s="21"/>
    </row>
    <row r="67" ht="15.0" customHeight="1">
      <c r="A67" s="39"/>
      <c r="B67" s="121" t="s">
        <v>105</v>
      </c>
      <c r="C67" s="115"/>
      <c r="D67" s="116"/>
      <c r="E67" s="117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9"/>
      <c r="X67" s="119"/>
      <c r="Y67" s="120"/>
      <c r="Z67" s="120"/>
    </row>
    <row r="68" ht="15.0" customHeight="1">
      <c r="A68" s="39"/>
      <c r="B68" s="95" t="s">
        <v>106</v>
      </c>
      <c r="C68" s="122" t="s">
        <v>55</v>
      </c>
      <c r="D68" s="94">
        <v>150.0</v>
      </c>
      <c r="E68" s="43">
        <v>300.0</v>
      </c>
      <c r="F68" s="60" t="s">
        <v>107</v>
      </c>
      <c r="G68" s="53"/>
      <c r="H68" s="60"/>
      <c r="I68" s="123">
        <v>2.0</v>
      </c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21"/>
      <c r="X68" s="21"/>
    </row>
    <row r="69" ht="15.0" customHeight="1">
      <c r="A69" s="39"/>
      <c r="B69" s="95" t="s">
        <v>108</v>
      </c>
      <c r="C69" s="122" t="s">
        <v>55</v>
      </c>
      <c r="D69" s="94">
        <v>150.0</v>
      </c>
      <c r="E69" s="43">
        <v>300.0</v>
      </c>
      <c r="F69" s="60" t="s">
        <v>107</v>
      </c>
      <c r="G69" s="53"/>
      <c r="H69" s="60"/>
      <c r="I69" s="124">
        <v>2.0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21"/>
      <c r="X69" s="21"/>
    </row>
    <row r="70" ht="15.0" customHeight="1">
      <c r="A70" s="39"/>
      <c r="B70" s="95" t="s">
        <v>109</v>
      </c>
      <c r="C70" s="122" t="s">
        <v>55</v>
      </c>
      <c r="D70" s="94">
        <v>30.0</v>
      </c>
      <c r="E70" s="43">
        <v>60.0</v>
      </c>
      <c r="F70" s="60" t="s">
        <v>107</v>
      </c>
      <c r="G70" s="53"/>
      <c r="H70" s="60"/>
      <c r="I70" s="124">
        <v>2.0</v>
      </c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21"/>
      <c r="X70" s="21"/>
    </row>
    <row r="71" ht="15.0" customHeight="1">
      <c r="A71" s="39"/>
      <c r="B71" s="95" t="s">
        <v>110</v>
      </c>
      <c r="C71" s="122" t="s">
        <v>111</v>
      </c>
      <c r="D71" s="94">
        <v>80.0</v>
      </c>
      <c r="E71" s="43">
        <v>320.0</v>
      </c>
      <c r="F71" s="60" t="s">
        <v>107</v>
      </c>
      <c r="G71" s="53"/>
      <c r="H71" s="60"/>
      <c r="I71" s="124">
        <v>4.0</v>
      </c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21"/>
      <c r="X71" s="21"/>
    </row>
    <row r="72" ht="15.0" customHeight="1">
      <c r="A72" s="39"/>
      <c r="B72" s="125" t="s">
        <v>112</v>
      </c>
      <c r="C72" s="41" t="s">
        <v>61</v>
      </c>
      <c r="D72" s="98">
        <v>100.0</v>
      </c>
      <c r="E72" s="51">
        <f>D72*50</f>
        <v>5000</v>
      </c>
      <c r="F72" s="60" t="s">
        <v>107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21"/>
      <c r="X72" s="21"/>
    </row>
    <row r="73" ht="15.0" customHeight="1">
      <c r="A73" s="39"/>
      <c r="B73" s="88" t="s">
        <v>113</v>
      </c>
      <c r="C73" s="41" t="s">
        <v>114</v>
      </c>
      <c r="D73" s="98">
        <v>250.0</v>
      </c>
      <c r="E73" s="51">
        <f>D73*5</f>
        <v>1250</v>
      </c>
      <c r="F73" s="60" t="s">
        <v>107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21"/>
      <c r="X73" s="21"/>
    </row>
    <row r="74" ht="18.75" customHeight="1">
      <c r="A74" s="29" t="s">
        <v>115</v>
      </c>
      <c r="B74" s="71" t="s">
        <v>116</v>
      </c>
      <c r="C74" s="55"/>
      <c r="D74" s="56"/>
      <c r="E74" s="57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37"/>
      <c r="X74" s="37"/>
      <c r="Y74" s="38"/>
      <c r="Z74" s="38"/>
    </row>
    <row r="75" ht="15.75" customHeight="1">
      <c r="A75" s="39"/>
      <c r="B75" s="89" t="s">
        <v>117</v>
      </c>
      <c r="C75" s="49" t="s">
        <v>50</v>
      </c>
      <c r="D75" s="62">
        <v>1600000.0</v>
      </c>
      <c r="E75" s="51">
        <v>1600000.0</v>
      </c>
      <c r="F75" s="52" t="s">
        <v>43</v>
      </c>
      <c r="G75" s="52" t="s">
        <v>118</v>
      </c>
      <c r="H75" s="52">
        <v>1.0</v>
      </c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21"/>
      <c r="X75" s="21"/>
    </row>
    <row r="76" ht="15.0" customHeight="1">
      <c r="A76" s="39"/>
      <c r="B76" s="89"/>
      <c r="C76" s="49"/>
      <c r="D76" s="62"/>
      <c r="E76" s="51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21"/>
      <c r="X76" s="21"/>
    </row>
    <row r="77" ht="15.75" customHeight="1">
      <c r="A77" s="39"/>
      <c r="B77" s="114" t="s">
        <v>119</v>
      </c>
      <c r="C77" s="126" t="s">
        <v>50</v>
      </c>
      <c r="D77" s="127">
        <v>20000.0</v>
      </c>
      <c r="E77" s="128">
        <v>20000.0</v>
      </c>
      <c r="F77" s="129" t="s">
        <v>120</v>
      </c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9"/>
      <c r="X77" s="119"/>
      <c r="Y77" s="120"/>
      <c r="Z77" s="120"/>
    </row>
    <row r="78" ht="15.75" customHeight="1">
      <c r="A78" s="39"/>
      <c r="B78" s="88" t="s">
        <v>121</v>
      </c>
      <c r="C78" s="49"/>
      <c r="D78" s="62"/>
      <c r="E78" s="51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21"/>
      <c r="X78" s="21"/>
    </row>
    <row r="79" ht="15.75" customHeight="1">
      <c r="A79" s="39"/>
      <c r="B79" s="89"/>
      <c r="C79" s="49"/>
      <c r="D79" s="62"/>
      <c r="E79" s="51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21"/>
      <c r="X79" s="21"/>
    </row>
    <row r="80" ht="15.75" customHeight="1">
      <c r="A80" s="39"/>
      <c r="B80" s="89"/>
      <c r="C80" s="49"/>
      <c r="D80" s="62"/>
      <c r="E80" s="51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21"/>
      <c r="X80" s="21"/>
    </row>
    <row r="81" ht="15.75" customHeight="1">
      <c r="A81" s="39"/>
      <c r="B81" s="121" t="s">
        <v>122</v>
      </c>
      <c r="C81" s="115"/>
      <c r="D81" s="116"/>
      <c r="E81" s="117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9"/>
      <c r="X81" s="119"/>
      <c r="Y81" s="120"/>
      <c r="Z81" s="120"/>
    </row>
    <row r="82" ht="15.75" customHeight="1">
      <c r="A82" s="39"/>
      <c r="B82" s="88" t="s">
        <v>123</v>
      </c>
      <c r="C82" s="41" t="s">
        <v>50</v>
      </c>
      <c r="D82" s="98">
        <v>40000.0</v>
      </c>
      <c r="E82" s="43">
        <v>40000.0</v>
      </c>
      <c r="F82" s="60" t="s">
        <v>32</v>
      </c>
      <c r="G82" s="60" t="s">
        <v>82</v>
      </c>
      <c r="H82" s="60">
        <v>1.0</v>
      </c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21"/>
      <c r="X82" s="21"/>
    </row>
    <row r="83" ht="15.75" customHeight="1">
      <c r="A83" s="39"/>
      <c r="B83" s="89"/>
      <c r="C83" s="49"/>
      <c r="D83" s="62"/>
      <c r="E83" s="51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21"/>
      <c r="X83" s="21"/>
    </row>
    <row r="84" ht="15.75" customHeight="1">
      <c r="A84" s="39"/>
      <c r="B84" s="89"/>
      <c r="C84" s="49"/>
      <c r="D84" s="62"/>
      <c r="E84" s="51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21"/>
      <c r="X84" s="21"/>
    </row>
    <row r="85" ht="15.75" customHeight="1">
      <c r="A85" s="39"/>
      <c r="B85" s="89"/>
      <c r="C85" s="49"/>
      <c r="D85" s="62"/>
      <c r="E85" s="51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21"/>
      <c r="X85" s="21"/>
    </row>
    <row r="86" ht="15.75" customHeight="1">
      <c r="A86" s="39"/>
      <c r="B86" s="121" t="s">
        <v>124</v>
      </c>
      <c r="C86" s="115"/>
      <c r="D86" s="116"/>
      <c r="E86" s="117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9"/>
      <c r="X86" s="119"/>
      <c r="Y86" s="120"/>
      <c r="Z86" s="120"/>
    </row>
    <row r="87" ht="15.75" customHeight="1">
      <c r="A87" s="39"/>
      <c r="B87" s="88" t="s">
        <v>125</v>
      </c>
      <c r="C87" s="41" t="s">
        <v>50</v>
      </c>
      <c r="D87" s="42">
        <v>20000.0</v>
      </c>
      <c r="E87" s="43">
        <v>20000.0</v>
      </c>
      <c r="F87" s="60" t="s">
        <v>32</v>
      </c>
      <c r="G87" s="60" t="s">
        <v>82</v>
      </c>
      <c r="H87" s="60">
        <v>1.0</v>
      </c>
      <c r="I87" s="52"/>
      <c r="J87" s="52"/>
      <c r="K87" s="52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21"/>
      <c r="X87" s="21"/>
    </row>
    <row r="88" ht="15.75" customHeight="1">
      <c r="A88" s="39"/>
      <c r="B88" s="88" t="s">
        <v>126</v>
      </c>
      <c r="C88" s="41" t="s">
        <v>50</v>
      </c>
      <c r="D88" s="42">
        <v>5000.0</v>
      </c>
      <c r="E88" s="43">
        <v>5000.0</v>
      </c>
      <c r="F88" s="60" t="s">
        <v>32</v>
      </c>
      <c r="G88" s="60" t="s">
        <v>82</v>
      </c>
      <c r="H88" s="60">
        <v>1.0</v>
      </c>
      <c r="I88" s="52"/>
      <c r="J88" s="52"/>
      <c r="K88" s="52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21"/>
      <c r="X88" s="21"/>
    </row>
    <row r="89" ht="15.75" customHeight="1">
      <c r="A89" s="39"/>
      <c r="B89" s="88" t="s">
        <v>127</v>
      </c>
      <c r="C89" s="41" t="s">
        <v>50</v>
      </c>
      <c r="D89" s="42">
        <v>20000.0</v>
      </c>
      <c r="E89" s="43">
        <v>20000.0</v>
      </c>
      <c r="F89" s="60" t="s">
        <v>32</v>
      </c>
      <c r="G89" s="60" t="s">
        <v>82</v>
      </c>
      <c r="H89" s="60">
        <v>1.0</v>
      </c>
      <c r="I89" s="52"/>
      <c r="J89" s="52"/>
      <c r="K89" s="52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21"/>
      <c r="X89" s="21"/>
    </row>
    <row r="90" ht="15.75" customHeight="1">
      <c r="A90" s="39"/>
      <c r="B90" s="88" t="s">
        <v>128</v>
      </c>
      <c r="C90" s="41" t="s">
        <v>50</v>
      </c>
      <c r="D90" s="42">
        <v>10000.0</v>
      </c>
      <c r="E90" s="43">
        <v>10000.0</v>
      </c>
      <c r="F90" s="60" t="s">
        <v>32</v>
      </c>
      <c r="G90" s="60" t="s">
        <v>82</v>
      </c>
      <c r="H90" s="60">
        <v>1.0</v>
      </c>
      <c r="I90" s="52"/>
      <c r="J90" s="52"/>
      <c r="K90" s="52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21"/>
      <c r="X90" s="21"/>
    </row>
    <row r="91" ht="15.75" customHeight="1">
      <c r="A91" s="39"/>
      <c r="B91" s="89"/>
      <c r="C91" s="49"/>
      <c r="D91" s="62"/>
      <c r="E91" s="51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21"/>
      <c r="X91" s="21"/>
    </row>
    <row r="92" ht="15.75" customHeight="1">
      <c r="A92" s="39"/>
      <c r="B92" s="89"/>
      <c r="C92" s="49"/>
      <c r="D92" s="62"/>
      <c r="E92" s="51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21"/>
      <c r="X92" s="21"/>
    </row>
    <row r="93" ht="15.75" customHeight="1">
      <c r="A93" s="39"/>
      <c r="B93" s="130" t="s">
        <v>120</v>
      </c>
      <c r="C93" s="49"/>
      <c r="D93" s="62"/>
      <c r="E93" s="51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21"/>
      <c r="X93" s="21"/>
    </row>
    <row r="94" ht="15.75" customHeight="1">
      <c r="A94" s="39"/>
      <c r="B94" s="86" t="s">
        <v>129</v>
      </c>
      <c r="C94" s="41" t="s">
        <v>50</v>
      </c>
      <c r="D94" s="42">
        <v>1000.0</v>
      </c>
      <c r="E94" s="43">
        <v>1000.0</v>
      </c>
      <c r="F94" s="60" t="s">
        <v>130</v>
      </c>
      <c r="G94" s="52"/>
      <c r="H94" s="60">
        <v>1.0</v>
      </c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21"/>
      <c r="X94" s="21"/>
    </row>
    <row r="95" ht="15.75" customHeight="1">
      <c r="A95" s="39"/>
      <c r="B95" s="89"/>
      <c r="C95" s="49"/>
      <c r="D95" s="62"/>
      <c r="E95" s="51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21"/>
      <c r="X95" s="21"/>
    </row>
    <row r="96" ht="15.75" hidden="1" customHeight="1">
      <c r="A96" s="39"/>
      <c r="B96" s="89"/>
      <c r="C96" s="49"/>
      <c r="D96" s="62"/>
      <c r="E96" s="51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21"/>
      <c r="X96" s="21"/>
    </row>
    <row r="97" ht="15.75" hidden="1" customHeight="1">
      <c r="A97" s="39"/>
      <c r="B97" s="89"/>
      <c r="C97" s="49"/>
      <c r="D97" s="62"/>
      <c r="E97" s="51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21"/>
      <c r="X97" s="21"/>
    </row>
    <row r="98" ht="15.75" hidden="1" customHeight="1">
      <c r="A98" s="39"/>
      <c r="B98" s="89"/>
      <c r="C98" s="49"/>
      <c r="D98" s="62"/>
      <c r="E98" s="51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21"/>
      <c r="X98" s="21"/>
    </row>
    <row r="99" ht="15.75" hidden="1" customHeight="1">
      <c r="A99" s="39"/>
      <c r="B99" s="89"/>
      <c r="C99" s="49"/>
      <c r="D99" s="62"/>
      <c r="E99" s="51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21"/>
      <c r="X99" s="21"/>
    </row>
    <row r="100" ht="15.75" hidden="1" customHeight="1">
      <c r="A100" s="39"/>
      <c r="B100" s="89"/>
      <c r="C100" s="49"/>
      <c r="D100" s="62"/>
      <c r="E100" s="51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21"/>
      <c r="X100" s="21"/>
    </row>
    <row r="101" ht="15.75" hidden="1" customHeight="1">
      <c r="A101" s="39"/>
      <c r="B101" s="89"/>
      <c r="C101" s="49"/>
      <c r="D101" s="62"/>
      <c r="E101" s="51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21"/>
      <c r="X101" s="21"/>
    </row>
    <row r="102" ht="15.75" hidden="1" customHeight="1">
      <c r="A102" s="131"/>
      <c r="B102" s="132"/>
      <c r="C102" s="133"/>
      <c r="D102" s="134"/>
      <c r="E102" s="135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21"/>
      <c r="X102" s="21"/>
    </row>
    <row r="103" ht="15.75" hidden="1" customHeight="1">
      <c r="A103" s="39"/>
      <c r="B103" s="136" t="s">
        <v>131</v>
      </c>
      <c r="C103" s="137"/>
      <c r="D103" s="138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21"/>
      <c r="X103" s="21"/>
    </row>
    <row r="104" ht="15.75" hidden="1" customHeight="1">
      <c r="A104" s="39"/>
      <c r="B104" s="89"/>
      <c r="C104" s="49"/>
      <c r="D104" s="62"/>
      <c r="E104" s="51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21"/>
      <c r="X104" s="21"/>
    </row>
    <row r="105" ht="15.75" hidden="1" customHeight="1">
      <c r="A105" s="39"/>
      <c r="B105" s="89"/>
      <c r="C105" s="49"/>
      <c r="D105" s="62"/>
      <c r="E105" s="51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21"/>
      <c r="X105" s="21"/>
    </row>
    <row r="106" ht="15.75" hidden="1" customHeight="1">
      <c r="A106" s="39"/>
      <c r="B106" s="89"/>
      <c r="C106" s="49"/>
      <c r="D106" s="62"/>
      <c r="E106" s="51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21"/>
      <c r="X106" s="21"/>
    </row>
    <row r="107" ht="15.75" hidden="1" customHeight="1">
      <c r="A107" s="39"/>
      <c r="B107" s="89"/>
      <c r="C107" s="49"/>
      <c r="D107" s="62"/>
      <c r="E107" s="51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21"/>
      <c r="X107" s="21"/>
    </row>
    <row r="108" ht="15.75" hidden="1" customHeight="1">
      <c r="A108" s="39"/>
      <c r="B108" s="136" t="s">
        <v>132</v>
      </c>
      <c r="C108" s="137"/>
      <c r="D108" s="138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21"/>
      <c r="X108" s="21"/>
    </row>
    <row r="109" ht="15.75" hidden="1" customHeight="1">
      <c r="A109" s="39"/>
      <c r="B109" s="89"/>
      <c r="C109" s="49"/>
      <c r="D109" s="62"/>
      <c r="E109" s="51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21"/>
      <c r="X109" s="21"/>
    </row>
    <row r="110" ht="15.75" hidden="1" customHeight="1">
      <c r="A110" s="39"/>
      <c r="B110" s="89"/>
      <c r="C110" s="49"/>
      <c r="D110" s="62"/>
      <c r="E110" s="51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21"/>
      <c r="X110" s="21"/>
    </row>
    <row r="111" ht="15.75" hidden="1" customHeight="1">
      <c r="A111" s="39"/>
      <c r="B111" s="89"/>
      <c r="C111" s="49"/>
      <c r="D111" s="62"/>
      <c r="E111" s="51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21"/>
      <c r="X111" s="21"/>
    </row>
    <row r="112" ht="15.75" customHeight="1">
      <c r="A112" s="131"/>
      <c r="B112" s="139" t="s">
        <v>133</v>
      </c>
      <c r="C112" s="140"/>
      <c r="D112" s="140"/>
      <c r="E112" s="140"/>
      <c r="F112" s="140"/>
      <c r="G112" s="140"/>
      <c r="H112" s="140"/>
      <c r="I112" s="141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21"/>
      <c r="X112" s="21"/>
    </row>
    <row r="113" ht="15.75" customHeight="1">
      <c r="A113" s="142"/>
      <c r="B113" s="143"/>
      <c r="C113" s="2"/>
      <c r="D113" s="9"/>
      <c r="E113" s="144">
        <v>2691930.0</v>
      </c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145" t="s">
        <v>134</v>
      </c>
      <c r="B114" s="6"/>
      <c r="C114" s="146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hidden="1" customHeight="1">
      <c r="A115" s="147" t="s">
        <v>135</v>
      </c>
      <c r="B115" s="148"/>
      <c r="C115" s="149">
        <f>PRODUCT(C114,0.1)</f>
        <v>0.1</v>
      </c>
      <c r="D115" s="150"/>
      <c r="E115" s="151"/>
      <c r="F115" s="11"/>
      <c r="G115" s="11"/>
      <c r="H115" s="152"/>
      <c r="J115" s="152"/>
      <c r="U115" s="152"/>
      <c r="V115" s="2"/>
      <c r="W115" s="2"/>
      <c r="X115" s="2"/>
    </row>
    <row r="116" ht="15.75" hidden="1" customHeight="1">
      <c r="A116" s="153" t="s">
        <v>136</v>
      </c>
      <c r="B116" s="154"/>
      <c r="C116" s="155">
        <f>PRODUCT(C114,0.1)</f>
        <v>0.1</v>
      </c>
      <c r="D116" s="140"/>
      <c r="E116" s="141"/>
      <c r="F116" s="11"/>
      <c r="G116" s="11"/>
      <c r="H116" s="156"/>
      <c r="I116" s="156"/>
      <c r="J116" s="157"/>
      <c r="U116" s="157"/>
      <c r="V116" s="2"/>
      <c r="W116" s="2"/>
      <c r="X116" s="2"/>
    </row>
    <row r="117" ht="15.75" hidden="1" customHeight="1">
      <c r="A117" s="153" t="s">
        <v>137</v>
      </c>
      <c r="B117" s="154"/>
      <c r="C117" s="155">
        <f>SUM(C114:E116)</f>
        <v>0.2</v>
      </c>
      <c r="D117" s="140"/>
      <c r="E117" s="141"/>
      <c r="F117" s="11"/>
      <c r="G117" s="11"/>
      <c r="H117" s="156"/>
      <c r="I117" s="156"/>
      <c r="J117" s="157"/>
      <c r="U117" s="157"/>
      <c r="V117" s="2"/>
      <c r="W117" s="2"/>
      <c r="X117" s="2"/>
    </row>
    <row r="118" ht="15.75" customHeight="1">
      <c r="A118" s="158"/>
      <c r="B118" s="6"/>
      <c r="C118" s="2"/>
      <c r="D118" s="9"/>
      <c r="E118" s="10"/>
      <c r="F118" s="159"/>
      <c r="G118" s="11"/>
      <c r="H118" s="156"/>
      <c r="I118" s="156"/>
      <c r="J118" s="157"/>
      <c r="U118" s="157"/>
      <c r="V118" s="2"/>
      <c r="W118" s="2"/>
      <c r="X118" s="2"/>
    </row>
    <row r="119" ht="15.75" customHeight="1">
      <c r="A119" s="160" t="s">
        <v>138</v>
      </c>
      <c r="B119" s="6"/>
      <c r="C119" s="2"/>
      <c r="D119" s="9"/>
      <c r="E119" s="10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161"/>
      <c r="B120" s="6"/>
      <c r="C120" s="2"/>
      <c r="D120" s="9"/>
      <c r="E120" s="10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162" t="s">
        <v>139</v>
      </c>
      <c r="B121" s="143"/>
      <c r="C121" s="163" t="s">
        <v>140</v>
      </c>
      <c r="F121" s="156"/>
      <c r="G121" s="156"/>
      <c r="H121" s="2"/>
      <c r="I121" s="163" t="s">
        <v>141</v>
      </c>
      <c r="O121" s="2"/>
      <c r="P121" s="2"/>
      <c r="Q121" s="163" t="s">
        <v>142</v>
      </c>
      <c r="U121" s="2"/>
      <c r="V121" s="2"/>
      <c r="X121" s="156"/>
    </row>
    <row r="122" ht="15.75" customHeight="1">
      <c r="A122" s="162"/>
      <c r="B122" s="143"/>
      <c r="C122" s="163"/>
      <c r="D122" s="164"/>
      <c r="E122" s="163"/>
      <c r="F122" s="156"/>
      <c r="G122" s="156"/>
      <c r="H122" s="2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56"/>
      <c r="X122" s="156"/>
    </row>
    <row r="123" ht="15.75" customHeight="1">
      <c r="A123" s="143"/>
      <c r="B123" s="143"/>
      <c r="C123" s="156"/>
      <c r="D123" s="165"/>
      <c r="E123" s="166"/>
      <c r="F123" s="156"/>
      <c r="G123" s="156"/>
      <c r="H123" s="2"/>
      <c r="I123" s="156"/>
      <c r="J123" s="166"/>
      <c r="K123" s="166"/>
      <c r="L123" s="166"/>
      <c r="M123" s="166"/>
      <c r="N123" s="166"/>
      <c r="O123" s="166"/>
      <c r="P123" s="166"/>
      <c r="Q123" s="156"/>
      <c r="R123" s="166"/>
      <c r="S123" s="156"/>
      <c r="T123" s="156"/>
      <c r="U123" s="156"/>
      <c r="V123" s="156"/>
      <c r="W123" s="156"/>
      <c r="X123" s="156"/>
    </row>
    <row r="124" ht="15.75" customHeight="1">
      <c r="A124" s="167" t="s">
        <v>143</v>
      </c>
      <c r="C124" s="168" t="s">
        <v>144</v>
      </c>
      <c r="G124" s="2"/>
      <c r="H124" s="2"/>
      <c r="I124" s="168" t="s">
        <v>145</v>
      </c>
      <c r="O124" s="2"/>
      <c r="P124" s="2"/>
      <c r="Q124" s="168" t="s">
        <v>146</v>
      </c>
      <c r="U124" s="2"/>
      <c r="V124" s="2"/>
    </row>
    <row r="125" ht="15.0" customHeight="1">
      <c r="A125" s="169" t="s">
        <v>147</v>
      </c>
      <c r="C125" s="170" t="s">
        <v>148</v>
      </c>
      <c r="G125" s="171"/>
      <c r="H125" s="2"/>
      <c r="I125" s="172" t="s">
        <v>149</v>
      </c>
      <c r="O125" s="2"/>
      <c r="P125" s="2"/>
      <c r="Q125" s="170" t="s">
        <v>150</v>
      </c>
      <c r="U125" s="2"/>
      <c r="V125" s="2"/>
      <c r="W125" s="156"/>
      <c r="X125" s="156"/>
    </row>
    <row r="126" ht="15.75" customHeight="1">
      <c r="A126" s="2"/>
      <c r="B126" s="2"/>
      <c r="C126" s="2"/>
      <c r="D126" s="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173" t="s">
        <v>151</v>
      </c>
      <c r="B127" s="2"/>
      <c r="C127" s="2" t="s">
        <v>152</v>
      </c>
      <c r="D127" s="9"/>
      <c r="E127" s="2"/>
      <c r="F127" s="2"/>
      <c r="G127" s="2"/>
      <c r="H127" s="2"/>
      <c r="I127" s="2" t="s">
        <v>152</v>
      </c>
      <c r="J127" s="2"/>
      <c r="K127" s="2"/>
      <c r="L127" s="2"/>
      <c r="M127" s="2"/>
      <c r="N127" s="2"/>
      <c r="O127" s="2"/>
      <c r="P127" s="2"/>
      <c r="Q127" s="2" t="s">
        <v>152</v>
      </c>
      <c r="R127" s="2"/>
      <c r="S127" s="2"/>
      <c r="T127" s="2"/>
      <c r="U127" s="2"/>
      <c r="V127" s="2"/>
      <c r="W127" s="2"/>
      <c r="X127" s="2"/>
    </row>
    <row r="128" ht="15.75" customHeight="1">
      <c r="D128" s="174"/>
      <c r="H128" s="175"/>
    </row>
    <row r="129" ht="15.75" customHeight="1">
      <c r="D129" s="174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</row>
    <row r="130" ht="15.75" customHeight="1">
      <c r="D130" s="174"/>
      <c r="H130" s="176"/>
      <c r="I130" s="177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</row>
    <row r="131" ht="15.75" customHeight="1">
      <c r="D131" s="174"/>
      <c r="H131" s="179"/>
    </row>
    <row r="132" ht="15.75" customHeight="1">
      <c r="D132" s="174"/>
      <c r="H132" s="180"/>
    </row>
    <row r="133" ht="15.75" customHeight="1">
      <c r="D133" s="174"/>
    </row>
    <row r="134" ht="15.75" customHeight="1">
      <c r="D134" s="174"/>
    </row>
    <row r="135" ht="15.75" customHeight="1">
      <c r="D135" s="174"/>
    </row>
    <row r="136" ht="15.75" customHeight="1">
      <c r="D136" s="174"/>
    </row>
    <row r="137" ht="15.75" customHeight="1">
      <c r="D137" s="174"/>
    </row>
    <row r="138" ht="15.75" customHeight="1">
      <c r="D138" s="174"/>
    </row>
    <row r="139" ht="15.75" customHeight="1">
      <c r="D139" s="174"/>
    </row>
    <row r="140" ht="15.75" customHeight="1">
      <c r="D140" s="174"/>
    </row>
    <row r="141" ht="15.75" customHeight="1">
      <c r="D141" s="174"/>
    </row>
    <row r="142" ht="15.75" customHeight="1">
      <c r="D142" s="174"/>
    </row>
    <row r="143" ht="15.75" customHeight="1">
      <c r="D143" s="174"/>
    </row>
    <row r="144" ht="15.75" customHeight="1">
      <c r="D144" s="174"/>
    </row>
    <row r="145" ht="15.75" customHeight="1">
      <c r="D145" s="174"/>
    </row>
    <row r="146" ht="15.75" customHeight="1">
      <c r="D146" s="174"/>
    </row>
    <row r="147" ht="15.75" customHeight="1">
      <c r="D147" s="174"/>
    </row>
    <row r="148" ht="15.75" customHeight="1">
      <c r="D148" s="174"/>
    </row>
    <row r="149" ht="15.75" customHeight="1">
      <c r="D149" s="174"/>
    </row>
    <row r="150" ht="15.75" customHeight="1">
      <c r="D150" s="174"/>
    </row>
    <row r="151" ht="15.75" customHeight="1">
      <c r="D151" s="174"/>
    </row>
    <row r="152" ht="15.75" customHeight="1">
      <c r="D152" s="174"/>
    </row>
    <row r="153" ht="15.75" customHeight="1">
      <c r="D153" s="174"/>
    </row>
    <row r="154" ht="15.75" customHeight="1">
      <c r="D154" s="174"/>
    </row>
    <row r="155" ht="15.75" customHeight="1">
      <c r="D155" s="174"/>
    </row>
    <row r="156" ht="15.75" customHeight="1">
      <c r="D156" s="174"/>
    </row>
    <row r="157" ht="15.75" customHeight="1">
      <c r="D157" s="174"/>
    </row>
    <row r="158" ht="15.75" customHeight="1">
      <c r="D158" s="174"/>
    </row>
    <row r="159" ht="15.75" customHeight="1">
      <c r="D159" s="174"/>
    </row>
    <row r="160" ht="15.75" customHeight="1">
      <c r="D160" s="174"/>
    </row>
    <row r="161" ht="15.75" customHeight="1">
      <c r="D161" s="174"/>
    </row>
    <row r="162" ht="15.75" customHeight="1">
      <c r="D162" s="174"/>
    </row>
    <row r="163" ht="15.75" customHeight="1">
      <c r="D163" s="174"/>
    </row>
    <row r="164" ht="15.75" customHeight="1">
      <c r="D164" s="174"/>
    </row>
    <row r="165" ht="15.75" customHeight="1">
      <c r="D165" s="174"/>
    </row>
    <row r="166" ht="15.75" customHeight="1">
      <c r="D166" s="174"/>
    </row>
    <row r="167" ht="15.75" customHeight="1">
      <c r="D167" s="174"/>
    </row>
    <row r="168" ht="15.75" customHeight="1">
      <c r="D168" s="174"/>
    </row>
    <row r="169" ht="15.75" customHeight="1">
      <c r="D169" s="174"/>
    </row>
    <row r="170" ht="15.75" customHeight="1">
      <c r="D170" s="174"/>
    </row>
    <row r="171" ht="15.75" customHeight="1">
      <c r="D171" s="174"/>
    </row>
    <row r="172" ht="15.75" customHeight="1">
      <c r="D172" s="174"/>
    </row>
    <row r="173" ht="15.75" customHeight="1">
      <c r="D173" s="174"/>
    </row>
    <row r="174" ht="15.75" customHeight="1">
      <c r="D174" s="174"/>
    </row>
    <row r="175" ht="15.75" customHeight="1">
      <c r="D175" s="174"/>
    </row>
    <row r="176" ht="15.75" customHeight="1">
      <c r="D176" s="174"/>
    </row>
    <row r="177" ht="15.75" customHeight="1">
      <c r="D177" s="174"/>
    </row>
    <row r="178" ht="15.75" customHeight="1">
      <c r="D178" s="174"/>
    </row>
    <row r="179" ht="15.75" customHeight="1">
      <c r="D179" s="174"/>
    </row>
    <row r="180" ht="15.75" customHeight="1">
      <c r="D180" s="174"/>
    </row>
    <row r="181" ht="15.75" customHeight="1">
      <c r="D181" s="174"/>
    </row>
    <row r="182" ht="15.75" customHeight="1">
      <c r="D182" s="174"/>
    </row>
    <row r="183" ht="15.75" customHeight="1">
      <c r="D183" s="174"/>
    </row>
    <row r="184" ht="15.75" customHeight="1">
      <c r="D184" s="174"/>
    </row>
    <row r="185" ht="15.75" customHeight="1">
      <c r="D185" s="174"/>
    </row>
    <row r="186" ht="15.75" customHeight="1">
      <c r="D186" s="174"/>
    </row>
    <row r="187" ht="15.75" customHeight="1">
      <c r="D187" s="174"/>
    </row>
    <row r="188" ht="15.75" customHeight="1">
      <c r="D188" s="174"/>
    </row>
    <row r="189" ht="15.75" customHeight="1">
      <c r="D189" s="174"/>
    </row>
    <row r="190" ht="15.75" customHeight="1">
      <c r="D190" s="174"/>
    </row>
    <row r="191" ht="15.75" customHeight="1">
      <c r="D191" s="174"/>
    </row>
    <row r="192" ht="15.75" customHeight="1">
      <c r="D192" s="174"/>
    </row>
    <row r="193" ht="15.75" customHeight="1">
      <c r="D193" s="174"/>
    </row>
    <row r="194" ht="15.75" customHeight="1">
      <c r="D194" s="174"/>
    </row>
    <row r="195" ht="15.75" customHeight="1">
      <c r="D195" s="174"/>
    </row>
    <row r="196" ht="15.75" customHeight="1">
      <c r="D196" s="174"/>
    </row>
    <row r="197" ht="15.75" customHeight="1">
      <c r="D197" s="174"/>
    </row>
    <row r="198" ht="15.75" customHeight="1">
      <c r="D198" s="174"/>
    </row>
    <row r="199" ht="15.75" customHeight="1">
      <c r="D199" s="174"/>
    </row>
    <row r="200" ht="15.75" customHeight="1">
      <c r="D200" s="174"/>
    </row>
    <row r="201" ht="15.75" customHeight="1">
      <c r="D201" s="174"/>
    </row>
    <row r="202" ht="15.75" customHeight="1">
      <c r="D202" s="174"/>
    </row>
    <row r="203" ht="15.75" customHeight="1">
      <c r="D203" s="174"/>
    </row>
    <row r="204" ht="15.75" customHeight="1">
      <c r="D204" s="174"/>
    </row>
    <row r="205" ht="15.75" customHeight="1">
      <c r="D205" s="174"/>
    </row>
    <row r="206" ht="15.75" customHeight="1">
      <c r="D206" s="174"/>
    </row>
    <row r="207" ht="15.75" customHeight="1">
      <c r="D207" s="174"/>
    </row>
    <row r="208" ht="15.75" customHeight="1">
      <c r="D208" s="174"/>
    </row>
    <row r="209" ht="15.75" customHeight="1">
      <c r="D209" s="174"/>
    </row>
    <row r="210" ht="15.75" customHeight="1">
      <c r="D210" s="174"/>
    </row>
    <row r="211" ht="15.75" customHeight="1">
      <c r="D211" s="174"/>
    </row>
    <row r="212" ht="15.75" customHeight="1">
      <c r="D212" s="174"/>
    </row>
    <row r="213" ht="15.75" customHeight="1">
      <c r="D213" s="174"/>
    </row>
    <row r="214" ht="15.75" customHeight="1">
      <c r="D214" s="174"/>
    </row>
    <row r="215" ht="15.75" customHeight="1">
      <c r="D215" s="174"/>
    </row>
    <row r="216" ht="15.75" customHeight="1">
      <c r="D216" s="174"/>
    </row>
    <row r="217" ht="15.75" customHeight="1">
      <c r="D217" s="174"/>
    </row>
    <row r="218" ht="15.75" customHeight="1">
      <c r="D218" s="174"/>
    </row>
    <row r="219" ht="15.75" customHeight="1">
      <c r="D219" s="174"/>
    </row>
    <row r="220" ht="15.75" customHeight="1">
      <c r="D220" s="174"/>
    </row>
    <row r="221" ht="15.75" customHeight="1">
      <c r="D221" s="174"/>
    </row>
    <row r="222" ht="15.75" customHeight="1">
      <c r="D222" s="174"/>
    </row>
    <row r="223" ht="15.75" customHeight="1">
      <c r="D223" s="174"/>
    </row>
    <row r="224" ht="15.75" customHeight="1">
      <c r="D224" s="174"/>
    </row>
    <row r="225" ht="15.75" customHeight="1">
      <c r="D225" s="174"/>
    </row>
    <row r="226" ht="15.75" customHeight="1">
      <c r="D226" s="174"/>
    </row>
    <row r="227" ht="15.75" customHeight="1">
      <c r="D227" s="174"/>
    </row>
    <row r="228" ht="15.75" customHeight="1">
      <c r="D228" s="174"/>
    </row>
    <row r="229" ht="15.75" customHeight="1">
      <c r="D229" s="174"/>
    </row>
    <row r="230" ht="15.75" customHeight="1">
      <c r="D230" s="174"/>
    </row>
    <row r="231" ht="15.75" customHeight="1">
      <c r="D231" s="174"/>
    </row>
    <row r="232" ht="15.75" customHeight="1">
      <c r="D232" s="174"/>
    </row>
    <row r="233" ht="15.75" customHeight="1">
      <c r="D233" s="174"/>
    </row>
    <row r="234" ht="15.75" customHeight="1">
      <c r="D234" s="174"/>
    </row>
    <row r="235" ht="15.75" customHeight="1">
      <c r="D235" s="174"/>
    </row>
    <row r="236" ht="15.75" customHeight="1">
      <c r="D236" s="174"/>
    </row>
    <row r="237" ht="15.75" customHeight="1">
      <c r="D237" s="174"/>
    </row>
    <row r="238" ht="15.75" customHeight="1">
      <c r="D238" s="174"/>
    </row>
    <row r="239" ht="15.75" customHeight="1">
      <c r="D239" s="174"/>
    </row>
    <row r="240" ht="15.75" customHeight="1">
      <c r="D240" s="174"/>
    </row>
    <row r="241" ht="15.75" customHeight="1">
      <c r="D241" s="174"/>
    </row>
    <row r="242" ht="15.75" customHeight="1">
      <c r="D242" s="174"/>
    </row>
    <row r="243" ht="15.75" customHeight="1">
      <c r="D243" s="174"/>
    </row>
    <row r="244" ht="15.75" customHeight="1">
      <c r="D244" s="174"/>
    </row>
    <row r="245" ht="15.75" customHeight="1">
      <c r="D245" s="174"/>
    </row>
    <row r="246" ht="15.75" customHeight="1">
      <c r="D246" s="174"/>
    </row>
    <row r="247" ht="15.75" customHeight="1">
      <c r="D247" s="174"/>
    </row>
    <row r="248" ht="15.75" customHeight="1">
      <c r="D248" s="174"/>
    </row>
    <row r="249" ht="15.75" customHeight="1">
      <c r="D249" s="174"/>
    </row>
    <row r="250" ht="15.75" customHeight="1">
      <c r="D250" s="174"/>
    </row>
    <row r="251" ht="15.75" customHeight="1">
      <c r="D251" s="174"/>
    </row>
    <row r="252" ht="15.75" customHeight="1">
      <c r="D252" s="174"/>
    </row>
    <row r="253" ht="15.75" customHeight="1">
      <c r="D253" s="174"/>
    </row>
    <row r="254" ht="15.75" customHeight="1">
      <c r="D254" s="174"/>
    </row>
    <row r="255" ht="15.75" customHeight="1">
      <c r="D255" s="174"/>
    </row>
    <row r="256" ht="15.75" customHeight="1">
      <c r="D256" s="174"/>
    </row>
    <row r="257" ht="15.75" customHeight="1">
      <c r="D257" s="174"/>
    </row>
    <row r="258" ht="15.75" customHeight="1">
      <c r="D258" s="174"/>
    </row>
    <row r="259" ht="15.75" customHeight="1">
      <c r="D259" s="174"/>
    </row>
    <row r="260" ht="15.75" customHeight="1">
      <c r="D260" s="174"/>
    </row>
    <row r="261" ht="15.75" customHeight="1">
      <c r="D261" s="174"/>
    </row>
    <row r="262" ht="15.75" customHeight="1">
      <c r="D262" s="174"/>
    </row>
    <row r="263" ht="15.75" customHeight="1">
      <c r="D263" s="174"/>
    </row>
    <row r="264" ht="15.75" customHeight="1">
      <c r="D264" s="174"/>
    </row>
    <row r="265" ht="15.75" customHeight="1">
      <c r="D265" s="174"/>
    </row>
    <row r="266" ht="15.75" customHeight="1">
      <c r="D266" s="174"/>
    </row>
    <row r="267" ht="15.75" customHeight="1">
      <c r="D267" s="174"/>
    </row>
    <row r="268" ht="15.75" customHeight="1">
      <c r="D268" s="174"/>
    </row>
    <row r="269" ht="15.75" customHeight="1">
      <c r="D269" s="174"/>
    </row>
    <row r="270" ht="15.75" customHeight="1">
      <c r="D270" s="174"/>
    </row>
    <row r="271" ht="15.75" customHeight="1">
      <c r="D271" s="174"/>
    </row>
    <row r="272" ht="15.75" customHeight="1">
      <c r="D272" s="174"/>
    </row>
    <row r="273" ht="15.75" customHeight="1">
      <c r="D273" s="174"/>
    </row>
    <row r="274" ht="15.75" customHeight="1">
      <c r="D274" s="174"/>
    </row>
    <row r="275" ht="15.75" customHeight="1">
      <c r="D275" s="174"/>
    </row>
    <row r="276" ht="15.75" customHeight="1">
      <c r="D276" s="174"/>
    </row>
    <row r="277" ht="15.75" customHeight="1">
      <c r="D277" s="174"/>
    </row>
    <row r="278" ht="15.75" customHeight="1">
      <c r="D278" s="174"/>
    </row>
    <row r="279" ht="15.75" customHeight="1">
      <c r="D279" s="174"/>
    </row>
    <row r="280" ht="15.75" customHeight="1">
      <c r="D280" s="174"/>
    </row>
    <row r="281" ht="15.75" customHeight="1">
      <c r="D281" s="174"/>
    </row>
    <row r="282" ht="15.75" customHeight="1">
      <c r="D282" s="174"/>
    </row>
    <row r="283" ht="15.75" customHeight="1">
      <c r="D283" s="174"/>
    </row>
    <row r="284" ht="15.75" customHeight="1">
      <c r="D284" s="174"/>
    </row>
    <row r="285" ht="15.75" customHeight="1">
      <c r="D285" s="174"/>
    </row>
    <row r="286" ht="15.75" customHeight="1">
      <c r="D286" s="174"/>
    </row>
    <row r="287" ht="15.75" customHeight="1">
      <c r="D287" s="174"/>
    </row>
    <row r="288" ht="15.75" customHeight="1">
      <c r="D288" s="174"/>
    </row>
    <row r="289" ht="15.75" customHeight="1">
      <c r="D289" s="174"/>
    </row>
    <row r="290" ht="15.75" customHeight="1">
      <c r="D290" s="174"/>
    </row>
    <row r="291" ht="15.75" customHeight="1">
      <c r="D291" s="174"/>
    </row>
    <row r="292" ht="15.75" customHeight="1">
      <c r="D292" s="174"/>
    </row>
    <row r="293" ht="15.75" customHeight="1">
      <c r="D293" s="174"/>
    </row>
    <row r="294" ht="15.75" customHeight="1">
      <c r="D294" s="174"/>
    </row>
    <row r="295" ht="15.75" customHeight="1">
      <c r="D295" s="174"/>
    </row>
    <row r="296" ht="15.75" customHeight="1">
      <c r="D296" s="174"/>
    </row>
    <row r="297" ht="15.75" customHeight="1">
      <c r="D297" s="174"/>
    </row>
    <row r="298" ht="15.75" customHeight="1">
      <c r="D298" s="174"/>
    </row>
    <row r="299" ht="15.75" customHeight="1">
      <c r="D299" s="174"/>
    </row>
    <row r="300" ht="15.75" customHeight="1">
      <c r="D300" s="174"/>
    </row>
    <row r="301" ht="15.75" customHeight="1">
      <c r="D301" s="174"/>
    </row>
    <row r="302" ht="15.75" customHeight="1">
      <c r="D302" s="174"/>
    </row>
    <row r="303" ht="15.75" customHeight="1">
      <c r="D303" s="174"/>
    </row>
    <row r="304" ht="15.75" customHeight="1">
      <c r="D304" s="174"/>
    </row>
    <row r="305" ht="15.75" customHeight="1">
      <c r="D305" s="174"/>
    </row>
    <row r="306" ht="15.75" customHeight="1">
      <c r="D306" s="174"/>
    </row>
    <row r="307" ht="15.75" customHeight="1">
      <c r="D307" s="174"/>
    </row>
    <row r="308" ht="15.75" customHeight="1">
      <c r="D308" s="174"/>
    </row>
    <row r="309" ht="15.75" customHeight="1">
      <c r="D309" s="174"/>
    </row>
    <row r="310" ht="15.75" customHeight="1">
      <c r="D310" s="174"/>
    </row>
    <row r="311" ht="15.75" customHeight="1">
      <c r="D311" s="174"/>
    </row>
    <row r="312" ht="15.75" customHeight="1">
      <c r="D312" s="174"/>
    </row>
    <row r="313" ht="15.75" customHeight="1">
      <c r="D313" s="174"/>
    </row>
    <row r="314" ht="15.75" customHeight="1">
      <c r="D314" s="174"/>
    </row>
    <row r="315" ht="15.75" customHeight="1">
      <c r="D315" s="174"/>
    </row>
    <row r="316" ht="15.75" customHeight="1">
      <c r="D316" s="174"/>
    </row>
    <row r="317" ht="15.75" customHeight="1">
      <c r="D317" s="174"/>
    </row>
    <row r="318" ht="15.75" customHeight="1">
      <c r="D318" s="174"/>
    </row>
    <row r="319" ht="15.75" customHeight="1">
      <c r="D319" s="174"/>
    </row>
    <row r="320" ht="15.75" customHeight="1">
      <c r="D320" s="174"/>
    </row>
    <row r="321" ht="15.75" customHeight="1">
      <c r="D321" s="174"/>
    </row>
    <row r="322" ht="15.75" customHeight="1">
      <c r="D322" s="174"/>
    </row>
    <row r="323" ht="15.75" customHeight="1">
      <c r="D323" s="174"/>
    </row>
    <row r="324" ht="15.75" customHeight="1">
      <c r="D324" s="174"/>
    </row>
    <row r="325" ht="15.75" customHeight="1">
      <c r="D325" s="174"/>
    </row>
    <row r="326" ht="15.75" customHeight="1">
      <c r="D326" s="174"/>
    </row>
    <row r="327" ht="15.75" customHeight="1">
      <c r="D327" s="174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117:E117"/>
    <mergeCell ref="C121:E121"/>
    <mergeCell ref="A124:B124"/>
    <mergeCell ref="C124:F124"/>
    <mergeCell ref="A125:B125"/>
    <mergeCell ref="C125:F125"/>
    <mergeCell ref="F8:F9"/>
    <mergeCell ref="G8:G9"/>
    <mergeCell ref="B112:I112"/>
    <mergeCell ref="C114:E114"/>
    <mergeCell ref="C115:E115"/>
    <mergeCell ref="H115:I115"/>
    <mergeCell ref="C116:E116"/>
    <mergeCell ref="I124:N124"/>
    <mergeCell ref="Q124:T124"/>
    <mergeCell ref="V124:X124"/>
    <mergeCell ref="I125:N125"/>
    <mergeCell ref="Q125:T125"/>
    <mergeCell ref="H128:T128"/>
    <mergeCell ref="H131:T131"/>
    <mergeCell ref="H132:T132"/>
    <mergeCell ref="J115:T115"/>
    <mergeCell ref="J116:T116"/>
    <mergeCell ref="J117:T117"/>
    <mergeCell ref="J118:T118"/>
    <mergeCell ref="I121:N121"/>
    <mergeCell ref="Q121:T121"/>
    <mergeCell ref="V121:W121"/>
  </mergeCells>
  <printOptions/>
  <pageMargins bottom="0.75" footer="0.0" header="0.0" left="0.7" right="0.7" top="0.75"/>
  <pageSetup fitToHeight="0" paperSize="9" orientation="landscape"/>
  <drawing r:id="rId2"/>
  <legacyDrawing r:id="rId3"/>
</worksheet>
</file>