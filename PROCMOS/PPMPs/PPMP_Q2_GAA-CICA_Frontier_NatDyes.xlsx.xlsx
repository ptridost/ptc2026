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Quarter 2 (as of 28 May 20" sheetId="1" r:id="rId4"/>
  </sheets>
  <definedNames/>
  <calcPr/>
  <extLst>
    <ext uri="GoogleSheetsCustomDataVersion2">
      <go:sheetsCustomData xmlns:go="http://customooxmlschemas.google.com/" r:id="rId5" roundtripDataChecksum="aAqqsQdUv74naEnOKxY2Yi0Sy+2ivzrvgNzs64Q3jFU="/>
    </ext>
  </extLst>
</workbook>
</file>

<file path=xl/sharedStrings.xml><?xml version="1.0" encoding="utf-8"?>
<sst xmlns="http://schemas.openxmlformats.org/spreadsheetml/2006/main" count="776" uniqueCount="354">
  <si>
    <t>PROJECT PROCUREMENT MANAGEMENT PLAN (PPMP)</t>
  </si>
  <si>
    <t>For 2nd Quarter of CY 2024</t>
  </si>
  <si>
    <t>END-USER/UNIT: RDD-CDABUS</t>
  </si>
  <si>
    <t>Charged to: GAA-CICA project entitled "FRONTIER: Fostering the Revitalization of Nascent Textile Innovation Ecosystems in the Regions - Establishment of Natural Dye Hub"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</si>
  <si>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</si>
  <si>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</si>
  <si>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</si>
  <si>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</si>
  <si>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</si>
  <si>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</si>
  <si>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</si>
  <si>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</si>
  <si>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</si>
  <si>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</si>
  <si>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</si>
  <si>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</si>
  <si>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</si>
  <si>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</si>
  <si>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</si>
  <si>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</si>
  <si>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</si>
  <si>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</si>
  <si>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</si>
  <si>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</si>
  <si>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</si>
  <si>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</si>
  <si>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</si>
  <si>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</si>
  <si>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</si>
  <si>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</si>
  <si>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</si>
  <si>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</si>
  <si>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</si>
  <si>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</si>
  <si>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</si>
  <si>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</si>
  <si>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</si>
  <si>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</si>
  <si>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</si>
  <si>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</si>
  <si>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</si>
  <si>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</si>
  <si>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</si>
  <si>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</si>
  <si>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</si>
  <si>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</si>
  <si>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</si>
  <si>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</si>
  <si>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</si>
  <si>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</si>
  <si>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</si>
  <si>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</si>
  <si>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</si>
  <si>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</si>
  <si>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</si>
  <si>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</si>
  <si>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</si>
  <si>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</si>
  <si>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</si>
  <si>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</si>
  <si>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</si>
  <si>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</si>
  <si>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</si>
  <si>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</si>
  <si>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</si>
  <si>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</si>
  <si>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</si>
  <si>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</si>
  <si>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</si>
  <si>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</si>
  <si>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</si>
  <si>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</si>
  <si>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</si>
  <si>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</si>
  <si>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</si>
  <si>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</si>
  <si>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</si>
  <si>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50604050 03</t>
  </si>
  <si>
    <t>Information &amp; Communication Technology Equipment</t>
  </si>
  <si>
    <t>Conference Room Projector</t>
  </si>
  <si>
    <t>1 piece</t>
  </si>
  <si>
    <t>Shopping</t>
  </si>
  <si>
    <t>15 working days</t>
  </si>
  <si>
    <t>Wireless Presentation Remote and Laser</t>
  </si>
  <si>
    <t>2 pieces</t>
  </si>
  <si>
    <t>Office Printer</t>
  </si>
  <si>
    <t>1 lot</t>
  </si>
  <si>
    <t>Office Laptop</t>
  </si>
  <si>
    <t>HDMI Cable</t>
  </si>
  <si>
    <t>3 pieces</t>
  </si>
  <si>
    <t>Universal Extension Cable</t>
  </si>
  <si>
    <t>50203010 02</t>
  </si>
  <si>
    <t>Office Supplies Expenses</t>
  </si>
  <si>
    <t>Clear Book</t>
  </si>
  <si>
    <t>100 pieces</t>
  </si>
  <si>
    <t>Sticker Paper</t>
  </si>
  <si>
    <t>20 sets</t>
  </si>
  <si>
    <t>Permanent marker (blue)</t>
  </si>
  <si>
    <t>1 box</t>
  </si>
  <si>
    <t>Permanent marker (black)</t>
  </si>
  <si>
    <t>Pencil</t>
  </si>
  <si>
    <t>5 boxes</t>
  </si>
  <si>
    <t>Sharpener</t>
  </si>
  <si>
    <t>Ballpen (Blue)</t>
  </si>
  <si>
    <t>Gel pen (Blue)</t>
  </si>
  <si>
    <t>50 pieces</t>
  </si>
  <si>
    <t>Masking tape medium size</t>
  </si>
  <si>
    <t>25 pieces</t>
  </si>
  <si>
    <t>Masking tape large size</t>
  </si>
  <si>
    <t>Double adhesive tape</t>
  </si>
  <si>
    <t>Cubicle workstation</t>
  </si>
  <si>
    <t>5 lots</t>
  </si>
  <si>
    <t>Conference table</t>
  </si>
  <si>
    <t>Sofa set</t>
  </si>
  <si>
    <t>1 set</t>
  </si>
  <si>
    <t>Reversible Magnetic Mobile White Board</t>
  </si>
  <si>
    <t>1 pieces</t>
  </si>
  <si>
    <t>White Board Marker</t>
  </si>
  <si>
    <t>White Board Eraser</t>
  </si>
  <si>
    <t>20 pieces</t>
  </si>
  <si>
    <t>Printer Ink</t>
  </si>
  <si>
    <t xml:space="preserve">50 sets </t>
  </si>
  <si>
    <t>Multipurpose-Scissors</t>
  </si>
  <si>
    <t>10 pieces</t>
  </si>
  <si>
    <t>Toner</t>
  </si>
  <si>
    <t>Printer Maintenance Box</t>
  </si>
  <si>
    <t>5 pieces</t>
  </si>
  <si>
    <t>Sewing Thread Rack, 48 spool, wall-mounted</t>
  </si>
  <si>
    <t>Expanding Envelopes</t>
  </si>
  <si>
    <t>Paper Clips, various sizes</t>
  </si>
  <si>
    <t>50 boxes</t>
  </si>
  <si>
    <t>Binder Clips, various sizes</t>
  </si>
  <si>
    <t xml:space="preserve">50 boxes </t>
  </si>
  <si>
    <t>Portable Storage Box</t>
  </si>
  <si>
    <t>15 boxes</t>
  </si>
  <si>
    <t>Hardbound Signing Folder</t>
  </si>
  <si>
    <t>A4 Size Bond Paper</t>
  </si>
  <si>
    <t>25 boxes</t>
  </si>
  <si>
    <t>15-30 working days</t>
  </si>
  <si>
    <t>Folio Size Bond Paper</t>
  </si>
  <si>
    <t>Acrylic Name Plate Stand</t>
  </si>
  <si>
    <t>50203080 00</t>
  </si>
  <si>
    <t>Medical, Dental  Laboratory Supplies Expenses</t>
  </si>
  <si>
    <r>
      <rPr>
        <rFont val="Arial"/>
        <b/>
        <color theme="1"/>
        <sz val="9.0"/>
      </rPr>
      <t>Various Dyeing Implements for Hub Deployment</t>
    </r>
    <r>
      <rPr>
        <rFont val="Arial"/>
        <color theme="1"/>
        <sz val="9.0"/>
      </rPr>
      <t xml:space="preserve">
- 5 units Weighing Balance, digital, 0.5-7.5kg range
- 5 units Weighing Balance, mechanical, 60kg capacity
- 10 pieces Stainless Steel Vessel, 15L
- 10 pieces Stainless Steel Vessel, 30L
- 10 pieces Stainless Steel Vessel, 60L
- 10 pieces Stainless Steel Vessel, 120L
- 10 pieces Stainless Steel Vessel, 150L
- 10 pieces Vietcong Burner, 12" diameter
- 10 pieces Vietcong Burner, 20" diameter
- 10 pieces Thermometer, 0-110 C range
- 10 boxes Nitrile Gloves, small, 100 pairs/box
- 10 boxes Nitrile Gloves, medium, 100 pairs/box
- 10 sets Tongs, various sizes, 10 pieces/set
- 10 sets Stirrer, various sizes, 5 pieces/set
- 10 pieces Strainer, 10" diameter
- 10 pieces Strainer, 15" diameter
- 10 pieces Glass Beaker, 100mL
- 10 pieces Glass Beaker, 250mL
- 10 pieces Glass Beaker, 500mL
- 10 pieces Glass Beaker, 1L
- 10 pieces Glass Beaker, 2L
- 10 pieces Glass Cylinder, 100mL
- 10 pieces Glass Cylinder, 250mL
- 10 pieces Glass Cylinder, 500mL
- 10 pieces Glass Cylinder, 1L
- 10 pieces Glass Cylinder, 2L
- 10 pieces Plastic Container, 120L
- 10 pieces Water Sprinklers
- 10 pieces Water Can
- 10 pieces Mosquito Net,185*130*138 cm
- 10 pieces Canvas (Lona), 20 ft by 10 ft
- 10 pieces Shovel Round
- 10 pieces Shovel Spade
- 10 pieces Pico
- 10 pieces Pruning Shear
- 10 pieces Bolo
- 10 pieces Hoe
- 10 pieces Carborondum
- 10 boxes Interfolded tissues, 2 ply, 30 packs/box
- 10 packs Tissue paper, 3 ply, 24 rolls/pack
- Warranty: At least one (1) year on applicable items
- Delivery Period: 45 working days
- Inclusive of VAT and delivery to DOST-PTRI Bicutan</t>
    </r>
  </si>
  <si>
    <t>Negotiated Procurement - Small Value Procurement</t>
  </si>
  <si>
    <t>45 working days</t>
  </si>
  <si>
    <t>Food-Grade Defoamer, 1L per bottle</t>
  </si>
  <si>
    <t>10 bottles</t>
  </si>
  <si>
    <t>30 working days</t>
  </si>
  <si>
    <t>Oil-Based Defoamer, 1L per bottle</t>
  </si>
  <si>
    <t>Vacuum pump</t>
  </si>
  <si>
    <t>2 lots</t>
  </si>
  <si>
    <t>Nitrile Gloves, ambidextrous, non-sterile, powder-free, various sizes</t>
  </si>
  <si>
    <t>60-90 working days</t>
  </si>
  <si>
    <t>White Nylon Mechanic Work Gloves, Size 7, Small, Nitrile Foam Coating</t>
  </si>
  <si>
    <t>10 packs</t>
  </si>
  <si>
    <t>White Nylon Mechanic Work Gloves, Size 8, Medium, Nitrile Foam Coating</t>
  </si>
  <si>
    <t>White Nylon Mechanic Work Gloves, Size 10, XL, Nitrile Foam Coating</t>
  </si>
  <si>
    <t>Stainless Steel Laboratory Trolley</t>
  </si>
  <si>
    <t>Beaker with handle 3000 mL, borosilicate glass</t>
  </si>
  <si>
    <t>Bleaching Solution</t>
  </si>
  <si>
    <t xml:space="preserve">40 gallons </t>
  </si>
  <si>
    <t xml:space="preserve">Liquid Detergent </t>
  </si>
  <si>
    <t xml:space="preserve">20 bottles </t>
  </si>
  <si>
    <t>Liquid Handsoap</t>
  </si>
  <si>
    <t>Disinfectant Spray</t>
  </si>
  <si>
    <t xml:space="preserve">25 bottles </t>
  </si>
  <si>
    <t>UV-Vis Rectangular Quartz Cuvette, with frosted and clear sides, 10mm</t>
  </si>
  <si>
    <t>4 pieces</t>
  </si>
  <si>
    <t>Quartz Cuvette, with frosted and clear sides, 20mm</t>
  </si>
  <si>
    <t>Whatman Filter Paper, 125mm</t>
  </si>
  <si>
    <t>Cleaning Sponge (Foam and Scratch)</t>
  </si>
  <si>
    <t>48 pieces</t>
  </si>
  <si>
    <t>Alcohol (Isopropyl)</t>
  </si>
  <si>
    <t>20 gallons</t>
  </si>
  <si>
    <t>Alcohol dispenser</t>
  </si>
  <si>
    <t>Fabric conditioner (Downy antibac)</t>
  </si>
  <si>
    <t>15 packs</t>
  </si>
  <si>
    <t>Laundry bar (Perla)</t>
  </si>
  <si>
    <t>Multipurpose Sponge and Foam (Scotch Brite)</t>
  </si>
  <si>
    <t>Natural dye powder (Yellow ginger)</t>
  </si>
  <si>
    <t>2 kilogram</t>
  </si>
  <si>
    <t>Natural dye powder (Mahogany)</t>
  </si>
  <si>
    <t>Natural dye powder (Talisay)</t>
  </si>
  <si>
    <t xml:space="preserve">Stainless Steel Strainers </t>
  </si>
  <si>
    <t>Glass container with aluminum lid 250ml</t>
  </si>
  <si>
    <t>Glass container with aluminum lid 50ml</t>
  </si>
  <si>
    <t>PET bottles 250ml</t>
  </si>
  <si>
    <t>Non-Ionic detergent (Cleanmate)</t>
  </si>
  <si>
    <t>25 gallons</t>
  </si>
  <si>
    <t>LPG Refill</t>
  </si>
  <si>
    <t>Per schedule</t>
  </si>
  <si>
    <t>Hose and regulator</t>
  </si>
  <si>
    <t>Plastic bag (black) Large</t>
  </si>
  <si>
    <t>Plastic bag (clear) Large</t>
  </si>
  <si>
    <t>Multipurpose Rag</t>
  </si>
  <si>
    <t xml:space="preserve">Disposable Face Mask </t>
  </si>
  <si>
    <t>20 boxes</t>
  </si>
  <si>
    <t>Methanol, 2.5L, AR, CAS No. 67-56-1</t>
  </si>
  <si>
    <t>20 bottles</t>
  </si>
  <si>
    <t>Acetone, AR, 2.5L per bottle, CAS No. 67-64-1</t>
  </si>
  <si>
    <t>Nutrient Broth, analytic grade, 500 grams per bottle</t>
  </si>
  <si>
    <t>Guar Gum, analytic grade, 1 kg per bottle</t>
  </si>
  <si>
    <t>3 bottles</t>
  </si>
  <si>
    <t>Cream of tartar, 500g per bottle</t>
  </si>
  <si>
    <t>2 bottles</t>
  </si>
  <si>
    <t>Ammonium sulfate, 500g per bottle</t>
  </si>
  <si>
    <t>Sodium acetate, 500g per bottle</t>
  </si>
  <si>
    <t xml:space="preserve">2 bottles </t>
  </si>
  <si>
    <t>Sodium Benzoate, 500g per bottle</t>
  </si>
  <si>
    <t>Citric Acid, 500g per bottle</t>
  </si>
  <si>
    <t>Tartaric Acid/Oxalic Acid, 1000g per bottle</t>
  </si>
  <si>
    <t>Sodium carbonate, 500g per bottle</t>
  </si>
  <si>
    <t>Potassium Alumium sulfate, Analytical grade, 1000g per bottle</t>
  </si>
  <si>
    <t xml:space="preserve">1 bottle </t>
  </si>
  <si>
    <t>Potassium Alumium sulfate, technical grade, 1000g per bottle</t>
  </si>
  <si>
    <t>Sodium hydroxide</t>
  </si>
  <si>
    <t>25 kilograms</t>
  </si>
  <si>
    <t>Copper Sulfate</t>
  </si>
  <si>
    <t>75 kilograms</t>
  </si>
  <si>
    <t>Soda ash</t>
  </si>
  <si>
    <t xml:space="preserve">Glacial Acetic Acid, technical grade, 30 kg per carbouy
</t>
  </si>
  <si>
    <t>Sodium hydrosulfite</t>
  </si>
  <si>
    <t>10 kilograms</t>
  </si>
  <si>
    <t>Calcium hydroxide(lime)</t>
  </si>
  <si>
    <t>Ethanol, 4L/cby</t>
  </si>
  <si>
    <t>5 carboy</t>
  </si>
  <si>
    <t>Hydrogen Peroxide</t>
  </si>
  <si>
    <t>10 carboy</t>
  </si>
  <si>
    <t>50203990 00</t>
  </si>
  <si>
    <t>Other Supplies Expenses</t>
  </si>
  <si>
    <t>Silkscreen Printing Table and Accessories</t>
  </si>
  <si>
    <t>Fluorscent Lamp</t>
  </si>
  <si>
    <t>Cable wires</t>
  </si>
  <si>
    <t>LPG Tank and Refill</t>
  </si>
  <si>
    <t>Stirrers</t>
  </si>
  <si>
    <t>Strainer small</t>
  </si>
  <si>
    <t>30 pieces</t>
  </si>
  <si>
    <t>Strainer medium</t>
  </si>
  <si>
    <t>Strainer large</t>
  </si>
  <si>
    <t>Polyethylene plastic (standard)</t>
  </si>
  <si>
    <t>25 packs</t>
  </si>
  <si>
    <t>Measuring cup, max 2 L capacity</t>
  </si>
  <si>
    <t>60 pieces</t>
  </si>
  <si>
    <t>Stainless steel cup, 1L (for colormatching)</t>
  </si>
  <si>
    <t>Stainless steel vessel, 5L capacity</t>
  </si>
  <si>
    <t>Stainless vessel, 10L capacity</t>
  </si>
  <si>
    <t>Seedlings</t>
  </si>
  <si>
    <t>Seedling bag</t>
  </si>
  <si>
    <t>Stainless vessel, 20 - 30 L cap.</t>
  </si>
  <si>
    <t>Coffee powder, 200g per bottle</t>
  </si>
  <si>
    <t>Ceramic mug and saucer</t>
  </si>
  <si>
    <t>15 pieces</t>
  </si>
  <si>
    <t>Drinking glass</t>
  </si>
  <si>
    <t>Ceramic plates</t>
  </si>
  <si>
    <t>Placemats</t>
  </si>
  <si>
    <t>Stainless vessel, 60 - 70 L cap</t>
  </si>
  <si>
    <t>Silkscreen frames</t>
  </si>
  <si>
    <t>25pieces</t>
  </si>
  <si>
    <t>Photographic table/light box</t>
  </si>
  <si>
    <t>Flat iron</t>
  </si>
  <si>
    <t>Hair blower</t>
  </si>
  <si>
    <t>Hand-held steamer</t>
  </si>
  <si>
    <t>Paint brush</t>
  </si>
  <si>
    <t>Craft Art blades</t>
  </si>
  <si>
    <t>10 sets</t>
  </si>
  <si>
    <t>Pails</t>
  </si>
  <si>
    <t>Basin</t>
  </si>
  <si>
    <t>Vietcong Burners</t>
  </si>
  <si>
    <t xml:space="preserve">20 pieces Naturally-dyed handloom woven fabrics </t>
  </si>
  <si>
    <t>Dye sources - Talisay leaves</t>
  </si>
  <si>
    <t>50 kilograms</t>
  </si>
  <si>
    <t>Cash Advance</t>
  </si>
  <si>
    <t>Dye sources - Annatto seeds</t>
  </si>
  <si>
    <t>Dye sources - Buko</t>
  </si>
  <si>
    <t>Dye sources - Cogon grass</t>
  </si>
  <si>
    <t>Dye sources - Yellow ginger</t>
  </si>
  <si>
    <t>Frequency Converter (Variable Frequency Drive)</t>
  </si>
  <si>
    <t>60 working days</t>
  </si>
  <si>
    <t>Heavy-Duty Electrical Cable Wire, 14/2C</t>
  </si>
  <si>
    <t>1 roll</t>
  </si>
  <si>
    <t>30 calendar days</t>
  </si>
  <si>
    <t>Heavy-Duty Electrical Cable Wire, 8/3C</t>
  </si>
  <si>
    <t>60A Circuit Breaker, industrial type, automatic, three (3) phase</t>
  </si>
  <si>
    <t>30A Circuit Breaker, industrial type, automatic, one (1) phase</t>
  </si>
  <si>
    <t>Polyurethane Air Pneumatic Hose, 75-100m</t>
  </si>
  <si>
    <t>Airconditioning Unit</t>
  </si>
  <si>
    <t>50211990 00</t>
  </si>
  <si>
    <t>Other Professional Services</t>
  </si>
  <si>
    <t>Heavy metal testing for fibers and fabrics</t>
  </si>
  <si>
    <t>10 lots</t>
  </si>
  <si>
    <t>Colorfastness Test for Dyed Fabrics</t>
  </si>
  <si>
    <t>Commissioned exhibit materials</t>
  </si>
  <si>
    <t>General Provision for Services</t>
  </si>
  <si>
    <t xml:space="preserve">Other professional services, weaving of 20 meters (length) × 20 inches (width), naturally-dyed yarns	</t>
  </si>
  <si>
    <t>Other professional services, sewing and development of naturally-dyed wearables for men and women</t>
  </si>
  <si>
    <t>Other professional services, sewing and development of naturally-dyed pina-bamboo fabrics into barong for men and women</t>
  </si>
  <si>
    <t>Printing and Binding Expenses</t>
  </si>
  <si>
    <t>Printing Services (Tarpaulin, etc.)</t>
  </si>
  <si>
    <t>Training expenses</t>
  </si>
  <si>
    <t>Training, seminars, and conferences expenses</t>
  </si>
  <si>
    <t>50299040 00</t>
  </si>
  <si>
    <t>Delivery and Transportation Expenses</t>
  </si>
  <si>
    <t>Delivery expense, from DOST-PTRI to weaving communities, partners, and stakeholders, and vice-versa</t>
  </si>
  <si>
    <t>30 lots</t>
  </si>
  <si>
    <t>Transportation expense, from DOST-PTRI to weaving communities, partners, and stakeholders, and vice-versa</t>
  </si>
  <si>
    <t>50213050 14</t>
  </si>
  <si>
    <t>Repair and Maintenance</t>
  </si>
  <si>
    <r>
      <rPr>
        <rFont val="Arial"/>
        <color theme="1"/>
        <sz val="9.0"/>
      </rPr>
      <t>Additional Works for Nat</t>
    </r>
    <r>
      <rPr>
        <rFont val="Arial"/>
        <i/>
        <color theme="1"/>
        <sz val="9.0"/>
      </rPr>
      <t xml:space="preserve">Dyes </t>
    </r>
    <r>
      <rPr>
        <rFont val="Arial"/>
        <color theme="1"/>
        <sz val="9.0"/>
      </rPr>
      <t>Hubs</t>
    </r>
  </si>
  <si>
    <t>3 lots</t>
  </si>
  <si>
    <t>Negotiated Procurement</t>
  </si>
  <si>
    <t>120 working days</t>
  </si>
  <si>
    <t>TBI repairs</t>
  </si>
  <si>
    <r>
      <rPr>
        <rFont val="Arial"/>
        <color theme="1"/>
        <sz val="9.0"/>
      </rPr>
      <t>Construction Works for Nat</t>
    </r>
    <r>
      <rPr>
        <rFont val="Arial"/>
        <i/>
        <color theme="1"/>
        <sz val="9.0"/>
      </rPr>
      <t>Dyes</t>
    </r>
    <r>
      <rPr>
        <rFont val="Arial"/>
        <color theme="1"/>
        <sz val="9.0"/>
      </rPr>
      <t xml:space="preserve"> Hubs</t>
    </r>
  </si>
  <si>
    <r>
      <rPr>
        <rFont val="Arial"/>
        <color theme="1"/>
        <sz val="9.0"/>
      </rPr>
      <t>Signages for Nat</t>
    </r>
    <r>
      <rPr>
        <rFont val="Arial"/>
        <i/>
        <color theme="1"/>
        <sz val="9.0"/>
      </rPr>
      <t>Dyes</t>
    </r>
    <r>
      <rPr>
        <rFont val="Arial"/>
        <color theme="1"/>
        <sz val="9.0"/>
      </rPr>
      <t xml:space="preserve"> Hubs</t>
    </r>
  </si>
  <si>
    <t>Local Travel Expenses</t>
  </si>
  <si>
    <t>Airplane Tickets</t>
  </si>
  <si>
    <t>15 lots</t>
  </si>
  <si>
    <t>Bus Tickets</t>
  </si>
  <si>
    <t>20 lots</t>
  </si>
  <si>
    <t>TNVS Fares</t>
  </si>
  <si>
    <t>Foreign Travel Expenses</t>
  </si>
  <si>
    <t>Airplane Tickets for Local and Foreign Resource Speakers of 2024 Philippine Dyes and Colorants Symposium</t>
  </si>
  <si>
    <t>Hotel Accommodation for Local and Foreign Resource Speakers of 2024 Philippine Dyes and Colorants Symposium</t>
  </si>
  <si>
    <t>50299030 00</t>
  </si>
  <si>
    <t>Representation Expenses</t>
  </si>
  <si>
    <t>Meals and snacks for meetings, trainings, and events</t>
  </si>
  <si>
    <t>Subscription Expenses</t>
  </si>
  <si>
    <t>Scientific Software</t>
  </si>
  <si>
    <t>50604050 14</t>
  </si>
  <si>
    <t>Capital Outlay - Technical &amp; Scientific Equipment</t>
  </si>
  <si>
    <t>UV-Vis Spectrophotometer</t>
  </si>
  <si>
    <t>Shaking Incubator</t>
  </si>
  <si>
    <t>Dye Source Chopper/Shredder</t>
  </si>
  <si>
    <t>Bench Scale Extraction/Dyeing Assembly and Accessories</t>
  </si>
  <si>
    <t>90 working days</t>
  </si>
  <si>
    <t>Packaging and Labelling Machine</t>
  </si>
  <si>
    <t>Digital Centrifuge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</si>
  <si>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</si>
  <si>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</si>
  <si>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</si>
  <si>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</si>
  <si>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</si>
  <si>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</si>
  <si>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</si>
  <si>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</si>
  <si>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</si>
  <si>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</si>
  <si>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Officer-in-Charge, Research and Development Division</t>
  </si>
  <si>
    <t>Head, FAD-PPGSS</t>
  </si>
  <si>
    <t>Head, FAD-BTS</t>
  </si>
  <si>
    <t>Director IV</t>
  </si>
  <si>
    <r>
      <rPr>
        <rFont val="Arial"/>
        <color rgb="FF000000"/>
        <sz val="11.0"/>
      </rPr>
      <t xml:space="preserve">Revision Date: </t>
    </r>
    <r>
      <rPr>
        <rFont val="Arial"/>
        <color rgb="FF000000"/>
        <sz val="11.0"/>
        <u/>
      </rPr>
      <t>16 May 2024</t>
    </r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</si>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</sst>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5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i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  <font>
      <b/>
      <sz val="9.0"/>
      <color theme="1"/>
      <name val="Arial"/>
    </font>
    <font/>
    <font>
      <sz val="9.0"/>
      <color rgb="FF000000"/>
      <name val="Arial"/>
    </font>
    <font>
      <b/>
      <u/>
      <sz val="9.0"/>
      <color theme="1"/>
      <name val="Arial"/>
    </font>
    <font>
      <u/>
      <sz val="9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5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0"/>
    </xf>
    <xf borderId="0" fillId="0" fontId="2" numFmtId="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vertical="center"/>
    </xf>
    <xf borderId="1" fillId="0" fontId="4" numFmtId="4" xfId="0" applyAlignment="1" applyBorder="1" applyFont="1" applyNumberFormat="1">
      <alignment vertical="center"/>
    </xf>
    <xf borderId="1" fillId="0" fontId="4" numFmtId="164" xfId="0" applyAlignment="1" applyBorder="1" applyFont="1" applyNumberFormat="1">
      <alignment vertical="center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4" xfId="0" applyAlignment="1" applyBorder="1" applyFont="1" applyNumberForma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quotePrefix="1" borderId="10" fillId="0" fontId="6" numFmtId="0" xfId="0" applyAlignment="1" applyBorder="1" applyFont="1">
      <alignment horizontal="center" shrinkToFit="0" vertical="center" wrapText="1"/>
    </xf>
    <xf quotePrefix="1" borderId="3" fillId="0" fontId="6" numFmtId="0" xfId="0" applyAlignment="1" applyBorder="1" applyFont="1">
      <alignment horizontal="center" shrinkToFit="0" vertical="center" wrapText="1"/>
    </xf>
    <xf quotePrefix="1" borderId="3" fillId="0" fontId="6" numFmtId="4" xfId="0" applyAlignment="1" applyBorder="1" applyFont="1" applyNumberFormat="1">
      <alignment horizontal="center" shrinkToFit="0" vertical="center" wrapText="1"/>
    </xf>
    <xf quotePrefix="1" borderId="3" fillId="0" fontId="6" numFmtId="164" xfId="0" applyAlignment="1" applyBorder="1" applyFont="1" applyNumberFormat="1">
      <alignment horizontal="center" shrinkToFit="0" vertical="center" wrapText="1"/>
    </xf>
    <xf quotePrefix="1" borderId="8" fillId="0" fontId="6" numFmtId="0" xfId="0" applyAlignment="1" applyBorder="1" applyFont="1">
      <alignment horizontal="center" shrinkToFit="0" vertical="center" wrapText="1"/>
    </xf>
    <xf quotePrefix="1" borderId="9" fillId="0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ill="1" applyFont="1">
      <alignment horizontal="center" shrinkToFit="0" vertical="center" wrapText="1"/>
    </xf>
    <xf borderId="11" fillId="2" fontId="4" numFmtId="0" xfId="0" applyAlignment="1" applyBorder="1" applyFont="1">
      <alignment vertical="center"/>
    </xf>
    <xf borderId="11" fillId="2" fontId="6" numFmtId="0" xfId="0" applyAlignment="1" applyBorder="1" applyFont="1">
      <alignment shrinkToFit="0" vertical="center" wrapText="1"/>
    </xf>
    <xf borderId="11" fillId="2" fontId="4" numFmtId="4" xfId="0" applyAlignment="1" applyBorder="1" applyFont="1" applyNumberFormat="1">
      <alignment vertical="center"/>
    </xf>
    <xf borderId="11" fillId="2" fontId="4" numFmtId="164" xfId="0" applyAlignment="1" applyBorder="1" applyFont="1" applyNumberFormat="1">
      <alignment vertical="center"/>
    </xf>
    <xf borderId="4" fillId="2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1" fillId="0" fontId="4" numFmtId="49" xfId="0" applyAlignment="1" applyBorder="1" applyFont="1" applyNumberFormat="1">
      <alignment vertical="center"/>
    </xf>
    <xf borderId="11" fillId="0" fontId="4" numFmtId="0" xfId="0" applyAlignment="1" applyBorder="1" applyFont="1">
      <alignment horizontal="center" shrinkToFit="0" vertical="center" wrapText="1"/>
    </xf>
    <xf borderId="11" fillId="0" fontId="4" numFmtId="4" xfId="0" applyAlignment="1" applyBorder="1" applyFont="1" applyNumberFormat="1">
      <alignment horizontal="right" shrinkToFit="0" vertical="center" wrapText="1"/>
    </xf>
    <xf borderId="11" fillId="0" fontId="4" numFmtId="164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11" fillId="0" fontId="4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1" fillId="0" fontId="4" numFmtId="4" xfId="0" applyAlignment="1" applyBorder="1" applyFont="1" applyNumberFormat="1">
      <alignment horizontal="right" readingOrder="0" shrinkToFit="0" vertical="center" wrapText="1"/>
    </xf>
    <xf borderId="11" fillId="0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shrinkToFit="0" vertical="center" wrapText="1"/>
    </xf>
    <xf borderId="11" fillId="0" fontId="4" numFmtId="49" xfId="0" applyAlignment="1" applyBorder="1" applyFont="1" applyNumberFormat="1">
      <alignment readingOrder="0" vertical="center"/>
    </xf>
    <xf borderId="11" fillId="0" fontId="4" numFmtId="4" xfId="0" applyAlignment="1" applyBorder="1" applyFont="1" applyNumberFormat="1">
      <alignment horizontal="right" vertical="center"/>
    </xf>
    <xf borderId="11" fillId="2" fontId="6" numFmtId="0" xfId="0" applyAlignment="1" applyBorder="1" applyFont="1">
      <alignment vertical="center"/>
    </xf>
    <xf borderId="11" fillId="0" fontId="4" numFmtId="49" xfId="0" applyAlignment="1" applyBorder="1" applyFont="1" applyNumberFormat="1">
      <alignment horizontal="center" vertical="center"/>
    </xf>
    <xf borderId="11" fillId="3" fontId="4" numFmtId="49" xfId="0" applyAlignment="1" applyBorder="1" applyFill="1" applyFont="1" applyNumberFormat="1">
      <alignment vertical="center"/>
    </xf>
    <xf borderId="11" fillId="0" fontId="6" numFmtId="0" xfId="0" applyAlignment="1" applyBorder="1" applyFont="1">
      <alignment vertical="center"/>
    </xf>
    <xf borderId="11" fillId="0" fontId="8" numFmtId="49" xfId="0" applyAlignment="1" applyBorder="1" applyFont="1" applyNumberFormat="1">
      <alignment shrinkToFit="0" vertical="center" wrapText="0"/>
    </xf>
    <xf borderId="11" fillId="0" fontId="8" numFmtId="0" xfId="0" applyAlignment="1" applyBorder="1" applyFont="1">
      <alignment horizontal="center" shrinkToFit="0" vertical="center" wrapText="0"/>
    </xf>
    <xf borderId="11" fillId="0" fontId="8" numFmtId="4" xfId="0" applyAlignment="1" applyBorder="1" applyFont="1" applyNumberFormat="1">
      <alignment shrinkToFit="0" vertical="center" wrapText="0"/>
    </xf>
    <xf borderId="11" fillId="0" fontId="8" numFmtId="164" xfId="0" applyAlignment="1" applyBorder="1" applyFont="1" applyNumberFormat="1">
      <alignment shrinkToFit="0" vertical="center" wrapText="0"/>
    </xf>
    <xf borderId="11" fillId="2" fontId="4" numFmtId="49" xfId="0" applyAlignment="1" applyBorder="1" applyFont="1" applyNumberFormat="1">
      <alignment vertical="center"/>
    </xf>
    <xf borderId="11" fillId="2" fontId="6" numFmtId="49" xfId="0" applyAlignment="1" applyBorder="1" applyFont="1" applyNumberFormat="1">
      <alignment vertical="center"/>
    </xf>
    <xf borderId="11" fillId="3" fontId="8" numFmtId="49" xfId="0" applyAlignment="1" applyBorder="1" applyFont="1" applyNumberFormat="1">
      <alignment shrinkToFit="0" vertical="center" wrapText="0"/>
    </xf>
    <xf borderId="11" fillId="3" fontId="8" numFmtId="0" xfId="0" applyAlignment="1" applyBorder="1" applyFont="1">
      <alignment horizontal="center" shrinkToFit="0" vertical="center" wrapText="0"/>
    </xf>
    <xf borderId="11" fillId="0" fontId="8" numFmtId="49" xfId="0" applyAlignment="1" applyBorder="1" applyFont="1" applyNumberFormat="1">
      <alignment horizontal="left" shrinkToFit="0" vertical="center" wrapText="0"/>
    </xf>
    <xf borderId="11" fillId="0" fontId="8" numFmtId="0" xfId="0" applyAlignment="1" applyBorder="1" applyFont="1">
      <alignment horizontal="center" readingOrder="0" shrinkToFit="0" vertical="center" wrapText="0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0" fillId="0" fontId="7" numFmtId="0" xfId="0" applyBorder="1" applyFont="1"/>
    <xf borderId="13" fillId="0" fontId="7" numFmtId="0" xfId="0" applyBorder="1" applyFont="1"/>
    <xf borderId="11" fillId="0" fontId="4" numFmtId="49" xfId="0" applyAlignment="1" applyBorder="1" applyFont="1" applyNumberFormat="1">
      <alignment shrinkToFit="0" vertical="center" wrapText="1"/>
    </xf>
    <xf borderId="11" fillId="0" fontId="4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horizontal="center" shrinkToFit="0" vertical="center" wrapText="1"/>
    </xf>
    <xf borderId="11" fillId="0" fontId="4" numFmtId="4" xfId="0" applyAlignment="1" applyBorder="1" applyFont="1" applyNumberFormat="1">
      <alignment vertical="center"/>
    </xf>
    <xf borderId="11" fillId="0" fontId="4" numFmtId="164" xfId="0" applyAlignment="1" applyBorder="1" applyFont="1" applyNumberFormat="1">
      <alignment vertical="center"/>
    </xf>
    <xf borderId="11" fillId="0" fontId="4" numFmtId="49" xfId="0" applyAlignment="1" applyBorder="1" applyFont="1" applyNumberFormat="1">
      <alignment horizontal="center" shrinkToFit="0" vertical="center" wrapText="1"/>
    </xf>
    <xf borderId="11" fillId="2" fontId="6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shrinkToFit="0" vertical="center" wrapText="1"/>
    </xf>
    <xf borderId="11" fillId="2" fontId="4" numFmtId="4" xfId="0" applyAlignment="1" applyBorder="1" applyFont="1" applyNumberFormat="1">
      <alignment horizontal="right" shrinkToFit="0" vertical="center" wrapText="1"/>
    </xf>
    <xf borderId="11" fillId="2" fontId="4" numFmtId="164" xfId="0" applyAlignment="1" applyBorder="1" applyFont="1" applyNumberFormat="1">
      <alignment horizontal="center" shrinkToFit="0" vertical="center" wrapText="1"/>
    </xf>
    <xf borderId="11" fillId="2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0"/>
    </xf>
    <xf borderId="14" fillId="0" fontId="6" numFmtId="165" xfId="0" applyAlignment="1" applyBorder="1" applyFont="1" applyNumberFormat="1">
      <alignment horizontal="right" vertical="center"/>
    </xf>
    <xf borderId="14" fillId="0" fontId="7" numFmtId="0" xfId="0" applyBorder="1" applyFont="1"/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12.63"/>
    <col customWidth="1" min="2" max="2" width="12.88"/>
    <col customWidth="1" min="3" max="3" width="70.13"/>
    <col customWidth="1" min="4" max="6" width="12.63"/>
    <col customWidth="1" min="7" max="7" width="21.88"/>
    <col customWidth="1" min="8" max="8" width="16.88"/>
    <col customWidth="1" hidden="1" min="14" max="35" width="12.63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  <c r="B4" s="3"/>
      <c r="C4" s="3"/>
      <c r="D4" s="3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3"/>
      <c r="B5" s="3"/>
      <c r="C5" s="3"/>
      <c r="D5" s="3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4" t="s">
        <v>3</v>
      </c>
      <c r="B6" s="7"/>
      <c r="C6" s="7"/>
      <c r="D6" s="7"/>
      <c r="E6" s="8"/>
      <c r="F6" s="9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>
      <c r="A7" s="10" t="s">
        <v>4</v>
      </c>
      <c r="B7" s="11"/>
      <c r="C7" s="11"/>
      <c r="D7" s="11"/>
      <c r="E7" s="12"/>
      <c r="F7" s="1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>
      <c r="A8" s="14" t="s">
        <v>5</v>
      </c>
      <c r="B8" s="15" t="s">
        <v>6</v>
      </c>
      <c r="C8" s="15" t="s">
        <v>7</v>
      </c>
      <c r="D8" s="16" t="s">
        <v>8</v>
      </c>
      <c r="E8" s="17" t="s">
        <v>9</v>
      </c>
      <c r="F8" s="18" t="s">
        <v>10</v>
      </c>
      <c r="G8" s="15" t="s">
        <v>11</v>
      </c>
      <c r="H8" s="15" t="s">
        <v>12</v>
      </c>
      <c r="I8" s="19" t="s">
        <v>13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1"/>
    </row>
    <row r="9">
      <c r="A9" s="22"/>
      <c r="B9" s="23"/>
      <c r="C9" s="23"/>
      <c r="D9" s="24" t="s">
        <v>14</v>
      </c>
      <c r="E9" s="23"/>
      <c r="F9" s="23"/>
      <c r="G9" s="23"/>
      <c r="H9" s="23"/>
      <c r="I9" s="24" t="s">
        <v>15</v>
      </c>
      <c r="J9" s="24" t="s">
        <v>16</v>
      </c>
      <c r="K9" s="24" t="s">
        <v>17</v>
      </c>
      <c r="L9" s="24" t="s">
        <v>18</v>
      </c>
      <c r="M9" s="24" t="s">
        <v>19</v>
      </c>
      <c r="N9" s="24" t="s">
        <v>20</v>
      </c>
      <c r="O9" s="24" t="s">
        <v>21</v>
      </c>
      <c r="P9" s="24" t="s">
        <v>22</v>
      </c>
      <c r="Q9" s="24" t="s">
        <v>23</v>
      </c>
      <c r="R9" s="24" t="s">
        <v>24</v>
      </c>
      <c r="S9" s="24" t="s">
        <v>25</v>
      </c>
      <c r="T9" s="24" t="s">
        <v>26</v>
      </c>
      <c r="U9" s="24" t="s">
        <v>27</v>
      </c>
      <c r="V9" s="24" t="s">
        <v>28</v>
      </c>
      <c r="W9" s="24" t="s">
        <v>29</v>
      </c>
      <c r="X9" s="24" t="s">
        <v>30</v>
      </c>
      <c r="Y9" s="24" t="s">
        <v>31</v>
      </c>
      <c r="Z9" s="24" t="s">
        <v>32</v>
      </c>
      <c r="AA9" s="24" t="s">
        <v>33</v>
      </c>
      <c r="AB9" s="24" t="s">
        <v>34</v>
      </c>
      <c r="AC9" s="24" t="s">
        <v>35</v>
      </c>
      <c r="AD9" s="24" t="s">
        <v>36</v>
      </c>
      <c r="AE9" s="24" t="s">
        <v>37</v>
      </c>
      <c r="AF9" s="24" t="s">
        <v>38</v>
      </c>
      <c r="AG9" s="24" t="s">
        <v>39</v>
      </c>
      <c r="AH9" s="24" t="s">
        <v>40</v>
      </c>
      <c r="AI9" s="25" t="s">
        <v>41</v>
      </c>
    </row>
    <row r="10">
      <c r="A10" s="26" t="s">
        <v>42</v>
      </c>
      <c r="B10" s="27" t="s">
        <v>43</v>
      </c>
      <c r="C10" s="27" t="s">
        <v>44</v>
      </c>
      <c r="D10" s="27" t="s">
        <v>45</v>
      </c>
      <c r="E10" s="28" t="s">
        <v>46</v>
      </c>
      <c r="F10" s="29" t="s">
        <v>47</v>
      </c>
      <c r="G10" s="27" t="s">
        <v>48</v>
      </c>
      <c r="H10" s="27" t="s">
        <v>49</v>
      </c>
      <c r="I10" s="27" t="s">
        <v>50</v>
      </c>
      <c r="J10" s="27" t="s">
        <v>51</v>
      </c>
      <c r="K10" s="27" t="s">
        <v>52</v>
      </c>
      <c r="L10" s="27" t="s">
        <v>53</v>
      </c>
      <c r="M10" s="27" t="s">
        <v>54</v>
      </c>
      <c r="N10" s="30" t="s">
        <v>55</v>
      </c>
      <c r="O10" s="30" t="s">
        <v>56</v>
      </c>
      <c r="P10" s="30" t="s">
        <v>57</v>
      </c>
      <c r="Q10" s="30" t="s">
        <v>58</v>
      </c>
      <c r="R10" s="30" t="s">
        <v>59</v>
      </c>
      <c r="S10" s="30" t="s">
        <v>60</v>
      </c>
      <c r="T10" s="30" t="s">
        <v>61</v>
      </c>
      <c r="U10" s="30" t="s">
        <v>62</v>
      </c>
      <c r="V10" s="30" t="s">
        <v>63</v>
      </c>
      <c r="W10" s="30" t="s">
        <v>64</v>
      </c>
      <c r="X10" s="30" t="s">
        <v>65</v>
      </c>
      <c r="Y10" s="30" t="s">
        <v>66</v>
      </c>
      <c r="Z10" s="30" t="s">
        <v>67</v>
      </c>
      <c r="AA10" s="30" t="s">
        <v>68</v>
      </c>
      <c r="AB10" s="30" t="s">
        <v>69</v>
      </c>
      <c r="AC10" s="30" t="s">
        <v>70</v>
      </c>
      <c r="AD10" s="30" t="s">
        <v>71</v>
      </c>
      <c r="AE10" s="30" t="s">
        <v>72</v>
      </c>
      <c r="AF10" s="30" t="s">
        <v>73</v>
      </c>
      <c r="AG10" s="30" t="s">
        <v>74</v>
      </c>
      <c r="AH10" s="30" t="s">
        <v>75</v>
      </c>
      <c r="AI10" s="31" t="s">
        <v>76</v>
      </c>
    </row>
    <row r="11">
      <c r="A11" s="32" t="s">
        <v>77</v>
      </c>
      <c r="B11" s="33"/>
      <c r="C11" s="34" t="s">
        <v>78</v>
      </c>
      <c r="D11" s="33"/>
      <c r="E11" s="35"/>
      <c r="F11" s="36"/>
      <c r="G11" s="33"/>
      <c r="H11" s="33"/>
      <c r="I11" s="33"/>
      <c r="J11" s="33"/>
      <c r="K11" s="33"/>
      <c r="L11" s="33"/>
      <c r="M11" s="33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>
      <c r="A12" s="38"/>
      <c r="B12" s="39"/>
      <c r="C12" s="39" t="s">
        <v>79</v>
      </c>
      <c r="D12" s="40" t="s">
        <v>80</v>
      </c>
      <c r="E12" s="41">
        <v>50000.0</v>
      </c>
      <c r="F12" s="42">
        <f>E12*1</f>
        <v>50000</v>
      </c>
      <c r="G12" s="43" t="s">
        <v>81</v>
      </c>
      <c r="H12" s="40" t="s">
        <v>82</v>
      </c>
      <c r="I12" s="43">
        <v>1.0</v>
      </c>
      <c r="J12" s="43">
        <v>0.0</v>
      </c>
      <c r="K12" s="43">
        <v>0.0</v>
      </c>
      <c r="L12" s="38"/>
      <c r="M12" s="38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</row>
    <row r="13">
      <c r="A13" s="38"/>
      <c r="B13" s="39"/>
      <c r="C13" s="39" t="s">
        <v>83</v>
      </c>
      <c r="D13" s="40" t="s">
        <v>84</v>
      </c>
      <c r="E13" s="41">
        <v>3000.0</v>
      </c>
      <c r="F13" s="42">
        <f>E13*2</f>
        <v>6000</v>
      </c>
      <c r="G13" s="43" t="s">
        <v>81</v>
      </c>
      <c r="H13" s="40" t="s">
        <v>82</v>
      </c>
      <c r="I13" s="43">
        <v>2.0</v>
      </c>
      <c r="J13" s="43">
        <v>0.0</v>
      </c>
      <c r="K13" s="43">
        <v>0.0</v>
      </c>
      <c r="L13" s="38"/>
      <c r="M13" s="38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</row>
    <row r="14">
      <c r="A14" s="38"/>
      <c r="B14" s="38"/>
      <c r="C14" s="45" t="s">
        <v>85</v>
      </c>
      <c r="D14" s="46" t="s">
        <v>86</v>
      </c>
      <c r="E14" s="47">
        <v>40000.0</v>
      </c>
      <c r="F14" s="42">
        <f t="shared" ref="F14:F15" si="1">E14*1</f>
        <v>40000</v>
      </c>
      <c r="G14" s="43" t="s">
        <v>81</v>
      </c>
      <c r="H14" s="40" t="s">
        <v>82</v>
      </c>
      <c r="I14" s="46">
        <v>0.0</v>
      </c>
      <c r="J14" s="48">
        <v>0.0</v>
      </c>
      <c r="K14" s="48">
        <v>1.0</v>
      </c>
      <c r="L14" s="38"/>
      <c r="M14" s="38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</row>
    <row r="15">
      <c r="A15" s="38"/>
      <c r="B15" s="38"/>
      <c r="C15" s="45" t="s">
        <v>87</v>
      </c>
      <c r="D15" s="46" t="s">
        <v>86</v>
      </c>
      <c r="E15" s="47">
        <v>55000.0</v>
      </c>
      <c r="F15" s="42">
        <f t="shared" si="1"/>
        <v>55000</v>
      </c>
      <c r="G15" s="43" t="s">
        <v>81</v>
      </c>
      <c r="H15" s="40" t="s">
        <v>82</v>
      </c>
      <c r="I15" s="46">
        <v>0.0</v>
      </c>
      <c r="J15" s="48">
        <v>0.0</v>
      </c>
      <c r="K15" s="48">
        <v>1.0</v>
      </c>
      <c r="L15" s="38"/>
      <c r="M15" s="38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</row>
    <row r="16">
      <c r="A16" s="38"/>
      <c r="B16" s="38"/>
      <c r="C16" s="49" t="s">
        <v>88</v>
      </c>
      <c r="D16" s="40" t="s">
        <v>89</v>
      </c>
      <c r="E16" s="41">
        <v>1500.0</v>
      </c>
      <c r="F16" s="42">
        <f>E16*4</f>
        <v>6000</v>
      </c>
      <c r="G16" s="43" t="s">
        <v>81</v>
      </c>
      <c r="H16" s="40" t="s">
        <v>82</v>
      </c>
      <c r="I16" s="40">
        <v>4.0</v>
      </c>
      <c r="J16" s="43">
        <v>0.0</v>
      </c>
      <c r="K16" s="43">
        <v>0.0</v>
      </c>
      <c r="L16" s="38"/>
      <c r="M16" s="38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</row>
    <row r="17">
      <c r="A17" s="38"/>
      <c r="B17" s="38"/>
      <c r="C17" s="49" t="s">
        <v>90</v>
      </c>
      <c r="D17" s="40" t="s">
        <v>89</v>
      </c>
      <c r="E17" s="41">
        <v>3000.0</v>
      </c>
      <c r="F17" s="42">
        <v>3000.0</v>
      </c>
      <c r="G17" s="43" t="s">
        <v>81</v>
      </c>
      <c r="H17" s="40" t="s">
        <v>82</v>
      </c>
      <c r="I17" s="40">
        <v>5.0</v>
      </c>
      <c r="J17" s="43">
        <v>0.0</v>
      </c>
      <c r="K17" s="43">
        <v>0.0</v>
      </c>
      <c r="L17" s="38"/>
      <c r="M17" s="38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</row>
    <row r="18">
      <c r="A18" s="32" t="s">
        <v>91</v>
      </c>
      <c r="B18" s="33"/>
      <c r="C18" s="34" t="s">
        <v>92</v>
      </c>
      <c r="D18" s="33"/>
      <c r="E18" s="35"/>
      <c r="F18" s="36"/>
      <c r="G18" s="33"/>
      <c r="H18" s="33"/>
      <c r="I18" s="33"/>
      <c r="J18" s="33"/>
      <c r="K18" s="33"/>
      <c r="L18" s="33"/>
      <c r="M18" s="33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</row>
    <row r="19">
      <c r="A19" s="38"/>
      <c r="B19" s="39"/>
      <c r="C19" s="50" t="s">
        <v>93</v>
      </c>
      <c r="D19" s="46" t="s">
        <v>94</v>
      </c>
      <c r="E19" s="47">
        <v>200.0</v>
      </c>
      <c r="F19" s="41">
        <f>E19*100</f>
        <v>20000</v>
      </c>
      <c r="G19" s="43" t="s">
        <v>81</v>
      </c>
      <c r="H19" s="40" t="s">
        <v>82</v>
      </c>
      <c r="I19" s="46">
        <v>0.0</v>
      </c>
      <c r="J19" s="48">
        <v>0.0</v>
      </c>
      <c r="K19" s="48">
        <v>100.0</v>
      </c>
      <c r="L19" s="38"/>
      <c r="M19" s="38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</row>
    <row r="20">
      <c r="A20" s="38"/>
      <c r="B20" s="39"/>
      <c r="C20" s="50" t="s">
        <v>95</v>
      </c>
      <c r="D20" s="46" t="s">
        <v>96</v>
      </c>
      <c r="E20" s="47">
        <v>100.0</v>
      </c>
      <c r="F20" s="41">
        <f>E20*20</f>
        <v>2000</v>
      </c>
      <c r="G20" s="43" t="s">
        <v>81</v>
      </c>
      <c r="H20" s="40" t="s">
        <v>82</v>
      </c>
      <c r="I20" s="46">
        <v>0.0</v>
      </c>
      <c r="J20" s="48">
        <v>0.0</v>
      </c>
      <c r="K20" s="48">
        <v>20.0</v>
      </c>
      <c r="L20" s="38"/>
      <c r="M20" s="38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</row>
    <row r="21">
      <c r="A21" s="38"/>
      <c r="B21" s="39"/>
      <c r="C21" s="39" t="s">
        <v>97</v>
      </c>
      <c r="D21" s="40" t="s">
        <v>98</v>
      </c>
      <c r="E21" s="41">
        <v>1000.0</v>
      </c>
      <c r="F21" s="41">
        <v>1000.0</v>
      </c>
      <c r="G21" s="43" t="s">
        <v>81</v>
      </c>
      <c r="H21" s="40" t="s">
        <v>82</v>
      </c>
      <c r="I21" s="43">
        <v>1.0</v>
      </c>
      <c r="J21" s="43">
        <v>0.0</v>
      </c>
      <c r="K21" s="43">
        <v>0.0</v>
      </c>
      <c r="L21" s="38"/>
      <c r="M21" s="38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</row>
    <row r="22">
      <c r="A22" s="38"/>
      <c r="B22" s="39"/>
      <c r="C22" s="39" t="s">
        <v>99</v>
      </c>
      <c r="D22" s="40" t="s">
        <v>98</v>
      </c>
      <c r="E22" s="41">
        <v>1000.0</v>
      </c>
      <c r="F22" s="41">
        <v>1000.0</v>
      </c>
      <c r="G22" s="43" t="s">
        <v>81</v>
      </c>
      <c r="H22" s="40" t="s">
        <v>82</v>
      </c>
      <c r="I22" s="43">
        <v>1.0</v>
      </c>
      <c r="J22" s="43">
        <v>0.0</v>
      </c>
      <c r="K22" s="43">
        <v>0.0</v>
      </c>
      <c r="L22" s="38"/>
      <c r="M22" s="38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>
      <c r="A23" s="38"/>
      <c r="B23" s="39"/>
      <c r="C23" s="39" t="s">
        <v>100</v>
      </c>
      <c r="D23" s="40" t="s">
        <v>101</v>
      </c>
      <c r="E23" s="41">
        <v>150.0</v>
      </c>
      <c r="F23" s="41">
        <v>750.0</v>
      </c>
      <c r="G23" s="43" t="s">
        <v>81</v>
      </c>
      <c r="H23" s="40" t="s">
        <v>82</v>
      </c>
      <c r="I23" s="43">
        <v>2.0</v>
      </c>
      <c r="J23" s="43">
        <v>2.0</v>
      </c>
      <c r="K23" s="43">
        <v>1.0</v>
      </c>
      <c r="L23" s="38"/>
      <c r="M23" s="38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</row>
    <row r="24">
      <c r="A24" s="38"/>
      <c r="B24" s="39"/>
      <c r="C24" s="39" t="s">
        <v>102</v>
      </c>
      <c r="D24" s="40" t="s">
        <v>84</v>
      </c>
      <c r="E24" s="41">
        <v>300.0</v>
      </c>
      <c r="F24" s="41">
        <v>600.0</v>
      </c>
      <c r="G24" s="43" t="s">
        <v>81</v>
      </c>
      <c r="H24" s="40" t="s">
        <v>82</v>
      </c>
      <c r="I24" s="43">
        <v>1.0</v>
      </c>
      <c r="J24" s="43">
        <v>1.0</v>
      </c>
      <c r="K24" s="43">
        <v>0.0</v>
      </c>
      <c r="L24" s="38"/>
      <c r="M24" s="38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</row>
    <row r="25" ht="15.75" customHeight="1">
      <c r="A25" s="38"/>
      <c r="B25" s="39"/>
      <c r="C25" s="39" t="s">
        <v>103</v>
      </c>
      <c r="D25" s="40" t="s">
        <v>94</v>
      </c>
      <c r="E25" s="41">
        <v>20.0</v>
      </c>
      <c r="F25" s="41">
        <v>2000.0</v>
      </c>
      <c r="G25" s="43" t="s">
        <v>81</v>
      </c>
      <c r="H25" s="40" t="s">
        <v>82</v>
      </c>
      <c r="I25" s="43">
        <v>45.0</v>
      </c>
      <c r="J25" s="43">
        <v>30.0</v>
      </c>
      <c r="K25" s="43">
        <v>30.0</v>
      </c>
      <c r="L25" s="38"/>
      <c r="M25" s="38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</row>
    <row r="26" ht="15.75" customHeight="1">
      <c r="A26" s="38"/>
      <c r="B26" s="39"/>
      <c r="C26" s="39" t="s">
        <v>104</v>
      </c>
      <c r="D26" s="40" t="s">
        <v>105</v>
      </c>
      <c r="E26" s="41">
        <v>100.0</v>
      </c>
      <c r="F26" s="41">
        <v>5000.0</v>
      </c>
      <c r="G26" s="43" t="s">
        <v>81</v>
      </c>
      <c r="H26" s="40" t="s">
        <v>82</v>
      </c>
      <c r="I26" s="43">
        <v>15.0</v>
      </c>
      <c r="J26" s="43">
        <v>15.0</v>
      </c>
      <c r="K26" s="43">
        <v>10.0</v>
      </c>
      <c r="L26" s="38"/>
      <c r="M26" s="38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</row>
    <row r="27" ht="15.75" customHeight="1">
      <c r="A27" s="38"/>
      <c r="B27" s="39"/>
      <c r="C27" s="39" t="s">
        <v>106</v>
      </c>
      <c r="D27" s="40" t="s">
        <v>107</v>
      </c>
      <c r="E27" s="41">
        <v>100.0</v>
      </c>
      <c r="F27" s="41">
        <v>2500.0</v>
      </c>
      <c r="G27" s="43" t="s">
        <v>81</v>
      </c>
      <c r="H27" s="40" t="s">
        <v>82</v>
      </c>
      <c r="I27" s="43">
        <v>10.0</v>
      </c>
      <c r="J27" s="43">
        <v>10.0</v>
      </c>
      <c r="K27" s="43">
        <v>5.0</v>
      </c>
      <c r="L27" s="38"/>
      <c r="M27" s="38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</row>
    <row r="28" ht="15.75" customHeight="1">
      <c r="A28" s="38"/>
      <c r="B28" s="39"/>
      <c r="C28" s="39" t="s">
        <v>108</v>
      </c>
      <c r="D28" s="40" t="s">
        <v>107</v>
      </c>
      <c r="E28" s="41">
        <v>120.0</v>
      </c>
      <c r="F28" s="41">
        <f>E28*25</f>
        <v>3000</v>
      </c>
      <c r="G28" s="43" t="s">
        <v>81</v>
      </c>
      <c r="H28" s="40" t="s">
        <v>82</v>
      </c>
      <c r="I28" s="43">
        <v>10.0</v>
      </c>
      <c r="J28" s="43">
        <v>10.0</v>
      </c>
      <c r="K28" s="43">
        <v>5.0</v>
      </c>
      <c r="L28" s="38"/>
      <c r="M28" s="38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</row>
    <row r="29" ht="15.75" customHeight="1">
      <c r="A29" s="38"/>
      <c r="B29" s="39"/>
      <c r="C29" s="39" t="s">
        <v>109</v>
      </c>
      <c r="D29" s="40" t="s">
        <v>107</v>
      </c>
      <c r="E29" s="41">
        <v>100.0</v>
      </c>
      <c r="F29" s="41">
        <v>2500.0</v>
      </c>
      <c r="G29" s="43" t="s">
        <v>81</v>
      </c>
      <c r="H29" s="40" t="s">
        <v>82</v>
      </c>
      <c r="I29" s="43">
        <v>10.0</v>
      </c>
      <c r="J29" s="43">
        <v>10.0</v>
      </c>
      <c r="K29" s="43">
        <v>5.0</v>
      </c>
      <c r="L29" s="38"/>
      <c r="M29" s="3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 ht="15.75" customHeight="1">
      <c r="A30" s="38"/>
      <c r="B30" s="39"/>
      <c r="C30" s="39" t="s">
        <v>110</v>
      </c>
      <c r="D30" s="46" t="s">
        <v>111</v>
      </c>
      <c r="E30" s="41">
        <v>22500.0</v>
      </c>
      <c r="F30" s="41">
        <f>E30*5</f>
        <v>112500</v>
      </c>
      <c r="G30" s="43" t="s">
        <v>81</v>
      </c>
      <c r="H30" s="40" t="s">
        <v>82</v>
      </c>
      <c r="I30" s="43">
        <v>2.0</v>
      </c>
      <c r="J30" s="43">
        <v>0.0</v>
      </c>
      <c r="K30" s="43">
        <v>0.0</v>
      </c>
      <c r="L30" s="38"/>
      <c r="M30" s="3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  <row r="31" ht="15.75" customHeight="1">
      <c r="A31" s="38"/>
      <c r="B31" s="39"/>
      <c r="C31" s="39" t="s">
        <v>112</v>
      </c>
      <c r="D31" s="46" t="s">
        <v>84</v>
      </c>
      <c r="E31" s="41">
        <v>15000.0</v>
      </c>
      <c r="F31" s="42">
        <f>E31*2</f>
        <v>30000</v>
      </c>
      <c r="G31" s="43" t="s">
        <v>81</v>
      </c>
      <c r="H31" s="40" t="s">
        <v>82</v>
      </c>
      <c r="I31" s="43">
        <v>1.0</v>
      </c>
      <c r="J31" s="43">
        <v>0.0</v>
      </c>
      <c r="K31" s="43">
        <v>0.0</v>
      </c>
      <c r="L31" s="38"/>
      <c r="M31" s="3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</row>
    <row r="32" ht="15.75" customHeight="1">
      <c r="A32" s="38"/>
      <c r="B32" s="39"/>
      <c r="C32" s="39" t="s">
        <v>113</v>
      </c>
      <c r="D32" s="40" t="s">
        <v>114</v>
      </c>
      <c r="E32" s="41">
        <v>30000.0</v>
      </c>
      <c r="F32" s="42">
        <v>30000.0</v>
      </c>
      <c r="G32" s="43" t="s">
        <v>81</v>
      </c>
      <c r="H32" s="40" t="s">
        <v>82</v>
      </c>
      <c r="I32" s="43">
        <v>1.0</v>
      </c>
      <c r="J32" s="43">
        <v>0.0</v>
      </c>
      <c r="K32" s="43">
        <v>0.0</v>
      </c>
      <c r="L32" s="38"/>
      <c r="M32" s="3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ht="15.75" customHeight="1">
      <c r="A33" s="38"/>
      <c r="B33" s="39"/>
      <c r="C33" s="39" t="s">
        <v>115</v>
      </c>
      <c r="D33" s="40" t="s">
        <v>116</v>
      </c>
      <c r="E33" s="41">
        <v>5000.0</v>
      </c>
      <c r="F33" s="42">
        <v>5000.0</v>
      </c>
      <c r="G33" s="43" t="s">
        <v>81</v>
      </c>
      <c r="H33" s="40" t="s">
        <v>82</v>
      </c>
      <c r="I33" s="43">
        <v>3.0</v>
      </c>
      <c r="J33" s="43">
        <v>0.0</v>
      </c>
      <c r="K33" s="43">
        <v>0.0</v>
      </c>
      <c r="L33" s="38"/>
      <c r="M33" s="38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 ht="15.75" customHeight="1">
      <c r="A34" s="38"/>
      <c r="B34" s="39"/>
      <c r="C34" s="39" t="s">
        <v>117</v>
      </c>
      <c r="D34" s="40" t="s">
        <v>94</v>
      </c>
      <c r="E34" s="41">
        <v>100.0</v>
      </c>
      <c r="F34" s="42">
        <f>E34*100</f>
        <v>10000</v>
      </c>
      <c r="G34" s="43" t="s">
        <v>81</v>
      </c>
      <c r="H34" s="40" t="s">
        <v>82</v>
      </c>
      <c r="I34" s="43">
        <v>100.0</v>
      </c>
      <c r="J34" s="43">
        <v>0.0</v>
      </c>
      <c r="K34" s="43">
        <v>0.0</v>
      </c>
      <c r="L34" s="38"/>
      <c r="M34" s="38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  <row r="35" ht="15.75" customHeight="1">
      <c r="A35" s="38"/>
      <c r="B35" s="39"/>
      <c r="C35" s="39" t="s">
        <v>118</v>
      </c>
      <c r="D35" s="40" t="s">
        <v>119</v>
      </c>
      <c r="E35" s="41">
        <v>80.0</v>
      </c>
      <c r="F35" s="42">
        <f>E35*20</f>
        <v>1600</v>
      </c>
      <c r="G35" s="43" t="s">
        <v>81</v>
      </c>
      <c r="H35" s="40" t="s">
        <v>82</v>
      </c>
      <c r="I35" s="43">
        <v>20.0</v>
      </c>
      <c r="J35" s="43">
        <v>0.0</v>
      </c>
      <c r="K35" s="43">
        <v>0.0</v>
      </c>
      <c r="L35" s="38"/>
      <c r="M35" s="38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</row>
    <row r="36" ht="15.75" customHeight="1">
      <c r="A36" s="38"/>
      <c r="B36" s="38"/>
      <c r="C36" s="39" t="s">
        <v>120</v>
      </c>
      <c r="D36" s="40" t="s">
        <v>121</v>
      </c>
      <c r="E36" s="41">
        <v>3000.0</v>
      </c>
      <c r="F36" s="42">
        <f>E36*50</f>
        <v>150000</v>
      </c>
      <c r="G36" s="43" t="s">
        <v>81</v>
      </c>
      <c r="H36" s="40" t="s">
        <v>82</v>
      </c>
      <c r="I36" s="43">
        <v>20.0</v>
      </c>
      <c r="J36" s="43">
        <v>20.0</v>
      </c>
      <c r="K36" s="43">
        <v>10.0</v>
      </c>
      <c r="L36" s="38"/>
      <c r="M36" s="38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</row>
    <row r="37" ht="15.75" customHeight="1">
      <c r="A37" s="38"/>
      <c r="B37" s="38"/>
      <c r="C37" s="39" t="s">
        <v>122</v>
      </c>
      <c r="D37" s="40" t="s">
        <v>123</v>
      </c>
      <c r="E37" s="41">
        <v>250.0</v>
      </c>
      <c r="F37" s="42">
        <v>2500.0</v>
      </c>
      <c r="G37" s="43" t="s">
        <v>81</v>
      </c>
      <c r="H37" s="40" t="s">
        <v>82</v>
      </c>
      <c r="I37" s="43">
        <v>3.0</v>
      </c>
      <c r="J37" s="43">
        <v>3.0</v>
      </c>
      <c r="K37" s="43">
        <v>2.0</v>
      </c>
      <c r="L37" s="38"/>
      <c r="M37" s="38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</row>
    <row r="38" ht="15.75" customHeight="1">
      <c r="A38" s="38"/>
      <c r="B38" s="38"/>
      <c r="C38" s="39" t="s">
        <v>124</v>
      </c>
      <c r="D38" s="40" t="s">
        <v>107</v>
      </c>
      <c r="E38" s="41">
        <v>8000.0</v>
      </c>
      <c r="F38" s="42">
        <f>E38*25</f>
        <v>200000</v>
      </c>
      <c r="G38" s="43" t="s">
        <v>81</v>
      </c>
      <c r="H38" s="40" t="s">
        <v>82</v>
      </c>
      <c r="I38" s="43">
        <v>15.0</v>
      </c>
      <c r="J38" s="43">
        <v>5.0</v>
      </c>
      <c r="K38" s="43">
        <v>5.0</v>
      </c>
      <c r="L38" s="38"/>
      <c r="M38" s="38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</row>
    <row r="39" ht="15.75" customHeight="1">
      <c r="A39" s="38"/>
      <c r="B39" s="38"/>
      <c r="C39" s="39" t="s">
        <v>125</v>
      </c>
      <c r="D39" s="40" t="s">
        <v>126</v>
      </c>
      <c r="E39" s="41">
        <v>2000.0</v>
      </c>
      <c r="F39" s="42">
        <f>E39*5</f>
        <v>10000</v>
      </c>
      <c r="G39" s="43" t="s">
        <v>81</v>
      </c>
      <c r="H39" s="40" t="s">
        <v>82</v>
      </c>
      <c r="I39" s="43">
        <v>5.0</v>
      </c>
      <c r="J39" s="43">
        <v>0.0</v>
      </c>
      <c r="K39" s="43">
        <v>0.0</v>
      </c>
      <c r="L39" s="38"/>
      <c r="M39" s="38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</row>
    <row r="40" ht="15.75" customHeight="1">
      <c r="A40" s="38"/>
      <c r="B40" s="38"/>
      <c r="C40" s="38" t="s">
        <v>127</v>
      </c>
      <c r="D40" s="43" t="s">
        <v>126</v>
      </c>
      <c r="E40" s="51">
        <v>3000.0</v>
      </c>
      <c r="F40" s="51">
        <v>15000.0</v>
      </c>
      <c r="G40" s="43" t="s">
        <v>81</v>
      </c>
      <c r="H40" s="40" t="s">
        <v>82</v>
      </c>
      <c r="I40" s="43">
        <v>5.0</v>
      </c>
      <c r="J40" s="43">
        <v>0.0</v>
      </c>
      <c r="K40" s="43">
        <v>0.0</v>
      </c>
      <c r="L40" s="38"/>
      <c r="M40" s="38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</row>
    <row r="41" ht="15.75" customHeight="1">
      <c r="A41" s="38"/>
      <c r="B41" s="38"/>
      <c r="C41" s="38" t="s">
        <v>128</v>
      </c>
      <c r="D41" s="43" t="s">
        <v>105</v>
      </c>
      <c r="E41" s="51">
        <v>200.0</v>
      </c>
      <c r="F41" s="51">
        <f t="shared" ref="F41:F43" si="2">E41*50</f>
        <v>10000</v>
      </c>
      <c r="G41" s="43" t="s">
        <v>81</v>
      </c>
      <c r="H41" s="40" t="s">
        <v>82</v>
      </c>
      <c r="I41" s="43">
        <v>50.0</v>
      </c>
      <c r="J41" s="43">
        <v>0.0</v>
      </c>
      <c r="K41" s="43">
        <v>0.0</v>
      </c>
      <c r="L41" s="38"/>
      <c r="M41" s="38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</row>
    <row r="42" ht="15.75" customHeight="1">
      <c r="A42" s="38"/>
      <c r="B42" s="38"/>
      <c r="C42" s="38" t="s">
        <v>129</v>
      </c>
      <c r="D42" s="43" t="s">
        <v>130</v>
      </c>
      <c r="E42" s="51">
        <v>200.0</v>
      </c>
      <c r="F42" s="51">
        <f t="shared" si="2"/>
        <v>10000</v>
      </c>
      <c r="G42" s="43" t="s">
        <v>81</v>
      </c>
      <c r="H42" s="40" t="s">
        <v>82</v>
      </c>
      <c r="I42" s="43">
        <v>59.0</v>
      </c>
      <c r="J42" s="43">
        <v>0.0</v>
      </c>
      <c r="K42" s="43">
        <v>0.0</v>
      </c>
      <c r="L42" s="38"/>
      <c r="M42" s="38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</row>
    <row r="43" ht="15.75" customHeight="1">
      <c r="A43" s="38"/>
      <c r="B43" s="38"/>
      <c r="C43" s="38" t="s">
        <v>131</v>
      </c>
      <c r="D43" s="43" t="s">
        <v>132</v>
      </c>
      <c r="E43" s="51">
        <v>200.0</v>
      </c>
      <c r="F43" s="51">
        <f t="shared" si="2"/>
        <v>10000</v>
      </c>
      <c r="G43" s="43" t="s">
        <v>81</v>
      </c>
      <c r="H43" s="40" t="s">
        <v>82</v>
      </c>
      <c r="I43" s="43">
        <v>59.0</v>
      </c>
      <c r="J43" s="43">
        <v>0.0</v>
      </c>
      <c r="K43" s="43">
        <v>0.0</v>
      </c>
      <c r="L43" s="38"/>
      <c r="M43" s="38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</row>
    <row r="44" ht="15.75" customHeight="1">
      <c r="A44" s="38"/>
      <c r="B44" s="38"/>
      <c r="C44" s="38" t="s">
        <v>133</v>
      </c>
      <c r="D44" s="43" t="s">
        <v>134</v>
      </c>
      <c r="E44" s="51">
        <v>3000.0</v>
      </c>
      <c r="F44" s="51">
        <f>E44*15</f>
        <v>45000</v>
      </c>
      <c r="G44" s="43" t="s">
        <v>81</v>
      </c>
      <c r="H44" s="40" t="s">
        <v>82</v>
      </c>
      <c r="I44" s="43">
        <v>15.0</v>
      </c>
      <c r="J44" s="43">
        <v>0.0</v>
      </c>
      <c r="K44" s="43">
        <v>0.0</v>
      </c>
      <c r="L44" s="38"/>
      <c r="M44" s="38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</row>
    <row r="45" ht="15.75" customHeight="1">
      <c r="A45" s="38"/>
      <c r="B45" s="38"/>
      <c r="C45" s="38" t="s">
        <v>135</v>
      </c>
      <c r="D45" s="43" t="s">
        <v>119</v>
      </c>
      <c r="E45" s="51">
        <v>1000.0</v>
      </c>
      <c r="F45" s="51">
        <f>E45*20</f>
        <v>20000</v>
      </c>
      <c r="G45" s="43" t="s">
        <v>81</v>
      </c>
      <c r="H45" s="40" t="s">
        <v>82</v>
      </c>
      <c r="I45" s="43">
        <v>20.0</v>
      </c>
      <c r="J45" s="43">
        <v>0.0</v>
      </c>
      <c r="K45" s="43">
        <v>0.0</v>
      </c>
      <c r="L45" s="38"/>
      <c r="M45" s="38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</row>
    <row r="46" ht="15.75" customHeight="1">
      <c r="A46" s="38"/>
      <c r="B46" s="38"/>
      <c r="C46" s="39" t="s">
        <v>136</v>
      </c>
      <c r="D46" s="43" t="s">
        <v>137</v>
      </c>
      <c r="E46" s="51">
        <v>1700.0</v>
      </c>
      <c r="F46" s="51">
        <v>42500.0</v>
      </c>
      <c r="G46" s="43" t="s">
        <v>81</v>
      </c>
      <c r="H46" s="40" t="s">
        <v>138</v>
      </c>
      <c r="I46" s="43">
        <v>25.0</v>
      </c>
      <c r="J46" s="43">
        <v>0.0</v>
      </c>
      <c r="K46" s="43">
        <v>0.0</v>
      </c>
      <c r="L46" s="38"/>
      <c r="M46" s="38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</row>
    <row r="47" ht="15.75" customHeight="1">
      <c r="A47" s="38"/>
      <c r="B47" s="38"/>
      <c r="C47" s="39" t="s">
        <v>139</v>
      </c>
      <c r="D47" s="43" t="s">
        <v>137</v>
      </c>
      <c r="E47" s="51">
        <v>1700.0</v>
      </c>
      <c r="F47" s="51">
        <v>42500.0</v>
      </c>
      <c r="G47" s="43" t="s">
        <v>81</v>
      </c>
      <c r="H47" s="40" t="s">
        <v>138</v>
      </c>
      <c r="I47" s="43">
        <v>25.0</v>
      </c>
      <c r="J47" s="43">
        <v>0.0</v>
      </c>
      <c r="K47" s="43">
        <v>0.0</v>
      </c>
      <c r="L47" s="38"/>
      <c r="M47" s="38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</row>
    <row r="48" ht="15.75" customHeight="1">
      <c r="A48" s="38"/>
      <c r="B48" s="38"/>
      <c r="C48" s="38" t="s">
        <v>140</v>
      </c>
      <c r="D48" s="43" t="s">
        <v>119</v>
      </c>
      <c r="E48" s="51">
        <v>500.0</v>
      </c>
      <c r="F48" s="51">
        <f>E48*20</f>
        <v>10000</v>
      </c>
      <c r="G48" s="43" t="s">
        <v>81</v>
      </c>
      <c r="H48" s="40" t="s">
        <v>82</v>
      </c>
      <c r="I48" s="43">
        <v>25.0</v>
      </c>
      <c r="J48" s="43">
        <v>0.0</v>
      </c>
      <c r="K48" s="43">
        <v>0.0</v>
      </c>
      <c r="L48" s="38"/>
      <c r="M48" s="38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</row>
    <row r="49" ht="15.75" customHeight="1">
      <c r="A49" s="32" t="s">
        <v>141</v>
      </c>
      <c r="B49" s="33"/>
      <c r="C49" s="52" t="s">
        <v>142</v>
      </c>
      <c r="D49" s="33"/>
      <c r="E49" s="35"/>
      <c r="F49" s="33"/>
      <c r="G49" s="33"/>
      <c r="H49" s="33"/>
      <c r="I49" s="33"/>
      <c r="J49" s="33"/>
      <c r="K49" s="33"/>
      <c r="L49" s="33"/>
      <c r="M49" s="33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</row>
    <row r="50" ht="15.75" customHeight="1">
      <c r="A50" s="38"/>
      <c r="B50" s="53"/>
      <c r="C50" s="50" t="s">
        <v>143</v>
      </c>
      <c r="D50" s="46" t="s">
        <v>86</v>
      </c>
      <c r="E50" s="47">
        <v>950000.0</v>
      </c>
      <c r="F50" s="42">
        <f>E50*1</f>
        <v>950000</v>
      </c>
      <c r="G50" s="46" t="s">
        <v>144</v>
      </c>
      <c r="H50" s="46" t="s">
        <v>145</v>
      </c>
      <c r="I50" s="48">
        <v>0.0</v>
      </c>
      <c r="J50" s="48">
        <v>0.0</v>
      </c>
      <c r="K50" s="48">
        <v>1.0</v>
      </c>
      <c r="L50" s="38"/>
      <c r="M50" s="38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</row>
    <row r="51" ht="15.75" customHeight="1">
      <c r="A51" s="38"/>
      <c r="B51" s="53"/>
      <c r="C51" s="50" t="s">
        <v>146</v>
      </c>
      <c r="D51" s="46" t="s">
        <v>147</v>
      </c>
      <c r="E51" s="47">
        <v>1000.0</v>
      </c>
      <c r="F51" s="42">
        <f t="shared" ref="F51:F52" si="3">E51*10</f>
        <v>10000</v>
      </c>
      <c r="G51" s="40" t="s">
        <v>81</v>
      </c>
      <c r="H51" s="40" t="s">
        <v>148</v>
      </c>
      <c r="I51" s="48">
        <v>0.0</v>
      </c>
      <c r="J51" s="48">
        <v>0.0</v>
      </c>
      <c r="K51" s="48">
        <v>10.0</v>
      </c>
      <c r="L51" s="38"/>
      <c r="M51" s="38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</row>
    <row r="52" ht="15.75" customHeight="1">
      <c r="A52" s="38"/>
      <c r="B52" s="53"/>
      <c r="C52" s="50" t="s">
        <v>149</v>
      </c>
      <c r="D52" s="46" t="s">
        <v>147</v>
      </c>
      <c r="E52" s="47">
        <v>1000.0</v>
      </c>
      <c r="F52" s="42">
        <f t="shared" si="3"/>
        <v>10000</v>
      </c>
      <c r="G52" s="40" t="s">
        <v>81</v>
      </c>
      <c r="H52" s="40" t="s">
        <v>148</v>
      </c>
      <c r="I52" s="48">
        <v>0.0</v>
      </c>
      <c r="J52" s="48">
        <v>0.0</v>
      </c>
      <c r="K52" s="48">
        <v>10.0</v>
      </c>
      <c r="L52" s="38"/>
      <c r="M52" s="38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</row>
    <row r="53" ht="15.75" customHeight="1">
      <c r="A53" s="38"/>
      <c r="B53" s="53"/>
      <c r="C53" s="39" t="s">
        <v>150</v>
      </c>
      <c r="D53" s="40" t="s">
        <v>151</v>
      </c>
      <c r="E53" s="41">
        <v>40000.0</v>
      </c>
      <c r="F53" s="42">
        <f>E53*2</f>
        <v>80000</v>
      </c>
      <c r="G53" s="40" t="s">
        <v>81</v>
      </c>
      <c r="H53" s="40" t="s">
        <v>148</v>
      </c>
      <c r="I53" s="43">
        <v>2.0</v>
      </c>
      <c r="J53" s="43">
        <v>0.0</v>
      </c>
      <c r="K53" s="43">
        <v>0.0</v>
      </c>
      <c r="L53" s="38"/>
      <c r="M53" s="38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</row>
    <row r="54" ht="15.75" customHeight="1">
      <c r="A54" s="38"/>
      <c r="B54" s="53"/>
      <c r="C54" s="39" t="s">
        <v>152</v>
      </c>
      <c r="D54" s="40" t="s">
        <v>137</v>
      </c>
      <c r="E54" s="41">
        <v>1500.0</v>
      </c>
      <c r="F54" s="42">
        <v>37500.0</v>
      </c>
      <c r="G54" s="40" t="s">
        <v>81</v>
      </c>
      <c r="H54" s="40" t="s">
        <v>153</v>
      </c>
      <c r="I54" s="43">
        <v>50.0</v>
      </c>
      <c r="J54" s="43">
        <v>0.0</v>
      </c>
      <c r="K54" s="43">
        <v>0.0</v>
      </c>
      <c r="L54" s="38"/>
      <c r="M54" s="38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</row>
    <row r="55" ht="15.75" customHeight="1">
      <c r="A55" s="38"/>
      <c r="B55" s="39"/>
      <c r="C55" s="54" t="s">
        <v>154</v>
      </c>
      <c r="D55" s="40" t="s">
        <v>155</v>
      </c>
      <c r="E55" s="41">
        <v>4000.0</v>
      </c>
      <c r="F55" s="42">
        <f t="shared" ref="F55:F57" si="4">E55*10</f>
        <v>40000</v>
      </c>
      <c r="G55" s="40" t="s">
        <v>81</v>
      </c>
      <c r="H55" s="40" t="s">
        <v>82</v>
      </c>
      <c r="I55" s="43">
        <v>10.0</v>
      </c>
      <c r="J55" s="43">
        <v>0.0</v>
      </c>
      <c r="K55" s="43">
        <v>0.0</v>
      </c>
      <c r="L55" s="38"/>
      <c r="M55" s="38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</row>
    <row r="56" ht="15.75" customHeight="1">
      <c r="A56" s="38"/>
      <c r="B56" s="39"/>
      <c r="C56" s="54" t="s">
        <v>156</v>
      </c>
      <c r="D56" s="40" t="s">
        <v>155</v>
      </c>
      <c r="E56" s="41">
        <v>5500.0</v>
      </c>
      <c r="F56" s="42">
        <f t="shared" si="4"/>
        <v>55000</v>
      </c>
      <c r="G56" s="40" t="s">
        <v>81</v>
      </c>
      <c r="H56" s="40" t="s">
        <v>82</v>
      </c>
      <c r="I56" s="43">
        <v>10.0</v>
      </c>
      <c r="J56" s="43">
        <v>0.0</v>
      </c>
      <c r="K56" s="43">
        <v>0.0</v>
      </c>
      <c r="L56" s="38"/>
      <c r="M56" s="38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</row>
    <row r="57" ht="15.75" customHeight="1">
      <c r="A57" s="38"/>
      <c r="B57" s="39"/>
      <c r="C57" s="54" t="s">
        <v>157</v>
      </c>
      <c r="D57" s="40" t="s">
        <v>155</v>
      </c>
      <c r="E57" s="41">
        <v>6500.0</v>
      </c>
      <c r="F57" s="42">
        <f t="shared" si="4"/>
        <v>65000</v>
      </c>
      <c r="G57" s="40" t="s">
        <v>81</v>
      </c>
      <c r="H57" s="40" t="s">
        <v>82</v>
      </c>
      <c r="I57" s="43">
        <v>10.0</v>
      </c>
      <c r="J57" s="43">
        <v>0.0</v>
      </c>
      <c r="K57" s="43">
        <v>0.0</v>
      </c>
      <c r="L57" s="38"/>
      <c r="M57" s="38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</row>
    <row r="58" ht="15.75" customHeight="1">
      <c r="A58" s="38"/>
      <c r="B58" s="39"/>
      <c r="C58" s="54" t="s">
        <v>158</v>
      </c>
      <c r="D58" s="40" t="s">
        <v>84</v>
      </c>
      <c r="E58" s="41">
        <v>5000.0</v>
      </c>
      <c r="F58" s="42">
        <f>E58*2</f>
        <v>10000</v>
      </c>
      <c r="G58" s="40" t="s">
        <v>81</v>
      </c>
      <c r="H58" s="43" t="s">
        <v>148</v>
      </c>
      <c r="I58" s="43">
        <v>2.0</v>
      </c>
      <c r="J58" s="43">
        <v>0.0</v>
      </c>
      <c r="K58" s="43">
        <v>0.0</v>
      </c>
      <c r="L58" s="38"/>
      <c r="M58" s="38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</row>
    <row r="59" ht="15.75" customHeight="1">
      <c r="A59" s="38"/>
      <c r="B59" s="39"/>
      <c r="C59" s="39" t="s">
        <v>159</v>
      </c>
      <c r="D59" s="40" t="s">
        <v>126</v>
      </c>
      <c r="E59" s="41">
        <v>2000.0</v>
      </c>
      <c r="F59" s="42">
        <f>E59*5</f>
        <v>10000</v>
      </c>
      <c r="G59" s="40" t="s">
        <v>81</v>
      </c>
      <c r="H59" s="43" t="s">
        <v>148</v>
      </c>
      <c r="I59" s="43">
        <v>5.0</v>
      </c>
      <c r="J59" s="43">
        <v>0.0</v>
      </c>
      <c r="K59" s="43">
        <v>0.0</v>
      </c>
      <c r="L59" s="38"/>
      <c r="M59" s="38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</row>
    <row r="60" ht="15.75" customHeight="1">
      <c r="A60" s="55"/>
      <c r="B60" s="39"/>
      <c r="C60" s="39" t="s">
        <v>160</v>
      </c>
      <c r="D60" s="40" t="s">
        <v>161</v>
      </c>
      <c r="E60" s="41">
        <v>500.0</v>
      </c>
      <c r="F60" s="42">
        <f>E60*40</f>
        <v>20000</v>
      </c>
      <c r="G60" s="40" t="s">
        <v>81</v>
      </c>
      <c r="H60" s="40" t="s">
        <v>82</v>
      </c>
      <c r="I60" s="43">
        <v>40.0</v>
      </c>
      <c r="J60" s="43">
        <v>0.0</v>
      </c>
      <c r="K60" s="43">
        <v>0.0</v>
      </c>
      <c r="L60" s="38"/>
      <c r="M60" s="38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</row>
    <row r="61" ht="15.75" customHeight="1">
      <c r="A61" s="55"/>
      <c r="B61" s="39"/>
      <c r="C61" s="39" t="s">
        <v>162</v>
      </c>
      <c r="D61" s="40" t="s">
        <v>163</v>
      </c>
      <c r="E61" s="41">
        <v>900.0</v>
      </c>
      <c r="F61" s="42">
        <f t="shared" ref="F61:F62" si="5">E61*20</f>
        <v>18000</v>
      </c>
      <c r="G61" s="40" t="s">
        <v>81</v>
      </c>
      <c r="H61" s="40" t="s">
        <v>82</v>
      </c>
      <c r="I61" s="43">
        <v>20.0</v>
      </c>
      <c r="J61" s="43">
        <v>0.0</v>
      </c>
      <c r="K61" s="43">
        <v>0.0</v>
      </c>
      <c r="L61" s="38"/>
      <c r="M61" s="38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</row>
    <row r="62" ht="15.75" customHeight="1">
      <c r="A62" s="55"/>
      <c r="B62" s="39"/>
      <c r="C62" s="39" t="s">
        <v>164</v>
      </c>
      <c r="D62" s="40" t="s">
        <v>163</v>
      </c>
      <c r="E62" s="41">
        <v>500.0</v>
      </c>
      <c r="F62" s="42">
        <f t="shared" si="5"/>
        <v>10000</v>
      </c>
      <c r="G62" s="40" t="s">
        <v>81</v>
      </c>
      <c r="H62" s="40" t="s">
        <v>82</v>
      </c>
      <c r="I62" s="43">
        <v>20.0</v>
      </c>
      <c r="J62" s="43">
        <v>0.0</v>
      </c>
      <c r="K62" s="43">
        <v>0.0</v>
      </c>
      <c r="L62" s="38"/>
      <c r="M62" s="38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</row>
    <row r="63" ht="15.75" customHeight="1">
      <c r="A63" s="55"/>
      <c r="B63" s="39"/>
      <c r="C63" s="39" t="s">
        <v>165</v>
      </c>
      <c r="D63" s="40" t="s">
        <v>166</v>
      </c>
      <c r="E63" s="41">
        <v>800.0</v>
      </c>
      <c r="F63" s="42">
        <v>20000.0</v>
      </c>
      <c r="G63" s="40" t="s">
        <v>81</v>
      </c>
      <c r="H63" s="40" t="s">
        <v>82</v>
      </c>
      <c r="I63" s="43">
        <v>50.0</v>
      </c>
      <c r="J63" s="43">
        <v>0.0</v>
      </c>
      <c r="K63" s="43">
        <v>0.0</v>
      </c>
      <c r="L63" s="38"/>
      <c r="M63" s="38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</row>
    <row r="64" ht="15.75" customHeight="1">
      <c r="A64" s="55"/>
      <c r="B64" s="39"/>
      <c r="C64" s="39" t="s">
        <v>167</v>
      </c>
      <c r="D64" s="40" t="s">
        <v>168</v>
      </c>
      <c r="E64" s="41">
        <v>10000.0</v>
      </c>
      <c r="F64" s="42">
        <v>40000.0</v>
      </c>
      <c r="G64" s="40" t="s">
        <v>144</v>
      </c>
      <c r="H64" s="43" t="s">
        <v>148</v>
      </c>
      <c r="I64" s="43">
        <v>4.0</v>
      </c>
      <c r="J64" s="43">
        <v>0.0</v>
      </c>
      <c r="K64" s="43">
        <v>0.0</v>
      </c>
      <c r="L64" s="38"/>
      <c r="M64" s="38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</row>
    <row r="65" ht="15.75" customHeight="1">
      <c r="A65" s="55"/>
      <c r="B65" s="39"/>
      <c r="C65" s="39" t="s">
        <v>169</v>
      </c>
      <c r="D65" s="40" t="s">
        <v>168</v>
      </c>
      <c r="E65" s="41">
        <v>10000.0</v>
      </c>
      <c r="F65" s="42">
        <v>40000.0</v>
      </c>
      <c r="G65" s="40" t="s">
        <v>144</v>
      </c>
      <c r="H65" s="43" t="s">
        <v>148</v>
      </c>
      <c r="I65" s="43">
        <v>4.0</v>
      </c>
      <c r="J65" s="43">
        <v>0.0</v>
      </c>
      <c r="K65" s="43">
        <v>0.0</v>
      </c>
      <c r="L65" s="38"/>
      <c r="M65" s="38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</row>
    <row r="66" ht="15.75" customHeight="1">
      <c r="A66" s="55"/>
      <c r="B66" s="39"/>
      <c r="C66" s="39" t="s">
        <v>170</v>
      </c>
      <c r="D66" s="40" t="s">
        <v>137</v>
      </c>
      <c r="E66" s="41">
        <v>5000.0</v>
      </c>
      <c r="F66" s="42">
        <v>125000.0</v>
      </c>
      <c r="G66" s="40" t="s">
        <v>81</v>
      </c>
      <c r="H66" s="40" t="s">
        <v>82</v>
      </c>
      <c r="I66" s="43">
        <v>25.0</v>
      </c>
      <c r="J66" s="43">
        <v>0.0</v>
      </c>
      <c r="K66" s="43">
        <v>0.0</v>
      </c>
      <c r="L66" s="38"/>
      <c r="M66" s="38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</row>
    <row r="67" ht="15.75" customHeight="1">
      <c r="A67" s="55"/>
      <c r="B67" s="39"/>
      <c r="C67" s="39" t="s">
        <v>171</v>
      </c>
      <c r="D67" s="40" t="s">
        <v>172</v>
      </c>
      <c r="E67" s="41">
        <v>100.0</v>
      </c>
      <c r="F67" s="42">
        <f>E67*48</f>
        <v>4800</v>
      </c>
      <c r="G67" s="40" t="s">
        <v>81</v>
      </c>
      <c r="H67" s="40" t="s">
        <v>82</v>
      </c>
      <c r="I67" s="43">
        <v>48.0</v>
      </c>
      <c r="J67" s="43">
        <v>0.0</v>
      </c>
      <c r="K67" s="43">
        <v>0.0</v>
      </c>
      <c r="L67" s="38"/>
      <c r="M67" s="38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</row>
    <row r="68" ht="15.75" customHeight="1">
      <c r="A68" s="55"/>
      <c r="B68" s="39"/>
      <c r="C68" s="39" t="s">
        <v>173</v>
      </c>
      <c r="D68" s="40" t="s">
        <v>174</v>
      </c>
      <c r="E68" s="41">
        <v>530.0</v>
      </c>
      <c r="F68" s="42">
        <v>10600.0</v>
      </c>
      <c r="G68" s="40" t="s">
        <v>81</v>
      </c>
      <c r="H68" s="40" t="s">
        <v>82</v>
      </c>
      <c r="I68" s="43">
        <v>50.0</v>
      </c>
      <c r="J68" s="43">
        <v>0.0</v>
      </c>
      <c r="K68" s="43">
        <v>0.0</v>
      </c>
      <c r="L68" s="38"/>
      <c r="M68" s="38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</row>
    <row r="69" ht="15.75" customHeight="1">
      <c r="A69" s="55"/>
      <c r="B69" s="39"/>
      <c r="C69" s="39" t="s">
        <v>175</v>
      </c>
      <c r="D69" s="40" t="s">
        <v>126</v>
      </c>
      <c r="E69" s="41">
        <v>1000.0</v>
      </c>
      <c r="F69" s="42">
        <v>5000.0</v>
      </c>
      <c r="G69" s="40" t="s">
        <v>81</v>
      </c>
      <c r="H69" s="40" t="s">
        <v>82</v>
      </c>
      <c r="I69" s="43"/>
      <c r="J69" s="43"/>
      <c r="K69" s="43"/>
      <c r="L69" s="38"/>
      <c r="M69" s="38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</row>
    <row r="70" ht="15.75" customHeight="1">
      <c r="A70" s="55"/>
      <c r="B70" s="39"/>
      <c r="C70" s="39" t="s">
        <v>176</v>
      </c>
      <c r="D70" s="40" t="s">
        <v>177</v>
      </c>
      <c r="E70" s="41">
        <v>500.0</v>
      </c>
      <c r="F70" s="42">
        <v>7500.0</v>
      </c>
      <c r="G70" s="43" t="s">
        <v>81</v>
      </c>
      <c r="H70" s="40" t="s">
        <v>82</v>
      </c>
      <c r="I70" s="43">
        <v>15.0</v>
      </c>
      <c r="J70" s="43">
        <v>0.0</v>
      </c>
      <c r="K70" s="43">
        <v>0.0</v>
      </c>
      <c r="L70" s="38"/>
      <c r="M70" s="38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</row>
    <row r="71" ht="15.75" customHeight="1">
      <c r="A71" s="55"/>
      <c r="B71" s="39"/>
      <c r="C71" s="39" t="s">
        <v>178</v>
      </c>
      <c r="D71" s="40" t="s">
        <v>107</v>
      </c>
      <c r="E71" s="41">
        <v>20.0</v>
      </c>
      <c r="F71" s="42">
        <v>500.0</v>
      </c>
      <c r="G71" s="43" t="s">
        <v>81</v>
      </c>
      <c r="H71" s="40" t="s">
        <v>82</v>
      </c>
      <c r="I71" s="43">
        <v>25.0</v>
      </c>
      <c r="J71" s="43">
        <v>0.0</v>
      </c>
      <c r="K71" s="43">
        <v>0.0</v>
      </c>
      <c r="L71" s="38"/>
      <c r="M71" s="38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</row>
    <row r="72" ht="15.75" customHeight="1">
      <c r="A72" s="55"/>
      <c r="B72" s="39"/>
      <c r="C72" s="39" t="s">
        <v>179</v>
      </c>
      <c r="D72" s="40" t="s">
        <v>107</v>
      </c>
      <c r="E72" s="41">
        <v>75.0</v>
      </c>
      <c r="F72" s="42">
        <v>1875.0</v>
      </c>
      <c r="G72" s="43" t="s">
        <v>81</v>
      </c>
      <c r="H72" s="40" t="s">
        <v>82</v>
      </c>
      <c r="I72" s="43">
        <v>25.0</v>
      </c>
      <c r="J72" s="43">
        <v>0.0</v>
      </c>
      <c r="K72" s="43">
        <v>0.0</v>
      </c>
      <c r="L72" s="38"/>
      <c r="M72" s="38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</row>
    <row r="73" ht="15.75" customHeight="1">
      <c r="A73" s="55"/>
      <c r="B73" s="39"/>
      <c r="C73" s="39" t="s">
        <v>180</v>
      </c>
      <c r="D73" s="40" t="s">
        <v>181</v>
      </c>
      <c r="E73" s="41">
        <v>25000.0</v>
      </c>
      <c r="F73" s="42">
        <v>25000.0</v>
      </c>
      <c r="G73" s="43" t="s">
        <v>81</v>
      </c>
      <c r="H73" s="43" t="s">
        <v>148</v>
      </c>
      <c r="I73" s="43">
        <v>1.0</v>
      </c>
      <c r="J73" s="43">
        <v>0.0</v>
      </c>
      <c r="K73" s="43">
        <v>0.0</v>
      </c>
      <c r="L73" s="38"/>
      <c r="M73" s="38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</row>
    <row r="74" ht="15.75" customHeight="1">
      <c r="A74" s="55"/>
      <c r="B74" s="39"/>
      <c r="C74" s="39" t="s">
        <v>182</v>
      </c>
      <c r="D74" s="40" t="s">
        <v>181</v>
      </c>
      <c r="E74" s="41">
        <v>25000.0</v>
      </c>
      <c r="F74" s="42">
        <v>25000.0</v>
      </c>
      <c r="G74" s="43" t="s">
        <v>81</v>
      </c>
      <c r="H74" s="43" t="s">
        <v>148</v>
      </c>
      <c r="I74" s="43">
        <v>1.0</v>
      </c>
      <c r="J74" s="43">
        <v>0.0</v>
      </c>
      <c r="K74" s="43">
        <v>0.0</v>
      </c>
      <c r="L74" s="38"/>
      <c r="M74" s="38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</row>
    <row r="75" ht="15.75" customHeight="1">
      <c r="A75" s="55"/>
      <c r="B75" s="39"/>
      <c r="C75" s="39" t="s">
        <v>183</v>
      </c>
      <c r="D75" s="40" t="s">
        <v>181</v>
      </c>
      <c r="E75" s="41">
        <v>25000.0</v>
      </c>
      <c r="F75" s="42">
        <v>25000.0</v>
      </c>
      <c r="G75" s="43" t="s">
        <v>81</v>
      </c>
      <c r="H75" s="43" t="s">
        <v>148</v>
      </c>
      <c r="I75" s="43">
        <v>1.0</v>
      </c>
      <c r="J75" s="43">
        <v>0.0</v>
      </c>
      <c r="K75" s="43">
        <v>0.0</v>
      </c>
      <c r="L75" s="38"/>
      <c r="M75" s="38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</row>
    <row r="76" ht="15.75" customHeight="1">
      <c r="A76" s="55"/>
      <c r="B76" s="39"/>
      <c r="C76" s="39" t="s">
        <v>184</v>
      </c>
      <c r="D76" s="40" t="s">
        <v>105</v>
      </c>
      <c r="E76" s="41">
        <v>250.0</v>
      </c>
      <c r="F76" s="42">
        <v>12500.0</v>
      </c>
      <c r="G76" s="43" t="s">
        <v>81</v>
      </c>
      <c r="H76" s="40" t="s">
        <v>82</v>
      </c>
      <c r="I76" s="43">
        <v>5.0</v>
      </c>
      <c r="J76" s="43">
        <v>0.0</v>
      </c>
      <c r="K76" s="43">
        <v>0.0</v>
      </c>
      <c r="L76" s="38"/>
      <c r="M76" s="38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</row>
    <row r="77" ht="15.75" customHeight="1">
      <c r="A77" s="55"/>
      <c r="B77" s="39"/>
      <c r="C77" s="39" t="s">
        <v>185</v>
      </c>
      <c r="D77" s="40" t="s">
        <v>107</v>
      </c>
      <c r="E77" s="41">
        <v>125.0</v>
      </c>
      <c r="F77" s="42">
        <v>3125.0</v>
      </c>
      <c r="G77" s="43" t="s">
        <v>81</v>
      </c>
      <c r="H77" s="43" t="s">
        <v>148</v>
      </c>
      <c r="I77" s="43">
        <v>25.0</v>
      </c>
      <c r="J77" s="43">
        <v>0.0</v>
      </c>
      <c r="K77" s="43">
        <v>0.0</v>
      </c>
      <c r="L77" s="38"/>
      <c r="M77" s="38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</row>
    <row r="78" ht="15.75" customHeight="1">
      <c r="A78" s="55"/>
      <c r="B78" s="39"/>
      <c r="C78" s="39" t="s">
        <v>186</v>
      </c>
      <c r="D78" s="40" t="s">
        <v>94</v>
      </c>
      <c r="E78" s="41">
        <v>75.0</v>
      </c>
      <c r="F78" s="42">
        <v>7500.0</v>
      </c>
      <c r="G78" s="43" t="s">
        <v>81</v>
      </c>
      <c r="H78" s="43" t="s">
        <v>148</v>
      </c>
      <c r="I78" s="43">
        <v>100.0</v>
      </c>
      <c r="J78" s="43">
        <v>0.0</v>
      </c>
      <c r="K78" s="43">
        <v>0.0</v>
      </c>
      <c r="L78" s="38"/>
      <c r="M78" s="38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</row>
    <row r="79" ht="15.75" customHeight="1">
      <c r="A79" s="55"/>
      <c r="B79" s="39"/>
      <c r="C79" s="39" t="s">
        <v>187</v>
      </c>
      <c r="D79" s="40" t="s">
        <v>105</v>
      </c>
      <c r="E79" s="41">
        <v>500.0</v>
      </c>
      <c r="F79" s="42">
        <v>25000.0</v>
      </c>
      <c r="G79" s="43" t="s">
        <v>81</v>
      </c>
      <c r="H79" s="43" t="s">
        <v>148</v>
      </c>
      <c r="I79" s="43">
        <v>20.0</v>
      </c>
      <c r="J79" s="43">
        <v>20.0</v>
      </c>
      <c r="K79" s="43">
        <v>10.0</v>
      </c>
      <c r="L79" s="38"/>
      <c r="M79" s="38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</row>
    <row r="80" ht="15.75" customHeight="1">
      <c r="A80" s="55"/>
      <c r="B80" s="39"/>
      <c r="C80" s="39" t="s">
        <v>188</v>
      </c>
      <c r="D80" s="40" t="s">
        <v>189</v>
      </c>
      <c r="E80" s="41">
        <v>800.0</v>
      </c>
      <c r="F80" s="42">
        <v>20000.0</v>
      </c>
      <c r="G80" s="43" t="s">
        <v>81</v>
      </c>
      <c r="H80" s="43" t="s">
        <v>148</v>
      </c>
      <c r="I80" s="43">
        <v>25.0</v>
      </c>
      <c r="J80" s="43">
        <v>0.0</v>
      </c>
      <c r="K80" s="43">
        <v>0.0</v>
      </c>
      <c r="L80" s="38"/>
      <c r="M80" s="38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</row>
    <row r="81" ht="15.75" customHeight="1">
      <c r="A81" s="55"/>
      <c r="B81" s="39"/>
      <c r="C81" s="56" t="s">
        <v>190</v>
      </c>
      <c r="D81" s="40" t="s">
        <v>123</v>
      </c>
      <c r="E81" s="41">
        <v>1500.0</v>
      </c>
      <c r="F81" s="42">
        <f>E81*10</f>
        <v>15000</v>
      </c>
      <c r="G81" s="43" t="s">
        <v>81</v>
      </c>
      <c r="H81" s="43" t="s">
        <v>191</v>
      </c>
      <c r="I81" s="43">
        <v>10.0</v>
      </c>
      <c r="J81" s="43">
        <v>0.0</v>
      </c>
      <c r="K81" s="43">
        <v>0.0</v>
      </c>
      <c r="L81" s="38"/>
      <c r="M81" s="38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</row>
    <row r="82" ht="15.75" customHeight="1">
      <c r="A82" s="55"/>
      <c r="B82" s="39"/>
      <c r="C82" s="39" t="s">
        <v>192</v>
      </c>
      <c r="D82" s="40" t="s">
        <v>89</v>
      </c>
      <c r="E82" s="41">
        <v>1000.0</v>
      </c>
      <c r="F82" s="42">
        <v>3000.0</v>
      </c>
      <c r="G82" s="43" t="s">
        <v>81</v>
      </c>
      <c r="H82" s="40" t="s">
        <v>82</v>
      </c>
      <c r="I82" s="43">
        <v>3.0</v>
      </c>
      <c r="J82" s="43">
        <v>0.0</v>
      </c>
      <c r="K82" s="43">
        <v>0.0</v>
      </c>
      <c r="L82" s="38"/>
      <c r="M82" s="38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</row>
    <row r="83" ht="15.75" customHeight="1">
      <c r="A83" s="55"/>
      <c r="B83" s="39"/>
      <c r="C83" s="39" t="s">
        <v>193</v>
      </c>
      <c r="D83" s="40" t="s">
        <v>107</v>
      </c>
      <c r="E83" s="41">
        <v>150.0</v>
      </c>
      <c r="F83" s="42">
        <v>3750.0</v>
      </c>
      <c r="G83" s="43" t="s">
        <v>81</v>
      </c>
      <c r="H83" s="40" t="s">
        <v>82</v>
      </c>
      <c r="I83" s="43">
        <v>25.0</v>
      </c>
      <c r="J83" s="43">
        <v>0.0</v>
      </c>
      <c r="K83" s="43">
        <v>0.0</v>
      </c>
      <c r="L83" s="38"/>
      <c r="M83" s="38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</row>
    <row r="84" ht="15.75" customHeight="1">
      <c r="A84" s="55"/>
      <c r="B84" s="39"/>
      <c r="C84" s="39" t="s">
        <v>194</v>
      </c>
      <c r="D84" s="40" t="s">
        <v>107</v>
      </c>
      <c r="E84" s="41">
        <v>150.0</v>
      </c>
      <c r="F84" s="42">
        <v>3750.0</v>
      </c>
      <c r="G84" s="43" t="s">
        <v>81</v>
      </c>
      <c r="H84" s="40" t="s">
        <v>82</v>
      </c>
      <c r="I84" s="43">
        <v>25.0</v>
      </c>
      <c r="J84" s="43">
        <v>0.0</v>
      </c>
      <c r="K84" s="43">
        <v>0.0</v>
      </c>
      <c r="L84" s="38"/>
      <c r="M84" s="38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</row>
    <row r="85" ht="15.75" customHeight="1">
      <c r="A85" s="55"/>
      <c r="B85" s="39"/>
      <c r="C85" s="39" t="s">
        <v>195</v>
      </c>
      <c r="D85" s="40" t="s">
        <v>94</v>
      </c>
      <c r="E85" s="41">
        <v>5.0</v>
      </c>
      <c r="F85" s="42">
        <v>500.0</v>
      </c>
      <c r="G85" s="43" t="s">
        <v>81</v>
      </c>
      <c r="H85" s="40" t="s">
        <v>82</v>
      </c>
      <c r="I85" s="43">
        <v>100.0</v>
      </c>
      <c r="J85" s="43">
        <v>0.0</v>
      </c>
      <c r="K85" s="43">
        <v>0.0</v>
      </c>
      <c r="L85" s="38"/>
      <c r="M85" s="38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</row>
    <row r="86" ht="15.75" customHeight="1">
      <c r="A86" s="55"/>
      <c r="B86" s="39"/>
      <c r="C86" s="39" t="s">
        <v>196</v>
      </c>
      <c r="D86" s="40" t="s">
        <v>197</v>
      </c>
      <c r="E86" s="41">
        <v>100.0</v>
      </c>
      <c r="F86" s="42">
        <v>2000.0</v>
      </c>
      <c r="G86" s="43" t="s">
        <v>81</v>
      </c>
      <c r="H86" s="40" t="s">
        <v>82</v>
      </c>
      <c r="I86" s="43">
        <v>50.0</v>
      </c>
      <c r="J86" s="43">
        <v>0.0</v>
      </c>
      <c r="K86" s="43">
        <v>0.0</v>
      </c>
      <c r="L86" s="38"/>
      <c r="M86" s="38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</row>
    <row r="87" ht="15.75" customHeight="1">
      <c r="A87" s="38"/>
      <c r="B87" s="38"/>
      <c r="C87" s="39" t="s">
        <v>198</v>
      </c>
      <c r="D87" s="40" t="s">
        <v>199</v>
      </c>
      <c r="E87" s="41">
        <v>1500.0</v>
      </c>
      <c r="F87" s="42">
        <v>30000.0</v>
      </c>
      <c r="G87" s="40" t="s">
        <v>144</v>
      </c>
      <c r="H87" s="43" t="s">
        <v>148</v>
      </c>
      <c r="I87" s="43">
        <v>20.0</v>
      </c>
      <c r="J87" s="43">
        <v>0.0</v>
      </c>
      <c r="K87" s="43">
        <v>0.0</v>
      </c>
      <c r="L87" s="38"/>
      <c r="M87" s="38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</row>
    <row r="88" ht="15.75" customHeight="1">
      <c r="A88" s="38"/>
      <c r="B88" s="38"/>
      <c r="C88" s="39" t="s">
        <v>200</v>
      </c>
      <c r="D88" s="40" t="s">
        <v>147</v>
      </c>
      <c r="E88" s="41">
        <v>5000.0</v>
      </c>
      <c r="F88" s="42">
        <v>50000.0</v>
      </c>
      <c r="G88" s="40" t="s">
        <v>144</v>
      </c>
      <c r="H88" s="43" t="s">
        <v>148</v>
      </c>
      <c r="I88" s="43">
        <v>10.0</v>
      </c>
      <c r="J88" s="43">
        <v>0.0</v>
      </c>
      <c r="K88" s="43">
        <v>0.0</v>
      </c>
      <c r="L88" s="38"/>
      <c r="M88" s="38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</row>
    <row r="89" ht="15.75" customHeight="1">
      <c r="A89" s="38"/>
      <c r="B89" s="38"/>
      <c r="C89" s="39" t="s">
        <v>201</v>
      </c>
      <c r="D89" s="40" t="s">
        <v>147</v>
      </c>
      <c r="E89" s="41">
        <v>7000.0</v>
      </c>
      <c r="F89" s="42">
        <v>70000.0</v>
      </c>
      <c r="G89" s="40" t="s">
        <v>144</v>
      </c>
      <c r="H89" s="43" t="s">
        <v>148</v>
      </c>
      <c r="I89" s="43">
        <v>10.0</v>
      </c>
      <c r="J89" s="43">
        <v>0.0</v>
      </c>
      <c r="K89" s="43">
        <v>0.0</v>
      </c>
      <c r="L89" s="38"/>
      <c r="M89" s="38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</row>
    <row r="90" ht="15.75" customHeight="1">
      <c r="A90" s="38"/>
      <c r="B90" s="38"/>
      <c r="C90" s="39" t="s">
        <v>202</v>
      </c>
      <c r="D90" s="57" t="s">
        <v>203</v>
      </c>
      <c r="E90" s="58">
        <v>15000.0</v>
      </c>
      <c r="F90" s="59">
        <f>E90*3</f>
        <v>45000</v>
      </c>
      <c r="G90" s="40" t="s">
        <v>144</v>
      </c>
      <c r="H90" s="43" t="s">
        <v>148</v>
      </c>
      <c r="I90" s="43">
        <v>1.0</v>
      </c>
      <c r="J90" s="43">
        <v>1.0</v>
      </c>
      <c r="K90" s="43">
        <v>1.0</v>
      </c>
      <c r="L90" s="38"/>
      <c r="M90" s="38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</row>
    <row r="91" ht="15.75" customHeight="1">
      <c r="A91" s="38"/>
      <c r="B91" s="38"/>
      <c r="C91" s="56" t="s">
        <v>204</v>
      </c>
      <c r="D91" s="57" t="s">
        <v>205</v>
      </c>
      <c r="E91" s="58">
        <v>500.0</v>
      </c>
      <c r="F91" s="59">
        <v>1000.0</v>
      </c>
      <c r="G91" s="40" t="s">
        <v>144</v>
      </c>
      <c r="H91" s="43" t="s">
        <v>148</v>
      </c>
      <c r="I91" s="43"/>
      <c r="J91" s="43"/>
      <c r="K91" s="43"/>
      <c r="L91" s="38"/>
      <c r="M91" s="38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</row>
    <row r="92" ht="15.75" customHeight="1">
      <c r="A92" s="38"/>
      <c r="B92" s="38"/>
      <c r="C92" s="56" t="s">
        <v>206</v>
      </c>
      <c r="D92" s="57" t="s">
        <v>205</v>
      </c>
      <c r="E92" s="58">
        <v>1000.0</v>
      </c>
      <c r="F92" s="59">
        <v>2000.0</v>
      </c>
      <c r="G92" s="40" t="s">
        <v>144</v>
      </c>
      <c r="H92" s="43" t="s">
        <v>148</v>
      </c>
      <c r="I92" s="43">
        <v>1.0</v>
      </c>
      <c r="J92" s="43">
        <v>1.0</v>
      </c>
      <c r="K92" s="43">
        <v>0.0</v>
      </c>
      <c r="L92" s="38"/>
      <c r="M92" s="38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</row>
    <row r="93" ht="15.75" customHeight="1">
      <c r="A93" s="38"/>
      <c r="B93" s="38"/>
      <c r="C93" s="56" t="s">
        <v>207</v>
      </c>
      <c r="D93" s="57" t="s">
        <v>208</v>
      </c>
      <c r="E93" s="58">
        <v>1500.0</v>
      </c>
      <c r="F93" s="59">
        <v>3000.0</v>
      </c>
      <c r="G93" s="40" t="s">
        <v>144</v>
      </c>
      <c r="H93" s="43" t="s">
        <v>148</v>
      </c>
      <c r="I93" s="43">
        <v>1.0</v>
      </c>
      <c r="J93" s="43">
        <v>1.0</v>
      </c>
      <c r="K93" s="43">
        <v>0.0</v>
      </c>
      <c r="L93" s="38"/>
      <c r="M93" s="38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</row>
    <row r="94" ht="15.75" customHeight="1">
      <c r="A94" s="38"/>
      <c r="B94" s="38"/>
      <c r="C94" s="56" t="s">
        <v>209</v>
      </c>
      <c r="D94" s="57" t="s">
        <v>205</v>
      </c>
      <c r="E94" s="58">
        <v>1000.0</v>
      </c>
      <c r="F94" s="59">
        <v>2000.0</v>
      </c>
      <c r="G94" s="40" t="s">
        <v>144</v>
      </c>
      <c r="H94" s="43" t="s">
        <v>148</v>
      </c>
      <c r="I94" s="43">
        <v>1.0</v>
      </c>
      <c r="J94" s="43">
        <v>1.0</v>
      </c>
      <c r="K94" s="43">
        <v>0.0</v>
      </c>
      <c r="L94" s="38"/>
      <c r="M94" s="38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</row>
    <row r="95" ht="15.75" customHeight="1">
      <c r="A95" s="38"/>
      <c r="B95" s="38"/>
      <c r="C95" s="56" t="s">
        <v>210</v>
      </c>
      <c r="D95" s="57" t="s">
        <v>205</v>
      </c>
      <c r="E95" s="38">
        <v>800.0</v>
      </c>
      <c r="F95" s="38">
        <v>1600.0</v>
      </c>
      <c r="G95" s="40" t="s">
        <v>144</v>
      </c>
      <c r="H95" s="43" t="s">
        <v>148</v>
      </c>
      <c r="I95" s="43">
        <v>1.0</v>
      </c>
      <c r="J95" s="43">
        <v>1.0</v>
      </c>
      <c r="K95" s="43">
        <v>0.0</v>
      </c>
      <c r="L95" s="38"/>
      <c r="M95" s="38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</row>
    <row r="96" ht="15.75" customHeight="1">
      <c r="A96" s="38"/>
      <c r="B96" s="38"/>
      <c r="C96" s="56" t="s">
        <v>211</v>
      </c>
      <c r="D96" s="57" t="s">
        <v>205</v>
      </c>
      <c r="E96" s="58">
        <v>1500.0</v>
      </c>
      <c r="F96" s="59">
        <v>3000.0</v>
      </c>
      <c r="G96" s="40" t="s">
        <v>144</v>
      </c>
      <c r="H96" s="43" t="s">
        <v>148</v>
      </c>
      <c r="I96" s="43">
        <v>1.0</v>
      </c>
      <c r="J96" s="43">
        <v>1.0</v>
      </c>
      <c r="K96" s="43">
        <v>0.0</v>
      </c>
      <c r="L96" s="38"/>
      <c r="M96" s="38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</row>
    <row r="97" ht="15.75" customHeight="1">
      <c r="A97" s="38"/>
      <c r="B97" s="38"/>
      <c r="C97" s="56" t="s">
        <v>212</v>
      </c>
      <c r="D97" s="57" t="s">
        <v>205</v>
      </c>
      <c r="E97" s="58">
        <v>800.0</v>
      </c>
      <c r="F97" s="59">
        <v>1600.0</v>
      </c>
      <c r="G97" s="40" t="s">
        <v>144</v>
      </c>
      <c r="H97" s="43" t="s">
        <v>148</v>
      </c>
      <c r="I97" s="43">
        <v>1.0</v>
      </c>
      <c r="J97" s="43">
        <v>1.0</v>
      </c>
      <c r="K97" s="43">
        <v>0.0</v>
      </c>
      <c r="L97" s="38"/>
      <c r="M97" s="38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</row>
    <row r="98" ht="15.75" customHeight="1">
      <c r="A98" s="38"/>
      <c r="B98" s="38"/>
      <c r="C98" s="56" t="s">
        <v>213</v>
      </c>
      <c r="D98" s="57" t="s">
        <v>214</v>
      </c>
      <c r="E98" s="58">
        <v>3000.0</v>
      </c>
      <c r="F98" s="59">
        <v>3000.0</v>
      </c>
      <c r="G98" s="40" t="s">
        <v>144</v>
      </c>
      <c r="H98" s="43" t="s">
        <v>148</v>
      </c>
      <c r="I98" s="43">
        <v>1.0</v>
      </c>
      <c r="J98" s="43">
        <v>0.0</v>
      </c>
      <c r="K98" s="43">
        <v>0.0</v>
      </c>
      <c r="L98" s="38"/>
      <c r="M98" s="38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</row>
    <row r="99" ht="15.75" customHeight="1">
      <c r="A99" s="38"/>
      <c r="B99" s="38"/>
      <c r="C99" s="56" t="s">
        <v>215</v>
      </c>
      <c r="D99" s="57" t="s">
        <v>205</v>
      </c>
      <c r="E99" s="58">
        <v>500.0</v>
      </c>
      <c r="F99" s="59">
        <v>1000.0</v>
      </c>
      <c r="G99" s="40" t="s">
        <v>144</v>
      </c>
      <c r="H99" s="43" t="s">
        <v>148</v>
      </c>
      <c r="I99" s="43">
        <v>1.0</v>
      </c>
      <c r="J99" s="43">
        <v>1.0</v>
      </c>
      <c r="K99" s="43">
        <v>0.0</v>
      </c>
      <c r="L99" s="38"/>
      <c r="M99" s="38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</row>
    <row r="100" ht="15.75" customHeight="1">
      <c r="A100" s="38"/>
      <c r="B100" s="38"/>
      <c r="C100" s="56" t="s">
        <v>216</v>
      </c>
      <c r="D100" s="57" t="s">
        <v>217</v>
      </c>
      <c r="E100" s="58">
        <v>600.0</v>
      </c>
      <c r="F100" s="59">
        <v>15000.0</v>
      </c>
      <c r="G100" s="40" t="s">
        <v>144</v>
      </c>
      <c r="H100" s="43" t="s">
        <v>148</v>
      </c>
      <c r="I100" s="43">
        <v>25.0</v>
      </c>
      <c r="J100" s="43">
        <v>0.0</v>
      </c>
      <c r="K100" s="43">
        <v>0.0</v>
      </c>
      <c r="L100" s="38"/>
      <c r="M100" s="38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</row>
    <row r="101" ht="15.75" customHeight="1">
      <c r="A101" s="38"/>
      <c r="B101" s="38"/>
      <c r="C101" s="56" t="s">
        <v>218</v>
      </c>
      <c r="D101" s="57" t="s">
        <v>219</v>
      </c>
      <c r="E101" s="58">
        <v>450.0</v>
      </c>
      <c r="F101" s="59">
        <v>33750.0</v>
      </c>
      <c r="G101" s="40" t="s">
        <v>144</v>
      </c>
      <c r="H101" s="43" t="s">
        <v>148</v>
      </c>
      <c r="I101" s="43">
        <v>75.0</v>
      </c>
      <c r="J101" s="43">
        <v>0.0</v>
      </c>
      <c r="K101" s="43">
        <v>0.0</v>
      </c>
      <c r="L101" s="38"/>
      <c r="M101" s="38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</row>
    <row r="102" ht="15.75" customHeight="1">
      <c r="A102" s="38"/>
      <c r="B102" s="38"/>
      <c r="C102" s="56" t="s">
        <v>220</v>
      </c>
      <c r="D102" s="57" t="s">
        <v>217</v>
      </c>
      <c r="E102" s="58">
        <v>450.0</v>
      </c>
      <c r="F102" s="59">
        <v>11250.0</v>
      </c>
      <c r="G102" s="40" t="s">
        <v>144</v>
      </c>
      <c r="H102" s="43" t="s">
        <v>148</v>
      </c>
      <c r="I102" s="43">
        <v>25.0</v>
      </c>
      <c r="J102" s="43">
        <v>0.0</v>
      </c>
      <c r="K102" s="43">
        <v>0.0</v>
      </c>
      <c r="L102" s="38"/>
      <c r="M102" s="38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</row>
    <row r="103" ht="15.75" customHeight="1">
      <c r="A103" s="38"/>
      <c r="B103" s="38"/>
      <c r="C103" s="39" t="s">
        <v>221</v>
      </c>
      <c r="D103" s="57" t="s">
        <v>147</v>
      </c>
      <c r="E103" s="58">
        <v>1200.0</v>
      </c>
      <c r="F103" s="59">
        <v>12000.0</v>
      </c>
      <c r="G103" s="40" t="s">
        <v>144</v>
      </c>
      <c r="H103" s="43" t="s">
        <v>148</v>
      </c>
      <c r="I103" s="43">
        <v>10.0</v>
      </c>
      <c r="J103" s="43">
        <v>0.0</v>
      </c>
      <c r="K103" s="43">
        <v>0.0</v>
      </c>
      <c r="L103" s="38"/>
      <c r="M103" s="38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</row>
    <row r="104" ht="15.75" customHeight="1">
      <c r="A104" s="38"/>
      <c r="B104" s="38"/>
      <c r="C104" s="56" t="s">
        <v>222</v>
      </c>
      <c r="D104" s="57" t="s">
        <v>223</v>
      </c>
      <c r="E104" s="58">
        <v>900.0</v>
      </c>
      <c r="F104" s="59">
        <v>9000.0</v>
      </c>
      <c r="G104" s="40" t="s">
        <v>144</v>
      </c>
      <c r="H104" s="43" t="s">
        <v>148</v>
      </c>
      <c r="I104" s="43">
        <v>10.0</v>
      </c>
      <c r="J104" s="43">
        <v>0.0</v>
      </c>
      <c r="K104" s="43">
        <v>0.0</v>
      </c>
      <c r="L104" s="38"/>
      <c r="M104" s="38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</row>
    <row r="105" ht="15.75" customHeight="1">
      <c r="A105" s="38"/>
      <c r="B105" s="38"/>
      <c r="C105" s="56" t="s">
        <v>224</v>
      </c>
      <c r="D105" s="57" t="s">
        <v>223</v>
      </c>
      <c r="E105" s="58">
        <v>600.0</v>
      </c>
      <c r="F105" s="59">
        <v>6000.0</v>
      </c>
      <c r="G105" s="40" t="s">
        <v>144</v>
      </c>
      <c r="H105" s="43" t="s">
        <v>148</v>
      </c>
      <c r="I105" s="43">
        <v>10.0</v>
      </c>
      <c r="J105" s="43">
        <v>0.0</v>
      </c>
      <c r="K105" s="43">
        <v>0.0</v>
      </c>
      <c r="L105" s="38"/>
      <c r="M105" s="38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</row>
    <row r="106" ht="15.75" customHeight="1">
      <c r="A106" s="38"/>
      <c r="B106" s="38"/>
      <c r="C106" s="56" t="s">
        <v>225</v>
      </c>
      <c r="D106" s="57" t="s">
        <v>226</v>
      </c>
      <c r="E106" s="58">
        <v>2500.0</v>
      </c>
      <c r="F106" s="59">
        <v>12500.0</v>
      </c>
      <c r="G106" s="40" t="s">
        <v>144</v>
      </c>
      <c r="H106" s="43" t="s">
        <v>148</v>
      </c>
      <c r="I106" s="43">
        <v>5.0</v>
      </c>
      <c r="J106" s="43">
        <v>0.0</v>
      </c>
      <c r="K106" s="43">
        <v>0.0</v>
      </c>
      <c r="L106" s="38"/>
      <c r="M106" s="38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</row>
    <row r="107" ht="15.75" customHeight="1">
      <c r="A107" s="38"/>
      <c r="B107" s="38"/>
      <c r="C107" s="56" t="s">
        <v>227</v>
      </c>
      <c r="D107" s="57" t="s">
        <v>228</v>
      </c>
      <c r="E107" s="58">
        <v>2000.0</v>
      </c>
      <c r="F107" s="59">
        <v>20000.0</v>
      </c>
      <c r="G107" s="40" t="s">
        <v>144</v>
      </c>
      <c r="H107" s="43" t="s">
        <v>148</v>
      </c>
      <c r="I107" s="43">
        <v>10.0</v>
      </c>
      <c r="J107" s="43">
        <v>0.0</v>
      </c>
      <c r="K107" s="43">
        <v>0.0</v>
      </c>
      <c r="L107" s="38"/>
      <c r="M107" s="38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</row>
    <row r="108" ht="15.75" customHeight="1">
      <c r="A108" s="52" t="s">
        <v>229</v>
      </c>
      <c r="B108" s="60"/>
      <c r="C108" s="61" t="s">
        <v>230</v>
      </c>
      <c r="D108" s="33"/>
      <c r="E108" s="35"/>
      <c r="F108" s="36"/>
      <c r="G108" s="33"/>
      <c r="H108" s="33"/>
      <c r="I108" s="33"/>
      <c r="J108" s="33"/>
      <c r="K108" s="33"/>
      <c r="L108" s="33"/>
      <c r="M108" s="33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</row>
    <row r="109" ht="15.75" customHeight="1">
      <c r="A109" s="38"/>
      <c r="B109" s="38"/>
      <c r="C109" s="56" t="s">
        <v>231</v>
      </c>
      <c r="D109" s="57" t="s">
        <v>114</v>
      </c>
      <c r="E109" s="58">
        <v>50000.0</v>
      </c>
      <c r="F109" s="59">
        <v>50000.0</v>
      </c>
      <c r="G109" s="40" t="s">
        <v>144</v>
      </c>
      <c r="H109" s="43" t="s">
        <v>148</v>
      </c>
      <c r="I109" s="43">
        <v>1.0</v>
      </c>
      <c r="J109" s="43">
        <v>0.0</v>
      </c>
      <c r="K109" s="43">
        <v>0.0</v>
      </c>
      <c r="L109" s="38"/>
      <c r="M109" s="38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</row>
    <row r="110" ht="15.75" customHeight="1">
      <c r="A110" s="38"/>
      <c r="B110" s="39"/>
      <c r="C110" s="62" t="s">
        <v>232</v>
      </c>
      <c r="D110" s="63" t="s">
        <v>126</v>
      </c>
      <c r="E110" s="58">
        <v>2000.0</v>
      </c>
      <c r="F110" s="59">
        <v>10000.0</v>
      </c>
      <c r="G110" s="40" t="s">
        <v>144</v>
      </c>
      <c r="H110" s="43" t="s">
        <v>148</v>
      </c>
      <c r="I110" s="43"/>
      <c r="J110" s="43"/>
      <c r="K110" s="43"/>
      <c r="L110" s="38"/>
      <c r="M110" s="38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</row>
    <row r="111" ht="15.75" customHeight="1">
      <c r="A111" s="38"/>
      <c r="B111" s="39"/>
      <c r="C111" s="56" t="s">
        <v>233</v>
      </c>
      <c r="D111" s="63" t="s">
        <v>86</v>
      </c>
      <c r="E111" s="58">
        <v>500.0</v>
      </c>
      <c r="F111" s="59">
        <v>25000.0</v>
      </c>
      <c r="G111" s="40" t="s">
        <v>144</v>
      </c>
      <c r="H111" s="43" t="s">
        <v>148</v>
      </c>
      <c r="I111" s="43"/>
      <c r="J111" s="43"/>
      <c r="K111" s="43"/>
      <c r="L111" s="38"/>
      <c r="M111" s="38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</row>
    <row r="112" ht="15.75" customHeight="1">
      <c r="A112" s="38"/>
      <c r="B112" s="39"/>
      <c r="C112" s="56" t="s">
        <v>234</v>
      </c>
      <c r="D112" s="57" t="s">
        <v>123</v>
      </c>
      <c r="E112" s="58">
        <v>6000.0</v>
      </c>
      <c r="F112" s="59">
        <f>E112*10</f>
        <v>60000</v>
      </c>
      <c r="G112" s="40" t="s">
        <v>144</v>
      </c>
      <c r="H112" s="43" t="s">
        <v>148</v>
      </c>
      <c r="I112" s="43">
        <v>10.0</v>
      </c>
      <c r="J112" s="43">
        <v>0.0</v>
      </c>
      <c r="K112" s="43">
        <v>0.0</v>
      </c>
      <c r="L112" s="38"/>
      <c r="M112" s="38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</row>
    <row r="113" ht="15.75" customHeight="1">
      <c r="A113" s="38"/>
      <c r="B113" s="39"/>
      <c r="C113" s="56" t="s">
        <v>235</v>
      </c>
      <c r="D113" s="57" t="s">
        <v>107</v>
      </c>
      <c r="E113" s="58">
        <f>F113/25</f>
        <v>800</v>
      </c>
      <c r="F113" s="59">
        <v>20000.0</v>
      </c>
      <c r="G113" s="40" t="s">
        <v>144</v>
      </c>
      <c r="H113" s="43" t="s">
        <v>148</v>
      </c>
      <c r="I113" s="43">
        <v>25.0</v>
      </c>
      <c r="J113" s="43">
        <v>0.0</v>
      </c>
      <c r="K113" s="43">
        <v>0.0</v>
      </c>
      <c r="L113" s="38"/>
      <c r="M113" s="38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</row>
    <row r="114" ht="15.75" customHeight="1">
      <c r="A114" s="38"/>
      <c r="B114" s="39"/>
      <c r="C114" s="56" t="s">
        <v>236</v>
      </c>
      <c r="D114" s="57" t="s">
        <v>237</v>
      </c>
      <c r="E114" s="58">
        <f t="shared" ref="E114:E116" si="6">F114/10</f>
        <v>750</v>
      </c>
      <c r="F114" s="59">
        <v>7500.0</v>
      </c>
      <c r="G114" s="40" t="s">
        <v>144</v>
      </c>
      <c r="H114" s="43" t="s">
        <v>148</v>
      </c>
      <c r="I114" s="43">
        <v>10.0</v>
      </c>
      <c r="J114" s="43">
        <v>0.0</v>
      </c>
      <c r="K114" s="43">
        <v>0.0</v>
      </c>
      <c r="L114" s="38"/>
      <c r="M114" s="38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</row>
    <row r="115" ht="15.75" customHeight="1">
      <c r="A115" s="38"/>
      <c r="B115" s="39"/>
      <c r="C115" s="56" t="s">
        <v>238</v>
      </c>
      <c r="D115" s="57" t="s">
        <v>237</v>
      </c>
      <c r="E115" s="58">
        <f t="shared" si="6"/>
        <v>1050</v>
      </c>
      <c r="F115" s="59">
        <v>10500.0</v>
      </c>
      <c r="G115" s="40" t="s">
        <v>144</v>
      </c>
      <c r="H115" s="43" t="s">
        <v>148</v>
      </c>
      <c r="I115" s="43">
        <v>10.0</v>
      </c>
      <c r="J115" s="43">
        <v>0.0</v>
      </c>
      <c r="K115" s="43">
        <v>0.0</v>
      </c>
      <c r="L115" s="38"/>
      <c r="M115" s="38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</row>
    <row r="116" ht="15.75" customHeight="1">
      <c r="A116" s="38"/>
      <c r="B116" s="39"/>
      <c r="C116" s="56" t="s">
        <v>239</v>
      </c>
      <c r="D116" s="57" t="s">
        <v>237</v>
      </c>
      <c r="E116" s="58">
        <f t="shared" si="6"/>
        <v>1350</v>
      </c>
      <c r="F116" s="59">
        <v>13500.0</v>
      </c>
      <c r="G116" s="40" t="s">
        <v>144</v>
      </c>
      <c r="H116" s="43" t="s">
        <v>148</v>
      </c>
      <c r="I116" s="43">
        <v>10.0</v>
      </c>
      <c r="J116" s="43">
        <v>0.0</v>
      </c>
      <c r="K116" s="43">
        <v>0.0</v>
      </c>
      <c r="L116" s="38"/>
      <c r="M116" s="38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</row>
    <row r="117" ht="15.75" customHeight="1">
      <c r="A117" s="38"/>
      <c r="B117" s="39"/>
      <c r="C117" s="56" t="s">
        <v>240</v>
      </c>
      <c r="D117" s="57" t="s">
        <v>241</v>
      </c>
      <c r="E117" s="58">
        <v>1800.0</v>
      </c>
      <c r="F117" s="59">
        <f>E117*5</f>
        <v>9000</v>
      </c>
      <c r="G117" s="40" t="s">
        <v>144</v>
      </c>
      <c r="H117" s="43" t="s">
        <v>148</v>
      </c>
      <c r="I117" s="43">
        <v>5.0</v>
      </c>
      <c r="J117" s="43">
        <v>0.0</v>
      </c>
      <c r="K117" s="43">
        <v>0.0</v>
      </c>
      <c r="L117" s="38"/>
      <c r="M117" s="38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</row>
    <row r="118" ht="15.75" customHeight="1">
      <c r="A118" s="38"/>
      <c r="B118" s="39"/>
      <c r="C118" s="56" t="s">
        <v>242</v>
      </c>
      <c r="D118" s="57" t="s">
        <v>243</v>
      </c>
      <c r="E118" s="58">
        <v>900.0</v>
      </c>
      <c r="F118" s="59">
        <v>54000.0</v>
      </c>
      <c r="G118" s="40" t="s">
        <v>144</v>
      </c>
      <c r="H118" s="43" t="s">
        <v>148</v>
      </c>
      <c r="I118" s="43">
        <v>10.0</v>
      </c>
      <c r="J118" s="43">
        <v>0.0</v>
      </c>
      <c r="K118" s="43">
        <v>0.0</v>
      </c>
      <c r="L118" s="38"/>
      <c r="M118" s="38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</row>
    <row r="119" ht="15.75" customHeight="1">
      <c r="A119" s="38"/>
      <c r="B119" s="39"/>
      <c r="C119" s="56" t="s">
        <v>244</v>
      </c>
      <c r="D119" s="57" t="s">
        <v>243</v>
      </c>
      <c r="E119" s="58">
        <v>4000.0</v>
      </c>
      <c r="F119" s="59">
        <v>240000.0</v>
      </c>
      <c r="G119" s="40" t="s">
        <v>144</v>
      </c>
      <c r="H119" s="43" t="s">
        <v>148</v>
      </c>
      <c r="I119" s="43">
        <v>25.0</v>
      </c>
      <c r="J119" s="43">
        <v>0.0</v>
      </c>
      <c r="K119" s="43">
        <v>0.0</v>
      </c>
      <c r="L119" s="38"/>
      <c r="M119" s="38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</row>
    <row r="120" ht="15.75" customHeight="1">
      <c r="A120" s="38"/>
      <c r="B120" s="39"/>
      <c r="C120" s="56" t="s">
        <v>245</v>
      </c>
      <c r="D120" s="57" t="s">
        <v>243</v>
      </c>
      <c r="E120" s="58">
        <v>5000.0</v>
      </c>
      <c r="F120" s="59">
        <v>300000.0</v>
      </c>
      <c r="G120" s="40" t="s">
        <v>144</v>
      </c>
      <c r="H120" s="43" t="s">
        <v>148</v>
      </c>
      <c r="I120" s="43">
        <v>10.0</v>
      </c>
      <c r="J120" s="43">
        <v>0.0</v>
      </c>
      <c r="K120" s="43">
        <v>0.0</v>
      </c>
      <c r="L120" s="38"/>
      <c r="M120" s="38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</row>
    <row r="121" ht="15.75" customHeight="1">
      <c r="A121" s="38"/>
      <c r="B121" s="39"/>
      <c r="C121" s="56" t="s">
        <v>246</v>
      </c>
      <c r="D121" s="57" t="s">
        <v>243</v>
      </c>
      <c r="E121" s="58">
        <v>7000.0</v>
      </c>
      <c r="F121" s="59">
        <v>420000.0</v>
      </c>
      <c r="G121" s="40" t="s">
        <v>144</v>
      </c>
      <c r="H121" s="43" t="s">
        <v>148</v>
      </c>
      <c r="I121" s="43">
        <v>25.0</v>
      </c>
      <c r="J121" s="43">
        <v>0.0</v>
      </c>
      <c r="K121" s="43">
        <v>0.0</v>
      </c>
      <c r="L121" s="38"/>
      <c r="M121" s="38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</row>
    <row r="122" ht="15.75" customHeight="1">
      <c r="A122" s="38"/>
      <c r="B122" s="39"/>
      <c r="C122" s="64" t="s">
        <v>247</v>
      </c>
      <c r="D122" s="57" t="s">
        <v>86</v>
      </c>
      <c r="E122" s="58">
        <v>5000.0</v>
      </c>
      <c r="F122" s="59">
        <v>25000.0</v>
      </c>
      <c r="G122" s="40" t="s">
        <v>144</v>
      </c>
      <c r="H122" s="43" t="s">
        <v>148</v>
      </c>
      <c r="I122" s="43">
        <v>1.0</v>
      </c>
      <c r="J122" s="43">
        <v>0.0</v>
      </c>
      <c r="K122" s="43">
        <v>0.0</v>
      </c>
      <c r="L122" s="38"/>
      <c r="M122" s="38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</row>
    <row r="123" ht="15.75" customHeight="1">
      <c r="A123" s="38"/>
      <c r="B123" s="39"/>
      <c r="C123" s="56" t="s">
        <v>248</v>
      </c>
      <c r="D123" s="57" t="s">
        <v>123</v>
      </c>
      <c r="E123" s="58">
        <f>F123/10</f>
        <v>1500</v>
      </c>
      <c r="F123" s="59">
        <v>15000.0</v>
      </c>
      <c r="G123" s="40" t="s">
        <v>144</v>
      </c>
      <c r="H123" s="43" t="s">
        <v>148</v>
      </c>
      <c r="I123" s="43">
        <v>10.0</v>
      </c>
      <c r="J123" s="43">
        <v>0.0</v>
      </c>
      <c r="K123" s="43">
        <v>0.0</v>
      </c>
      <c r="L123" s="38"/>
      <c r="M123" s="38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</row>
    <row r="124" ht="15.75" customHeight="1">
      <c r="A124" s="38"/>
      <c r="B124" s="39"/>
      <c r="C124" s="56" t="s">
        <v>249</v>
      </c>
      <c r="D124" s="57" t="s">
        <v>119</v>
      </c>
      <c r="E124" s="58">
        <f>F124/20</f>
        <v>8000</v>
      </c>
      <c r="F124" s="59">
        <v>160000.0</v>
      </c>
      <c r="G124" s="40" t="s">
        <v>144</v>
      </c>
      <c r="H124" s="43" t="s">
        <v>148</v>
      </c>
      <c r="I124" s="43">
        <v>20.0</v>
      </c>
      <c r="J124" s="43">
        <v>0.0</v>
      </c>
      <c r="K124" s="43">
        <v>0.0</v>
      </c>
      <c r="L124" s="38"/>
      <c r="M124" s="38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</row>
    <row r="125" ht="15.75" customHeight="1">
      <c r="A125" s="38"/>
      <c r="B125" s="39"/>
      <c r="C125" s="56" t="s">
        <v>250</v>
      </c>
      <c r="D125" s="57" t="s">
        <v>126</v>
      </c>
      <c r="E125" s="58">
        <v>600.0</v>
      </c>
      <c r="F125" s="59">
        <v>3000.0</v>
      </c>
      <c r="G125" s="40" t="s">
        <v>144</v>
      </c>
      <c r="H125" s="43" t="s">
        <v>148</v>
      </c>
      <c r="I125" s="43">
        <v>2.0</v>
      </c>
      <c r="J125" s="43">
        <v>2.0</v>
      </c>
      <c r="K125" s="43">
        <v>1.0</v>
      </c>
      <c r="L125" s="38"/>
      <c r="M125" s="38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</row>
    <row r="126" ht="15.75" customHeight="1">
      <c r="A126" s="38"/>
      <c r="B126" s="39"/>
      <c r="C126" s="56" t="s">
        <v>251</v>
      </c>
      <c r="D126" s="57" t="s">
        <v>252</v>
      </c>
      <c r="E126" s="58">
        <v>500.0</v>
      </c>
      <c r="F126" s="59">
        <v>7500.0</v>
      </c>
      <c r="G126" s="40" t="s">
        <v>144</v>
      </c>
      <c r="H126" s="43" t="s">
        <v>148</v>
      </c>
      <c r="I126" s="43">
        <v>5.0</v>
      </c>
      <c r="J126" s="43">
        <v>5.0</v>
      </c>
      <c r="K126" s="43">
        <v>5.0</v>
      </c>
      <c r="L126" s="38"/>
      <c r="M126" s="38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</row>
    <row r="127" ht="15.75" customHeight="1">
      <c r="A127" s="38"/>
      <c r="B127" s="39"/>
      <c r="C127" s="56" t="s">
        <v>253</v>
      </c>
      <c r="D127" s="57" t="s">
        <v>252</v>
      </c>
      <c r="E127" s="58">
        <v>100.0</v>
      </c>
      <c r="F127" s="59">
        <v>1500.0</v>
      </c>
      <c r="G127" s="40" t="s">
        <v>144</v>
      </c>
      <c r="H127" s="43" t="s">
        <v>148</v>
      </c>
      <c r="I127" s="43">
        <v>5.0</v>
      </c>
      <c r="J127" s="43">
        <v>5.0</v>
      </c>
      <c r="K127" s="43">
        <v>5.0</v>
      </c>
      <c r="L127" s="38"/>
      <c r="M127" s="38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</row>
    <row r="128" ht="15.75" customHeight="1">
      <c r="A128" s="38"/>
      <c r="B128" s="39"/>
      <c r="C128" s="56" t="s">
        <v>254</v>
      </c>
      <c r="D128" s="57" t="s">
        <v>252</v>
      </c>
      <c r="E128" s="58">
        <v>100.0</v>
      </c>
      <c r="F128" s="59">
        <v>1500.0</v>
      </c>
      <c r="G128" s="40" t="s">
        <v>144</v>
      </c>
      <c r="H128" s="43" t="s">
        <v>148</v>
      </c>
      <c r="I128" s="43">
        <v>5.0</v>
      </c>
      <c r="J128" s="43">
        <v>5.0</v>
      </c>
      <c r="K128" s="43">
        <v>5.0</v>
      </c>
      <c r="L128" s="38"/>
      <c r="M128" s="38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</row>
    <row r="129" ht="15.75" customHeight="1">
      <c r="A129" s="38"/>
      <c r="B129" s="39"/>
      <c r="C129" s="56" t="s">
        <v>255</v>
      </c>
      <c r="D129" s="57" t="s">
        <v>252</v>
      </c>
      <c r="E129" s="58">
        <v>150.0</v>
      </c>
      <c r="F129" s="59">
        <v>1500.0</v>
      </c>
      <c r="G129" s="40" t="s">
        <v>144</v>
      </c>
      <c r="H129" s="43" t="s">
        <v>148</v>
      </c>
      <c r="I129" s="43">
        <v>5.0</v>
      </c>
      <c r="J129" s="43">
        <v>5.0</v>
      </c>
      <c r="K129" s="43">
        <v>5.0</v>
      </c>
      <c r="L129" s="38"/>
      <c r="M129" s="38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</row>
    <row r="130" ht="15.75" customHeight="1">
      <c r="A130" s="38"/>
      <c r="B130" s="39"/>
      <c r="C130" s="56" t="s">
        <v>256</v>
      </c>
      <c r="D130" s="57" t="s">
        <v>252</v>
      </c>
      <c r="E130" s="58">
        <v>20000.0</v>
      </c>
      <c r="F130" s="59">
        <v>300000.0</v>
      </c>
      <c r="G130" s="40" t="s">
        <v>144</v>
      </c>
      <c r="H130" s="43" t="s">
        <v>148</v>
      </c>
      <c r="I130" s="43">
        <v>15.0</v>
      </c>
      <c r="J130" s="43">
        <v>0.0</v>
      </c>
      <c r="K130" s="43">
        <v>0.0</v>
      </c>
      <c r="L130" s="38"/>
      <c r="M130" s="38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</row>
    <row r="131" ht="15.75" customHeight="1">
      <c r="A131" s="38"/>
      <c r="B131" s="39"/>
      <c r="C131" s="56" t="s">
        <v>257</v>
      </c>
      <c r="D131" s="57" t="s">
        <v>258</v>
      </c>
      <c r="E131" s="58">
        <v>1000.0</v>
      </c>
      <c r="F131" s="59">
        <f>E131*25</f>
        <v>25000</v>
      </c>
      <c r="G131" s="40" t="s">
        <v>144</v>
      </c>
      <c r="H131" s="43" t="s">
        <v>148</v>
      </c>
      <c r="I131" s="43">
        <v>10.0</v>
      </c>
      <c r="J131" s="43">
        <v>10.0</v>
      </c>
      <c r="K131" s="43">
        <v>5.0</v>
      </c>
      <c r="L131" s="38"/>
      <c r="M131" s="38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</row>
    <row r="132" ht="15.75" customHeight="1">
      <c r="A132" s="38"/>
      <c r="B132" s="39"/>
      <c r="C132" s="56" t="s">
        <v>259</v>
      </c>
      <c r="D132" s="57" t="s">
        <v>80</v>
      </c>
      <c r="E132" s="58">
        <v>50000.0</v>
      </c>
      <c r="F132" s="59">
        <v>5000.0</v>
      </c>
      <c r="G132" s="40" t="s">
        <v>144</v>
      </c>
      <c r="H132" s="43" t="s">
        <v>148</v>
      </c>
      <c r="I132" s="43">
        <v>1.0</v>
      </c>
      <c r="J132" s="43">
        <v>0.0</v>
      </c>
      <c r="K132" s="43">
        <v>0.0</v>
      </c>
      <c r="L132" s="38"/>
      <c r="M132" s="38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</row>
    <row r="133" ht="15.75" customHeight="1">
      <c r="A133" s="38"/>
      <c r="B133" s="39"/>
      <c r="C133" s="56" t="s">
        <v>260</v>
      </c>
      <c r="D133" s="57" t="s">
        <v>84</v>
      </c>
      <c r="E133" s="58">
        <v>1500.0</v>
      </c>
      <c r="F133" s="59">
        <v>3000.0</v>
      </c>
      <c r="G133" s="40" t="s">
        <v>144</v>
      </c>
      <c r="H133" s="43" t="s">
        <v>148</v>
      </c>
      <c r="I133" s="43">
        <v>1.0</v>
      </c>
      <c r="J133" s="43">
        <v>1.0</v>
      </c>
      <c r="K133" s="43">
        <v>0.0</v>
      </c>
      <c r="L133" s="38"/>
      <c r="M133" s="38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</row>
    <row r="134" ht="15.75" customHeight="1">
      <c r="A134" s="38"/>
      <c r="B134" s="39"/>
      <c r="C134" s="56" t="s">
        <v>261</v>
      </c>
      <c r="D134" s="57" t="s">
        <v>80</v>
      </c>
      <c r="E134" s="58">
        <v>2000.0</v>
      </c>
      <c r="F134" s="59">
        <v>2000.0</v>
      </c>
      <c r="G134" s="40" t="s">
        <v>144</v>
      </c>
      <c r="H134" s="43" t="s">
        <v>148</v>
      </c>
      <c r="I134" s="43">
        <v>1.0</v>
      </c>
      <c r="J134" s="43">
        <v>0.0</v>
      </c>
      <c r="K134" s="43">
        <v>0.0</v>
      </c>
      <c r="L134" s="38"/>
      <c r="M134" s="38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</row>
    <row r="135" ht="15.75" customHeight="1">
      <c r="A135" s="38"/>
      <c r="B135" s="39"/>
      <c r="C135" s="56" t="s">
        <v>262</v>
      </c>
      <c r="D135" s="57" t="s">
        <v>80</v>
      </c>
      <c r="E135" s="58">
        <v>3000.0</v>
      </c>
      <c r="F135" s="59">
        <v>3000.0</v>
      </c>
      <c r="G135" s="40" t="s">
        <v>144</v>
      </c>
      <c r="H135" s="43" t="s">
        <v>148</v>
      </c>
      <c r="I135" s="43">
        <v>1.0</v>
      </c>
      <c r="J135" s="43">
        <v>0.0</v>
      </c>
      <c r="K135" s="43">
        <v>0.0</v>
      </c>
      <c r="L135" s="38"/>
      <c r="M135" s="38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</row>
    <row r="136" ht="15.75" customHeight="1">
      <c r="A136" s="38"/>
      <c r="B136" s="39"/>
      <c r="C136" s="56" t="s">
        <v>263</v>
      </c>
      <c r="D136" s="57" t="s">
        <v>105</v>
      </c>
      <c r="E136" s="58">
        <v>100.0</v>
      </c>
      <c r="F136" s="59">
        <v>5000.0</v>
      </c>
      <c r="G136" s="40" t="s">
        <v>144</v>
      </c>
      <c r="H136" s="43" t="s">
        <v>148</v>
      </c>
      <c r="I136" s="43">
        <v>15.0</v>
      </c>
      <c r="J136" s="43">
        <v>15.0</v>
      </c>
      <c r="K136" s="43">
        <v>10.0</v>
      </c>
      <c r="L136" s="38"/>
      <c r="M136" s="38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</row>
    <row r="137" ht="15.75" customHeight="1">
      <c r="A137" s="38"/>
      <c r="B137" s="39"/>
      <c r="C137" s="56" t="s">
        <v>264</v>
      </c>
      <c r="D137" s="57" t="s">
        <v>265</v>
      </c>
      <c r="E137" s="58">
        <v>500.0</v>
      </c>
      <c r="F137" s="59">
        <f>E137*10</f>
        <v>5000</v>
      </c>
      <c r="G137" s="40" t="s">
        <v>144</v>
      </c>
      <c r="H137" s="43" t="s">
        <v>148</v>
      </c>
      <c r="I137" s="43">
        <v>4.0</v>
      </c>
      <c r="J137" s="43">
        <v>3.0</v>
      </c>
      <c r="K137" s="43">
        <v>3.0</v>
      </c>
      <c r="L137" s="38"/>
      <c r="M137" s="38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</row>
    <row r="138" ht="15.75" customHeight="1">
      <c r="A138" s="38"/>
      <c r="B138" s="39"/>
      <c r="C138" s="56" t="s">
        <v>266</v>
      </c>
      <c r="D138" s="57" t="s">
        <v>252</v>
      </c>
      <c r="E138" s="58">
        <f t="shared" ref="E138:E139" si="7">F138/15</f>
        <v>1000</v>
      </c>
      <c r="F138" s="59">
        <v>15000.0</v>
      </c>
      <c r="G138" s="40" t="s">
        <v>144</v>
      </c>
      <c r="H138" s="43" t="s">
        <v>148</v>
      </c>
      <c r="I138" s="43">
        <v>15.0</v>
      </c>
      <c r="J138" s="43">
        <v>0.0</v>
      </c>
      <c r="K138" s="43">
        <v>0.0</v>
      </c>
      <c r="L138" s="38"/>
      <c r="M138" s="38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</row>
    <row r="139" ht="15.75" customHeight="1">
      <c r="A139" s="38"/>
      <c r="B139" s="39"/>
      <c r="C139" s="56" t="s">
        <v>267</v>
      </c>
      <c r="D139" s="57" t="s">
        <v>252</v>
      </c>
      <c r="E139" s="58">
        <f t="shared" si="7"/>
        <v>1000</v>
      </c>
      <c r="F139" s="59">
        <v>15000.0</v>
      </c>
      <c r="G139" s="40" t="s">
        <v>144</v>
      </c>
      <c r="H139" s="43" t="s">
        <v>148</v>
      </c>
      <c r="I139" s="43">
        <v>15.0</v>
      </c>
      <c r="J139" s="43">
        <v>0.0</v>
      </c>
      <c r="K139" s="43">
        <v>0.0</v>
      </c>
      <c r="L139" s="38"/>
      <c r="M139" s="38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</row>
    <row r="140" ht="15.75" customHeight="1">
      <c r="A140" s="38"/>
      <c r="B140" s="39"/>
      <c r="C140" s="56" t="s">
        <v>268</v>
      </c>
      <c r="D140" s="57" t="s">
        <v>119</v>
      </c>
      <c r="E140" s="58">
        <v>5000.0</v>
      </c>
      <c r="F140" s="59">
        <v>100000.0</v>
      </c>
      <c r="G140" s="40" t="s">
        <v>144</v>
      </c>
      <c r="H140" s="43" t="s">
        <v>148</v>
      </c>
      <c r="I140" s="43">
        <v>10.0</v>
      </c>
      <c r="J140" s="43">
        <v>0.0</v>
      </c>
      <c r="K140" s="43">
        <v>0.0</v>
      </c>
      <c r="L140" s="38"/>
      <c r="M140" s="38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</row>
    <row r="141" ht="15.75" customHeight="1">
      <c r="A141" s="38"/>
      <c r="B141" s="39"/>
      <c r="C141" s="39" t="s">
        <v>269</v>
      </c>
      <c r="D141" s="57" t="s">
        <v>86</v>
      </c>
      <c r="E141" s="41">
        <v>30000.0</v>
      </c>
      <c r="F141" s="42">
        <v>600000.0</v>
      </c>
      <c r="G141" s="40" t="s">
        <v>144</v>
      </c>
      <c r="H141" s="40" t="s">
        <v>191</v>
      </c>
      <c r="I141" s="43"/>
      <c r="J141" s="43"/>
      <c r="K141" s="43"/>
      <c r="L141" s="38"/>
      <c r="M141" s="38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</row>
    <row r="142" ht="15.75" customHeight="1">
      <c r="A142" s="38"/>
      <c r="B142" s="39"/>
      <c r="C142" s="39" t="s">
        <v>270</v>
      </c>
      <c r="D142" s="57" t="s">
        <v>271</v>
      </c>
      <c r="E142" s="41">
        <v>40.0</v>
      </c>
      <c r="F142" s="42">
        <f t="shared" ref="F142:F143" si="8">E142*50</f>
        <v>2000</v>
      </c>
      <c r="G142" s="40" t="s">
        <v>272</v>
      </c>
      <c r="H142" s="40" t="s">
        <v>191</v>
      </c>
      <c r="I142" s="43">
        <v>50.0</v>
      </c>
      <c r="J142" s="43">
        <v>0.0</v>
      </c>
      <c r="K142" s="43">
        <v>0.0</v>
      </c>
      <c r="L142" s="38"/>
      <c r="M142" s="38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</row>
    <row r="143" ht="15.75" customHeight="1">
      <c r="A143" s="38"/>
      <c r="B143" s="39"/>
      <c r="C143" s="39" t="s">
        <v>273</v>
      </c>
      <c r="D143" s="57" t="s">
        <v>271</v>
      </c>
      <c r="E143" s="41">
        <v>250.0</v>
      </c>
      <c r="F143" s="42">
        <f t="shared" si="8"/>
        <v>12500</v>
      </c>
      <c r="G143" s="40" t="s">
        <v>272</v>
      </c>
      <c r="H143" s="40" t="s">
        <v>191</v>
      </c>
      <c r="I143" s="43">
        <v>25.0</v>
      </c>
      <c r="J143" s="43">
        <v>0.0</v>
      </c>
      <c r="K143" s="43">
        <v>0.0</v>
      </c>
      <c r="L143" s="38"/>
      <c r="M143" s="38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</row>
    <row r="144" ht="15.75" customHeight="1">
      <c r="A144" s="38"/>
      <c r="B144" s="39"/>
      <c r="C144" s="39" t="s">
        <v>274</v>
      </c>
      <c r="D144" s="57" t="s">
        <v>217</v>
      </c>
      <c r="E144" s="41">
        <v>50.0</v>
      </c>
      <c r="F144" s="42">
        <f t="shared" ref="F144:F146" si="9">E144*25</f>
        <v>1250</v>
      </c>
      <c r="G144" s="40" t="s">
        <v>272</v>
      </c>
      <c r="H144" s="40" t="s">
        <v>191</v>
      </c>
      <c r="I144" s="43">
        <v>25.0</v>
      </c>
      <c r="J144" s="43">
        <v>0.0</v>
      </c>
      <c r="K144" s="43">
        <v>0.0</v>
      </c>
      <c r="L144" s="38"/>
      <c r="M144" s="38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</row>
    <row r="145" ht="15.75" customHeight="1">
      <c r="A145" s="38"/>
      <c r="B145" s="39"/>
      <c r="C145" s="39" t="s">
        <v>275</v>
      </c>
      <c r="D145" s="57" t="s">
        <v>217</v>
      </c>
      <c r="E145" s="41">
        <v>40.0</v>
      </c>
      <c r="F145" s="42">
        <f t="shared" si="9"/>
        <v>1000</v>
      </c>
      <c r="G145" s="40" t="s">
        <v>272</v>
      </c>
      <c r="H145" s="40" t="s">
        <v>191</v>
      </c>
      <c r="I145" s="43">
        <v>25.0</v>
      </c>
      <c r="J145" s="43">
        <v>0.0</v>
      </c>
      <c r="K145" s="43">
        <v>0.0</v>
      </c>
      <c r="L145" s="38"/>
      <c r="M145" s="38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</row>
    <row r="146" ht="15.75" customHeight="1">
      <c r="A146" s="38"/>
      <c r="B146" s="39"/>
      <c r="C146" s="39" t="s">
        <v>276</v>
      </c>
      <c r="D146" s="57" t="s">
        <v>217</v>
      </c>
      <c r="E146" s="41">
        <v>150.0</v>
      </c>
      <c r="F146" s="42">
        <f t="shared" si="9"/>
        <v>3750</v>
      </c>
      <c r="G146" s="40" t="s">
        <v>272</v>
      </c>
      <c r="H146" s="40" t="s">
        <v>191</v>
      </c>
      <c r="I146" s="43">
        <v>25.0</v>
      </c>
      <c r="J146" s="43">
        <v>0.0</v>
      </c>
      <c r="K146" s="43">
        <v>0.0</v>
      </c>
      <c r="L146" s="38"/>
      <c r="M146" s="38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</row>
    <row r="147" ht="15.75" customHeight="1">
      <c r="A147" s="38"/>
      <c r="B147" s="39"/>
      <c r="C147" s="50" t="s">
        <v>277</v>
      </c>
      <c r="D147" s="65" t="s">
        <v>86</v>
      </c>
      <c r="E147" s="47">
        <v>25000.0</v>
      </c>
      <c r="F147" s="47">
        <v>25000.0</v>
      </c>
      <c r="G147" s="40" t="s">
        <v>144</v>
      </c>
      <c r="H147" s="46" t="s">
        <v>278</v>
      </c>
      <c r="I147" s="48">
        <v>0.0</v>
      </c>
      <c r="J147" s="48">
        <v>1.0</v>
      </c>
      <c r="K147" s="48">
        <v>0.0</v>
      </c>
      <c r="L147" s="38"/>
      <c r="M147" s="38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</row>
    <row r="148" ht="15.75" customHeight="1">
      <c r="A148" s="38"/>
      <c r="B148" s="39"/>
      <c r="C148" s="50" t="s">
        <v>279</v>
      </c>
      <c r="D148" s="65" t="s">
        <v>280</v>
      </c>
      <c r="E148" s="47">
        <v>7999.0</v>
      </c>
      <c r="F148" s="47">
        <f>E148*1</f>
        <v>7999</v>
      </c>
      <c r="G148" s="66" t="s">
        <v>144</v>
      </c>
      <c r="H148" s="67" t="s">
        <v>281</v>
      </c>
      <c r="I148" s="48">
        <v>0.0</v>
      </c>
      <c r="J148" s="48">
        <v>1.0</v>
      </c>
      <c r="K148" s="48">
        <v>0.0</v>
      </c>
      <c r="L148" s="38"/>
      <c r="M148" s="38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</row>
    <row r="149" ht="15.75" customHeight="1">
      <c r="A149" s="38"/>
      <c r="B149" s="39"/>
      <c r="C149" s="50" t="s">
        <v>282</v>
      </c>
      <c r="D149" s="65" t="s">
        <v>280</v>
      </c>
      <c r="E149" s="47">
        <v>8000.0</v>
      </c>
      <c r="F149" s="47">
        <f t="shared" ref="F149:F150" si="10">E149*2</f>
        <v>16000</v>
      </c>
      <c r="G149" s="68"/>
      <c r="H149" s="68"/>
      <c r="I149" s="48">
        <v>0.0</v>
      </c>
      <c r="J149" s="48">
        <v>2.0</v>
      </c>
      <c r="K149" s="48">
        <v>0.0</v>
      </c>
      <c r="L149" s="38"/>
      <c r="M149" s="38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</row>
    <row r="150" ht="15.75" customHeight="1">
      <c r="A150" s="38"/>
      <c r="B150" s="39"/>
      <c r="C150" s="50" t="s">
        <v>283</v>
      </c>
      <c r="D150" s="65" t="s">
        <v>84</v>
      </c>
      <c r="E150" s="47">
        <v>8000.0</v>
      </c>
      <c r="F150" s="47">
        <f t="shared" si="10"/>
        <v>16000</v>
      </c>
      <c r="G150" s="68"/>
      <c r="H150" s="68"/>
      <c r="I150" s="48">
        <v>0.0</v>
      </c>
      <c r="J150" s="48">
        <v>2.0</v>
      </c>
      <c r="K150" s="48">
        <v>0.0</v>
      </c>
      <c r="L150" s="38"/>
      <c r="M150" s="38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</row>
    <row r="151" ht="15.75" customHeight="1">
      <c r="A151" s="38"/>
      <c r="B151" s="39"/>
      <c r="C151" s="50" t="s">
        <v>284</v>
      </c>
      <c r="D151" s="65" t="s">
        <v>84</v>
      </c>
      <c r="E151" s="47">
        <v>8000.0</v>
      </c>
      <c r="F151" s="47">
        <f t="shared" ref="F151:F153" si="11">E151*1</f>
        <v>8000</v>
      </c>
      <c r="G151" s="68"/>
      <c r="H151" s="68"/>
      <c r="I151" s="48">
        <v>0.0</v>
      </c>
      <c r="J151" s="48">
        <v>1.0</v>
      </c>
      <c r="K151" s="48">
        <v>0.0</v>
      </c>
      <c r="L151" s="38"/>
      <c r="M151" s="38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</row>
    <row r="152" ht="15.75" customHeight="1">
      <c r="A152" s="38"/>
      <c r="B152" s="39"/>
      <c r="C152" s="50" t="s">
        <v>285</v>
      </c>
      <c r="D152" s="65" t="s">
        <v>280</v>
      </c>
      <c r="E152" s="47">
        <v>7999.0</v>
      </c>
      <c r="F152" s="47">
        <f t="shared" si="11"/>
        <v>7999</v>
      </c>
      <c r="G152" s="69"/>
      <c r="H152" s="69"/>
      <c r="I152" s="48">
        <v>0.0</v>
      </c>
      <c r="J152" s="48">
        <v>1.0</v>
      </c>
      <c r="K152" s="48">
        <v>0.0</v>
      </c>
      <c r="L152" s="38"/>
      <c r="M152" s="38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</row>
    <row r="153" ht="15.75" customHeight="1">
      <c r="A153" s="38"/>
      <c r="B153" s="39"/>
      <c r="C153" s="50" t="s">
        <v>286</v>
      </c>
      <c r="D153" s="65" t="s">
        <v>86</v>
      </c>
      <c r="E153" s="47">
        <v>49995.0</v>
      </c>
      <c r="F153" s="47">
        <f t="shared" si="11"/>
        <v>49995</v>
      </c>
      <c r="G153" s="46" t="s">
        <v>81</v>
      </c>
      <c r="H153" s="46" t="s">
        <v>82</v>
      </c>
      <c r="I153" s="48">
        <v>0.0</v>
      </c>
      <c r="J153" s="48">
        <v>1.0</v>
      </c>
      <c r="K153" s="48">
        <v>0.0</v>
      </c>
      <c r="L153" s="38"/>
      <c r="M153" s="38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</row>
    <row r="154" ht="15.75" customHeight="1">
      <c r="A154" s="32" t="s">
        <v>287</v>
      </c>
      <c r="B154" s="33"/>
      <c r="C154" s="52" t="s">
        <v>288</v>
      </c>
      <c r="D154" s="35"/>
      <c r="E154" s="35"/>
      <c r="F154" s="33"/>
      <c r="G154" s="33"/>
      <c r="H154" s="33"/>
      <c r="I154" s="33"/>
      <c r="J154" s="33"/>
      <c r="K154" s="33"/>
      <c r="L154" s="33"/>
      <c r="M154" s="33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</row>
    <row r="155" ht="15.75" customHeight="1">
      <c r="A155" s="38"/>
      <c r="B155" s="70"/>
      <c r="C155" s="39" t="s">
        <v>289</v>
      </c>
      <c r="D155" s="57" t="s">
        <v>290</v>
      </c>
      <c r="E155" s="41">
        <v>50000.0</v>
      </c>
      <c r="F155" s="42">
        <f t="shared" ref="F155:F157" si="12">E155*10</f>
        <v>500000</v>
      </c>
      <c r="G155" s="40" t="s">
        <v>144</v>
      </c>
      <c r="H155" s="40" t="s">
        <v>191</v>
      </c>
      <c r="I155" s="43"/>
      <c r="J155" s="43"/>
      <c r="K155" s="43"/>
      <c r="L155" s="38"/>
      <c r="M155" s="38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</row>
    <row r="156" ht="15.75" customHeight="1">
      <c r="A156" s="38"/>
      <c r="B156" s="70"/>
      <c r="C156" s="39" t="s">
        <v>291</v>
      </c>
      <c r="D156" s="57" t="s">
        <v>290</v>
      </c>
      <c r="E156" s="41">
        <v>5000.0</v>
      </c>
      <c r="F156" s="42">
        <f t="shared" si="12"/>
        <v>50000</v>
      </c>
      <c r="G156" s="40" t="s">
        <v>144</v>
      </c>
      <c r="H156" s="40" t="s">
        <v>191</v>
      </c>
      <c r="I156" s="43"/>
      <c r="J156" s="43"/>
      <c r="K156" s="43"/>
      <c r="L156" s="38"/>
      <c r="M156" s="38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</row>
    <row r="157" ht="15.75" customHeight="1">
      <c r="A157" s="38"/>
      <c r="B157" s="70"/>
      <c r="C157" s="39" t="s">
        <v>292</v>
      </c>
      <c r="D157" s="57" t="s">
        <v>290</v>
      </c>
      <c r="E157" s="41">
        <v>10000.0</v>
      </c>
      <c r="F157" s="42">
        <f t="shared" si="12"/>
        <v>100000</v>
      </c>
      <c r="G157" s="40" t="s">
        <v>144</v>
      </c>
      <c r="H157" s="40" t="s">
        <v>191</v>
      </c>
      <c r="I157" s="43">
        <v>10.0</v>
      </c>
      <c r="J157" s="43">
        <v>0.0</v>
      </c>
      <c r="K157" s="43">
        <v>0.0</v>
      </c>
      <c r="L157" s="38"/>
      <c r="M157" s="38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</row>
    <row r="158" ht="15.75" customHeight="1">
      <c r="A158" s="38"/>
      <c r="B158" s="70"/>
      <c r="C158" s="39" t="s">
        <v>293</v>
      </c>
      <c r="D158" s="40" t="s">
        <v>111</v>
      </c>
      <c r="E158" s="41">
        <v>10000.0</v>
      </c>
      <c r="F158" s="42">
        <f t="shared" ref="F158:F160" si="13">E158*5</f>
        <v>50000</v>
      </c>
      <c r="G158" s="40" t="s">
        <v>144</v>
      </c>
      <c r="H158" s="40" t="s">
        <v>191</v>
      </c>
      <c r="I158" s="43">
        <v>5.0</v>
      </c>
      <c r="J158" s="43">
        <v>0.0</v>
      </c>
      <c r="K158" s="43">
        <v>0.0</v>
      </c>
      <c r="L158" s="38"/>
      <c r="M158" s="38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</row>
    <row r="159" ht="15.75" customHeight="1">
      <c r="A159" s="38"/>
      <c r="B159" s="39"/>
      <c r="C159" s="39" t="s">
        <v>294</v>
      </c>
      <c r="D159" s="46" t="s">
        <v>290</v>
      </c>
      <c r="E159" s="41">
        <v>49999.0</v>
      </c>
      <c r="F159" s="42">
        <f t="shared" si="13"/>
        <v>249995</v>
      </c>
      <c r="G159" s="40" t="s">
        <v>144</v>
      </c>
      <c r="H159" s="40" t="s">
        <v>191</v>
      </c>
      <c r="I159" s="43">
        <v>5.0</v>
      </c>
      <c r="J159" s="43">
        <v>0.0</v>
      </c>
      <c r="K159" s="43">
        <v>0.0</v>
      </c>
      <c r="L159" s="38"/>
      <c r="M159" s="38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</row>
    <row r="160" ht="15.75" customHeight="1">
      <c r="A160" s="38"/>
      <c r="B160" s="38"/>
      <c r="C160" s="49" t="s">
        <v>295</v>
      </c>
      <c r="D160" s="40" t="s">
        <v>111</v>
      </c>
      <c r="E160" s="41">
        <v>30000.0</v>
      </c>
      <c r="F160" s="42">
        <f t="shared" si="13"/>
        <v>150000</v>
      </c>
      <c r="G160" s="40" t="s">
        <v>144</v>
      </c>
      <c r="H160" s="40" t="s">
        <v>191</v>
      </c>
      <c r="I160" s="43">
        <v>5.0</v>
      </c>
      <c r="J160" s="43">
        <v>0.0</v>
      </c>
      <c r="K160" s="43">
        <v>0.0</v>
      </c>
      <c r="L160" s="38"/>
      <c r="M160" s="71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</row>
    <row r="161" ht="15.75" customHeight="1">
      <c r="A161" s="38"/>
      <c r="B161" s="38"/>
      <c r="C161" s="49" t="s">
        <v>296</v>
      </c>
      <c r="D161" s="40" t="s">
        <v>151</v>
      </c>
      <c r="E161" s="41">
        <v>15000.0</v>
      </c>
      <c r="F161" s="42">
        <f>E161*2</f>
        <v>30000</v>
      </c>
      <c r="G161" s="40" t="s">
        <v>144</v>
      </c>
      <c r="H161" s="40" t="s">
        <v>191</v>
      </c>
      <c r="I161" s="43">
        <v>2.0</v>
      </c>
      <c r="J161" s="43">
        <v>0.0</v>
      </c>
      <c r="K161" s="43">
        <v>0.0</v>
      </c>
      <c r="L161" s="38"/>
      <c r="M161" s="71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</row>
    <row r="162" ht="15.75" customHeight="1">
      <c r="A162" s="32"/>
      <c r="B162" s="60"/>
      <c r="C162" s="61" t="s">
        <v>297</v>
      </c>
      <c r="D162" s="33"/>
      <c r="E162" s="35"/>
      <c r="F162" s="36"/>
      <c r="G162" s="33"/>
      <c r="H162" s="33"/>
      <c r="I162" s="33"/>
      <c r="J162" s="33"/>
      <c r="K162" s="33"/>
      <c r="L162" s="33"/>
      <c r="M162" s="33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</row>
    <row r="163" ht="15.75" customHeight="1">
      <c r="A163" s="38"/>
      <c r="B163" s="38"/>
      <c r="C163" s="49" t="s">
        <v>298</v>
      </c>
      <c r="D163" s="40" t="s">
        <v>290</v>
      </c>
      <c r="E163" s="41">
        <v>7000.0</v>
      </c>
      <c r="F163" s="42">
        <f>E163*10</f>
        <v>70000</v>
      </c>
      <c r="G163" s="40" t="s">
        <v>144</v>
      </c>
      <c r="H163" s="40" t="s">
        <v>191</v>
      </c>
      <c r="I163" s="43"/>
      <c r="J163" s="43"/>
      <c r="K163" s="43"/>
      <c r="L163" s="38"/>
      <c r="M163" s="71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</row>
    <row r="164" ht="15.75" customHeight="1">
      <c r="A164" s="32"/>
      <c r="B164" s="60"/>
      <c r="C164" s="61" t="s">
        <v>299</v>
      </c>
      <c r="D164" s="33"/>
      <c r="E164" s="35"/>
      <c r="F164" s="36"/>
      <c r="G164" s="33"/>
      <c r="H164" s="33"/>
      <c r="I164" s="33"/>
      <c r="J164" s="33"/>
      <c r="K164" s="33"/>
      <c r="L164" s="33"/>
      <c r="M164" s="33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</row>
    <row r="165" ht="15.75" customHeight="1">
      <c r="A165" s="72"/>
      <c r="B165" s="39"/>
      <c r="C165" s="39" t="s">
        <v>300</v>
      </c>
      <c r="D165" s="43" t="s">
        <v>111</v>
      </c>
      <c r="E165" s="73">
        <v>15000.0</v>
      </c>
      <c r="F165" s="74">
        <f>E165*5</f>
        <v>75000</v>
      </c>
      <c r="G165" s="40" t="s">
        <v>272</v>
      </c>
      <c r="H165" s="40" t="s">
        <v>191</v>
      </c>
      <c r="I165" s="38">
        <v>0.0</v>
      </c>
      <c r="J165" s="38">
        <v>2.0</v>
      </c>
      <c r="K165" s="38">
        <v>3.0</v>
      </c>
      <c r="L165" s="38"/>
      <c r="M165" s="38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</row>
    <row r="166" ht="15.75" customHeight="1">
      <c r="A166" s="32" t="s">
        <v>301</v>
      </c>
      <c r="B166" s="60"/>
      <c r="C166" s="61" t="s">
        <v>302</v>
      </c>
      <c r="D166" s="33"/>
      <c r="E166" s="35"/>
      <c r="F166" s="36"/>
      <c r="G166" s="33"/>
      <c r="H166" s="33"/>
      <c r="I166" s="33"/>
      <c r="J166" s="33"/>
      <c r="K166" s="33"/>
      <c r="L166" s="33"/>
      <c r="M166" s="33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</row>
    <row r="167" ht="15.75" customHeight="1">
      <c r="A167" s="38"/>
      <c r="B167" s="38"/>
      <c r="C167" s="49" t="s">
        <v>303</v>
      </c>
      <c r="D167" s="40" t="s">
        <v>304</v>
      </c>
      <c r="E167" s="41">
        <v>1000.0</v>
      </c>
      <c r="F167" s="42">
        <f t="shared" ref="F167:F168" si="14">E167*30</f>
        <v>30000</v>
      </c>
      <c r="G167" s="40" t="s">
        <v>272</v>
      </c>
      <c r="H167" s="40" t="s">
        <v>191</v>
      </c>
      <c r="I167" s="43">
        <v>10.0</v>
      </c>
      <c r="J167" s="43">
        <v>10.0</v>
      </c>
      <c r="K167" s="43">
        <v>10.0</v>
      </c>
      <c r="L167" s="38"/>
      <c r="M167" s="38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</row>
    <row r="168" ht="15.75" customHeight="1">
      <c r="A168" s="38"/>
      <c r="B168" s="38"/>
      <c r="C168" s="49" t="s">
        <v>305</v>
      </c>
      <c r="D168" s="40" t="s">
        <v>304</v>
      </c>
      <c r="E168" s="41">
        <v>1000.0</v>
      </c>
      <c r="F168" s="42">
        <f t="shared" si="14"/>
        <v>30000</v>
      </c>
      <c r="G168" s="40" t="s">
        <v>272</v>
      </c>
      <c r="H168" s="40" t="s">
        <v>191</v>
      </c>
      <c r="I168" s="43">
        <v>10.0</v>
      </c>
      <c r="J168" s="43">
        <v>10.0</v>
      </c>
      <c r="K168" s="43">
        <v>10.0</v>
      </c>
      <c r="L168" s="38"/>
      <c r="M168" s="38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</row>
    <row r="169" ht="15.75" customHeight="1">
      <c r="A169" s="32" t="s">
        <v>306</v>
      </c>
      <c r="B169" s="33"/>
      <c r="C169" s="52" t="s">
        <v>307</v>
      </c>
      <c r="D169" s="33"/>
      <c r="E169" s="35"/>
      <c r="F169" s="33"/>
      <c r="G169" s="33"/>
      <c r="H169" s="33"/>
      <c r="I169" s="33"/>
      <c r="J169" s="33"/>
      <c r="K169" s="33"/>
      <c r="L169" s="33"/>
      <c r="M169" s="33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</row>
    <row r="170" ht="15.75" customHeight="1">
      <c r="A170" s="38"/>
      <c r="B170" s="38"/>
      <c r="C170" s="38" t="s">
        <v>308</v>
      </c>
      <c r="D170" s="43" t="s">
        <v>309</v>
      </c>
      <c r="E170" s="51">
        <v>600000.0</v>
      </c>
      <c r="F170" s="51">
        <f>E170*3</f>
        <v>1800000</v>
      </c>
      <c r="G170" s="40" t="s">
        <v>310</v>
      </c>
      <c r="H170" s="43" t="s">
        <v>311</v>
      </c>
      <c r="I170" s="43">
        <v>1.0</v>
      </c>
      <c r="J170" s="43">
        <v>1.0</v>
      </c>
      <c r="K170" s="43">
        <v>1.0</v>
      </c>
      <c r="L170" s="38"/>
      <c r="M170" s="38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</row>
    <row r="171" ht="15.75" customHeight="1">
      <c r="A171" s="38"/>
      <c r="B171" s="38"/>
      <c r="C171" s="38" t="s">
        <v>312</v>
      </c>
      <c r="D171" s="43" t="s">
        <v>86</v>
      </c>
      <c r="E171" s="51">
        <v>500000.0</v>
      </c>
      <c r="F171" s="51">
        <f>E171</f>
        <v>500000</v>
      </c>
      <c r="G171" s="40" t="s">
        <v>310</v>
      </c>
      <c r="H171" s="43" t="s">
        <v>311</v>
      </c>
      <c r="I171" s="43"/>
      <c r="J171" s="43"/>
      <c r="K171" s="43"/>
      <c r="L171" s="38"/>
      <c r="M171" s="38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</row>
    <row r="172" ht="15.75" customHeight="1">
      <c r="A172" s="38"/>
      <c r="B172" s="38"/>
      <c r="C172" s="38" t="s">
        <v>313</v>
      </c>
      <c r="D172" s="43" t="s">
        <v>151</v>
      </c>
      <c r="E172" s="51">
        <v>1500000.0</v>
      </c>
      <c r="F172" s="51">
        <f>E172*2</f>
        <v>3000000</v>
      </c>
      <c r="G172" s="40" t="s">
        <v>310</v>
      </c>
      <c r="H172" s="43" t="s">
        <v>311</v>
      </c>
      <c r="I172" s="43">
        <v>1.0</v>
      </c>
      <c r="J172" s="43">
        <v>1.0</v>
      </c>
      <c r="K172" s="43">
        <v>1.0</v>
      </c>
      <c r="L172" s="38"/>
      <c r="M172" s="38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</row>
    <row r="173" ht="15.75" customHeight="1">
      <c r="A173" s="38"/>
      <c r="B173" s="38"/>
      <c r="C173" s="38" t="s">
        <v>314</v>
      </c>
      <c r="D173" s="43" t="s">
        <v>111</v>
      </c>
      <c r="E173" s="51">
        <v>200000.0</v>
      </c>
      <c r="F173" s="51">
        <v>1000000.0</v>
      </c>
      <c r="G173" s="40" t="s">
        <v>310</v>
      </c>
      <c r="H173" s="43" t="s">
        <v>311</v>
      </c>
      <c r="I173" s="43">
        <v>2.0</v>
      </c>
      <c r="J173" s="43">
        <v>2.0</v>
      </c>
      <c r="K173" s="43">
        <v>1.0</v>
      </c>
      <c r="L173" s="38"/>
      <c r="M173" s="38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</row>
    <row r="174" ht="15.75" customHeight="1">
      <c r="A174" s="32"/>
      <c r="B174" s="33"/>
      <c r="C174" s="52" t="s">
        <v>315</v>
      </c>
      <c r="D174" s="33"/>
      <c r="E174" s="35"/>
      <c r="F174" s="33"/>
      <c r="G174" s="33"/>
      <c r="H174" s="33"/>
      <c r="I174" s="33"/>
      <c r="J174" s="33"/>
      <c r="K174" s="33"/>
      <c r="L174" s="33"/>
      <c r="M174" s="33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</row>
    <row r="175" ht="15.75" customHeight="1">
      <c r="A175" s="38"/>
      <c r="B175" s="38"/>
      <c r="C175" s="38" t="s">
        <v>316</v>
      </c>
      <c r="D175" s="40" t="s">
        <v>317</v>
      </c>
      <c r="E175" s="41">
        <v>50000.0</v>
      </c>
      <c r="F175" s="41">
        <f>E175*15</f>
        <v>750000</v>
      </c>
      <c r="G175" s="40" t="s">
        <v>144</v>
      </c>
      <c r="H175" s="40" t="s">
        <v>191</v>
      </c>
      <c r="I175" s="43">
        <v>5.0</v>
      </c>
      <c r="J175" s="43">
        <v>10.0</v>
      </c>
      <c r="K175" s="43">
        <v>5.0</v>
      </c>
      <c r="L175" s="38"/>
      <c r="M175" s="38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</row>
    <row r="176" ht="15.75" customHeight="1">
      <c r="A176" s="38"/>
      <c r="B176" s="38"/>
      <c r="C176" s="38" t="s">
        <v>318</v>
      </c>
      <c r="D176" s="75" t="s">
        <v>319</v>
      </c>
      <c r="E176" s="41">
        <v>3000.0</v>
      </c>
      <c r="F176" s="41">
        <f>E176*20</f>
        <v>60000</v>
      </c>
      <c r="G176" s="40" t="s">
        <v>144</v>
      </c>
      <c r="H176" s="40" t="s">
        <v>191</v>
      </c>
      <c r="I176" s="43">
        <v>5.0</v>
      </c>
      <c r="J176" s="43">
        <v>10.0</v>
      </c>
      <c r="K176" s="43">
        <v>5.0</v>
      </c>
      <c r="L176" s="38"/>
      <c r="M176" s="38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</row>
    <row r="177" ht="15.75" customHeight="1">
      <c r="A177" s="38"/>
      <c r="B177" s="38"/>
      <c r="C177" s="38" t="s">
        <v>320</v>
      </c>
      <c r="D177" s="40" t="s">
        <v>317</v>
      </c>
      <c r="E177" s="41">
        <v>2000.0</v>
      </c>
      <c r="F177" s="41">
        <f>E177*15</f>
        <v>30000</v>
      </c>
      <c r="G177" s="40" t="s">
        <v>272</v>
      </c>
      <c r="H177" s="40" t="s">
        <v>191</v>
      </c>
      <c r="I177" s="43">
        <v>5.0</v>
      </c>
      <c r="J177" s="43">
        <v>5.0</v>
      </c>
      <c r="K177" s="43">
        <v>5.0</v>
      </c>
      <c r="L177" s="38"/>
      <c r="M177" s="38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</row>
    <row r="178" ht="15.75" customHeight="1">
      <c r="A178" s="76"/>
      <c r="B178" s="33"/>
      <c r="C178" s="52" t="s">
        <v>321</v>
      </c>
      <c r="D178" s="77"/>
      <c r="E178" s="78"/>
      <c r="F178" s="79"/>
      <c r="G178" s="77"/>
      <c r="H178" s="77"/>
      <c r="I178" s="80"/>
      <c r="J178" s="80"/>
      <c r="K178" s="80"/>
      <c r="L178" s="33"/>
      <c r="M178" s="33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</row>
    <row r="179" ht="15.75" customHeight="1">
      <c r="A179" s="38"/>
      <c r="B179" s="38"/>
      <c r="C179" s="49" t="s">
        <v>322</v>
      </c>
      <c r="D179" s="40" t="s">
        <v>151</v>
      </c>
      <c r="E179" s="41">
        <v>50000.0</v>
      </c>
      <c r="F179" s="41">
        <f t="shared" ref="F179:F180" si="15">E179*2</f>
        <v>100000</v>
      </c>
      <c r="G179" s="40" t="s">
        <v>144</v>
      </c>
      <c r="H179" s="40" t="s">
        <v>191</v>
      </c>
      <c r="I179" s="43">
        <v>0.0</v>
      </c>
      <c r="J179" s="43">
        <v>0.0</v>
      </c>
      <c r="K179" s="43">
        <v>2.0</v>
      </c>
      <c r="L179" s="38"/>
      <c r="M179" s="38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</row>
    <row r="180" ht="15.75" customHeight="1">
      <c r="A180" s="38"/>
      <c r="B180" s="38"/>
      <c r="C180" s="49" t="s">
        <v>323</v>
      </c>
      <c r="D180" s="40" t="s">
        <v>151</v>
      </c>
      <c r="E180" s="41">
        <v>30000.0</v>
      </c>
      <c r="F180" s="41">
        <f t="shared" si="15"/>
        <v>60000</v>
      </c>
      <c r="G180" s="40" t="s">
        <v>144</v>
      </c>
      <c r="H180" s="40" t="s">
        <v>191</v>
      </c>
      <c r="I180" s="43">
        <v>0.0</v>
      </c>
      <c r="J180" s="43">
        <v>0.0</v>
      </c>
      <c r="K180" s="43">
        <v>2.0</v>
      </c>
      <c r="L180" s="38"/>
      <c r="M180" s="38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</row>
    <row r="181" ht="15.75" customHeight="1">
      <c r="A181" s="76" t="s">
        <v>324</v>
      </c>
      <c r="B181" s="33"/>
      <c r="C181" s="52" t="s">
        <v>325</v>
      </c>
      <c r="D181" s="77"/>
      <c r="E181" s="78"/>
      <c r="F181" s="79"/>
      <c r="G181" s="77"/>
      <c r="H181" s="77"/>
      <c r="I181" s="80"/>
      <c r="J181" s="80"/>
      <c r="K181" s="80"/>
      <c r="L181" s="33"/>
      <c r="M181" s="33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</row>
    <row r="182" ht="15.75" customHeight="1">
      <c r="A182" s="38"/>
      <c r="B182" s="38"/>
      <c r="C182" s="38" t="s">
        <v>326</v>
      </c>
      <c r="D182" s="40" t="s">
        <v>317</v>
      </c>
      <c r="E182" s="41">
        <v>15000.0</v>
      </c>
      <c r="F182" s="42">
        <f>E182*15</f>
        <v>225000</v>
      </c>
      <c r="G182" s="40" t="s">
        <v>144</v>
      </c>
      <c r="H182" s="40" t="s">
        <v>191</v>
      </c>
      <c r="I182" s="43">
        <v>5.0</v>
      </c>
      <c r="J182" s="43">
        <v>5.0</v>
      </c>
      <c r="K182" s="40">
        <v>5.0</v>
      </c>
      <c r="L182" s="43"/>
      <c r="M182" s="43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</row>
    <row r="183" ht="15.75" customHeight="1">
      <c r="A183" s="32"/>
      <c r="B183" s="33"/>
      <c r="C183" s="52" t="s">
        <v>327</v>
      </c>
      <c r="D183" s="33"/>
      <c r="E183" s="35"/>
      <c r="F183" s="33"/>
      <c r="G183" s="77"/>
      <c r="H183" s="77"/>
      <c r="I183" s="80"/>
      <c r="J183" s="80"/>
      <c r="K183" s="80"/>
      <c r="L183" s="33"/>
      <c r="M183" s="33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</row>
    <row r="184" ht="15.75" customHeight="1">
      <c r="A184" s="38"/>
      <c r="B184" s="55"/>
      <c r="C184" s="38" t="s">
        <v>328</v>
      </c>
      <c r="D184" s="40" t="s">
        <v>86</v>
      </c>
      <c r="E184" s="41">
        <v>500000.0</v>
      </c>
      <c r="F184" s="42">
        <f>E184*1</f>
        <v>500000</v>
      </c>
      <c r="G184" s="40" t="s">
        <v>144</v>
      </c>
      <c r="H184" s="40" t="s">
        <v>191</v>
      </c>
      <c r="I184" s="43">
        <v>0.0</v>
      </c>
      <c r="J184" s="43">
        <v>0.0</v>
      </c>
      <c r="K184" s="43">
        <v>1.0</v>
      </c>
      <c r="L184" s="43"/>
      <c r="M184" s="43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</row>
    <row r="185" ht="15.75" customHeight="1">
      <c r="A185" s="32" t="s">
        <v>329</v>
      </c>
      <c r="B185" s="33"/>
      <c r="C185" s="52" t="s">
        <v>330</v>
      </c>
      <c r="D185" s="33"/>
      <c r="E185" s="35"/>
      <c r="F185" s="33"/>
      <c r="G185" s="77"/>
      <c r="H185" s="77"/>
      <c r="I185" s="80"/>
      <c r="J185" s="80"/>
      <c r="K185" s="80"/>
      <c r="L185" s="33"/>
      <c r="M185" s="33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</row>
    <row r="186" ht="15.75" customHeight="1">
      <c r="A186" s="38"/>
      <c r="B186" s="38"/>
      <c r="C186" s="38" t="s">
        <v>331</v>
      </c>
      <c r="D186" s="40" t="s">
        <v>86</v>
      </c>
      <c r="E186" s="41">
        <v>2000000.0</v>
      </c>
      <c r="F186" s="41">
        <v>2000000.0</v>
      </c>
      <c r="G186" s="40" t="s">
        <v>310</v>
      </c>
      <c r="H186" s="43" t="s">
        <v>311</v>
      </c>
      <c r="I186" s="43">
        <v>0.0</v>
      </c>
      <c r="J186" s="43">
        <v>0.0</v>
      </c>
      <c r="K186" s="43">
        <v>1.0</v>
      </c>
      <c r="L186" s="43"/>
      <c r="M186" s="43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</row>
    <row r="187" ht="15.75" customHeight="1">
      <c r="A187" s="38"/>
      <c r="B187" s="38"/>
      <c r="C187" s="38" t="s">
        <v>332</v>
      </c>
      <c r="D187" s="40" t="s">
        <v>86</v>
      </c>
      <c r="E187" s="41">
        <v>250000.0</v>
      </c>
      <c r="F187" s="41">
        <v>250000.0</v>
      </c>
      <c r="G187" s="40" t="s">
        <v>310</v>
      </c>
      <c r="H187" s="43" t="s">
        <v>311</v>
      </c>
      <c r="I187" s="43">
        <v>0.0</v>
      </c>
      <c r="J187" s="43">
        <v>0.0</v>
      </c>
      <c r="K187" s="43">
        <v>1.0</v>
      </c>
      <c r="L187" s="43"/>
      <c r="M187" s="43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</row>
    <row r="188" ht="15.75" customHeight="1">
      <c r="A188" s="38"/>
      <c r="B188" s="38"/>
      <c r="C188" s="38" t="s">
        <v>333</v>
      </c>
      <c r="D188" s="40" t="s">
        <v>86</v>
      </c>
      <c r="E188" s="41"/>
      <c r="F188" s="41"/>
      <c r="G188" s="40"/>
      <c r="H188" s="43"/>
      <c r="I188" s="43"/>
      <c r="J188" s="43"/>
      <c r="K188" s="43"/>
      <c r="L188" s="43"/>
      <c r="M188" s="43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</row>
    <row r="189" ht="15.75" customHeight="1">
      <c r="A189" s="38"/>
      <c r="B189" s="38"/>
      <c r="C189" s="38" t="s">
        <v>334</v>
      </c>
      <c r="D189" s="40" t="s">
        <v>86</v>
      </c>
      <c r="E189" s="41">
        <v>200000.0</v>
      </c>
      <c r="F189" s="41">
        <v>200000.0</v>
      </c>
      <c r="G189" s="40" t="s">
        <v>144</v>
      </c>
      <c r="H189" s="43" t="s">
        <v>335</v>
      </c>
      <c r="I189" s="43">
        <v>1.0</v>
      </c>
      <c r="J189" s="43">
        <v>0.0</v>
      </c>
      <c r="K189" s="43">
        <v>0.0</v>
      </c>
      <c r="L189" s="43"/>
      <c r="M189" s="43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</row>
    <row r="190" ht="15.75" customHeight="1">
      <c r="A190" s="38"/>
      <c r="B190" s="38"/>
      <c r="C190" s="38" t="s">
        <v>336</v>
      </c>
      <c r="D190" s="75" t="s">
        <v>86</v>
      </c>
      <c r="E190" s="41">
        <v>200000.0</v>
      </c>
      <c r="F190" s="41">
        <v>200000.0</v>
      </c>
      <c r="G190" s="40" t="s">
        <v>144</v>
      </c>
      <c r="H190" s="43" t="s">
        <v>335</v>
      </c>
      <c r="I190" s="43">
        <v>1.0</v>
      </c>
      <c r="J190" s="43">
        <v>0.0</v>
      </c>
      <c r="K190" s="43">
        <v>0.0</v>
      </c>
      <c r="L190" s="43"/>
      <c r="M190" s="43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</row>
    <row r="191" ht="15.75" customHeight="1">
      <c r="A191" s="38"/>
      <c r="B191" s="38"/>
      <c r="C191" s="38" t="s">
        <v>337</v>
      </c>
      <c r="D191" s="40" t="s">
        <v>86</v>
      </c>
      <c r="E191" s="41">
        <v>200000.0</v>
      </c>
      <c r="F191" s="41">
        <v>200000.0</v>
      </c>
      <c r="G191" s="40" t="s">
        <v>144</v>
      </c>
      <c r="H191" s="43" t="s">
        <v>311</v>
      </c>
      <c r="I191" s="43">
        <v>1.0</v>
      </c>
      <c r="J191" s="43">
        <v>0.0</v>
      </c>
      <c r="K191" s="43">
        <v>0.0</v>
      </c>
      <c r="L191" s="71"/>
      <c r="M191" s="38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</row>
    <row r="192" ht="15.75" customHeight="1">
      <c r="A192" s="82" t="s">
        <v>338</v>
      </c>
      <c r="B192" s="7"/>
      <c r="C192" s="7"/>
      <c r="D192" s="83">
        <f>SUM(F12:F182)</f>
        <v>14555538</v>
      </c>
      <c r="E192" s="84"/>
      <c r="F192" s="84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 ht="15.75" customHeight="1">
      <c r="A193" s="85" t="s">
        <v>339</v>
      </c>
      <c r="B193" s="7"/>
      <c r="C193" s="7"/>
      <c r="D193" s="7"/>
      <c r="E193" s="8"/>
      <c r="F193" s="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 ht="15.75" customHeight="1">
      <c r="A194" s="3"/>
      <c r="B194" s="3"/>
      <c r="C194" s="3"/>
      <c r="D194" s="3"/>
      <c r="E194" s="5"/>
      <c r="F194" s="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15.75" customHeight="1">
      <c r="A195" s="86" t="s">
        <v>340</v>
      </c>
      <c r="B195" s="3"/>
      <c r="C195" s="3"/>
      <c r="D195" s="87" t="s">
        <v>341</v>
      </c>
      <c r="E195" s="5"/>
      <c r="F195" s="6"/>
      <c r="G195" s="86" t="s">
        <v>342</v>
      </c>
      <c r="H195" s="3"/>
      <c r="I195" s="3"/>
      <c r="J195" s="88" t="s">
        <v>343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15.75" customHeight="1">
      <c r="A196" s="3"/>
      <c r="B196" s="3"/>
      <c r="C196" s="3"/>
      <c r="D196" s="3"/>
      <c r="E196" s="5"/>
      <c r="F196" s="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15.75" customHeight="1">
      <c r="A197" s="3"/>
      <c r="B197" s="3"/>
      <c r="C197" s="3"/>
      <c r="D197" s="3"/>
      <c r="E197" s="5"/>
      <c r="F197" s="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15.75" customHeight="1">
      <c r="A198" s="3"/>
      <c r="B198" s="3"/>
      <c r="C198" s="3"/>
      <c r="D198" s="3"/>
      <c r="E198" s="5"/>
      <c r="F198" s="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15.75" customHeight="1">
      <c r="A199" s="86" t="s">
        <v>344</v>
      </c>
      <c r="D199" s="88" t="s">
        <v>345</v>
      </c>
      <c r="E199" s="5"/>
      <c r="F199" s="6"/>
      <c r="G199" s="86" t="s">
        <v>346</v>
      </c>
      <c r="H199" s="3"/>
      <c r="I199" s="3"/>
      <c r="J199" s="88" t="s">
        <v>347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15.75" customHeight="1">
      <c r="A200" s="89" t="s">
        <v>348</v>
      </c>
      <c r="D200" s="90" t="s">
        <v>349</v>
      </c>
      <c r="E200" s="5"/>
      <c r="F200" s="6"/>
      <c r="G200" s="89" t="s">
        <v>350</v>
      </c>
      <c r="H200" s="3"/>
      <c r="I200" s="3"/>
      <c r="J200" s="90" t="s">
        <v>351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15.75" customHeight="1">
      <c r="A201" s="3"/>
      <c r="B201" s="3"/>
      <c r="C201" s="3"/>
      <c r="D201" s="3"/>
      <c r="E201" s="5"/>
      <c r="F201" s="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15.75" customHeight="1">
      <c r="A202" s="91" t="s">
        <v>352</v>
      </c>
      <c r="B202" s="3"/>
      <c r="C202" s="3"/>
      <c r="D202" s="90" t="s">
        <v>353</v>
      </c>
      <c r="E202" s="5"/>
      <c r="F202" s="6"/>
      <c r="G202" s="89" t="s">
        <v>353</v>
      </c>
      <c r="H202" s="3"/>
      <c r="I202" s="3"/>
      <c r="J202" s="90" t="s">
        <v>353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15.75" customHeight="1">
      <c r="A203" s="3"/>
      <c r="B203" s="3"/>
      <c r="C203" s="3"/>
      <c r="D203" s="3"/>
      <c r="E203" s="5"/>
      <c r="F203" s="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</row>
  </sheetData>
  <mergeCells count="16">
    <mergeCell ref="F8:F9"/>
    <mergeCell ref="G8:G9"/>
    <mergeCell ref="G148:G152"/>
    <mergeCell ref="H148:H152"/>
    <mergeCell ref="D192:F192"/>
    <mergeCell ref="A199:C199"/>
    <mergeCell ref="A200:C200"/>
    <mergeCell ref="H8:H9"/>
    <mergeCell ref="I8:AI8"/>
    <mergeCell ref="A1:AI1"/>
    <mergeCell ref="A2:AI2"/>
    <mergeCell ref="A3:AI3"/>
    <mergeCell ref="A8:A9"/>
    <mergeCell ref="B8:B9"/>
    <mergeCell ref="C8:C9"/>
    <mergeCell ref="E8:E9"/>
  </mergeCells>
  <printOptions horizontalCentered="1"/>
  <pageMargins bottom="0.75" footer="0.0" header="0.0" left="1.25" right="0.25" top="0.75"/>
  <pageSetup fitToHeight="0" orientation="landscape" pageOrder="overThenDown" paperHeight="8.5in" paperWidth="14in"/>
  <drawing r:id="rId1"/>
</worksheet>
</file>