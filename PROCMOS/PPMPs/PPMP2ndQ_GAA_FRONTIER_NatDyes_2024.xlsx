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 PPMP Q2 - GAA Frontier Na" sheetId="1" r:id="rId4"/>
    <sheet state="visible" name="Previous Q1 PPMP (Reference)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4">
      <text>
        <t xml:space="preserve">1 for colorimeter, 1 for smartex, and 1 reserve as extra
	-SALES, Randy A.</t>
      </text>
    </comment>
    <comment authorId="0" ref="C154">
      <text>
        <t xml:space="preserve">too specific, can we identify this as 1 lot naturally dyed handloom woven fabrics
	-Kimberly Viron</t>
      </text>
    </comment>
    <comment authorId="0" ref="C112">
      <text>
        <t xml:space="preserve">qty too low
	-Kimberly Viron
Adjusted based on 10 targeted hubs
	-SALES, Randy A.</t>
      </text>
    </comment>
    <comment authorId="0" ref="C53">
      <text>
        <t xml:space="preserve">what's this?
	-Kimberly Viron</t>
      </text>
    </comment>
    <comment authorId="0" ref="C47">
      <text>
        <t xml:space="preserve">san nakuha itong specifications? nitrile laboratory gloves ang need, and anong difference nya sa nitrile rubber coated grip touch
	-Kimberly Viron
Specifications po ng White Nylon Mechanic Work Gloves ay based sa Hyflex na gamit po natin sa lab ngayon. The nitrile rubber coated grip touch I think ay naisama lang po from the previous PPMP. 
Also, added the Nitrile Gloves.
	-Christian Lloyd Evangelista</t>
      </text>
    </comment>
    <comment authorId="0" ref="C15">
      <text>
        <t xml:space="preserve">same with extension, san idedeploy? ilan existing under the project?
	-Kimberly Viron
1 for TBI, 2 dadalhin for trainings
	-SALES, Randy A.</t>
      </text>
    </comment>
  </commentList>
</comments>
</file>

<file path=xl/sharedStrings.xml><?xml version="1.0" encoding="utf-8"?>
<sst xmlns="http://schemas.openxmlformats.org/spreadsheetml/2006/main" count="1419" uniqueCount="566">
  <si>
    <t>PROJECT PROCUREMENT MANAGEMENT PLAN (PPMP) 2024</t>
  </si>
  <si>
    <t>For 2nd Quarter of CY 2024</t>
  </si>
  <si>
    <t>END-USER/UNIT: RDD-CDABUS</t>
  </si>
  <si>
    <t>Charged to: GAA-CICA project entitled "FRONTIER: Fostering the Revitalization of Nascent Textile Innovation Ecosystems in the Regions - Establishment of Natural Dye Hub"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</si>
  <si>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</si>
  <si>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</si>
  <si>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</si>
  <si>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</si>
  <si>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</si>
  <si>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</si>
  <si>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</si>
  <si>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</si>
  <si>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</si>
  <si>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</si>
  <si>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</si>
  <si>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</si>
  <si>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</si>
  <si>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</si>
  <si>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</si>
  <si>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</si>
  <si>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</si>
  <si>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</si>
  <si>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</si>
  <si>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</si>
  <si>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</si>
  <si>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</si>
  <si>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</si>
  <si>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</si>
  <si>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</si>
  <si>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</si>
  <si>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</si>
  <si>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</si>
  <si>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</si>
  <si>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</si>
  <si>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</si>
  <si>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</si>
  <si>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</si>
  <si>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</si>
  <si>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</si>
  <si>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</si>
  <si>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</si>
  <si>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</si>
  <si>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</si>
  <si>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</si>
  <si>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</si>
  <si>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</si>
  <si>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</si>
  <si>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</si>
  <si>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</si>
  <si>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</si>
  <si>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</si>
  <si>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</si>
  <si>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</si>
  <si>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</si>
  <si>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</si>
  <si>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</si>
  <si>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</si>
  <si>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</si>
  <si>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</si>
  <si>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</si>
  <si>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</si>
  <si>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</si>
  <si>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</si>
  <si>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</si>
  <si>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</si>
  <si>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</si>
  <si>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</si>
  <si>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</si>
  <si>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</si>
  <si>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</si>
  <si>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</si>
  <si>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</si>
  <si>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</si>
  <si>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</si>
  <si>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</si>
  <si>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</si>
  <si>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</si>
  <si>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50604050 03</t>
  </si>
  <si>
    <t>Information &amp; Communication Technology Equipment</t>
  </si>
  <si>
    <t>Conference Room Projector</t>
  </si>
  <si>
    <t>1 piece</t>
  </si>
  <si>
    <t>Shopping</t>
  </si>
  <si>
    <t>15 working days</t>
  </si>
  <si>
    <t>Wireless Presentation Remote and Laser</t>
  </si>
  <si>
    <t>2 pieces</t>
  </si>
  <si>
    <t>HDMI Cable</t>
  </si>
  <si>
    <t>3 pieces</t>
  </si>
  <si>
    <t>Universal Extension Cable</t>
  </si>
  <si>
    <t>50203010 02</t>
  </si>
  <si>
    <t>Office Supplies Expenses</t>
  </si>
  <si>
    <t>Permanent marker (blue)</t>
  </si>
  <si>
    <t>1 box</t>
  </si>
  <si>
    <t>Permanent marker (black)</t>
  </si>
  <si>
    <t>Pencil</t>
  </si>
  <si>
    <t>5 boxes</t>
  </si>
  <si>
    <t>Sharpener</t>
  </si>
  <si>
    <t>Ballpen (Blue)</t>
  </si>
  <si>
    <t>100 pieces</t>
  </si>
  <si>
    <t>Gel pen (Blue)</t>
  </si>
  <si>
    <t>50 pieces</t>
  </si>
  <si>
    <t>Masking tape medium size</t>
  </si>
  <si>
    <t>25 pieces</t>
  </si>
  <si>
    <t>Masking tape large size</t>
  </si>
  <si>
    <t>Double adhesive tape</t>
  </si>
  <si>
    <t>Cubicle workstation</t>
  </si>
  <si>
    <t>2 lots</t>
  </si>
  <si>
    <t>Conference table</t>
  </si>
  <si>
    <t>Sofa set</t>
  </si>
  <si>
    <t>1 set</t>
  </si>
  <si>
    <t>Reversible Magnetic Mobile White Board</t>
  </si>
  <si>
    <t>1 pieces</t>
  </si>
  <si>
    <t>White Board Marker</t>
  </si>
  <si>
    <t>White Board Eraser</t>
  </si>
  <si>
    <t>20 pieces</t>
  </si>
  <si>
    <t>Printer Ink</t>
  </si>
  <si>
    <t xml:space="preserve">50 sets </t>
  </si>
  <si>
    <t>Multipurpose-Scissors</t>
  </si>
  <si>
    <t>10 pieces</t>
  </si>
  <si>
    <t>Toner</t>
  </si>
  <si>
    <t>Printer Maintenance Box</t>
  </si>
  <si>
    <t>5 pieces</t>
  </si>
  <si>
    <t>Sewing Thread Rack, 48 spool, wall-mounted</t>
  </si>
  <si>
    <t>Expanding Envelopes</t>
  </si>
  <si>
    <t>Paper Clips, various sizes</t>
  </si>
  <si>
    <t>50 boxes</t>
  </si>
  <si>
    <t>Binder Clips, various sizes</t>
  </si>
  <si>
    <t xml:space="preserve">50 boxes </t>
  </si>
  <si>
    <t>Portable Storage Box</t>
  </si>
  <si>
    <t>15 boxes</t>
  </si>
  <si>
    <t>Hardbound Signing Folder</t>
  </si>
  <si>
    <t>A4 Size Bond Paper</t>
  </si>
  <si>
    <t>25 boxes</t>
  </si>
  <si>
    <t>15-30 working days</t>
  </si>
  <si>
    <t>Folio Size Bond Paper</t>
  </si>
  <si>
    <t>Acrylic Name Plate Stand</t>
  </si>
  <si>
    <t>50203080 00</t>
  </si>
  <si>
    <t>Medical, Dental  Laboratory Supplies Expenses</t>
  </si>
  <si>
    <t>Vacuum pump</t>
  </si>
  <si>
    <t>30 working days</t>
  </si>
  <si>
    <t>Nitrile Gloves, ambidextrous, non-sterile, powder-free, various sizes</t>
  </si>
  <si>
    <t>60-90 working days</t>
  </si>
  <si>
    <t>White Nylon Mechanic Work Gloves, Size 7, Small, Nitrile Foam Coating</t>
  </si>
  <si>
    <t>10 packs</t>
  </si>
  <si>
    <t>White Nylon Mechanic Work Gloves, Size 8, Medium, Nitrile Foam Coating</t>
  </si>
  <si>
    <t>White Nylon Mechanic Work Gloves, Size 10, XL, Nitrile Foam Coating</t>
  </si>
  <si>
    <t>Stainless Steel Laboratory Trolley</t>
  </si>
  <si>
    <t>Beaker with handle 3000 mL, borosilicate glass</t>
  </si>
  <si>
    <t>Bleaching Solution</t>
  </si>
  <si>
    <t xml:space="preserve">40 gallons </t>
  </si>
  <si>
    <t xml:space="preserve">Liquid Detergent </t>
  </si>
  <si>
    <t xml:space="preserve">20 bottles </t>
  </si>
  <si>
    <t>Liquid Handsoap</t>
  </si>
  <si>
    <t>Disinfectant Spray</t>
  </si>
  <si>
    <t xml:space="preserve">25 bottles </t>
  </si>
  <si>
    <t>UV-Vis Rectangular Quartz Cuvette, with frosted and clear sides, 10mm</t>
  </si>
  <si>
    <t>4 pieces</t>
  </si>
  <si>
    <t>Negotiated Procurement - Small Value Procurement</t>
  </si>
  <si>
    <t>Quartz Cuvette, with frosted and clear sides, 20mm</t>
  </si>
  <si>
    <t>Whatman Filter Paper, 125mm</t>
  </si>
  <si>
    <t>Cleaning Sponge (Foam and Scratch)</t>
  </si>
  <si>
    <t>48 pieces</t>
  </si>
  <si>
    <t>Alcohol (Isopropyl)</t>
  </si>
  <si>
    <t>20 gallons</t>
  </si>
  <si>
    <t>Alcohol dispenser</t>
  </si>
  <si>
    <t>Fabric conditioner (Downy antibac)</t>
  </si>
  <si>
    <t>15 packs</t>
  </si>
  <si>
    <t>Laundry bar (Perla)</t>
  </si>
  <si>
    <t>Multipurpose Sponge and Foam (Scotch Brite)</t>
  </si>
  <si>
    <t>Natural dye powder (Yellow ginger)</t>
  </si>
  <si>
    <t>2 kilogram</t>
  </si>
  <si>
    <t>Natural dye powder (Mahogany)</t>
  </si>
  <si>
    <t>Natural dye powder (Talisay)</t>
  </si>
  <si>
    <t xml:space="preserve">Stainless Steel Strainers </t>
  </si>
  <si>
    <t>Glass container with aluminum lid 250ml</t>
  </si>
  <si>
    <t>Glass container with aluminum lid 50ml</t>
  </si>
  <si>
    <t>PET bottles 250ml</t>
  </si>
  <si>
    <t>Non-Ionic detergent (Cleanmate)</t>
  </si>
  <si>
    <t>25 gallons</t>
  </si>
  <si>
    <t>LPG Refill</t>
  </si>
  <si>
    <t>Per schedule</t>
  </si>
  <si>
    <t>Hose and regulator</t>
  </si>
  <si>
    <t>Plastic bag (black) Large</t>
  </si>
  <si>
    <t>Plastic bag (clear) Large</t>
  </si>
  <si>
    <t>Multipurpose Rag</t>
  </si>
  <si>
    <t xml:space="preserve">Disposable Face Mask </t>
  </si>
  <si>
    <t>20 boxes</t>
  </si>
  <si>
    <t>Interfolded paper towels, 2 ply, 150 pulls, 30 packs per box</t>
  </si>
  <si>
    <t>30 boxes</t>
  </si>
  <si>
    <t>Tissue paper, 3 ply, 24 rolls per pack</t>
  </si>
  <si>
    <t>30 packs</t>
  </si>
  <si>
    <t>Methanol, 2.5L, AR, CAS No. 67-56-1</t>
  </si>
  <si>
    <t>20 bottles</t>
  </si>
  <si>
    <t>Acetone, AR, 2.5L per bottle, CAS No. 67-64-1</t>
  </si>
  <si>
    <t>10 bottles</t>
  </si>
  <si>
    <t>Nutrient Broth, analytic grade, 500 grams per bottle</t>
  </si>
  <si>
    <t>Guar Gum, analytic grade, 1 kg per bottle</t>
  </si>
  <si>
    <t>3 bottles</t>
  </si>
  <si>
    <t>Cream of tartar, 500g per bottle</t>
  </si>
  <si>
    <t>2 bottles</t>
  </si>
  <si>
    <t>Ammonium sulfate, 500g per bottle</t>
  </si>
  <si>
    <t>Sodium acetate, 500g per bottle</t>
  </si>
  <si>
    <t xml:space="preserve">2 bottles </t>
  </si>
  <si>
    <t>Sodium Benzoate, 500g per bottle</t>
  </si>
  <si>
    <t>Citric Acid, 500g per bottle</t>
  </si>
  <si>
    <t>Tartaric Acid/Oxalic Acid, 1000g per bottle</t>
  </si>
  <si>
    <t>Sodium carbonate, 500g per bottle</t>
  </si>
  <si>
    <t>Potassium Alumium sulfate, Analytical grade, 1000g per bottle</t>
  </si>
  <si>
    <t xml:space="preserve">1 bottle </t>
  </si>
  <si>
    <t>Potassium Alumium sulfate, technical grade, 1000g per bottle</t>
  </si>
  <si>
    <t>Sodium hydroxide</t>
  </si>
  <si>
    <t>25 kilograms</t>
  </si>
  <si>
    <t>Copper Sulfate</t>
  </si>
  <si>
    <t>75 kilograms</t>
  </si>
  <si>
    <t>Soda ash</t>
  </si>
  <si>
    <t xml:space="preserve">Glacial Acetic Acid, technical grade, 30 kg per carbouy
</t>
  </si>
  <si>
    <t>Sodium hydrosulfite</t>
  </si>
  <si>
    <t>10 kilograms</t>
  </si>
  <si>
    <t>Calcium hydroxide(lime)</t>
  </si>
  <si>
    <t>Ethanol, 4L/cby</t>
  </si>
  <si>
    <t>5 carboy</t>
  </si>
  <si>
    <t>Hydrogen Peroxide</t>
  </si>
  <si>
    <t>10 carboy</t>
  </si>
  <si>
    <t>50203990 00</t>
  </si>
  <si>
    <t>Other Supplies Expenses</t>
  </si>
  <si>
    <t>Silkscreen Printing Table and Accessories</t>
  </si>
  <si>
    <t>Fluorscent Lamp</t>
  </si>
  <si>
    <t>Cable wires</t>
  </si>
  <si>
    <t>1 lot</t>
  </si>
  <si>
    <t>Weighing balance, digital, 0.5-7.5kg</t>
  </si>
  <si>
    <t>Weighing balance, mechanical, 60kg</t>
  </si>
  <si>
    <t>Tongs</t>
  </si>
  <si>
    <t>60 pieces</t>
  </si>
  <si>
    <t>LPG Tank and Refill</t>
  </si>
  <si>
    <t>Stirrers</t>
  </si>
  <si>
    <t>Strainer small</t>
  </si>
  <si>
    <t>30 pieces</t>
  </si>
  <si>
    <t>Strainer medium</t>
  </si>
  <si>
    <t>Strainer large</t>
  </si>
  <si>
    <t>Beakers</t>
  </si>
  <si>
    <t>Graduated Cylinders</t>
  </si>
  <si>
    <t>Polyethylene plastic (standard)</t>
  </si>
  <si>
    <t>25 packs</t>
  </si>
  <si>
    <t>Measuring cup, max 2 L capacity</t>
  </si>
  <si>
    <t>Stainless steel cup, 1L (for colormatching)</t>
  </si>
  <si>
    <t>Stainless steel vessel, 5L capacity</t>
  </si>
  <si>
    <t>Stainless vessel, 10L capacity</t>
  </si>
  <si>
    <t>Seedlings</t>
  </si>
  <si>
    <t>Plastic container, 120L</t>
  </si>
  <si>
    <t>Water sprinklers</t>
  </si>
  <si>
    <t>Water can</t>
  </si>
  <si>
    <t>Mosquito net</t>
  </si>
  <si>
    <t>Canvas (Lona)</t>
  </si>
  <si>
    <t>Shovel Round</t>
  </si>
  <si>
    <t>Shovel Spade</t>
  </si>
  <si>
    <t>Pico</t>
  </si>
  <si>
    <t>Pruning shear</t>
  </si>
  <si>
    <t>Bolo</t>
  </si>
  <si>
    <t>Hoe</t>
  </si>
  <si>
    <t>Carborundum</t>
  </si>
  <si>
    <t>Seedling bag</t>
  </si>
  <si>
    <t>Stainless vessel, 20 - 30 L cap.</t>
  </si>
  <si>
    <t>Coffee powder, 200g per bottle</t>
  </si>
  <si>
    <t>Ceramic mug and saucer</t>
  </si>
  <si>
    <t>15 pieces</t>
  </si>
  <si>
    <t>Drinking glass</t>
  </si>
  <si>
    <t>Ceramic plates</t>
  </si>
  <si>
    <t>Placemats</t>
  </si>
  <si>
    <t>Stainless vessel, 60 - 70 L cap</t>
  </si>
  <si>
    <t>Silkscreen frames</t>
  </si>
  <si>
    <t>25pieces</t>
  </si>
  <si>
    <t>Photographic table/light box</t>
  </si>
  <si>
    <t>Flat iron</t>
  </si>
  <si>
    <t>Hair blower</t>
  </si>
  <si>
    <t>Hand-held steamer</t>
  </si>
  <si>
    <t>Paint brush</t>
  </si>
  <si>
    <t>Craft Art blades</t>
  </si>
  <si>
    <t>10 sets</t>
  </si>
  <si>
    <t>Pails</t>
  </si>
  <si>
    <t>Basin</t>
  </si>
  <si>
    <t>Vietcong Burners</t>
  </si>
  <si>
    <t xml:space="preserve">20 pieces Naturally-dyed handloom woven fabrics </t>
  </si>
  <si>
    <t>Dye sources - Talisay leaves</t>
  </si>
  <si>
    <t>50 kilograms</t>
  </si>
  <si>
    <t>Cash Advance</t>
  </si>
  <si>
    <t>Dye sources - Annatto seeds</t>
  </si>
  <si>
    <t>Dye sources - Buko</t>
  </si>
  <si>
    <t>Dye sources - Cogon grass</t>
  </si>
  <si>
    <t>Dye sources - Yellow ginger</t>
  </si>
  <si>
    <t>50211990 00</t>
  </si>
  <si>
    <t>Other Professional Services</t>
  </si>
  <si>
    <t>Heavy metal testing for fibers and fabrics</t>
  </si>
  <si>
    <t>10 lots</t>
  </si>
  <si>
    <t>Colorfastness Test for Dyed Fabrics</t>
  </si>
  <si>
    <t>Commissioned exhibit materials</t>
  </si>
  <si>
    <t>General Provision for Services</t>
  </si>
  <si>
    <t>5 lots</t>
  </si>
  <si>
    <t xml:space="preserve">Other professional services, weaving of 20 meters (length) × 20 inches (width), naturally-dyed yarns	</t>
  </si>
  <si>
    <t>Other professional services, sewing and development of naturally-dyed wearables for men and women</t>
  </si>
  <si>
    <t>Other professional services, sewing and development of naturally-dyed pina-bamboo fabrics into barong for men and women</t>
  </si>
  <si>
    <t>Printing and Binding Expenses</t>
  </si>
  <si>
    <t>Printing Services (Tarpaulin, etc.)</t>
  </si>
  <si>
    <t>Training expenses</t>
  </si>
  <si>
    <t>Training, seminars, and conferences expenses</t>
  </si>
  <si>
    <t>50299040 00</t>
  </si>
  <si>
    <t>Delivery and Transportation Expenses</t>
  </si>
  <si>
    <t>Delivery expense, from DOST-PTRI to weaving communities, partners, and stakeholders, and vice-versa</t>
  </si>
  <si>
    <t>30 lots</t>
  </si>
  <si>
    <t>Transportation expense, from DOST-PTRI to weaving communities, partners, and stakeholders, and vice-versa</t>
  </si>
  <si>
    <t>50213050 14</t>
  </si>
  <si>
    <t>Repair and Maintenance</t>
  </si>
  <si>
    <r>
      <rPr>
        <rFont val="Arial"/>
        <color theme="1"/>
        <sz val="9.0"/>
      </rPr>
      <t>Additional Works for Nat</t>
    </r>
    <r>
      <rPr>
        <rFont val="Arial"/>
        <i/>
        <color theme="1"/>
        <sz val="9.0"/>
      </rPr>
      <t xml:space="preserve">Dyes </t>
    </r>
    <r>
      <rPr>
        <rFont val="Arial"/>
        <color theme="1"/>
        <sz val="9.0"/>
      </rPr>
      <t>Hubs</t>
    </r>
  </si>
  <si>
    <t>3 lots</t>
  </si>
  <si>
    <t>Negotiated Procurement</t>
  </si>
  <si>
    <t>120 working days</t>
  </si>
  <si>
    <t>TBI repairs</t>
  </si>
  <si>
    <r>
      <rPr>
        <rFont val="Arial"/>
        <color theme="1"/>
        <sz val="9.0"/>
      </rPr>
      <t>Construction Works for Nat</t>
    </r>
    <r>
      <rPr>
        <rFont val="Arial"/>
        <i/>
        <color theme="1"/>
        <sz val="9.0"/>
      </rPr>
      <t>Dyes</t>
    </r>
    <r>
      <rPr>
        <rFont val="Arial"/>
        <color theme="1"/>
        <sz val="9.0"/>
      </rPr>
      <t xml:space="preserve"> Hubs</t>
    </r>
  </si>
  <si>
    <r>
      <rPr>
        <rFont val="Arial"/>
        <color theme="1"/>
        <sz val="9.0"/>
      </rPr>
      <t>Signages for Nat</t>
    </r>
    <r>
      <rPr>
        <rFont val="Arial"/>
        <i/>
        <color theme="1"/>
        <sz val="9.0"/>
      </rPr>
      <t>Dyes</t>
    </r>
    <r>
      <rPr>
        <rFont val="Arial"/>
        <color theme="1"/>
        <sz val="9.0"/>
      </rPr>
      <t xml:space="preserve"> Hubs</t>
    </r>
  </si>
  <si>
    <t>Local Travel Expenses</t>
  </si>
  <si>
    <t>Airplane Tickets</t>
  </si>
  <si>
    <t>15 lots</t>
  </si>
  <si>
    <t>Bus Tickets</t>
  </si>
  <si>
    <t>20 lots</t>
  </si>
  <si>
    <t>TNVS Fares</t>
  </si>
  <si>
    <t>Foreign Travel Expenses</t>
  </si>
  <si>
    <t>Airplane Tickets for Local and Foreign Resource Speakers of 2024 Philippine Dyes and Colorants Symposium</t>
  </si>
  <si>
    <t>Hotel Accommodation for Local and Foreign Resource Speakers of 2024 Philippine Dyes and Colorants Symposium</t>
  </si>
  <si>
    <t>50299030 00</t>
  </si>
  <si>
    <t>Representation Expenses</t>
  </si>
  <si>
    <t>Meals and snacks for meetings, trainings, and events</t>
  </si>
  <si>
    <t>Subscription Expenses</t>
  </si>
  <si>
    <t>Scientific Software</t>
  </si>
  <si>
    <t>50604050 14</t>
  </si>
  <si>
    <t>Capital Outlay - Technical &amp; Scientific Equipment</t>
  </si>
  <si>
    <t>UV-Vis Spectrophotometer</t>
  </si>
  <si>
    <t>Shaking Incubator</t>
  </si>
  <si>
    <t>Dye Source Chopper/Shredder</t>
  </si>
  <si>
    <t>Bench Scale Extraction/Dyeing Assembly and Accessories</t>
  </si>
  <si>
    <t>90 working days</t>
  </si>
  <si>
    <t>Packaging and Labelling Machine</t>
  </si>
  <si>
    <t>Digital Centrifuge</t>
  </si>
  <si>
    <t>TOTAL APPROVED BUDGET: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</si>
  <si>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</si>
  <si>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</si>
  <si>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</si>
  <si>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</si>
  <si>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</si>
  <si>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JENNELI E. CAYA</t>
  </si>
  <si>
    <t>MARILOU G. AGUSTIN</t>
  </si>
  <si>
    <t>MERLITA R. ODI</t>
  </si>
  <si>
    <t>JULIUS L. LEAÑO JR., Ph.D.</t>
  </si>
  <si>
    <t>Officer-in-Charge, Research and Development Division</t>
  </si>
  <si>
    <t>Head, FAD-PPGSS</t>
  </si>
  <si>
    <t>Head, FAD-BTS</t>
  </si>
  <si>
    <t>Director IV</t>
  </si>
  <si>
    <r>
      <rPr>
        <rFont val="Arial"/>
        <color rgb="FF000000"/>
        <sz val="11.0"/>
      </rPr>
      <t xml:space="preserve">Revision Date: </t>
    </r>
    <r>
      <rPr>
        <rFont val="Arial"/>
        <color rgb="FF000000"/>
        <sz val="11.0"/>
        <u/>
      </rPr>
      <t>17 April 2024</t>
    </r>
  </si>
  <si>
    <t>Date: _____________</t>
  </si>
  <si>
    <t xml:space="preserve">  PROJECT PROCUREMENT MANAGEMENT PLAN (PPMP) 2024</t>
  </si>
  <si>
    <t>For 1st Quarter of CY 2024</t>
  </si>
  <si>
    <t>Charged to: FRONTIER: Fostering the Revitalization of Nascent Textile Innovation Ecosystems in the Regions - Establishment of Natural Dye Hub</t>
  </si>
  <si>
    <t>Jan</t>
  </si>
  <si>
    <t>Feb</t>
  </si>
  <si>
    <t>Mar</t>
  </si>
  <si>
    <t>WiFi Printer and Scanner</t>
  </si>
  <si>
    <t>30-45 working days</t>
  </si>
  <si>
    <t>Laptop Computer with Microsoft Office License</t>
  </si>
  <si>
    <t>4 lots</t>
  </si>
  <si>
    <t>Negotiated Procurement-Small Value Procurement</t>
  </si>
  <si>
    <t>Mirrorless Compact Digital Camera</t>
  </si>
  <si>
    <t>2/29/2024-Received PR from End-user(for Endorsement)
-Sir Jake revised just the RFQ form</t>
  </si>
  <si>
    <t>Screen Projector and Portable Panel</t>
  </si>
  <si>
    <t>Speaker and Microphone</t>
  </si>
  <si>
    <t>OS-026</t>
  </si>
  <si>
    <t>25 boxes A4 Size Bond Paper</t>
  </si>
  <si>
    <t>OS-056</t>
  </si>
  <si>
    <t>25 boxes Folio Size Bond Paper</t>
  </si>
  <si>
    <t>OS-073</t>
  </si>
  <si>
    <t>25 pieces Label Sticker Flag</t>
  </si>
  <si>
    <t>OS-161</t>
  </si>
  <si>
    <t>25 pieces Sticky Notepad</t>
  </si>
  <si>
    <t>25 pieces White Board Marker</t>
  </si>
  <si>
    <t>25 pieces White Board Eraser</t>
  </si>
  <si>
    <t>Data Filing Cabinet</t>
  </si>
  <si>
    <t>MOA Folder</t>
  </si>
  <si>
    <t>MDL-076</t>
  </si>
  <si>
    <t>Sodium Hydroxide, liquid, 48-50% concentration, 30kg per carbouy</t>
  </si>
  <si>
    <t>10 carbouys</t>
  </si>
  <si>
    <t>2402-0152 dd.
02-19-2024</t>
  </si>
  <si>
    <t>0288-24 dtd.
02-22-2024</t>
  </si>
  <si>
    <t>02/26/2024- Done Recording PR and RFQ No. (For PhilGEPS)</t>
  </si>
  <si>
    <t>MDL-005</t>
  </si>
  <si>
    <t>Sodium Metabisulfite, technical grade</t>
  </si>
  <si>
    <t>MDL-006</t>
  </si>
  <si>
    <t>Sodium Silicate, technical grade</t>
  </si>
  <si>
    <t>50 liters</t>
  </si>
  <si>
    <t>Sodium Hydroxide, flakes, technical grade</t>
  </si>
  <si>
    <t xml:space="preserve">15 kilograms </t>
  </si>
  <si>
    <t>Potash Alum, technical grade</t>
  </si>
  <si>
    <t>15 kilograms</t>
  </si>
  <si>
    <t>Sodium Hydrosulfite, technical grade</t>
  </si>
  <si>
    <t xml:space="preserve">10 kilograms </t>
  </si>
  <si>
    <t>MDL-139</t>
  </si>
  <si>
    <t>Hydrochloric Acid, 37%, analytic grade, 2.5L per bottle</t>
  </si>
  <si>
    <t>4 bottles</t>
  </si>
  <si>
    <t>MDL-014</t>
  </si>
  <si>
    <t>Sulfuric Acid, 98%, analytic grade, 2.5L per bottle</t>
  </si>
  <si>
    <t xml:space="preserve">Acetone, analytic grade, 2.5L per bottle
</t>
  </si>
  <si>
    <t xml:space="preserve">Sodium Sulfite, anhydrous, analytic grade, 500g per bottle
</t>
  </si>
  <si>
    <t>8 bottles</t>
  </si>
  <si>
    <t>Sodium Alginate, analytic grade, 1kg per bottle</t>
  </si>
  <si>
    <t>Soda Ash</t>
  </si>
  <si>
    <t>MDL-228</t>
  </si>
  <si>
    <t>MDL-158</t>
  </si>
  <si>
    <t>Ethanol, technical grade, 4L per carbouy</t>
  </si>
  <si>
    <t>MDL-255</t>
  </si>
  <si>
    <t>Hydrogen Peroxide, technical grade, 30kg per carbouy</t>
  </si>
  <si>
    <t>30 carbouys</t>
  </si>
  <si>
    <t>MDL-017</t>
  </si>
  <si>
    <t>Methanol, 2.5L, AR</t>
  </si>
  <si>
    <t xml:space="preserve">Calcium Hydroxide (Lime)
</t>
  </si>
  <si>
    <t xml:space="preserve">Bleaching Solution
</t>
  </si>
  <si>
    <t xml:space="preserve">Non-Ionic Detergent
</t>
  </si>
  <si>
    <t xml:space="preserve">60 gallons </t>
  </si>
  <si>
    <t>OSMI-031</t>
  </si>
  <si>
    <t xml:space="preserve">50 bottles </t>
  </si>
  <si>
    <t>Weighing Balance, digital, 0.5-7.5kg</t>
  </si>
  <si>
    <t>10 units</t>
  </si>
  <si>
    <t>Weighing Balance, mechanical, 60kg</t>
  </si>
  <si>
    <t>5 sets Tong, various sizes</t>
  </si>
  <si>
    <t>5 sets Stirrer, various sizes</t>
  </si>
  <si>
    <t>5 sets Strainer, various sizes</t>
  </si>
  <si>
    <t>5 sets Glass Beakers, various sizes</t>
  </si>
  <si>
    <t>5 sets Glass Cylinder, various sizes</t>
  </si>
  <si>
    <t>Stainless Steel Vessel, various sizes</t>
  </si>
  <si>
    <t>5 sets</t>
  </si>
  <si>
    <t>Negotiated Procurement / Shopping</t>
  </si>
  <si>
    <t>Vietcong Burner, various sizes</t>
  </si>
  <si>
    <t>5 packs Polyethylene Plastic, standard size</t>
  </si>
  <si>
    <t>OSMI-056</t>
  </si>
  <si>
    <t>10 pieces Plastic Pail with Handle and Cover, 32L capacity</t>
  </si>
  <si>
    <t>10 pieces Plastic Basin, 64L capacity</t>
  </si>
  <si>
    <t>10 sets Measuring Cup, max 2L capacity</t>
  </si>
  <si>
    <t>10 packs Polyethylene Bags</t>
  </si>
  <si>
    <t>MDL-264</t>
  </si>
  <si>
    <t>Thermometer, 0-110 degrees Celsius</t>
  </si>
  <si>
    <t>MDL-193</t>
  </si>
  <si>
    <t>LPG Tank/Fuel</t>
  </si>
  <si>
    <t>20 tanks</t>
  </si>
  <si>
    <t>Direct Retail</t>
  </si>
  <si>
    <t>Isoprophyl Alcohol, 70% solution</t>
  </si>
  <si>
    <t>Portable Abaca Stripping Machine</t>
  </si>
  <si>
    <t>30 sets</t>
  </si>
  <si>
    <t>Silkscreen Table and Accessories</t>
  </si>
  <si>
    <t>Airconditioning Unit</t>
  </si>
  <si>
    <t>White Nylon Mechanic Work Gloves, various sizes</t>
  </si>
  <si>
    <t>5 packs</t>
  </si>
  <si>
    <t>10 pieces Pruning Shear</t>
  </si>
  <si>
    <t>25 pieces Bolo</t>
  </si>
  <si>
    <t>15 pieces Hoe</t>
  </si>
  <si>
    <t>10 pieces Pico</t>
  </si>
  <si>
    <t>Carborondum</t>
  </si>
  <si>
    <t>Water Can, Water Sprinkler</t>
  </si>
  <si>
    <t>Mosquito Net</t>
  </si>
  <si>
    <t>25 yards</t>
  </si>
  <si>
    <t>Canvas (Lona/Weather Protection Cover)</t>
  </si>
  <si>
    <t>50 meters</t>
  </si>
  <si>
    <t>Seedling, Seedling Bag</t>
  </si>
  <si>
    <t>Plastic Container, 120L capacity</t>
  </si>
  <si>
    <t>Handloom-Woven Piña-Silk Fabrics</t>
  </si>
  <si>
    <t>100 yards</t>
  </si>
  <si>
    <t>2402-0107 dtd.
02-13-2024</t>
  </si>
  <si>
    <t>0221-0107 dtd.
02-13-2024</t>
  </si>
  <si>
    <t xml:space="preserve">2/20/2024-Recorded PR and RFQ No. 
Note: 99,000 ung sa PR nila, same sa revised PPMP </t>
  </si>
  <si>
    <t>Handloom-Woven Pure Silk Fabrics</t>
  </si>
  <si>
    <t>Handloom-Woven Abaca Fabrics</t>
  </si>
  <si>
    <t>Handloom-Woven Pineapple Fabrics</t>
  </si>
  <si>
    <t>Indigo Dye Powder</t>
  </si>
  <si>
    <t>7 kilograms</t>
  </si>
  <si>
    <t>2402-0106 dtd.
02/13/2024</t>
  </si>
  <si>
    <t>0222-24 dtd.
02/13/2024</t>
  </si>
  <si>
    <t>2/20/2024-Recorded PR and RFQ 
Note: 7000 lng unit cost nasa PR nila before</t>
  </si>
  <si>
    <t>Plant-Based Natural Dye Sources, reference, various</t>
  </si>
  <si>
    <t>Natural Dye Sources, preparation/research, various</t>
  </si>
  <si>
    <t>Spinning Tubes</t>
  </si>
  <si>
    <t>500 pieces</t>
  </si>
  <si>
    <t>02/29/2024-Received PR from End-User(For Endorsement)</t>
  </si>
  <si>
    <t>Portable Fabric Stands, various sizes</t>
  </si>
  <si>
    <t>Luggage</t>
  </si>
  <si>
    <t>First Aid Box with Medical Supplies</t>
  </si>
  <si>
    <t>7 pieces</t>
  </si>
  <si>
    <t>Sling Bag with Compartment</t>
  </si>
  <si>
    <t>Resin for Dye Sources</t>
  </si>
  <si>
    <t>Portable Hand-held Iron Steamer</t>
  </si>
  <si>
    <t>Silicon Carbide (Knife Sharpening Tool)</t>
  </si>
  <si>
    <t>Per Schedule</t>
  </si>
  <si>
    <t>Hand-Woven Sustainable Shoes</t>
  </si>
  <si>
    <t>125 pieces</t>
  </si>
  <si>
    <t>2402-0197 dtd.
02-26-2024</t>
  </si>
  <si>
    <t>0355-24 dtd.
02-27-2024</t>
  </si>
  <si>
    <t>02/26/2024-Received PR from End-User
02/28/2024-Recorded PR No.
03/06/2024-Recorded RFQ No.</t>
  </si>
  <si>
    <t>Printing Services</t>
  </si>
  <si>
    <t>Shopping / Cash Advance</t>
  </si>
  <si>
    <r>
      <rPr>
        <rFont val="Arial"/>
        <b/>
        <color theme="1"/>
        <sz val="9.0"/>
      </rPr>
      <t>Technical Specifications
-Weaving of naturally-dyed yarns into drop-down fabrics</t>
    </r>
    <r>
      <rPr>
        <rFont val="Arial"/>
        <b val="0"/>
        <color theme="1"/>
        <sz val="9.0"/>
      </rPr>
      <t xml:space="preserve">
-Length: at least 20 meters
-Width: at least 20 inches
</t>
    </r>
    <r>
      <rPr>
        <rFont val="Arial"/>
        <b/>
        <color theme="1"/>
        <sz val="9.0"/>
      </rPr>
      <t xml:space="preserve">Supplementary Documents
</t>
    </r>
    <r>
      <rPr>
        <rFont val="Arial"/>
        <b val="0"/>
        <color theme="1"/>
        <sz val="9.0"/>
      </rPr>
      <t xml:space="preserve">-Quotations must be submitted with the following:
1. Updated and valid Mayor's Permit
2. Updated and valid BIR 2303
3. PhilGEPS Registration Certificate
</t>
    </r>
    <r>
      <rPr>
        <rFont val="Arial"/>
        <b/>
        <color theme="1"/>
        <sz val="9.0"/>
      </rPr>
      <t xml:space="preserve">Delivery
</t>
    </r>
    <r>
      <rPr>
        <rFont val="Arial"/>
        <b val="0"/>
        <color theme="1"/>
        <sz val="9.0"/>
      </rPr>
      <t>-Delivery Period: 45-60 working days
-Inclusive of Value-Added Tax (VAT) and other applicable taxes
-Inclusive of delivery charges to DOST-PTRI, General Santos Avenue, Bicutan, Taguig City</t>
    </r>
  </si>
  <si>
    <t>45-60 working days</t>
  </si>
  <si>
    <t>2402-0108 dtd.
2-13-2024</t>
  </si>
  <si>
    <t>0220-24 dtd.
2-13-2024</t>
  </si>
  <si>
    <t>2/20/2024-Recorded PR and RFQ No.</t>
  </si>
  <si>
    <r>
      <rPr>
        <rFont val="Arial"/>
        <b/>
        <color theme="1"/>
        <sz val="9.0"/>
      </rPr>
      <t xml:space="preserve">Technical Specifications
</t>
    </r>
    <r>
      <rPr>
        <rFont val="Arial"/>
        <color theme="1"/>
        <sz val="9.0"/>
      </rPr>
      <t xml:space="preserve">-NatDyed Prototype Wearable
</t>
    </r>
    <r>
      <rPr>
        <rFont val="Arial"/>
        <b/>
        <color theme="1"/>
        <sz val="9.0"/>
      </rPr>
      <t xml:space="preserve">-Sewing and Development of Naturally-Dyed Wearable for Men and Women
Supplementary Documents
</t>
    </r>
    <r>
      <rPr>
        <rFont val="Arial"/>
        <color theme="1"/>
        <sz val="9.0"/>
      </rPr>
      <t xml:space="preserve">-Quotations must be submitted with the following:
1. Updated and valid Mayor's Permit
2. Updated and valid BIR 2303
3. Signed and notarized Omnibus Swon Statement (OSS)
4. PhilGEPS Registration Certificate
</t>
    </r>
    <r>
      <rPr>
        <rFont val="Arial"/>
        <b/>
        <color theme="1"/>
        <sz val="9.0"/>
      </rPr>
      <t xml:space="preserve">
Delivery
</t>
    </r>
    <r>
      <rPr>
        <rFont val="Arial"/>
        <color theme="1"/>
        <sz val="9.0"/>
      </rPr>
      <t>-Delivery Period: 45-60 working days
-Inclusive of Value-Added Tax (VAT) and other applicable taxes
-Inclusive of delivery charges to DOST-PTRI, General Santos Avenue, Bicutan, Taguig City</t>
    </r>
  </si>
  <si>
    <t>3 sets</t>
  </si>
  <si>
    <t>2402-0122 dtd. 
02-14-2024</t>
  </si>
  <si>
    <t>0225-24 dtd. 
02-15-2024</t>
  </si>
  <si>
    <t xml:space="preserve">2/20/2024-Recorded PR and RFQ No. </t>
  </si>
  <si>
    <t>Pure Silk Fabric</t>
  </si>
  <si>
    <t>32 meters</t>
  </si>
  <si>
    <r>
      <rPr>
        <rFont val="Arial"/>
        <b/>
        <color theme="1"/>
        <sz val="9.0"/>
      </rPr>
      <t>Printing Services</t>
    </r>
    <r>
      <rPr>
        <rFont val="Arial"/>
        <color theme="1"/>
        <sz val="9.0"/>
      </rPr>
      <t xml:space="preserve">
- Sintra Boards for the Training and Exhibits on Natural Dyeing</t>
    </r>
  </si>
  <si>
    <t>Industry Market Research on Natural Dyes</t>
  </si>
  <si>
    <t>Direct Retail Purchasing</t>
  </si>
  <si>
    <t>per schedule</t>
  </si>
  <si>
    <t>15 lot</t>
  </si>
  <si>
    <t>24/01-0029</t>
  </si>
  <si>
    <r>
      <rPr>
        <rFont val="Arial"/>
        <b/>
        <color theme="1"/>
        <sz val="9.0"/>
      </rPr>
      <t>Transportation and Delivery Expense
-</t>
    </r>
    <r>
      <rPr>
        <rFont val="Arial"/>
        <color theme="1"/>
        <sz val="9.0"/>
      </rPr>
      <t>To conduct coordination and collaboration meeting for the 1st Philippine
Dyes and Colorants Symposium
-Date: 01 March 2024, Friday
-From: DOST-PTRI, General Santos Avenue, Bicutan, Taguig City
-To: De La Salle - College of St. Benilde, 2554 Taft Avenue, Malate, Manila
-Vice-versa
List of Passengers: 
1. Kimberly P. Veron
2. Randy A. Sales
3. Cris Angelo Pagtalunan</t>
    </r>
  </si>
  <si>
    <t>03/04/2024-Received PR from End-user</t>
  </si>
  <si>
    <r>
      <rPr>
        <rFont val="Arial"/>
        <b/>
        <color theme="1"/>
        <sz val="9.0"/>
      </rPr>
      <t>Transportation and Delivery Expense</t>
    </r>
    <r>
      <rPr>
        <rFont val="Arial"/>
        <color theme="1"/>
        <sz val="9.0"/>
      </rPr>
      <t xml:space="preserve">
- Dispatch of indigo-dyed bamboo-lyocell for processing
- From Philippine Textile Research Institute, DOST Compound, General Santos 
Avenue, Bicutan, Taguig City to Bagtason Loom Weavers Association, 
Bagtason, Bugasong, Philipipines</t>
    </r>
  </si>
  <si>
    <t xml:space="preserve">2/20/2024-Received PR from End-User </t>
  </si>
  <si>
    <t>30-calendar days</t>
  </si>
  <si>
    <t>2402-0151 dtd.
02-19-2024</t>
  </si>
  <si>
    <t>0287-24 dtd.
02-22-2024</t>
  </si>
  <si>
    <t xml:space="preserve">UV-Vis Spectrophotometer
</t>
  </si>
  <si>
    <t>Public Bidding</t>
  </si>
  <si>
    <t>2402-0199 dtd.
02-26-2024</t>
  </si>
  <si>
    <t>02/26/2024-Received PR from End-User
02/28/2024-Recorded PR No.</t>
  </si>
  <si>
    <t>02/29/2024-Received PR from End-User</t>
  </si>
  <si>
    <t>2402-0198 dtd.
02-26-2024</t>
  </si>
  <si>
    <t>Mobile Load Card</t>
  </si>
  <si>
    <t>11 pieces</t>
  </si>
  <si>
    <t>02/26/2024-Received PR from End-User</t>
  </si>
  <si>
    <t>Refill or Liquefied Petroleum Gas (LPG)
-Eleven (11) kilograms per tank
-For Laboratory use at the TBI NatDyes Center</t>
  </si>
  <si>
    <t>4 tanks</t>
  </si>
  <si>
    <t>2402-0196 C/A</t>
  </si>
  <si>
    <t>MACRO LIQUID 
PETROLEUM 
GAS CO., INC.</t>
  </si>
  <si>
    <t>2024-0194 
dtd. 2/29/24</t>
  </si>
  <si>
    <t>n/a</t>
  </si>
  <si>
    <t>with IAR dtd.
2/29/24</t>
  </si>
  <si>
    <r>
      <rPr>
        <rFont val="Arial"/>
        <b/>
        <color theme="1"/>
        <sz val="9.0"/>
      </rPr>
      <t xml:space="preserve">AM Snacks
</t>
    </r>
    <r>
      <rPr>
        <rFont val="Arial"/>
        <color theme="1"/>
        <sz val="9.0"/>
      </rPr>
      <t>Date: 22 January 2024
Event: Meetiing with MEDTECS
Time: 10;00 AM to 12:00 PM
Place: TELA Conference, DOST-PTRI</t>
    </r>
  </si>
  <si>
    <t>22 pax</t>
  </si>
  <si>
    <t>24/01 0035 dtd.
01-15-2024</t>
  </si>
  <si>
    <t>02/26/2024-Received PR from End-User
-Recorded PR No. (For Out Sir Boysen)</t>
  </si>
  <si>
    <r>
      <rPr>
        <rFont val="Arial"/>
        <b/>
        <color theme="1"/>
        <sz val="9.0"/>
      </rPr>
      <t xml:space="preserve">Printing Services
</t>
    </r>
    <r>
      <rPr>
        <rFont val="Arial"/>
        <b val="0"/>
        <color theme="1"/>
        <sz val="9.0"/>
      </rPr>
      <t xml:space="preserve">-Sintra Boards for the Training and Exhibits on Natural Dyeing with the Abra State Institute of Science and Technology (ASIST) Main Campus, Abra
Inclusions:
</t>
    </r>
    <r>
      <rPr>
        <rFont val="Arial"/>
        <b/>
        <color theme="1"/>
        <sz val="9.0"/>
      </rPr>
      <t>-</t>
    </r>
    <r>
      <rPr>
        <rFont val="Arial"/>
        <b val="0"/>
        <color theme="1"/>
        <sz val="9.0"/>
      </rPr>
      <t>One (1) piece 31.5 inch x 82.5 inch for Indigo Dyeing
-One (1) piece 31.5 inch x 82.5 inch for Natural Dyeing
-One (1) piece 31.5 inch x 82.5 inch for Silkscreen Printing
-One (1) piece 31.5 inch x 82.5 inch for Natural Paints</t>
    </r>
  </si>
  <si>
    <t>2402-0121 dtd. 
02-14-2024</t>
  </si>
  <si>
    <t>0228-24 dtd. 
02-15-2024</t>
  </si>
  <si>
    <r>
      <rPr>
        <rFont val="Arial"/>
        <b/>
        <color theme="1"/>
        <sz val="9.0"/>
      </rPr>
      <t xml:space="preserve">Transportation and Delivery Expense
- </t>
    </r>
    <r>
      <rPr>
        <rFont val="Arial"/>
        <color theme="1"/>
        <sz val="9.0"/>
      </rPr>
      <t>DIspatch of talisay-dyed and undyed cotton yarns for processing
- From 364 Edang, Malibay, Pasay City, Metro Manila to Bulbulala, Lapaz, Abra</t>
    </r>
  </si>
  <si>
    <t>2/20/2024-Received PR from End-User</t>
  </si>
  <si>
    <r>
      <rPr>
        <rFont val="Arial"/>
        <b/>
        <color theme="1"/>
        <sz val="9.0"/>
      </rPr>
      <t>Printing Services
-</t>
    </r>
    <r>
      <rPr>
        <rFont val="Arial"/>
        <color theme="1"/>
        <sz val="9.0"/>
      </rPr>
      <t>Tarpaulin for the Technical Lecture and Training on Natural Dyeing and MOA Signing Ceremony between the DOST-PTRI and Abra State Institute of Science and Technology (ASIST) Main Campus</t>
    </r>
    <r>
      <rPr>
        <rFont val="Arial"/>
        <b/>
        <color theme="1"/>
        <sz val="9.0"/>
      </rPr>
      <t xml:space="preserve">
Inclusions:
</t>
    </r>
    <r>
      <rPr>
        <rFont val="Arial"/>
        <color theme="1"/>
        <sz val="9.0"/>
      </rPr>
      <t>-One (1) piece 36 in x 72 in tarpaulin for Mondanting</t>
    </r>
    <r>
      <rPr>
        <rFont val="Arial"/>
        <b/>
        <color theme="1"/>
        <sz val="9.0"/>
      </rPr>
      <t xml:space="preserve">
</t>
    </r>
    <r>
      <rPr>
        <rFont val="Arial"/>
        <color theme="1"/>
        <sz val="9.0"/>
      </rPr>
      <t>-One (1) piece 36 in x 72 in tarpaulin for Extraction
-One (1) piece 36 in x 72 in tarpaulin for Pre-treatment
-One (1) piece 36 in x 72 in tarpaulin for Dyeing</t>
    </r>
  </si>
  <si>
    <r>
      <rPr>
        <rFont val="Arial"/>
        <b/>
        <color theme="1"/>
        <sz val="9.0"/>
      </rPr>
      <t xml:space="preserve">Customized Piña-Based Fabric for Barong
</t>
    </r>
    <r>
      <rPr>
        <rFont val="Arial"/>
        <b/>
        <i/>
        <color theme="1"/>
        <sz val="9.0"/>
      </rPr>
      <t xml:space="preserve">Technical Specifications
</t>
    </r>
    <r>
      <rPr>
        <rFont val="Arial"/>
        <b val="0"/>
        <color theme="1"/>
        <sz val="9.0"/>
      </rPr>
      <t>-Warp: Piña-Seda
-Weft: Bamboo-PTF blend fabric
-Design: Customized embroidery for barong tops</t>
    </r>
  </si>
  <si>
    <t>2 lot</t>
  </si>
  <si>
    <t>15 calendar days</t>
  </si>
  <si>
    <t>AM Snacks @ ₱100/pax</t>
  </si>
  <si>
    <t>10 pax</t>
  </si>
  <si>
    <t>Lunch @ 250.00/pax</t>
  </si>
  <si>
    <r>
      <rPr>
        <rFont val="Arial"/>
        <b/>
        <color theme="1"/>
        <sz val="9.0"/>
      </rPr>
      <t xml:space="preserve">AM Snacks
</t>
    </r>
    <r>
      <rPr>
        <rFont val="Arial"/>
        <color theme="1"/>
        <sz val="9.0"/>
      </rPr>
      <t>Date: 22 January 2024
Event: Meetiing with MEDTECS
Time: 10;00 AM to 12:00 PM
Place: TELA Conference, DOST-PTRI</t>
    </r>
  </si>
  <si>
    <t>AM Snacks @ ₱100.00/pax
Date: 28 February 2024, 10:00 a.m. to 12:00 p.m.</t>
  </si>
  <si>
    <t>20 pax</t>
  </si>
  <si>
    <t>2402-0234 dtd.
02-28-2024</t>
  </si>
  <si>
    <t>03/04/2024-Received PR from End-user
-Recorded PR No.</t>
  </si>
  <si>
    <t>Lunch @ 250.00/pax
Date: 28 February 2024, 10:00 a.m. to 12:00 p.m.</t>
  </si>
  <si>
    <t>15 pax</t>
  </si>
  <si>
    <r>
      <rPr>
        <rFont val="Arial"/>
        <color rgb="FF000000"/>
        <sz val="11.0"/>
      </rPr>
      <t xml:space="preserve">Revision Date: </t>
    </r>
    <r>
      <rPr>
        <rFont val="Arial"/>
        <color rgb="FF000000"/>
        <sz val="11.0"/>
        <u/>
      </rPr>
      <t>13 March 2024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</si>
</sst>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[$₱]#,##0.00"/>
    <numFmt numFmtId="166" formatCode="m/d/yy"/>
  </numFmts>
  <fonts count="20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i/>
      <sz val="9.0"/>
      <color theme="1"/>
      <name val="Arial"/>
    </font>
    <font>
      <sz val="9.0"/>
      <color theme="1"/>
      <name val="Arial"/>
    </font>
    <font>
      <i/>
      <sz val="9.0"/>
      <color theme="1"/>
      <name val="Arial"/>
    </font>
    <font>
      <b/>
      <sz val="9.0"/>
      <color theme="1"/>
      <name val="Arial"/>
    </font>
    <font/>
    <font>
      <sz val="9.0"/>
      <color rgb="FF000000"/>
      <name val="Arial"/>
    </font>
    <font>
      <sz val="9.0"/>
      <color theme="1"/>
      <name val="Arial"/>
      <scheme val="minor"/>
    </font>
    <font>
      <b/>
      <u/>
      <sz val="9.0"/>
      <color theme="1"/>
      <name val="Arial"/>
    </font>
    <font>
      <u/>
      <sz val="9.0"/>
      <color theme="1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b/>
      <i/>
      <sz val="12.0"/>
      <color theme="1"/>
      <name val="Arial"/>
    </font>
    <font>
      <i/>
      <sz val="12.0"/>
      <color theme="1"/>
      <name val="Arial"/>
    </font>
    <font>
      <b/>
      <u/>
      <sz val="9.0"/>
      <color theme="1"/>
      <name val="Arial"/>
    </font>
    <font>
      <u/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6DCE4"/>
        <bgColor rgb="FFD6DCE4"/>
      </patternFill>
    </fill>
  </fills>
  <borders count="16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center" wrapText="0"/>
    </xf>
    <xf borderId="0" fillId="0" fontId="2" numFmtId="4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0" fontId="4" numFmtId="4" xfId="0" applyAlignment="1" applyFont="1" applyNumberFormat="1">
      <alignment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vertical="center"/>
    </xf>
    <xf borderId="1" fillId="0" fontId="4" numFmtId="4" xfId="0" applyAlignment="1" applyBorder="1" applyFont="1" applyNumberFormat="1">
      <alignment vertical="center"/>
    </xf>
    <xf borderId="1" fillId="0" fontId="4" numFmtId="164" xfId="0" applyAlignment="1" applyBorder="1" applyFont="1" applyNumberFormat="1">
      <alignment vertical="center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3" fillId="0" fontId="6" numFmtId="4" xfId="0" applyAlignment="1" applyBorder="1" applyFont="1" applyNumberFormat="1">
      <alignment horizontal="center" shrinkToFit="0" vertical="center" wrapText="1"/>
    </xf>
    <xf borderId="3" fillId="0" fontId="6" numFmtId="164" xfId="0" applyAlignment="1" applyBorder="1" applyFont="1" applyNumberForma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8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quotePrefix="1" borderId="10" fillId="0" fontId="6" numFmtId="0" xfId="0" applyAlignment="1" applyBorder="1" applyFont="1">
      <alignment horizontal="center" shrinkToFit="0" vertical="center" wrapText="1"/>
    </xf>
    <xf quotePrefix="1" borderId="3" fillId="0" fontId="6" numFmtId="0" xfId="0" applyAlignment="1" applyBorder="1" applyFont="1">
      <alignment horizontal="center" shrinkToFit="0" vertical="center" wrapText="1"/>
    </xf>
    <xf quotePrefix="1" borderId="3" fillId="0" fontId="6" numFmtId="4" xfId="0" applyAlignment="1" applyBorder="1" applyFont="1" applyNumberFormat="1">
      <alignment horizontal="center" shrinkToFit="0" vertical="center" wrapText="1"/>
    </xf>
    <xf quotePrefix="1" borderId="3" fillId="0" fontId="6" numFmtId="164" xfId="0" applyAlignment="1" applyBorder="1" applyFont="1" applyNumberFormat="1">
      <alignment horizontal="center" shrinkToFit="0" vertical="center" wrapText="1"/>
    </xf>
    <xf quotePrefix="1" borderId="8" fillId="0" fontId="6" numFmtId="0" xfId="0" applyAlignment="1" applyBorder="1" applyFont="1">
      <alignment horizontal="center" shrinkToFit="0" vertical="center" wrapText="1"/>
    </xf>
    <xf quotePrefix="1" borderId="9" fillId="0" fontId="6" numFmtId="0" xfId="0" applyAlignment="1" applyBorder="1" applyFont="1">
      <alignment horizontal="center" shrinkToFit="0" vertical="center" wrapText="1"/>
    </xf>
    <xf borderId="11" fillId="2" fontId="6" numFmtId="0" xfId="0" applyAlignment="1" applyBorder="1" applyFill="1" applyFont="1">
      <alignment horizontal="center" shrinkToFit="0" vertical="center" wrapText="1"/>
    </xf>
    <xf borderId="11" fillId="2" fontId="4" numFmtId="0" xfId="0" applyAlignment="1" applyBorder="1" applyFont="1">
      <alignment vertical="center"/>
    </xf>
    <xf borderId="11" fillId="2" fontId="6" numFmtId="0" xfId="0" applyAlignment="1" applyBorder="1" applyFont="1">
      <alignment shrinkToFit="0" vertical="center" wrapText="1"/>
    </xf>
    <xf borderId="11" fillId="2" fontId="4" numFmtId="4" xfId="0" applyAlignment="1" applyBorder="1" applyFont="1" applyNumberFormat="1">
      <alignment vertical="center"/>
    </xf>
    <xf borderId="11" fillId="2" fontId="4" numFmtId="164" xfId="0" applyAlignment="1" applyBorder="1" applyFont="1" applyNumberFormat="1">
      <alignment vertical="center"/>
    </xf>
    <xf borderId="4" fillId="2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1" fillId="0" fontId="4" numFmtId="49" xfId="0" applyAlignment="1" applyBorder="1" applyFont="1" applyNumberFormat="1">
      <alignment vertical="center"/>
    </xf>
    <xf borderId="11" fillId="0" fontId="4" numFmtId="49" xfId="0" applyAlignment="1" applyBorder="1" applyFont="1" applyNumberFormat="1">
      <alignment readingOrder="0" vertical="center"/>
    </xf>
    <xf borderId="11" fillId="0" fontId="4" numFmtId="0" xfId="0" applyAlignment="1" applyBorder="1" applyFont="1">
      <alignment horizontal="center" readingOrder="0" shrinkToFit="0" vertical="center" wrapText="1"/>
    </xf>
    <xf borderId="11" fillId="0" fontId="4" numFmtId="4" xfId="0" applyAlignment="1" applyBorder="1" applyFont="1" applyNumberFormat="1">
      <alignment horizontal="right" readingOrder="0" shrinkToFit="0" vertical="center" wrapText="1"/>
    </xf>
    <xf borderId="11" fillId="0" fontId="4" numFmtId="164" xfId="0" applyAlignment="1" applyBorder="1" applyFont="1" applyNumberFormat="1">
      <alignment horizontal="center" shrinkToFit="0" vertical="center" wrapText="1"/>
    </xf>
    <xf borderId="11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vertical="center"/>
    </xf>
    <xf borderId="11" fillId="0" fontId="4" numFmtId="0" xfId="0" applyAlignment="1" applyBorder="1" applyFont="1">
      <alignment readingOrder="0" shrinkToFit="0" vertical="center" wrapText="1"/>
    </xf>
    <xf borderId="11" fillId="0" fontId="4" numFmtId="164" xfId="0" applyAlignment="1" applyBorder="1" applyFont="1" applyNumberFormat="1">
      <alignment horizontal="center" readingOrder="0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1" fillId="0" fontId="4" numFmtId="4" xfId="0" applyAlignment="1" applyBorder="1" applyFont="1" applyNumberFormat="1">
      <alignment horizontal="right" shrinkToFit="0" vertical="center" wrapText="1"/>
    </xf>
    <xf borderId="11" fillId="0" fontId="4" numFmtId="4" xfId="0" applyAlignment="1" applyBorder="1" applyFont="1" applyNumberFormat="1">
      <alignment horizontal="right" vertical="center"/>
    </xf>
    <xf borderId="11" fillId="0" fontId="4" numFmtId="0" xfId="0" applyAlignment="1" applyBorder="1" applyFont="1">
      <alignment readingOrder="0" vertical="center"/>
    </xf>
    <xf borderId="11" fillId="0" fontId="4" numFmtId="4" xfId="0" applyAlignment="1" applyBorder="1" applyFont="1" applyNumberFormat="1">
      <alignment horizontal="right" readingOrder="0" vertical="center"/>
    </xf>
    <xf borderId="11" fillId="2" fontId="6" numFmtId="0" xfId="0" applyAlignment="1" applyBorder="1" applyFont="1">
      <alignment vertical="center"/>
    </xf>
    <xf borderId="11" fillId="0" fontId="4" numFmtId="49" xfId="0" applyAlignment="1" applyBorder="1" applyFont="1" applyNumberFormat="1">
      <alignment horizontal="center" vertical="center"/>
    </xf>
    <xf borderId="11" fillId="3" fontId="4" numFmtId="49" xfId="0" applyAlignment="1" applyBorder="1" applyFill="1" applyFont="1" applyNumberFormat="1">
      <alignment readingOrder="0" vertical="center"/>
    </xf>
    <xf borderId="11" fillId="0" fontId="6" numFmtId="0" xfId="0" applyAlignment="1" applyBorder="1" applyFont="1">
      <alignment vertical="center"/>
    </xf>
    <xf borderId="11" fillId="0" fontId="4" numFmtId="0" xfId="0" applyAlignment="1" applyBorder="1" applyFont="1">
      <alignment horizontal="center" vertical="center"/>
    </xf>
    <xf borderId="11" fillId="0" fontId="8" numFmtId="49" xfId="0" applyAlignment="1" applyBorder="1" applyFont="1" applyNumberFormat="1">
      <alignment readingOrder="0" shrinkToFit="0" vertical="bottom" wrapText="0"/>
    </xf>
    <xf borderId="11" fillId="0" fontId="8" numFmtId="0" xfId="0" applyAlignment="1" applyBorder="1" applyFont="1">
      <alignment horizontal="center" readingOrder="0" shrinkToFit="0" vertical="bottom" wrapText="0"/>
    </xf>
    <xf borderId="11" fillId="0" fontId="8" numFmtId="4" xfId="0" applyAlignment="1" applyBorder="1" applyFont="1" applyNumberFormat="1">
      <alignment readingOrder="0" shrinkToFit="0" vertical="bottom" wrapText="0"/>
    </xf>
    <xf borderId="11" fillId="0" fontId="8" numFmtId="164" xfId="0" applyAlignment="1" applyBorder="1" applyFont="1" applyNumberFormat="1">
      <alignment readingOrder="0" shrinkToFit="0" vertical="bottom" wrapText="0"/>
    </xf>
    <xf borderId="11" fillId="0" fontId="9" numFmtId="0" xfId="0" applyAlignment="1" applyBorder="1" applyFont="1">
      <alignment readingOrder="0"/>
    </xf>
    <xf borderId="11" fillId="2" fontId="4" numFmtId="49" xfId="0" applyAlignment="1" applyBorder="1" applyFont="1" applyNumberFormat="1">
      <alignment vertical="center"/>
    </xf>
    <xf borderId="11" fillId="2" fontId="6" numFmtId="49" xfId="0" applyAlignment="1" applyBorder="1" applyFont="1" applyNumberFormat="1">
      <alignment vertical="center"/>
    </xf>
    <xf borderId="11" fillId="3" fontId="8" numFmtId="49" xfId="0" applyAlignment="1" applyBorder="1" applyFont="1" applyNumberFormat="1">
      <alignment readingOrder="0" shrinkToFit="0" vertical="center" wrapText="0"/>
    </xf>
    <xf borderId="11" fillId="3" fontId="8" numFmtId="0" xfId="0" applyAlignment="1" applyBorder="1" applyFont="1">
      <alignment horizontal="center" readingOrder="0" shrinkToFit="0" vertical="center" wrapText="0"/>
    </xf>
    <xf borderId="11" fillId="0" fontId="8" numFmtId="4" xfId="0" applyAlignment="1" applyBorder="1" applyFont="1" applyNumberFormat="1">
      <alignment readingOrder="0" shrinkToFit="0" vertical="center" wrapText="0"/>
    </xf>
    <xf borderId="11" fillId="0" fontId="8" numFmtId="164" xfId="0" applyAlignment="1" applyBorder="1" applyFont="1" applyNumberFormat="1">
      <alignment readingOrder="0" shrinkToFit="0" vertical="center" wrapText="0"/>
    </xf>
    <xf borderId="11" fillId="0" fontId="8" numFmtId="49" xfId="0" applyAlignment="1" applyBorder="1" applyFont="1" applyNumberFormat="1">
      <alignment readingOrder="0" shrinkToFit="0" vertical="center" wrapText="0"/>
    </xf>
    <xf borderId="11" fillId="0" fontId="8" numFmtId="0" xfId="0" applyAlignment="1" applyBorder="1" applyFont="1">
      <alignment horizontal="center" readingOrder="0" shrinkToFit="0" vertical="center" wrapText="0"/>
    </xf>
    <xf borderId="11" fillId="0" fontId="8" numFmtId="49" xfId="0" applyAlignment="1" applyBorder="1" applyFont="1" applyNumberFormat="1">
      <alignment horizontal="left" readingOrder="0" shrinkToFit="0" vertical="center" wrapText="0"/>
    </xf>
    <xf borderId="11" fillId="0" fontId="8" numFmtId="49" xfId="0" applyAlignment="1" applyBorder="1" applyFont="1" applyNumberFormat="1">
      <alignment readingOrder="0" shrinkToFit="0" vertical="center" wrapText="0"/>
    </xf>
    <xf borderId="11" fillId="0" fontId="8" numFmtId="0" xfId="0" applyAlignment="1" applyBorder="1" applyFont="1">
      <alignment horizontal="center" readingOrder="0" shrinkToFit="0" vertical="center" wrapText="0"/>
    </xf>
    <xf borderId="11" fillId="0" fontId="8" numFmtId="4" xfId="0" applyAlignment="1" applyBorder="1" applyFont="1" applyNumberFormat="1">
      <alignment readingOrder="0" shrinkToFit="0" vertical="center" wrapText="0"/>
    </xf>
    <xf borderId="11" fillId="0" fontId="8" numFmtId="0" xfId="0" applyAlignment="1" applyBorder="1" applyFont="1">
      <alignment horizontal="center" readingOrder="0" shrinkToFit="0" vertical="bottom" wrapText="0"/>
    </xf>
    <xf borderId="11" fillId="0" fontId="4" numFmtId="49" xfId="0" applyAlignment="1" applyBorder="1" applyFont="1" applyNumberFormat="1">
      <alignment readingOrder="0" shrinkToFit="0" vertical="center" wrapText="1"/>
    </xf>
    <xf borderId="11" fillId="0" fontId="4" numFmtId="0" xfId="0" applyAlignment="1" applyBorder="1" applyFont="1">
      <alignment shrinkToFit="0" vertical="center" wrapText="0"/>
    </xf>
    <xf borderId="11" fillId="2" fontId="6" numFmtId="49" xfId="0" applyAlignment="1" applyBorder="1" applyFont="1" applyNumberFormat="1">
      <alignment readingOrder="0" vertical="center"/>
    </xf>
    <xf borderId="11" fillId="0" fontId="6" numFmtId="0" xfId="0" applyAlignment="1" applyBorder="1" applyFont="1">
      <alignment horizontal="center" shrinkToFit="0" vertical="center" wrapText="1"/>
    </xf>
    <xf borderId="11" fillId="0" fontId="4" numFmtId="49" xfId="0" applyAlignment="1" applyBorder="1" applyFont="1" applyNumberFormat="1">
      <alignment readingOrder="0" vertical="center"/>
    </xf>
    <xf borderId="11" fillId="0" fontId="4" numFmtId="4" xfId="0" applyAlignment="1" applyBorder="1" applyFont="1" applyNumberFormat="1">
      <alignment readingOrder="0" vertical="center"/>
    </xf>
    <xf borderId="11" fillId="0" fontId="4" numFmtId="164" xfId="0" applyAlignment="1" applyBorder="1" applyFont="1" applyNumberFormat="1">
      <alignment vertical="center"/>
    </xf>
    <xf borderId="11" fillId="2" fontId="6" numFmtId="0" xfId="0" applyAlignment="1" applyBorder="1" applyFont="1">
      <alignment readingOrder="0" vertical="center"/>
    </xf>
    <xf borderId="11" fillId="0" fontId="4" numFmtId="49" xfId="0" applyAlignment="1" applyBorder="1" applyFont="1" applyNumberFormat="1">
      <alignment horizontal="center" readingOrder="0" shrinkToFit="0" vertical="center" wrapText="1"/>
    </xf>
    <xf borderId="11" fillId="2" fontId="6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center" shrinkToFit="0" vertical="center" wrapText="1"/>
    </xf>
    <xf borderId="11" fillId="2" fontId="4" numFmtId="4" xfId="0" applyAlignment="1" applyBorder="1" applyFont="1" applyNumberFormat="1">
      <alignment horizontal="right" shrinkToFit="0" vertical="center" wrapText="1"/>
    </xf>
    <xf borderId="11" fillId="2" fontId="4" numFmtId="164" xfId="0" applyAlignment="1" applyBorder="1" applyFont="1" applyNumberFormat="1">
      <alignment horizontal="center" shrinkToFit="0" vertical="center" wrapText="1"/>
    </xf>
    <xf borderId="11" fillId="2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11" fillId="0" fontId="6" numFmtId="0" xfId="0" applyAlignment="1" applyBorder="1" applyFont="1">
      <alignment readingOrder="0" vertical="center"/>
    </xf>
    <xf borderId="11" fillId="0" fontId="4" numFmtId="0" xfId="0" applyAlignment="1" applyBorder="1" applyFont="1">
      <alignment readingOrder="0" vertical="center"/>
    </xf>
    <xf borderId="11" fillId="0" fontId="4" numFmtId="49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shrinkToFit="0" vertical="center" wrapText="0"/>
    </xf>
    <xf borderId="12" fillId="0" fontId="6" numFmtId="165" xfId="0" applyAlignment="1" applyBorder="1" applyFont="1" applyNumberFormat="1">
      <alignment horizontal="right" vertical="center"/>
    </xf>
    <xf borderId="12" fillId="0" fontId="7" numFmtId="0" xfId="0" applyBorder="1" applyFont="1"/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vertic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0"/>
    </xf>
    <xf borderId="0" fillId="0" fontId="13" numFmtId="0" xfId="0" applyAlignment="1" applyFont="1">
      <alignment vertical="center"/>
    </xf>
    <xf borderId="0" fillId="0" fontId="13" numFmtId="0" xfId="0" applyAlignment="1" applyFont="1">
      <alignment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5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16" numFmtId="0" xfId="0" applyAlignment="1" applyFont="1">
      <alignment shrinkToFit="0" wrapText="0"/>
    </xf>
    <xf borderId="0" fillId="0" fontId="2" numFmtId="4" xfId="0" applyFont="1" applyNumberFormat="1"/>
    <xf borderId="0" fillId="0" fontId="2" numFmtId="164" xfId="0" applyFont="1" applyNumberFormat="1"/>
    <xf borderId="1" fillId="0" fontId="17" numFmtId="0" xfId="0" applyAlignment="1" applyBorder="1" applyFont="1">
      <alignment shrinkToFit="0" wrapText="0"/>
    </xf>
    <xf borderId="1" fillId="0" fontId="2" numFmtId="0" xfId="0" applyBorder="1" applyFont="1"/>
    <xf borderId="1" fillId="0" fontId="2" numFmtId="4" xfId="0" applyBorder="1" applyFont="1" applyNumberFormat="1"/>
    <xf borderId="1" fillId="0" fontId="2" numFmtId="164" xfId="0" applyBorder="1" applyFont="1" applyNumberFormat="1"/>
    <xf quotePrefix="1" borderId="13" fillId="0" fontId="6" numFmtId="0" xfId="0" applyAlignment="1" applyBorder="1" applyFont="1">
      <alignment horizontal="center" shrinkToFit="0" vertical="center" wrapText="1"/>
    </xf>
    <xf quotePrefix="1" borderId="8" fillId="0" fontId="6" numFmtId="4" xfId="0" applyAlignment="1" applyBorder="1" applyFont="1" applyNumberFormat="1">
      <alignment horizontal="center" shrinkToFit="0" vertical="center" wrapText="1"/>
    </xf>
    <xf quotePrefix="1" borderId="8" fillId="0" fontId="6" numFmtId="164" xfId="0" applyAlignment="1" applyBorder="1" applyFont="1" applyNumberFormat="1">
      <alignment horizontal="center" shrinkToFit="0" vertical="center" wrapText="1"/>
    </xf>
    <xf borderId="14" fillId="2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shrinkToFit="0" vertical="center" wrapText="1"/>
    </xf>
    <xf borderId="4" fillId="2" fontId="4" numFmtId="4" xfId="0" applyAlignment="1" applyBorder="1" applyFont="1" applyNumberFormat="1">
      <alignment vertical="center"/>
    </xf>
    <xf borderId="4" fillId="2" fontId="4" numFmtId="164" xfId="0" applyAlignment="1" applyBorder="1" applyFont="1" applyNumberFormat="1">
      <alignment vertical="center"/>
    </xf>
    <xf borderId="14" fillId="0" fontId="4" numFmtId="0" xfId="0" applyAlignment="1" applyBorder="1" applyFont="1">
      <alignment vertical="center"/>
    </xf>
    <xf borderId="4" fillId="0" fontId="4" numFmtId="49" xfId="0" applyAlignment="1" applyBorder="1" applyFont="1" applyNumberFormat="1">
      <alignment vertical="center"/>
    </xf>
    <xf borderId="4" fillId="0" fontId="4" numFmtId="0" xfId="0" applyAlignment="1" applyBorder="1" applyFont="1">
      <alignment horizontal="center" shrinkToFit="0" vertical="center" wrapText="1"/>
    </xf>
    <xf borderId="4" fillId="0" fontId="4" numFmtId="4" xfId="0" applyAlignment="1" applyBorder="1" applyFont="1" applyNumberFormat="1">
      <alignment horizontal="right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4" fillId="0" fontId="4" numFmtId="49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shrinkToFit="0" vertical="center" wrapText="1"/>
    </xf>
    <xf borderId="3" fillId="0" fontId="4" numFmtId="164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3" fillId="0" fontId="7" numFmtId="0" xfId="0" applyBorder="1" applyFont="1"/>
    <xf borderId="4" fillId="0" fontId="4" numFmtId="4" xfId="0" applyAlignment="1" applyBorder="1" applyFont="1" applyNumberFormat="1">
      <alignment horizontal="right" vertical="center"/>
    </xf>
    <xf borderId="4" fillId="0" fontId="7" numFmtId="0" xfId="0" applyBorder="1" applyFont="1"/>
    <xf borderId="4" fillId="0" fontId="4" numFmtId="4" xfId="0" applyAlignment="1" applyBorder="1" applyFont="1" applyNumberFormat="1">
      <alignment horizontal="right" readingOrder="0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readingOrder="0" vertical="center"/>
    </xf>
    <xf borderId="4" fillId="0" fontId="4" numFmtId="4" xfId="0" applyAlignment="1" applyBorder="1" applyFont="1" applyNumberFormat="1">
      <alignment horizontal="right" readingOrder="0" vertical="center"/>
    </xf>
    <xf borderId="4" fillId="2" fontId="6" numFmtId="0" xfId="0" applyAlignment="1" applyBorder="1" applyFont="1">
      <alignment vertical="center"/>
    </xf>
    <xf borderId="4" fillId="0" fontId="4" numFmtId="49" xfId="0" applyAlignment="1" applyBorder="1" applyFont="1" applyNumberFormat="1">
      <alignment readingOrder="0" vertical="center"/>
    </xf>
    <xf borderId="14" fillId="2" fontId="6" numFmtId="0" xfId="0" applyAlignment="1" applyBorder="1" applyFont="1">
      <alignment vertical="center"/>
    </xf>
    <xf borderId="4" fillId="2" fontId="4" numFmtId="49" xfId="0" applyAlignment="1" applyBorder="1" applyFont="1" applyNumberFormat="1">
      <alignment vertical="center"/>
    </xf>
    <xf borderId="4" fillId="2" fontId="6" numFmtId="49" xfId="0" applyAlignment="1" applyBorder="1" applyFont="1" applyNumberFormat="1">
      <alignment vertical="center"/>
    </xf>
    <xf borderId="4" fillId="0" fontId="6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0"/>
    </xf>
    <xf borderId="4" fillId="2" fontId="6" numFmtId="49" xfId="0" applyAlignment="1" applyBorder="1" applyFont="1" applyNumberFormat="1">
      <alignment readingOrder="0" vertical="center"/>
    </xf>
    <xf borderId="14" fillId="3" fontId="6" numFmtId="0" xfId="0" applyAlignment="1" applyBorder="1" applyFont="1">
      <alignment horizontal="center" shrinkToFit="0" vertical="center" wrapText="1"/>
    </xf>
    <xf borderId="4" fillId="3" fontId="4" numFmtId="49" xfId="0" applyAlignment="1" applyBorder="1" applyFont="1" applyNumberFormat="1">
      <alignment vertical="center"/>
    </xf>
    <xf borderId="4" fillId="3" fontId="4" numFmtId="49" xfId="0" applyAlignment="1" applyBorder="1" applyFont="1" applyNumberFormat="1">
      <alignment readingOrder="0" vertical="center"/>
    </xf>
    <xf borderId="4" fillId="3" fontId="4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14" fillId="4" fontId="4" numFmtId="0" xfId="0" applyAlignment="1" applyBorder="1" applyFill="1" applyFont="1">
      <alignment vertical="center"/>
    </xf>
    <xf borderId="4" fillId="4" fontId="4" numFmtId="0" xfId="0" applyAlignment="1" applyBorder="1" applyFont="1">
      <alignment vertical="center"/>
    </xf>
    <xf borderId="4" fillId="4" fontId="6" numFmtId="0" xfId="0" applyAlignment="1" applyBorder="1" applyFont="1">
      <alignment vertical="center"/>
    </xf>
    <xf borderId="4" fillId="4" fontId="4" numFmtId="0" xfId="0" applyAlignment="1" applyBorder="1" applyFont="1">
      <alignment horizontal="center" shrinkToFit="0" vertical="center" wrapText="1"/>
    </xf>
    <xf borderId="4" fillId="4" fontId="4" numFmtId="4" xfId="0" applyAlignment="1" applyBorder="1" applyFont="1" applyNumberFormat="1">
      <alignment horizontal="right" shrinkToFit="0" vertical="center" wrapText="1"/>
    </xf>
    <xf borderId="4" fillId="4" fontId="4" numFmtId="0" xfId="0" applyAlignment="1" applyBorder="1" applyFont="1">
      <alignment horizontal="center" vertical="center"/>
    </xf>
    <xf borderId="4" fillId="0" fontId="4" numFmtId="4" xfId="0" applyAlignment="1" applyBorder="1" applyFont="1" applyNumberFormat="1">
      <alignment vertical="center"/>
    </xf>
    <xf borderId="4" fillId="0" fontId="4" numFmtId="166" xfId="0" applyAlignment="1" applyBorder="1" applyFont="1" applyNumberFormat="1">
      <alignment vertical="center"/>
    </xf>
    <xf borderId="4" fillId="0" fontId="6" numFmtId="0" xfId="0" applyAlignment="1" applyBorder="1" applyFont="1">
      <alignment vertical="center"/>
    </xf>
    <xf borderId="15" fillId="5" fontId="6" numFmtId="0" xfId="0" applyAlignment="1" applyBorder="1" applyFill="1" applyFont="1">
      <alignment horizontal="center" vertical="center"/>
    </xf>
    <xf borderId="4" fillId="5" fontId="4" numFmtId="0" xfId="0" applyAlignment="1" applyBorder="1" applyFont="1">
      <alignment vertical="center"/>
    </xf>
    <xf borderId="4" fillId="5" fontId="6" numFmtId="0" xfId="0" applyAlignment="1" applyBorder="1" applyFont="1">
      <alignment vertical="center"/>
    </xf>
    <xf borderId="4" fillId="5" fontId="4" numFmtId="0" xfId="0" applyAlignment="1" applyBorder="1" applyFont="1">
      <alignment horizontal="center" shrinkToFit="0" vertical="center" wrapText="1"/>
    </xf>
    <xf borderId="4" fillId="5" fontId="4" numFmtId="4" xfId="0" applyAlignment="1" applyBorder="1" applyFont="1" applyNumberFormat="1">
      <alignment horizontal="right" shrinkToFit="0" vertical="center" wrapText="1"/>
    </xf>
    <xf borderId="4" fillId="5" fontId="4" numFmtId="164" xfId="0" applyAlignment="1" applyBorder="1" applyFont="1" applyNumberFormat="1">
      <alignment horizontal="center" shrinkToFit="0" vertical="center" wrapText="1"/>
    </xf>
    <xf borderId="4" fillId="5" fontId="4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0" fillId="0" fontId="18" numFmtId="0" xfId="0" applyAlignment="1" applyFont="1">
      <alignment shrinkToFit="0" wrapText="0"/>
    </xf>
    <xf borderId="12" fillId="0" fontId="12" numFmtId="165" xfId="0" applyAlignment="1" applyBorder="1" applyFont="1" applyNumberFormat="1">
      <alignment horizontal="right"/>
    </xf>
    <xf borderId="0" fillId="0" fontId="19" numFmtId="0" xfId="0" applyAlignment="1" applyFont="1">
      <alignment shrinkToFit="0" wrapText="0"/>
    </xf>
    <xf borderId="0" fillId="0" fontId="12" numFmtId="0" xfId="0" applyFont="1"/>
    <xf borderId="0" fillId="0" fontId="12" numFmtId="0" xfId="0" applyAlignment="1" applyFont="1">
      <alignment shrinkToFit="0" vertical="bottom" wrapText="1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2" numFmtId="0" xfId="0" applyAlignment="1" applyFont="1">
      <alignment shrinkToFit="0" vertical="bottom" wrapText="0"/>
    </xf>
    <xf borderId="0" fillId="0" fontId="13" numFmtId="0" xfId="0" applyFont="1"/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2" max="2" width="12.88"/>
    <col customWidth="1" min="3" max="3" width="70.13"/>
    <col customWidth="1" min="7" max="7" width="21.88"/>
    <col customWidth="1" min="8" max="8" width="16.88"/>
    <col hidden="1" min="14" max="35" width="12.63"/>
  </cols>
  <sheetData>
    <row r="1">
      <c r="A1" s="1" t="s">
        <v>0</v>
      </c>
    </row>
    <row r="2">
      <c r="A2" s="2" t="s">
        <v>1</v>
      </c>
    </row>
    <row r="3">
      <c r="A3" s="3"/>
    </row>
    <row r="4">
      <c r="A4" s="4" t="s">
        <v>2</v>
      </c>
      <c r="B4" s="3"/>
      <c r="C4" s="3"/>
      <c r="D4" s="3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>
      <c r="A5" s="3"/>
      <c r="B5" s="3"/>
      <c r="C5" s="3"/>
      <c r="D5" s="3"/>
      <c r="E5" s="5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>
      <c r="A6" s="7" t="s">
        <v>3</v>
      </c>
      <c r="B6" s="8"/>
      <c r="C6" s="8"/>
      <c r="D6" s="8"/>
      <c r="E6" s="9"/>
      <c r="F6" s="10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>
      <c r="A7" s="11" t="s">
        <v>4</v>
      </c>
      <c r="B7" s="12"/>
      <c r="C7" s="12"/>
      <c r="D7" s="12"/>
      <c r="E7" s="13"/>
      <c r="F7" s="14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</row>
    <row r="8">
      <c r="A8" s="15" t="s">
        <v>5</v>
      </c>
      <c r="B8" s="16" t="s">
        <v>6</v>
      </c>
      <c r="C8" s="16" t="s">
        <v>7</v>
      </c>
      <c r="D8" s="17" t="s">
        <v>8</v>
      </c>
      <c r="E8" s="18" t="s">
        <v>9</v>
      </c>
      <c r="F8" s="19" t="s">
        <v>10</v>
      </c>
      <c r="G8" s="16" t="s">
        <v>11</v>
      </c>
      <c r="H8" s="16" t="s">
        <v>12</v>
      </c>
      <c r="I8" s="20" t="s">
        <v>13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</row>
    <row r="9">
      <c r="A9" s="23"/>
      <c r="B9" s="24"/>
      <c r="C9" s="24"/>
      <c r="D9" s="25" t="s">
        <v>14</v>
      </c>
      <c r="E9" s="24"/>
      <c r="F9" s="24"/>
      <c r="G9" s="24"/>
      <c r="H9" s="24"/>
      <c r="I9" s="26" t="s">
        <v>15</v>
      </c>
      <c r="J9" s="26" t="s">
        <v>16</v>
      </c>
      <c r="K9" s="26" t="s">
        <v>17</v>
      </c>
      <c r="L9" s="25" t="s">
        <v>18</v>
      </c>
      <c r="M9" s="25" t="s">
        <v>19</v>
      </c>
      <c r="N9" s="25" t="s">
        <v>20</v>
      </c>
      <c r="O9" s="25" t="s">
        <v>21</v>
      </c>
      <c r="P9" s="25" t="s">
        <v>22</v>
      </c>
      <c r="Q9" s="25" t="s">
        <v>23</v>
      </c>
      <c r="R9" s="25" t="s">
        <v>24</v>
      </c>
      <c r="S9" s="25" t="s">
        <v>25</v>
      </c>
      <c r="T9" s="25" t="s">
        <v>26</v>
      </c>
      <c r="U9" s="25" t="s">
        <v>27</v>
      </c>
      <c r="V9" s="25" t="s">
        <v>28</v>
      </c>
      <c r="W9" s="25" t="s">
        <v>29</v>
      </c>
      <c r="X9" s="25" t="s">
        <v>30</v>
      </c>
      <c r="Y9" s="25" t="s">
        <v>31</v>
      </c>
      <c r="Z9" s="25" t="s">
        <v>32</v>
      </c>
      <c r="AA9" s="25" t="s">
        <v>33</v>
      </c>
      <c r="AB9" s="25" t="s">
        <v>34</v>
      </c>
      <c r="AC9" s="25" t="s">
        <v>35</v>
      </c>
      <c r="AD9" s="25" t="s">
        <v>36</v>
      </c>
      <c r="AE9" s="25" t="s">
        <v>37</v>
      </c>
      <c r="AF9" s="25" t="s">
        <v>38</v>
      </c>
      <c r="AG9" s="25" t="s">
        <v>39</v>
      </c>
      <c r="AH9" s="25" t="s">
        <v>40</v>
      </c>
      <c r="AI9" s="27" t="s">
        <v>41</v>
      </c>
    </row>
    <row r="10">
      <c r="A10" s="28" t="s">
        <v>42</v>
      </c>
      <c r="B10" s="29" t="s">
        <v>43</v>
      </c>
      <c r="C10" s="29" t="s">
        <v>44</v>
      </c>
      <c r="D10" s="29" t="s">
        <v>45</v>
      </c>
      <c r="E10" s="30" t="s">
        <v>46</v>
      </c>
      <c r="F10" s="31" t="s">
        <v>47</v>
      </c>
      <c r="G10" s="29" t="s">
        <v>48</v>
      </c>
      <c r="H10" s="29" t="s">
        <v>49</v>
      </c>
      <c r="I10" s="29" t="s">
        <v>50</v>
      </c>
      <c r="J10" s="29" t="s">
        <v>51</v>
      </c>
      <c r="K10" s="29" t="s">
        <v>52</v>
      </c>
      <c r="L10" s="29" t="s">
        <v>53</v>
      </c>
      <c r="M10" s="29" t="s">
        <v>54</v>
      </c>
      <c r="N10" s="32" t="s">
        <v>55</v>
      </c>
      <c r="O10" s="32" t="s">
        <v>56</v>
      </c>
      <c r="P10" s="32" t="s">
        <v>57</v>
      </c>
      <c r="Q10" s="32" t="s">
        <v>58</v>
      </c>
      <c r="R10" s="32" t="s">
        <v>59</v>
      </c>
      <c r="S10" s="32" t="s">
        <v>60</v>
      </c>
      <c r="T10" s="32" t="s">
        <v>61</v>
      </c>
      <c r="U10" s="32" t="s">
        <v>62</v>
      </c>
      <c r="V10" s="32" t="s">
        <v>63</v>
      </c>
      <c r="W10" s="32" t="s">
        <v>64</v>
      </c>
      <c r="X10" s="32" t="s">
        <v>65</v>
      </c>
      <c r="Y10" s="32" t="s">
        <v>66</v>
      </c>
      <c r="Z10" s="32" t="s">
        <v>67</v>
      </c>
      <c r="AA10" s="32" t="s">
        <v>68</v>
      </c>
      <c r="AB10" s="32" t="s">
        <v>69</v>
      </c>
      <c r="AC10" s="32" t="s">
        <v>70</v>
      </c>
      <c r="AD10" s="32" t="s">
        <v>71</v>
      </c>
      <c r="AE10" s="32" t="s">
        <v>72</v>
      </c>
      <c r="AF10" s="32" t="s">
        <v>73</v>
      </c>
      <c r="AG10" s="32" t="s">
        <v>74</v>
      </c>
      <c r="AH10" s="32" t="s">
        <v>75</v>
      </c>
      <c r="AI10" s="33" t="s">
        <v>76</v>
      </c>
    </row>
    <row r="11">
      <c r="A11" s="34" t="s">
        <v>77</v>
      </c>
      <c r="B11" s="35"/>
      <c r="C11" s="36" t="s">
        <v>78</v>
      </c>
      <c r="D11" s="35"/>
      <c r="E11" s="37"/>
      <c r="F11" s="38"/>
      <c r="G11" s="35"/>
      <c r="H11" s="35"/>
      <c r="I11" s="35"/>
      <c r="J11" s="35"/>
      <c r="K11" s="35"/>
      <c r="L11" s="35"/>
      <c r="M11" s="35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</row>
    <row r="12">
      <c r="A12" s="40"/>
      <c r="B12" s="41"/>
      <c r="C12" s="42" t="s">
        <v>79</v>
      </c>
      <c r="D12" s="43" t="s">
        <v>80</v>
      </c>
      <c r="E12" s="44">
        <v>50000.0</v>
      </c>
      <c r="F12" s="45">
        <f>E12*1</f>
        <v>50000</v>
      </c>
      <c r="G12" s="46" t="s">
        <v>81</v>
      </c>
      <c r="H12" s="43" t="s">
        <v>82</v>
      </c>
      <c r="I12" s="47">
        <v>1.0</v>
      </c>
      <c r="J12" s="47">
        <v>0.0</v>
      </c>
      <c r="K12" s="47">
        <v>0.0</v>
      </c>
      <c r="L12" s="40"/>
      <c r="M12" s="40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</row>
    <row r="13">
      <c r="A13" s="40"/>
      <c r="B13" s="41"/>
      <c r="C13" s="42" t="s">
        <v>83</v>
      </c>
      <c r="D13" s="43" t="s">
        <v>84</v>
      </c>
      <c r="E13" s="44">
        <v>3000.0</v>
      </c>
      <c r="F13" s="45">
        <f>E13*2</f>
        <v>6000</v>
      </c>
      <c r="G13" s="46" t="s">
        <v>81</v>
      </c>
      <c r="H13" s="43" t="s">
        <v>82</v>
      </c>
      <c r="I13" s="47">
        <v>2.0</v>
      </c>
      <c r="J13" s="47">
        <v>0.0</v>
      </c>
      <c r="K13" s="47">
        <v>0.0</v>
      </c>
      <c r="L13" s="40"/>
      <c r="M13" s="40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</row>
    <row r="14">
      <c r="A14" s="40"/>
      <c r="B14" s="40"/>
      <c r="C14" s="49" t="s">
        <v>85</v>
      </c>
      <c r="D14" s="43" t="s">
        <v>86</v>
      </c>
      <c r="E14" s="44">
        <v>1500.0</v>
      </c>
      <c r="F14" s="45">
        <f>E14*4</f>
        <v>6000</v>
      </c>
      <c r="G14" s="46" t="s">
        <v>81</v>
      </c>
      <c r="H14" s="43" t="s">
        <v>82</v>
      </c>
      <c r="I14" s="43">
        <v>4.0</v>
      </c>
      <c r="J14" s="47">
        <v>0.0</v>
      </c>
      <c r="K14" s="47">
        <v>0.0</v>
      </c>
      <c r="L14" s="40"/>
      <c r="M14" s="40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</row>
    <row r="15">
      <c r="A15" s="40"/>
      <c r="B15" s="40"/>
      <c r="C15" s="49" t="s">
        <v>87</v>
      </c>
      <c r="D15" s="43" t="s">
        <v>86</v>
      </c>
      <c r="E15" s="44">
        <v>3000.0</v>
      </c>
      <c r="F15" s="50">
        <v>3000.0</v>
      </c>
      <c r="G15" s="46" t="s">
        <v>81</v>
      </c>
      <c r="H15" s="43" t="s">
        <v>82</v>
      </c>
      <c r="I15" s="43">
        <v>5.0</v>
      </c>
      <c r="J15" s="47">
        <v>0.0</v>
      </c>
      <c r="K15" s="47">
        <v>0.0</v>
      </c>
      <c r="L15" s="40"/>
      <c r="M15" s="40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</row>
    <row r="16">
      <c r="A16" s="34" t="s">
        <v>88</v>
      </c>
      <c r="B16" s="35"/>
      <c r="C16" s="36" t="s">
        <v>89</v>
      </c>
      <c r="D16" s="35"/>
      <c r="E16" s="37"/>
      <c r="F16" s="38"/>
      <c r="G16" s="35"/>
      <c r="H16" s="35"/>
      <c r="I16" s="35"/>
      <c r="J16" s="35"/>
      <c r="K16" s="35"/>
      <c r="L16" s="35"/>
      <c r="M16" s="35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</row>
    <row r="17">
      <c r="A17" s="40"/>
      <c r="B17" s="41"/>
      <c r="C17" s="42" t="s">
        <v>90</v>
      </c>
      <c r="D17" s="43" t="s">
        <v>91</v>
      </c>
      <c r="E17" s="44">
        <v>1000.0</v>
      </c>
      <c r="F17" s="44">
        <v>1000.0</v>
      </c>
      <c r="G17" s="46" t="s">
        <v>81</v>
      </c>
      <c r="H17" s="43" t="s">
        <v>82</v>
      </c>
      <c r="I17" s="47">
        <v>1.0</v>
      </c>
      <c r="J17" s="47">
        <v>0.0</v>
      </c>
      <c r="K17" s="47">
        <v>0.0</v>
      </c>
      <c r="L17" s="40"/>
      <c r="M17" s="40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</row>
    <row r="18">
      <c r="A18" s="40"/>
      <c r="B18" s="41"/>
      <c r="C18" s="42" t="s">
        <v>92</v>
      </c>
      <c r="D18" s="43" t="s">
        <v>91</v>
      </c>
      <c r="E18" s="44">
        <v>1000.0</v>
      </c>
      <c r="F18" s="44">
        <v>1000.0</v>
      </c>
      <c r="G18" s="46" t="s">
        <v>81</v>
      </c>
      <c r="H18" s="43" t="s">
        <v>82</v>
      </c>
      <c r="I18" s="47">
        <v>1.0</v>
      </c>
      <c r="J18" s="47">
        <v>0.0</v>
      </c>
      <c r="K18" s="47">
        <v>0.0</v>
      </c>
      <c r="L18" s="40"/>
      <c r="M18" s="40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</row>
    <row r="19">
      <c r="A19" s="40"/>
      <c r="B19" s="41"/>
      <c r="C19" s="42" t="s">
        <v>93</v>
      </c>
      <c r="D19" s="43" t="s">
        <v>94</v>
      </c>
      <c r="E19" s="44">
        <v>150.0</v>
      </c>
      <c r="F19" s="44">
        <v>750.0</v>
      </c>
      <c r="G19" s="46" t="s">
        <v>81</v>
      </c>
      <c r="H19" s="43" t="s">
        <v>82</v>
      </c>
      <c r="I19" s="47">
        <v>2.0</v>
      </c>
      <c r="J19" s="47">
        <v>2.0</v>
      </c>
      <c r="K19" s="47">
        <v>1.0</v>
      </c>
      <c r="L19" s="40"/>
      <c r="M19" s="40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</row>
    <row r="20">
      <c r="A20" s="40"/>
      <c r="B20" s="41"/>
      <c r="C20" s="42" t="s">
        <v>95</v>
      </c>
      <c r="D20" s="43" t="s">
        <v>84</v>
      </c>
      <c r="E20" s="44">
        <v>300.0</v>
      </c>
      <c r="F20" s="44">
        <v>600.0</v>
      </c>
      <c r="G20" s="46" t="s">
        <v>81</v>
      </c>
      <c r="H20" s="43" t="s">
        <v>82</v>
      </c>
      <c r="I20" s="47">
        <v>1.0</v>
      </c>
      <c r="J20" s="47">
        <v>1.0</v>
      </c>
      <c r="K20" s="47">
        <v>0.0</v>
      </c>
      <c r="L20" s="40"/>
      <c r="M20" s="40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</row>
    <row r="21">
      <c r="A21" s="40"/>
      <c r="B21" s="41"/>
      <c r="C21" s="42" t="s">
        <v>96</v>
      </c>
      <c r="D21" s="43" t="s">
        <v>97</v>
      </c>
      <c r="E21" s="44">
        <v>20.0</v>
      </c>
      <c r="F21" s="44">
        <v>2000.0</v>
      </c>
      <c r="G21" s="46" t="s">
        <v>81</v>
      </c>
      <c r="H21" s="43" t="s">
        <v>82</v>
      </c>
      <c r="I21" s="47">
        <v>45.0</v>
      </c>
      <c r="J21" s="47">
        <v>30.0</v>
      </c>
      <c r="K21" s="47">
        <v>30.0</v>
      </c>
      <c r="L21" s="40"/>
      <c r="M21" s="40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</row>
    <row r="22">
      <c r="A22" s="40"/>
      <c r="B22" s="41"/>
      <c r="C22" s="42" t="s">
        <v>98</v>
      </c>
      <c r="D22" s="43" t="s">
        <v>99</v>
      </c>
      <c r="E22" s="44">
        <v>100.0</v>
      </c>
      <c r="F22" s="44">
        <v>5000.0</v>
      </c>
      <c r="G22" s="46" t="s">
        <v>81</v>
      </c>
      <c r="H22" s="43" t="s">
        <v>82</v>
      </c>
      <c r="I22" s="47">
        <v>15.0</v>
      </c>
      <c r="J22" s="47">
        <v>15.0</v>
      </c>
      <c r="K22" s="47">
        <v>10.0</v>
      </c>
      <c r="L22" s="40"/>
      <c r="M22" s="40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</row>
    <row r="23">
      <c r="A23" s="40"/>
      <c r="B23" s="41"/>
      <c r="C23" s="42" t="s">
        <v>100</v>
      </c>
      <c r="D23" s="43" t="s">
        <v>101</v>
      </c>
      <c r="E23" s="44">
        <v>100.0</v>
      </c>
      <c r="F23" s="44">
        <v>2500.0</v>
      </c>
      <c r="G23" s="46" t="s">
        <v>81</v>
      </c>
      <c r="H23" s="43" t="s">
        <v>82</v>
      </c>
      <c r="I23" s="47">
        <v>10.0</v>
      </c>
      <c r="J23" s="47">
        <v>10.0</v>
      </c>
      <c r="K23" s="47">
        <v>5.0</v>
      </c>
      <c r="L23" s="40"/>
      <c r="M23" s="40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</row>
    <row r="24">
      <c r="A24" s="40"/>
      <c r="B24" s="41"/>
      <c r="C24" s="42" t="s">
        <v>102</v>
      </c>
      <c r="D24" s="43" t="s">
        <v>101</v>
      </c>
      <c r="E24" s="44">
        <v>120.0</v>
      </c>
      <c r="F24" s="44">
        <f>E24*25</f>
        <v>3000</v>
      </c>
      <c r="G24" s="46" t="s">
        <v>81</v>
      </c>
      <c r="H24" s="43" t="s">
        <v>82</v>
      </c>
      <c r="I24" s="47">
        <v>10.0</v>
      </c>
      <c r="J24" s="47">
        <v>10.0</v>
      </c>
      <c r="K24" s="47">
        <v>5.0</v>
      </c>
      <c r="L24" s="40"/>
      <c r="M24" s="40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</row>
    <row r="25">
      <c r="A25" s="40"/>
      <c r="B25" s="41"/>
      <c r="C25" s="42" t="s">
        <v>103</v>
      </c>
      <c r="D25" s="43" t="s">
        <v>101</v>
      </c>
      <c r="E25" s="44">
        <v>100.0</v>
      </c>
      <c r="F25" s="44">
        <v>2500.0</v>
      </c>
      <c r="G25" s="46" t="s">
        <v>81</v>
      </c>
      <c r="H25" s="43" t="s">
        <v>82</v>
      </c>
      <c r="I25" s="47">
        <v>10.0</v>
      </c>
      <c r="J25" s="47">
        <v>10.0</v>
      </c>
      <c r="K25" s="47">
        <v>5.0</v>
      </c>
      <c r="L25" s="40"/>
      <c r="M25" s="40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</row>
    <row r="26">
      <c r="A26" s="40"/>
      <c r="B26" s="41"/>
      <c r="C26" s="42" t="s">
        <v>104</v>
      </c>
      <c r="D26" s="43" t="s">
        <v>105</v>
      </c>
      <c r="E26" s="44">
        <v>22500.0</v>
      </c>
      <c r="F26" s="44">
        <f>E26*2</f>
        <v>45000</v>
      </c>
      <c r="G26" s="46" t="s">
        <v>81</v>
      </c>
      <c r="H26" s="43" t="s">
        <v>82</v>
      </c>
      <c r="I26" s="47">
        <v>2.0</v>
      </c>
      <c r="J26" s="47">
        <v>0.0</v>
      </c>
      <c r="K26" s="47">
        <v>0.0</v>
      </c>
      <c r="L26" s="40"/>
      <c r="M26" s="40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</row>
    <row r="27">
      <c r="A27" s="40"/>
      <c r="B27" s="41"/>
      <c r="C27" s="42" t="s">
        <v>106</v>
      </c>
      <c r="D27" s="43" t="s">
        <v>80</v>
      </c>
      <c r="E27" s="44">
        <v>15000.0</v>
      </c>
      <c r="F27" s="50">
        <v>15000.0</v>
      </c>
      <c r="G27" s="46" t="s">
        <v>81</v>
      </c>
      <c r="H27" s="43" t="s">
        <v>82</v>
      </c>
      <c r="I27" s="47">
        <v>1.0</v>
      </c>
      <c r="J27" s="47">
        <v>0.0</v>
      </c>
      <c r="K27" s="47">
        <v>0.0</v>
      </c>
      <c r="L27" s="40"/>
      <c r="M27" s="40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</row>
    <row r="28">
      <c r="A28" s="40"/>
      <c r="B28" s="41"/>
      <c r="C28" s="42" t="s">
        <v>107</v>
      </c>
      <c r="D28" s="43" t="s">
        <v>108</v>
      </c>
      <c r="E28" s="44">
        <v>30000.0</v>
      </c>
      <c r="F28" s="50">
        <v>30000.0</v>
      </c>
      <c r="G28" s="46" t="s">
        <v>81</v>
      </c>
      <c r="H28" s="43" t="s">
        <v>82</v>
      </c>
      <c r="I28" s="47">
        <v>1.0</v>
      </c>
      <c r="J28" s="47">
        <v>0.0</v>
      </c>
      <c r="K28" s="47">
        <v>0.0</v>
      </c>
      <c r="L28" s="40"/>
      <c r="M28" s="40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</row>
    <row r="29">
      <c r="A29" s="40"/>
      <c r="B29" s="41"/>
      <c r="C29" s="42" t="s">
        <v>109</v>
      </c>
      <c r="D29" s="43" t="s">
        <v>110</v>
      </c>
      <c r="E29" s="44">
        <v>5000.0</v>
      </c>
      <c r="F29" s="50">
        <v>5000.0</v>
      </c>
      <c r="G29" s="46" t="s">
        <v>81</v>
      </c>
      <c r="H29" s="43" t="s">
        <v>82</v>
      </c>
      <c r="I29" s="47">
        <v>3.0</v>
      </c>
      <c r="J29" s="47">
        <v>0.0</v>
      </c>
      <c r="K29" s="47">
        <v>0.0</v>
      </c>
      <c r="L29" s="40"/>
      <c r="M29" s="40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</row>
    <row r="30">
      <c r="A30" s="40"/>
      <c r="B30" s="41"/>
      <c r="C30" s="42" t="s">
        <v>111</v>
      </c>
      <c r="D30" s="43" t="s">
        <v>97</v>
      </c>
      <c r="E30" s="44">
        <v>100.0</v>
      </c>
      <c r="F30" s="45">
        <f>E30*100</f>
        <v>10000</v>
      </c>
      <c r="G30" s="46" t="s">
        <v>81</v>
      </c>
      <c r="H30" s="43" t="s">
        <v>82</v>
      </c>
      <c r="I30" s="47">
        <v>100.0</v>
      </c>
      <c r="J30" s="47">
        <v>0.0</v>
      </c>
      <c r="K30" s="47">
        <v>0.0</v>
      </c>
      <c r="L30" s="40"/>
      <c r="M30" s="40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</row>
    <row r="31">
      <c r="A31" s="40"/>
      <c r="B31" s="41"/>
      <c r="C31" s="42" t="s">
        <v>112</v>
      </c>
      <c r="D31" s="43" t="s">
        <v>113</v>
      </c>
      <c r="E31" s="44">
        <v>80.0</v>
      </c>
      <c r="F31" s="45">
        <f>E31*20</f>
        <v>1600</v>
      </c>
      <c r="G31" s="46" t="s">
        <v>81</v>
      </c>
      <c r="H31" s="43" t="s">
        <v>82</v>
      </c>
      <c r="I31" s="47">
        <v>20.0</v>
      </c>
      <c r="J31" s="47">
        <v>0.0</v>
      </c>
      <c r="K31" s="47">
        <v>0.0</v>
      </c>
      <c r="L31" s="40"/>
      <c r="M31" s="40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</row>
    <row r="32">
      <c r="A32" s="40"/>
      <c r="B32" s="40"/>
      <c r="C32" s="41" t="s">
        <v>114</v>
      </c>
      <c r="D32" s="51" t="s">
        <v>115</v>
      </c>
      <c r="E32" s="44">
        <v>3000.0</v>
      </c>
      <c r="F32" s="45">
        <f>E32*50</f>
        <v>150000</v>
      </c>
      <c r="G32" s="46" t="s">
        <v>81</v>
      </c>
      <c r="H32" s="43" t="s">
        <v>82</v>
      </c>
      <c r="I32" s="47">
        <v>20.0</v>
      </c>
      <c r="J32" s="47">
        <v>20.0</v>
      </c>
      <c r="K32" s="47">
        <v>10.0</v>
      </c>
      <c r="L32" s="40"/>
      <c r="M32" s="40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</row>
    <row r="33">
      <c r="A33" s="40"/>
      <c r="B33" s="40"/>
      <c r="C33" s="42" t="s">
        <v>116</v>
      </c>
      <c r="D33" s="43" t="s">
        <v>117</v>
      </c>
      <c r="E33" s="44">
        <v>250.0</v>
      </c>
      <c r="F33" s="50">
        <v>2500.0</v>
      </c>
      <c r="G33" s="46" t="s">
        <v>81</v>
      </c>
      <c r="H33" s="43" t="s">
        <v>82</v>
      </c>
      <c r="I33" s="47">
        <v>3.0</v>
      </c>
      <c r="J33" s="47">
        <v>3.0</v>
      </c>
      <c r="K33" s="47">
        <v>2.0</v>
      </c>
      <c r="L33" s="40"/>
      <c r="M33" s="40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</row>
    <row r="34">
      <c r="A34" s="40"/>
      <c r="B34" s="40"/>
      <c r="C34" s="41" t="s">
        <v>118</v>
      </c>
      <c r="D34" s="51" t="s">
        <v>101</v>
      </c>
      <c r="E34" s="52">
        <v>8000.0</v>
      </c>
      <c r="F34" s="45">
        <f>E34*25</f>
        <v>200000</v>
      </c>
      <c r="G34" s="46" t="s">
        <v>81</v>
      </c>
      <c r="H34" s="43" t="s">
        <v>82</v>
      </c>
      <c r="I34" s="47">
        <v>15.0</v>
      </c>
      <c r="J34" s="47">
        <v>5.0</v>
      </c>
      <c r="K34" s="47">
        <v>5.0</v>
      </c>
      <c r="L34" s="40"/>
      <c r="M34" s="40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</row>
    <row r="35">
      <c r="A35" s="40"/>
      <c r="B35" s="40"/>
      <c r="C35" s="41" t="s">
        <v>119</v>
      </c>
      <c r="D35" s="51" t="s">
        <v>120</v>
      </c>
      <c r="E35" s="52">
        <v>2000.0</v>
      </c>
      <c r="F35" s="45">
        <f>E35*5</f>
        <v>10000</v>
      </c>
      <c r="G35" s="46" t="s">
        <v>81</v>
      </c>
      <c r="H35" s="43" t="s">
        <v>82</v>
      </c>
      <c r="I35" s="47">
        <v>5.0</v>
      </c>
      <c r="J35" s="47">
        <v>0.0</v>
      </c>
      <c r="K35" s="47">
        <v>0.0</v>
      </c>
      <c r="L35" s="40"/>
      <c r="M35" s="40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</row>
    <row r="36">
      <c r="A36" s="40"/>
      <c r="B36" s="40"/>
      <c r="C36" s="40" t="s">
        <v>121</v>
      </c>
      <c r="D36" s="46" t="s">
        <v>120</v>
      </c>
      <c r="E36" s="53">
        <v>3000.0</v>
      </c>
      <c r="F36" s="53">
        <v>15000.0</v>
      </c>
      <c r="G36" s="46" t="s">
        <v>81</v>
      </c>
      <c r="H36" s="43" t="s">
        <v>82</v>
      </c>
      <c r="I36" s="47">
        <v>5.0</v>
      </c>
      <c r="J36" s="47">
        <v>0.0</v>
      </c>
      <c r="K36" s="47">
        <v>0.0</v>
      </c>
      <c r="L36" s="40"/>
      <c r="M36" s="40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</row>
    <row r="37">
      <c r="A37" s="40"/>
      <c r="B37" s="40"/>
      <c r="C37" s="54" t="s">
        <v>122</v>
      </c>
      <c r="D37" s="47" t="s">
        <v>99</v>
      </c>
      <c r="E37" s="55">
        <v>200.0</v>
      </c>
      <c r="F37" s="53">
        <f t="shared" ref="F37:F39" si="1">E37*50</f>
        <v>10000</v>
      </c>
      <c r="G37" s="46" t="s">
        <v>81</v>
      </c>
      <c r="H37" s="43" t="s">
        <v>82</v>
      </c>
      <c r="I37" s="47">
        <v>50.0</v>
      </c>
      <c r="J37" s="47">
        <v>0.0</v>
      </c>
      <c r="K37" s="47">
        <v>0.0</v>
      </c>
      <c r="L37" s="40"/>
      <c r="M37" s="40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</row>
    <row r="38">
      <c r="A38" s="40"/>
      <c r="B38" s="40"/>
      <c r="C38" s="54" t="s">
        <v>123</v>
      </c>
      <c r="D38" s="47" t="s">
        <v>124</v>
      </c>
      <c r="E38" s="55">
        <v>200.0</v>
      </c>
      <c r="F38" s="53">
        <f t="shared" si="1"/>
        <v>10000</v>
      </c>
      <c r="G38" s="46" t="s">
        <v>81</v>
      </c>
      <c r="H38" s="43" t="s">
        <v>82</v>
      </c>
      <c r="I38" s="47">
        <v>59.0</v>
      </c>
      <c r="J38" s="47">
        <v>0.0</v>
      </c>
      <c r="K38" s="47">
        <v>0.0</v>
      </c>
      <c r="L38" s="40"/>
      <c r="M38" s="40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</row>
    <row r="39">
      <c r="A39" s="40"/>
      <c r="B39" s="40"/>
      <c r="C39" s="54" t="s">
        <v>125</v>
      </c>
      <c r="D39" s="47" t="s">
        <v>126</v>
      </c>
      <c r="E39" s="55">
        <v>200.0</v>
      </c>
      <c r="F39" s="53">
        <f t="shared" si="1"/>
        <v>10000</v>
      </c>
      <c r="G39" s="46" t="s">
        <v>81</v>
      </c>
      <c r="H39" s="43" t="s">
        <v>82</v>
      </c>
      <c r="I39" s="47">
        <v>59.0</v>
      </c>
      <c r="J39" s="47">
        <v>0.0</v>
      </c>
      <c r="K39" s="47">
        <v>0.0</v>
      </c>
      <c r="L39" s="40"/>
      <c r="M39" s="40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</row>
    <row r="40">
      <c r="A40" s="40"/>
      <c r="B40" s="40"/>
      <c r="C40" s="54" t="s">
        <v>127</v>
      </c>
      <c r="D40" s="47" t="s">
        <v>128</v>
      </c>
      <c r="E40" s="55">
        <v>3000.0</v>
      </c>
      <c r="F40" s="53">
        <f>E40*15</f>
        <v>45000</v>
      </c>
      <c r="G40" s="46" t="s">
        <v>81</v>
      </c>
      <c r="H40" s="43" t="s">
        <v>82</v>
      </c>
      <c r="I40" s="47">
        <v>15.0</v>
      </c>
      <c r="J40" s="47">
        <v>0.0</v>
      </c>
      <c r="K40" s="47">
        <v>0.0</v>
      </c>
      <c r="L40" s="40"/>
      <c r="M40" s="40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</row>
    <row r="41">
      <c r="A41" s="40"/>
      <c r="B41" s="40"/>
      <c r="C41" s="54" t="s">
        <v>129</v>
      </c>
      <c r="D41" s="47" t="s">
        <v>113</v>
      </c>
      <c r="E41" s="55">
        <v>1000.0</v>
      </c>
      <c r="F41" s="53">
        <f>E41*20</f>
        <v>20000</v>
      </c>
      <c r="G41" s="47" t="s">
        <v>81</v>
      </c>
      <c r="H41" s="43" t="s">
        <v>82</v>
      </c>
      <c r="I41" s="47">
        <v>20.0</v>
      </c>
      <c r="J41" s="47">
        <v>0.0</v>
      </c>
      <c r="K41" s="47">
        <v>0.0</v>
      </c>
      <c r="L41" s="40"/>
      <c r="M41" s="40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</row>
    <row r="42">
      <c r="A42" s="40"/>
      <c r="B42" s="40"/>
      <c r="C42" s="42" t="s">
        <v>130</v>
      </c>
      <c r="D42" s="47" t="s">
        <v>131</v>
      </c>
      <c r="E42" s="55">
        <v>1700.0</v>
      </c>
      <c r="F42" s="55">
        <v>42500.0</v>
      </c>
      <c r="G42" s="47" t="s">
        <v>81</v>
      </c>
      <c r="H42" s="43" t="s">
        <v>132</v>
      </c>
      <c r="I42" s="47">
        <v>25.0</v>
      </c>
      <c r="J42" s="47">
        <v>0.0</v>
      </c>
      <c r="K42" s="47">
        <v>0.0</v>
      </c>
      <c r="L42" s="40"/>
      <c r="M42" s="40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</row>
    <row r="43">
      <c r="A43" s="40"/>
      <c r="B43" s="40"/>
      <c r="C43" s="42" t="s">
        <v>133</v>
      </c>
      <c r="D43" s="47" t="s">
        <v>131</v>
      </c>
      <c r="E43" s="55">
        <v>1700.0</v>
      </c>
      <c r="F43" s="55">
        <v>42500.0</v>
      </c>
      <c r="G43" s="47" t="s">
        <v>81</v>
      </c>
      <c r="H43" s="43" t="s">
        <v>132</v>
      </c>
      <c r="I43" s="47">
        <v>25.0</v>
      </c>
      <c r="J43" s="47">
        <v>0.0</v>
      </c>
      <c r="K43" s="47">
        <v>0.0</v>
      </c>
      <c r="L43" s="40"/>
      <c r="M43" s="40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</row>
    <row r="44">
      <c r="A44" s="40"/>
      <c r="B44" s="40"/>
      <c r="C44" s="54" t="s">
        <v>134</v>
      </c>
      <c r="D44" s="47" t="s">
        <v>113</v>
      </c>
      <c r="E44" s="55">
        <v>500.0</v>
      </c>
      <c r="F44" s="53">
        <f>E44*20</f>
        <v>10000</v>
      </c>
      <c r="G44" s="47" t="s">
        <v>81</v>
      </c>
      <c r="H44" s="43" t="s">
        <v>82</v>
      </c>
      <c r="I44" s="47">
        <v>25.0</v>
      </c>
      <c r="J44" s="47">
        <v>0.0</v>
      </c>
      <c r="K44" s="47">
        <v>0.0</v>
      </c>
      <c r="L44" s="40"/>
      <c r="M44" s="40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</row>
    <row r="45">
      <c r="A45" s="34" t="s">
        <v>135</v>
      </c>
      <c r="B45" s="35"/>
      <c r="C45" s="56" t="s">
        <v>136</v>
      </c>
      <c r="D45" s="35"/>
      <c r="E45" s="37"/>
      <c r="F45" s="35"/>
      <c r="G45" s="35"/>
      <c r="H45" s="35"/>
      <c r="I45" s="35"/>
      <c r="J45" s="35"/>
      <c r="K45" s="35"/>
      <c r="L45" s="35"/>
      <c r="M45" s="35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</row>
    <row r="46">
      <c r="A46" s="40"/>
      <c r="B46" s="57"/>
      <c r="C46" s="42" t="s">
        <v>137</v>
      </c>
      <c r="D46" s="43" t="s">
        <v>105</v>
      </c>
      <c r="E46" s="44">
        <v>40000.0</v>
      </c>
      <c r="F46" s="45">
        <f>E46*2</f>
        <v>80000</v>
      </c>
      <c r="G46" s="51" t="s">
        <v>81</v>
      </c>
      <c r="H46" s="43" t="s">
        <v>138</v>
      </c>
      <c r="I46" s="47">
        <v>2.0</v>
      </c>
      <c r="J46" s="47">
        <v>0.0</v>
      </c>
      <c r="K46" s="47">
        <v>0.0</v>
      </c>
      <c r="L46" s="40"/>
      <c r="M46" s="40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</row>
    <row r="47">
      <c r="A47" s="40"/>
      <c r="B47" s="57"/>
      <c r="C47" s="41" t="s">
        <v>139</v>
      </c>
      <c r="D47" s="51" t="s">
        <v>131</v>
      </c>
      <c r="E47" s="52">
        <v>1500.0</v>
      </c>
      <c r="F47" s="45">
        <v>37500.0</v>
      </c>
      <c r="G47" s="51" t="s">
        <v>81</v>
      </c>
      <c r="H47" s="51" t="s">
        <v>140</v>
      </c>
      <c r="I47" s="47">
        <v>50.0</v>
      </c>
      <c r="J47" s="47">
        <v>0.0</v>
      </c>
      <c r="K47" s="47">
        <v>0.0</v>
      </c>
      <c r="L47" s="40"/>
      <c r="M47" s="40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</row>
    <row r="48">
      <c r="A48" s="40"/>
      <c r="B48" s="41"/>
      <c r="C48" s="58" t="s">
        <v>141</v>
      </c>
      <c r="D48" s="43" t="s">
        <v>142</v>
      </c>
      <c r="E48" s="44">
        <v>4000.0</v>
      </c>
      <c r="F48" s="45">
        <f t="shared" ref="F48:F50" si="2">E48*10</f>
        <v>40000</v>
      </c>
      <c r="G48" s="51" t="s">
        <v>81</v>
      </c>
      <c r="H48" s="43" t="s">
        <v>82</v>
      </c>
      <c r="I48" s="47">
        <v>10.0</v>
      </c>
      <c r="J48" s="47">
        <v>0.0</v>
      </c>
      <c r="K48" s="47">
        <v>0.0</v>
      </c>
      <c r="L48" s="40"/>
      <c r="M48" s="40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</row>
    <row r="49">
      <c r="A49" s="40"/>
      <c r="B49" s="41"/>
      <c r="C49" s="58" t="s">
        <v>143</v>
      </c>
      <c r="D49" s="43" t="s">
        <v>142</v>
      </c>
      <c r="E49" s="44">
        <v>5500.0</v>
      </c>
      <c r="F49" s="45">
        <f t="shared" si="2"/>
        <v>55000</v>
      </c>
      <c r="G49" s="51" t="s">
        <v>81</v>
      </c>
      <c r="H49" s="43" t="s">
        <v>82</v>
      </c>
      <c r="I49" s="47">
        <v>10.0</v>
      </c>
      <c r="J49" s="47">
        <v>0.0</v>
      </c>
      <c r="K49" s="47">
        <v>0.0</v>
      </c>
      <c r="L49" s="40"/>
      <c r="M49" s="40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</row>
    <row r="50">
      <c r="A50" s="40"/>
      <c r="B50" s="41"/>
      <c r="C50" s="58" t="s">
        <v>144</v>
      </c>
      <c r="D50" s="43" t="s">
        <v>142</v>
      </c>
      <c r="E50" s="44">
        <v>6500.0</v>
      </c>
      <c r="F50" s="45">
        <f t="shared" si="2"/>
        <v>65000</v>
      </c>
      <c r="G50" s="51" t="s">
        <v>81</v>
      </c>
      <c r="H50" s="43" t="s">
        <v>82</v>
      </c>
      <c r="I50" s="47">
        <v>10.0</v>
      </c>
      <c r="J50" s="47">
        <v>0.0</v>
      </c>
      <c r="K50" s="47">
        <v>0.0</v>
      </c>
      <c r="L50" s="40"/>
      <c r="M50" s="40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</row>
    <row r="51">
      <c r="A51" s="40"/>
      <c r="B51" s="41"/>
      <c r="C51" s="58" t="s">
        <v>145</v>
      </c>
      <c r="D51" s="43" t="s">
        <v>84</v>
      </c>
      <c r="E51" s="44">
        <v>5000.0</v>
      </c>
      <c r="F51" s="45">
        <f>E51*2</f>
        <v>10000</v>
      </c>
      <c r="G51" s="51" t="s">
        <v>81</v>
      </c>
      <c r="H51" s="47" t="s">
        <v>138</v>
      </c>
      <c r="I51" s="47">
        <v>2.0</v>
      </c>
      <c r="J51" s="47">
        <v>0.0</v>
      </c>
      <c r="K51" s="47">
        <v>0.0</v>
      </c>
      <c r="L51" s="40"/>
      <c r="M51" s="40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</row>
    <row r="52">
      <c r="A52" s="40"/>
      <c r="B52" s="41"/>
      <c r="C52" s="42" t="s">
        <v>146</v>
      </c>
      <c r="D52" s="43" t="s">
        <v>120</v>
      </c>
      <c r="E52" s="44">
        <v>2000.0</v>
      </c>
      <c r="F52" s="45">
        <f>E52*5</f>
        <v>10000</v>
      </c>
      <c r="G52" s="51" t="s">
        <v>81</v>
      </c>
      <c r="H52" s="47" t="s">
        <v>138</v>
      </c>
      <c r="I52" s="47">
        <v>5.0</v>
      </c>
      <c r="J52" s="47">
        <v>0.0</v>
      </c>
      <c r="K52" s="47">
        <v>0.0</v>
      </c>
      <c r="L52" s="40"/>
      <c r="M52" s="40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</row>
    <row r="53">
      <c r="A53" s="59"/>
      <c r="B53" s="41"/>
      <c r="C53" s="42" t="s">
        <v>147</v>
      </c>
      <c r="D53" s="51" t="s">
        <v>148</v>
      </c>
      <c r="E53" s="52">
        <v>500.0</v>
      </c>
      <c r="F53" s="45">
        <f>E53*40</f>
        <v>20000</v>
      </c>
      <c r="G53" s="51" t="s">
        <v>81</v>
      </c>
      <c r="H53" s="43" t="s">
        <v>82</v>
      </c>
      <c r="I53" s="47">
        <v>40.0</v>
      </c>
      <c r="J53" s="47">
        <v>0.0</v>
      </c>
      <c r="K53" s="47">
        <v>0.0</v>
      </c>
      <c r="L53" s="40"/>
      <c r="M53" s="40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</row>
    <row r="54">
      <c r="A54" s="59"/>
      <c r="B54" s="41"/>
      <c r="C54" s="41" t="s">
        <v>149</v>
      </c>
      <c r="D54" s="51" t="s">
        <v>150</v>
      </c>
      <c r="E54" s="52">
        <v>900.0</v>
      </c>
      <c r="F54" s="45">
        <f t="shared" ref="F54:F55" si="3">E54*20</f>
        <v>18000</v>
      </c>
      <c r="G54" s="51" t="s">
        <v>81</v>
      </c>
      <c r="H54" s="43" t="s">
        <v>82</v>
      </c>
      <c r="I54" s="47">
        <v>20.0</v>
      </c>
      <c r="J54" s="47">
        <v>0.0</v>
      </c>
      <c r="K54" s="47">
        <v>0.0</v>
      </c>
      <c r="L54" s="40"/>
      <c r="M54" s="40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</row>
    <row r="55">
      <c r="A55" s="59"/>
      <c r="B55" s="41"/>
      <c r="C55" s="41" t="s">
        <v>151</v>
      </c>
      <c r="D55" s="51" t="s">
        <v>150</v>
      </c>
      <c r="E55" s="52">
        <v>500.0</v>
      </c>
      <c r="F55" s="45">
        <f t="shared" si="3"/>
        <v>10000</v>
      </c>
      <c r="G55" s="51" t="s">
        <v>81</v>
      </c>
      <c r="H55" s="43" t="s">
        <v>82</v>
      </c>
      <c r="I55" s="47">
        <v>20.0</v>
      </c>
      <c r="J55" s="47">
        <v>0.0</v>
      </c>
      <c r="K55" s="47">
        <v>0.0</v>
      </c>
      <c r="L55" s="40"/>
      <c r="M55" s="40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</row>
    <row r="56">
      <c r="A56" s="59"/>
      <c r="B56" s="41"/>
      <c r="C56" s="41" t="s">
        <v>152</v>
      </c>
      <c r="D56" s="43" t="s">
        <v>153</v>
      </c>
      <c r="E56" s="52">
        <v>800.0</v>
      </c>
      <c r="F56" s="50">
        <v>20000.0</v>
      </c>
      <c r="G56" s="51" t="s">
        <v>81</v>
      </c>
      <c r="H56" s="43" t="s">
        <v>82</v>
      </c>
      <c r="I56" s="47">
        <v>50.0</v>
      </c>
      <c r="J56" s="47">
        <v>0.0</v>
      </c>
      <c r="K56" s="47">
        <v>0.0</v>
      </c>
      <c r="L56" s="40"/>
      <c r="M56" s="40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</row>
    <row r="57">
      <c r="A57" s="59"/>
      <c r="B57" s="41"/>
      <c r="C57" s="41" t="s">
        <v>154</v>
      </c>
      <c r="D57" s="51" t="s">
        <v>155</v>
      </c>
      <c r="E57" s="52">
        <v>10000.0</v>
      </c>
      <c r="F57" s="45">
        <v>40000.0</v>
      </c>
      <c r="G57" s="43" t="s">
        <v>156</v>
      </c>
      <c r="H57" s="47" t="s">
        <v>138</v>
      </c>
      <c r="I57" s="47">
        <v>4.0</v>
      </c>
      <c r="J57" s="47">
        <v>0.0</v>
      </c>
      <c r="K57" s="47">
        <v>0.0</v>
      </c>
      <c r="L57" s="40"/>
      <c r="M57" s="40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</row>
    <row r="58">
      <c r="A58" s="59"/>
      <c r="B58" s="41"/>
      <c r="C58" s="41" t="s">
        <v>157</v>
      </c>
      <c r="D58" s="51" t="s">
        <v>155</v>
      </c>
      <c r="E58" s="52">
        <v>10000.0</v>
      </c>
      <c r="F58" s="45">
        <v>40000.0</v>
      </c>
      <c r="G58" s="43" t="s">
        <v>156</v>
      </c>
      <c r="H58" s="47" t="s">
        <v>138</v>
      </c>
      <c r="I58" s="47">
        <v>4.0</v>
      </c>
      <c r="J58" s="47">
        <v>0.0</v>
      </c>
      <c r="K58" s="47">
        <v>0.0</v>
      </c>
      <c r="L58" s="40"/>
      <c r="M58" s="40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</row>
    <row r="59">
      <c r="A59" s="59"/>
      <c r="B59" s="41"/>
      <c r="C59" s="41" t="s">
        <v>158</v>
      </c>
      <c r="D59" s="51" t="s">
        <v>131</v>
      </c>
      <c r="E59" s="52">
        <v>5000.0</v>
      </c>
      <c r="F59" s="45">
        <v>125000.0</v>
      </c>
      <c r="G59" s="51" t="s">
        <v>81</v>
      </c>
      <c r="H59" s="43" t="s">
        <v>82</v>
      </c>
      <c r="I59" s="47">
        <v>25.0</v>
      </c>
      <c r="J59" s="47">
        <v>0.0</v>
      </c>
      <c r="K59" s="47">
        <v>0.0</v>
      </c>
      <c r="L59" s="40"/>
      <c r="M59" s="40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</row>
    <row r="60">
      <c r="A60" s="59"/>
      <c r="B60" s="41"/>
      <c r="C60" s="42" t="s">
        <v>159</v>
      </c>
      <c r="D60" s="43" t="s">
        <v>160</v>
      </c>
      <c r="E60" s="44">
        <v>100.0</v>
      </c>
      <c r="F60" s="45">
        <f>E60*48</f>
        <v>4800</v>
      </c>
      <c r="G60" s="51" t="s">
        <v>81</v>
      </c>
      <c r="H60" s="43" t="s">
        <v>82</v>
      </c>
      <c r="I60" s="47">
        <v>48.0</v>
      </c>
      <c r="J60" s="47">
        <v>0.0</v>
      </c>
      <c r="K60" s="47">
        <v>0.0</v>
      </c>
      <c r="L60" s="40"/>
      <c r="M60" s="40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</row>
    <row r="61">
      <c r="A61" s="59"/>
      <c r="B61" s="41"/>
      <c r="C61" s="42" t="s">
        <v>161</v>
      </c>
      <c r="D61" s="43" t="s">
        <v>162</v>
      </c>
      <c r="E61" s="44">
        <v>530.0</v>
      </c>
      <c r="F61" s="50">
        <v>10600.0</v>
      </c>
      <c r="G61" s="51" t="s">
        <v>81</v>
      </c>
      <c r="H61" s="43" t="s">
        <v>82</v>
      </c>
      <c r="I61" s="47">
        <v>50.0</v>
      </c>
      <c r="J61" s="47">
        <v>0.0</v>
      </c>
      <c r="K61" s="47">
        <v>0.0</v>
      </c>
      <c r="L61" s="40"/>
      <c r="M61" s="40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</row>
    <row r="62">
      <c r="A62" s="59"/>
      <c r="B62" s="41"/>
      <c r="C62" s="42" t="s">
        <v>163</v>
      </c>
      <c r="D62" s="43" t="s">
        <v>120</v>
      </c>
      <c r="E62" s="44">
        <v>1000.0</v>
      </c>
      <c r="F62" s="50">
        <v>5000.0</v>
      </c>
      <c r="G62" s="51" t="s">
        <v>81</v>
      </c>
      <c r="H62" s="43" t="s">
        <v>82</v>
      </c>
      <c r="I62" s="47"/>
      <c r="J62" s="47"/>
      <c r="K62" s="47"/>
      <c r="L62" s="40"/>
      <c r="M62" s="40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</row>
    <row r="63">
      <c r="A63" s="59"/>
      <c r="B63" s="41"/>
      <c r="C63" s="42" t="s">
        <v>164</v>
      </c>
      <c r="D63" s="43" t="s">
        <v>165</v>
      </c>
      <c r="E63" s="44">
        <v>500.0</v>
      </c>
      <c r="F63" s="50">
        <v>7500.0</v>
      </c>
      <c r="G63" s="60" t="s">
        <v>81</v>
      </c>
      <c r="H63" s="43" t="s">
        <v>82</v>
      </c>
      <c r="I63" s="47">
        <v>15.0</v>
      </c>
      <c r="J63" s="47">
        <v>0.0</v>
      </c>
      <c r="K63" s="47">
        <v>0.0</v>
      </c>
      <c r="L63" s="40"/>
      <c r="M63" s="40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</row>
    <row r="64">
      <c r="A64" s="59"/>
      <c r="B64" s="41"/>
      <c r="C64" s="42" t="s">
        <v>166</v>
      </c>
      <c r="D64" s="43" t="s">
        <v>101</v>
      </c>
      <c r="E64" s="44">
        <v>20.0</v>
      </c>
      <c r="F64" s="50">
        <v>500.0</v>
      </c>
      <c r="G64" s="60" t="s">
        <v>81</v>
      </c>
      <c r="H64" s="43" t="s">
        <v>82</v>
      </c>
      <c r="I64" s="47">
        <v>25.0</v>
      </c>
      <c r="J64" s="47">
        <v>0.0</v>
      </c>
      <c r="K64" s="47">
        <v>0.0</v>
      </c>
      <c r="L64" s="40"/>
      <c r="M64" s="40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</row>
    <row r="65">
      <c r="A65" s="59"/>
      <c r="B65" s="41"/>
      <c r="C65" s="42" t="s">
        <v>167</v>
      </c>
      <c r="D65" s="43" t="s">
        <v>101</v>
      </c>
      <c r="E65" s="44">
        <v>75.0</v>
      </c>
      <c r="F65" s="50">
        <v>1875.0</v>
      </c>
      <c r="G65" s="60" t="s">
        <v>81</v>
      </c>
      <c r="H65" s="43" t="s">
        <v>82</v>
      </c>
      <c r="I65" s="47">
        <v>25.0</v>
      </c>
      <c r="J65" s="47">
        <v>0.0</v>
      </c>
      <c r="K65" s="47">
        <v>0.0</v>
      </c>
      <c r="L65" s="40"/>
      <c r="M65" s="40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</row>
    <row r="66">
      <c r="A66" s="59"/>
      <c r="B66" s="41"/>
      <c r="C66" s="42" t="s">
        <v>168</v>
      </c>
      <c r="D66" s="43" t="s">
        <v>169</v>
      </c>
      <c r="E66" s="44">
        <v>25000.0</v>
      </c>
      <c r="F66" s="50">
        <v>25000.0</v>
      </c>
      <c r="G66" s="60" t="s">
        <v>81</v>
      </c>
      <c r="H66" s="47" t="s">
        <v>138</v>
      </c>
      <c r="I66" s="47">
        <v>1.0</v>
      </c>
      <c r="J66" s="47">
        <v>0.0</v>
      </c>
      <c r="K66" s="47">
        <v>0.0</v>
      </c>
      <c r="L66" s="40"/>
      <c r="M66" s="40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</row>
    <row r="67">
      <c r="A67" s="59"/>
      <c r="B67" s="41"/>
      <c r="C67" s="42" t="s">
        <v>170</v>
      </c>
      <c r="D67" s="43" t="s">
        <v>169</v>
      </c>
      <c r="E67" s="44">
        <v>25000.0</v>
      </c>
      <c r="F67" s="50">
        <v>25000.0</v>
      </c>
      <c r="G67" s="60" t="s">
        <v>81</v>
      </c>
      <c r="H67" s="47" t="s">
        <v>138</v>
      </c>
      <c r="I67" s="47">
        <v>1.0</v>
      </c>
      <c r="J67" s="47">
        <v>0.0</v>
      </c>
      <c r="K67" s="47">
        <v>0.0</v>
      </c>
      <c r="L67" s="40"/>
      <c r="M67" s="40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</row>
    <row r="68">
      <c r="A68" s="59"/>
      <c r="B68" s="41"/>
      <c r="C68" s="42" t="s">
        <v>171</v>
      </c>
      <c r="D68" s="43" t="s">
        <v>169</v>
      </c>
      <c r="E68" s="44">
        <v>25000.0</v>
      </c>
      <c r="F68" s="50">
        <v>25000.0</v>
      </c>
      <c r="G68" s="60" t="s">
        <v>81</v>
      </c>
      <c r="H68" s="47" t="s">
        <v>138</v>
      </c>
      <c r="I68" s="47">
        <v>1.0</v>
      </c>
      <c r="J68" s="47">
        <v>0.0</v>
      </c>
      <c r="K68" s="47">
        <v>0.0</v>
      </c>
      <c r="L68" s="40"/>
      <c r="M68" s="40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</row>
    <row r="69">
      <c r="A69" s="59"/>
      <c r="B69" s="41"/>
      <c r="C69" s="42" t="s">
        <v>172</v>
      </c>
      <c r="D69" s="43" t="s">
        <v>99</v>
      </c>
      <c r="E69" s="44">
        <v>250.0</v>
      </c>
      <c r="F69" s="50">
        <v>12500.0</v>
      </c>
      <c r="G69" s="60" t="s">
        <v>81</v>
      </c>
      <c r="H69" s="43" t="s">
        <v>82</v>
      </c>
      <c r="I69" s="47">
        <v>5.0</v>
      </c>
      <c r="J69" s="47">
        <v>0.0</v>
      </c>
      <c r="K69" s="47">
        <v>0.0</v>
      </c>
      <c r="L69" s="40"/>
      <c r="M69" s="40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</row>
    <row r="70">
      <c r="A70" s="59"/>
      <c r="B70" s="41"/>
      <c r="C70" s="42" t="s">
        <v>173</v>
      </c>
      <c r="D70" s="43" t="s">
        <v>101</v>
      </c>
      <c r="E70" s="44">
        <v>125.0</v>
      </c>
      <c r="F70" s="50">
        <v>3125.0</v>
      </c>
      <c r="G70" s="60" t="s">
        <v>81</v>
      </c>
      <c r="H70" s="47" t="s">
        <v>138</v>
      </c>
      <c r="I70" s="47">
        <v>25.0</v>
      </c>
      <c r="J70" s="47">
        <v>0.0</v>
      </c>
      <c r="K70" s="47">
        <v>0.0</v>
      </c>
      <c r="L70" s="40"/>
      <c r="M70" s="40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</row>
    <row r="71">
      <c r="A71" s="59"/>
      <c r="B71" s="41"/>
      <c r="C71" s="42" t="s">
        <v>174</v>
      </c>
      <c r="D71" s="43" t="s">
        <v>97</v>
      </c>
      <c r="E71" s="44">
        <v>75.0</v>
      </c>
      <c r="F71" s="50">
        <v>7500.0</v>
      </c>
      <c r="G71" s="60" t="s">
        <v>81</v>
      </c>
      <c r="H71" s="47" t="s">
        <v>138</v>
      </c>
      <c r="I71" s="47">
        <v>100.0</v>
      </c>
      <c r="J71" s="47">
        <v>0.0</v>
      </c>
      <c r="K71" s="47">
        <v>0.0</v>
      </c>
      <c r="L71" s="40"/>
      <c r="M71" s="40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</row>
    <row r="72">
      <c r="A72" s="59"/>
      <c r="B72" s="41"/>
      <c r="C72" s="42" t="s">
        <v>175</v>
      </c>
      <c r="D72" s="43" t="s">
        <v>99</v>
      </c>
      <c r="E72" s="44">
        <v>500.0</v>
      </c>
      <c r="F72" s="50">
        <v>25000.0</v>
      </c>
      <c r="G72" s="60" t="s">
        <v>81</v>
      </c>
      <c r="H72" s="47" t="s">
        <v>138</v>
      </c>
      <c r="I72" s="47">
        <v>20.0</v>
      </c>
      <c r="J72" s="47">
        <v>20.0</v>
      </c>
      <c r="K72" s="47">
        <v>10.0</v>
      </c>
      <c r="L72" s="40"/>
      <c r="M72" s="40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</row>
    <row r="73">
      <c r="A73" s="59"/>
      <c r="B73" s="41"/>
      <c r="C73" s="42" t="s">
        <v>176</v>
      </c>
      <c r="D73" s="43" t="s">
        <v>177</v>
      </c>
      <c r="E73" s="44">
        <v>800.0</v>
      </c>
      <c r="F73" s="50">
        <v>20000.0</v>
      </c>
      <c r="G73" s="60" t="s">
        <v>81</v>
      </c>
      <c r="H73" s="47" t="s">
        <v>138</v>
      </c>
      <c r="I73" s="47">
        <v>25.0</v>
      </c>
      <c r="J73" s="47">
        <v>0.0</v>
      </c>
      <c r="K73" s="47">
        <v>0.0</v>
      </c>
      <c r="L73" s="40"/>
      <c r="M73" s="40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</row>
    <row r="74">
      <c r="A74" s="59"/>
      <c r="B74" s="41"/>
      <c r="C74" s="61" t="s">
        <v>178</v>
      </c>
      <c r="D74" s="43" t="s">
        <v>117</v>
      </c>
      <c r="E74" s="44">
        <v>1500.0</v>
      </c>
      <c r="F74" s="50">
        <f>E74*10</f>
        <v>15000</v>
      </c>
      <c r="G74" s="60" t="s">
        <v>81</v>
      </c>
      <c r="H74" s="47" t="s">
        <v>179</v>
      </c>
      <c r="I74" s="47">
        <v>10.0</v>
      </c>
      <c r="J74" s="47">
        <v>0.0</v>
      </c>
      <c r="K74" s="47">
        <v>0.0</v>
      </c>
      <c r="L74" s="40"/>
      <c r="M74" s="40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</row>
    <row r="75">
      <c r="A75" s="59"/>
      <c r="B75" s="41"/>
      <c r="C75" s="42" t="s">
        <v>180</v>
      </c>
      <c r="D75" s="43" t="s">
        <v>86</v>
      </c>
      <c r="E75" s="44">
        <v>1000.0</v>
      </c>
      <c r="F75" s="50">
        <v>3000.0</v>
      </c>
      <c r="G75" s="46" t="s">
        <v>81</v>
      </c>
      <c r="H75" s="43" t="s">
        <v>82</v>
      </c>
      <c r="I75" s="47">
        <v>3.0</v>
      </c>
      <c r="J75" s="47">
        <v>0.0</v>
      </c>
      <c r="K75" s="47">
        <v>0.0</v>
      </c>
      <c r="L75" s="40"/>
      <c r="M75" s="40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</row>
    <row r="76">
      <c r="A76" s="59"/>
      <c r="B76" s="41"/>
      <c r="C76" s="42" t="s">
        <v>181</v>
      </c>
      <c r="D76" s="43" t="s">
        <v>101</v>
      </c>
      <c r="E76" s="44">
        <v>150.0</v>
      </c>
      <c r="F76" s="50">
        <v>3750.0</v>
      </c>
      <c r="G76" s="46" t="s">
        <v>81</v>
      </c>
      <c r="H76" s="43" t="s">
        <v>82</v>
      </c>
      <c r="I76" s="47">
        <v>25.0</v>
      </c>
      <c r="J76" s="47">
        <v>0.0</v>
      </c>
      <c r="K76" s="47">
        <v>0.0</v>
      </c>
      <c r="L76" s="40"/>
      <c r="M76" s="40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</row>
    <row r="77">
      <c r="A77" s="59"/>
      <c r="B77" s="41"/>
      <c r="C77" s="42" t="s">
        <v>182</v>
      </c>
      <c r="D77" s="43" t="s">
        <v>101</v>
      </c>
      <c r="E77" s="44">
        <v>150.0</v>
      </c>
      <c r="F77" s="50">
        <v>3750.0</v>
      </c>
      <c r="G77" s="47" t="s">
        <v>81</v>
      </c>
      <c r="H77" s="43" t="s">
        <v>82</v>
      </c>
      <c r="I77" s="47">
        <v>25.0</v>
      </c>
      <c r="J77" s="47">
        <v>0.0</v>
      </c>
      <c r="K77" s="47">
        <v>0.0</v>
      </c>
      <c r="L77" s="40"/>
      <c r="M77" s="40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</row>
    <row r="78">
      <c r="A78" s="59"/>
      <c r="B78" s="41"/>
      <c r="C78" s="42" t="s">
        <v>183</v>
      </c>
      <c r="D78" s="43" t="s">
        <v>97</v>
      </c>
      <c r="E78" s="44">
        <v>5.0</v>
      </c>
      <c r="F78" s="50">
        <v>500.0</v>
      </c>
      <c r="G78" s="46" t="s">
        <v>81</v>
      </c>
      <c r="H78" s="43" t="s">
        <v>82</v>
      </c>
      <c r="I78" s="47">
        <v>100.0</v>
      </c>
      <c r="J78" s="47">
        <v>0.0</v>
      </c>
      <c r="K78" s="47">
        <v>0.0</v>
      </c>
      <c r="L78" s="40"/>
      <c r="M78" s="40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</row>
    <row r="79">
      <c r="A79" s="59"/>
      <c r="B79" s="41"/>
      <c r="C79" s="42" t="s">
        <v>184</v>
      </c>
      <c r="D79" s="43" t="s">
        <v>185</v>
      </c>
      <c r="E79" s="44">
        <v>100.0</v>
      </c>
      <c r="F79" s="50">
        <v>2000.0</v>
      </c>
      <c r="G79" s="46" t="s">
        <v>81</v>
      </c>
      <c r="H79" s="43" t="s">
        <v>82</v>
      </c>
      <c r="I79" s="47">
        <v>50.0</v>
      </c>
      <c r="J79" s="47">
        <v>0.0</v>
      </c>
      <c r="K79" s="47">
        <v>0.0</v>
      </c>
      <c r="L79" s="40"/>
      <c r="M79" s="40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</row>
    <row r="80">
      <c r="A80" s="40"/>
      <c r="B80" s="40"/>
      <c r="C80" s="54" t="s">
        <v>186</v>
      </c>
      <c r="D80" s="47" t="s">
        <v>187</v>
      </c>
      <c r="E80" s="55">
        <v>2500.0</v>
      </c>
      <c r="F80" s="53">
        <f t="shared" ref="F80:F81" si="4">E80*30</f>
        <v>75000</v>
      </c>
      <c r="G80" s="46" t="s">
        <v>81</v>
      </c>
      <c r="H80" s="43" t="s">
        <v>82</v>
      </c>
      <c r="I80" s="47">
        <v>30.0</v>
      </c>
      <c r="J80" s="47">
        <v>0.0</v>
      </c>
      <c r="K80" s="47">
        <v>0.0</v>
      </c>
      <c r="L80" s="40"/>
      <c r="M80" s="40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</row>
    <row r="81">
      <c r="A81" s="40"/>
      <c r="B81" s="40"/>
      <c r="C81" s="54" t="s">
        <v>188</v>
      </c>
      <c r="D81" s="47" t="s">
        <v>189</v>
      </c>
      <c r="E81" s="55">
        <v>1000.0</v>
      </c>
      <c r="F81" s="53">
        <f t="shared" si="4"/>
        <v>30000</v>
      </c>
      <c r="G81" s="46" t="s">
        <v>81</v>
      </c>
      <c r="H81" s="43" t="s">
        <v>82</v>
      </c>
      <c r="I81" s="47">
        <v>30.0</v>
      </c>
      <c r="J81" s="47">
        <v>0.0</v>
      </c>
      <c r="K81" s="47">
        <v>0.0</v>
      </c>
      <c r="L81" s="40"/>
      <c r="M81" s="40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</row>
    <row r="82">
      <c r="A82" s="40"/>
      <c r="B82" s="40"/>
      <c r="C82" s="42" t="s">
        <v>190</v>
      </c>
      <c r="D82" s="51" t="s">
        <v>191</v>
      </c>
      <c r="E82" s="52">
        <v>1500.0</v>
      </c>
      <c r="F82" s="45">
        <v>30000.0</v>
      </c>
      <c r="G82" s="43" t="s">
        <v>156</v>
      </c>
      <c r="H82" s="47" t="s">
        <v>138</v>
      </c>
      <c r="I82" s="47">
        <v>20.0</v>
      </c>
      <c r="J82" s="47">
        <v>0.0</v>
      </c>
      <c r="K82" s="47">
        <v>0.0</v>
      </c>
      <c r="L82" s="40"/>
      <c r="M82" s="40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</row>
    <row r="83">
      <c r="A83" s="40"/>
      <c r="B83" s="40"/>
      <c r="C83" s="42" t="s">
        <v>192</v>
      </c>
      <c r="D83" s="51" t="s">
        <v>193</v>
      </c>
      <c r="E83" s="52">
        <v>5000.0</v>
      </c>
      <c r="F83" s="45">
        <v>50000.0</v>
      </c>
      <c r="G83" s="43" t="s">
        <v>156</v>
      </c>
      <c r="H83" s="47" t="s">
        <v>138</v>
      </c>
      <c r="I83" s="47">
        <v>10.0</v>
      </c>
      <c r="J83" s="47">
        <v>0.0</v>
      </c>
      <c r="K83" s="47">
        <v>0.0</v>
      </c>
      <c r="L83" s="40"/>
      <c r="M83" s="40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</row>
    <row r="84">
      <c r="A84" s="40"/>
      <c r="B84" s="40"/>
      <c r="C84" s="41" t="s">
        <v>194</v>
      </c>
      <c r="D84" s="51" t="s">
        <v>193</v>
      </c>
      <c r="E84" s="52">
        <v>7000.0</v>
      </c>
      <c r="F84" s="45">
        <v>70000.0</v>
      </c>
      <c r="G84" s="43" t="s">
        <v>156</v>
      </c>
      <c r="H84" s="47" t="s">
        <v>138</v>
      </c>
      <c r="I84" s="47">
        <v>10.0</v>
      </c>
      <c r="J84" s="47">
        <v>0.0</v>
      </c>
      <c r="K84" s="47">
        <v>0.0</v>
      </c>
      <c r="L84" s="40"/>
      <c r="M84" s="40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</row>
    <row r="85">
      <c r="A85" s="40"/>
      <c r="B85" s="40"/>
      <c r="C85" s="41" t="s">
        <v>195</v>
      </c>
      <c r="D85" s="62" t="s">
        <v>196</v>
      </c>
      <c r="E85" s="63">
        <v>15000.0</v>
      </c>
      <c r="F85" s="64">
        <f>E85*3</f>
        <v>45000</v>
      </c>
      <c r="G85" s="43" t="s">
        <v>156</v>
      </c>
      <c r="H85" s="47" t="s">
        <v>138</v>
      </c>
      <c r="I85" s="47">
        <v>1.0</v>
      </c>
      <c r="J85" s="47">
        <v>1.0</v>
      </c>
      <c r="K85" s="47">
        <v>1.0</v>
      </c>
      <c r="L85" s="40"/>
      <c r="M85" s="40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</row>
    <row r="86">
      <c r="A86" s="40"/>
      <c r="B86" s="40"/>
      <c r="C86" s="61" t="s">
        <v>197</v>
      </c>
      <c r="D86" s="62" t="s">
        <v>198</v>
      </c>
      <c r="E86" s="63">
        <v>500.0</v>
      </c>
      <c r="F86" s="64">
        <v>1000.0</v>
      </c>
      <c r="G86" s="43" t="s">
        <v>156</v>
      </c>
      <c r="H86" s="47" t="s">
        <v>138</v>
      </c>
      <c r="I86" s="47"/>
      <c r="J86" s="47"/>
      <c r="K86" s="47"/>
      <c r="L86" s="40"/>
      <c r="M86" s="40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</row>
    <row r="87">
      <c r="A87" s="40"/>
      <c r="B87" s="40"/>
      <c r="C87" s="61" t="s">
        <v>199</v>
      </c>
      <c r="D87" s="62" t="s">
        <v>198</v>
      </c>
      <c r="E87" s="63">
        <v>1000.0</v>
      </c>
      <c r="F87" s="64">
        <v>2000.0</v>
      </c>
      <c r="G87" s="43" t="s">
        <v>156</v>
      </c>
      <c r="H87" s="47" t="s">
        <v>138</v>
      </c>
      <c r="I87" s="47">
        <v>1.0</v>
      </c>
      <c r="J87" s="47">
        <v>1.0</v>
      </c>
      <c r="K87" s="47">
        <v>0.0</v>
      </c>
      <c r="L87" s="40"/>
      <c r="M87" s="40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</row>
    <row r="88">
      <c r="A88" s="40"/>
      <c r="B88" s="40"/>
      <c r="C88" s="61" t="s">
        <v>200</v>
      </c>
      <c r="D88" s="62" t="s">
        <v>201</v>
      </c>
      <c r="E88" s="63">
        <v>1500.0</v>
      </c>
      <c r="F88" s="64">
        <v>3000.0</v>
      </c>
      <c r="G88" s="43" t="s">
        <v>156</v>
      </c>
      <c r="H88" s="47" t="s">
        <v>138</v>
      </c>
      <c r="I88" s="47">
        <v>1.0</v>
      </c>
      <c r="J88" s="47">
        <v>1.0</v>
      </c>
      <c r="K88" s="47">
        <v>0.0</v>
      </c>
      <c r="L88" s="40"/>
      <c r="M88" s="40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</row>
    <row r="89">
      <c r="A89" s="40"/>
      <c r="B89" s="40"/>
      <c r="C89" s="61" t="s">
        <v>202</v>
      </c>
      <c r="D89" s="62" t="s">
        <v>198</v>
      </c>
      <c r="E89" s="63">
        <v>1000.0</v>
      </c>
      <c r="F89" s="64">
        <v>2000.0</v>
      </c>
      <c r="G89" s="43" t="s">
        <v>156</v>
      </c>
      <c r="H89" s="47" t="s">
        <v>138</v>
      </c>
      <c r="I89" s="47">
        <v>1.0</v>
      </c>
      <c r="J89" s="47">
        <v>1.0</v>
      </c>
      <c r="K89" s="47">
        <v>0.0</v>
      </c>
      <c r="L89" s="40"/>
      <c r="M89" s="40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</row>
    <row r="90">
      <c r="A90" s="40"/>
      <c r="B90" s="40"/>
      <c r="C90" s="61" t="s">
        <v>203</v>
      </c>
      <c r="D90" s="62" t="s">
        <v>198</v>
      </c>
      <c r="E90" s="65">
        <v>800.0</v>
      </c>
      <c r="F90" s="65">
        <v>1600.0</v>
      </c>
      <c r="G90" s="43" t="s">
        <v>156</v>
      </c>
      <c r="H90" s="47" t="s">
        <v>138</v>
      </c>
      <c r="I90" s="47">
        <v>1.0</v>
      </c>
      <c r="J90" s="47">
        <v>1.0</v>
      </c>
      <c r="K90" s="47">
        <v>0.0</v>
      </c>
      <c r="L90" s="40"/>
      <c r="M90" s="40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</row>
    <row r="91">
      <c r="A91" s="40"/>
      <c r="B91" s="40"/>
      <c r="C91" s="61" t="s">
        <v>204</v>
      </c>
      <c r="D91" s="62" t="s">
        <v>198</v>
      </c>
      <c r="E91" s="63">
        <v>1500.0</v>
      </c>
      <c r="F91" s="64">
        <v>3000.0</v>
      </c>
      <c r="G91" s="43" t="s">
        <v>156</v>
      </c>
      <c r="H91" s="47" t="s">
        <v>138</v>
      </c>
      <c r="I91" s="47">
        <v>1.0</v>
      </c>
      <c r="J91" s="47">
        <v>1.0</v>
      </c>
      <c r="K91" s="47">
        <v>0.0</v>
      </c>
      <c r="L91" s="40"/>
      <c r="M91" s="40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</row>
    <row r="92">
      <c r="A92" s="40"/>
      <c r="B92" s="40"/>
      <c r="C92" s="61" t="s">
        <v>205</v>
      </c>
      <c r="D92" s="62" t="s">
        <v>198</v>
      </c>
      <c r="E92" s="63">
        <v>800.0</v>
      </c>
      <c r="F92" s="64">
        <v>1600.0</v>
      </c>
      <c r="G92" s="43" t="s">
        <v>156</v>
      </c>
      <c r="H92" s="47" t="s">
        <v>138</v>
      </c>
      <c r="I92" s="47">
        <v>1.0</v>
      </c>
      <c r="J92" s="47">
        <v>1.0</v>
      </c>
      <c r="K92" s="47">
        <v>0.0</v>
      </c>
      <c r="L92" s="40"/>
      <c r="M92" s="40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</row>
    <row r="93">
      <c r="A93" s="40"/>
      <c r="B93" s="40"/>
      <c r="C93" s="61" t="s">
        <v>206</v>
      </c>
      <c r="D93" s="62" t="s">
        <v>207</v>
      </c>
      <c r="E93" s="63">
        <v>3000.0</v>
      </c>
      <c r="F93" s="64">
        <v>3000.0</v>
      </c>
      <c r="G93" s="43" t="s">
        <v>156</v>
      </c>
      <c r="H93" s="47" t="s">
        <v>138</v>
      </c>
      <c r="I93" s="47">
        <v>1.0</v>
      </c>
      <c r="J93" s="47">
        <v>0.0</v>
      </c>
      <c r="K93" s="47">
        <v>0.0</v>
      </c>
      <c r="L93" s="40"/>
      <c r="M93" s="40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</row>
    <row r="94">
      <c r="A94" s="40"/>
      <c r="B94" s="40"/>
      <c r="C94" s="61" t="s">
        <v>208</v>
      </c>
      <c r="D94" s="62" t="s">
        <v>198</v>
      </c>
      <c r="E94" s="63">
        <v>500.0</v>
      </c>
      <c r="F94" s="64">
        <v>1000.0</v>
      </c>
      <c r="G94" s="43" t="s">
        <v>156</v>
      </c>
      <c r="H94" s="47" t="s">
        <v>138</v>
      </c>
      <c r="I94" s="47">
        <v>1.0</v>
      </c>
      <c r="J94" s="47">
        <v>1.0</v>
      </c>
      <c r="K94" s="47">
        <v>0.0</v>
      </c>
      <c r="L94" s="40"/>
      <c r="M94" s="40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</row>
    <row r="95">
      <c r="A95" s="40"/>
      <c r="B95" s="40"/>
      <c r="C95" s="61" t="s">
        <v>209</v>
      </c>
      <c r="D95" s="62" t="s">
        <v>210</v>
      </c>
      <c r="E95" s="63">
        <v>600.0</v>
      </c>
      <c r="F95" s="64">
        <v>15000.0</v>
      </c>
      <c r="G95" s="43" t="s">
        <v>156</v>
      </c>
      <c r="H95" s="47" t="s">
        <v>138</v>
      </c>
      <c r="I95" s="47">
        <v>25.0</v>
      </c>
      <c r="J95" s="47">
        <v>0.0</v>
      </c>
      <c r="K95" s="47">
        <v>0.0</v>
      </c>
      <c r="L95" s="40"/>
      <c r="M95" s="40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</row>
    <row r="96">
      <c r="A96" s="40"/>
      <c r="B96" s="40"/>
      <c r="C96" s="61" t="s">
        <v>211</v>
      </c>
      <c r="D96" s="62" t="s">
        <v>212</v>
      </c>
      <c r="E96" s="63">
        <v>450.0</v>
      </c>
      <c r="F96" s="64">
        <v>33750.0</v>
      </c>
      <c r="G96" s="43" t="s">
        <v>156</v>
      </c>
      <c r="H96" s="47" t="s">
        <v>138</v>
      </c>
      <c r="I96" s="47">
        <v>75.0</v>
      </c>
      <c r="J96" s="47">
        <v>0.0</v>
      </c>
      <c r="K96" s="47">
        <v>0.0</v>
      </c>
      <c r="L96" s="40"/>
      <c r="M96" s="40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</row>
    <row r="97">
      <c r="A97" s="40"/>
      <c r="B97" s="40"/>
      <c r="C97" s="61" t="s">
        <v>213</v>
      </c>
      <c r="D97" s="62" t="s">
        <v>210</v>
      </c>
      <c r="E97" s="63">
        <v>450.0</v>
      </c>
      <c r="F97" s="64">
        <v>11250.0</v>
      </c>
      <c r="G97" s="43" t="s">
        <v>156</v>
      </c>
      <c r="H97" s="47" t="s">
        <v>138</v>
      </c>
      <c r="I97" s="47">
        <v>25.0</v>
      </c>
      <c r="J97" s="47">
        <v>0.0</v>
      </c>
      <c r="K97" s="47">
        <v>0.0</v>
      </c>
      <c r="L97" s="40"/>
      <c r="M97" s="40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</row>
    <row r="98">
      <c r="A98" s="40"/>
      <c r="B98" s="40"/>
      <c r="C98" s="41" t="s">
        <v>214</v>
      </c>
      <c r="D98" s="62" t="s">
        <v>193</v>
      </c>
      <c r="E98" s="63">
        <v>1200.0</v>
      </c>
      <c r="F98" s="64">
        <v>12000.0</v>
      </c>
      <c r="G98" s="43" t="s">
        <v>156</v>
      </c>
      <c r="H98" s="47" t="s">
        <v>138</v>
      </c>
      <c r="I98" s="47">
        <v>10.0</v>
      </c>
      <c r="J98" s="47">
        <v>0.0</v>
      </c>
      <c r="K98" s="47">
        <v>0.0</v>
      </c>
      <c r="L98" s="40"/>
      <c r="M98" s="40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</row>
    <row r="99">
      <c r="A99" s="40"/>
      <c r="B99" s="40"/>
      <c r="C99" s="61" t="s">
        <v>215</v>
      </c>
      <c r="D99" s="62" t="s">
        <v>216</v>
      </c>
      <c r="E99" s="63">
        <v>900.0</v>
      </c>
      <c r="F99" s="64">
        <v>9000.0</v>
      </c>
      <c r="G99" s="43" t="s">
        <v>156</v>
      </c>
      <c r="H99" s="47" t="s">
        <v>138</v>
      </c>
      <c r="I99" s="47">
        <v>10.0</v>
      </c>
      <c r="J99" s="47">
        <v>0.0</v>
      </c>
      <c r="K99" s="47">
        <v>0.0</v>
      </c>
      <c r="L99" s="40"/>
      <c r="M99" s="40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</row>
    <row r="100">
      <c r="A100" s="40"/>
      <c r="B100" s="40"/>
      <c r="C100" s="61" t="s">
        <v>217</v>
      </c>
      <c r="D100" s="62" t="s">
        <v>216</v>
      </c>
      <c r="E100" s="63">
        <v>600.0</v>
      </c>
      <c r="F100" s="64">
        <v>6000.0</v>
      </c>
      <c r="G100" s="43" t="s">
        <v>156</v>
      </c>
      <c r="H100" s="47" t="s">
        <v>138</v>
      </c>
      <c r="I100" s="47">
        <v>10.0</v>
      </c>
      <c r="J100" s="47">
        <v>0.0</v>
      </c>
      <c r="K100" s="47">
        <v>0.0</v>
      </c>
      <c r="L100" s="40"/>
      <c r="M100" s="40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</row>
    <row r="101">
      <c r="A101" s="40"/>
      <c r="B101" s="40"/>
      <c r="C101" s="61" t="s">
        <v>218</v>
      </c>
      <c r="D101" s="62" t="s">
        <v>219</v>
      </c>
      <c r="E101" s="63">
        <v>2500.0</v>
      </c>
      <c r="F101" s="64">
        <v>12500.0</v>
      </c>
      <c r="G101" s="43" t="s">
        <v>156</v>
      </c>
      <c r="H101" s="47" t="s">
        <v>138</v>
      </c>
      <c r="I101" s="47">
        <v>5.0</v>
      </c>
      <c r="J101" s="47">
        <v>0.0</v>
      </c>
      <c r="K101" s="47">
        <v>0.0</v>
      </c>
      <c r="L101" s="40"/>
      <c r="M101" s="40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</row>
    <row r="102">
      <c r="A102" s="40"/>
      <c r="B102" s="40"/>
      <c r="C102" s="61" t="s">
        <v>220</v>
      </c>
      <c r="D102" s="62" t="s">
        <v>221</v>
      </c>
      <c r="E102" s="63">
        <v>2000.0</v>
      </c>
      <c r="F102" s="64">
        <v>20000.0</v>
      </c>
      <c r="G102" s="43" t="s">
        <v>156</v>
      </c>
      <c r="H102" s="47" t="s">
        <v>138</v>
      </c>
      <c r="I102" s="47">
        <v>10.0</v>
      </c>
      <c r="J102" s="47">
        <v>0.0</v>
      </c>
      <c r="K102" s="47">
        <v>0.0</v>
      </c>
      <c r="L102" s="40"/>
      <c r="M102" s="40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</row>
    <row r="103">
      <c r="A103" s="56" t="s">
        <v>222</v>
      </c>
      <c r="B103" s="66"/>
      <c r="C103" s="67" t="s">
        <v>223</v>
      </c>
      <c r="D103" s="35"/>
      <c r="E103" s="37"/>
      <c r="F103" s="38"/>
      <c r="G103" s="35"/>
      <c r="H103" s="35"/>
      <c r="I103" s="35"/>
      <c r="J103" s="35"/>
      <c r="K103" s="35"/>
      <c r="L103" s="35"/>
      <c r="M103" s="35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</row>
    <row r="104">
      <c r="A104" s="40"/>
      <c r="B104" s="40"/>
      <c r="C104" s="61" t="s">
        <v>224</v>
      </c>
      <c r="D104" s="62" t="s">
        <v>108</v>
      </c>
      <c r="E104" s="63">
        <v>50000.0</v>
      </c>
      <c r="F104" s="64">
        <v>50000.0</v>
      </c>
      <c r="G104" s="43" t="s">
        <v>156</v>
      </c>
      <c r="H104" s="47" t="s">
        <v>138</v>
      </c>
      <c r="I104" s="47">
        <v>1.0</v>
      </c>
      <c r="J104" s="47">
        <v>0.0</v>
      </c>
      <c r="K104" s="47">
        <v>0.0</v>
      </c>
      <c r="L104" s="40"/>
      <c r="M104" s="40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</row>
    <row r="105">
      <c r="A105" s="40"/>
      <c r="B105" s="41"/>
      <c r="C105" s="68" t="s">
        <v>225</v>
      </c>
      <c r="D105" s="69" t="s">
        <v>120</v>
      </c>
      <c r="E105" s="70">
        <v>2000.0</v>
      </c>
      <c r="F105" s="71">
        <v>10000.0</v>
      </c>
      <c r="G105" s="43" t="s">
        <v>156</v>
      </c>
      <c r="H105" s="47" t="s">
        <v>138</v>
      </c>
      <c r="I105" s="47"/>
      <c r="J105" s="47"/>
      <c r="K105" s="47"/>
      <c r="L105" s="54"/>
      <c r="M105" s="40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</row>
    <row r="106">
      <c r="A106" s="40"/>
      <c r="B106" s="41"/>
      <c r="C106" s="72" t="s">
        <v>226</v>
      </c>
      <c r="D106" s="69" t="s">
        <v>227</v>
      </c>
      <c r="E106" s="70">
        <v>500.0</v>
      </c>
      <c r="F106" s="71">
        <v>25000.0</v>
      </c>
      <c r="G106" s="43" t="s">
        <v>156</v>
      </c>
      <c r="H106" s="47" t="s">
        <v>138</v>
      </c>
      <c r="I106" s="47"/>
      <c r="J106" s="47"/>
      <c r="K106" s="47"/>
      <c r="L106" s="54"/>
      <c r="M106" s="40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</row>
    <row r="107">
      <c r="A107" s="40"/>
      <c r="B107" s="41"/>
      <c r="C107" s="72" t="s">
        <v>228</v>
      </c>
      <c r="D107" s="73" t="s">
        <v>101</v>
      </c>
      <c r="E107" s="70">
        <v>1000.0</v>
      </c>
      <c r="F107" s="71">
        <v>25000.0</v>
      </c>
      <c r="G107" s="43" t="s">
        <v>156</v>
      </c>
      <c r="H107" s="47" t="s">
        <v>138</v>
      </c>
      <c r="I107" s="47">
        <v>5.0</v>
      </c>
      <c r="J107" s="47">
        <v>0.0</v>
      </c>
      <c r="K107" s="47">
        <v>0.0</v>
      </c>
      <c r="L107" s="54"/>
      <c r="M107" s="40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</row>
    <row r="108">
      <c r="A108" s="40"/>
      <c r="B108" s="41"/>
      <c r="C108" s="72" t="s">
        <v>229</v>
      </c>
      <c r="D108" s="73" t="s">
        <v>101</v>
      </c>
      <c r="E108" s="70">
        <v>3000.0</v>
      </c>
      <c r="F108" s="71">
        <v>75000.0</v>
      </c>
      <c r="G108" s="43" t="s">
        <v>156</v>
      </c>
      <c r="H108" s="47" t="s">
        <v>138</v>
      </c>
      <c r="I108" s="47">
        <v>5.0</v>
      </c>
      <c r="J108" s="47">
        <v>0.0</v>
      </c>
      <c r="K108" s="47">
        <v>0.0</v>
      </c>
      <c r="L108" s="54"/>
      <c r="M108" s="40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</row>
    <row r="109">
      <c r="A109" s="40"/>
      <c r="B109" s="41"/>
      <c r="C109" s="72" t="s">
        <v>230</v>
      </c>
      <c r="D109" s="73" t="s">
        <v>231</v>
      </c>
      <c r="E109" s="70">
        <v>2000.0</v>
      </c>
      <c r="F109" s="71">
        <v>120000.0</v>
      </c>
      <c r="G109" s="43" t="s">
        <v>156</v>
      </c>
      <c r="H109" s="47" t="s">
        <v>138</v>
      </c>
      <c r="I109" s="47">
        <v>15.0</v>
      </c>
      <c r="J109" s="47">
        <v>0.0</v>
      </c>
      <c r="K109" s="47">
        <v>0.0</v>
      </c>
      <c r="L109" s="54"/>
      <c r="M109" s="40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</row>
    <row r="110">
      <c r="A110" s="40"/>
      <c r="B110" s="41"/>
      <c r="C110" s="72" t="s">
        <v>232</v>
      </c>
      <c r="D110" s="73" t="s">
        <v>117</v>
      </c>
      <c r="E110" s="70">
        <v>6000.0</v>
      </c>
      <c r="F110" s="71">
        <f>E110*10</f>
        <v>60000</v>
      </c>
      <c r="G110" s="43" t="s">
        <v>156</v>
      </c>
      <c r="H110" s="47" t="s">
        <v>138</v>
      </c>
      <c r="I110" s="47">
        <v>10.0</v>
      </c>
      <c r="J110" s="47">
        <v>0.0</v>
      </c>
      <c r="K110" s="47">
        <v>0.0</v>
      </c>
      <c r="L110" s="54"/>
      <c r="M110" s="40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</row>
    <row r="111">
      <c r="A111" s="40"/>
      <c r="B111" s="41"/>
      <c r="C111" s="72" t="s">
        <v>233</v>
      </c>
      <c r="D111" s="73" t="s">
        <v>101</v>
      </c>
      <c r="E111" s="70">
        <f>F111/25</f>
        <v>800</v>
      </c>
      <c r="F111" s="71">
        <v>20000.0</v>
      </c>
      <c r="G111" s="43" t="s">
        <v>156</v>
      </c>
      <c r="H111" s="47" t="s">
        <v>138</v>
      </c>
      <c r="I111" s="47">
        <v>25.0</v>
      </c>
      <c r="J111" s="47">
        <v>0.0</v>
      </c>
      <c r="K111" s="47">
        <v>0.0</v>
      </c>
      <c r="L111" s="54"/>
      <c r="M111" s="40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</row>
    <row r="112">
      <c r="A112" s="40"/>
      <c r="B112" s="41"/>
      <c r="C112" s="72" t="s">
        <v>234</v>
      </c>
      <c r="D112" s="73" t="s">
        <v>235</v>
      </c>
      <c r="E112" s="70">
        <f t="shared" ref="E112:E115" si="5">F112/10</f>
        <v>750</v>
      </c>
      <c r="F112" s="71">
        <v>7500.0</v>
      </c>
      <c r="G112" s="43" t="s">
        <v>156</v>
      </c>
      <c r="H112" s="47" t="s">
        <v>138</v>
      </c>
      <c r="I112" s="47">
        <v>10.0</v>
      </c>
      <c r="J112" s="47">
        <v>0.0</v>
      </c>
      <c r="K112" s="47">
        <v>0.0</v>
      </c>
      <c r="L112" s="54"/>
      <c r="M112" s="40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</row>
    <row r="113">
      <c r="A113" s="40"/>
      <c r="B113" s="41"/>
      <c r="C113" s="72" t="s">
        <v>236</v>
      </c>
      <c r="D113" s="73" t="s">
        <v>235</v>
      </c>
      <c r="E113" s="70">
        <f t="shared" si="5"/>
        <v>1050</v>
      </c>
      <c r="F113" s="71">
        <v>10500.0</v>
      </c>
      <c r="G113" s="43" t="s">
        <v>156</v>
      </c>
      <c r="H113" s="47" t="s">
        <v>138</v>
      </c>
      <c r="I113" s="47">
        <v>10.0</v>
      </c>
      <c r="J113" s="47">
        <v>0.0</v>
      </c>
      <c r="K113" s="47">
        <v>0.0</v>
      </c>
      <c r="L113" s="54"/>
      <c r="M113" s="40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</row>
    <row r="114">
      <c r="A114" s="40"/>
      <c r="B114" s="41"/>
      <c r="C114" s="72" t="s">
        <v>237</v>
      </c>
      <c r="D114" s="73" t="s">
        <v>235</v>
      </c>
      <c r="E114" s="70">
        <f t="shared" si="5"/>
        <v>1350</v>
      </c>
      <c r="F114" s="71">
        <v>13500.0</v>
      </c>
      <c r="G114" s="43" t="s">
        <v>156</v>
      </c>
      <c r="H114" s="47" t="s">
        <v>138</v>
      </c>
      <c r="I114" s="47">
        <v>10.0</v>
      </c>
      <c r="J114" s="47">
        <v>0.0</v>
      </c>
      <c r="K114" s="47">
        <v>0.0</v>
      </c>
      <c r="L114" s="54"/>
      <c r="M114" s="40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</row>
    <row r="115">
      <c r="A115" s="40"/>
      <c r="B115" s="41"/>
      <c r="C115" s="72" t="s">
        <v>238</v>
      </c>
      <c r="D115" s="73" t="s">
        <v>235</v>
      </c>
      <c r="E115" s="70">
        <f t="shared" si="5"/>
        <v>5400</v>
      </c>
      <c r="F115" s="71">
        <v>54000.0</v>
      </c>
      <c r="G115" s="43" t="s">
        <v>156</v>
      </c>
      <c r="H115" s="47" t="s">
        <v>138</v>
      </c>
      <c r="I115" s="47">
        <v>10.0</v>
      </c>
      <c r="J115" s="47">
        <v>0.0</v>
      </c>
      <c r="K115" s="47">
        <v>0.0</v>
      </c>
      <c r="L115" s="54"/>
      <c r="M115" s="40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</row>
    <row r="116">
      <c r="A116" s="40"/>
      <c r="B116" s="41"/>
      <c r="C116" s="72" t="s">
        <v>239</v>
      </c>
      <c r="D116" s="73" t="s">
        <v>231</v>
      </c>
      <c r="E116" s="70">
        <f>F116/5</f>
        <v>5400</v>
      </c>
      <c r="F116" s="71">
        <v>27000.0</v>
      </c>
      <c r="G116" s="43" t="s">
        <v>156</v>
      </c>
      <c r="H116" s="47" t="s">
        <v>138</v>
      </c>
      <c r="I116" s="47">
        <v>5.0</v>
      </c>
      <c r="J116" s="47">
        <v>0.0</v>
      </c>
      <c r="K116" s="47">
        <v>0.0</v>
      </c>
      <c r="L116" s="54"/>
      <c r="M116" s="40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</row>
    <row r="117">
      <c r="A117" s="40"/>
      <c r="B117" s="41"/>
      <c r="C117" s="72" t="s">
        <v>240</v>
      </c>
      <c r="D117" s="73" t="s">
        <v>241</v>
      </c>
      <c r="E117" s="70">
        <v>1800.0</v>
      </c>
      <c r="F117" s="71">
        <f>E117*5</f>
        <v>9000</v>
      </c>
      <c r="G117" s="43" t="s">
        <v>156</v>
      </c>
      <c r="H117" s="47" t="s">
        <v>138</v>
      </c>
      <c r="I117" s="47">
        <v>5.0</v>
      </c>
      <c r="J117" s="47">
        <v>0.0</v>
      </c>
      <c r="K117" s="47">
        <v>0.0</v>
      </c>
      <c r="L117" s="54"/>
      <c r="M117" s="40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</row>
    <row r="118">
      <c r="A118" s="40"/>
      <c r="B118" s="41"/>
      <c r="C118" s="72" t="s">
        <v>242</v>
      </c>
      <c r="D118" s="73" t="s">
        <v>231</v>
      </c>
      <c r="E118" s="70">
        <v>900.0</v>
      </c>
      <c r="F118" s="71">
        <v>54000.0</v>
      </c>
      <c r="G118" s="43" t="s">
        <v>156</v>
      </c>
      <c r="H118" s="47" t="s">
        <v>138</v>
      </c>
      <c r="I118" s="47">
        <v>10.0</v>
      </c>
      <c r="J118" s="47">
        <v>0.0</v>
      </c>
      <c r="K118" s="47">
        <v>0.0</v>
      </c>
      <c r="L118" s="54"/>
      <c r="M118" s="40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</row>
    <row r="119">
      <c r="A119" s="40"/>
      <c r="B119" s="41"/>
      <c r="C119" s="72" t="s">
        <v>243</v>
      </c>
      <c r="D119" s="73" t="s">
        <v>231</v>
      </c>
      <c r="E119" s="70">
        <v>4000.0</v>
      </c>
      <c r="F119" s="71">
        <v>240000.0</v>
      </c>
      <c r="G119" s="43" t="s">
        <v>156</v>
      </c>
      <c r="H119" s="47" t="s">
        <v>138</v>
      </c>
      <c r="I119" s="47">
        <v>25.0</v>
      </c>
      <c r="J119" s="47">
        <v>0.0</v>
      </c>
      <c r="K119" s="47">
        <v>0.0</v>
      </c>
      <c r="L119" s="54"/>
      <c r="M119" s="40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</row>
    <row r="120">
      <c r="A120" s="40"/>
      <c r="B120" s="41"/>
      <c r="C120" s="72" t="s">
        <v>244</v>
      </c>
      <c r="D120" s="73" t="s">
        <v>231</v>
      </c>
      <c r="E120" s="70">
        <v>5000.0</v>
      </c>
      <c r="F120" s="71">
        <v>300000.0</v>
      </c>
      <c r="G120" s="43" t="s">
        <v>156</v>
      </c>
      <c r="H120" s="47" t="s">
        <v>138</v>
      </c>
      <c r="I120" s="47">
        <v>10.0</v>
      </c>
      <c r="J120" s="47">
        <v>0.0</v>
      </c>
      <c r="K120" s="47">
        <v>0.0</v>
      </c>
      <c r="L120" s="54"/>
      <c r="M120" s="40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</row>
    <row r="121">
      <c r="A121" s="40"/>
      <c r="B121" s="41"/>
      <c r="C121" s="72" t="s">
        <v>245</v>
      </c>
      <c r="D121" s="73" t="s">
        <v>231</v>
      </c>
      <c r="E121" s="70">
        <v>7000.0</v>
      </c>
      <c r="F121" s="71">
        <v>420000.0</v>
      </c>
      <c r="G121" s="43" t="s">
        <v>156</v>
      </c>
      <c r="H121" s="47" t="s">
        <v>138</v>
      </c>
      <c r="I121" s="47">
        <v>25.0</v>
      </c>
      <c r="J121" s="47">
        <v>0.0</v>
      </c>
      <c r="K121" s="47">
        <v>0.0</v>
      </c>
      <c r="L121" s="54"/>
      <c r="M121" s="40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</row>
    <row r="122">
      <c r="A122" s="40"/>
      <c r="B122" s="41"/>
      <c r="C122" s="74" t="s">
        <v>246</v>
      </c>
      <c r="D122" s="73" t="s">
        <v>227</v>
      </c>
      <c r="E122" s="70">
        <v>5000.0</v>
      </c>
      <c r="F122" s="71">
        <v>25000.0</v>
      </c>
      <c r="G122" s="43" t="s">
        <v>156</v>
      </c>
      <c r="H122" s="47" t="s">
        <v>138</v>
      </c>
      <c r="I122" s="47">
        <v>1.0</v>
      </c>
      <c r="J122" s="47">
        <v>0.0</v>
      </c>
      <c r="K122" s="47">
        <v>0.0</v>
      </c>
      <c r="L122" s="54"/>
      <c r="M122" s="40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</row>
    <row r="123">
      <c r="A123" s="40"/>
      <c r="B123" s="41"/>
      <c r="C123" s="72" t="s">
        <v>247</v>
      </c>
      <c r="D123" s="73" t="s">
        <v>117</v>
      </c>
      <c r="E123" s="70">
        <v>900.0</v>
      </c>
      <c r="F123" s="71">
        <f>E123*10</f>
        <v>9000</v>
      </c>
      <c r="G123" s="43" t="s">
        <v>156</v>
      </c>
      <c r="H123" s="47" t="s">
        <v>138</v>
      </c>
      <c r="I123" s="47">
        <v>10.0</v>
      </c>
      <c r="J123" s="47">
        <v>0.0</v>
      </c>
      <c r="K123" s="47">
        <v>0.0</v>
      </c>
      <c r="L123" s="54"/>
      <c r="M123" s="40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</row>
    <row r="124">
      <c r="A124" s="40"/>
      <c r="B124" s="41"/>
      <c r="C124" s="72" t="s">
        <v>248</v>
      </c>
      <c r="D124" s="73" t="s">
        <v>117</v>
      </c>
      <c r="E124" s="70">
        <v>700.0</v>
      </c>
      <c r="F124" s="71">
        <v>7000.0</v>
      </c>
      <c r="G124" s="43" t="s">
        <v>156</v>
      </c>
      <c r="H124" s="47" t="s">
        <v>138</v>
      </c>
      <c r="I124" s="47">
        <v>10.0</v>
      </c>
      <c r="J124" s="47">
        <v>0.0</v>
      </c>
      <c r="K124" s="47">
        <v>0.0</v>
      </c>
      <c r="L124" s="54"/>
      <c r="M124" s="40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</row>
    <row r="125">
      <c r="A125" s="40"/>
      <c r="B125" s="41"/>
      <c r="C125" s="72" t="s">
        <v>249</v>
      </c>
      <c r="D125" s="73" t="s">
        <v>120</v>
      </c>
      <c r="E125" s="70">
        <v>700.0</v>
      </c>
      <c r="F125" s="71">
        <v>3500.0</v>
      </c>
      <c r="G125" s="43" t="s">
        <v>156</v>
      </c>
      <c r="H125" s="47" t="s">
        <v>138</v>
      </c>
      <c r="I125" s="47">
        <v>5.0</v>
      </c>
      <c r="J125" s="47">
        <v>0.0</v>
      </c>
      <c r="K125" s="47">
        <v>0.0</v>
      </c>
      <c r="L125" s="54"/>
      <c r="M125" s="40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</row>
    <row r="126">
      <c r="A126" s="40"/>
      <c r="B126" s="41"/>
      <c r="C126" s="72" t="s">
        <v>250</v>
      </c>
      <c r="D126" s="73" t="s">
        <v>120</v>
      </c>
      <c r="E126" s="70">
        <v>400.0</v>
      </c>
      <c r="F126" s="71">
        <v>10000.0</v>
      </c>
      <c r="G126" s="43" t="s">
        <v>156</v>
      </c>
      <c r="H126" s="47" t="s">
        <v>138</v>
      </c>
      <c r="I126" s="47">
        <v>5.0</v>
      </c>
      <c r="J126" s="47">
        <v>0.0</v>
      </c>
      <c r="K126" s="47">
        <v>0.0</v>
      </c>
      <c r="L126" s="54"/>
      <c r="M126" s="40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</row>
    <row r="127">
      <c r="A127" s="40"/>
      <c r="B127" s="41"/>
      <c r="C127" s="72" t="s">
        <v>251</v>
      </c>
      <c r="D127" s="73" t="s">
        <v>120</v>
      </c>
      <c r="E127" s="70">
        <f>F127/6</f>
        <v>4500</v>
      </c>
      <c r="F127" s="71">
        <v>27000.0</v>
      </c>
      <c r="G127" s="43" t="s">
        <v>156</v>
      </c>
      <c r="H127" s="47" t="s">
        <v>138</v>
      </c>
      <c r="I127" s="47">
        <v>5.0</v>
      </c>
      <c r="J127" s="47">
        <v>0.0</v>
      </c>
      <c r="K127" s="47">
        <v>0.0</v>
      </c>
      <c r="L127" s="54"/>
      <c r="M127" s="40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</row>
    <row r="128">
      <c r="A128" s="40"/>
      <c r="B128" s="41"/>
      <c r="C128" s="72" t="s">
        <v>252</v>
      </c>
      <c r="D128" s="73" t="s">
        <v>120</v>
      </c>
      <c r="E128" s="70">
        <v>900.0</v>
      </c>
      <c r="F128" s="71">
        <v>4500.0</v>
      </c>
      <c r="G128" s="43" t="s">
        <v>156</v>
      </c>
      <c r="H128" s="47" t="s">
        <v>138</v>
      </c>
      <c r="I128" s="47">
        <v>5.0</v>
      </c>
      <c r="J128" s="47">
        <v>0.0</v>
      </c>
      <c r="K128" s="47">
        <v>0.0</v>
      </c>
      <c r="L128" s="54"/>
      <c r="M128" s="40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</row>
    <row r="129">
      <c r="A129" s="40"/>
      <c r="B129" s="41"/>
      <c r="C129" s="72" t="s">
        <v>253</v>
      </c>
      <c r="D129" s="73" t="s">
        <v>120</v>
      </c>
      <c r="E129" s="70">
        <v>900.0</v>
      </c>
      <c r="F129" s="71">
        <f>E129*5</f>
        <v>4500</v>
      </c>
      <c r="G129" s="43" t="s">
        <v>156</v>
      </c>
      <c r="H129" s="47" t="s">
        <v>138</v>
      </c>
      <c r="I129" s="47">
        <v>5.0</v>
      </c>
      <c r="J129" s="47">
        <v>0.0</v>
      </c>
      <c r="K129" s="47">
        <v>0.0</v>
      </c>
      <c r="L129" s="54"/>
      <c r="M129" s="40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</row>
    <row r="130">
      <c r="A130" s="40"/>
      <c r="B130" s="41"/>
      <c r="C130" s="72" t="s">
        <v>254</v>
      </c>
      <c r="D130" s="73" t="s">
        <v>117</v>
      </c>
      <c r="E130" s="70">
        <v>900.0</v>
      </c>
      <c r="F130" s="71">
        <f t="shared" ref="F130:F131" si="6">E130*10</f>
        <v>9000</v>
      </c>
      <c r="G130" s="43" t="s">
        <v>156</v>
      </c>
      <c r="H130" s="47" t="s">
        <v>138</v>
      </c>
      <c r="I130" s="47">
        <v>10.0</v>
      </c>
      <c r="J130" s="47">
        <v>0.0</v>
      </c>
      <c r="K130" s="47">
        <v>0.0</v>
      </c>
      <c r="L130" s="54"/>
      <c r="M130" s="40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</row>
    <row r="131">
      <c r="A131" s="40"/>
      <c r="B131" s="41"/>
      <c r="C131" s="72" t="s">
        <v>255</v>
      </c>
      <c r="D131" s="73" t="s">
        <v>117</v>
      </c>
      <c r="E131" s="70">
        <v>900.0</v>
      </c>
      <c r="F131" s="71">
        <f t="shared" si="6"/>
        <v>9000</v>
      </c>
      <c r="G131" s="43" t="s">
        <v>156</v>
      </c>
      <c r="H131" s="47" t="s">
        <v>138</v>
      </c>
      <c r="I131" s="47">
        <v>10.0</v>
      </c>
      <c r="J131" s="47">
        <v>0.0</v>
      </c>
      <c r="K131" s="47">
        <v>0.0</v>
      </c>
      <c r="L131" s="54"/>
      <c r="M131" s="40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</row>
    <row r="132">
      <c r="A132" s="40"/>
      <c r="B132" s="41"/>
      <c r="C132" s="72" t="s">
        <v>256</v>
      </c>
      <c r="D132" s="73" t="s">
        <v>120</v>
      </c>
      <c r="E132" s="70">
        <f t="shared" ref="E132:E133" si="7">F132/5</f>
        <v>2500</v>
      </c>
      <c r="F132" s="71">
        <v>12500.0</v>
      </c>
      <c r="G132" s="43" t="s">
        <v>156</v>
      </c>
      <c r="H132" s="47" t="s">
        <v>138</v>
      </c>
      <c r="I132" s="47">
        <v>5.0</v>
      </c>
      <c r="J132" s="47">
        <v>0.0</v>
      </c>
      <c r="K132" s="47">
        <v>0.0</v>
      </c>
      <c r="L132" s="54"/>
      <c r="M132" s="40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</row>
    <row r="133">
      <c r="A133" s="40"/>
      <c r="B133" s="41"/>
      <c r="C133" s="72" t="s">
        <v>257</v>
      </c>
      <c r="D133" s="73" t="s">
        <v>120</v>
      </c>
      <c r="E133" s="70">
        <f t="shared" si="7"/>
        <v>1500</v>
      </c>
      <c r="F133" s="71">
        <v>7500.0</v>
      </c>
      <c r="G133" s="43" t="s">
        <v>156</v>
      </c>
      <c r="H133" s="47" t="s">
        <v>138</v>
      </c>
      <c r="I133" s="47">
        <v>5.0</v>
      </c>
      <c r="J133" s="47">
        <v>0.0</v>
      </c>
      <c r="K133" s="47">
        <v>0.0</v>
      </c>
      <c r="L133" s="54"/>
      <c r="M133" s="40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</row>
    <row r="134">
      <c r="A134" s="40"/>
      <c r="B134" s="41"/>
      <c r="C134" s="72" t="s">
        <v>258</v>
      </c>
      <c r="D134" s="73" t="s">
        <v>120</v>
      </c>
      <c r="E134" s="70">
        <v>500.0</v>
      </c>
      <c r="F134" s="71">
        <v>2500.0</v>
      </c>
      <c r="G134" s="43" t="s">
        <v>156</v>
      </c>
      <c r="H134" s="47" t="s">
        <v>138</v>
      </c>
      <c r="I134" s="47">
        <v>5.0</v>
      </c>
      <c r="J134" s="47">
        <v>0.0</v>
      </c>
      <c r="K134" s="47">
        <v>0.0</v>
      </c>
      <c r="L134" s="54"/>
      <c r="M134" s="40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</row>
    <row r="135">
      <c r="A135" s="40"/>
      <c r="B135" s="41"/>
      <c r="C135" s="72" t="s">
        <v>259</v>
      </c>
      <c r="D135" s="73" t="s">
        <v>117</v>
      </c>
      <c r="E135" s="70">
        <f>F135/10</f>
        <v>1500</v>
      </c>
      <c r="F135" s="71">
        <v>15000.0</v>
      </c>
      <c r="G135" s="43" t="s">
        <v>156</v>
      </c>
      <c r="H135" s="47" t="s">
        <v>138</v>
      </c>
      <c r="I135" s="47">
        <v>10.0</v>
      </c>
      <c r="J135" s="47">
        <v>0.0</v>
      </c>
      <c r="K135" s="47">
        <v>0.0</v>
      </c>
      <c r="L135" s="54"/>
      <c r="M135" s="40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</row>
    <row r="136">
      <c r="A136" s="40"/>
      <c r="B136" s="41"/>
      <c r="C136" s="75" t="s">
        <v>260</v>
      </c>
      <c r="D136" s="76" t="s">
        <v>113</v>
      </c>
      <c r="E136" s="77">
        <f>F136/20</f>
        <v>8000</v>
      </c>
      <c r="F136" s="71">
        <v>160000.0</v>
      </c>
      <c r="G136" s="43" t="s">
        <v>156</v>
      </c>
      <c r="H136" s="47" t="s">
        <v>138</v>
      </c>
      <c r="I136" s="47">
        <v>20.0</v>
      </c>
      <c r="J136" s="47">
        <v>0.0</v>
      </c>
      <c r="K136" s="47">
        <v>0.0</v>
      </c>
      <c r="L136" s="54"/>
      <c r="M136" s="40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</row>
    <row r="137">
      <c r="A137" s="40"/>
      <c r="B137" s="41"/>
      <c r="C137" s="75" t="s">
        <v>261</v>
      </c>
      <c r="D137" s="76" t="s">
        <v>120</v>
      </c>
      <c r="E137" s="77">
        <v>600.0</v>
      </c>
      <c r="F137" s="71">
        <v>3000.0</v>
      </c>
      <c r="G137" s="43" t="s">
        <v>156</v>
      </c>
      <c r="H137" s="47" t="s">
        <v>138</v>
      </c>
      <c r="I137" s="47">
        <v>2.0</v>
      </c>
      <c r="J137" s="47">
        <v>2.0</v>
      </c>
      <c r="K137" s="47">
        <v>1.0</v>
      </c>
      <c r="L137" s="54"/>
      <c r="M137" s="40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</row>
    <row r="138">
      <c r="A138" s="40"/>
      <c r="B138" s="41"/>
      <c r="C138" s="75" t="s">
        <v>262</v>
      </c>
      <c r="D138" s="76" t="s">
        <v>263</v>
      </c>
      <c r="E138" s="77">
        <v>500.0</v>
      </c>
      <c r="F138" s="71">
        <v>7500.0</v>
      </c>
      <c r="G138" s="43" t="s">
        <v>156</v>
      </c>
      <c r="H138" s="47" t="s">
        <v>138</v>
      </c>
      <c r="I138" s="47">
        <v>5.0</v>
      </c>
      <c r="J138" s="47">
        <v>5.0</v>
      </c>
      <c r="K138" s="47">
        <v>5.0</v>
      </c>
      <c r="L138" s="54"/>
      <c r="M138" s="40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</row>
    <row r="139">
      <c r="A139" s="40"/>
      <c r="B139" s="41"/>
      <c r="C139" s="75" t="s">
        <v>264</v>
      </c>
      <c r="D139" s="76" t="s">
        <v>263</v>
      </c>
      <c r="E139" s="77">
        <v>100.0</v>
      </c>
      <c r="F139" s="71">
        <v>1500.0</v>
      </c>
      <c r="G139" s="43" t="s">
        <v>156</v>
      </c>
      <c r="H139" s="47" t="s">
        <v>138</v>
      </c>
      <c r="I139" s="47">
        <v>5.0</v>
      </c>
      <c r="J139" s="47">
        <v>5.0</v>
      </c>
      <c r="K139" s="47">
        <v>5.0</v>
      </c>
      <c r="L139" s="54"/>
      <c r="M139" s="40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</row>
    <row r="140">
      <c r="A140" s="40"/>
      <c r="B140" s="41"/>
      <c r="C140" s="75" t="s">
        <v>265</v>
      </c>
      <c r="D140" s="76" t="s">
        <v>263</v>
      </c>
      <c r="E140" s="77">
        <v>100.0</v>
      </c>
      <c r="F140" s="71">
        <v>1500.0</v>
      </c>
      <c r="G140" s="43" t="s">
        <v>156</v>
      </c>
      <c r="H140" s="47" t="s">
        <v>138</v>
      </c>
      <c r="I140" s="47">
        <v>5.0</v>
      </c>
      <c r="J140" s="47">
        <v>5.0</v>
      </c>
      <c r="K140" s="47">
        <v>5.0</v>
      </c>
      <c r="L140" s="54"/>
      <c r="M140" s="40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</row>
    <row r="141">
      <c r="A141" s="40"/>
      <c r="B141" s="41"/>
      <c r="C141" s="75" t="s">
        <v>266</v>
      </c>
      <c r="D141" s="76" t="s">
        <v>263</v>
      </c>
      <c r="E141" s="77">
        <v>150.0</v>
      </c>
      <c r="F141" s="71">
        <v>1500.0</v>
      </c>
      <c r="G141" s="43" t="s">
        <v>156</v>
      </c>
      <c r="H141" s="47" t="s">
        <v>138</v>
      </c>
      <c r="I141" s="47">
        <v>5.0</v>
      </c>
      <c r="J141" s="47">
        <v>5.0</v>
      </c>
      <c r="K141" s="47">
        <v>5.0</v>
      </c>
      <c r="L141" s="54"/>
      <c r="M141" s="40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</row>
    <row r="142">
      <c r="A142" s="40"/>
      <c r="B142" s="41"/>
      <c r="C142" s="75" t="s">
        <v>267</v>
      </c>
      <c r="D142" s="76" t="s">
        <v>263</v>
      </c>
      <c r="E142" s="77">
        <v>20000.0</v>
      </c>
      <c r="F142" s="71">
        <v>300000.0</v>
      </c>
      <c r="G142" s="43" t="s">
        <v>156</v>
      </c>
      <c r="H142" s="47" t="s">
        <v>138</v>
      </c>
      <c r="I142" s="47">
        <v>15.0</v>
      </c>
      <c r="J142" s="47">
        <v>0.0</v>
      </c>
      <c r="K142" s="47">
        <v>0.0</v>
      </c>
      <c r="L142" s="54"/>
      <c r="M142" s="40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</row>
    <row r="143">
      <c r="A143" s="40"/>
      <c r="B143" s="41"/>
      <c r="C143" s="75" t="s">
        <v>268</v>
      </c>
      <c r="D143" s="76" t="s">
        <v>269</v>
      </c>
      <c r="E143" s="77">
        <v>1000.0</v>
      </c>
      <c r="F143" s="71">
        <f>E143*25</f>
        <v>25000</v>
      </c>
      <c r="G143" s="43" t="s">
        <v>156</v>
      </c>
      <c r="H143" s="47" t="s">
        <v>138</v>
      </c>
      <c r="I143" s="47">
        <v>10.0</v>
      </c>
      <c r="J143" s="47">
        <v>10.0</v>
      </c>
      <c r="K143" s="47">
        <v>5.0</v>
      </c>
      <c r="L143" s="54"/>
      <c r="M143" s="40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</row>
    <row r="144">
      <c r="A144" s="40"/>
      <c r="B144" s="41"/>
      <c r="C144" s="75" t="s">
        <v>270</v>
      </c>
      <c r="D144" s="76" t="s">
        <v>80</v>
      </c>
      <c r="E144" s="77">
        <v>50000.0</v>
      </c>
      <c r="F144" s="71">
        <v>5000.0</v>
      </c>
      <c r="G144" s="43" t="s">
        <v>156</v>
      </c>
      <c r="H144" s="47" t="s">
        <v>138</v>
      </c>
      <c r="I144" s="47">
        <v>1.0</v>
      </c>
      <c r="J144" s="47">
        <v>0.0</v>
      </c>
      <c r="K144" s="47">
        <v>0.0</v>
      </c>
      <c r="L144" s="54"/>
      <c r="M144" s="40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</row>
    <row r="145">
      <c r="A145" s="40"/>
      <c r="B145" s="41"/>
      <c r="C145" s="75" t="s">
        <v>271</v>
      </c>
      <c r="D145" s="76" t="s">
        <v>84</v>
      </c>
      <c r="E145" s="77">
        <v>1500.0</v>
      </c>
      <c r="F145" s="71">
        <v>3000.0</v>
      </c>
      <c r="G145" s="43" t="s">
        <v>156</v>
      </c>
      <c r="H145" s="47" t="s">
        <v>138</v>
      </c>
      <c r="I145" s="47">
        <v>1.0</v>
      </c>
      <c r="J145" s="47">
        <v>1.0</v>
      </c>
      <c r="K145" s="47">
        <v>0.0</v>
      </c>
      <c r="L145" s="54"/>
      <c r="M145" s="40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</row>
    <row r="146">
      <c r="A146" s="40"/>
      <c r="B146" s="41"/>
      <c r="C146" s="75" t="s">
        <v>272</v>
      </c>
      <c r="D146" s="76" t="s">
        <v>80</v>
      </c>
      <c r="E146" s="77">
        <v>2000.0</v>
      </c>
      <c r="F146" s="71">
        <v>2000.0</v>
      </c>
      <c r="G146" s="43" t="s">
        <v>156</v>
      </c>
      <c r="H146" s="47" t="s">
        <v>138</v>
      </c>
      <c r="I146" s="47">
        <v>1.0</v>
      </c>
      <c r="J146" s="47">
        <v>0.0</v>
      </c>
      <c r="K146" s="47">
        <v>0.0</v>
      </c>
      <c r="L146" s="54"/>
      <c r="M146" s="40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</row>
    <row r="147">
      <c r="A147" s="40"/>
      <c r="B147" s="41"/>
      <c r="C147" s="75" t="s">
        <v>273</v>
      </c>
      <c r="D147" s="76" t="s">
        <v>80</v>
      </c>
      <c r="E147" s="77">
        <v>3000.0</v>
      </c>
      <c r="F147" s="71">
        <v>3000.0</v>
      </c>
      <c r="G147" s="43" t="s">
        <v>156</v>
      </c>
      <c r="H147" s="47" t="s">
        <v>138</v>
      </c>
      <c r="I147" s="47">
        <v>1.0</v>
      </c>
      <c r="J147" s="47">
        <v>0.0</v>
      </c>
      <c r="K147" s="47">
        <v>0.0</v>
      </c>
      <c r="L147" s="54"/>
      <c r="M147" s="40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</row>
    <row r="148">
      <c r="A148" s="40"/>
      <c r="B148" s="41"/>
      <c r="C148" s="75" t="s">
        <v>274</v>
      </c>
      <c r="D148" s="76" t="s">
        <v>99</v>
      </c>
      <c r="E148" s="77">
        <v>100.0</v>
      </c>
      <c r="F148" s="71">
        <v>5000.0</v>
      </c>
      <c r="G148" s="43" t="s">
        <v>156</v>
      </c>
      <c r="H148" s="47" t="s">
        <v>138</v>
      </c>
      <c r="I148" s="47">
        <v>15.0</v>
      </c>
      <c r="J148" s="47">
        <v>15.0</v>
      </c>
      <c r="K148" s="47">
        <v>10.0</v>
      </c>
      <c r="L148" s="54"/>
      <c r="M148" s="40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</row>
    <row r="149">
      <c r="A149" s="40"/>
      <c r="B149" s="41"/>
      <c r="C149" s="75" t="s">
        <v>275</v>
      </c>
      <c r="D149" s="76" t="s">
        <v>276</v>
      </c>
      <c r="E149" s="77">
        <v>500.0</v>
      </c>
      <c r="F149" s="71">
        <f>E149*10</f>
        <v>5000</v>
      </c>
      <c r="G149" s="43" t="s">
        <v>156</v>
      </c>
      <c r="H149" s="47" t="s">
        <v>138</v>
      </c>
      <c r="I149" s="47">
        <v>4.0</v>
      </c>
      <c r="J149" s="47">
        <v>3.0</v>
      </c>
      <c r="K149" s="47">
        <v>3.0</v>
      </c>
      <c r="L149" s="54"/>
      <c r="M149" s="40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</row>
    <row r="150">
      <c r="A150" s="40"/>
      <c r="B150" s="41"/>
      <c r="C150" s="75" t="s">
        <v>277</v>
      </c>
      <c r="D150" s="76" t="s">
        <v>263</v>
      </c>
      <c r="E150" s="77">
        <f t="shared" ref="E150:E151" si="8">F150/15</f>
        <v>1000</v>
      </c>
      <c r="F150" s="71">
        <v>15000.0</v>
      </c>
      <c r="G150" s="43" t="s">
        <v>156</v>
      </c>
      <c r="H150" s="47" t="s">
        <v>138</v>
      </c>
      <c r="I150" s="47">
        <v>15.0</v>
      </c>
      <c r="J150" s="47">
        <v>0.0</v>
      </c>
      <c r="K150" s="47">
        <v>0.0</v>
      </c>
      <c r="L150" s="54"/>
      <c r="M150" s="40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</row>
    <row r="151">
      <c r="A151" s="40"/>
      <c r="B151" s="41"/>
      <c r="C151" s="75" t="s">
        <v>278</v>
      </c>
      <c r="D151" s="76" t="s">
        <v>263</v>
      </c>
      <c r="E151" s="77">
        <f t="shared" si="8"/>
        <v>1000</v>
      </c>
      <c r="F151" s="71">
        <v>15000.0</v>
      </c>
      <c r="G151" s="43" t="s">
        <v>156</v>
      </c>
      <c r="H151" s="47" t="s">
        <v>138</v>
      </c>
      <c r="I151" s="47">
        <v>15.0</v>
      </c>
      <c r="J151" s="47">
        <v>0.0</v>
      </c>
      <c r="K151" s="47">
        <v>0.0</v>
      </c>
      <c r="L151" s="54"/>
      <c r="M151" s="40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</row>
    <row r="152">
      <c r="A152" s="40"/>
      <c r="B152" s="41"/>
      <c r="C152" s="75" t="s">
        <v>279</v>
      </c>
      <c r="D152" s="76" t="s">
        <v>113</v>
      </c>
      <c r="E152" s="77">
        <v>5000.0</v>
      </c>
      <c r="F152" s="71">
        <v>100000.0</v>
      </c>
      <c r="G152" s="43" t="s">
        <v>156</v>
      </c>
      <c r="H152" s="47" t="s">
        <v>138</v>
      </c>
      <c r="I152" s="47">
        <v>10.0</v>
      </c>
      <c r="J152" s="47">
        <v>0.0</v>
      </c>
      <c r="K152" s="47">
        <v>0.0</v>
      </c>
      <c r="L152" s="54"/>
      <c r="M152" s="40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</row>
    <row r="153">
      <c r="A153" s="40"/>
      <c r="B153" s="41"/>
      <c r="C153" s="42" t="s">
        <v>280</v>
      </c>
      <c r="D153" s="76" t="s">
        <v>227</v>
      </c>
      <c r="E153" s="44">
        <v>30000.0</v>
      </c>
      <c r="F153" s="50">
        <v>600000.0</v>
      </c>
      <c r="G153" s="43" t="s">
        <v>156</v>
      </c>
      <c r="H153" s="43" t="s">
        <v>179</v>
      </c>
      <c r="I153" s="47"/>
      <c r="J153" s="47"/>
      <c r="K153" s="47"/>
      <c r="L153" s="54"/>
      <c r="M153" s="40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</row>
    <row r="154">
      <c r="A154" s="40"/>
      <c r="B154" s="42"/>
      <c r="C154" s="42" t="s">
        <v>281</v>
      </c>
      <c r="D154" s="78" t="s">
        <v>282</v>
      </c>
      <c r="E154" s="44">
        <v>40.0</v>
      </c>
      <c r="F154" s="45">
        <f t="shared" ref="F154:F155" si="9">E154*50</f>
        <v>2000</v>
      </c>
      <c r="G154" s="43" t="s">
        <v>283</v>
      </c>
      <c r="H154" s="43" t="s">
        <v>179</v>
      </c>
      <c r="I154" s="47">
        <v>50.0</v>
      </c>
      <c r="J154" s="47">
        <v>0.0</v>
      </c>
      <c r="K154" s="47">
        <v>0.0</v>
      </c>
      <c r="L154" s="40"/>
      <c r="M154" s="40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</row>
    <row r="155">
      <c r="A155" s="40"/>
      <c r="B155" s="42"/>
      <c r="C155" s="42" t="s">
        <v>284</v>
      </c>
      <c r="D155" s="78" t="s">
        <v>282</v>
      </c>
      <c r="E155" s="44">
        <v>250.0</v>
      </c>
      <c r="F155" s="45">
        <f t="shared" si="9"/>
        <v>12500</v>
      </c>
      <c r="G155" s="43" t="s">
        <v>283</v>
      </c>
      <c r="H155" s="43" t="s">
        <v>179</v>
      </c>
      <c r="I155" s="47">
        <v>25.0</v>
      </c>
      <c r="J155" s="47">
        <v>0.0</v>
      </c>
      <c r="K155" s="47">
        <v>0.0</v>
      </c>
      <c r="L155" s="40"/>
      <c r="M155" s="40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</row>
    <row r="156">
      <c r="A156" s="40"/>
      <c r="B156" s="42"/>
      <c r="C156" s="42" t="s">
        <v>285</v>
      </c>
      <c r="D156" s="78" t="s">
        <v>210</v>
      </c>
      <c r="E156" s="44">
        <v>50.0</v>
      </c>
      <c r="F156" s="45">
        <f t="shared" ref="F156:F158" si="10">E156*25</f>
        <v>1250</v>
      </c>
      <c r="G156" s="43" t="s">
        <v>283</v>
      </c>
      <c r="H156" s="43" t="s">
        <v>179</v>
      </c>
      <c r="I156" s="47">
        <v>25.0</v>
      </c>
      <c r="J156" s="47">
        <v>0.0</v>
      </c>
      <c r="K156" s="47">
        <v>0.0</v>
      </c>
      <c r="L156" s="40"/>
      <c r="M156" s="40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</row>
    <row r="157">
      <c r="A157" s="40"/>
      <c r="B157" s="42"/>
      <c r="C157" s="42" t="s">
        <v>286</v>
      </c>
      <c r="D157" s="78" t="s">
        <v>210</v>
      </c>
      <c r="E157" s="44">
        <v>40.0</v>
      </c>
      <c r="F157" s="45">
        <f t="shared" si="10"/>
        <v>1000</v>
      </c>
      <c r="G157" s="43" t="s">
        <v>283</v>
      </c>
      <c r="H157" s="43" t="s">
        <v>179</v>
      </c>
      <c r="I157" s="47">
        <v>25.0</v>
      </c>
      <c r="J157" s="47">
        <v>0.0</v>
      </c>
      <c r="K157" s="47">
        <v>0.0</v>
      </c>
      <c r="L157" s="40"/>
      <c r="M157" s="40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</row>
    <row r="158">
      <c r="A158" s="40"/>
      <c r="B158" s="42"/>
      <c r="C158" s="42" t="s">
        <v>287</v>
      </c>
      <c r="D158" s="78" t="s">
        <v>210</v>
      </c>
      <c r="E158" s="44">
        <v>150.0</v>
      </c>
      <c r="F158" s="45">
        <f t="shared" si="10"/>
        <v>3750</v>
      </c>
      <c r="G158" s="43" t="s">
        <v>283</v>
      </c>
      <c r="H158" s="43" t="s">
        <v>179</v>
      </c>
      <c r="I158" s="47">
        <v>25.0</v>
      </c>
      <c r="J158" s="47">
        <v>0.0</v>
      </c>
      <c r="K158" s="47">
        <v>0.0</v>
      </c>
      <c r="L158" s="40"/>
      <c r="M158" s="40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</row>
    <row r="159">
      <c r="A159" s="34" t="s">
        <v>288</v>
      </c>
      <c r="B159" s="35"/>
      <c r="C159" s="56" t="s">
        <v>289</v>
      </c>
      <c r="D159" s="37"/>
      <c r="E159" s="37"/>
      <c r="F159" s="35"/>
      <c r="G159" s="35"/>
      <c r="H159" s="35"/>
      <c r="I159" s="35"/>
      <c r="J159" s="35"/>
      <c r="K159" s="35"/>
      <c r="L159" s="35"/>
      <c r="M159" s="35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</row>
    <row r="160">
      <c r="A160" s="40"/>
      <c r="B160" s="79"/>
      <c r="C160" s="42" t="s">
        <v>290</v>
      </c>
      <c r="D160" s="76" t="s">
        <v>291</v>
      </c>
      <c r="E160" s="44">
        <v>50000.0</v>
      </c>
      <c r="F160" s="50">
        <f t="shared" ref="F160:F162" si="11">E160*10</f>
        <v>500000</v>
      </c>
      <c r="G160" s="43" t="s">
        <v>156</v>
      </c>
      <c r="H160" s="43" t="s">
        <v>179</v>
      </c>
      <c r="I160" s="47"/>
      <c r="J160" s="47"/>
      <c r="K160" s="47"/>
      <c r="L160" s="40"/>
      <c r="M160" s="40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</row>
    <row r="161">
      <c r="A161" s="40"/>
      <c r="B161" s="79"/>
      <c r="C161" s="41" t="s">
        <v>292</v>
      </c>
      <c r="D161" s="76" t="s">
        <v>291</v>
      </c>
      <c r="E161" s="44">
        <v>5000.0</v>
      </c>
      <c r="F161" s="50">
        <f t="shared" si="11"/>
        <v>50000</v>
      </c>
      <c r="G161" s="43" t="s">
        <v>156</v>
      </c>
      <c r="H161" s="43" t="s">
        <v>179</v>
      </c>
      <c r="I161" s="47"/>
      <c r="J161" s="47"/>
      <c r="K161" s="47"/>
      <c r="L161" s="40"/>
      <c r="M161" s="40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</row>
    <row r="162">
      <c r="A162" s="40"/>
      <c r="B162" s="79"/>
      <c r="C162" s="42" t="s">
        <v>293</v>
      </c>
      <c r="D162" s="76" t="s">
        <v>291</v>
      </c>
      <c r="E162" s="44">
        <v>10000.0</v>
      </c>
      <c r="F162" s="50">
        <f t="shared" si="11"/>
        <v>100000</v>
      </c>
      <c r="G162" s="43" t="s">
        <v>156</v>
      </c>
      <c r="H162" s="43" t="s">
        <v>179</v>
      </c>
      <c r="I162" s="47">
        <v>10.0</v>
      </c>
      <c r="J162" s="47">
        <v>0.0</v>
      </c>
      <c r="K162" s="47">
        <v>0.0</v>
      </c>
      <c r="L162" s="40"/>
      <c r="M162" s="40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</row>
    <row r="163">
      <c r="A163" s="40"/>
      <c r="B163" s="79"/>
      <c r="C163" s="42" t="s">
        <v>294</v>
      </c>
      <c r="D163" s="43" t="s">
        <v>295</v>
      </c>
      <c r="E163" s="44">
        <v>10000.0</v>
      </c>
      <c r="F163" s="45">
        <f t="shared" ref="F163:F165" si="12">E163*5</f>
        <v>50000</v>
      </c>
      <c r="G163" s="43" t="s">
        <v>156</v>
      </c>
      <c r="H163" s="43" t="s">
        <v>179</v>
      </c>
      <c r="I163" s="47">
        <v>5.0</v>
      </c>
      <c r="J163" s="47">
        <v>0.0</v>
      </c>
      <c r="K163" s="47">
        <v>0.0</v>
      </c>
      <c r="L163" s="40"/>
      <c r="M163" s="40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</row>
    <row r="164">
      <c r="A164" s="40"/>
      <c r="B164" s="41"/>
      <c r="C164" s="42" t="s">
        <v>296</v>
      </c>
      <c r="D164" s="43" t="s">
        <v>295</v>
      </c>
      <c r="E164" s="44">
        <v>49999.0</v>
      </c>
      <c r="F164" s="45">
        <f t="shared" si="12"/>
        <v>249995</v>
      </c>
      <c r="G164" s="43" t="s">
        <v>156</v>
      </c>
      <c r="H164" s="43" t="s">
        <v>179</v>
      </c>
      <c r="I164" s="47">
        <v>5.0</v>
      </c>
      <c r="J164" s="47">
        <v>0.0</v>
      </c>
      <c r="K164" s="47">
        <v>0.0</v>
      </c>
      <c r="L164" s="40"/>
      <c r="M164" s="40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</row>
    <row r="165">
      <c r="A165" s="40"/>
      <c r="B165" s="40"/>
      <c r="C165" s="49" t="s">
        <v>297</v>
      </c>
      <c r="D165" s="43" t="s">
        <v>295</v>
      </c>
      <c r="E165" s="44">
        <v>30000.0</v>
      </c>
      <c r="F165" s="45">
        <f t="shared" si="12"/>
        <v>150000</v>
      </c>
      <c r="G165" s="43" t="s">
        <v>156</v>
      </c>
      <c r="H165" s="43" t="s">
        <v>179</v>
      </c>
      <c r="I165" s="47">
        <v>5.0</v>
      </c>
      <c r="J165" s="47">
        <v>0.0</v>
      </c>
      <c r="K165" s="47">
        <v>0.0</v>
      </c>
      <c r="L165" s="40"/>
      <c r="M165" s="80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</row>
    <row r="166">
      <c r="A166" s="40"/>
      <c r="B166" s="40"/>
      <c r="C166" s="49" t="s">
        <v>298</v>
      </c>
      <c r="D166" s="43" t="s">
        <v>105</v>
      </c>
      <c r="E166" s="44">
        <v>15000.0</v>
      </c>
      <c r="F166" s="45">
        <f>E166*2</f>
        <v>30000</v>
      </c>
      <c r="G166" s="43" t="s">
        <v>156</v>
      </c>
      <c r="H166" s="43" t="s">
        <v>179</v>
      </c>
      <c r="I166" s="47">
        <v>2.0</v>
      </c>
      <c r="J166" s="47">
        <v>0.0</v>
      </c>
      <c r="K166" s="47">
        <v>0.0</v>
      </c>
      <c r="L166" s="40"/>
      <c r="M166" s="80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</row>
    <row r="167">
      <c r="A167" s="34"/>
      <c r="B167" s="66"/>
      <c r="C167" s="81" t="s">
        <v>299</v>
      </c>
      <c r="D167" s="35"/>
      <c r="E167" s="37"/>
      <c r="F167" s="38"/>
      <c r="G167" s="35"/>
      <c r="H167" s="35"/>
      <c r="I167" s="35"/>
      <c r="J167" s="35"/>
      <c r="K167" s="35"/>
      <c r="L167" s="35"/>
      <c r="M167" s="35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</row>
    <row r="168">
      <c r="A168" s="40"/>
      <c r="B168" s="40"/>
      <c r="C168" s="49" t="s">
        <v>300</v>
      </c>
      <c r="D168" s="43" t="s">
        <v>291</v>
      </c>
      <c r="E168" s="44">
        <v>7000.0</v>
      </c>
      <c r="F168" s="50">
        <f>E168*10</f>
        <v>70000</v>
      </c>
      <c r="G168" s="43" t="s">
        <v>156</v>
      </c>
      <c r="H168" s="43" t="s">
        <v>179</v>
      </c>
      <c r="I168" s="47"/>
      <c r="J168" s="47"/>
      <c r="K168" s="47"/>
      <c r="L168" s="40"/>
      <c r="M168" s="80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</row>
    <row r="169">
      <c r="A169" s="34"/>
      <c r="B169" s="66"/>
      <c r="C169" s="81" t="s">
        <v>301</v>
      </c>
      <c r="D169" s="35"/>
      <c r="E169" s="37"/>
      <c r="F169" s="38"/>
      <c r="G169" s="35"/>
      <c r="H169" s="35"/>
      <c r="I169" s="35"/>
      <c r="J169" s="35"/>
      <c r="K169" s="35"/>
      <c r="L169" s="35"/>
      <c r="M169" s="35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</row>
    <row r="170">
      <c r="A170" s="82"/>
      <c r="B170" s="41"/>
      <c r="C170" s="83" t="s">
        <v>302</v>
      </c>
      <c r="D170" s="47" t="s">
        <v>295</v>
      </c>
      <c r="E170" s="84">
        <v>15000.0</v>
      </c>
      <c r="F170" s="85">
        <f>E170*5</f>
        <v>75000</v>
      </c>
      <c r="G170" s="51" t="s">
        <v>283</v>
      </c>
      <c r="H170" s="43" t="s">
        <v>179</v>
      </c>
      <c r="I170" s="54">
        <v>0.0</v>
      </c>
      <c r="J170" s="54">
        <v>2.0</v>
      </c>
      <c r="K170" s="54">
        <v>3.0</v>
      </c>
      <c r="L170" s="40"/>
      <c r="M170" s="40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</row>
    <row r="171">
      <c r="A171" s="34" t="s">
        <v>303</v>
      </c>
      <c r="B171" s="66"/>
      <c r="C171" s="67" t="s">
        <v>304</v>
      </c>
      <c r="D171" s="35"/>
      <c r="E171" s="37"/>
      <c r="F171" s="38"/>
      <c r="G171" s="35"/>
      <c r="H171" s="35"/>
      <c r="I171" s="35"/>
      <c r="J171" s="35"/>
      <c r="K171" s="35"/>
      <c r="L171" s="35"/>
      <c r="M171" s="35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</row>
    <row r="172">
      <c r="A172" s="40"/>
      <c r="B172" s="40"/>
      <c r="C172" s="49" t="s">
        <v>305</v>
      </c>
      <c r="D172" s="43" t="s">
        <v>306</v>
      </c>
      <c r="E172" s="44">
        <v>1000.0</v>
      </c>
      <c r="F172" s="45">
        <f t="shared" ref="F172:F173" si="13">E172*30</f>
        <v>30000</v>
      </c>
      <c r="G172" s="51" t="s">
        <v>283</v>
      </c>
      <c r="H172" s="43" t="s">
        <v>179</v>
      </c>
      <c r="I172" s="47">
        <v>10.0</v>
      </c>
      <c r="J172" s="47">
        <v>10.0</v>
      </c>
      <c r="K172" s="47">
        <v>10.0</v>
      </c>
      <c r="L172" s="40"/>
      <c r="M172" s="40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</row>
    <row r="173">
      <c r="A173" s="40"/>
      <c r="B173" s="40"/>
      <c r="C173" s="49" t="s">
        <v>307</v>
      </c>
      <c r="D173" s="43" t="s">
        <v>306</v>
      </c>
      <c r="E173" s="44">
        <v>1000.0</v>
      </c>
      <c r="F173" s="45">
        <f t="shared" si="13"/>
        <v>30000</v>
      </c>
      <c r="G173" s="51" t="s">
        <v>283</v>
      </c>
      <c r="H173" s="43" t="s">
        <v>179</v>
      </c>
      <c r="I173" s="47">
        <v>10.0</v>
      </c>
      <c r="J173" s="47">
        <v>10.0</v>
      </c>
      <c r="K173" s="47">
        <v>10.0</v>
      </c>
      <c r="L173" s="40"/>
      <c r="M173" s="40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</row>
    <row r="174">
      <c r="A174" s="34" t="s">
        <v>308</v>
      </c>
      <c r="B174" s="35"/>
      <c r="C174" s="56" t="s">
        <v>309</v>
      </c>
      <c r="D174" s="35"/>
      <c r="E174" s="37"/>
      <c r="F174" s="35"/>
      <c r="G174" s="35"/>
      <c r="H174" s="35"/>
      <c r="I174" s="35"/>
      <c r="J174" s="35"/>
      <c r="K174" s="35"/>
      <c r="L174" s="35"/>
      <c r="M174" s="35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</row>
    <row r="175">
      <c r="A175" s="40"/>
      <c r="B175" s="40"/>
      <c r="C175" s="54" t="s">
        <v>310</v>
      </c>
      <c r="D175" s="47" t="s">
        <v>311</v>
      </c>
      <c r="E175" s="55">
        <v>600000.0</v>
      </c>
      <c r="F175" s="55">
        <f>E175*3</f>
        <v>1800000</v>
      </c>
      <c r="G175" s="43" t="s">
        <v>312</v>
      </c>
      <c r="H175" s="47" t="s">
        <v>313</v>
      </c>
      <c r="I175" s="47">
        <v>1.0</v>
      </c>
      <c r="J175" s="47">
        <v>1.0</v>
      </c>
      <c r="K175" s="47">
        <v>1.0</v>
      </c>
      <c r="L175" s="40"/>
      <c r="M175" s="40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</row>
    <row r="176">
      <c r="A176" s="40"/>
      <c r="B176" s="54"/>
      <c r="C176" s="54" t="s">
        <v>314</v>
      </c>
      <c r="D176" s="47" t="s">
        <v>227</v>
      </c>
      <c r="E176" s="55">
        <v>500000.0</v>
      </c>
      <c r="F176" s="55">
        <f>E176</f>
        <v>500000</v>
      </c>
      <c r="G176" s="43" t="s">
        <v>312</v>
      </c>
      <c r="H176" s="47" t="s">
        <v>313</v>
      </c>
      <c r="I176" s="47"/>
      <c r="J176" s="47"/>
      <c r="K176" s="47"/>
      <c r="L176" s="40"/>
      <c r="M176" s="40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</row>
    <row r="177">
      <c r="A177" s="40"/>
      <c r="B177" s="54"/>
      <c r="C177" s="54" t="s">
        <v>315</v>
      </c>
      <c r="D177" s="47" t="s">
        <v>105</v>
      </c>
      <c r="E177" s="55">
        <v>1500000.0</v>
      </c>
      <c r="F177" s="53">
        <f>E177*2</f>
        <v>3000000</v>
      </c>
      <c r="G177" s="43" t="s">
        <v>312</v>
      </c>
      <c r="H177" s="47" t="s">
        <v>313</v>
      </c>
      <c r="I177" s="47">
        <v>1.0</v>
      </c>
      <c r="J177" s="47">
        <v>1.0</v>
      </c>
      <c r="K177" s="47">
        <v>1.0</v>
      </c>
      <c r="L177" s="40"/>
      <c r="M177" s="40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</row>
    <row r="178">
      <c r="A178" s="40"/>
      <c r="B178" s="54"/>
      <c r="C178" s="54" t="s">
        <v>316</v>
      </c>
      <c r="D178" s="47" t="s">
        <v>295</v>
      </c>
      <c r="E178" s="55">
        <v>200000.0</v>
      </c>
      <c r="F178" s="55">
        <v>1000000.0</v>
      </c>
      <c r="G178" s="43" t="s">
        <v>312</v>
      </c>
      <c r="H178" s="47" t="s">
        <v>313</v>
      </c>
      <c r="I178" s="47">
        <v>2.0</v>
      </c>
      <c r="J178" s="47">
        <v>2.0</v>
      </c>
      <c r="K178" s="47">
        <v>1.0</v>
      </c>
      <c r="L178" s="40"/>
      <c r="M178" s="40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</row>
    <row r="179">
      <c r="A179" s="34"/>
      <c r="B179" s="35"/>
      <c r="C179" s="86" t="s">
        <v>317</v>
      </c>
      <c r="D179" s="35"/>
      <c r="E179" s="37"/>
      <c r="F179" s="35"/>
      <c r="G179" s="35"/>
      <c r="H179" s="35"/>
      <c r="I179" s="35"/>
      <c r="J179" s="35"/>
      <c r="K179" s="35"/>
      <c r="L179" s="35"/>
      <c r="M179" s="35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</row>
    <row r="180">
      <c r="A180" s="40"/>
      <c r="B180" s="40"/>
      <c r="C180" s="54" t="s">
        <v>318</v>
      </c>
      <c r="D180" s="43" t="s">
        <v>319</v>
      </c>
      <c r="E180" s="44">
        <v>50000.0</v>
      </c>
      <c r="F180" s="52">
        <f>E180*15</f>
        <v>750000</v>
      </c>
      <c r="G180" s="43" t="s">
        <v>156</v>
      </c>
      <c r="H180" s="43" t="s">
        <v>179</v>
      </c>
      <c r="I180" s="47">
        <v>5.0</v>
      </c>
      <c r="J180" s="47">
        <v>10.0</v>
      </c>
      <c r="K180" s="47">
        <v>5.0</v>
      </c>
      <c r="L180" s="40"/>
      <c r="M180" s="40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</row>
    <row r="181">
      <c r="A181" s="40"/>
      <c r="B181" s="40"/>
      <c r="C181" s="54" t="s">
        <v>320</v>
      </c>
      <c r="D181" s="87" t="s">
        <v>321</v>
      </c>
      <c r="E181" s="44">
        <v>3000.0</v>
      </c>
      <c r="F181" s="52">
        <f>E181*20</f>
        <v>60000</v>
      </c>
      <c r="G181" s="43" t="s">
        <v>156</v>
      </c>
      <c r="H181" s="43" t="s">
        <v>179</v>
      </c>
      <c r="I181" s="47">
        <v>5.0</v>
      </c>
      <c r="J181" s="47">
        <v>10.0</v>
      </c>
      <c r="K181" s="47">
        <v>5.0</v>
      </c>
      <c r="L181" s="40"/>
      <c r="M181" s="40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</row>
    <row r="182">
      <c r="A182" s="40"/>
      <c r="B182" s="40"/>
      <c r="C182" s="54" t="s">
        <v>322</v>
      </c>
      <c r="D182" s="43" t="s">
        <v>319</v>
      </c>
      <c r="E182" s="44">
        <v>2000.0</v>
      </c>
      <c r="F182" s="52">
        <f>E182*15</f>
        <v>30000</v>
      </c>
      <c r="G182" s="43" t="s">
        <v>283</v>
      </c>
      <c r="H182" s="43" t="s">
        <v>179</v>
      </c>
      <c r="I182" s="47">
        <v>5.0</v>
      </c>
      <c r="J182" s="47">
        <v>5.0</v>
      </c>
      <c r="K182" s="47">
        <v>5.0</v>
      </c>
      <c r="L182" s="40"/>
      <c r="M182" s="40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</row>
    <row r="183">
      <c r="A183" s="88"/>
      <c r="B183" s="35"/>
      <c r="C183" s="86" t="s">
        <v>323</v>
      </c>
      <c r="D183" s="89"/>
      <c r="E183" s="90"/>
      <c r="F183" s="91"/>
      <c r="G183" s="89"/>
      <c r="H183" s="89"/>
      <c r="I183" s="92"/>
      <c r="J183" s="92"/>
      <c r="K183" s="92"/>
      <c r="L183" s="35"/>
      <c r="M183" s="35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</row>
    <row r="184">
      <c r="A184" s="40"/>
      <c r="B184" s="40"/>
      <c r="C184" s="49" t="s">
        <v>324</v>
      </c>
      <c r="D184" s="43" t="s">
        <v>105</v>
      </c>
      <c r="E184" s="44">
        <v>50000.0</v>
      </c>
      <c r="F184" s="52">
        <f t="shared" ref="F184:F185" si="14">E184*2</f>
        <v>100000</v>
      </c>
      <c r="G184" s="43" t="s">
        <v>156</v>
      </c>
      <c r="H184" s="43" t="s">
        <v>179</v>
      </c>
      <c r="I184" s="47">
        <v>0.0</v>
      </c>
      <c r="J184" s="47">
        <v>0.0</v>
      </c>
      <c r="K184" s="47">
        <v>2.0</v>
      </c>
      <c r="L184" s="40"/>
      <c r="M184" s="40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</row>
    <row r="185">
      <c r="A185" s="40"/>
      <c r="B185" s="40"/>
      <c r="C185" s="49" t="s">
        <v>325</v>
      </c>
      <c r="D185" s="43" t="s">
        <v>105</v>
      </c>
      <c r="E185" s="44">
        <v>30000.0</v>
      </c>
      <c r="F185" s="52">
        <f t="shared" si="14"/>
        <v>60000</v>
      </c>
      <c r="G185" s="43" t="s">
        <v>156</v>
      </c>
      <c r="H185" s="43" t="s">
        <v>179</v>
      </c>
      <c r="I185" s="47">
        <v>0.0</v>
      </c>
      <c r="J185" s="47">
        <v>0.0</v>
      </c>
      <c r="K185" s="47">
        <v>2.0</v>
      </c>
      <c r="L185" s="40"/>
      <c r="M185" s="40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</row>
    <row r="186">
      <c r="A186" s="88" t="s">
        <v>326</v>
      </c>
      <c r="B186" s="35"/>
      <c r="C186" s="56" t="s">
        <v>327</v>
      </c>
      <c r="D186" s="89"/>
      <c r="E186" s="90"/>
      <c r="F186" s="91"/>
      <c r="G186" s="89"/>
      <c r="H186" s="89"/>
      <c r="I186" s="92"/>
      <c r="J186" s="92"/>
      <c r="K186" s="92"/>
      <c r="L186" s="35"/>
      <c r="M186" s="35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</row>
    <row r="187">
      <c r="A187" s="40"/>
      <c r="B187" s="40"/>
      <c r="C187" s="54" t="s">
        <v>328</v>
      </c>
      <c r="D187" s="43" t="s">
        <v>319</v>
      </c>
      <c r="E187" s="44">
        <v>15000.0</v>
      </c>
      <c r="F187" s="45">
        <f>E187*15</f>
        <v>225000</v>
      </c>
      <c r="G187" s="43" t="s">
        <v>156</v>
      </c>
      <c r="H187" s="43" t="s">
        <v>179</v>
      </c>
      <c r="I187" s="47">
        <v>5.0</v>
      </c>
      <c r="J187" s="47">
        <v>5.0</v>
      </c>
      <c r="K187" s="43">
        <v>5.0</v>
      </c>
      <c r="L187" s="46"/>
      <c r="M187" s="46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</row>
    <row r="188">
      <c r="A188" s="34"/>
      <c r="B188" s="35"/>
      <c r="C188" s="86" t="s">
        <v>329</v>
      </c>
      <c r="D188" s="35"/>
      <c r="E188" s="37"/>
      <c r="F188" s="35"/>
      <c r="G188" s="89"/>
      <c r="H188" s="89"/>
      <c r="I188" s="92"/>
      <c r="J188" s="92"/>
      <c r="K188" s="92"/>
      <c r="L188" s="35"/>
      <c r="M188" s="35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</row>
    <row r="189">
      <c r="A189" s="40"/>
      <c r="B189" s="94"/>
      <c r="C189" s="95" t="s">
        <v>330</v>
      </c>
      <c r="D189" s="43" t="s">
        <v>227</v>
      </c>
      <c r="E189" s="44">
        <v>500000.0</v>
      </c>
      <c r="F189" s="45">
        <f>E189*1</f>
        <v>500000</v>
      </c>
      <c r="G189" s="43" t="s">
        <v>156</v>
      </c>
      <c r="H189" s="43" t="s">
        <v>179</v>
      </c>
      <c r="I189" s="47">
        <v>0.0</v>
      </c>
      <c r="J189" s="47">
        <v>0.0</v>
      </c>
      <c r="K189" s="47">
        <v>1.0</v>
      </c>
      <c r="L189" s="46"/>
      <c r="M189" s="46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</row>
    <row r="190">
      <c r="A190" s="34" t="s">
        <v>331</v>
      </c>
      <c r="B190" s="35"/>
      <c r="C190" s="56" t="s">
        <v>332</v>
      </c>
      <c r="D190" s="35"/>
      <c r="E190" s="37"/>
      <c r="F190" s="35"/>
      <c r="G190" s="89"/>
      <c r="H190" s="89"/>
      <c r="I190" s="92"/>
      <c r="J190" s="92"/>
      <c r="K190" s="92"/>
      <c r="L190" s="35"/>
      <c r="M190" s="35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</row>
    <row r="191">
      <c r="A191" s="40"/>
      <c r="B191" s="40"/>
      <c r="C191" s="54" t="s">
        <v>333</v>
      </c>
      <c r="D191" s="51" t="s">
        <v>227</v>
      </c>
      <c r="E191" s="44">
        <v>2000000.0</v>
      </c>
      <c r="F191" s="44">
        <v>2000000.0</v>
      </c>
      <c r="G191" s="43" t="s">
        <v>312</v>
      </c>
      <c r="H191" s="47" t="s">
        <v>313</v>
      </c>
      <c r="I191" s="47">
        <v>0.0</v>
      </c>
      <c r="J191" s="47">
        <v>0.0</v>
      </c>
      <c r="K191" s="47">
        <v>1.0</v>
      </c>
      <c r="L191" s="46"/>
      <c r="M191" s="46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</row>
    <row r="192">
      <c r="A192" s="40"/>
      <c r="B192" s="40"/>
      <c r="C192" s="40" t="s">
        <v>334</v>
      </c>
      <c r="D192" s="51" t="s">
        <v>227</v>
      </c>
      <c r="E192" s="44">
        <v>250000.0</v>
      </c>
      <c r="F192" s="44">
        <v>250000.0</v>
      </c>
      <c r="G192" s="43" t="s">
        <v>312</v>
      </c>
      <c r="H192" s="47" t="s">
        <v>313</v>
      </c>
      <c r="I192" s="47">
        <v>0.0</v>
      </c>
      <c r="J192" s="47">
        <v>0.0</v>
      </c>
      <c r="K192" s="47">
        <v>1.0</v>
      </c>
      <c r="L192" s="46"/>
      <c r="M192" s="46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</row>
    <row r="193">
      <c r="A193" s="40"/>
      <c r="B193" s="40"/>
      <c r="C193" s="40" t="s">
        <v>335</v>
      </c>
      <c r="D193" s="51" t="s">
        <v>227</v>
      </c>
      <c r="E193" s="52"/>
      <c r="F193" s="52"/>
      <c r="G193" s="43"/>
      <c r="H193" s="47"/>
      <c r="I193" s="47"/>
      <c r="J193" s="47"/>
      <c r="K193" s="47"/>
      <c r="L193" s="46"/>
      <c r="M193" s="46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</row>
    <row r="194">
      <c r="A194" s="40"/>
      <c r="B194" s="40"/>
      <c r="C194" s="40" t="s">
        <v>336</v>
      </c>
      <c r="D194" s="51" t="s">
        <v>227</v>
      </c>
      <c r="E194" s="52">
        <v>200000.0</v>
      </c>
      <c r="F194" s="52">
        <v>200000.0</v>
      </c>
      <c r="G194" s="43" t="s">
        <v>156</v>
      </c>
      <c r="H194" s="47" t="s">
        <v>337</v>
      </c>
      <c r="I194" s="47">
        <v>1.0</v>
      </c>
      <c r="J194" s="47">
        <v>0.0</v>
      </c>
      <c r="K194" s="47">
        <v>0.0</v>
      </c>
      <c r="L194" s="46"/>
      <c r="M194" s="46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</row>
    <row r="195">
      <c r="A195" s="40"/>
      <c r="B195" s="40"/>
      <c r="C195" s="40" t="s">
        <v>338</v>
      </c>
      <c r="D195" s="96" t="s">
        <v>227</v>
      </c>
      <c r="E195" s="52">
        <v>200000.0</v>
      </c>
      <c r="F195" s="52">
        <v>200000.0</v>
      </c>
      <c r="G195" s="43" t="s">
        <v>156</v>
      </c>
      <c r="H195" s="47" t="s">
        <v>337</v>
      </c>
      <c r="I195" s="47">
        <v>1.0</v>
      </c>
      <c r="J195" s="47">
        <v>0.0</v>
      </c>
      <c r="K195" s="47">
        <v>0.0</v>
      </c>
      <c r="L195" s="46"/>
      <c r="M195" s="46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</row>
    <row r="196">
      <c r="A196" s="40"/>
      <c r="B196" s="40"/>
      <c r="C196" s="40" t="s">
        <v>339</v>
      </c>
      <c r="D196" s="51" t="s">
        <v>227</v>
      </c>
      <c r="E196" s="52">
        <v>200000.0</v>
      </c>
      <c r="F196" s="52">
        <v>200000.0</v>
      </c>
      <c r="G196" s="43" t="s">
        <v>156</v>
      </c>
      <c r="H196" s="47" t="s">
        <v>313</v>
      </c>
      <c r="I196" s="47">
        <v>1.0</v>
      </c>
      <c r="J196" s="47">
        <v>0.0</v>
      </c>
      <c r="K196" s="47">
        <v>0.0</v>
      </c>
      <c r="L196" s="80"/>
      <c r="M196" s="40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</row>
    <row r="197">
      <c r="A197" s="97" t="s">
        <v>340</v>
      </c>
      <c r="B197" s="8"/>
      <c r="C197" s="8"/>
      <c r="D197" s="98">
        <f>SUM(F12:F187)</f>
        <v>13767045</v>
      </c>
      <c r="E197" s="99"/>
      <c r="F197" s="9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</row>
    <row r="198">
      <c r="A198" s="100" t="s">
        <v>341</v>
      </c>
      <c r="B198" s="8"/>
      <c r="C198" s="8"/>
      <c r="D198" s="8"/>
      <c r="E198" s="9"/>
      <c r="F198" s="1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</row>
    <row r="199">
      <c r="A199" s="3"/>
      <c r="B199" s="3"/>
      <c r="C199" s="3"/>
      <c r="D199" s="3"/>
      <c r="E199" s="5"/>
      <c r="F199" s="6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>
      <c r="A200" s="101" t="s">
        <v>342</v>
      </c>
      <c r="B200" s="3"/>
      <c r="C200" s="3"/>
      <c r="D200" s="102" t="s">
        <v>343</v>
      </c>
      <c r="E200" s="5"/>
      <c r="F200" s="6"/>
      <c r="G200" s="101" t="s">
        <v>344</v>
      </c>
      <c r="H200" s="3"/>
      <c r="I200" s="3"/>
      <c r="J200" s="103" t="s">
        <v>345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>
      <c r="A201" s="3"/>
      <c r="B201" s="3"/>
      <c r="C201" s="3"/>
      <c r="D201" s="3"/>
      <c r="E201" s="5"/>
      <c r="F201" s="6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>
      <c r="A202" s="3"/>
      <c r="B202" s="3"/>
      <c r="C202" s="3"/>
      <c r="D202" s="3"/>
      <c r="E202" s="5"/>
      <c r="F202" s="6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>
      <c r="A203" s="3"/>
      <c r="B203" s="3"/>
      <c r="C203" s="3"/>
      <c r="D203" s="3"/>
      <c r="E203" s="5"/>
      <c r="F203" s="6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>
      <c r="A204" s="101" t="s">
        <v>346</v>
      </c>
      <c r="D204" s="103" t="s">
        <v>347</v>
      </c>
      <c r="E204" s="5"/>
      <c r="F204" s="6"/>
      <c r="G204" s="101" t="s">
        <v>348</v>
      </c>
      <c r="H204" s="3"/>
      <c r="I204" s="3"/>
      <c r="J204" s="103" t="s">
        <v>349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>
      <c r="A205" s="104" t="s">
        <v>350</v>
      </c>
      <c r="D205" s="105" t="s">
        <v>351</v>
      </c>
      <c r="E205" s="5"/>
      <c r="F205" s="6"/>
      <c r="G205" s="104" t="s">
        <v>352</v>
      </c>
      <c r="H205" s="3"/>
      <c r="I205" s="3"/>
      <c r="J205" s="105" t="s">
        <v>353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>
      <c r="A206" s="3"/>
      <c r="B206" s="3"/>
      <c r="C206" s="3"/>
      <c r="D206" s="3"/>
      <c r="E206" s="5"/>
      <c r="F206" s="6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>
      <c r="A207" s="106" t="s">
        <v>354</v>
      </c>
      <c r="B207" s="3"/>
      <c r="C207" s="3"/>
      <c r="D207" s="105" t="s">
        <v>355</v>
      </c>
      <c r="E207" s="5"/>
      <c r="F207" s="6"/>
      <c r="G207" s="104" t="s">
        <v>355</v>
      </c>
      <c r="H207" s="3"/>
      <c r="I207" s="3"/>
      <c r="J207" s="105" t="s">
        <v>355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>
      <c r="A208" s="3"/>
      <c r="B208" s="3"/>
      <c r="C208" s="3"/>
      <c r="D208" s="3"/>
      <c r="E208" s="5"/>
      <c r="F208" s="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  <c r="AI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  <c r="AI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  <c r="AI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  <c r="AI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  <c r="AH213" s="107"/>
      <c r="AI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  <c r="AI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  <c r="AI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  <c r="AH216" s="107"/>
      <c r="AI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  <c r="AI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  <c r="AI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  <c r="AI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  <c r="AI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  <c r="AI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  <c r="AI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  <c r="AH223" s="107"/>
      <c r="AI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  <c r="AH224" s="107"/>
      <c r="AI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  <c r="AI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  <c r="AI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  <c r="AI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  <c r="AI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  <c r="AH229" s="107"/>
      <c r="AI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  <c r="AH230" s="107"/>
      <c r="AI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  <c r="AH231" s="107"/>
      <c r="AI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  <c r="AI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  <c r="AI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  <c r="AI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  <c r="AI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  <c r="AI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  <c r="AH237" s="107"/>
      <c r="AI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  <c r="AI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  <c r="AI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  <c r="AI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  <c r="AI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  <c r="AI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  <c r="AI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  <c r="AH245" s="107"/>
      <c r="AI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  <c r="AI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  <c r="AI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  <c r="AH248" s="107"/>
      <c r="AI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  <c r="AH249" s="107"/>
      <c r="AI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  <c r="AH250" s="107"/>
      <c r="AI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  <c r="AH251" s="107"/>
      <c r="AI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  <c r="AH252" s="107"/>
      <c r="AI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  <c r="AH253" s="107"/>
      <c r="AI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  <c r="AI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  <c r="AH255" s="107"/>
      <c r="AI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  <c r="AH256" s="107"/>
      <c r="AI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  <c r="AH257" s="107"/>
      <c r="AI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  <c r="AH258" s="107"/>
      <c r="AI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  <c r="AI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  <c r="AH260" s="107"/>
      <c r="AI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  <c r="AI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  <c r="AH262" s="107"/>
      <c r="AI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  <c r="AH263" s="107"/>
      <c r="AI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  <c r="AI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  <c r="AH265" s="107"/>
      <c r="AI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  <c r="AG266" s="107"/>
      <c r="AH266" s="107"/>
      <c r="AI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  <c r="AG267" s="107"/>
      <c r="AH267" s="107"/>
      <c r="AI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107"/>
      <c r="AH268" s="107"/>
      <c r="AI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  <c r="AG269" s="107"/>
      <c r="AH269" s="107"/>
      <c r="AI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  <c r="AG270" s="107"/>
      <c r="AH270" s="107"/>
      <c r="AI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  <c r="AG271" s="107"/>
      <c r="AH271" s="107"/>
      <c r="AI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107"/>
      <c r="AH272" s="107"/>
      <c r="AI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  <c r="AG273" s="107"/>
      <c r="AH273" s="107"/>
      <c r="AI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  <c r="AG274" s="107"/>
      <c r="AH274" s="107"/>
      <c r="AI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  <c r="AG275" s="107"/>
      <c r="AH275" s="107"/>
      <c r="AI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  <c r="AG276" s="107"/>
      <c r="AH276" s="107"/>
      <c r="AI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  <c r="AG277" s="107"/>
      <c r="AH277" s="107"/>
      <c r="AI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107"/>
      <c r="AH278" s="107"/>
      <c r="AI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107"/>
      <c r="AH279" s="107"/>
      <c r="AI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107"/>
      <c r="AH280" s="107"/>
      <c r="AI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  <c r="AG281" s="107"/>
      <c r="AH281" s="107"/>
      <c r="AI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  <c r="AG282" s="107"/>
      <c r="AH282" s="107"/>
      <c r="AI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  <c r="AG284" s="107"/>
      <c r="AH284" s="107"/>
      <c r="AI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107"/>
      <c r="AH285" s="107"/>
      <c r="AI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  <c r="AG286" s="107"/>
      <c r="AH286" s="107"/>
      <c r="AI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107"/>
      <c r="AH287" s="107"/>
      <c r="AI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  <c r="AH288" s="107"/>
      <c r="AI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107"/>
      <c r="AH289" s="107"/>
      <c r="AI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107"/>
      <c r="AH290" s="107"/>
      <c r="AI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  <c r="AG291" s="107"/>
      <c r="AH291" s="107"/>
      <c r="AI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  <c r="AG292" s="107"/>
      <c r="AH292" s="107"/>
      <c r="AI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  <c r="AG293" s="107"/>
      <c r="AH293" s="107"/>
      <c r="AI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  <c r="AG294" s="107"/>
      <c r="AH294" s="107"/>
      <c r="AI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  <c r="AG295" s="107"/>
      <c r="AH295" s="107"/>
      <c r="AI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  <c r="AH297" s="107"/>
      <c r="AI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107"/>
      <c r="AH298" s="107"/>
      <c r="AI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  <c r="AG299" s="107"/>
      <c r="AH299" s="107"/>
      <c r="AI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  <c r="AG300" s="107"/>
      <c r="AH300" s="107"/>
      <c r="AI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  <c r="AG301" s="107"/>
      <c r="AH301" s="107"/>
      <c r="AI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  <c r="AG302" s="107"/>
      <c r="AH302" s="107"/>
      <c r="AI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107"/>
      <c r="AH303" s="107"/>
      <c r="AI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  <c r="AG304" s="107"/>
      <c r="AH304" s="107"/>
      <c r="AI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  <c r="AG305" s="107"/>
      <c r="AH305" s="107"/>
      <c r="AI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I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  <c r="AI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  <c r="AI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  <c r="AG309" s="107"/>
      <c r="AH309" s="107"/>
      <c r="AI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  <c r="AI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I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I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  <c r="AI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107"/>
      <c r="AH314" s="107"/>
      <c r="AI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  <c r="AH315" s="107"/>
      <c r="AI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  <c r="AG316" s="107"/>
      <c r="AH316" s="107"/>
      <c r="AI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  <c r="AH317" s="107"/>
      <c r="AI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  <c r="AH318" s="107"/>
      <c r="AI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  <c r="AH319" s="107"/>
      <c r="AI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107"/>
      <c r="AH320" s="107"/>
      <c r="AI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  <c r="AG321" s="107"/>
      <c r="AH321" s="107"/>
      <c r="AI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  <c r="AG322" s="107"/>
      <c r="AH322" s="107"/>
      <c r="AI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  <c r="AH324" s="107"/>
      <c r="AI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107"/>
      <c r="AH325" s="107"/>
      <c r="AI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107"/>
      <c r="AH326" s="107"/>
      <c r="AI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  <c r="AH327" s="107"/>
      <c r="AI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  <c r="AG328" s="107"/>
      <c r="AH328" s="107"/>
      <c r="AI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107"/>
      <c r="AH329" s="107"/>
      <c r="AI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107"/>
      <c r="AH330" s="107"/>
      <c r="AI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107"/>
      <c r="AH331" s="107"/>
      <c r="AI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107"/>
      <c r="AH332" s="107"/>
      <c r="AI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  <c r="AH333" s="107"/>
      <c r="AI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  <c r="AH334" s="107"/>
      <c r="AI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107"/>
      <c r="AH335" s="107"/>
      <c r="AI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  <c r="AH336" s="107"/>
      <c r="AI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  <c r="AI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  <c r="AH339" s="107"/>
      <c r="AI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  <c r="AH340" s="107"/>
      <c r="AI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  <c r="AH341" s="107"/>
      <c r="AI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107"/>
      <c r="AH342" s="107"/>
      <c r="AI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107"/>
      <c r="AH343" s="107"/>
      <c r="AI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  <c r="AH344" s="107"/>
      <c r="AI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  <c r="AG345" s="107"/>
      <c r="AH345" s="107"/>
      <c r="AI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107"/>
      <c r="AH346" s="107"/>
      <c r="AI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  <c r="AG347" s="107"/>
      <c r="AH347" s="107"/>
      <c r="AI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  <c r="AG348" s="107"/>
      <c r="AH348" s="107"/>
      <c r="AI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  <c r="AG349" s="107"/>
      <c r="AH349" s="107"/>
      <c r="AI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  <c r="AG350" s="107"/>
      <c r="AH350" s="107"/>
      <c r="AI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  <c r="AG351" s="107"/>
      <c r="AH351" s="107"/>
      <c r="AI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  <c r="AG352" s="107"/>
      <c r="AH352" s="107"/>
      <c r="AI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107"/>
      <c r="AH353" s="107"/>
      <c r="AI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107"/>
      <c r="AH354" s="107"/>
      <c r="AI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  <c r="AH355" s="107"/>
      <c r="AI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107"/>
      <c r="AH356" s="107"/>
      <c r="AI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107"/>
      <c r="AH357" s="107"/>
      <c r="AI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  <c r="AH359" s="107"/>
      <c r="AI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  <c r="AI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  <c r="AH361" s="107"/>
      <c r="AI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  <c r="AH362" s="107"/>
      <c r="AI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107"/>
      <c r="AH364" s="107"/>
      <c r="AI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107"/>
      <c r="AH365" s="107"/>
      <c r="AI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107"/>
      <c r="AH366" s="107"/>
      <c r="AI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  <c r="AH367" s="107"/>
      <c r="AI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107"/>
      <c r="AH368" s="107"/>
      <c r="AI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107"/>
      <c r="AH369" s="107"/>
      <c r="AI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  <c r="AH370" s="107"/>
      <c r="AI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107"/>
      <c r="AH371" s="107"/>
      <c r="AI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  <c r="AG374" s="107"/>
      <c r="AH374" s="107"/>
      <c r="AI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107"/>
      <c r="AH375" s="107"/>
      <c r="AI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107"/>
      <c r="AH376" s="107"/>
      <c r="AI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107"/>
      <c r="AH377" s="107"/>
      <c r="AI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  <c r="AI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  <c r="AI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  <c r="AI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  <c r="AI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  <c r="AI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  <c r="AI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  <c r="AI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  <c r="AI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  <c r="AI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  <c r="AI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  <c r="AI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  <c r="AI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  <c r="AI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  <c r="AI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  <c r="AI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  <c r="AI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  <c r="AI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  <c r="AI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  <c r="AI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  <c r="AI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  <c r="AI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  <c r="AI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  <c r="AI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  <c r="AI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  <c r="AI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  <c r="AH427" s="107"/>
      <c r="AI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  <c r="AI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  <c r="AI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  <c r="AI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  <c r="AI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  <c r="AI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  <c r="AI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  <c r="AI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  <c r="AI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  <c r="AI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  <c r="AH438" s="107"/>
      <c r="AI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  <c r="AI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  <c r="AI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  <c r="AI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  <c r="AI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  <c r="AI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  <c r="AI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  <c r="AI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  <c r="AI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  <c r="AI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  <c r="AI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  <c r="AI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  <c r="AI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  <c r="AI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  <c r="AI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  <c r="AI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  <c r="AI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  <c r="AI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  <c r="AI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  <c r="AI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  <c r="AI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  <c r="AI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  <c r="AI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  <c r="AI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  <c r="AI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  <c r="AI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  <c r="AI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  <c r="AI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  <c r="AI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  <c r="AI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  <c r="AI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  <c r="AI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  <c r="AI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  <c r="AI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  <c r="AI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  <c r="AI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  <c r="AI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  <c r="AI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  <c r="AI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  <c r="AI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  <c r="AI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  <c r="AI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  <c r="AI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  <c r="AI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  <c r="AI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  <c r="AI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  <c r="AI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  <c r="AI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  <c r="AI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  <c r="AI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  <c r="AI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  <c r="AI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  <c r="AI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  <c r="AI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  <c r="AI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  <c r="AI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  <c r="AI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  <c r="AI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  <c r="AI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  <c r="AI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  <c r="AI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  <c r="AI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  <c r="AI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  <c r="AI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  <c r="AI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  <c r="AI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  <c r="AI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  <c r="AI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  <c r="AI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  <c r="AI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  <c r="AI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  <c r="AI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  <c r="AI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  <c r="AI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  <c r="AI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  <c r="AI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  <c r="AI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  <c r="AI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  <c r="AI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  <c r="AI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  <c r="AI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  <c r="AI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  <c r="AI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  <c r="AI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  <c r="AI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  <c r="AI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  <c r="AI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  <c r="AI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  <c r="AI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  <c r="AI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  <c r="AI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  <c r="AI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  <c r="AI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  <c r="AI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  <c r="AI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  <c r="AI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  <c r="AI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  <c r="AI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  <c r="AI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  <c r="AI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  <c r="AI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  <c r="AI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  <c r="AI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  <c r="AI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  <c r="AI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  <c r="AI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  <c r="AI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  <c r="AI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  <c r="AI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  <c r="AI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  <c r="AI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  <c r="AI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  <c r="AI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  <c r="AI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  <c r="AI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  <c r="AI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  <c r="AI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  <c r="AI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  <c r="AI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  <c r="AI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  <c r="AI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  <c r="AI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  <c r="AI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  <c r="AI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  <c r="AI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  <c r="AI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  <c r="AI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  <c r="AI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  <c r="AI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  <c r="AI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  <c r="AI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  <c r="AI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  <c r="AI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  <c r="AI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  <c r="AI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  <c r="AI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  <c r="AI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  <c r="AI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  <c r="AI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  <c r="AH636" s="107"/>
      <c r="AI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  <c r="AH637" s="107"/>
      <c r="AI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  <c r="AH638" s="107"/>
      <c r="AI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  <c r="AH639" s="107"/>
      <c r="AI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  <c r="AI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  <c r="AH641" s="107"/>
      <c r="AI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  <c r="AH644" s="107"/>
      <c r="AI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  <c r="AI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  <c r="AH646" s="107"/>
      <c r="AI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  <c r="AH647" s="107"/>
      <c r="AI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  <c r="AH648" s="107"/>
      <c r="AI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  <c r="AI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  <c r="AI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  <c r="AH651" s="107"/>
      <c r="AI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  <c r="AH652" s="107"/>
      <c r="AI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  <c r="AI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  <c r="AH654" s="107"/>
      <c r="AI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  <c r="AH655" s="107"/>
      <c r="AI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  <c r="AH656" s="107"/>
      <c r="AI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  <c r="AH657" s="107"/>
      <c r="AI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  <c r="AI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  <c r="AI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  <c r="AH660" s="107"/>
      <c r="AI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  <c r="AH661" s="107"/>
      <c r="AI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  <c r="AH662" s="107"/>
      <c r="AI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  <c r="AI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  <c r="AH664" s="107"/>
      <c r="AI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  <c r="AI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  <c r="AH666" s="107"/>
      <c r="AI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  <c r="AI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  <c r="AI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  <c r="AH669" s="107"/>
      <c r="AI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  <c r="AI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  <c r="AI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  <c r="AI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  <c r="AI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  <c r="AI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  <c r="AI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  <c r="AH676" s="107"/>
      <c r="AI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  <c r="AI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  <c r="AI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  <c r="AI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  <c r="AI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  <c r="AI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  <c r="AI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  <c r="AI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  <c r="AI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  <c r="AH686" s="107"/>
      <c r="AI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  <c r="AH687" s="107"/>
      <c r="AI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  <c r="AH688" s="107"/>
      <c r="AI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  <c r="AH689" s="107"/>
      <c r="AI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  <c r="AI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  <c r="AI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  <c r="AI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  <c r="AI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  <c r="AI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  <c r="AI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  <c r="AI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  <c r="AH698" s="107"/>
      <c r="AI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  <c r="AH699" s="107"/>
      <c r="AI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  <c r="AI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  <c r="AI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  <c r="AI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  <c r="AI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  <c r="AI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  <c r="AH705" s="107"/>
      <c r="AI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  <c r="AI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  <c r="AH707" s="107"/>
      <c r="AI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107"/>
      <c r="AI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  <c r="AH709" s="107"/>
      <c r="AI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  <c r="AH710" s="107"/>
      <c r="AI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107"/>
      <c r="AI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107"/>
      <c r="AI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  <c r="AI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  <c r="AI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  <c r="AI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  <c r="AI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  <c r="AI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  <c r="AI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  <c r="AI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  <c r="AI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  <c r="AI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  <c r="AI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  <c r="AI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  <c r="AI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  <c r="AI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  <c r="AI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  <c r="AI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  <c r="AI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  <c r="AI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  <c r="AI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  <c r="AI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  <c r="AI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  <c r="AI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  <c r="AI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  <c r="AI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  <c r="AI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  <c r="AI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  <c r="AI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  <c r="AI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  <c r="AI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  <c r="AI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  <c r="AI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  <c r="AI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  <c r="AI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  <c r="AI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  <c r="AI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  <c r="AI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  <c r="AI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  <c r="AI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  <c r="AI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  <c r="AI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  <c r="AI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  <c r="AI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  <c r="AI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  <c r="AI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  <c r="AI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  <c r="AI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  <c r="AI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  <c r="AI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  <c r="AI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  <c r="AI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  <c r="AI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  <c r="AI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  <c r="AI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  <c r="AI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  <c r="AI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  <c r="AI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  <c r="AI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  <c r="AI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  <c r="AI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  <c r="AH775" s="107"/>
      <c r="AI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  <c r="AH776" s="107"/>
      <c r="AI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  <c r="AH777" s="107"/>
      <c r="AI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  <c r="AH778" s="107"/>
      <c r="AI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  <c r="AH779" s="107"/>
      <c r="AI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  <c r="AH780" s="107"/>
      <c r="AI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  <c r="AH781" s="107"/>
      <c r="AI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  <c r="AH782" s="107"/>
      <c r="AI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  <c r="AH783" s="107"/>
      <c r="AI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  <c r="AH784" s="107"/>
      <c r="AI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  <c r="AH785" s="107"/>
      <c r="AI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  <c r="AH786" s="107"/>
      <c r="AI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  <c r="AH787" s="107"/>
      <c r="AI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  <c r="AH788" s="107"/>
      <c r="AI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  <c r="AI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  <c r="AH790" s="107"/>
      <c r="AI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  <c r="AI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  <c r="AH792" s="107"/>
      <c r="AI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  <c r="AH793" s="107"/>
      <c r="AI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  <c r="AI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  <c r="AI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  <c r="AH796" s="107"/>
      <c r="AI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  <c r="AI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  <c r="AI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  <c r="AI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  <c r="AI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  <c r="AI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  <c r="AH804" s="107"/>
      <c r="AI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  <c r="AI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  <c r="AI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  <c r="AI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  <c r="AI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  <c r="AI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  <c r="AI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  <c r="AI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  <c r="AI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  <c r="AH813" s="107"/>
      <c r="AI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  <c r="AI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  <c r="AH815" s="107"/>
      <c r="AI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  <c r="AI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  <c r="AI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  <c r="AI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  <c r="AI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  <c r="AI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  <c r="AI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  <c r="AI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  <c r="AI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  <c r="AI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  <c r="AI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  <c r="AI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  <c r="AH827" s="107"/>
      <c r="AI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  <c r="AH828" s="107"/>
      <c r="AI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  <c r="AH829" s="107"/>
      <c r="AI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  <c r="AH830" s="107"/>
      <c r="AI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  <c r="AI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  <c r="AI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  <c r="AH833" s="107"/>
      <c r="AI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  <c r="AH834" s="107"/>
      <c r="AI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  <c r="AI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  <c r="AH836" s="107"/>
      <c r="AI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  <c r="AH837" s="107"/>
      <c r="AI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  <c r="AI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  <c r="AH839" s="107"/>
      <c r="AI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  <c r="AH840" s="107"/>
      <c r="AI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  <c r="AH841" s="107"/>
      <c r="AI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  <c r="AI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  <c r="AI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  <c r="AI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  <c r="AI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  <c r="AI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  <c r="AH848" s="107"/>
      <c r="AI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  <c r="AH849" s="107"/>
      <c r="AI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  <c r="AH850" s="107"/>
      <c r="AI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  <c r="AI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  <c r="AI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  <c r="AI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  <c r="AI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  <c r="AI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  <c r="AI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  <c r="AI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  <c r="AI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  <c r="AI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  <c r="AH861" s="107"/>
      <c r="AI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  <c r="AI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  <c r="AI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  <c r="AI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  <c r="AI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  <c r="AI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  <c r="AH867" s="107"/>
      <c r="AI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  <c r="AI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  <c r="AI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  <c r="AI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  <c r="AI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  <c r="AI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  <c r="AI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  <c r="AI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  <c r="AI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  <c r="AI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  <c r="AI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  <c r="AI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  <c r="AI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  <c r="AI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  <c r="AI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  <c r="AI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  <c r="AI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  <c r="AI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  <c r="AI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  <c r="AH887" s="107"/>
      <c r="AI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  <c r="AI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  <c r="AI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  <c r="AI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  <c r="AI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  <c r="AI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  <c r="AI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  <c r="AI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  <c r="AI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  <c r="AI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  <c r="AI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  <c r="AI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  <c r="AI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  <c r="AI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  <c r="AI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  <c r="AI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  <c r="AI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  <c r="AI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  <c r="AI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  <c r="AI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  <c r="AI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  <c r="AH909" s="107"/>
      <c r="AI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  <c r="AI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  <c r="AI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  <c r="AI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  <c r="AI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  <c r="AI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  <c r="AI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  <c r="AI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  <c r="AI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  <c r="AI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  <c r="AH920" s="107"/>
      <c r="AI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  <c r="AI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  <c r="AI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  <c r="AI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  <c r="AI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  <c r="AI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  <c r="AI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  <c r="AI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  <c r="AI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  <c r="AH931" s="107"/>
      <c r="AI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  <c r="AI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  <c r="AI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  <c r="AI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  <c r="AI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  <c r="AI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  <c r="AI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  <c r="AI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  <c r="AI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  <c r="AI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  <c r="AI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  <c r="AH942" s="107"/>
      <c r="AI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  <c r="AI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  <c r="AI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  <c r="AI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  <c r="AI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  <c r="AI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  <c r="AI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  <c r="AI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  <c r="AI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  <c r="AI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  <c r="AH953" s="107"/>
      <c r="AI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  <c r="AI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  <c r="AI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  <c r="AI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  <c r="AI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  <c r="AI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  <c r="AI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  <c r="AH960" s="107"/>
      <c r="AI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  <c r="AI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  <c r="AI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  <c r="AH964" s="107"/>
      <c r="AI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  <c r="AI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  <c r="AI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  <c r="AI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  <c r="AI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  <c r="AI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  <c r="AH970" s="107"/>
      <c r="AI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  <c r="AH971" s="107"/>
      <c r="AI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  <c r="AH972" s="107"/>
      <c r="AI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  <c r="AI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  <c r="AH974" s="107"/>
      <c r="AI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  <c r="AH975" s="107"/>
      <c r="AI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  <c r="AH976" s="107"/>
      <c r="AI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  <c r="AH977" s="107"/>
      <c r="AI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  <c r="AH978" s="107"/>
      <c r="AI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  <c r="AH979" s="107"/>
      <c r="AI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  <c r="AH980" s="107"/>
      <c r="AI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  <c r="AH981" s="107"/>
      <c r="AI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  <c r="AI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  <c r="AI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  <c r="AI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  <c r="AH985" s="107"/>
      <c r="AI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  <c r="AH986" s="107"/>
      <c r="AI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  <c r="AH987" s="107"/>
      <c r="AI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  <c r="AG988" s="107"/>
      <c r="AH988" s="107"/>
      <c r="AI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  <c r="AI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  <c r="AI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  <c r="AG991" s="107"/>
      <c r="AH991" s="107"/>
      <c r="AI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  <c r="AI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  <c r="AI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  <c r="AG994" s="107"/>
      <c r="AH994" s="107"/>
      <c r="AI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  <c r="AG995" s="107"/>
      <c r="AH995" s="107"/>
      <c r="AI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  <c r="AI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  <c r="AI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  <c r="AI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  <c r="AG999" s="107"/>
      <c r="AH999" s="107"/>
      <c r="AI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  <c r="AC1000" s="107"/>
      <c r="AD1000" s="107"/>
      <c r="AE1000" s="107"/>
      <c r="AF1000" s="107"/>
      <c r="AG1000" s="107"/>
      <c r="AH1000" s="107"/>
      <c r="AI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  <c r="AA1001" s="107"/>
      <c r="AB1001" s="107"/>
      <c r="AC1001" s="107"/>
      <c r="AD1001" s="107"/>
      <c r="AE1001" s="107"/>
      <c r="AF1001" s="107"/>
      <c r="AG1001" s="107"/>
      <c r="AH1001" s="107"/>
      <c r="AI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  <c r="AA1002" s="107"/>
      <c r="AB1002" s="107"/>
      <c r="AC1002" s="107"/>
      <c r="AD1002" s="107"/>
      <c r="AE1002" s="107"/>
      <c r="AF1002" s="107"/>
      <c r="AG1002" s="107"/>
      <c r="AH1002" s="107"/>
      <c r="AI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  <c r="AA1003" s="107"/>
      <c r="AB1003" s="107"/>
      <c r="AC1003" s="107"/>
      <c r="AD1003" s="107"/>
      <c r="AE1003" s="107"/>
      <c r="AF1003" s="107"/>
      <c r="AG1003" s="107"/>
      <c r="AH1003" s="107"/>
      <c r="AI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  <c r="AA1004" s="107"/>
      <c r="AB1004" s="107"/>
      <c r="AC1004" s="107"/>
      <c r="AD1004" s="107"/>
      <c r="AE1004" s="107"/>
      <c r="AF1004" s="107"/>
      <c r="AG1004" s="107"/>
      <c r="AH1004" s="107"/>
      <c r="AI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  <c r="AA1005" s="107"/>
      <c r="AB1005" s="107"/>
      <c r="AC1005" s="107"/>
      <c r="AD1005" s="107"/>
      <c r="AE1005" s="107"/>
      <c r="AF1005" s="107"/>
      <c r="AG1005" s="107"/>
      <c r="AH1005" s="107"/>
      <c r="AI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  <c r="AA1006" s="107"/>
      <c r="AB1006" s="107"/>
      <c r="AC1006" s="107"/>
      <c r="AD1006" s="107"/>
      <c r="AE1006" s="107"/>
      <c r="AF1006" s="107"/>
      <c r="AG1006" s="107"/>
      <c r="AH1006" s="107"/>
      <c r="AI1006" s="107"/>
    </row>
    <row r="1007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  <c r="AA1007" s="107"/>
      <c r="AB1007" s="107"/>
      <c r="AC1007" s="107"/>
      <c r="AD1007" s="107"/>
      <c r="AE1007" s="107"/>
      <c r="AF1007" s="107"/>
      <c r="AG1007" s="107"/>
      <c r="AH1007" s="107"/>
      <c r="AI1007" s="107"/>
    </row>
    <row r="1008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  <c r="AA1008" s="107"/>
      <c r="AB1008" s="107"/>
      <c r="AC1008" s="107"/>
      <c r="AD1008" s="107"/>
      <c r="AE1008" s="107"/>
      <c r="AF1008" s="107"/>
      <c r="AG1008" s="107"/>
      <c r="AH1008" s="107"/>
      <c r="AI1008" s="107"/>
    </row>
    <row r="1009">
      <c r="A1009" s="107"/>
      <c r="B1009" s="107"/>
      <c r="C1009" s="107"/>
      <c r="D1009" s="107"/>
      <c r="E1009" s="107"/>
      <c r="F1009" s="107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  <c r="AA1009" s="107"/>
      <c r="AB1009" s="107"/>
      <c r="AC1009" s="107"/>
      <c r="AD1009" s="107"/>
      <c r="AE1009" s="107"/>
      <c r="AF1009" s="107"/>
      <c r="AG1009" s="107"/>
      <c r="AH1009" s="107"/>
      <c r="AI1009" s="107"/>
    </row>
    <row r="1010">
      <c r="A1010" s="107"/>
      <c r="B1010" s="107"/>
      <c r="C1010" s="107"/>
      <c r="D1010" s="107"/>
      <c r="E1010" s="107"/>
      <c r="F1010" s="107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  <c r="AA1010" s="107"/>
      <c r="AB1010" s="107"/>
      <c r="AC1010" s="107"/>
      <c r="AD1010" s="107"/>
      <c r="AE1010" s="107"/>
      <c r="AF1010" s="107"/>
      <c r="AG1010" s="107"/>
      <c r="AH1010" s="107"/>
      <c r="AI1010" s="107"/>
    </row>
    <row r="1011">
      <c r="A1011" s="107"/>
      <c r="B1011" s="107"/>
      <c r="C1011" s="107"/>
      <c r="D1011" s="107"/>
      <c r="E1011" s="107"/>
      <c r="F1011" s="107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  <c r="AA1011" s="107"/>
      <c r="AB1011" s="107"/>
      <c r="AC1011" s="107"/>
      <c r="AD1011" s="107"/>
      <c r="AE1011" s="107"/>
      <c r="AF1011" s="107"/>
      <c r="AG1011" s="107"/>
      <c r="AH1011" s="107"/>
      <c r="AI1011" s="107"/>
    </row>
    <row r="1012">
      <c r="A1012" s="107"/>
      <c r="B1012" s="107"/>
      <c r="C1012" s="107"/>
      <c r="D1012" s="107"/>
      <c r="E1012" s="107"/>
      <c r="F1012" s="107"/>
      <c r="G1012" s="107"/>
      <c r="H1012" s="107"/>
      <c r="I1012" s="107"/>
      <c r="J1012" s="107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  <c r="AA1012" s="107"/>
      <c r="AB1012" s="107"/>
      <c r="AC1012" s="107"/>
      <c r="AD1012" s="107"/>
      <c r="AE1012" s="107"/>
      <c r="AF1012" s="107"/>
      <c r="AG1012" s="107"/>
      <c r="AH1012" s="107"/>
      <c r="AI1012" s="107"/>
    </row>
    <row r="1013">
      <c r="A1013" s="107"/>
      <c r="B1013" s="107"/>
      <c r="C1013" s="107"/>
      <c r="D1013" s="107"/>
      <c r="E1013" s="107"/>
      <c r="F1013" s="107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  <c r="AA1013" s="107"/>
      <c r="AB1013" s="107"/>
      <c r="AC1013" s="107"/>
      <c r="AD1013" s="107"/>
      <c r="AE1013" s="107"/>
      <c r="AF1013" s="107"/>
      <c r="AG1013" s="107"/>
      <c r="AH1013" s="107"/>
      <c r="AI1013" s="107"/>
    </row>
    <row r="1014">
      <c r="A1014" s="107"/>
      <c r="B1014" s="107"/>
      <c r="C1014" s="107"/>
      <c r="D1014" s="107"/>
      <c r="E1014" s="107"/>
      <c r="F1014" s="107"/>
      <c r="G1014" s="107"/>
      <c r="H1014" s="107"/>
      <c r="I1014" s="107"/>
      <c r="J1014" s="107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  <c r="AA1014" s="107"/>
      <c r="AB1014" s="107"/>
      <c r="AC1014" s="107"/>
      <c r="AD1014" s="107"/>
      <c r="AE1014" s="107"/>
      <c r="AF1014" s="107"/>
      <c r="AG1014" s="107"/>
      <c r="AH1014" s="107"/>
      <c r="AI1014" s="107"/>
    </row>
    <row r="1015">
      <c r="A1015" s="107"/>
      <c r="B1015" s="107"/>
      <c r="C1015" s="107"/>
      <c r="D1015" s="107"/>
      <c r="E1015" s="107"/>
      <c r="F1015" s="107"/>
      <c r="G1015" s="107"/>
      <c r="H1015" s="107"/>
      <c r="I1015" s="107"/>
      <c r="J1015" s="107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  <c r="AA1015" s="107"/>
      <c r="AB1015" s="107"/>
      <c r="AC1015" s="107"/>
      <c r="AD1015" s="107"/>
      <c r="AE1015" s="107"/>
      <c r="AF1015" s="107"/>
      <c r="AG1015" s="107"/>
      <c r="AH1015" s="107"/>
      <c r="AI1015" s="107"/>
    </row>
    <row r="1016">
      <c r="A1016" s="107"/>
      <c r="B1016" s="107"/>
      <c r="C1016" s="107"/>
      <c r="D1016" s="107"/>
      <c r="E1016" s="107"/>
      <c r="F1016" s="107"/>
      <c r="G1016" s="107"/>
      <c r="H1016" s="107"/>
      <c r="I1016" s="107"/>
      <c r="J1016" s="107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  <c r="AA1016" s="107"/>
      <c r="AB1016" s="107"/>
      <c r="AC1016" s="107"/>
      <c r="AD1016" s="107"/>
      <c r="AE1016" s="107"/>
      <c r="AF1016" s="107"/>
      <c r="AG1016" s="107"/>
      <c r="AH1016" s="107"/>
      <c r="AI1016" s="107"/>
    </row>
    <row r="1017">
      <c r="A1017" s="107"/>
      <c r="B1017" s="107"/>
      <c r="C1017" s="107"/>
      <c r="D1017" s="107"/>
      <c r="E1017" s="107"/>
      <c r="F1017" s="107"/>
      <c r="G1017" s="107"/>
      <c r="H1017" s="107"/>
      <c r="I1017" s="107"/>
      <c r="J1017" s="107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  <c r="AA1017" s="107"/>
      <c r="AB1017" s="107"/>
      <c r="AC1017" s="107"/>
      <c r="AD1017" s="107"/>
      <c r="AE1017" s="107"/>
      <c r="AF1017" s="107"/>
      <c r="AG1017" s="107"/>
      <c r="AH1017" s="107"/>
      <c r="AI1017" s="107"/>
    </row>
    <row r="1018">
      <c r="A1018" s="107"/>
      <c r="B1018" s="107"/>
      <c r="C1018" s="107"/>
      <c r="D1018" s="107"/>
      <c r="E1018" s="107"/>
      <c r="F1018" s="107"/>
      <c r="G1018" s="107"/>
      <c r="H1018" s="107"/>
      <c r="I1018" s="107"/>
      <c r="J1018" s="107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  <c r="AA1018" s="107"/>
      <c r="AB1018" s="107"/>
      <c r="AC1018" s="107"/>
      <c r="AD1018" s="107"/>
      <c r="AE1018" s="107"/>
      <c r="AF1018" s="107"/>
      <c r="AG1018" s="107"/>
      <c r="AH1018" s="107"/>
      <c r="AI1018" s="107"/>
    </row>
    <row r="1019">
      <c r="A1019" s="107"/>
      <c r="B1019" s="107"/>
      <c r="C1019" s="107"/>
      <c r="D1019" s="107"/>
      <c r="E1019" s="107"/>
      <c r="F1019" s="107"/>
      <c r="G1019" s="107"/>
      <c r="H1019" s="107"/>
      <c r="I1019" s="107"/>
      <c r="J1019" s="107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  <c r="AA1019" s="107"/>
      <c r="AB1019" s="107"/>
      <c r="AC1019" s="107"/>
      <c r="AD1019" s="107"/>
      <c r="AE1019" s="107"/>
      <c r="AF1019" s="107"/>
      <c r="AG1019" s="107"/>
      <c r="AH1019" s="107"/>
      <c r="AI1019" s="107"/>
    </row>
    <row r="1020">
      <c r="A1020" s="107"/>
      <c r="B1020" s="107"/>
      <c r="C1020" s="107"/>
      <c r="D1020" s="107"/>
      <c r="E1020" s="107"/>
      <c r="F1020" s="107"/>
      <c r="G1020" s="107"/>
      <c r="H1020" s="107"/>
      <c r="I1020" s="107"/>
      <c r="J1020" s="107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  <c r="X1020" s="107"/>
      <c r="Y1020" s="107"/>
      <c r="Z1020" s="107"/>
      <c r="AA1020" s="107"/>
      <c r="AB1020" s="107"/>
      <c r="AC1020" s="107"/>
      <c r="AD1020" s="107"/>
      <c r="AE1020" s="107"/>
      <c r="AF1020" s="107"/>
      <c r="AG1020" s="107"/>
      <c r="AH1020" s="107"/>
      <c r="AI1020" s="107"/>
    </row>
    <row r="1021">
      <c r="A1021" s="107"/>
      <c r="B1021" s="107"/>
      <c r="C1021" s="107"/>
      <c r="D1021" s="107"/>
      <c r="E1021" s="107"/>
      <c r="F1021" s="107"/>
      <c r="G1021" s="107"/>
      <c r="H1021" s="107"/>
      <c r="I1021" s="107"/>
      <c r="J1021" s="107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  <c r="X1021" s="107"/>
      <c r="Y1021" s="107"/>
      <c r="Z1021" s="107"/>
      <c r="AA1021" s="107"/>
      <c r="AB1021" s="107"/>
      <c r="AC1021" s="107"/>
      <c r="AD1021" s="107"/>
      <c r="AE1021" s="107"/>
      <c r="AF1021" s="107"/>
      <c r="AG1021" s="107"/>
      <c r="AH1021" s="107"/>
      <c r="AI1021" s="107"/>
    </row>
    <row r="1022">
      <c r="A1022" s="107"/>
      <c r="B1022" s="107"/>
      <c r="C1022" s="107"/>
      <c r="D1022" s="107"/>
      <c r="E1022" s="107"/>
      <c r="F1022" s="107"/>
      <c r="G1022" s="107"/>
      <c r="H1022" s="107"/>
      <c r="I1022" s="107"/>
      <c r="J1022" s="107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  <c r="X1022" s="107"/>
      <c r="Y1022" s="107"/>
      <c r="Z1022" s="107"/>
      <c r="AA1022" s="107"/>
      <c r="AB1022" s="107"/>
      <c r="AC1022" s="107"/>
      <c r="AD1022" s="107"/>
      <c r="AE1022" s="107"/>
      <c r="AF1022" s="107"/>
      <c r="AG1022" s="107"/>
      <c r="AH1022" s="107"/>
      <c r="AI1022" s="107"/>
    </row>
    <row r="1023">
      <c r="A1023" s="107"/>
      <c r="B1023" s="107"/>
      <c r="C1023" s="107"/>
      <c r="D1023" s="107"/>
      <c r="E1023" s="107"/>
      <c r="F1023" s="107"/>
      <c r="G1023" s="107"/>
      <c r="H1023" s="107"/>
      <c r="I1023" s="107"/>
      <c r="J1023" s="107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  <c r="X1023" s="107"/>
      <c r="Y1023" s="107"/>
      <c r="Z1023" s="107"/>
      <c r="AA1023" s="107"/>
      <c r="AB1023" s="107"/>
      <c r="AC1023" s="107"/>
      <c r="AD1023" s="107"/>
      <c r="AE1023" s="107"/>
      <c r="AF1023" s="107"/>
      <c r="AG1023" s="107"/>
      <c r="AH1023" s="107"/>
      <c r="AI1023" s="107"/>
    </row>
    <row r="1024">
      <c r="A1024" s="107"/>
      <c r="B1024" s="107"/>
      <c r="C1024" s="107"/>
      <c r="D1024" s="107"/>
      <c r="E1024" s="107"/>
      <c r="F1024" s="107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  <c r="X1024" s="107"/>
      <c r="Y1024" s="107"/>
      <c r="Z1024" s="107"/>
      <c r="AA1024" s="107"/>
      <c r="AB1024" s="107"/>
      <c r="AC1024" s="107"/>
      <c r="AD1024" s="107"/>
      <c r="AE1024" s="107"/>
      <c r="AF1024" s="107"/>
      <c r="AG1024" s="107"/>
      <c r="AH1024" s="107"/>
      <c r="AI1024" s="107"/>
    </row>
    <row r="1025">
      <c r="A1025" s="107"/>
      <c r="B1025" s="107"/>
      <c r="C1025" s="107"/>
      <c r="D1025" s="107"/>
      <c r="E1025" s="107"/>
      <c r="F1025" s="107"/>
      <c r="G1025" s="107"/>
      <c r="H1025" s="107"/>
      <c r="I1025" s="107"/>
      <c r="J1025" s="107"/>
      <c r="K1025" s="107"/>
      <c r="L1025" s="107"/>
      <c r="M1025" s="107"/>
      <c r="N1025" s="107"/>
      <c r="O1025" s="107"/>
      <c r="P1025" s="107"/>
      <c r="Q1025" s="107"/>
      <c r="R1025" s="107"/>
      <c r="S1025" s="107"/>
      <c r="T1025" s="107"/>
      <c r="U1025" s="107"/>
      <c r="V1025" s="107"/>
      <c r="W1025" s="107"/>
      <c r="X1025" s="107"/>
      <c r="Y1025" s="107"/>
      <c r="Z1025" s="107"/>
      <c r="AA1025" s="107"/>
      <c r="AB1025" s="107"/>
      <c r="AC1025" s="107"/>
      <c r="AD1025" s="107"/>
      <c r="AE1025" s="107"/>
      <c r="AF1025" s="107"/>
      <c r="AG1025" s="107"/>
      <c r="AH1025" s="107"/>
      <c r="AI1025" s="107"/>
    </row>
    <row r="1026">
      <c r="A1026" s="107"/>
      <c r="B1026" s="107"/>
      <c r="C1026" s="107"/>
      <c r="D1026" s="107"/>
      <c r="E1026" s="107"/>
      <c r="F1026" s="107"/>
      <c r="G1026" s="107"/>
      <c r="H1026" s="107"/>
      <c r="I1026" s="107"/>
      <c r="J1026" s="107"/>
      <c r="K1026" s="107"/>
      <c r="L1026" s="107"/>
      <c r="M1026" s="107"/>
      <c r="N1026" s="107"/>
      <c r="O1026" s="107"/>
      <c r="P1026" s="107"/>
      <c r="Q1026" s="107"/>
      <c r="R1026" s="107"/>
      <c r="S1026" s="107"/>
      <c r="T1026" s="107"/>
      <c r="U1026" s="107"/>
      <c r="V1026" s="107"/>
      <c r="W1026" s="107"/>
      <c r="X1026" s="107"/>
      <c r="Y1026" s="107"/>
      <c r="Z1026" s="107"/>
      <c r="AA1026" s="107"/>
      <c r="AB1026" s="107"/>
      <c r="AC1026" s="107"/>
      <c r="AD1026" s="107"/>
      <c r="AE1026" s="107"/>
      <c r="AF1026" s="107"/>
      <c r="AG1026" s="107"/>
      <c r="AH1026" s="107"/>
      <c r="AI1026" s="107"/>
    </row>
    <row r="1027">
      <c r="A1027" s="107"/>
      <c r="B1027" s="107"/>
      <c r="C1027" s="107"/>
      <c r="D1027" s="107"/>
      <c r="E1027" s="107"/>
      <c r="F1027" s="107"/>
      <c r="G1027" s="107"/>
      <c r="H1027" s="107"/>
      <c r="I1027" s="107"/>
      <c r="J1027" s="107"/>
      <c r="K1027" s="107"/>
      <c r="L1027" s="107"/>
      <c r="M1027" s="107"/>
      <c r="N1027" s="107"/>
      <c r="O1027" s="107"/>
      <c r="P1027" s="107"/>
      <c r="Q1027" s="107"/>
      <c r="R1027" s="107"/>
      <c r="S1027" s="107"/>
      <c r="T1027" s="107"/>
      <c r="U1027" s="107"/>
      <c r="V1027" s="107"/>
      <c r="W1027" s="107"/>
      <c r="X1027" s="107"/>
      <c r="Y1027" s="107"/>
      <c r="Z1027" s="107"/>
      <c r="AA1027" s="107"/>
      <c r="AB1027" s="107"/>
      <c r="AC1027" s="107"/>
      <c r="AD1027" s="107"/>
      <c r="AE1027" s="107"/>
      <c r="AF1027" s="107"/>
      <c r="AG1027" s="107"/>
      <c r="AH1027" s="107"/>
      <c r="AI1027" s="107"/>
    </row>
    <row r="1028">
      <c r="A1028" s="107"/>
      <c r="B1028" s="107"/>
      <c r="C1028" s="107"/>
      <c r="D1028" s="107"/>
      <c r="E1028" s="107"/>
      <c r="F1028" s="107"/>
      <c r="G1028" s="107"/>
      <c r="H1028" s="107"/>
      <c r="I1028" s="107"/>
      <c r="J1028" s="107"/>
      <c r="K1028" s="107"/>
      <c r="L1028" s="107"/>
      <c r="M1028" s="107"/>
      <c r="N1028" s="107"/>
      <c r="O1028" s="107"/>
      <c r="P1028" s="107"/>
      <c r="Q1028" s="107"/>
      <c r="R1028" s="107"/>
      <c r="S1028" s="107"/>
      <c r="T1028" s="107"/>
      <c r="U1028" s="107"/>
      <c r="V1028" s="107"/>
      <c r="W1028" s="107"/>
      <c r="X1028" s="107"/>
      <c r="Y1028" s="107"/>
      <c r="Z1028" s="107"/>
      <c r="AA1028" s="107"/>
      <c r="AB1028" s="107"/>
      <c r="AC1028" s="107"/>
      <c r="AD1028" s="107"/>
      <c r="AE1028" s="107"/>
      <c r="AF1028" s="107"/>
      <c r="AG1028" s="107"/>
      <c r="AH1028" s="107"/>
      <c r="AI1028" s="107"/>
    </row>
    <row r="1029">
      <c r="A1029" s="107"/>
      <c r="B1029" s="107"/>
      <c r="C1029" s="107"/>
      <c r="D1029" s="107"/>
      <c r="E1029" s="107"/>
      <c r="F1029" s="107"/>
      <c r="G1029" s="107"/>
      <c r="H1029" s="107"/>
      <c r="I1029" s="107"/>
      <c r="J1029" s="107"/>
      <c r="K1029" s="107"/>
      <c r="L1029" s="107"/>
      <c r="M1029" s="107"/>
      <c r="N1029" s="107"/>
      <c r="O1029" s="107"/>
      <c r="P1029" s="107"/>
      <c r="Q1029" s="107"/>
      <c r="R1029" s="107"/>
      <c r="S1029" s="107"/>
      <c r="T1029" s="107"/>
      <c r="U1029" s="107"/>
      <c r="V1029" s="107"/>
      <c r="W1029" s="107"/>
      <c r="X1029" s="107"/>
      <c r="Y1029" s="107"/>
      <c r="Z1029" s="107"/>
      <c r="AA1029" s="107"/>
      <c r="AB1029" s="107"/>
      <c r="AC1029" s="107"/>
      <c r="AD1029" s="107"/>
      <c r="AE1029" s="107"/>
      <c r="AF1029" s="107"/>
      <c r="AG1029" s="107"/>
      <c r="AH1029" s="107"/>
      <c r="AI1029" s="107"/>
    </row>
    <row r="1030">
      <c r="A1030" s="107"/>
      <c r="B1030" s="107"/>
      <c r="C1030" s="107"/>
      <c r="D1030" s="107"/>
      <c r="E1030" s="107"/>
      <c r="F1030" s="107"/>
      <c r="G1030" s="107"/>
      <c r="H1030" s="107"/>
      <c r="I1030" s="107"/>
      <c r="J1030" s="107"/>
      <c r="K1030" s="107"/>
      <c r="L1030" s="107"/>
      <c r="M1030" s="107"/>
      <c r="N1030" s="107"/>
      <c r="O1030" s="107"/>
      <c r="P1030" s="107"/>
      <c r="Q1030" s="107"/>
      <c r="R1030" s="107"/>
      <c r="S1030" s="107"/>
      <c r="T1030" s="107"/>
      <c r="U1030" s="107"/>
      <c r="V1030" s="107"/>
      <c r="W1030" s="107"/>
      <c r="X1030" s="107"/>
      <c r="Y1030" s="107"/>
      <c r="Z1030" s="107"/>
      <c r="AA1030" s="107"/>
      <c r="AB1030" s="107"/>
      <c r="AC1030" s="107"/>
      <c r="AD1030" s="107"/>
      <c r="AE1030" s="107"/>
      <c r="AF1030" s="107"/>
      <c r="AG1030" s="107"/>
      <c r="AH1030" s="107"/>
      <c r="AI1030" s="107"/>
    </row>
    <row r="1031">
      <c r="A1031" s="107"/>
      <c r="B1031" s="107"/>
      <c r="C1031" s="107"/>
      <c r="D1031" s="107"/>
      <c r="E1031" s="107"/>
      <c r="F1031" s="107"/>
      <c r="G1031" s="107"/>
      <c r="H1031" s="107"/>
      <c r="I1031" s="107"/>
      <c r="J1031" s="107"/>
      <c r="K1031" s="107"/>
      <c r="L1031" s="107"/>
      <c r="M1031" s="107"/>
      <c r="N1031" s="107"/>
      <c r="O1031" s="107"/>
      <c r="P1031" s="107"/>
      <c r="Q1031" s="107"/>
      <c r="R1031" s="107"/>
      <c r="S1031" s="107"/>
      <c r="T1031" s="107"/>
      <c r="U1031" s="107"/>
      <c r="V1031" s="107"/>
      <c r="W1031" s="107"/>
      <c r="X1031" s="107"/>
      <c r="Y1031" s="107"/>
      <c r="Z1031" s="107"/>
      <c r="AA1031" s="107"/>
      <c r="AB1031" s="107"/>
      <c r="AC1031" s="107"/>
      <c r="AD1031" s="107"/>
      <c r="AE1031" s="107"/>
      <c r="AF1031" s="107"/>
      <c r="AG1031" s="107"/>
      <c r="AH1031" s="107"/>
      <c r="AI1031" s="107"/>
    </row>
    <row r="1032">
      <c r="A1032" s="107"/>
      <c r="B1032" s="107"/>
      <c r="C1032" s="107"/>
      <c r="D1032" s="107"/>
      <c r="E1032" s="107"/>
      <c r="F1032" s="107"/>
      <c r="G1032" s="107"/>
      <c r="H1032" s="107"/>
      <c r="I1032" s="107"/>
      <c r="J1032" s="107"/>
      <c r="K1032" s="107"/>
      <c r="L1032" s="107"/>
      <c r="M1032" s="107"/>
      <c r="N1032" s="107"/>
      <c r="O1032" s="107"/>
      <c r="P1032" s="107"/>
      <c r="Q1032" s="107"/>
      <c r="R1032" s="107"/>
      <c r="S1032" s="107"/>
      <c r="T1032" s="107"/>
      <c r="U1032" s="107"/>
      <c r="V1032" s="107"/>
      <c r="W1032" s="107"/>
      <c r="X1032" s="107"/>
      <c r="Y1032" s="107"/>
      <c r="Z1032" s="107"/>
      <c r="AA1032" s="107"/>
      <c r="AB1032" s="107"/>
      <c r="AC1032" s="107"/>
      <c r="AD1032" s="107"/>
      <c r="AE1032" s="107"/>
      <c r="AF1032" s="107"/>
      <c r="AG1032" s="107"/>
      <c r="AH1032" s="107"/>
      <c r="AI1032" s="107"/>
    </row>
    <row r="1033">
      <c r="A1033" s="107"/>
      <c r="B1033" s="107"/>
      <c r="C1033" s="107"/>
      <c r="D1033" s="107"/>
      <c r="E1033" s="107"/>
      <c r="F1033" s="107"/>
      <c r="G1033" s="107"/>
      <c r="H1033" s="107"/>
      <c r="I1033" s="107"/>
      <c r="J1033" s="107"/>
      <c r="K1033" s="107"/>
      <c r="L1033" s="107"/>
      <c r="M1033" s="107"/>
      <c r="N1033" s="107"/>
      <c r="O1033" s="107"/>
      <c r="P1033" s="107"/>
      <c r="Q1033" s="107"/>
      <c r="R1033" s="107"/>
      <c r="S1033" s="107"/>
      <c r="T1033" s="107"/>
      <c r="U1033" s="107"/>
      <c r="V1033" s="107"/>
      <c r="W1033" s="107"/>
      <c r="X1033" s="107"/>
      <c r="Y1033" s="107"/>
      <c r="Z1033" s="107"/>
      <c r="AA1033" s="107"/>
      <c r="AB1033" s="107"/>
      <c r="AC1033" s="107"/>
      <c r="AD1033" s="107"/>
      <c r="AE1033" s="107"/>
      <c r="AF1033" s="107"/>
      <c r="AG1033" s="107"/>
      <c r="AH1033" s="107"/>
      <c r="AI1033" s="107"/>
    </row>
    <row r="1034">
      <c r="A1034" s="107"/>
      <c r="B1034" s="107"/>
      <c r="C1034" s="107"/>
      <c r="D1034" s="107"/>
      <c r="E1034" s="107"/>
      <c r="F1034" s="107"/>
      <c r="G1034" s="107"/>
      <c r="H1034" s="107"/>
      <c r="I1034" s="107"/>
      <c r="J1034" s="107"/>
      <c r="K1034" s="107"/>
      <c r="L1034" s="107"/>
      <c r="M1034" s="107"/>
      <c r="N1034" s="107"/>
      <c r="O1034" s="107"/>
      <c r="P1034" s="107"/>
      <c r="Q1034" s="107"/>
      <c r="R1034" s="107"/>
      <c r="S1034" s="107"/>
      <c r="T1034" s="107"/>
      <c r="U1034" s="107"/>
      <c r="V1034" s="107"/>
      <c r="W1034" s="107"/>
      <c r="X1034" s="107"/>
      <c r="Y1034" s="107"/>
      <c r="Z1034" s="107"/>
      <c r="AA1034" s="107"/>
      <c r="AB1034" s="107"/>
      <c r="AC1034" s="107"/>
      <c r="AD1034" s="107"/>
      <c r="AE1034" s="107"/>
      <c r="AF1034" s="107"/>
      <c r="AG1034" s="107"/>
      <c r="AH1034" s="107"/>
      <c r="AI1034" s="107"/>
    </row>
    <row r="1035">
      <c r="A1035" s="107"/>
      <c r="B1035" s="107"/>
      <c r="C1035" s="107"/>
      <c r="D1035" s="107"/>
      <c r="E1035" s="107"/>
      <c r="F1035" s="107"/>
      <c r="G1035" s="107"/>
      <c r="H1035" s="107"/>
      <c r="I1035" s="107"/>
      <c r="J1035" s="107"/>
      <c r="K1035" s="107"/>
      <c r="L1035" s="107"/>
      <c r="M1035" s="107"/>
      <c r="N1035" s="107"/>
      <c r="O1035" s="107"/>
      <c r="P1035" s="107"/>
      <c r="Q1035" s="107"/>
      <c r="R1035" s="107"/>
      <c r="S1035" s="107"/>
      <c r="T1035" s="107"/>
      <c r="U1035" s="107"/>
      <c r="V1035" s="107"/>
      <c r="W1035" s="107"/>
      <c r="X1035" s="107"/>
      <c r="Y1035" s="107"/>
      <c r="Z1035" s="107"/>
      <c r="AA1035" s="107"/>
      <c r="AB1035" s="107"/>
      <c r="AC1035" s="107"/>
      <c r="AD1035" s="107"/>
      <c r="AE1035" s="107"/>
      <c r="AF1035" s="107"/>
      <c r="AG1035" s="107"/>
      <c r="AH1035" s="107"/>
      <c r="AI1035" s="107"/>
    </row>
    <row r="1036">
      <c r="A1036" s="107"/>
      <c r="B1036" s="107"/>
      <c r="C1036" s="107"/>
      <c r="D1036" s="107"/>
      <c r="E1036" s="107"/>
      <c r="F1036" s="107"/>
      <c r="G1036" s="107"/>
      <c r="H1036" s="107"/>
      <c r="I1036" s="107"/>
      <c r="J1036" s="107"/>
      <c r="K1036" s="107"/>
      <c r="L1036" s="107"/>
      <c r="M1036" s="107"/>
      <c r="N1036" s="107"/>
      <c r="O1036" s="107"/>
      <c r="P1036" s="107"/>
      <c r="Q1036" s="107"/>
      <c r="R1036" s="107"/>
      <c r="S1036" s="107"/>
      <c r="T1036" s="107"/>
      <c r="U1036" s="107"/>
      <c r="V1036" s="107"/>
      <c r="W1036" s="107"/>
      <c r="X1036" s="107"/>
      <c r="Y1036" s="107"/>
      <c r="Z1036" s="107"/>
      <c r="AA1036" s="107"/>
      <c r="AB1036" s="107"/>
      <c r="AC1036" s="107"/>
      <c r="AD1036" s="107"/>
      <c r="AE1036" s="107"/>
      <c r="AF1036" s="107"/>
      <c r="AG1036" s="107"/>
      <c r="AH1036" s="107"/>
      <c r="AI1036" s="107"/>
    </row>
    <row r="1037">
      <c r="A1037" s="107"/>
      <c r="B1037" s="107"/>
      <c r="C1037" s="107"/>
      <c r="D1037" s="107"/>
      <c r="E1037" s="107"/>
      <c r="F1037" s="107"/>
      <c r="G1037" s="107"/>
      <c r="H1037" s="107"/>
      <c r="I1037" s="107"/>
      <c r="J1037" s="107"/>
      <c r="K1037" s="107"/>
      <c r="L1037" s="107"/>
      <c r="M1037" s="107"/>
      <c r="N1037" s="107"/>
      <c r="O1037" s="107"/>
      <c r="P1037" s="107"/>
      <c r="Q1037" s="107"/>
      <c r="R1037" s="107"/>
      <c r="S1037" s="107"/>
      <c r="T1037" s="107"/>
      <c r="U1037" s="107"/>
      <c r="V1037" s="107"/>
      <c r="W1037" s="107"/>
      <c r="X1037" s="107"/>
      <c r="Y1037" s="107"/>
      <c r="Z1037" s="107"/>
      <c r="AA1037" s="107"/>
      <c r="AB1037" s="107"/>
      <c r="AC1037" s="107"/>
      <c r="AD1037" s="107"/>
      <c r="AE1037" s="107"/>
      <c r="AF1037" s="107"/>
      <c r="AG1037" s="107"/>
      <c r="AH1037" s="107"/>
      <c r="AI1037" s="107"/>
    </row>
    <row r="1038">
      <c r="A1038" s="107"/>
      <c r="B1038" s="107"/>
      <c r="C1038" s="107"/>
      <c r="D1038" s="107"/>
      <c r="E1038" s="107"/>
      <c r="F1038" s="107"/>
      <c r="G1038" s="107"/>
      <c r="H1038" s="107"/>
      <c r="I1038" s="107"/>
      <c r="J1038" s="107"/>
      <c r="K1038" s="107"/>
      <c r="L1038" s="107"/>
      <c r="M1038" s="107"/>
      <c r="N1038" s="107"/>
      <c r="O1038" s="107"/>
      <c r="P1038" s="107"/>
      <c r="Q1038" s="107"/>
      <c r="R1038" s="107"/>
      <c r="S1038" s="107"/>
      <c r="T1038" s="107"/>
      <c r="U1038" s="107"/>
      <c r="V1038" s="107"/>
      <c r="W1038" s="107"/>
      <c r="X1038" s="107"/>
      <c r="Y1038" s="107"/>
      <c r="Z1038" s="107"/>
      <c r="AA1038" s="107"/>
      <c r="AB1038" s="107"/>
      <c r="AC1038" s="107"/>
      <c r="AD1038" s="107"/>
      <c r="AE1038" s="107"/>
      <c r="AF1038" s="107"/>
      <c r="AG1038" s="107"/>
      <c r="AH1038" s="107"/>
      <c r="AI1038" s="107"/>
    </row>
    <row r="1039">
      <c r="A1039" s="107"/>
      <c r="B1039" s="107"/>
      <c r="C1039" s="107"/>
      <c r="D1039" s="107"/>
      <c r="E1039" s="107"/>
      <c r="F1039" s="107"/>
      <c r="G1039" s="107"/>
      <c r="H1039" s="107"/>
      <c r="I1039" s="107"/>
      <c r="J1039" s="107"/>
      <c r="K1039" s="107"/>
      <c r="L1039" s="107"/>
      <c r="M1039" s="107"/>
      <c r="N1039" s="107"/>
      <c r="O1039" s="107"/>
      <c r="P1039" s="107"/>
      <c r="Q1039" s="107"/>
      <c r="R1039" s="107"/>
      <c r="S1039" s="107"/>
      <c r="T1039" s="107"/>
      <c r="U1039" s="107"/>
      <c r="V1039" s="107"/>
      <c r="W1039" s="107"/>
      <c r="X1039" s="107"/>
      <c r="Y1039" s="107"/>
      <c r="Z1039" s="107"/>
      <c r="AA1039" s="107"/>
      <c r="AB1039" s="107"/>
      <c r="AC1039" s="107"/>
      <c r="AD1039" s="107"/>
      <c r="AE1039" s="107"/>
      <c r="AF1039" s="107"/>
      <c r="AG1039" s="107"/>
      <c r="AH1039" s="107"/>
      <c r="AI1039" s="107"/>
    </row>
    <row r="1040">
      <c r="A1040" s="107"/>
      <c r="B1040" s="107"/>
      <c r="C1040" s="107"/>
      <c r="D1040" s="107"/>
      <c r="E1040" s="107"/>
      <c r="F1040" s="107"/>
      <c r="G1040" s="107"/>
      <c r="H1040" s="107"/>
      <c r="I1040" s="107"/>
      <c r="J1040" s="107"/>
      <c r="K1040" s="107"/>
      <c r="L1040" s="107"/>
      <c r="M1040" s="107"/>
      <c r="N1040" s="107"/>
      <c r="O1040" s="107"/>
      <c r="P1040" s="107"/>
      <c r="Q1040" s="107"/>
      <c r="R1040" s="107"/>
      <c r="S1040" s="107"/>
      <c r="T1040" s="107"/>
      <c r="U1040" s="107"/>
      <c r="V1040" s="107"/>
      <c r="W1040" s="107"/>
      <c r="X1040" s="107"/>
      <c r="Y1040" s="107"/>
      <c r="Z1040" s="107"/>
      <c r="AA1040" s="107"/>
      <c r="AB1040" s="107"/>
      <c r="AC1040" s="107"/>
      <c r="AD1040" s="107"/>
      <c r="AE1040" s="107"/>
      <c r="AF1040" s="107"/>
      <c r="AG1040" s="107"/>
      <c r="AH1040" s="107"/>
      <c r="AI1040" s="107"/>
    </row>
    <row r="1041">
      <c r="A1041" s="107"/>
      <c r="B1041" s="107"/>
      <c r="C1041" s="107"/>
      <c r="D1041" s="107"/>
      <c r="E1041" s="107"/>
      <c r="F1041" s="107"/>
      <c r="G1041" s="107"/>
      <c r="H1041" s="107"/>
      <c r="I1041" s="107"/>
      <c r="J1041" s="107"/>
      <c r="K1041" s="107"/>
      <c r="L1041" s="107"/>
      <c r="M1041" s="107"/>
      <c r="N1041" s="107"/>
      <c r="O1041" s="107"/>
      <c r="P1041" s="107"/>
      <c r="Q1041" s="107"/>
      <c r="R1041" s="107"/>
      <c r="S1041" s="107"/>
      <c r="T1041" s="107"/>
      <c r="U1041" s="107"/>
      <c r="V1041" s="107"/>
      <c r="W1041" s="107"/>
      <c r="X1041" s="107"/>
      <c r="Y1041" s="107"/>
      <c r="Z1041" s="107"/>
      <c r="AA1041" s="107"/>
      <c r="AB1041" s="107"/>
      <c r="AC1041" s="107"/>
      <c r="AD1041" s="107"/>
      <c r="AE1041" s="107"/>
      <c r="AF1041" s="107"/>
      <c r="AG1041" s="107"/>
      <c r="AH1041" s="107"/>
      <c r="AI1041" s="107"/>
    </row>
    <row r="1042">
      <c r="A1042" s="107"/>
      <c r="B1042" s="107"/>
      <c r="C1042" s="107"/>
      <c r="D1042" s="107"/>
      <c r="E1042" s="107"/>
      <c r="F1042" s="107"/>
      <c r="G1042" s="107"/>
      <c r="H1042" s="107"/>
      <c r="I1042" s="107"/>
      <c r="J1042" s="107"/>
      <c r="K1042" s="107"/>
      <c r="L1042" s="107"/>
      <c r="M1042" s="107"/>
      <c r="N1042" s="107"/>
      <c r="O1042" s="107"/>
      <c r="P1042" s="107"/>
      <c r="Q1042" s="107"/>
      <c r="R1042" s="107"/>
      <c r="S1042" s="107"/>
      <c r="T1042" s="107"/>
      <c r="U1042" s="107"/>
      <c r="V1042" s="107"/>
      <c r="W1042" s="107"/>
      <c r="X1042" s="107"/>
      <c r="Y1042" s="107"/>
      <c r="Z1042" s="107"/>
      <c r="AA1042" s="107"/>
      <c r="AB1042" s="107"/>
      <c r="AC1042" s="107"/>
      <c r="AD1042" s="107"/>
      <c r="AE1042" s="107"/>
      <c r="AF1042" s="107"/>
      <c r="AG1042" s="107"/>
      <c r="AH1042" s="107"/>
      <c r="AI1042" s="107"/>
    </row>
    <row r="1043">
      <c r="A1043" s="107"/>
      <c r="B1043" s="107"/>
      <c r="C1043" s="107"/>
      <c r="D1043" s="107"/>
      <c r="E1043" s="107"/>
      <c r="F1043" s="107"/>
      <c r="G1043" s="107"/>
      <c r="H1043" s="107"/>
      <c r="I1043" s="107"/>
      <c r="J1043" s="107"/>
      <c r="K1043" s="107"/>
      <c r="L1043" s="107"/>
      <c r="M1043" s="107"/>
      <c r="N1043" s="107"/>
      <c r="O1043" s="107"/>
      <c r="P1043" s="107"/>
      <c r="Q1043" s="107"/>
      <c r="R1043" s="107"/>
      <c r="S1043" s="107"/>
      <c r="T1043" s="107"/>
      <c r="U1043" s="107"/>
      <c r="V1043" s="107"/>
      <c r="W1043" s="107"/>
      <c r="X1043" s="107"/>
      <c r="Y1043" s="107"/>
      <c r="Z1043" s="107"/>
      <c r="AA1043" s="107"/>
      <c r="AB1043" s="107"/>
      <c r="AC1043" s="107"/>
      <c r="AD1043" s="107"/>
      <c r="AE1043" s="107"/>
      <c r="AF1043" s="107"/>
      <c r="AG1043" s="107"/>
      <c r="AH1043" s="107"/>
      <c r="AI1043" s="107"/>
    </row>
    <row r="1044">
      <c r="A1044" s="107"/>
      <c r="B1044" s="107"/>
      <c r="C1044" s="107"/>
      <c r="D1044" s="107"/>
      <c r="E1044" s="107"/>
      <c r="F1044" s="107"/>
      <c r="G1044" s="107"/>
      <c r="H1044" s="107"/>
      <c r="I1044" s="107"/>
      <c r="J1044" s="107"/>
      <c r="K1044" s="107"/>
      <c r="L1044" s="107"/>
      <c r="M1044" s="107"/>
      <c r="N1044" s="107"/>
      <c r="O1044" s="107"/>
      <c r="P1044" s="107"/>
      <c r="Q1044" s="107"/>
      <c r="R1044" s="107"/>
      <c r="S1044" s="107"/>
      <c r="T1044" s="107"/>
      <c r="U1044" s="107"/>
      <c r="V1044" s="107"/>
      <c r="W1044" s="107"/>
      <c r="X1044" s="107"/>
      <c r="Y1044" s="107"/>
      <c r="Z1044" s="107"/>
      <c r="AA1044" s="107"/>
      <c r="AB1044" s="107"/>
      <c r="AC1044" s="107"/>
      <c r="AD1044" s="107"/>
      <c r="AE1044" s="107"/>
      <c r="AF1044" s="107"/>
      <c r="AG1044" s="107"/>
      <c r="AH1044" s="107"/>
      <c r="AI1044" s="107"/>
    </row>
    <row r="1045">
      <c r="A1045" s="107"/>
      <c r="B1045" s="107"/>
      <c r="C1045" s="107"/>
      <c r="D1045" s="107"/>
      <c r="E1045" s="107"/>
      <c r="F1045" s="107"/>
      <c r="G1045" s="107"/>
      <c r="H1045" s="107"/>
      <c r="I1045" s="107"/>
      <c r="J1045" s="107"/>
      <c r="K1045" s="107"/>
      <c r="L1045" s="107"/>
      <c r="M1045" s="107"/>
      <c r="N1045" s="107"/>
      <c r="O1045" s="107"/>
      <c r="P1045" s="107"/>
      <c r="Q1045" s="107"/>
      <c r="R1045" s="107"/>
      <c r="S1045" s="107"/>
      <c r="T1045" s="107"/>
      <c r="U1045" s="107"/>
      <c r="V1045" s="107"/>
      <c r="W1045" s="107"/>
      <c r="X1045" s="107"/>
      <c r="Y1045" s="107"/>
      <c r="Z1045" s="107"/>
      <c r="AA1045" s="107"/>
      <c r="AB1045" s="107"/>
      <c r="AC1045" s="107"/>
      <c r="AD1045" s="107"/>
      <c r="AE1045" s="107"/>
      <c r="AF1045" s="107"/>
      <c r="AG1045" s="107"/>
      <c r="AH1045" s="107"/>
      <c r="AI1045" s="107"/>
    </row>
    <row r="1046">
      <c r="A1046" s="107"/>
      <c r="B1046" s="107"/>
      <c r="C1046" s="107"/>
      <c r="D1046" s="107"/>
      <c r="E1046" s="107"/>
      <c r="F1046" s="107"/>
      <c r="G1046" s="107"/>
      <c r="H1046" s="107"/>
      <c r="I1046" s="107"/>
      <c r="J1046" s="107"/>
      <c r="K1046" s="107"/>
      <c r="L1046" s="107"/>
      <c r="M1046" s="107"/>
      <c r="N1046" s="107"/>
      <c r="O1046" s="107"/>
      <c r="P1046" s="107"/>
      <c r="Q1046" s="107"/>
      <c r="R1046" s="107"/>
      <c r="S1046" s="107"/>
      <c r="T1046" s="107"/>
      <c r="U1046" s="107"/>
      <c r="V1046" s="107"/>
      <c r="W1046" s="107"/>
      <c r="X1046" s="107"/>
      <c r="Y1046" s="107"/>
      <c r="Z1046" s="107"/>
      <c r="AA1046" s="107"/>
      <c r="AB1046" s="107"/>
      <c r="AC1046" s="107"/>
      <c r="AD1046" s="107"/>
      <c r="AE1046" s="107"/>
      <c r="AF1046" s="107"/>
      <c r="AG1046" s="107"/>
      <c r="AH1046" s="107"/>
      <c r="AI1046" s="107"/>
    </row>
    <row r="1047">
      <c r="A1047" s="107"/>
      <c r="B1047" s="107"/>
      <c r="C1047" s="107"/>
      <c r="D1047" s="107"/>
      <c r="E1047" s="107"/>
      <c r="F1047" s="107"/>
      <c r="G1047" s="107"/>
      <c r="H1047" s="107"/>
      <c r="I1047" s="107"/>
      <c r="J1047" s="107"/>
      <c r="K1047" s="107"/>
      <c r="L1047" s="107"/>
      <c r="M1047" s="107"/>
      <c r="N1047" s="107"/>
      <c r="O1047" s="107"/>
      <c r="P1047" s="107"/>
      <c r="Q1047" s="107"/>
      <c r="R1047" s="107"/>
      <c r="S1047" s="107"/>
      <c r="T1047" s="107"/>
      <c r="U1047" s="107"/>
      <c r="V1047" s="107"/>
      <c r="W1047" s="107"/>
      <c r="X1047" s="107"/>
      <c r="Y1047" s="107"/>
      <c r="Z1047" s="107"/>
      <c r="AA1047" s="107"/>
      <c r="AB1047" s="107"/>
      <c r="AC1047" s="107"/>
      <c r="AD1047" s="107"/>
      <c r="AE1047" s="107"/>
      <c r="AF1047" s="107"/>
      <c r="AG1047" s="107"/>
      <c r="AH1047" s="107"/>
      <c r="AI1047" s="107"/>
    </row>
    <row r="1048">
      <c r="A1048" s="107"/>
      <c r="B1048" s="107"/>
      <c r="C1048" s="107"/>
      <c r="D1048" s="107"/>
      <c r="E1048" s="107"/>
      <c r="F1048" s="107"/>
      <c r="G1048" s="107"/>
      <c r="H1048" s="107"/>
      <c r="I1048" s="107"/>
      <c r="J1048" s="107"/>
      <c r="K1048" s="107"/>
      <c r="L1048" s="107"/>
      <c r="M1048" s="107"/>
      <c r="N1048" s="107"/>
      <c r="O1048" s="107"/>
      <c r="P1048" s="107"/>
      <c r="Q1048" s="107"/>
      <c r="R1048" s="107"/>
      <c r="S1048" s="107"/>
      <c r="T1048" s="107"/>
      <c r="U1048" s="107"/>
      <c r="V1048" s="107"/>
      <c r="W1048" s="107"/>
      <c r="X1048" s="107"/>
      <c r="Y1048" s="107"/>
      <c r="Z1048" s="107"/>
      <c r="AA1048" s="107"/>
      <c r="AB1048" s="107"/>
      <c r="AC1048" s="107"/>
      <c r="AD1048" s="107"/>
      <c r="AE1048" s="107"/>
      <c r="AF1048" s="107"/>
      <c r="AG1048" s="107"/>
      <c r="AH1048" s="107"/>
      <c r="AI1048" s="107"/>
    </row>
    <row r="1049">
      <c r="A1049" s="107"/>
      <c r="B1049" s="107"/>
      <c r="C1049" s="107"/>
      <c r="D1049" s="107"/>
      <c r="E1049" s="107"/>
      <c r="F1049" s="107"/>
      <c r="G1049" s="107"/>
      <c r="H1049" s="107"/>
      <c r="I1049" s="107"/>
      <c r="J1049" s="107"/>
      <c r="K1049" s="107"/>
      <c r="L1049" s="107"/>
      <c r="M1049" s="107"/>
      <c r="N1049" s="107"/>
      <c r="O1049" s="107"/>
      <c r="P1049" s="107"/>
      <c r="Q1049" s="107"/>
      <c r="R1049" s="107"/>
      <c r="S1049" s="107"/>
      <c r="T1049" s="107"/>
      <c r="U1049" s="107"/>
      <c r="V1049" s="107"/>
      <c r="W1049" s="107"/>
      <c r="X1049" s="107"/>
      <c r="Y1049" s="107"/>
      <c r="Z1049" s="107"/>
      <c r="AA1049" s="107"/>
      <c r="AB1049" s="107"/>
      <c r="AC1049" s="107"/>
      <c r="AD1049" s="107"/>
      <c r="AE1049" s="107"/>
      <c r="AF1049" s="107"/>
      <c r="AG1049" s="107"/>
      <c r="AH1049" s="107"/>
      <c r="AI1049" s="107"/>
    </row>
    <row r="1050">
      <c r="A1050" s="107"/>
      <c r="B1050" s="107"/>
      <c r="C1050" s="107"/>
      <c r="D1050" s="107"/>
      <c r="E1050" s="107"/>
      <c r="F1050" s="107"/>
      <c r="G1050" s="107"/>
      <c r="H1050" s="107"/>
      <c r="I1050" s="107"/>
      <c r="J1050" s="107"/>
      <c r="K1050" s="107"/>
      <c r="L1050" s="107"/>
      <c r="M1050" s="107"/>
      <c r="N1050" s="107"/>
      <c r="O1050" s="107"/>
      <c r="P1050" s="107"/>
      <c r="Q1050" s="107"/>
      <c r="R1050" s="107"/>
      <c r="S1050" s="107"/>
      <c r="T1050" s="107"/>
      <c r="U1050" s="107"/>
      <c r="V1050" s="107"/>
      <c r="W1050" s="107"/>
      <c r="X1050" s="107"/>
      <c r="Y1050" s="107"/>
      <c r="Z1050" s="107"/>
      <c r="AA1050" s="107"/>
      <c r="AB1050" s="107"/>
      <c r="AC1050" s="107"/>
      <c r="AD1050" s="107"/>
      <c r="AE1050" s="107"/>
      <c r="AF1050" s="107"/>
      <c r="AG1050" s="107"/>
      <c r="AH1050" s="107"/>
      <c r="AI1050" s="107"/>
    </row>
    <row r="1051">
      <c r="A1051" s="107"/>
      <c r="B1051" s="107"/>
      <c r="C1051" s="107"/>
      <c r="D1051" s="107"/>
      <c r="E1051" s="107"/>
      <c r="F1051" s="107"/>
      <c r="G1051" s="107"/>
      <c r="H1051" s="107"/>
      <c r="I1051" s="107"/>
      <c r="J1051" s="107"/>
      <c r="K1051" s="107"/>
      <c r="L1051" s="107"/>
      <c r="M1051" s="107"/>
      <c r="N1051" s="107"/>
      <c r="O1051" s="107"/>
      <c r="P1051" s="107"/>
      <c r="Q1051" s="107"/>
      <c r="R1051" s="107"/>
      <c r="S1051" s="107"/>
      <c r="T1051" s="107"/>
      <c r="U1051" s="107"/>
      <c r="V1051" s="107"/>
      <c r="W1051" s="107"/>
      <c r="X1051" s="107"/>
      <c r="Y1051" s="107"/>
      <c r="Z1051" s="107"/>
      <c r="AA1051" s="107"/>
      <c r="AB1051" s="107"/>
      <c r="AC1051" s="107"/>
      <c r="AD1051" s="107"/>
      <c r="AE1051" s="107"/>
      <c r="AF1051" s="107"/>
      <c r="AG1051" s="107"/>
      <c r="AH1051" s="107"/>
      <c r="AI1051" s="107"/>
    </row>
    <row r="1052">
      <c r="A1052" s="107"/>
      <c r="B1052" s="107"/>
      <c r="C1052" s="107"/>
      <c r="D1052" s="107"/>
      <c r="E1052" s="107"/>
      <c r="F1052" s="107"/>
      <c r="G1052" s="107"/>
      <c r="H1052" s="107"/>
      <c r="I1052" s="107"/>
      <c r="J1052" s="107"/>
      <c r="K1052" s="107"/>
      <c r="L1052" s="107"/>
      <c r="M1052" s="107"/>
      <c r="N1052" s="107"/>
      <c r="O1052" s="107"/>
      <c r="P1052" s="107"/>
      <c r="Q1052" s="107"/>
      <c r="R1052" s="107"/>
      <c r="S1052" s="107"/>
      <c r="T1052" s="107"/>
      <c r="U1052" s="107"/>
      <c r="V1052" s="107"/>
      <c r="W1052" s="107"/>
      <c r="X1052" s="107"/>
      <c r="Y1052" s="107"/>
      <c r="Z1052" s="107"/>
      <c r="AA1052" s="107"/>
      <c r="AB1052" s="107"/>
      <c r="AC1052" s="107"/>
      <c r="AD1052" s="107"/>
      <c r="AE1052" s="107"/>
      <c r="AF1052" s="107"/>
      <c r="AG1052" s="107"/>
      <c r="AH1052" s="107"/>
      <c r="AI1052" s="107"/>
    </row>
    <row r="1053">
      <c r="A1053" s="107"/>
      <c r="B1053" s="107"/>
      <c r="C1053" s="107"/>
      <c r="D1053" s="107"/>
      <c r="E1053" s="107"/>
      <c r="F1053" s="107"/>
      <c r="G1053" s="107"/>
      <c r="H1053" s="107"/>
      <c r="I1053" s="107"/>
      <c r="J1053" s="107"/>
      <c r="K1053" s="107"/>
      <c r="L1053" s="107"/>
      <c r="M1053" s="107"/>
      <c r="N1053" s="107"/>
      <c r="O1053" s="107"/>
      <c r="P1053" s="107"/>
      <c r="Q1053" s="107"/>
      <c r="R1053" s="107"/>
      <c r="S1053" s="107"/>
      <c r="T1053" s="107"/>
      <c r="U1053" s="107"/>
      <c r="V1053" s="107"/>
      <c r="W1053" s="107"/>
      <c r="X1053" s="107"/>
      <c r="Y1053" s="107"/>
      <c r="Z1053" s="107"/>
      <c r="AA1053" s="107"/>
      <c r="AB1053" s="107"/>
      <c r="AC1053" s="107"/>
      <c r="AD1053" s="107"/>
      <c r="AE1053" s="107"/>
      <c r="AF1053" s="107"/>
      <c r="AG1053" s="107"/>
      <c r="AH1053" s="107"/>
      <c r="AI1053" s="107"/>
    </row>
    <row r="1054">
      <c r="A1054" s="107"/>
      <c r="B1054" s="107"/>
      <c r="C1054" s="107"/>
      <c r="D1054" s="107"/>
      <c r="E1054" s="107"/>
      <c r="F1054" s="107"/>
      <c r="G1054" s="107"/>
      <c r="H1054" s="107"/>
      <c r="I1054" s="107"/>
      <c r="J1054" s="107"/>
      <c r="K1054" s="107"/>
      <c r="L1054" s="107"/>
      <c r="M1054" s="107"/>
      <c r="N1054" s="107"/>
      <c r="O1054" s="107"/>
      <c r="P1054" s="107"/>
      <c r="Q1054" s="107"/>
      <c r="R1054" s="107"/>
      <c r="S1054" s="107"/>
      <c r="T1054" s="107"/>
      <c r="U1054" s="107"/>
      <c r="V1054" s="107"/>
      <c r="W1054" s="107"/>
      <c r="X1054" s="107"/>
      <c r="Y1054" s="107"/>
      <c r="Z1054" s="107"/>
      <c r="AA1054" s="107"/>
      <c r="AB1054" s="107"/>
      <c r="AC1054" s="107"/>
      <c r="AD1054" s="107"/>
      <c r="AE1054" s="107"/>
      <c r="AF1054" s="107"/>
      <c r="AG1054" s="107"/>
      <c r="AH1054" s="107"/>
      <c r="AI1054" s="107"/>
    </row>
    <row r="1055">
      <c r="A1055" s="107"/>
      <c r="B1055" s="107"/>
      <c r="C1055" s="107"/>
      <c r="D1055" s="107"/>
      <c r="E1055" s="107"/>
      <c r="F1055" s="107"/>
      <c r="G1055" s="107"/>
      <c r="H1055" s="107"/>
      <c r="I1055" s="107"/>
      <c r="J1055" s="107"/>
      <c r="K1055" s="107"/>
      <c r="L1055" s="107"/>
      <c r="M1055" s="107"/>
      <c r="N1055" s="107"/>
      <c r="O1055" s="107"/>
      <c r="P1055" s="107"/>
      <c r="Q1055" s="107"/>
      <c r="R1055" s="107"/>
      <c r="S1055" s="107"/>
      <c r="T1055" s="107"/>
      <c r="U1055" s="107"/>
      <c r="V1055" s="107"/>
      <c r="W1055" s="107"/>
      <c r="X1055" s="107"/>
      <c r="Y1055" s="107"/>
      <c r="Z1055" s="107"/>
      <c r="AA1055" s="107"/>
      <c r="AB1055" s="107"/>
      <c r="AC1055" s="107"/>
      <c r="AD1055" s="107"/>
      <c r="AE1055" s="107"/>
      <c r="AF1055" s="107"/>
      <c r="AG1055" s="107"/>
      <c r="AH1055" s="107"/>
      <c r="AI1055" s="107"/>
    </row>
    <row r="1056">
      <c r="A1056" s="107"/>
      <c r="B1056" s="107"/>
      <c r="C1056" s="107"/>
      <c r="D1056" s="107"/>
      <c r="E1056" s="107"/>
      <c r="F1056" s="107"/>
      <c r="G1056" s="107"/>
      <c r="H1056" s="107"/>
      <c r="I1056" s="107"/>
      <c r="J1056" s="107"/>
      <c r="K1056" s="107"/>
      <c r="L1056" s="107"/>
      <c r="M1056" s="107"/>
      <c r="N1056" s="107"/>
      <c r="O1056" s="107"/>
      <c r="P1056" s="107"/>
      <c r="Q1056" s="107"/>
      <c r="R1056" s="107"/>
      <c r="S1056" s="107"/>
      <c r="T1056" s="107"/>
      <c r="U1056" s="107"/>
      <c r="V1056" s="107"/>
      <c r="W1056" s="107"/>
      <c r="X1056" s="107"/>
      <c r="Y1056" s="107"/>
      <c r="Z1056" s="107"/>
      <c r="AA1056" s="107"/>
      <c r="AB1056" s="107"/>
      <c r="AC1056" s="107"/>
      <c r="AD1056" s="107"/>
      <c r="AE1056" s="107"/>
      <c r="AF1056" s="107"/>
      <c r="AG1056" s="107"/>
      <c r="AH1056" s="107"/>
      <c r="AI1056" s="107"/>
    </row>
    <row r="1057">
      <c r="A1057" s="107"/>
      <c r="B1057" s="107"/>
      <c r="C1057" s="107"/>
      <c r="D1057" s="107"/>
      <c r="E1057" s="107"/>
      <c r="F1057" s="107"/>
      <c r="G1057" s="107"/>
      <c r="H1057" s="107"/>
      <c r="I1057" s="107"/>
      <c r="J1057" s="107"/>
      <c r="K1057" s="107"/>
      <c r="L1057" s="107"/>
      <c r="M1057" s="107"/>
      <c r="N1057" s="107"/>
      <c r="O1057" s="107"/>
      <c r="P1057" s="107"/>
      <c r="Q1057" s="107"/>
      <c r="R1057" s="107"/>
      <c r="S1057" s="107"/>
      <c r="T1057" s="107"/>
      <c r="U1057" s="107"/>
      <c r="V1057" s="107"/>
      <c r="W1057" s="107"/>
      <c r="X1057" s="107"/>
      <c r="Y1057" s="107"/>
      <c r="Z1057" s="107"/>
      <c r="AA1057" s="107"/>
      <c r="AB1057" s="107"/>
      <c r="AC1057" s="107"/>
      <c r="AD1057" s="107"/>
      <c r="AE1057" s="107"/>
      <c r="AF1057" s="107"/>
      <c r="AG1057" s="107"/>
      <c r="AH1057" s="107"/>
      <c r="AI1057" s="107"/>
    </row>
    <row r="1058">
      <c r="A1058" s="107"/>
      <c r="B1058" s="107"/>
      <c r="C1058" s="107"/>
      <c r="D1058" s="107"/>
      <c r="E1058" s="107"/>
      <c r="F1058" s="107"/>
      <c r="G1058" s="107"/>
      <c r="H1058" s="107"/>
      <c r="I1058" s="107"/>
      <c r="J1058" s="107"/>
      <c r="K1058" s="107"/>
      <c r="L1058" s="107"/>
      <c r="M1058" s="107"/>
      <c r="N1058" s="107"/>
      <c r="O1058" s="107"/>
      <c r="P1058" s="107"/>
      <c r="Q1058" s="107"/>
      <c r="R1058" s="107"/>
      <c r="S1058" s="107"/>
      <c r="T1058" s="107"/>
      <c r="U1058" s="107"/>
      <c r="V1058" s="107"/>
      <c r="W1058" s="107"/>
      <c r="X1058" s="107"/>
      <c r="Y1058" s="107"/>
      <c r="Z1058" s="107"/>
      <c r="AA1058" s="107"/>
      <c r="AB1058" s="107"/>
      <c r="AC1058" s="107"/>
      <c r="AD1058" s="107"/>
      <c r="AE1058" s="107"/>
      <c r="AF1058" s="107"/>
      <c r="AG1058" s="107"/>
      <c r="AH1058" s="107"/>
      <c r="AI1058" s="107"/>
    </row>
    <row r="1059">
      <c r="A1059" s="107"/>
      <c r="B1059" s="107"/>
      <c r="C1059" s="107"/>
      <c r="D1059" s="107"/>
      <c r="E1059" s="107"/>
      <c r="F1059" s="107"/>
      <c r="G1059" s="107"/>
      <c r="H1059" s="107"/>
      <c r="I1059" s="107"/>
      <c r="J1059" s="107"/>
      <c r="K1059" s="107"/>
      <c r="L1059" s="107"/>
      <c r="M1059" s="107"/>
      <c r="N1059" s="107"/>
      <c r="O1059" s="107"/>
      <c r="P1059" s="107"/>
      <c r="Q1059" s="107"/>
      <c r="R1059" s="107"/>
      <c r="S1059" s="107"/>
      <c r="T1059" s="107"/>
      <c r="U1059" s="107"/>
      <c r="V1059" s="107"/>
      <c r="W1059" s="107"/>
      <c r="X1059" s="107"/>
      <c r="Y1059" s="107"/>
      <c r="Z1059" s="107"/>
      <c r="AA1059" s="107"/>
      <c r="AB1059" s="107"/>
      <c r="AC1059" s="107"/>
      <c r="AD1059" s="107"/>
      <c r="AE1059" s="107"/>
      <c r="AF1059" s="107"/>
      <c r="AG1059" s="107"/>
      <c r="AH1059" s="107"/>
      <c r="AI1059" s="107"/>
    </row>
    <row r="1060">
      <c r="A1060" s="107"/>
      <c r="B1060" s="107"/>
      <c r="C1060" s="107"/>
      <c r="D1060" s="107"/>
      <c r="E1060" s="107"/>
      <c r="F1060" s="107"/>
      <c r="G1060" s="107"/>
      <c r="H1060" s="107"/>
      <c r="I1060" s="107"/>
      <c r="J1060" s="107"/>
      <c r="K1060" s="107"/>
      <c r="L1060" s="107"/>
      <c r="M1060" s="107"/>
      <c r="N1060" s="107"/>
      <c r="O1060" s="107"/>
      <c r="P1060" s="107"/>
      <c r="Q1060" s="107"/>
      <c r="R1060" s="107"/>
      <c r="S1060" s="107"/>
      <c r="T1060" s="107"/>
      <c r="U1060" s="107"/>
      <c r="V1060" s="107"/>
      <c r="W1060" s="107"/>
      <c r="X1060" s="107"/>
      <c r="Y1060" s="107"/>
      <c r="Z1060" s="107"/>
      <c r="AA1060" s="107"/>
      <c r="AB1060" s="107"/>
      <c r="AC1060" s="107"/>
      <c r="AD1060" s="107"/>
      <c r="AE1060" s="107"/>
      <c r="AF1060" s="107"/>
      <c r="AG1060" s="107"/>
      <c r="AH1060" s="107"/>
      <c r="AI1060" s="107"/>
    </row>
    <row r="1061">
      <c r="A1061" s="107"/>
      <c r="B1061" s="107"/>
      <c r="C1061" s="107"/>
      <c r="D1061" s="107"/>
      <c r="E1061" s="107"/>
      <c r="F1061" s="107"/>
      <c r="G1061" s="107"/>
      <c r="H1061" s="107"/>
      <c r="I1061" s="107"/>
      <c r="J1061" s="107"/>
      <c r="K1061" s="107"/>
      <c r="L1061" s="107"/>
      <c r="M1061" s="107"/>
      <c r="N1061" s="107"/>
      <c r="O1061" s="107"/>
      <c r="P1061" s="107"/>
      <c r="Q1061" s="107"/>
      <c r="R1061" s="107"/>
      <c r="S1061" s="107"/>
      <c r="T1061" s="107"/>
      <c r="U1061" s="107"/>
      <c r="V1061" s="107"/>
      <c r="W1061" s="107"/>
      <c r="X1061" s="107"/>
      <c r="Y1061" s="107"/>
      <c r="Z1061" s="107"/>
      <c r="AA1061" s="107"/>
      <c r="AB1061" s="107"/>
      <c r="AC1061" s="107"/>
      <c r="AD1061" s="107"/>
      <c r="AE1061" s="107"/>
      <c r="AF1061" s="107"/>
      <c r="AG1061" s="107"/>
      <c r="AH1061" s="107"/>
      <c r="AI1061" s="107"/>
    </row>
    <row r="1062">
      <c r="A1062" s="107"/>
      <c r="B1062" s="107"/>
      <c r="C1062" s="107"/>
      <c r="D1062" s="107"/>
      <c r="E1062" s="107"/>
      <c r="F1062" s="107"/>
      <c r="G1062" s="107"/>
      <c r="H1062" s="107"/>
      <c r="I1062" s="107"/>
      <c r="J1062" s="107"/>
      <c r="K1062" s="107"/>
      <c r="L1062" s="107"/>
      <c r="M1062" s="107"/>
      <c r="N1062" s="107"/>
      <c r="O1062" s="107"/>
      <c r="P1062" s="107"/>
      <c r="Q1062" s="107"/>
      <c r="R1062" s="107"/>
      <c r="S1062" s="107"/>
      <c r="T1062" s="107"/>
      <c r="U1062" s="107"/>
      <c r="V1062" s="107"/>
      <c r="W1062" s="107"/>
      <c r="X1062" s="107"/>
      <c r="Y1062" s="107"/>
      <c r="Z1062" s="107"/>
      <c r="AA1062" s="107"/>
      <c r="AB1062" s="107"/>
      <c r="AC1062" s="107"/>
      <c r="AD1062" s="107"/>
      <c r="AE1062" s="107"/>
      <c r="AF1062" s="107"/>
      <c r="AG1062" s="107"/>
      <c r="AH1062" s="107"/>
      <c r="AI1062" s="107"/>
    </row>
    <row r="1063">
      <c r="A1063" s="107"/>
      <c r="B1063" s="107"/>
      <c r="C1063" s="107"/>
      <c r="D1063" s="107"/>
      <c r="E1063" s="107"/>
      <c r="F1063" s="107"/>
      <c r="G1063" s="107"/>
      <c r="H1063" s="107"/>
      <c r="I1063" s="107"/>
      <c r="J1063" s="107"/>
      <c r="K1063" s="107"/>
      <c r="L1063" s="107"/>
      <c r="M1063" s="107"/>
      <c r="N1063" s="107"/>
      <c r="O1063" s="107"/>
      <c r="P1063" s="107"/>
      <c r="Q1063" s="107"/>
      <c r="R1063" s="107"/>
      <c r="S1063" s="107"/>
      <c r="T1063" s="107"/>
      <c r="U1063" s="107"/>
      <c r="V1063" s="107"/>
      <c r="W1063" s="107"/>
      <c r="X1063" s="107"/>
      <c r="Y1063" s="107"/>
      <c r="Z1063" s="107"/>
      <c r="AA1063" s="107"/>
      <c r="AB1063" s="107"/>
      <c r="AC1063" s="107"/>
      <c r="AD1063" s="107"/>
      <c r="AE1063" s="107"/>
      <c r="AF1063" s="107"/>
      <c r="AG1063" s="107"/>
      <c r="AH1063" s="107"/>
      <c r="AI1063" s="107"/>
    </row>
    <row r="1064">
      <c r="A1064" s="107"/>
      <c r="B1064" s="107"/>
      <c r="C1064" s="107"/>
      <c r="D1064" s="107"/>
      <c r="E1064" s="107"/>
      <c r="F1064" s="107"/>
      <c r="G1064" s="107"/>
      <c r="H1064" s="107"/>
      <c r="I1064" s="107"/>
      <c r="J1064" s="107"/>
      <c r="K1064" s="107"/>
      <c r="L1064" s="107"/>
      <c r="M1064" s="107"/>
      <c r="N1064" s="107"/>
      <c r="O1064" s="107"/>
      <c r="P1064" s="107"/>
      <c r="Q1064" s="107"/>
      <c r="R1064" s="107"/>
      <c r="S1064" s="107"/>
      <c r="T1064" s="107"/>
      <c r="U1064" s="107"/>
      <c r="V1064" s="107"/>
      <c r="W1064" s="107"/>
      <c r="X1064" s="107"/>
      <c r="Y1064" s="107"/>
      <c r="Z1064" s="107"/>
      <c r="AA1064" s="107"/>
      <c r="AB1064" s="107"/>
      <c r="AC1064" s="107"/>
      <c r="AD1064" s="107"/>
      <c r="AE1064" s="107"/>
      <c r="AF1064" s="107"/>
      <c r="AG1064" s="107"/>
      <c r="AH1064" s="107"/>
      <c r="AI1064" s="107"/>
    </row>
    <row r="1065">
      <c r="A1065" s="107"/>
      <c r="B1065" s="107"/>
      <c r="C1065" s="107"/>
      <c r="D1065" s="107"/>
      <c r="E1065" s="107"/>
      <c r="F1065" s="107"/>
      <c r="G1065" s="107"/>
      <c r="H1065" s="107"/>
      <c r="I1065" s="107"/>
      <c r="J1065" s="107"/>
      <c r="K1065" s="107"/>
      <c r="L1065" s="107"/>
      <c r="M1065" s="107"/>
      <c r="N1065" s="107"/>
      <c r="O1065" s="107"/>
      <c r="P1065" s="107"/>
      <c r="Q1065" s="107"/>
      <c r="R1065" s="107"/>
      <c r="S1065" s="107"/>
      <c r="T1065" s="107"/>
      <c r="U1065" s="107"/>
      <c r="V1065" s="107"/>
      <c r="W1065" s="107"/>
      <c r="X1065" s="107"/>
      <c r="Y1065" s="107"/>
      <c r="Z1065" s="107"/>
      <c r="AA1065" s="107"/>
      <c r="AB1065" s="107"/>
      <c r="AC1065" s="107"/>
      <c r="AD1065" s="107"/>
      <c r="AE1065" s="107"/>
      <c r="AF1065" s="107"/>
      <c r="AG1065" s="107"/>
      <c r="AH1065" s="107"/>
      <c r="AI1065" s="107"/>
    </row>
    <row r="1066">
      <c r="A1066" s="107"/>
      <c r="B1066" s="107"/>
      <c r="C1066" s="107"/>
      <c r="D1066" s="107"/>
      <c r="E1066" s="107"/>
      <c r="F1066" s="107"/>
      <c r="G1066" s="107"/>
      <c r="H1066" s="107"/>
      <c r="I1066" s="107"/>
      <c r="J1066" s="107"/>
      <c r="K1066" s="107"/>
      <c r="L1066" s="107"/>
      <c r="M1066" s="107"/>
      <c r="N1066" s="107"/>
      <c r="O1066" s="107"/>
      <c r="P1066" s="107"/>
      <c r="Q1066" s="107"/>
      <c r="R1066" s="107"/>
      <c r="S1066" s="107"/>
      <c r="T1066" s="107"/>
      <c r="U1066" s="107"/>
      <c r="V1066" s="107"/>
      <c r="W1066" s="107"/>
      <c r="X1066" s="107"/>
      <c r="Y1066" s="107"/>
      <c r="Z1066" s="107"/>
      <c r="AA1066" s="107"/>
      <c r="AB1066" s="107"/>
      <c r="AC1066" s="107"/>
      <c r="AD1066" s="107"/>
      <c r="AE1066" s="107"/>
      <c r="AF1066" s="107"/>
      <c r="AG1066" s="107"/>
      <c r="AH1066" s="107"/>
      <c r="AI1066" s="107"/>
    </row>
    <row r="1067">
      <c r="A1067" s="107"/>
      <c r="B1067" s="107"/>
      <c r="C1067" s="107"/>
      <c r="D1067" s="107"/>
      <c r="E1067" s="107"/>
      <c r="F1067" s="107"/>
      <c r="G1067" s="107"/>
      <c r="H1067" s="107"/>
      <c r="I1067" s="107"/>
      <c r="J1067" s="107"/>
      <c r="K1067" s="107"/>
      <c r="L1067" s="107"/>
      <c r="M1067" s="107"/>
      <c r="N1067" s="107"/>
      <c r="O1067" s="107"/>
      <c r="P1067" s="107"/>
      <c r="Q1067" s="107"/>
      <c r="R1067" s="107"/>
      <c r="S1067" s="107"/>
      <c r="T1067" s="107"/>
      <c r="U1067" s="107"/>
      <c r="V1067" s="107"/>
      <c r="W1067" s="107"/>
      <c r="X1067" s="107"/>
      <c r="Y1067" s="107"/>
      <c r="Z1067" s="107"/>
      <c r="AA1067" s="107"/>
      <c r="AB1067" s="107"/>
      <c r="AC1067" s="107"/>
      <c r="AD1067" s="107"/>
      <c r="AE1067" s="107"/>
      <c r="AF1067" s="107"/>
      <c r="AG1067" s="107"/>
      <c r="AH1067" s="107"/>
      <c r="AI1067" s="107"/>
    </row>
    <row r="1068">
      <c r="A1068" s="107"/>
      <c r="B1068" s="107"/>
      <c r="C1068" s="107"/>
      <c r="D1068" s="107"/>
      <c r="E1068" s="107"/>
      <c r="F1068" s="107"/>
      <c r="G1068" s="107"/>
      <c r="H1068" s="107"/>
      <c r="I1068" s="107"/>
      <c r="J1068" s="107"/>
      <c r="K1068" s="107"/>
      <c r="L1068" s="107"/>
      <c r="M1068" s="107"/>
      <c r="N1068" s="107"/>
      <c r="O1068" s="107"/>
      <c r="P1068" s="107"/>
      <c r="Q1068" s="107"/>
      <c r="R1068" s="107"/>
      <c r="S1068" s="107"/>
      <c r="T1068" s="107"/>
      <c r="U1068" s="107"/>
      <c r="V1068" s="107"/>
      <c r="W1068" s="107"/>
      <c r="X1068" s="107"/>
      <c r="Y1068" s="107"/>
      <c r="Z1068" s="107"/>
      <c r="AA1068" s="107"/>
      <c r="AB1068" s="107"/>
      <c r="AC1068" s="107"/>
      <c r="AD1068" s="107"/>
      <c r="AE1068" s="107"/>
      <c r="AF1068" s="107"/>
      <c r="AG1068" s="107"/>
      <c r="AH1068" s="107"/>
      <c r="AI1068" s="107"/>
    </row>
    <row r="1069">
      <c r="A1069" s="107"/>
      <c r="B1069" s="107"/>
      <c r="C1069" s="107"/>
      <c r="D1069" s="107"/>
      <c r="E1069" s="107"/>
      <c r="F1069" s="107"/>
      <c r="G1069" s="107"/>
      <c r="H1069" s="107"/>
      <c r="I1069" s="107"/>
      <c r="J1069" s="107"/>
      <c r="K1069" s="107"/>
      <c r="L1069" s="107"/>
      <c r="M1069" s="107"/>
      <c r="N1069" s="107"/>
      <c r="O1069" s="107"/>
      <c r="P1069" s="107"/>
      <c r="Q1069" s="107"/>
      <c r="R1069" s="107"/>
      <c r="S1069" s="107"/>
      <c r="T1069" s="107"/>
      <c r="U1069" s="107"/>
      <c r="V1069" s="107"/>
      <c r="W1069" s="107"/>
      <c r="X1069" s="107"/>
      <c r="Y1069" s="107"/>
      <c r="Z1069" s="107"/>
      <c r="AA1069" s="107"/>
      <c r="AB1069" s="107"/>
      <c r="AC1069" s="107"/>
      <c r="AD1069" s="107"/>
      <c r="AE1069" s="107"/>
      <c r="AF1069" s="107"/>
      <c r="AG1069" s="107"/>
      <c r="AH1069" s="107"/>
      <c r="AI1069" s="107"/>
    </row>
    <row r="1070">
      <c r="A1070" s="107"/>
      <c r="B1070" s="107"/>
      <c r="C1070" s="107"/>
      <c r="D1070" s="107"/>
      <c r="E1070" s="107"/>
      <c r="F1070" s="107"/>
      <c r="G1070" s="107"/>
      <c r="H1070" s="107"/>
      <c r="I1070" s="107"/>
      <c r="J1070" s="107"/>
      <c r="K1070" s="107"/>
      <c r="L1070" s="107"/>
      <c r="M1070" s="107"/>
      <c r="N1070" s="107"/>
      <c r="O1070" s="107"/>
      <c r="P1070" s="107"/>
      <c r="Q1070" s="107"/>
      <c r="R1070" s="107"/>
      <c r="S1070" s="107"/>
      <c r="T1070" s="107"/>
      <c r="U1070" s="107"/>
      <c r="V1070" s="107"/>
      <c r="W1070" s="107"/>
      <c r="X1070" s="107"/>
      <c r="Y1070" s="107"/>
      <c r="Z1070" s="107"/>
      <c r="AA1070" s="107"/>
      <c r="AB1070" s="107"/>
      <c r="AC1070" s="107"/>
      <c r="AD1070" s="107"/>
      <c r="AE1070" s="107"/>
      <c r="AF1070" s="107"/>
      <c r="AG1070" s="107"/>
      <c r="AH1070" s="107"/>
      <c r="AI1070" s="107"/>
    </row>
    <row r="1071">
      <c r="A1071" s="107"/>
      <c r="B1071" s="107"/>
      <c r="C1071" s="107"/>
      <c r="D1071" s="107"/>
      <c r="E1071" s="107"/>
      <c r="F1071" s="107"/>
      <c r="G1071" s="107"/>
      <c r="H1071" s="107"/>
      <c r="I1071" s="107"/>
      <c r="J1071" s="107"/>
      <c r="K1071" s="107"/>
      <c r="L1071" s="107"/>
      <c r="M1071" s="107"/>
      <c r="N1071" s="107"/>
      <c r="O1071" s="107"/>
      <c r="P1071" s="107"/>
      <c r="Q1071" s="107"/>
      <c r="R1071" s="107"/>
      <c r="S1071" s="107"/>
      <c r="T1071" s="107"/>
      <c r="U1071" s="107"/>
      <c r="V1071" s="107"/>
      <c r="W1071" s="107"/>
      <c r="X1071" s="107"/>
      <c r="Y1071" s="107"/>
      <c r="Z1071" s="107"/>
      <c r="AA1071" s="107"/>
      <c r="AB1071" s="107"/>
      <c r="AC1071" s="107"/>
      <c r="AD1071" s="107"/>
      <c r="AE1071" s="107"/>
      <c r="AF1071" s="107"/>
      <c r="AG1071" s="107"/>
      <c r="AH1071" s="107"/>
      <c r="AI1071" s="107"/>
    </row>
    <row r="1072">
      <c r="A1072" s="107"/>
      <c r="B1072" s="107"/>
      <c r="C1072" s="107"/>
      <c r="D1072" s="107"/>
      <c r="E1072" s="107"/>
      <c r="F1072" s="107"/>
      <c r="G1072" s="107"/>
      <c r="H1072" s="107"/>
      <c r="I1072" s="107"/>
      <c r="J1072" s="107"/>
      <c r="K1072" s="107"/>
      <c r="L1072" s="107"/>
      <c r="M1072" s="107"/>
      <c r="N1072" s="107"/>
      <c r="O1072" s="107"/>
      <c r="P1072" s="107"/>
      <c r="Q1072" s="107"/>
      <c r="R1072" s="107"/>
      <c r="S1072" s="107"/>
      <c r="T1072" s="107"/>
      <c r="U1072" s="107"/>
      <c r="V1072" s="107"/>
      <c r="W1072" s="107"/>
      <c r="X1072" s="107"/>
      <c r="Y1072" s="107"/>
      <c r="Z1072" s="107"/>
      <c r="AA1072" s="107"/>
      <c r="AB1072" s="107"/>
      <c r="AC1072" s="107"/>
      <c r="AD1072" s="107"/>
      <c r="AE1072" s="107"/>
      <c r="AF1072" s="107"/>
      <c r="AG1072" s="107"/>
      <c r="AH1072" s="107"/>
      <c r="AI1072" s="107"/>
    </row>
    <row r="1073">
      <c r="A1073" s="107"/>
      <c r="B1073" s="107"/>
      <c r="C1073" s="107"/>
      <c r="D1073" s="107"/>
      <c r="E1073" s="107"/>
      <c r="F1073" s="107"/>
      <c r="G1073" s="107"/>
      <c r="H1073" s="107"/>
      <c r="I1073" s="107"/>
      <c r="J1073" s="107"/>
      <c r="K1073" s="107"/>
      <c r="L1073" s="107"/>
      <c r="M1073" s="107"/>
      <c r="N1073" s="107"/>
      <c r="O1073" s="107"/>
      <c r="P1073" s="107"/>
      <c r="Q1073" s="107"/>
      <c r="R1073" s="107"/>
      <c r="S1073" s="107"/>
      <c r="T1073" s="107"/>
      <c r="U1073" s="107"/>
      <c r="V1073" s="107"/>
      <c r="W1073" s="107"/>
      <c r="X1073" s="107"/>
      <c r="Y1073" s="107"/>
      <c r="Z1073" s="107"/>
      <c r="AA1073" s="107"/>
      <c r="AB1073" s="107"/>
      <c r="AC1073" s="107"/>
      <c r="AD1073" s="107"/>
      <c r="AE1073" s="107"/>
      <c r="AF1073" s="107"/>
      <c r="AG1073" s="107"/>
      <c r="AH1073" s="107"/>
      <c r="AI1073" s="107"/>
    </row>
    <row r="1074">
      <c r="A1074" s="107"/>
      <c r="B1074" s="107"/>
      <c r="C1074" s="107"/>
      <c r="D1074" s="107"/>
      <c r="E1074" s="107"/>
      <c r="F1074" s="107"/>
      <c r="G1074" s="107"/>
      <c r="H1074" s="107"/>
      <c r="I1074" s="107"/>
      <c r="J1074" s="107"/>
      <c r="K1074" s="107"/>
      <c r="L1074" s="107"/>
      <c r="M1074" s="107"/>
      <c r="N1074" s="107"/>
      <c r="O1074" s="107"/>
      <c r="P1074" s="107"/>
      <c r="Q1074" s="107"/>
      <c r="R1074" s="107"/>
      <c r="S1074" s="107"/>
      <c r="T1074" s="107"/>
      <c r="U1074" s="107"/>
      <c r="V1074" s="107"/>
      <c r="W1074" s="107"/>
      <c r="X1074" s="107"/>
      <c r="Y1074" s="107"/>
      <c r="Z1074" s="107"/>
      <c r="AA1074" s="107"/>
      <c r="AB1074" s="107"/>
      <c r="AC1074" s="107"/>
      <c r="AD1074" s="107"/>
      <c r="AE1074" s="107"/>
      <c r="AF1074" s="107"/>
      <c r="AG1074" s="107"/>
      <c r="AH1074" s="107"/>
      <c r="AI1074" s="107"/>
    </row>
    <row r="1075">
      <c r="A1075" s="107"/>
      <c r="B1075" s="107"/>
      <c r="C1075" s="107"/>
      <c r="D1075" s="107"/>
      <c r="E1075" s="107"/>
      <c r="F1075" s="107"/>
      <c r="G1075" s="107"/>
      <c r="H1075" s="107"/>
      <c r="I1075" s="107"/>
      <c r="J1075" s="107"/>
      <c r="K1075" s="107"/>
      <c r="L1075" s="107"/>
      <c r="M1075" s="107"/>
      <c r="N1075" s="107"/>
      <c r="O1075" s="107"/>
      <c r="P1075" s="107"/>
      <c r="Q1075" s="107"/>
      <c r="R1075" s="107"/>
      <c r="S1075" s="107"/>
      <c r="T1075" s="107"/>
      <c r="U1075" s="107"/>
      <c r="V1075" s="107"/>
      <c r="W1075" s="107"/>
      <c r="X1075" s="107"/>
      <c r="Y1075" s="107"/>
      <c r="Z1075" s="107"/>
      <c r="AA1075" s="107"/>
      <c r="AB1075" s="107"/>
      <c r="AC1075" s="107"/>
      <c r="AD1075" s="107"/>
      <c r="AE1075" s="107"/>
      <c r="AF1075" s="107"/>
      <c r="AG1075" s="107"/>
      <c r="AH1075" s="107"/>
      <c r="AI1075" s="107"/>
    </row>
    <row r="1076">
      <c r="A1076" s="107"/>
      <c r="B1076" s="107"/>
      <c r="C1076" s="107"/>
      <c r="D1076" s="107"/>
      <c r="E1076" s="107"/>
      <c r="F1076" s="107"/>
      <c r="G1076" s="107"/>
      <c r="H1076" s="107"/>
      <c r="I1076" s="107"/>
      <c r="J1076" s="107"/>
      <c r="K1076" s="107"/>
      <c r="L1076" s="107"/>
      <c r="M1076" s="107"/>
      <c r="N1076" s="107"/>
      <c r="O1076" s="107"/>
      <c r="P1076" s="107"/>
      <c r="Q1076" s="107"/>
      <c r="R1076" s="107"/>
      <c r="S1076" s="107"/>
      <c r="T1076" s="107"/>
      <c r="U1076" s="107"/>
      <c r="V1076" s="107"/>
      <c r="W1076" s="107"/>
      <c r="X1076" s="107"/>
      <c r="Y1076" s="107"/>
      <c r="Z1076" s="107"/>
      <c r="AA1076" s="107"/>
      <c r="AB1076" s="107"/>
      <c r="AC1076" s="107"/>
      <c r="AD1076" s="107"/>
      <c r="AE1076" s="107"/>
      <c r="AF1076" s="107"/>
      <c r="AG1076" s="107"/>
      <c r="AH1076" s="107"/>
      <c r="AI1076" s="107"/>
    </row>
    <row r="1077">
      <c r="A1077" s="107"/>
      <c r="B1077" s="107"/>
      <c r="C1077" s="107"/>
      <c r="D1077" s="107"/>
      <c r="E1077" s="107"/>
      <c r="F1077" s="107"/>
      <c r="G1077" s="107"/>
      <c r="H1077" s="107"/>
      <c r="I1077" s="107"/>
      <c r="J1077" s="107"/>
      <c r="K1077" s="107"/>
      <c r="L1077" s="107"/>
      <c r="M1077" s="107"/>
      <c r="N1077" s="107"/>
      <c r="O1077" s="107"/>
      <c r="P1077" s="107"/>
      <c r="Q1077" s="107"/>
      <c r="R1077" s="107"/>
      <c r="S1077" s="107"/>
      <c r="T1077" s="107"/>
      <c r="U1077" s="107"/>
      <c r="V1077" s="107"/>
      <c r="W1077" s="107"/>
      <c r="X1077" s="107"/>
      <c r="Y1077" s="107"/>
      <c r="Z1077" s="107"/>
      <c r="AA1077" s="107"/>
      <c r="AB1077" s="107"/>
      <c r="AC1077" s="107"/>
      <c r="AD1077" s="107"/>
      <c r="AE1077" s="107"/>
      <c r="AF1077" s="107"/>
      <c r="AG1077" s="107"/>
      <c r="AH1077" s="107"/>
      <c r="AI1077" s="107"/>
    </row>
    <row r="1078">
      <c r="A1078" s="107"/>
      <c r="B1078" s="107"/>
      <c r="C1078" s="107"/>
      <c r="D1078" s="107"/>
      <c r="E1078" s="107"/>
      <c r="F1078" s="107"/>
      <c r="G1078" s="107"/>
      <c r="H1078" s="107"/>
      <c r="I1078" s="107"/>
      <c r="J1078" s="107"/>
      <c r="K1078" s="107"/>
      <c r="L1078" s="107"/>
      <c r="M1078" s="107"/>
      <c r="N1078" s="107"/>
      <c r="O1078" s="107"/>
      <c r="P1078" s="107"/>
      <c r="Q1078" s="107"/>
      <c r="R1078" s="107"/>
      <c r="S1078" s="107"/>
      <c r="T1078" s="107"/>
      <c r="U1078" s="107"/>
      <c r="V1078" s="107"/>
      <c r="W1078" s="107"/>
      <c r="X1078" s="107"/>
      <c r="Y1078" s="107"/>
      <c r="Z1078" s="107"/>
      <c r="AA1078" s="107"/>
      <c r="AB1078" s="107"/>
      <c r="AC1078" s="107"/>
      <c r="AD1078" s="107"/>
      <c r="AE1078" s="107"/>
      <c r="AF1078" s="107"/>
      <c r="AG1078" s="107"/>
      <c r="AH1078" s="107"/>
      <c r="AI1078" s="107"/>
    </row>
    <row r="1079">
      <c r="A1079" s="107"/>
      <c r="B1079" s="107"/>
      <c r="C1079" s="107"/>
      <c r="D1079" s="107"/>
      <c r="E1079" s="107"/>
      <c r="F1079" s="107"/>
      <c r="G1079" s="107"/>
      <c r="H1079" s="107"/>
      <c r="I1079" s="107"/>
      <c r="J1079" s="107"/>
      <c r="K1079" s="107"/>
      <c r="L1079" s="107"/>
      <c r="M1079" s="107"/>
      <c r="N1079" s="107"/>
      <c r="O1079" s="107"/>
      <c r="P1079" s="107"/>
      <c r="Q1079" s="107"/>
      <c r="R1079" s="107"/>
      <c r="S1079" s="107"/>
      <c r="T1079" s="107"/>
      <c r="U1079" s="107"/>
      <c r="V1079" s="107"/>
      <c r="W1079" s="107"/>
      <c r="X1079" s="107"/>
      <c r="Y1079" s="107"/>
      <c r="Z1079" s="107"/>
      <c r="AA1079" s="107"/>
      <c r="AB1079" s="107"/>
      <c r="AC1079" s="107"/>
      <c r="AD1079" s="107"/>
      <c r="AE1079" s="107"/>
      <c r="AF1079" s="107"/>
      <c r="AG1079" s="107"/>
      <c r="AH1079" s="107"/>
      <c r="AI1079" s="107"/>
    </row>
    <row r="1080">
      <c r="A1080" s="107"/>
      <c r="B1080" s="107"/>
      <c r="C1080" s="107"/>
      <c r="D1080" s="107"/>
      <c r="E1080" s="107"/>
      <c r="F1080" s="107"/>
      <c r="G1080" s="107"/>
      <c r="H1080" s="107"/>
      <c r="I1080" s="107"/>
      <c r="J1080" s="107"/>
      <c r="K1080" s="107"/>
      <c r="L1080" s="107"/>
      <c r="M1080" s="107"/>
      <c r="N1080" s="107"/>
      <c r="O1080" s="107"/>
      <c r="P1080" s="107"/>
      <c r="Q1080" s="107"/>
      <c r="R1080" s="107"/>
      <c r="S1080" s="107"/>
      <c r="T1080" s="107"/>
      <c r="U1080" s="107"/>
      <c r="V1080" s="107"/>
      <c r="W1080" s="107"/>
      <c r="X1080" s="107"/>
      <c r="Y1080" s="107"/>
      <c r="Z1080" s="107"/>
      <c r="AA1080" s="107"/>
      <c r="AB1080" s="107"/>
      <c r="AC1080" s="107"/>
      <c r="AD1080" s="107"/>
      <c r="AE1080" s="107"/>
      <c r="AF1080" s="107"/>
      <c r="AG1080" s="107"/>
      <c r="AH1080" s="107"/>
      <c r="AI1080" s="107"/>
    </row>
    <row r="1081">
      <c r="A1081" s="107"/>
      <c r="B1081" s="107"/>
      <c r="C1081" s="107"/>
      <c r="D1081" s="107"/>
      <c r="E1081" s="107"/>
      <c r="F1081" s="107"/>
      <c r="G1081" s="107"/>
      <c r="H1081" s="107"/>
      <c r="I1081" s="107"/>
      <c r="J1081" s="107"/>
      <c r="K1081" s="107"/>
      <c r="L1081" s="107"/>
      <c r="M1081" s="107"/>
      <c r="N1081" s="107"/>
      <c r="O1081" s="107"/>
      <c r="P1081" s="107"/>
      <c r="Q1081" s="107"/>
      <c r="R1081" s="107"/>
      <c r="S1081" s="107"/>
      <c r="T1081" s="107"/>
      <c r="U1081" s="107"/>
      <c r="V1081" s="107"/>
      <c r="W1081" s="107"/>
      <c r="X1081" s="107"/>
      <c r="Y1081" s="107"/>
      <c r="Z1081" s="107"/>
      <c r="AA1081" s="107"/>
      <c r="AB1081" s="107"/>
      <c r="AC1081" s="107"/>
      <c r="AD1081" s="107"/>
      <c r="AE1081" s="107"/>
      <c r="AF1081" s="107"/>
      <c r="AG1081" s="107"/>
      <c r="AH1081" s="107"/>
      <c r="AI1081" s="107"/>
    </row>
  </sheetData>
  <mergeCells count="14">
    <mergeCell ref="F8:F9"/>
    <mergeCell ref="G8:G9"/>
    <mergeCell ref="D197:F197"/>
    <mergeCell ref="A204:C204"/>
    <mergeCell ref="A205:C205"/>
    <mergeCell ref="H8:H9"/>
    <mergeCell ref="I8:AI8"/>
    <mergeCell ref="A8:A9"/>
    <mergeCell ref="B8:B9"/>
    <mergeCell ref="C8:C9"/>
    <mergeCell ref="E8:E9"/>
    <mergeCell ref="A3:AI3"/>
    <mergeCell ref="A2:AI2"/>
    <mergeCell ref="A1:AI1"/>
  </mergeCells>
  <printOptions horizontalCentered="1"/>
  <pageMargins bottom="0.75" footer="0.0" header="0.0" left="1.25" right="0.25" top="0.75"/>
  <pageSetup fitToHeight="0" orientation="landscape" pageOrder="overThenDown" paperHeight="8.5in" paperWidth="14i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3" max="3" width="46.0"/>
    <col customWidth="1" min="7" max="7" width="21.88"/>
    <col customWidth="1" min="8" max="8" width="16.88"/>
  </cols>
  <sheetData>
    <row r="1">
      <c r="A1" s="108" t="s">
        <v>356</v>
      </c>
    </row>
    <row r="2">
      <c r="A2" s="109" t="s">
        <v>357</v>
      </c>
    </row>
    <row r="3">
      <c r="A3" s="110"/>
    </row>
    <row r="4">
      <c r="A4" s="111" t="s">
        <v>2</v>
      </c>
      <c r="B4" s="110"/>
      <c r="C4" s="110"/>
      <c r="D4" s="110"/>
      <c r="E4" s="112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</row>
    <row r="5">
      <c r="A5" s="110"/>
      <c r="B5" s="110"/>
      <c r="C5" s="110"/>
      <c r="D5" s="110"/>
      <c r="E5" s="112"/>
      <c r="F5" s="113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</row>
    <row r="6">
      <c r="A6" s="111" t="s">
        <v>358</v>
      </c>
      <c r="B6" s="110"/>
      <c r="C6" s="110"/>
      <c r="D6" s="110"/>
      <c r="E6" s="112"/>
      <c r="F6" s="113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</row>
    <row r="7">
      <c r="A7" s="114" t="s">
        <v>4</v>
      </c>
      <c r="B7" s="115"/>
      <c r="C7" s="115"/>
      <c r="D7" s="115"/>
      <c r="E7" s="116"/>
      <c r="F7" s="117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</row>
    <row r="8">
      <c r="A8" s="15" t="s">
        <v>5</v>
      </c>
      <c r="B8" s="16" t="s">
        <v>6</v>
      </c>
      <c r="C8" s="16" t="s">
        <v>7</v>
      </c>
      <c r="D8" s="17" t="s">
        <v>8</v>
      </c>
      <c r="E8" s="18" t="s">
        <v>9</v>
      </c>
      <c r="F8" s="19" t="s">
        <v>10</v>
      </c>
      <c r="G8" s="16" t="s">
        <v>11</v>
      </c>
      <c r="H8" s="16" t="s">
        <v>12</v>
      </c>
      <c r="I8" s="20" t="s">
        <v>13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</row>
    <row r="9">
      <c r="A9" s="23"/>
      <c r="B9" s="24"/>
      <c r="C9" s="24"/>
      <c r="D9" s="25" t="s">
        <v>14</v>
      </c>
      <c r="E9" s="24"/>
      <c r="F9" s="24"/>
      <c r="G9" s="24"/>
      <c r="H9" s="24"/>
      <c r="I9" s="25" t="s">
        <v>359</v>
      </c>
      <c r="J9" s="25" t="s">
        <v>360</v>
      </c>
      <c r="K9" s="25" t="s">
        <v>361</v>
      </c>
      <c r="L9" s="25" t="s">
        <v>18</v>
      </c>
      <c r="M9" s="25" t="s">
        <v>19</v>
      </c>
      <c r="N9" s="25" t="s">
        <v>20</v>
      </c>
      <c r="O9" s="25" t="s">
        <v>21</v>
      </c>
      <c r="P9" s="25" t="s">
        <v>22</v>
      </c>
      <c r="Q9" s="25" t="s">
        <v>23</v>
      </c>
      <c r="R9" s="25" t="s">
        <v>24</v>
      </c>
      <c r="S9" s="25" t="s">
        <v>25</v>
      </c>
      <c r="T9" s="25" t="s">
        <v>26</v>
      </c>
      <c r="U9" s="25" t="s">
        <v>27</v>
      </c>
      <c r="V9" s="25" t="s">
        <v>28</v>
      </c>
      <c r="W9" s="25" t="s">
        <v>29</v>
      </c>
      <c r="X9" s="25" t="s">
        <v>30</v>
      </c>
      <c r="Y9" s="25" t="s">
        <v>31</v>
      </c>
      <c r="Z9" s="25" t="s">
        <v>32</v>
      </c>
      <c r="AA9" s="25" t="s">
        <v>33</v>
      </c>
      <c r="AB9" s="25" t="s">
        <v>34</v>
      </c>
      <c r="AC9" s="25" t="s">
        <v>35</v>
      </c>
      <c r="AD9" s="25" t="s">
        <v>36</v>
      </c>
      <c r="AE9" s="25" t="s">
        <v>37</v>
      </c>
      <c r="AF9" s="25" t="s">
        <v>38</v>
      </c>
      <c r="AG9" s="25" t="s">
        <v>39</v>
      </c>
      <c r="AH9" s="25" t="s">
        <v>40</v>
      </c>
      <c r="AI9" s="27" t="s">
        <v>41</v>
      </c>
    </row>
    <row r="10">
      <c r="A10" s="118" t="s">
        <v>42</v>
      </c>
      <c r="B10" s="32" t="s">
        <v>43</v>
      </c>
      <c r="C10" s="32" t="s">
        <v>44</v>
      </c>
      <c r="D10" s="32" t="s">
        <v>45</v>
      </c>
      <c r="E10" s="119" t="s">
        <v>46</v>
      </c>
      <c r="F10" s="120" t="s">
        <v>47</v>
      </c>
      <c r="G10" s="32" t="s">
        <v>48</v>
      </c>
      <c r="H10" s="32" t="s">
        <v>49</v>
      </c>
      <c r="I10" s="32" t="s">
        <v>50</v>
      </c>
      <c r="J10" s="32" t="s">
        <v>51</v>
      </c>
      <c r="K10" s="32" t="s">
        <v>52</v>
      </c>
      <c r="L10" s="32" t="s">
        <v>53</v>
      </c>
      <c r="M10" s="32" t="s">
        <v>54</v>
      </c>
      <c r="N10" s="32" t="s">
        <v>55</v>
      </c>
      <c r="O10" s="32" t="s">
        <v>56</v>
      </c>
      <c r="P10" s="32" t="s">
        <v>57</v>
      </c>
      <c r="Q10" s="32" t="s">
        <v>58</v>
      </c>
      <c r="R10" s="32" t="s">
        <v>59</v>
      </c>
      <c r="S10" s="32" t="s">
        <v>60</v>
      </c>
      <c r="T10" s="32" t="s">
        <v>61</v>
      </c>
      <c r="U10" s="32" t="s">
        <v>62</v>
      </c>
      <c r="V10" s="32" t="s">
        <v>63</v>
      </c>
      <c r="W10" s="32" t="s">
        <v>64</v>
      </c>
      <c r="X10" s="32" t="s">
        <v>65</v>
      </c>
      <c r="Y10" s="32" t="s">
        <v>66</v>
      </c>
      <c r="Z10" s="32" t="s">
        <v>67</v>
      </c>
      <c r="AA10" s="32" t="s">
        <v>68</v>
      </c>
      <c r="AB10" s="32" t="s">
        <v>69</v>
      </c>
      <c r="AC10" s="32" t="s">
        <v>70</v>
      </c>
      <c r="AD10" s="32" t="s">
        <v>71</v>
      </c>
      <c r="AE10" s="32" t="s">
        <v>72</v>
      </c>
      <c r="AF10" s="32" t="s">
        <v>73</v>
      </c>
      <c r="AG10" s="32" t="s">
        <v>74</v>
      </c>
      <c r="AH10" s="32" t="s">
        <v>75</v>
      </c>
      <c r="AI10" s="33" t="s">
        <v>76</v>
      </c>
    </row>
    <row r="11">
      <c r="A11" s="121" t="s">
        <v>77</v>
      </c>
      <c r="B11" s="39"/>
      <c r="C11" s="122" t="s">
        <v>78</v>
      </c>
      <c r="D11" s="39"/>
      <c r="E11" s="123"/>
      <c r="F11" s="124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</row>
    <row r="12">
      <c r="A12" s="125"/>
      <c r="B12" s="126"/>
      <c r="C12" s="126" t="s">
        <v>362</v>
      </c>
      <c r="D12" s="127" t="s">
        <v>311</v>
      </c>
      <c r="E12" s="128">
        <v>20000.0</v>
      </c>
      <c r="F12" s="129">
        <f>E12*3</f>
        <v>60000</v>
      </c>
      <c r="G12" s="93" t="s">
        <v>81</v>
      </c>
      <c r="H12" s="127" t="s">
        <v>363</v>
      </c>
      <c r="I12" s="93">
        <v>3.0</v>
      </c>
      <c r="J12" s="93">
        <v>0.0</v>
      </c>
      <c r="K12" s="93">
        <v>0.0</v>
      </c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</row>
    <row r="13">
      <c r="A13" s="125"/>
      <c r="B13" s="126"/>
      <c r="C13" s="126" t="s">
        <v>364</v>
      </c>
      <c r="D13" s="127" t="s">
        <v>365</v>
      </c>
      <c r="E13" s="128">
        <v>49995.0</v>
      </c>
      <c r="F13" s="129">
        <f>E13*4</f>
        <v>199980</v>
      </c>
      <c r="G13" s="93" t="s">
        <v>81</v>
      </c>
      <c r="H13" s="127" t="s">
        <v>363</v>
      </c>
      <c r="I13" s="93">
        <v>4.0</v>
      </c>
      <c r="J13" s="93">
        <v>0.0</v>
      </c>
      <c r="K13" s="93">
        <v>0.0</v>
      </c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</row>
    <row r="14">
      <c r="A14" s="125"/>
      <c r="B14" s="48"/>
      <c r="C14" s="130" t="s">
        <v>330</v>
      </c>
      <c r="D14" s="127" t="s">
        <v>227</v>
      </c>
      <c r="E14" s="128">
        <v>300000.0</v>
      </c>
      <c r="F14" s="129">
        <v>300000.0</v>
      </c>
      <c r="G14" s="127" t="s">
        <v>366</v>
      </c>
      <c r="H14" s="127" t="s">
        <v>363</v>
      </c>
      <c r="I14" s="127">
        <v>1.0</v>
      </c>
      <c r="J14" s="127">
        <v>0.0</v>
      </c>
      <c r="K14" s="127">
        <v>0.0</v>
      </c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</row>
    <row r="15">
      <c r="A15" s="125"/>
      <c r="B15" s="48"/>
      <c r="C15" s="130" t="s">
        <v>85</v>
      </c>
      <c r="D15" s="127" t="s">
        <v>155</v>
      </c>
      <c r="E15" s="128">
        <v>3000.0</v>
      </c>
      <c r="F15" s="129">
        <v>12000.0</v>
      </c>
      <c r="G15" s="127" t="s">
        <v>81</v>
      </c>
      <c r="H15" s="127" t="s">
        <v>363</v>
      </c>
      <c r="I15" s="127">
        <v>4.0</v>
      </c>
      <c r="J15" s="127">
        <v>0.0</v>
      </c>
      <c r="K15" s="127">
        <v>0.0</v>
      </c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</row>
    <row r="16">
      <c r="A16" s="125"/>
      <c r="B16" s="48"/>
      <c r="C16" s="130" t="s">
        <v>367</v>
      </c>
      <c r="D16" s="127" t="s">
        <v>227</v>
      </c>
      <c r="E16" s="128">
        <v>49995.0</v>
      </c>
      <c r="F16" s="128">
        <v>49995.0</v>
      </c>
      <c r="G16" s="127" t="s">
        <v>81</v>
      </c>
      <c r="H16" s="127" t="s">
        <v>363</v>
      </c>
      <c r="I16" s="127">
        <v>1.0</v>
      </c>
      <c r="J16" s="127">
        <v>0.0</v>
      </c>
      <c r="K16" s="127">
        <v>0.0</v>
      </c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 t="s">
        <v>368</v>
      </c>
    </row>
    <row r="17">
      <c r="A17" s="125"/>
      <c r="B17" s="48"/>
      <c r="C17" s="131" t="s">
        <v>369</v>
      </c>
      <c r="D17" s="132" t="s">
        <v>227</v>
      </c>
      <c r="E17" s="128">
        <v>49995.0</v>
      </c>
      <c r="F17" s="128">
        <v>49995.0</v>
      </c>
      <c r="G17" s="93" t="s">
        <v>81</v>
      </c>
      <c r="H17" s="127" t="s">
        <v>363</v>
      </c>
      <c r="I17" s="133">
        <v>0.0</v>
      </c>
      <c r="J17" s="93">
        <v>0.0</v>
      </c>
      <c r="K17" s="133">
        <v>1.0</v>
      </c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</row>
    <row r="18">
      <c r="A18" s="125"/>
      <c r="B18" s="48"/>
      <c r="C18" s="131" t="s">
        <v>370</v>
      </c>
      <c r="D18" s="132" t="s">
        <v>227</v>
      </c>
      <c r="E18" s="128">
        <v>49995.0</v>
      </c>
      <c r="F18" s="128">
        <v>49995.0</v>
      </c>
      <c r="G18" s="93" t="s">
        <v>81</v>
      </c>
      <c r="H18" s="127" t="s">
        <v>363</v>
      </c>
      <c r="I18" s="133">
        <v>0.0</v>
      </c>
      <c r="J18" s="93">
        <v>0.0</v>
      </c>
      <c r="K18" s="133">
        <v>1.0</v>
      </c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</row>
    <row r="19">
      <c r="A19" s="121" t="s">
        <v>88</v>
      </c>
      <c r="B19" s="39"/>
      <c r="C19" s="122" t="s">
        <v>89</v>
      </c>
      <c r="D19" s="39"/>
      <c r="E19" s="123"/>
      <c r="F19" s="124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</row>
    <row r="20">
      <c r="A20" s="125"/>
      <c r="B20" s="134" t="s">
        <v>371</v>
      </c>
      <c r="C20" s="126" t="s">
        <v>372</v>
      </c>
      <c r="D20" s="135" t="s">
        <v>227</v>
      </c>
      <c r="E20" s="128">
        <v>1700.0</v>
      </c>
      <c r="F20" s="136">
        <v>95350.0</v>
      </c>
      <c r="G20" s="137" t="s">
        <v>81</v>
      </c>
      <c r="H20" s="135" t="s">
        <v>132</v>
      </c>
      <c r="I20" s="93">
        <v>0.0</v>
      </c>
      <c r="J20" s="93">
        <v>25.0</v>
      </c>
      <c r="K20" s="93">
        <v>0.0</v>
      </c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</row>
    <row r="21">
      <c r="A21" s="125"/>
      <c r="B21" s="134" t="s">
        <v>373</v>
      </c>
      <c r="C21" s="126" t="s">
        <v>374</v>
      </c>
      <c r="D21" s="139"/>
      <c r="E21" s="128">
        <v>1700.0</v>
      </c>
      <c r="F21" s="139"/>
      <c r="G21" s="139"/>
      <c r="H21" s="139"/>
      <c r="I21" s="93">
        <v>0.0</v>
      </c>
      <c r="J21" s="93">
        <v>25.0</v>
      </c>
      <c r="K21" s="93">
        <v>0.0</v>
      </c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</row>
    <row r="22">
      <c r="A22" s="125"/>
      <c r="B22" s="134" t="s">
        <v>375</v>
      </c>
      <c r="C22" s="126" t="s">
        <v>376</v>
      </c>
      <c r="D22" s="139"/>
      <c r="E22" s="128">
        <v>100.0</v>
      </c>
      <c r="F22" s="139"/>
      <c r="G22" s="139"/>
      <c r="H22" s="139"/>
      <c r="I22" s="93">
        <v>0.0</v>
      </c>
      <c r="J22" s="93">
        <v>25.0</v>
      </c>
      <c r="K22" s="93">
        <v>0.0</v>
      </c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</row>
    <row r="23">
      <c r="A23" s="125"/>
      <c r="B23" s="134" t="s">
        <v>377</v>
      </c>
      <c r="C23" s="126" t="s">
        <v>378</v>
      </c>
      <c r="D23" s="139"/>
      <c r="E23" s="128">
        <v>150.0</v>
      </c>
      <c r="F23" s="139"/>
      <c r="G23" s="139"/>
      <c r="H23" s="139"/>
      <c r="I23" s="93">
        <v>0.0</v>
      </c>
      <c r="J23" s="93">
        <v>25.0</v>
      </c>
      <c r="K23" s="93">
        <v>0.0</v>
      </c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</row>
    <row r="24">
      <c r="A24" s="125"/>
      <c r="B24" s="48"/>
      <c r="C24" s="48" t="s">
        <v>379</v>
      </c>
      <c r="D24" s="139"/>
      <c r="E24" s="140">
        <v>100.0</v>
      </c>
      <c r="F24" s="139"/>
      <c r="G24" s="139"/>
      <c r="H24" s="139"/>
      <c r="I24" s="93">
        <v>0.0</v>
      </c>
      <c r="J24" s="93">
        <v>25.0</v>
      </c>
      <c r="K24" s="93">
        <v>0.0</v>
      </c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</row>
    <row r="25">
      <c r="A25" s="125"/>
      <c r="B25" s="48"/>
      <c r="C25" s="48" t="s">
        <v>380</v>
      </c>
      <c r="D25" s="141"/>
      <c r="E25" s="140">
        <v>80.0</v>
      </c>
      <c r="F25" s="141"/>
      <c r="G25" s="141"/>
      <c r="H25" s="141"/>
      <c r="I25" s="93">
        <v>0.0</v>
      </c>
      <c r="J25" s="93">
        <v>20.0</v>
      </c>
      <c r="K25" s="93">
        <v>0.0</v>
      </c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</row>
    <row r="26">
      <c r="A26" s="125"/>
      <c r="B26" s="126"/>
      <c r="C26" s="126" t="s">
        <v>114</v>
      </c>
      <c r="D26" s="127" t="s">
        <v>115</v>
      </c>
      <c r="E26" s="142">
        <v>3000.0</v>
      </c>
      <c r="F26" s="129">
        <f>E26*50</f>
        <v>150000</v>
      </c>
      <c r="G26" s="93" t="s">
        <v>81</v>
      </c>
      <c r="H26" s="143" t="s">
        <v>132</v>
      </c>
      <c r="I26" s="93">
        <v>0.0</v>
      </c>
      <c r="J26" s="93">
        <v>50.0</v>
      </c>
      <c r="K26" s="93">
        <v>0.0</v>
      </c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</row>
    <row r="27">
      <c r="A27" s="125"/>
      <c r="B27" s="126"/>
      <c r="C27" s="126" t="s">
        <v>118</v>
      </c>
      <c r="D27" s="127" t="s">
        <v>101</v>
      </c>
      <c r="E27" s="128">
        <v>8000.0</v>
      </c>
      <c r="F27" s="129">
        <f>E27*25</f>
        <v>200000</v>
      </c>
      <c r="G27" s="93" t="s">
        <v>81</v>
      </c>
      <c r="H27" s="143" t="s">
        <v>132</v>
      </c>
      <c r="I27" s="93">
        <v>0.0</v>
      </c>
      <c r="J27" s="93">
        <v>25.0</v>
      </c>
      <c r="K27" s="93">
        <v>0.0</v>
      </c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</row>
    <row r="28">
      <c r="A28" s="125"/>
      <c r="B28" s="126"/>
      <c r="C28" s="126" t="s">
        <v>119</v>
      </c>
      <c r="D28" s="127" t="s">
        <v>120</v>
      </c>
      <c r="E28" s="128">
        <v>2000.0</v>
      </c>
      <c r="F28" s="129">
        <f>E28*5</f>
        <v>10000</v>
      </c>
      <c r="G28" s="93" t="s">
        <v>81</v>
      </c>
      <c r="H28" s="143" t="s">
        <v>132</v>
      </c>
      <c r="I28" s="93">
        <v>0.0</v>
      </c>
      <c r="J28" s="93">
        <v>5.0</v>
      </c>
      <c r="K28" s="93">
        <v>0.0</v>
      </c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</row>
    <row r="29">
      <c r="A29" s="125"/>
      <c r="B29" s="48"/>
      <c r="C29" s="48" t="s">
        <v>381</v>
      </c>
      <c r="D29" s="93" t="s">
        <v>84</v>
      </c>
      <c r="E29" s="140">
        <v>30000.0</v>
      </c>
      <c r="F29" s="140">
        <v>60000.0</v>
      </c>
      <c r="G29" s="93" t="s">
        <v>81</v>
      </c>
      <c r="H29" s="48" t="s">
        <v>132</v>
      </c>
      <c r="I29" s="93">
        <v>0.0</v>
      </c>
      <c r="J29" s="93">
        <v>2.0</v>
      </c>
      <c r="K29" s="93">
        <v>0.0</v>
      </c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</row>
    <row r="30">
      <c r="A30" s="125"/>
      <c r="B30" s="48"/>
      <c r="C30" s="48" t="s">
        <v>121</v>
      </c>
      <c r="D30" s="93" t="s">
        <v>120</v>
      </c>
      <c r="E30" s="140">
        <v>3000.0</v>
      </c>
      <c r="F30" s="140">
        <v>15000.0</v>
      </c>
      <c r="G30" s="93" t="s">
        <v>81</v>
      </c>
      <c r="H30" s="48" t="s">
        <v>132</v>
      </c>
      <c r="I30" s="93">
        <v>0.0</v>
      </c>
      <c r="J30" s="93">
        <v>5.0</v>
      </c>
      <c r="K30" s="93">
        <v>0.0</v>
      </c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</row>
    <row r="31">
      <c r="A31" s="125"/>
      <c r="B31" s="48"/>
      <c r="C31" s="144" t="s">
        <v>186</v>
      </c>
      <c r="D31" s="133" t="s">
        <v>187</v>
      </c>
      <c r="E31" s="145">
        <v>2500.0</v>
      </c>
      <c r="F31" s="140">
        <f t="shared" ref="F31:F32" si="1">E31*30</f>
        <v>75000</v>
      </c>
      <c r="G31" s="93" t="s">
        <v>81</v>
      </c>
      <c r="H31" s="48" t="s">
        <v>132</v>
      </c>
      <c r="I31" s="93">
        <v>0.0</v>
      </c>
      <c r="J31" s="133">
        <v>0.0</v>
      </c>
      <c r="K31" s="133">
        <v>30.0</v>
      </c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</row>
    <row r="32">
      <c r="A32" s="125"/>
      <c r="B32" s="48"/>
      <c r="C32" s="144" t="s">
        <v>188</v>
      </c>
      <c r="D32" s="133" t="s">
        <v>189</v>
      </c>
      <c r="E32" s="145">
        <v>1000.0</v>
      </c>
      <c r="F32" s="140">
        <f t="shared" si="1"/>
        <v>30000</v>
      </c>
      <c r="G32" s="93" t="s">
        <v>81</v>
      </c>
      <c r="H32" s="48" t="s">
        <v>132</v>
      </c>
      <c r="I32" s="93">
        <v>0.0</v>
      </c>
      <c r="J32" s="133">
        <v>0.0</v>
      </c>
      <c r="K32" s="133">
        <v>30.0</v>
      </c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</row>
    <row r="33">
      <c r="A33" s="125"/>
      <c r="B33" s="48"/>
      <c r="C33" s="144" t="s">
        <v>122</v>
      </c>
      <c r="D33" s="133" t="s">
        <v>99</v>
      </c>
      <c r="E33" s="145">
        <v>200.0</v>
      </c>
      <c r="F33" s="140">
        <f t="shared" ref="F33:F35" si="2">E33*50</f>
        <v>10000</v>
      </c>
      <c r="G33" s="93" t="s">
        <v>81</v>
      </c>
      <c r="H33" s="48" t="s">
        <v>132</v>
      </c>
      <c r="I33" s="93">
        <v>0.0</v>
      </c>
      <c r="J33" s="133">
        <v>0.0</v>
      </c>
      <c r="K33" s="133">
        <v>50.0</v>
      </c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</row>
    <row r="34">
      <c r="A34" s="125"/>
      <c r="B34" s="48"/>
      <c r="C34" s="144" t="s">
        <v>123</v>
      </c>
      <c r="D34" s="133" t="s">
        <v>124</v>
      </c>
      <c r="E34" s="145">
        <v>200.0</v>
      </c>
      <c r="F34" s="140">
        <f t="shared" si="2"/>
        <v>10000</v>
      </c>
      <c r="G34" s="93" t="s">
        <v>81</v>
      </c>
      <c r="H34" s="48" t="s">
        <v>132</v>
      </c>
      <c r="I34" s="93">
        <v>0.0</v>
      </c>
      <c r="J34" s="133">
        <v>0.0</v>
      </c>
      <c r="K34" s="133">
        <v>50.0</v>
      </c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</row>
    <row r="35">
      <c r="A35" s="125"/>
      <c r="B35" s="48"/>
      <c r="C35" s="144" t="s">
        <v>125</v>
      </c>
      <c r="D35" s="133" t="s">
        <v>126</v>
      </c>
      <c r="E35" s="145">
        <v>200.0</v>
      </c>
      <c r="F35" s="140">
        <f t="shared" si="2"/>
        <v>10000</v>
      </c>
      <c r="G35" s="93" t="s">
        <v>81</v>
      </c>
      <c r="H35" s="48" t="s">
        <v>132</v>
      </c>
      <c r="I35" s="93">
        <v>0.0</v>
      </c>
      <c r="J35" s="133">
        <v>0.0</v>
      </c>
      <c r="K35" s="133">
        <v>50.0</v>
      </c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</row>
    <row r="36">
      <c r="A36" s="125"/>
      <c r="B36" s="48"/>
      <c r="C36" s="144" t="s">
        <v>127</v>
      </c>
      <c r="D36" s="133" t="s">
        <v>128</v>
      </c>
      <c r="E36" s="145">
        <v>3000.0</v>
      </c>
      <c r="F36" s="140">
        <f>E36*15</f>
        <v>45000</v>
      </c>
      <c r="G36" s="93" t="s">
        <v>81</v>
      </c>
      <c r="H36" s="48" t="s">
        <v>132</v>
      </c>
      <c r="I36" s="93">
        <v>0.0</v>
      </c>
      <c r="J36" s="133">
        <v>0.0</v>
      </c>
      <c r="K36" s="133">
        <v>15.0</v>
      </c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</row>
    <row r="37">
      <c r="A37" s="125"/>
      <c r="B37" s="48"/>
      <c r="C37" s="144" t="s">
        <v>382</v>
      </c>
      <c r="D37" s="133" t="s">
        <v>113</v>
      </c>
      <c r="E37" s="145">
        <v>1000.0</v>
      </c>
      <c r="F37" s="140">
        <f t="shared" ref="F37:F38" si="3">E37*20</f>
        <v>20000</v>
      </c>
      <c r="G37" s="133" t="s">
        <v>81</v>
      </c>
      <c r="H37" s="144" t="s">
        <v>132</v>
      </c>
      <c r="I37" s="133">
        <v>0.0</v>
      </c>
      <c r="J37" s="133">
        <v>0.0</v>
      </c>
      <c r="K37" s="133">
        <v>20.0</v>
      </c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</row>
    <row r="38">
      <c r="A38" s="125"/>
      <c r="B38" s="48"/>
      <c r="C38" s="144" t="s">
        <v>134</v>
      </c>
      <c r="D38" s="133" t="s">
        <v>113</v>
      </c>
      <c r="E38" s="145">
        <v>500.0</v>
      </c>
      <c r="F38" s="140">
        <f t="shared" si="3"/>
        <v>10000</v>
      </c>
      <c r="G38" s="133" t="s">
        <v>81</v>
      </c>
      <c r="H38" s="144" t="s">
        <v>132</v>
      </c>
      <c r="I38" s="133">
        <v>0.0</v>
      </c>
      <c r="J38" s="133">
        <v>0.0</v>
      </c>
      <c r="K38" s="133">
        <v>20.0</v>
      </c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</row>
    <row r="39">
      <c r="A39" s="121" t="s">
        <v>135</v>
      </c>
      <c r="B39" s="39"/>
      <c r="C39" s="146" t="s">
        <v>136</v>
      </c>
      <c r="D39" s="39"/>
      <c r="E39" s="123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</row>
    <row r="40">
      <c r="A40" s="125"/>
      <c r="B40" s="134" t="s">
        <v>383</v>
      </c>
      <c r="C40" s="126" t="s">
        <v>384</v>
      </c>
      <c r="D40" s="127" t="s">
        <v>385</v>
      </c>
      <c r="E40" s="128">
        <v>2000.0</v>
      </c>
      <c r="F40" s="129">
        <v>20000.0</v>
      </c>
      <c r="G40" s="135" t="s">
        <v>366</v>
      </c>
      <c r="H40" s="135" t="s">
        <v>140</v>
      </c>
      <c r="I40" s="93">
        <v>10.0</v>
      </c>
      <c r="J40" s="93">
        <v>0.0</v>
      </c>
      <c r="K40" s="93">
        <v>0.0</v>
      </c>
      <c r="L40" s="138" t="s">
        <v>386</v>
      </c>
      <c r="M40" s="138" t="s">
        <v>387</v>
      </c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 t="s">
        <v>388</v>
      </c>
    </row>
    <row r="41">
      <c r="A41" s="125"/>
      <c r="B41" s="134" t="s">
        <v>389</v>
      </c>
      <c r="C41" s="126" t="s">
        <v>390</v>
      </c>
      <c r="D41" s="127" t="s">
        <v>216</v>
      </c>
      <c r="E41" s="128">
        <v>350.0</v>
      </c>
      <c r="F41" s="129">
        <v>3500.0</v>
      </c>
      <c r="G41" s="139"/>
      <c r="H41" s="139"/>
      <c r="I41" s="93">
        <v>5.0</v>
      </c>
      <c r="J41" s="93">
        <v>0.0</v>
      </c>
      <c r="K41" s="93">
        <v>0.0</v>
      </c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</row>
    <row r="42">
      <c r="A42" s="125"/>
      <c r="B42" s="134" t="s">
        <v>391</v>
      </c>
      <c r="C42" s="126" t="s">
        <v>392</v>
      </c>
      <c r="D42" s="127" t="s">
        <v>393</v>
      </c>
      <c r="E42" s="128">
        <v>500.0</v>
      </c>
      <c r="F42" s="129">
        <v>25000.0</v>
      </c>
      <c r="G42" s="139"/>
      <c r="H42" s="139"/>
      <c r="I42" s="93">
        <v>150.0</v>
      </c>
      <c r="J42" s="93">
        <v>0.0</v>
      </c>
      <c r="K42" s="93">
        <v>0.0</v>
      </c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</row>
    <row r="43">
      <c r="A43" s="125"/>
      <c r="B43" s="134" t="s">
        <v>383</v>
      </c>
      <c r="C43" s="126" t="s">
        <v>394</v>
      </c>
      <c r="D43" s="127" t="s">
        <v>395</v>
      </c>
      <c r="E43" s="128">
        <v>600.0</v>
      </c>
      <c r="F43" s="129">
        <v>9000.0</v>
      </c>
      <c r="G43" s="139"/>
      <c r="H43" s="139"/>
      <c r="I43" s="93">
        <v>55.0</v>
      </c>
      <c r="J43" s="93">
        <v>0.0</v>
      </c>
      <c r="K43" s="93">
        <v>0.0</v>
      </c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</row>
    <row r="44">
      <c r="A44" s="125"/>
      <c r="B44" s="126"/>
      <c r="C44" s="126" t="s">
        <v>396</v>
      </c>
      <c r="D44" s="127" t="s">
        <v>397</v>
      </c>
      <c r="E44" s="128">
        <v>200.0</v>
      </c>
      <c r="F44" s="129">
        <v>3000.0</v>
      </c>
      <c r="G44" s="139"/>
      <c r="H44" s="139"/>
      <c r="I44" s="93">
        <v>55.0</v>
      </c>
      <c r="J44" s="93">
        <v>0.0</v>
      </c>
      <c r="K44" s="93">
        <v>0.0</v>
      </c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</row>
    <row r="45">
      <c r="A45" s="125"/>
      <c r="B45" s="126"/>
      <c r="C45" s="126" t="s">
        <v>398</v>
      </c>
      <c r="D45" s="127" t="s">
        <v>399</v>
      </c>
      <c r="E45" s="128">
        <v>900.0</v>
      </c>
      <c r="F45" s="129">
        <v>9000.0</v>
      </c>
      <c r="G45" s="139"/>
      <c r="H45" s="139"/>
      <c r="I45" s="93">
        <v>55.0</v>
      </c>
      <c r="J45" s="93">
        <v>0.0</v>
      </c>
      <c r="K45" s="93">
        <v>0.0</v>
      </c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</row>
    <row r="46">
      <c r="A46" s="125"/>
      <c r="B46" s="134" t="s">
        <v>400</v>
      </c>
      <c r="C46" s="126" t="s">
        <v>401</v>
      </c>
      <c r="D46" s="127" t="s">
        <v>402</v>
      </c>
      <c r="E46" s="128">
        <v>3000.0</v>
      </c>
      <c r="F46" s="129">
        <v>12000.0</v>
      </c>
      <c r="G46" s="139"/>
      <c r="H46" s="139"/>
      <c r="I46" s="93">
        <v>4.0</v>
      </c>
      <c r="J46" s="93">
        <v>0.0</v>
      </c>
      <c r="K46" s="93">
        <v>0.0</v>
      </c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</row>
    <row r="47">
      <c r="A47" s="125"/>
      <c r="B47" s="134" t="s">
        <v>403</v>
      </c>
      <c r="C47" s="126" t="s">
        <v>404</v>
      </c>
      <c r="D47" s="127" t="s">
        <v>402</v>
      </c>
      <c r="E47" s="128">
        <v>3000.0</v>
      </c>
      <c r="F47" s="129">
        <v>12000.0</v>
      </c>
      <c r="G47" s="139"/>
      <c r="H47" s="139"/>
      <c r="I47" s="93">
        <v>4.0</v>
      </c>
      <c r="J47" s="93">
        <v>0.0</v>
      </c>
      <c r="K47" s="93">
        <v>0.0</v>
      </c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</row>
    <row r="48">
      <c r="A48" s="125"/>
      <c r="B48" s="126"/>
      <c r="C48" s="126" t="s">
        <v>405</v>
      </c>
      <c r="D48" s="127" t="s">
        <v>193</v>
      </c>
      <c r="E48" s="128">
        <v>5000.0</v>
      </c>
      <c r="F48" s="129">
        <v>50000.0</v>
      </c>
      <c r="G48" s="139"/>
      <c r="H48" s="139"/>
      <c r="I48" s="93">
        <v>4.0</v>
      </c>
      <c r="J48" s="93">
        <v>0.0</v>
      </c>
      <c r="K48" s="93">
        <v>0.0</v>
      </c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</row>
    <row r="49">
      <c r="A49" s="125"/>
      <c r="B49" s="126"/>
      <c r="C49" s="126" t="s">
        <v>406</v>
      </c>
      <c r="D49" s="127" t="s">
        <v>407</v>
      </c>
      <c r="E49" s="128">
        <v>2000.0</v>
      </c>
      <c r="F49" s="129">
        <v>16000.0</v>
      </c>
      <c r="G49" s="139"/>
      <c r="H49" s="139"/>
      <c r="I49" s="93">
        <v>8.0</v>
      </c>
      <c r="J49" s="93">
        <v>0.0</v>
      </c>
      <c r="K49" s="93">
        <v>0.0</v>
      </c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</row>
    <row r="50">
      <c r="A50" s="125"/>
      <c r="B50" s="126"/>
      <c r="C50" s="126" t="s">
        <v>195</v>
      </c>
      <c r="D50" s="127" t="s">
        <v>196</v>
      </c>
      <c r="E50" s="128">
        <v>15000.0</v>
      </c>
      <c r="F50" s="129">
        <v>45000.0</v>
      </c>
      <c r="G50" s="139"/>
      <c r="H50" s="139"/>
      <c r="I50" s="93">
        <v>3.0</v>
      </c>
      <c r="J50" s="93">
        <v>0.0</v>
      </c>
      <c r="K50" s="93">
        <v>0.0</v>
      </c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</row>
    <row r="51">
      <c r="A51" s="125"/>
      <c r="B51" s="126"/>
      <c r="C51" s="126" t="s">
        <v>408</v>
      </c>
      <c r="D51" s="127" t="s">
        <v>196</v>
      </c>
      <c r="E51" s="128">
        <v>15000.0</v>
      </c>
      <c r="F51" s="129">
        <v>45000.0</v>
      </c>
      <c r="G51" s="139"/>
      <c r="H51" s="139"/>
      <c r="I51" s="93">
        <v>3.0</v>
      </c>
      <c r="J51" s="93">
        <v>0.0</v>
      </c>
      <c r="K51" s="93">
        <v>0.0</v>
      </c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</row>
    <row r="52">
      <c r="A52" s="125"/>
      <c r="B52" s="126"/>
      <c r="C52" s="126" t="s">
        <v>211</v>
      </c>
      <c r="D52" s="51" t="s">
        <v>227</v>
      </c>
      <c r="E52" s="128">
        <v>450.0</v>
      </c>
      <c r="F52" s="129">
        <v>11250.0</v>
      </c>
      <c r="G52" s="139"/>
      <c r="H52" s="139"/>
      <c r="I52" s="93">
        <v>55.0</v>
      </c>
      <c r="J52" s="93">
        <v>0.0</v>
      </c>
      <c r="K52" s="93">
        <v>0.0</v>
      </c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</row>
    <row r="53">
      <c r="A53" s="125"/>
      <c r="B53" s="126"/>
      <c r="C53" s="126" t="s">
        <v>409</v>
      </c>
      <c r="D53" s="51" t="s">
        <v>210</v>
      </c>
      <c r="E53" s="128">
        <v>450.0</v>
      </c>
      <c r="F53" s="129">
        <v>11250.0</v>
      </c>
      <c r="G53" s="139"/>
      <c r="H53" s="139"/>
      <c r="I53" s="93">
        <v>25.0</v>
      </c>
      <c r="J53" s="93">
        <v>0.0</v>
      </c>
      <c r="K53" s="93">
        <v>0.0</v>
      </c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</row>
    <row r="54">
      <c r="A54" s="125"/>
      <c r="B54" s="126"/>
      <c r="C54" s="126" t="s">
        <v>194</v>
      </c>
      <c r="D54" s="51" t="s">
        <v>193</v>
      </c>
      <c r="E54" s="128">
        <v>7000.0</v>
      </c>
      <c r="F54" s="129">
        <v>70000.0</v>
      </c>
      <c r="G54" s="139"/>
      <c r="H54" s="139"/>
      <c r="I54" s="48"/>
      <c r="J54" s="48"/>
      <c r="K54" s="48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</row>
    <row r="55">
      <c r="A55" s="125"/>
      <c r="B55" s="134" t="s">
        <v>410</v>
      </c>
      <c r="C55" s="126" t="s">
        <v>214</v>
      </c>
      <c r="D55" s="51" t="s">
        <v>385</v>
      </c>
      <c r="E55" s="128">
        <v>5500.0</v>
      </c>
      <c r="F55" s="129">
        <v>55000.0</v>
      </c>
      <c r="G55" s="139"/>
      <c r="H55" s="139"/>
      <c r="I55" s="93">
        <v>10.0</v>
      </c>
      <c r="J55" s="93">
        <v>0.0</v>
      </c>
      <c r="K55" s="93">
        <v>0.0</v>
      </c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</row>
    <row r="56">
      <c r="A56" s="125"/>
      <c r="B56" s="134" t="s">
        <v>411</v>
      </c>
      <c r="C56" s="126" t="s">
        <v>412</v>
      </c>
      <c r="D56" s="51" t="s">
        <v>385</v>
      </c>
      <c r="E56" s="128">
        <v>2500.0</v>
      </c>
      <c r="F56" s="129">
        <v>25000.0</v>
      </c>
      <c r="G56" s="139"/>
      <c r="H56" s="139"/>
      <c r="I56" s="93">
        <v>10.0</v>
      </c>
      <c r="J56" s="93">
        <v>0.0</v>
      </c>
      <c r="K56" s="93">
        <v>0.0</v>
      </c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</row>
    <row r="57">
      <c r="A57" s="125"/>
      <c r="B57" s="134" t="s">
        <v>413</v>
      </c>
      <c r="C57" s="126" t="s">
        <v>414</v>
      </c>
      <c r="D57" s="51" t="s">
        <v>415</v>
      </c>
      <c r="E57" s="128">
        <v>4500.0</v>
      </c>
      <c r="F57" s="129">
        <v>135000.0</v>
      </c>
      <c r="G57" s="139"/>
      <c r="H57" s="139"/>
      <c r="I57" s="93">
        <v>30.0</v>
      </c>
      <c r="J57" s="93">
        <v>0.0</v>
      </c>
      <c r="K57" s="93">
        <v>0.0</v>
      </c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</row>
    <row r="58">
      <c r="A58" s="125"/>
      <c r="B58" s="134" t="s">
        <v>416</v>
      </c>
      <c r="C58" s="126" t="s">
        <v>417</v>
      </c>
      <c r="D58" s="51" t="s">
        <v>191</v>
      </c>
      <c r="E58" s="128">
        <v>1500.0</v>
      </c>
      <c r="F58" s="129">
        <v>30000.0</v>
      </c>
      <c r="G58" s="139"/>
      <c r="H58" s="139"/>
      <c r="I58" s="93">
        <v>10.0</v>
      </c>
      <c r="J58" s="93">
        <v>0.0</v>
      </c>
      <c r="K58" s="93">
        <v>0.0</v>
      </c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</row>
    <row r="59">
      <c r="A59" s="125"/>
      <c r="B59" s="126"/>
      <c r="C59" s="126" t="s">
        <v>418</v>
      </c>
      <c r="D59" s="51" t="s">
        <v>397</v>
      </c>
      <c r="E59" s="128">
        <v>700.0</v>
      </c>
      <c r="F59" s="129">
        <v>10500.0</v>
      </c>
      <c r="G59" s="139"/>
      <c r="H59" s="139"/>
      <c r="I59" s="93">
        <v>15.0</v>
      </c>
      <c r="J59" s="93">
        <v>0.0</v>
      </c>
      <c r="K59" s="93">
        <v>0.0</v>
      </c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</row>
    <row r="60">
      <c r="A60" s="125"/>
      <c r="B60" s="126"/>
      <c r="C60" s="126" t="s">
        <v>419</v>
      </c>
      <c r="D60" s="51" t="s">
        <v>148</v>
      </c>
      <c r="E60" s="128">
        <v>500.0</v>
      </c>
      <c r="F60" s="45">
        <f>E60*40</f>
        <v>20000</v>
      </c>
      <c r="G60" s="139"/>
      <c r="H60" s="139"/>
      <c r="I60" s="93">
        <v>40.0</v>
      </c>
      <c r="J60" s="93">
        <v>0.0</v>
      </c>
      <c r="K60" s="93">
        <v>0.0</v>
      </c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</row>
    <row r="61">
      <c r="A61" s="125"/>
      <c r="B61" s="126"/>
      <c r="C61" s="126" t="s">
        <v>420</v>
      </c>
      <c r="D61" s="51" t="s">
        <v>421</v>
      </c>
      <c r="E61" s="128">
        <v>800.0</v>
      </c>
      <c r="F61" s="45">
        <f>E61*60</f>
        <v>48000</v>
      </c>
      <c r="G61" s="139"/>
      <c r="H61" s="139"/>
      <c r="I61" s="93">
        <v>60.0</v>
      </c>
      <c r="J61" s="93">
        <v>0.0</v>
      </c>
      <c r="K61" s="93">
        <v>0.0</v>
      </c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</row>
    <row r="62">
      <c r="A62" s="125"/>
      <c r="B62" s="134" t="s">
        <v>422</v>
      </c>
      <c r="C62" s="126" t="s">
        <v>149</v>
      </c>
      <c r="D62" s="51" t="s">
        <v>150</v>
      </c>
      <c r="E62" s="128">
        <v>900.0</v>
      </c>
      <c r="F62" s="45">
        <f t="shared" ref="F62:F63" si="4">E62*20</f>
        <v>18000</v>
      </c>
      <c r="G62" s="139"/>
      <c r="H62" s="139"/>
      <c r="I62" s="93">
        <v>10.0</v>
      </c>
      <c r="J62" s="93">
        <v>0.0</v>
      </c>
      <c r="K62" s="93">
        <v>0.0</v>
      </c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39"/>
      <c r="AC62" s="139"/>
      <c r="AD62" s="139"/>
      <c r="AE62" s="139"/>
      <c r="AF62" s="139"/>
      <c r="AG62" s="139"/>
      <c r="AH62" s="139"/>
      <c r="AI62" s="139"/>
    </row>
    <row r="63">
      <c r="A63" s="125"/>
      <c r="B63" s="126"/>
      <c r="C63" s="126" t="s">
        <v>151</v>
      </c>
      <c r="D63" s="51" t="s">
        <v>150</v>
      </c>
      <c r="E63" s="128">
        <v>500.0</v>
      </c>
      <c r="F63" s="45">
        <f t="shared" si="4"/>
        <v>10000</v>
      </c>
      <c r="G63" s="139"/>
      <c r="H63" s="139"/>
      <c r="I63" s="93">
        <v>20.0</v>
      </c>
      <c r="J63" s="93">
        <v>0.0</v>
      </c>
      <c r="K63" s="93">
        <v>0.0</v>
      </c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139"/>
      <c r="AC63" s="139"/>
      <c r="AD63" s="139"/>
      <c r="AE63" s="139"/>
      <c r="AF63" s="139"/>
      <c r="AG63" s="139"/>
      <c r="AH63" s="139"/>
      <c r="AI63" s="139"/>
    </row>
    <row r="64">
      <c r="A64" s="125"/>
      <c r="B64" s="126"/>
      <c r="C64" s="126" t="s">
        <v>152</v>
      </c>
      <c r="D64" s="51" t="s">
        <v>423</v>
      </c>
      <c r="E64" s="128">
        <v>800.0</v>
      </c>
      <c r="F64" s="45">
        <f>E64*50</f>
        <v>40000</v>
      </c>
      <c r="G64" s="141"/>
      <c r="H64" s="141"/>
      <c r="I64" s="93">
        <v>50.0</v>
      </c>
      <c r="J64" s="93">
        <v>0.0</v>
      </c>
      <c r="K64" s="93">
        <v>0.0</v>
      </c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</row>
    <row r="65">
      <c r="A65" s="125"/>
      <c r="B65" s="126"/>
      <c r="C65" s="126" t="s">
        <v>424</v>
      </c>
      <c r="D65" s="127" t="s">
        <v>425</v>
      </c>
      <c r="E65" s="128">
        <v>12000.0</v>
      </c>
      <c r="F65" s="129">
        <v>120000.0</v>
      </c>
      <c r="G65" s="127" t="s">
        <v>366</v>
      </c>
      <c r="H65" s="127" t="s">
        <v>140</v>
      </c>
      <c r="I65" s="93">
        <v>10.0</v>
      </c>
      <c r="J65" s="93">
        <v>0.0</v>
      </c>
      <c r="K65" s="93">
        <v>0.0</v>
      </c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</row>
    <row r="66">
      <c r="A66" s="125"/>
      <c r="B66" s="126"/>
      <c r="C66" s="126" t="s">
        <v>154</v>
      </c>
      <c r="D66" s="127" t="s">
        <v>155</v>
      </c>
      <c r="E66" s="128">
        <v>10000.0</v>
      </c>
      <c r="F66" s="129">
        <v>40000.0</v>
      </c>
      <c r="G66" s="127" t="s">
        <v>81</v>
      </c>
      <c r="H66" s="127" t="s">
        <v>140</v>
      </c>
      <c r="I66" s="93">
        <v>4.0</v>
      </c>
      <c r="J66" s="93">
        <v>0.0</v>
      </c>
      <c r="K66" s="93">
        <v>0.0</v>
      </c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</row>
    <row r="67">
      <c r="A67" s="125"/>
      <c r="B67" s="126"/>
      <c r="C67" s="126" t="s">
        <v>157</v>
      </c>
      <c r="D67" s="127" t="s">
        <v>155</v>
      </c>
      <c r="E67" s="128">
        <v>10000.0</v>
      </c>
      <c r="F67" s="129">
        <v>40000.0</v>
      </c>
      <c r="G67" s="127" t="s">
        <v>81</v>
      </c>
      <c r="H67" s="127" t="s">
        <v>140</v>
      </c>
      <c r="I67" s="93">
        <v>4.0</v>
      </c>
      <c r="J67" s="93">
        <v>0.0</v>
      </c>
      <c r="K67" s="93">
        <v>0.0</v>
      </c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</row>
    <row r="68">
      <c r="A68" s="125"/>
      <c r="B68" s="126"/>
      <c r="C68" s="126" t="s">
        <v>158</v>
      </c>
      <c r="D68" s="127" t="s">
        <v>131</v>
      </c>
      <c r="E68" s="128">
        <v>5000.0</v>
      </c>
      <c r="F68" s="129">
        <v>125000.0</v>
      </c>
      <c r="G68" s="127" t="s">
        <v>366</v>
      </c>
      <c r="H68" s="127" t="s">
        <v>140</v>
      </c>
      <c r="I68" s="93">
        <v>25.0</v>
      </c>
      <c r="J68" s="93">
        <v>0.0</v>
      </c>
      <c r="K68" s="93">
        <v>0.0</v>
      </c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</row>
    <row r="69" ht="21.0" customHeight="1">
      <c r="A69" s="125"/>
      <c r="B69" s="126"/>
      <c r="C69" s="126" t="s">
        <v>426</v>
      </c>
      <c r="D69" s="127" t="s">
        <v>425</v>
      </c>
      <c r="E69" s="128">
        <v>8000.0</v>
      </c>
      <c r="F69" s="129">
        <v>80000.0</v>
      </c>
      <c r="G69" s="127" t="s">
        <v>366</v>
      </c>
      <c r="H69" s="127" t="s">
        <v>140</v>
      </c>
      <c r="I69" s="93">
        <v>10.0</v>
      </c>
      <c r="J69" s="93">
        <v>0.0</v>
      </c>
      <c r="K69" s="93">
        <v>0.0</v>
      </c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</row>
    <row r="70">
      <c r="A70" s="125"/>
      <c r="B70" s="126"/>
      <c r="C70" s="126" t="s">
        <v>427</v>
      </c>
      <c r="D70" s="135" t="s">
        <v>227</v>
      </c>
      <c r="E70" s="128">
        <v>2500.0</v>
      </c>
      <c r="F70" s="136">
        <v>29000.0</v>
      </c>
      <c r="G70" s="135" t="s">
        <v>81</v>
      </c>
      <c r="H70" s="135" t="s">
        <v>140</v>
      </c>
      <c r="I70" s="93">
        <v>5.0</v>
      </c>
      <c r="J70" s="93">
        <v>0.0</v>
      </c>
      <c r="K70" s="93">
        <v>0.0</v>
      </c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</row>
    <row r="71">
      <c r="A71" s="125"/>
      <c r="B71" s="126"/>
      <c r="C71" s="126" t="s">
        <v>428</v>
      </c>
      <c r="D71" s="139"/>
      <c r="E71" s="128">
        <v>900.0</v>
      </c>
      <c r="F71" s="139"/>
      <c r="G71" s="139"/>
      <c r="H71" s="139"/>
      <c r="I71" s="93">
        <v>5.0</v>
      </c>
      <c r="J71" s="93">
        <v>0.0</v>
      </c>
      <c r="K71" s="93">
        <v>0.0</v>
      </c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  <c r="AB71" s="139"/>
      <c r="AC71" s="139"/>
      <c r="AD71" s="139"/>
      <c r="AE71" s="139"/>
      <c r="AF71" s="139"/>
      <c r="AG71" s="139"/>
      <c r="AH71" s="139"/>
      <c r="AI71" s="139"/>
    </row>
    <row r="72">
      <c r="A72" s="125"/>
      <c r="B72" s="126"/>
      <c r="C72" s="126" t="s">
        <v>429</v>
      </c>
      <c r="D72" s="141"/>
      <c r="E72" s="128">
        <v>2400.0</v>
      </c>
      <c r="F72" s="141"/>
      <c r="G72" s="141"/>
      <c r="H72" s="141"/>
      <c r="I72" s="93">
        <v>5.0</v>
      </c>
      <c r="J72" s="93">
        <v>0.0</v>
      </c>
      <c r="K72" s="93">
        <v>0.0</v>
      </c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</row>
    <row r="73">
      <c r="A73" s="125"/>
      <c r="B73" s="126"/>
      <c r="C73" s="126" t="s">
        <v>430</v>
      </c>
      <c r="D73" s="138"/>
      <c r="E73" s="128">
        <v>10000.0</v>
      </c>
      <c r="F73" s="136">
        <v>100000.0</v>
      </c>
      <c r="G73" s="135" t="s">
        <v>366</v>
      </c>
      <c r="H73" s="135" t="s">
        <v>140</v>
      </c>
      <c r="I73" s="93">
        <v>5.0</v>
      </c>
      <c r="J73" s="93">
        <v>0.0</v>
      </c>
      <c r="K73" s="93">
        <v>0.0</v>
      </c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</row>
    <row r="74">
      <c r="A74" s="125"/>
      <c r="B74" s="126"/>
      <c r="C74" s="126" t="s">
        <v>431</v>
      </c>
      <c r="D74" s="141"/>
      <c r="E74" s="128">
        <v>10000.0</v>
      </c>
      <c r="F74" s="141"/>
      <c r="G74" s="141"/>
      <c r="H74" s="141"/>
      <c r="I74" s="93">
        <v>5.0</v>
      </c>
      <c r="J74" s="93">
        <v>0.0</v>
      </c>
      <c r="K74" s="93">
        <v>0.0</v>
      </c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</row>
    <row r="75">
      <c r="A75" s="125"/>
      <c r="B75" s="126"/>
      <c r="C75" s="126" t="s">
        <v>432</v>
      </c>
      <c r="D75" s="127" t="s">
        <v>433</v>
      </c>
      <c r="E75" s="128">
        <v>45000.0</v>
      </c>
      <c r="F75" s="129">
        <v>225000.0</v>
      </c>
      <c r="G75" s="127" t="s">
        <v>434</v>
      </c>
      <c r="H75" s="127" t="s">
        <v>140</v>
      </c>
      <c r="I75" s="93">
        <v>5.0</v>
      </c>
      <c r="J75" s="93">
        <v>0.0</v>
      </c>
      <c r="K75" s="93">
        <v>0.0</v>
      </c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</row>
    <row r="76">
      <c r="A76" s="125"/>
      <c r="B76" s="126"/>
      <c r="C76" s="126" t="s">
        <v>435</v>
      </c>
      <c r="D76" s="127" t="s">
        <v>433</v>
      </c>
      <c r="E76" s="128">
        <v>6000.0</v>
      </c>
      <c r="F76" s="129">
        <v>30000.0</v>
      </c>
      <c r="G76" s="127" t="s">
        <v>81</v>
      </c>
      <c r="H76" s="127" t="s">
        <v>140</v>
      </c>
      <c r="I76" s="93">
        <v>5.0</v>
      </c>
      <c r="J76" s="93">
        <v>0.0</v>
      </c>
      <c r="K76" s="93">
        <v>0.0</v>
      </c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</row>
    <row r="77">
      <c r="A77" s="125"/>
      <c r="B77" s="126"/>
      <c r="C77" s="126" t="s">
        <v>436</v>
      </c>
      <c r="D77" s="135" t="s">
        <v>227</v>
      </c>
      <c r="E77" s="128">
        <v>1000.0</v>
      </c>
      <c r="F77" s="136">
        <v>36000.0</v>
      </c>
      <c r="G77" s="135" t="s">
        <v>366</v>
      </c>
      <c r="H77" s="135" t="s">
        <v>140</v>
      </c>
      <c r="I77" s="93">
        <v>5.0</v>
      </c>
      <c r="J77" s="93">
        <v>0.0</v>
      </c>
      <c r="K77" s="93">
        <v>0.0</v>
      </c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</row>
    <row r="78">
      <c r="A78" s="125"/>
      <c r="B78" s="134" t="s">
        <v>437</v>
      </c>
      <c r="C78" s="126" t="s">
        <v>438</v>
      </c>
      <c r="D78" s="139"/>
      <c r="E78" s="128">
        <v>600.0</v>
      </c>
      <c r="F78" s="139"/>
      <c r="G78" s="139"/>
      <c r="H78" s="139"/>
      <c r="I78" s="93">
        <v>10.0</v>
      </c>
      <c r="J78" s="93">
        <v>0.0</v>
      </c>
      <c r="K78" s="93">
        <v>0.0</v>
      </c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  <c r="AA78" s="139"/>
      <c r="AB78" s="139"/>
      <c r="AC78" s="139"/>
      <c r="AD78" s="139"/>
      <c r="AE78" s="139"/>
      <c r="AF78" s="139"/>
      <c r="AG78" s="139"/>
      <c r="AH78" s="139"/>
      <c r="AI78" s="139"/>
    </row>
    <row r="79">
      <c r="A79" s="125"/>
      <c r="B79" s="126"/>
      <c r="C79" s="126" t="s">
        <v>439</v>
      </c>
      <c r="D79" s="139"/>
      <c r="E79" s="128">
        <v>1000.0</v>
      </c>
      <c r="F79" s="139"/>
      <c r="G79" s="139"/>
      <c r="H79" s="139"/>
      <c r="I79" s="93">
        <v>10.0</v>
      </c>
      <c r="J79" s="93">
        <v>0.0</v>
      </c>
      <c r="K79" s="93">
        <v>0.0</v>
      </c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  <c r="AA79" s="139"/>
      <c r="AB79" s="139"/>
      <c r="AC79" s="139"/>
      <c r="AD79" s="139"/>
      <c r="AE79" s="139"/>
      <c r="AF79" s="139"/>
      <c r="AG79" s="139"/>
      <c r="AH79" s="139"/>
      <c r="AI79" s="139"/>
    </row>
    <row r="80">
      <c r="A80" s="125"/>
      <c r="B80" s="126"/>
      <c r="C80" s="126" t="s">
        <v>440</v>
      </c>
      <c r="D80" s="139"/>
      <c r="E80" s="128">
        <v>1000.0</v>
      </c>
      <c r="F80" s="139"/>
      <c r="G80" s="139"/>
      <c r="H80" s="139"/>
      <c r="I80" s="93">
        <v>10.0</v>
      </c>
      <c r="J80" s="93">
        <v>0.0</v>
      </c>
      <c r="K80" s="93">
        <v>0.0</v>
      </c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  <c r="AA80" s="139"/>
      <c r="AB80" s="139"/>
      <c r="AC80" s="139"/>
      <c r="AD80" s="139"/>
      <c r="AE80" s="139"/>
      <c r="AF80" s="139"/>
      <c r="AG80" s="139"/>
      <c r="AH80" s="139"/>
      <c r="AI80" s="139"/>
    </row>
    <row r="81">
      <c r="A81" s="125"/>
      <c r="B81" s="126"/>
      <c r="C81" s="126" t="s">
        <v>441</v>
      </c>
      <c r="D81" s="141"/>
      <c r="E81" s="128">
        <v>500.0</v>
      </c>
      <c r="F81" s="141"/>
      <c r="G81" s="141"/>
      <c r="H81" s="141"/>
      <c r="I81" s="93">
        <v>10.0</v>
      </c>
      <c r="J81" s="93">
        <v>0.0</v>
      </c>
      <c r="K81" s="93">
        <v>0.0</v>
      </c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  <c r="AE81" s="141"/>
      <c r="AF81" s="141"/>
      <c r="AG81" s="141"/>
      <c r="AH81" s="141"/>
      <c r="AI81" s="141"/>
    </row>
    <row r="82">
      <c r="A82" s="125"/>
      <c r="B82" s="134" t="s">
        <v>442</v>
      </c>
      <c r="C82" s="126" t="s">
        <v>443</v>
      </c>
      <c r="D82" s="127" t="s">
        <v>117</v>
      </c>
      <c r="E82" s="128">
        <v>500.0</v>
      </c>
      <c r="F82" s="129">
        <v>5000.0</v>
      </c>
      <c r="G82" s="127" t="s">
        <v>81</v>
      </c>
      <c r="H82" s="127" t="s">
        <v>140</v>
      </c>
      <c r="I82" s="93">
        <v>10.0</v>
      </c>
      <c r="J82" s="93">
        <v>0.0</v>
      </c>
      <c r="K82" s="93">
        <v>0.0</v>
      </c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</row>
    <row r="83">
      <c r="A83" s="125"/>
      <c r="B83" s="134" t="s">
        <v>444</v>
      </c>
      <c r="C83" s="126" t="s">
        <v>139</v>
      </c>
      <c r="D83" s="127" t="s">
        <v>131</v>
      </c>
      <c r="E83" s="128">
        <v>1500.0</v>
      </c>
      <c r="F83" s="129">
        <v>37500.0</v>
      </c>
      <c r="G83" s="127" t="s">
        <v>81</v>
      </c>
      <c r="H83" s="127" t="s">
        <v>140</v>
      </c>
      <c r="I83" s="93">
        <v>25.0</v>
      </c>
      <c r="J83" s="93">
        <v>0.0</v>
      </c>
      <c r="K83" s="93">
        <v>0.0</v>
      </c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</row>
    <row r="84">
      <c r="A84" s="125"/>
      <c r="B84" s="126"/>
      <c r="C84" s="126" t="s">
        <v>445</v>
      </c>
      <c r="D84" s="127" t="s">
        <v>446</v>
      </c>
      <c r="E84" s="128">
        <v>5000.0</v>
      </c>
      <c r="F84" s="129">
        <f>E84*20</f>
        <v>100000</v>
      </c>
      <c r="G84" s="127" t="s">
        <v>447</v>
      </c>
      <c r="H84" s="127" t="s">
        <v>140</v>
      </c>
      <c r="I84" s="93">
        <v>0.0</v>
      </c>
      <c r="J84" s="93">
        <v>20.0</v>
      </c>
      <c r="K84" s="93">
        <v>0.0</v>
      </c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</row>
    <row r="85">
      <c r="A85" s="125"/>
      <c r="B85" s="126"/>
      <c r="C85" s="147" t="s">
        <v>448</v>
      </c>
      <c r="D85" s="132" t="s">
        <v>160</v>
      </c>
      <c r="E85" s="142">
        <v>200.0</v>
      </c>
      <c r="F85" s="129">
        <f t="shared" ref="F85:F86" si="5">E85*48</f>
        <v>9600</v>
      </c>
      <c r="G85" s="127" t="s">
        <v>81</v>
      </c>
      <c r="H85" s="127" t="s">
        <v>132</v>
      </c>
      <c r="I85" s="133">
        <v>0.0</v>
      </c>
      <c r="J85" s="93">
        <v>0.0</v>
      </c>
      <c r="K85" s="133">
        <v>48.0</v>
      </c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</row>
    <row r="86">
      <c r="A86" s="125"/>
      <c r="B86" s="126"/>
      <c r="C86" s="147" t="s">
        <v>159</v>
      </c>
      <c r="D86" s="132" t="s">
        <v>160</v>
      </c>
      <c r="E86" s="142">
        <v>100.0</v>
      </c>
      <c r="F86" s="129">
        <f t="shared" si="5"/>
        <v>4800</v>
      </c>
      <c r="G86" s="127" t="s">
        <v>81</v>
      </c>
      <c r="H86" s="127" t="s">
        <v>132</v>
      </c>
      <c r="I86" s="133">
        <v>0.0</v>
      </c>
      <c r="J86" s="93">
        <v>0.0</v>
      </c>
      <c r="K86" s="133">
        <v>48.0</v>
      </c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</row>
    <row r="87">
      <c r="A87" s="148" t="s">
        <v>222</v>
      </c>
      <c r="B87" s="149"/>
      <c r="C87" s="150" t="s">
        <v>223</v>
      </c>
      <c r="D87" s="39"/>
      <c r="E87" s="123"/>
      <c r="F87" s="124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</row>
    <row r="88">
      <c r="A88" s="125"/>
      <c r="B88" s="126"/>
      <c r="C88" s="126" t="s">
        <v>449</v>
      </c>
      <c r="D88" s="127" t="s">
        <v>450</v>
      </c>
      <c r="E88" s="128">
        <v>7000.0</v>
      </c>
      <c r="F88" s="129">
        <f>E88*30</f>
        <v>210000</v>
      </c>
      <c r="G88" s="127" t="s">
        <v>366</v>
      </c>
      <c r="H88" s="127" t="s">
        <v>132</v>
      </c>
      <c r="I88" s="93">
        <v>0.0</v>
      </c>
      <c r="J88" s="93">
        <v>30.0</v>
      </c>
      <c r="K88" s="93">
        <v>0.0</v>
      </c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</row>
    <row r="89">
      <c r="A89" s="125"/>
      <c r="B89" s="126"/>
      <c r="C89" s="126" t="s">
        <v>451</v>
      </c>
      <c r="D89" s="127" t="s">
        <v>108</v>
      </c>
      <c r="E89" s="128">
        <v>50000.0</v>
      </c>
      <c r="F89" s="129">
        <v>50000.0</v>
      </c>
      <c r="G89" s="127" t="s">
        <v>81</v>
      </c>
      <c r="H89" s="127" t="s">
        <v>132</v>
      </c>
      <c r="I89" s="93">
        <v>0.0</v>
      </c>
      <c r="J89" s="93">
        <v>1.0</v>
      </c>
      <c r="K89" s="93">
        <v>0.0</v>
      </c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</row>
    <row r="90">
      <c r="A90" s="125"/>
      <c r="B90" s="126"/>
      <c r="C90" s="126" t="s">
        <v>452</v>
      </c>
      <c r="D90" s="127" t="s">
        <v>365</v>
      </c>
      <c r="E90" s="128">
        <v>50000.0</v>
      </c>
      <c r="F90" s="129">
        <v>200000.0</v>
      </c>
      <c r="G90" s="127" t="s">
        <v>366</v>
      </c>
      <c r="H90" s="127" t="s">
        <v>132</v>
      </c>
      <c r="I90" s="93">
        <v>4.0</v>
      </c>
      <c r="J90" s="93">
        <v>0.0</v>
      </c>
      <c r="K90" s="93">
        <v>0.0</v>
      </c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</row>
    <row r="91">
      <c r="A91" s="125"/>
      <c r="B91" s="126"/>
      <c r="C91" s="126" t="s">
        <v>453</v>
      </c>
      <c r="D91" s="127" t="s">
        <v>454</v>
      </c>
      <c r="E91" s="128">
        <v>6000.0</v>
      </c>
      <c r="F91" s="129">
        <v>30000.0</v>
      </c>
      <c r="G91" s="127" t="s">
        <v>81</v>
      </c>
      <c r="H91" s="127" t="s">
        <v>132</v>
      </c>
      <c r="I91" s="93">
        <v>0.0</v>
      </c>
      <c r="J91" s="93">
        <v>5.0</v>
      </c>
      <c r="K91" s="93">
        <v>0.0</v>
      </c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</row>
    <row r="92">
      <c r="A92" s="125"/>
      <c r="B92" s="126"/>
      <c r="C92" s="126" t="s">
        <v>455</v>
      </c>
      <c r="D92" s="135" t="s">
        <v>227</v>
      </c>
      <c r="E92" s="128">
        <v>1000.0</v>
      </c>
      <c r="F92" s="136">
        <v>48000.0</v>
      </c>
      <c r="G92" s="135" t="s">
        <v>81</v>
      </c>
      <c r="H92" s="135" t="s">
        <v>132</v>
      </c>
      <c r="I92" s="93">
        <v>0.0</v>
      </c>
      <c r="J92" s="93">
        <v>10.0</v>
      </c>
      <c r="K92" s="93">
        <v>0.0</v>
      </c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</row>
    <row r="93">
      <c r="A93" s="125"/>
      <c r="B93" s="126"/>
      <c r="C93" s="126" t="s">
        <v>456</v>
      </c>
      <c r="D93" s="139"/>
      <c r="E93" s="128">
        <v>700.0</v>
      </c>
      <c r="F93" s="139"/>
      <c r="G93" s="139"/>
      <c r="H93" s="139"/>
      <c r="I93" s="93">
        <v>0.0</v>
      </c>
      <c r="J93" s="93">
        <v>25.0</v>
      </c>
      <c r="K93" s="93">
        <v>0.0</v>
      </c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</row>
    <row r="94">
      <c r="A94" s="125"/>
      <c r="B94" s="126"/>
      <c r="C94" s="126" t="s">
        <v>457</v>
      </c>
      <c r="D94" s="139"/>
      <c r="E94" s="128">
        <v>700.0</v>
      </c>
      <c r="F94" s="139"/>
      <c r="G94" s="139"/>
      <c r="H94" s="139"/>
      <c r="I94" s="93">
        <v>0.0</v>
      </c>
      <c r="J94" s="93">
        <v>15.0</v>
      </c>
      <c r="K94" s="93">
        <v>0.0</v>
      </c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  <c r="AF94" s="139"/>
      <c r="AG94" s="139"/>
      <c r="AH94" s="139"/>
      <c r="AI94" s="139"/>
    </row>
    <row r="95">
      <c r="A95" s="125"/>
      <c r="B95" s="126"/>
      <c r="C95" s="126" t="s">
        <v>458</v>
      </c>
      <c r="D95" s="141"/>
      <c r="E95" s="128">
        <v>1000.0</v>
      </c>
      <c r="F95" s="141"/>
      <c r="G95" s="141"/>
      <c r="H95" s="141"/>
      <c r="I95" s="93">
        <v>0.0</v>
      </c>
      <c r="J95" s="93">
        <v>10.0</v>
      </c>
      <c r="K95" s="93">
        <v>0.0</v>
      </c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  <c r="AD95" s="141"/>
      <c r="AE95" s="141"/>
      <c r="AF95" s="141"/>
      <c r="AG95" s="141"/>
      <c r="AH95" s="141"/>
      <c r="AI95" s="141"/>
    </row>
    <row r="96">
      <c r="A96" s="125"/>
      <c r="B96" s="126"/>
      <c r="C96" s="126" t="s">
        <v>459</v>
      </c>
      <c r="D96" s="127" t="s">
        <v>120</v>
      </c>
      <c r="E96" s="128">
        <v>700.0</v>
      </c>
      <c r="F96" s="129">
        <v>3500.0</v>
      </c>
      <c r="G96" s="127" t="s">
        <v>81</v>
      </c>
      <c r="H96" s="127" t="s">
        <v>132</v>
      </c>
      <c r="I96" s="93">
        <v>0.0</v>
      </c>
      <c r="J96" s="93">
        <v>5.0</v>
      </c>
      <c r="K96" s="93">
        <v>0.0</v>
      </c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</row>
    <row r="97">
      <c r="A97" s="125"/>
      <c r="B97" s="126"/>
      <c r="C97" s="126" t="s">
        <v>460</v>
      </c>
      <c r="D97" s="127" t="s">
        <v>433</v>
      </c>
      <c r="E97" s="128">
        <v>1500.0</v>
      </c>
      <c r="F97" s="129">
        <v>7500.0</v>
      </c>
      <c r="G97" s="127" t="s">
        <v>81</v>
      </c>
      <c r="H97" s="127" t="s">
        <v>132</v>
      </c>
      <c r="I97" s="93">
        <v>0.0</v>
      </c>
      <c r="J97" s="93">
        <v>5.0</v>
      </c>
      <c r="K97" s="93">
        <v>0.0</v>
      </c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</row>
    <row r="98">
      <c r="A98" s="125"/>
      <c r="B98" s="126"/>
      <c r="C98" s="126" t="s">
        <v>461</v>
      </c>
      <c r="D98" s="127" t="s">
        <v>462</v>
      </c>
      <c r="E98" s="128">
        <v>500.0</v>
      </c>
      <c r="F98" s="129">
        <v>2500.0</v>
      </c>
      <c r="G98" s="127" t="s">
        <v>81</v>
      </c>
      <c r="H98" s="127" t="s">
        <v>132</v>
      </c>
      <c r="I98" s="93">
        <v>0.0</v>
      </c>
      <c r="J98" s="93">
        <v>25.0</v>
      </c>
      <c r="K98" s="93">
        <v>0.0</v>
      </c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</row>
    <row r="99">
      <c r="A99" s="125"/>
      <c r="B99" s="126"/>
      <c r="C99" s="126" t="s">
        <v>463</v>
      </c>
      <c r="D99" s="127" t="s">
        <v>464</v>
      </c>
      <c r="E99" s="128">
        <v>200.0</v>
      </c>
      <c r="F99" s="129">
        <v>10000.0</v>
      </c>
      <c r="G99" s="127" t="s">
        <v>81</v>
      </c>
      <c r="H99" s="127" t="s">
        <v>132</v>
      </c>
      <c r="I99" s="93">
        <v>0.0</v>
      </c>
      <c r="J99" s="93">
        <v>50.0</v>
      </c>
      <c r="K99" s="93">
        <v>0.0</v>
      </c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</row>
    <row r="100">
      <c r="A100" s="125"/>
      <c r="B100" s="126"/>
      <c r="C100" s="126" t="s">
        <v>465</v>
      </c>
      <c r="D100" s="127" t="s">
        <v>295</v>
      </c>
      <c r="E100" s="128">
        <v>6500.0</v>
      </c>
      <c r="F100" s="129">
        <v>32500.0</v>
      </c>
      <c r="G100" s="127" t="s">
        <v>81</v>
      </c>
      <c r="H100" s="127" t="s">
        <v>132</v>
      </c>
      <c r="I100" s="93">
        <v>0.0</v>
      </c>
      <c r="J100" s="93">
        <v>5.0</v>
      </c>
      <c r="K100" s="93">
        <v>0.0</v>
      </c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</row>
    <row r="101">
      <c r="A101" s="125"/>
      <c r="B101" s="126"/>
      <c r="C101" s="126" t="s">
        <v>466</v>
      </c>
      <c r="D101" s="127" t="s">
        <v>263</v>
      </c>
      <c r="E101" s="128">
        <v>1000.0</v>
      </c>
      <c r="F101" s="129">
        <v>15000.0</v>
      </c>
      <c r="G101" s="127" t="s">
        <v>81</v>
      </c>
      <c r="H101" s="127" t="s">
        <v>132</v>
      </c>
      <c r="I101" s="93">
        <v>0.0</v>
      </c>
      <c r="J101" s="93">
        <v>15.0</v>
      </c>
      <c r="K101" s="93">
        <v>0.0</v>
      </c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</row>
    <row r="102">
      <c r="A102" s="125"/>
      <c r="B102" s="48"/>
      <c r="C102" s="48" t="s">
        <v>467</v>
      </c>
      <c r="D102" s="93" t="s">
        <v>468</v>
      </c>
      <c r="E102" s="140">
        <v>980.0</v>
      </c>
      <c r="F102" s="140">
        <v>98000.0</v>
      </c>
      <c r="G102" s="127" t="s">
        <v>366</v>
      </c>
      <c r="H102" s="48" t="s">
        <v>132</v>
      </c>
      <c r="I102" s="93">
        <v>100.0</v>
      </c>
      <c r="J102" s="93">
        <v>0.0</v>
      </c>
      <c r="K102" s="93">
        <v>0.0</v>
      </c>
      <c r="L102" s="138" t="s">
        <v>469</v>
      </c>
      <c r="M102" s="138" t="s">
        <v>470</v>
      </c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38"/>
      <c r="AH102" s="138"/>
      <c r="AI102" s="138" t="s">
        <v>471</v>
      </c>
    </row>
    <row r="103">
      <c r="A103" s="125"/>
      <c r="B103" s="48"/>
      <c r="C103" s="48" t="s">
        <v>472</v>
      </c>
      <c r="D103" s="93" t="s">
        <v>468</v>
      </c>
      <c r="E103" s="140">
        <v>980.0</v>
      </c>
      <c r="F103" s="140">
        <v>98000.0</v>
      </c>
      <c r="G103" s="127" t="s">
        <v>366</v>
      </c>
      <c r="H103" s="48" t="s">
        <v>132</v>
      </c>
      <c r="I103" s="93">
        <v>100.0</v>
      </c>
      <c r="J103" s="93">
        <v>0.0</v>
      </c>
      <c r="K103" s="93">
        <v>0.0</v>
      </c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  <c r="AA103" s="139"/>
      <c r="AB103" s="139"/>
      <c r="AC103" s="139"/>
      <c r="AD103" s="139"/>
      <c r="AE103" s="139"/>
      <c r="AF103" s="139"/>
      <c r="AG103" s="139"/>
      <c r="AH103" s="139"/>
      <c r="AI103" s="139"/>
    </row>
    <row r="104">
      <c r="A104" s="125"/>
      <c r="B104" s="48"/>
      <c r="C104" s="48" t="s">
        <v>473</v>
      </c>
      <c r="D104" s="93" t="s">
        <v>468</v>
      </c>
      <c r="E104" s="140">
        <v>980.0</v>
      </c>
      <c r="F104" s="140">
        <v>98000.0</v>
      </c>
      <c r="G104" s="127" t="s">
        <v>366</v>
      </c>
      <c r="H104" s="48" t="s">
        <v>132</v>
      </c>
      <c r="I104" s="93">
        <v>100.0</v>
      </c>
      <c r="J104" s="93">
        <v>0.0</v>
      </c>
      <c r="K104" s="93">
        <v>0.0</v>
      </c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  <c r="AA104" s="139"/>
      <c r="AB104" s="139"/>
      <c r="AC104" s="139"/>
      <c r="AD104" s="139"/>
      <c r="AE104" s="139"/>
      <c r="AF104" s="139"/>
      <c r="AG104" s="139"/>
      <c r="AH104" s="139"/>
      <c r="AI104" s="139"/>
    </row>
    <row r="105">
      <c r="A105" s="125"/>
      <c r="B105" s="48"/>
      <c r="C105" s="48" t="s">
        <v>474</v>
      </c>
      <c r="D105" s="93" t="s">
        <v>468</v>
      </c>
      <c r="E105" s="140">
        <v>980.0</v>
      </c>
      <c r="F105" s="140">
        <v>98000.0</v>
      </c>
      <c r="G105" s="127" t="s">
        <v>366</v>
      </c>
      <c r="H105" s="48" t="s">
        <v>132</v>
      </c>
      <c r="I105" s="93">
        <v>100.0</v>
      </c>
      <c r="J105" s="93">
        <v>0.0</v>
      </c>
      <c r="K105" s="93">
        <v>0.0</v>
      </c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/>
      <c r="AE105" s="141"/>
      <c r="AF105" s="141"/>
      <c r="AG105" s="141"/>
      <c r="AH105" s="141"/>
      <c r="AI105" s="141"/>
    </row>
    <row r="106">
      <c r="A106" s="125"/>
      <c r="B106" s="48"/>
      <c r="C106" s="48" t="s">
        <v>475</v>
      </c>
      <c r="D106" s="93" t="s">
        <v>476</v>
      </c>
      <c r="E106" s="140">
        <v>8000.0</v>
      </c>
      <c r="F106" s="140">
        <v>56000.0</v>
      </c>
      <c r="G106" s="127" t="s">
        <v>366</v>
      </c>
      <c r="H106" s="48" t="s">
        <v>132</v>
      </c>
      <c r="I106" s="93">
        <v>7.0</v>
      </c>
      <c r="J106" s="93">
        <v>0.0</v>
      </c>
      <c r="K106" s="93">
        <v>0.0</v>
      </c>
      <c r="L106" s="48" t="s">
        <v>477</v>
      </c>
      <c r="M106" s="48" t="s">
        <v>478</v>
      </c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 t="s">
        <v>479</v>
      </c>
    </row>
    <row r="107">
      <c r="A107" s="125"/>
      <c r="B107" s="48"/>
      <c r="C107" s="48" t="s">
        <v>480</v>
      </c>
      <c r="D107" s="93" t="s">
        <v>227</v>
      </c>
      <c r="E107" s="140">
        <v>5000.0</v>
      </c>
      <c r="F107" s="140">
        <v>5000.0</v>
      </c>
      <c r="G107" s="93" t="s">
        <v>81</v>
      </c>
      <c r="H107" s="48" t="s">
        <v>132</v>
      </c>
      <c r="I107" s="93">
        <v>1.0</v>
      </c>
      <c r="J107" s="93">
        <v>0.0</v>
      </c>
      <c r="K107" s="93">
        <v>0.0</v>
      </c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</row>
    <row r="108">
      <c r="A108" s="125"/>
      <c r="B108" s="48"/>
      <c r="C108" s="48" t="s">
        <v>481</v>
      </c>
      <c r="D108" s="93" t="s">
        <v>291</v>
      </c>
      <c r="E108" s="140">
        <v>15000.0</v>
      </c>
      <c r="F108" s="140">
        <v>150000.0</v>
      </c>
      <c r="G108" s="127" t="s">
        <v>366</v>
      </c>
      <c r="H108" s="48" t="s">
        <v>132</v>
      </c>
      <c r="I108" s="93">
        <v>2.0</v>
      </c>
      <c r="J108" s="93">
        <v>4.0</v>
      </c>
      <c r="K108" s="93">
        <v>4.0</v>
      </c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</row>
    <row r="109">
      <c r="A109" s="125"/>
      <c r="B109" s="48"/>
      <c r="C109" s="48" t="s">
        <v>482</v>
      </c>
      <c r="D109" s="132" t="s">
        <v>483</v>
      </c>
      <c r="E109" s="128">
        <v>95.0</v>
      </c>
      <c r="F109" s="128">
        <v>47500.0</v>
      </c>
      <c r="G109" s="127" t="s">
        <v>366</v>
      </c>
      <c r="H109" s="127"/>
      <c r="I109" s="93"/>
      <c r="J109" s="93"/>
      <c r="K109" s="93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 t="s">
        <v>484</v>
      </c>
    </row>
    <row r="110">
      <c r="A110" s="125"/>
      <c r="B110" s="48"/>
      <c r="C110" s="144" t="s">
        <v>485</v>
      </c>
      <c r="D110" s="132" t="s">
        <v>113</v>
      </c>
      <c r="E110" s="142">
        <v>1000.0</v>
      </c>
      <c r="F110" s="128">
        <f>E110*20</f>
        <v>20000</v>
      </c>
      <c r="G110" s="127" t="s">
        <v>81</v>
      </c>
      <c r="H110" s="127" t="s">
        <v>132</v>
      </c>
      <c r="I110" s="93">
        <v>0.0</v>
      </c>
      <c r="J110" s="133">
        <v>0.0</v>
      </c>
      <c r="K110" s="133">
        <v>20.0</v>
      </c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</row>
    <row r="111">
      <c r="A111" s="125"/>
      <c r="B111" s="48"/>
      <c r="C111" s="144" t="s">
        <v>486</v>
      </c>
      <c r="D111" s="132" t="s">
        <v>84</v>
      </c>
      <c r="E111" s="142">
        <v>15000.0</v>
      </c>
      <c r="F111" s="128">
        <f>E111*2</f>
        <v>30000</v>
      </c>
      <c r="G111" s="127" t="s">
        <v>81</v>
      </c>
      <c r="H111" s="127" t="s">
        <v>132</v>
      </c>
      <c r="I111" s="93">
        <v>0.0</v>
      </c>
      <c r="J111" s="133">
        <v>0.0</v>
      </c>
      <c r="K111" s="133">
        <v>2.0</v>
      </c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</row>
    <row r="112">
      <c r="A112" s="125"/>
      <c r="B112" s="48"/>
      <c r="C112" s="144" t="s">
        <v>487</v>
      </c>
      <c r="D112" s="132" t="s">
        <v>488</v>
      </c>
      <c r="E112" s="142">
        <v>4500.0</v>
      </c>
      <c r="F112" s="128">
        <f t="shared" ref="F112:F113" si="6">E112*7</f>
        <v>31500</v>
      </c>
      <c r="G112" s="127" t="s">
        <v>81</v>
      </c>
      <c r="H112" s="127" t="s">
        <v>132</v>
      </c>
      <c r="I112" s="93">
        <v>0.0</v>
      </c>
      <c r="J112" s="133">
        <v>0.0</v>
      </c>
      <c r="K112" s="133">
        <v>7.0</v>
      </c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</row>
    <row r="113">
      <c r="A113" s="125"/>
      <c r="B113" s="48"/>
      <c r="C113" s="144" t="s">
        <v>489</v>
      </c>
      <c r="D113" s="132" t="s">
        <v>488</v>
      </c>
      <c r="E113" s="142">
        <v>2000.0</v>
      </c>
      <c r="F113" s="128">
        <f t="shared" si="6"/>
        <v>14000</v>
      </c>
      <c r="G113" s="127" t="s">
        <v>81</v>
      </c>
      <c r="H113" s="127" t="s">
        <v>132</v>
      </c>
      <c r="I113" s="93">
        <v>0.0</v>
      </c>
      <c r="J113" s="133">
        <v>0.0</v>
      </c>
      <c r="K113" s="133">
        <v>7.0</v>
      </c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</row>
    <row r="114">
      <c r="A114" s="125"/>
      <c r="B114" s="48"/>
      <c r="C114" s="144" t="s">
        <v>490</v>
      </c>
      <c r="D114" s="132" t="s">
        <v>227</v>
      </c>
      <c r="E114" s="142">
        <v>50000.0</v>
      </c>
      <c r="F114" s="142">
        <v>50000.0</v>
      </c>
      <c r="G114" s="127" t="s">
        <v>366</v>
      </c>
      <c r="H114" s="127" t="s">
        <v>132</v>
      </c>
      <c r="I114" s="93">
        <v>0.0</v>
      </c>
      <c r="J114" s="133">
        <v>0.0</v>
      </c>
      <c r="K114" s="133">
        <v>1.0</v>
      </c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</row>
    <row r="115">
      <c r="A115" s="125"/>
      <c r="B115" s="48"/>
      <c r="C115" s="144" t="s">
        <v>491</v>
      </c>
      <c r="D115" s="132" t="s">
        <v>80</v>
      </c>
      <c r="E115" s="142">
        <v>20000.0</v>
      </c>
      <c r="F115" s="142">
        <f>E115*1</f>
        <v>20000</v>
      </c>
      <c r="G115" s="132" t="s">
        <v>81</v>
      </c>
      <c r="H115" s="127" t="s">
        <v>132</v>
      </c>
      <c r="I115" s="133">
        <v>0.0</v>
      </c>
      <c r="J115" s="133">
        <v>0.0</v>
      </c>
      <c r="K115" s="133">
        <v>1.0</v>
      </c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</row>
    <row r="116">
      <c r="A116" s="125"/>
      <c r="B116" s="48"/>
      <c r="C116" s="144" t="s">
        <v>492</v>
      </c>
      <c r="D116" s="132" t="s">
        <v>120</v>
      </c>
      <c r="E116" s="142">
        <v>500.0</v>
      </c>
      <c r="F116" s="142">
        <f>E116*5</f>
        <v>2500</v>
      </c>
      <c r="G116" s="132" t="s">
        <v>81</v>
      </c>
      <c r="H116" s="127" t="s">
        <v>132</v>
      </c>
      <c r="I116" s="133">
        <v>0.0</v>
      </c>
      <c r="J116" s="133">
        <v>0.0</v>
      </c>
      <c r="K116" s="133">
        <v>1.0</v>
      </c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</row>
    <row r="117">
      <c r="A117" s="121" t="s">
        <v>288</v>
      </c>
      <c r="B117" s="39"/>
      <c r="C117" s="146" t="s">
        <v>289</v>
      </c>
      <c r="D117" s="39"/>
      <c r="E117" s="123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</row>
    <row r="118">
      <c r="A118" s="125"/>
      <c r="B118" s="126"/>
      <c r="C118" s="126" t="s">
        <v>292</v>
      </c>
      <c r="D118" s="127" t="s">
        <v>295</v>
      </c>
      <c r="E118" s="128">
        <v>10000.0</v>
      </c>
      <c r="F118" s="129">
        <v>50000.0</v>
      </c>
      <c r="G118" s="127" t="s">
        <v>366</v>
      </c>
      <c r="H118" s="93" t="s">
        <v>493</v>
      </c>
      <c r="I118" s="93">
        <v>0.0</v>
      </c>
      <c r="J118" s="93">
        <v>5.0</v>
      </c>
      <c r="K118" s="93">
        <v>0.0</v>
      </c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</row>
    <row r="119">
      <c r="A119" s="125"/>
      <c r="B119" s="126"/>
      <c r="C119" s="126" t="s">
        <v>494</v>
      </c>
      <c r="D119" s="127" t="s">
        <v>495</v>
      </c>
      <c r="E119" s="128">
        <v>2500.0</v>
      </c>
      <c r="F119" s="129">
        <v>312500.0</v>
      </c>
      <c r="G119" s="127" t="s">
        <v>366</v>
      </c>
      <c r="H119" s="93" t="s">
        <v>493</v>
      </c>
      <c r="I119" s="93">
        <v>125.0</v>
      </c>
      <c r="J119" s="93">
        <v>0.0</v>
      </c>
      <c r="K119" s="93">
        <v>0.0</v>
      </c>
      <c r="L119" s="48" t="s">
        <v>496</v>
      </c>
      <c r="M119" s="48" t="s">
        <v>497</v>
      </c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 t="s">
        <v>498</v>
      </c>
    </row>
    <row r="120">
      <c r="A120" s="125"/>
      <c r="B120" s="126"/>
      <c r="C120" s="126" t="s">
        <v>499</v>
      </c>
      <c r="D120" s="127" t="s">
        <v>291</v>
      </c>
      <c r="E120" s="128">
        <v>1500.0</v>
      </c>
      <c r="F120" s="129">
        <v>15000.0</v>
      </c>
      <c r="G120" s="127" t="s">
        <v>500</v>
      </c>
      <c r="H120" s="93" t="s">
        <v>493</v>
      </c>
      <c r="I120" s="93">
        <v>2.0</v>
      </c>
      <c r="J120" s="93">
        <v>4.0</v>
      </c>
      <c r="K120" s="93">
        <v>4.0</v>
      </c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</row>
    <row r="121">
      <c r="A121" s="125"/>
      <c r="B121" s="48"/>
      <c r="C121" s="151" t="s">
        <v>501</v>
      </c>
      <c r="D121" s="127" t="s">
        <v>227</v>
      </c>
      <c r="E121" s="128">
        <v>49999.0</v>
      </c>
      <c r="F121" s="129">
        <v>49999.0</v>
      </c>
      <c r="G121" s="127"/>
      <c r="H121" s="127" t="s">
        <v>502</v>
      </c>
      <c r="I121" s="133">
        <v>0.0</v>
      </c>
      <c r="J121" s="133">
        <v>1.0</v>
      </c>
      <c r="K121" s="133">
        <v>0.0</v>
      </c>
      <c r="L121" s="48" t="s">
        <v>503</v>
      </c>
      <c r="M121" s="152" t="s">
        <v>504</v>
      </c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 t="s">
        <v>505</v>
      </c>
    </row>
    <row r="122">
      <c r="A122" s="125"/>
      <c r="B122" s="48"/>
      <c r="C122" s="130" t="s">
        <v>506</v>
      </c>
      <c r="D122" s="127" t="s">
        <v>507</v>
      </c>
      <c r="E122" s="128">
        <v>49999.0</v>
      </c>
      <c r="F122" s="129">
        <v>149997.0</v>
      </c>
      <c r="G122" s="127"/>
      <c r="H122" s="127" t="s">
        <v>502</v>
      </c>
      <c r="I122" s="133">
        <v>0.0</v>
      </c>
      <c r="J122" s="133">
        <v>3.0</v>
      </c>
      <c r="K122" s="133">
        <v>0.0</v>
      </c>
      <c r="L122" s="48" t="s">
        <v>508</v>
      </c>
      <c r="M122" s="48" t="s">
        <v>509</v>
      </c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 t="s">
        <v>510</v>
      </c>
    </row>
    <row r="123">
      <c r="A123" s="125"/>
      <c r="B123" s="48"/>
      <c r="C123" s="131" t="s">
        <v>511</v>
      </c>
      <c r="D123" s="132" t="s">
        <v>512</v>
      </c>
      <c r="E123" s="142">
        <v>1100.0</v>
      </c>
      <c r="F123" s="129">
        <f>E123*32</f>
        <v>35200</v>
      </c>
      <c r="G123" s="127"/>
      <c r="H123" s="127" t="s">
        <v>502</v>
      </c>
      <c r="I123" s="133">
        <v>0.0</v>
      </c>
      <c r="J123" s="133">
        <v>0.0</v>
      </c>
      <c r="K123" s="133">
        <v>32.0</v>
      </c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</row>
    <row r="124">
      <c r="A124" s="125"/>
      <c r="B124" s="48"/>
      <c r="C124" s="131" t="s">
        <v>513</v>
      </c>
      <c r="D124" s="132" t="s">
        <v>227</v>
      </c>
      <c r="E124" s="142">
        <v>50000.0</v>
      </c>
      <c r="F124" s="129">
        <f>E124*1</f>
        <v>50000</v>
      </c>
      <c r="G124" s="127"/>
      <c r="H124" s="132" t="s">
        <v>132</v>
      </c>
      <c r="I124" s="133">
        <v>0.0</v>
      </c>
      <c r="J124" s="133">
        <v>0.0</v>
      </c>
      <c r="K124" s="133">
        <v>1.0</v>
      </c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</row>
    <row r="125">
      <c r="A125" s="121"/>
      <c r="B125" s="149"/>
      <c r="C125" s="153" t="s">
        <v>329</v>
      </c>
      <c r="D125" s="39"/>
      <c r="E125" s="123"/>
      <c r="F125" s="124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</row>
    <row r="126">
      <c r="A126" s="154"/>
      <c r="B126" s="155"/>
      <c r="C126" s="156" t="s">
        <v>514</v>
      </c>
      <c r="D126" s="157" t="s">
        <v>227</v>
      </c>
      <c r="E126" s="142">
        <v>300000.0</v>
      </c>
      <c r="F126" s="142">
        <v>300000.0</v>
      </c>
      <c r="G126" s="132" t="s">
        <v>515</v>
      </c>
      <c r="H126" s="93" t="s">
        <v>516</v>
      </c>
      <c r="I126" s="133">
        <v>0.0</v>
      </c>
      <c r="J126" s="93">
        <v>0.0</v>
      </c>
      <c r="K126" s="133">
        <v>1.0</v>
      </c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</row>
    <row r="127">
      <c r="A127" s="121" t="s">
        <v>303</v>
      </c>
      <c r="B127" s="149"/>
      <c r="C127" s="150" t="s">
        <v>304</v>
      </c>
      <c r="D127" s="39"/>
      <c r="E127" s="123"/>
      <c r="F127" s="124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</row>
    <row r="128">
      <c r="A128" s="125"/>
      <c r="B128" s="48"/>
      <c r="C128" s="48" t="s">
        <v>304</v>
      </c>
      <c r="D128" s="132" t="s">
        <v>517</v>
      </c>
      <c r="E128" s="128">
        <v>1000.0</v>
      </c>
      <c r="F128" s="129">
        <f>1000*15</f>
        <v>15000</v>
      </c>
      <c r="G128" s="127" t="s">
        <v>283</v>
      </c>
      <c r="H128" s="93" t="s">
        <v>516</v>
      </c>
      <c r="I128" s="133">
        <v>0.0</v>
      </c>
      <c r="J128" s="93">
        <v>0.0</v>
      </c>
      <c r="K128" s="133">
        <v>15.0</v>
      </c>
      <c r="L128" s="48" t="s">
        <v>518</v>
      </c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</row>
    <row r="129">
      <c r="A129" s="125"/>
      <c r="B129" s="48"/>
      <c r="C129" s="130" t="s">
        <v>519</v>
      </c>
      <c r="D129" s="127" t="s">
        <v>227</v>
      </c>
      <c r="E129" s="128">
        <v>2000.0</v>
      </c>
      <c r="F129" s="129">
        <v>2000.0</v>
      </c>
      <c r="G129" s="127" t="s">
        <v>283</v>
      </c>
      <c r="H129" s="93" t="s">
        <v>516</v>
      </c>
      <c r="I129" s="93">
        <v>0.0</v>
      </c>
      <c r="J129" s="93">
        <v>0.0</v>
      </c>
      <c r="K129" s="93">
        <v>1.0</v>
      </c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 t="s">
        <v>520</v>
      </c>
    </row>
    <row r="130">
      <c r="A130" s="159"/>
      <c r="B130" s="48"/>
      <c r="C130" s="130" t="s">
        <v>521</v>
      </c>
      <c r="D130" s="127" t="s">
        <v>227</v>
      </c>
      <c r="E130" s="128">
        <v>3000.0</v>
      </c>
      <c r="F130" s="129">
        <v>3000.0</v>
      </c>
      <c r="G130" s="127" t="s">
        <v>283</v>
      </c>
      <c r="H130" s="93" t="s">
        <v>516</v>
      </c>
      <c r="I130" s="93">
        <v>0.0</v>
      </c>
      <c r="J130" s="93">
        <v>0.0</v>
      </c>
      <c r="K130" s="93">
        <v>1.0</v>
      </c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 t="s">
        <v>522</v>
      </c>
    </row>
    <row r="131">
      <c r="A131" s="121" t="s">
        <v>308</v>
      </c>
      <c r="B131" s="39"/>
      <c r="C131" s="146" t="s">
        <v>309</v>
      </c>
      <c r="D131" s="39"/>
      <c r="E131" s="123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</row>
    <row r="132">
      <c r="A132" s="125"/>
      <c r="B132" s="48"/>
      <c r="C132" s="48" t="s">
        <v>309</v>
      </c>
      <c r="D132" s="93" t="s">
        <v>311</v>
      </c>
      <c r="E132" s="145">
        <v>600000.0</v>
      </c>
      <c r="F132" s="140">
        <f>E132*3</f>
        <v>1800000</v>
      </c>
      <c r="G132" s="127" t="s">
        <v>366</v>
      </c>
      <c r="H132" s="93" t="s">
        <v>493</v>
      </c>
      <c r="I132" s="93">
        <v>0.0</v>
      </c>
      <c r="J132" s="133">
        <v>0.0</v>
      </c>
      <c r="K132" s="133">
        <v>3.0</v>
      </c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</row>
    <row r="133">
      <c r="A133" s="121" t="s">
        <v>331</v>
      </c>
      <c r="B133" s="39"/>
      <c r="C133" s="146" t="s">
        <v>332</v>
      </c>
      <c r="D133" s="39"/>
      <c r="E133" s="123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</row>
    <row r="134">
      <c r="A134" s="125"/>
      <c r="B134" s="48"/>
      <c r="C134" s="48" t="s">
        <v>336</v>
      </c>
      <c r="D134" s="127" t="s">
        <v>227</v>
      </c>
      <c r="E134" s="128">
        <v>200000.0</v>
      </c>
      <c r="F134" s="128">
        <v>200000.0</v>
      </c>
      <c r="G134" s="127" t="s">
        <v>366</v>
      </c>
      <c r="H134" s="127" t="s">
        <v>140</v>
      </c>
      <c r="I134" s="93">
        <v>1.0</v>
      </c>
      <c r="J134" s="93">
        <v>0.0</v>
      </c>
      <c r="K134" s="93">
        <v>0.0</v>
      </c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</row>
    <row r="135">
      <c r="A135" s="125"/>
      <c r="B135" s="48"/>
      <c r="C135" s="48" t="s">
        <v>338</v>
      </c>
      <c r="D135" s="127" t="s">
        <v>227</v>
      </c>
      <c r="E135" s="128">
        <v>200000.0</v>
      </c>
      <c r="F135" s="128">
        <v>200000.0</v>
      </c>
      <c r="G135" s="127" t="s">
        <v>366</v>
      </c>
      <c r="H135" s="127" t="s">
        <v>140</v>
      </c>
      <c r="I135" s="93">
        <v>0.0</v>
      </c>
      <c r="J135" s="93">
        <v>1.0</v>
      </c>
      <c r="K135" s="93">
        <v>0.0</v>
      </c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</row>
    <row r="136">
      <c r="A136" s="125"/>
      <c r="B136" s="48"/>
      <c r="C136" s="48" t="s">
        <v>335</v>
      </c>
      <c r="D136" s="127" t="s">
        <v>227</v>
      </c>
      <c r="E136" s="128">
        <v>200000.0</v>
      </c>
      <c r="F136" s="128">
        <v>200000.0</v>
      </c>
      <c r="G136" s="127" t="s">
        <v>366</v>
      </c>
      <c r="H136" s="127" t="s">
        <v>523</v>
      </c>
      <c r="I136" s="93">
        <v>1.0</v>
      </c>
      <c r="J136" s="93">
        <v>0.0</v>
      </c>
      <c r="K136" s="93">
        <v>0.0</v>
      </c>
      <c r="L136" s="48" t="s">
        <v>524</v>
      </c>
      <c r="M136" s="48" t="s">
        <v>525</v>
      </c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 t="s">
        <v>388</v>
      </c>
    </row>
    <row r="137">
      <c r="A137" s="125"/>
      <c r="B137" s="48"/>
      <c r="C137" s="48" t="s">
        <v>526</v>
      </c>
      <c r="D137" s="127" t="s">
        <v>227</v>
      </c>
      <c r="E137" s="128">
        <v>2000000.0</v>
      </c>
      <c r="F137" s="128">
        <v>2000000.0</v>
      </c>
      <c r="G137" s="93" t="s">
        <v>527</v>
      </c>
      <c r="H137" s="127" t="s">
        <v>523</v>
      </c>
      <c r="I137" s="93">
        <v>1.0</v>
      </c>
      <c r="J137" s="93">
        <v>0.0</v>
      </c>
      <c r="K137" s="93">
        <v>0.0</v>
      </c>
      <c r="L137" s="152" t="s">
        <v>528</v>
      </c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 t="s">
        <v>529</v>
      </c>
    </row>
    <row r="138">
      <c r="A138" s="125"/>
      <c r="B138" s="48"/>
      <c r="C138" s="48" t="s">
        <v>339</v>
      </c>
      <c r="D138" s="127" t="s">
        <v>227</v>
      </c>
      <c r="E138" s="128">
        <v>200000.0</v>
      </c>
      <c r="F138" s="128">
        <v>200000.0</v>
      </c>
      <c r="G138" s="127" t="s">
        <v>366</v>
      </c>
      <c r="H138" s="127" t="s">
        <v>523</v>
      </c>
      <c r="I138" s="93">
        <v>1.0</v>
      </c>
      <c r="J138" s="93">
        <v>0.0</v>
      </c>
      <c r="K138" s="93">
        <v>0.0</v>
      </c>
      <c r="L138" s="152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 t="s">
        <v>530</v>
      </c>
    </row>
    <row r="139">
      <c r="A139" s="125"/>
      <c r="B139" s="48"/>
      <c r="C139" s="48" t="s">
        <v>334</v>
      </c>
      <c r="D139" s="127" t="s">
        <v>227</v>
      </c>
      <c r="E139" s="128">
        <v>250000.0</v>
      </c>
      <c r="F139" s="128">
        <v>250000.0</v>
      </c>
      <c r="G139" s="127" t="s">
        <v>366</v>
      </c>
      <c r="H139" s="127" t="s">
        <v>523</v>
      </c>
      <c r="I139" s="93">
        <v>1.0</v>
      </c>
      <c r="J139" s="93">
        <v>0.0</v>
      </c>
      <c r="K139" s="93">
        <v>0.0</v>
      </c>
      <c r="L139" s="152" t="s">
        <v>531</v>
      </c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 t="s">
        <v>529</v>
      </c>
    </row>
    <row r="140">
      <c r="A140" s="160"/>
      <c r="B140" s="161"/>
      <c r="C140" s="162" t="s">
        <v>283</v>
      </c>
      <c r="D140" s="163"/>
      <c r="E140" s="164"/>
      <c r="F140" s="164"/>
      <c r="G140" s="163"/>
      <c r="H140" s="163"/>
      <c r="I140" s="165"/>
      <c r="J140" s="165"/>
      <c r="K140" s="165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</row>
    <row r="141">
      <c r="A141" s="125"/>
      <c r="B141" s="48"/>
      <c r="C141" s="48" t="s">
        <v>532</v>
      </c>
      <c r="D141" s="127" t="s">
        <v>533</v>
      </c>
      <c r="E141" s="128">
        <v>150.0</v>
      </c>
      <c r="F141" s="128">
        <v>1650.0</v>
      </c>
      <c r="G141" s="127" t="s">
        <v>283</v>
      </c>
      <c r="H141" s="93" t="s">
        <v>516</v>
      </c>
      <c r="I141" s="93">
        <v>0.0</v>
      </c>
      <c r="J141" s="93">
        <v>0.0</v>
      </c>
      <c r="K141" s="93">
        <v>11.0</v>
      </c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 t="s">
        <v>534</v>
      </c>
    </row>
    <row r="142">
      <c r="A142" s="125"/>
      <c r="B142" s="48"/>
      <c r="C142" s="48" t="s">
        <v>535</v>
      </c>
      <c r="D142" s="127" t="s">
        <v>536</v>
      </c>
      <c r="E142" s="128">
        <v>1200.0</v>
      </c>
      <c r="F142" s="128">
        <v>4800.0</v>
      </c>
      <c r="G142" s="127" t="s">
        <v>283</v>
      </c>
      <c r="H142" s="93" t="s">
        <v>516</v>
      </c>
      <c r="I142" s="93">
        <v>0.0</v>
      </c>
      <c r="J142" s="93">
        <v>0.0</v>
      </c>
      <c r="K142" s="93">
        <v>4.0</v>
      </c>
      <c r="L142" s="48" t="s">
        <v>537</v>
      </c>
      <c r="M142" s="48"/>
      <c r="N142" s="48"/>
      <c r="O142" s="48"/>
      <c r="P142" s="48"/>
      <c r="Q142" s="48"/>
      <c r="R142" s="48" t="s">
        <v>538</v>
      </c>
      <c r="S142" s="166">
        <v>4180.0</v>
      </c>
      <c r="T142" s="48"/>
      <c r="U142" s="48"/>
      <c r="V142" s="48"/>
      <c r="W142" s="48"/>
      <c r="X142" s="48"/>
      <c r="Y142" s="48"/>
      <c r="Z142" s="48"/>
      <c r="AA142" s="167">
        <v>45350.0</v>
      </c>
      <c r="AB142" s="48" t="s">
        <v>539</v>
      </c>
      <c r="AC142" s="48" t="s">
        <v>540</v>
      </c>
      <c r="AD142" s="48" t="s">
        <v>540</v>
      </c>
      <c r="AE142" s="48" t="s">
        <v>540</v>
      </c>
      <c r="AF142" s="48" t="s">
        <v>540</v>
      </c>
      <c r="AG142" s="48" t="s">
        <v>540</v>
      </c>
      <c r="AH142" s="48" t="s">
        <v>540</v>
      </c>
      <c r="AI142" s="48" t="s">
        <v>541</v>
      </c>
    </row>
    <row r="143">
      <c r="A143" s="125"/>
      <c r="B143" s="48"/>
      <c r="C143" s="48" t="s">
        <v>542</v>
      </c>
      <c r="D143" s="127" t="s">
        <v>543</v>
      </c>
      <c r="E143" s="128">
        <v>150.0</v>
      </c>
      <c r="F143" s="128">
        <v>3300.0</v>
      </c>
      <c r="G143" s="127" t="s">
        <v>283</v>
      </c>
      <c r="H143" s="93" t="s">
        <v>516</v>
      </c>
      <c r="I143" s="93">
        <v>22.0</v>
      </c>
      <c r="J143" s="93">
        <v>0.0</v>
      </c>
      <c r="K143" s="93">
        <v>0.0</v>
      </c>
      <c r="L143" s="152" t="s">
        <v>544</v>
      </c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 t="s">
        <v>545</v>
      </c>
    </row>
    <row r="144">
      <c r="A144" s="159"/>
      <c r="B144" s="48"/>
      <c r="C144" s="151" t="s">
        <v>546</v>
      </c>
      <c r="D144" s="127" t="s">
        <v>227</v>
      </c>
      <c r="E144" s="128">
        <v>8000.0</v>
      </c>
      <c r="F144" s="129">
        <v>8000.0</v>
      </c>
      <c r="G144" s="127" t="s">
        <v>283</v>
      </c>
      <c r="H144" s="93" t="s">
        <v>516</v>
      </c>
      <c r="I144" s="93">
        <v>0.0</v>
      </c>
      <c r="J144" s="93">
        <v>1.0</v>
      </c>
      <c r="K144" s="93">
        <v>0.0</v>
      </c>
      <c r="L144" s="48" t="s">
        <v>547</v>
      </c>
      <c r="M144" s="152" t="s">
        <v>548</v>
      </c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 t="s">
        <v>505</v>
      </c>
    </row>
    <row r="145">
      <c r="A145" s="159"/>
      <c r="B145" s="48"/>
      <c r="C145" s="131" t="s">
        <v>549</v>
      </c>
      <c r="D145" s="127" t="s">
        <v>227</v>
      </c>
      <c r="E145" s="128">
        <v>2000.0</v>
      </c>
      <c r="F145" s="129">
        <v>2000.0</v>
      </c>
      <c r="G145" s="127" t="s">
        <v>283</v>
      </c>
      <c r="H145" s="93" t="s">
        <v>516</v>
      </c>
      <c r="I145" s="93">
        <v>0.0</v>
      </c>
      <c r="J145" s="93">
        <v>0.0</v>
      </c>
      <c r="K145" s="93">
        <v>1.0</v>
      </c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 t="s">
        <v>550</v>
      </c>
    </row>
    <row r="146">
      <c r="A146" s="159"/>
      <c r="B146" s="48"/>
      <c r="C146" s="48" t="s">
        <v>551</v>
      </c>
      <c r="D146" s="127" t="s">
        <v>227</v>
      </c>
      <c r="E146" s="128">
        <v>5000.0</v>
      </c>
      <c r="F146" s="129">
        <v>5000.0</v>
      </c>
      <c r="G146" s="127" t="s">
        <v>283</v>
      </c>
      <c r="H146" s="93" t="s">
        <v>516</v>
      </c>
      <c r="I146" s="93">
        <v>0.0</v>
      </c>
      <c r="J146" s="93">
        <v>0.0</v>
      </c>
      <c r="K146" s="93">
        <v>1.0</v>
      </c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 t="s">
        <v>522</v>
      </c>
    </row>
    <row r="147">
      <c r="A147" s="159"/>
      <c r="B147" s="48"/>
      <c r="C147" s="168" t="s">
        <v>552</v>
      </c>
      <c r="D147" s="127" t="s">
        <v>553</v>
      </c>
      <c r="E147" s="128">
        <v>7200.0</v>
      </c>
      <c r="F147" s="129">
        <v>14400.0</v>
      </c>
      <c r="G147" s="127" t="s">
        <v>283</v>
      </c>
      <c r="H147" s="127" t="s">
        <v>554</v>
      </c>
      <c r="I147" s="93">
        <v>0.0</v>
      </c>
      <c r="J147" s="93">
        <v>0.0</v>
      </c>
      <c r="K147" s="93">
        <v>2.0</v>
      </c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 t="s">
        <v>522</v>
      </c>
    </row>
    <row r="148">
      <c r="A148" s="169" t="s">
        <v>326</v>
      </c>
      <c r="B148" s="170"/>
      <c r="C148" s="171" t="s">
        <v>327</v>
      </c>
      <c r="D148" s="172"/>
      <c r="E148" s="173"/>
      <c r="F148" s="174"/>
      <c r="G148" s="172"/>
      <c r="H148" s="172"/>
      <c r="I148" s="175"/>
      <c r="J148" s="175"/>
      <c r="K148" s="175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  <c r="AB148" s="170"/>
      <c r="AC148" s="170"/>
      <c r="AD148" s="170"/>
      <c r="AE148" s="170"/>
      <c r="AF148" s="170"/>
      <c r="AG148" s="170"/>
      <c r="AH148" s="170"/>
      <c r="AI148" s="170"/>
    </row>
    <row r="149">
      <c r="A149" s="159"/>
      <c r="B149" s="48"/>
      <c r="C149" s="48" t="s">
        <v>555</v>
      </c>
      <c r="D149" s="127" t="s">
        <v>556</v>
      </c>
      <c r="E149" s="128">
        <v>100.0</v>
      </c>
      <c r="F149" s="129">
        <v>1000.0</v>
      </c>
      <c r="G149" s="176" t="s">
        <v>283</v>
      </c>
      <c r="H149" s="93" t="s">
        <v>516</v>
      </c>
      <c r="I149" s="135">
        <v>0.0</v>
      </c>
      <c r="J149" s="135">
        <v>0.0</v>
      </c>
      <c r="K149" s="51">
        <v>10.0</v>
      </c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8" t="s">
        <v>522</v>
      </c>
    </row>
    <row r="150">
      <c r="A150" s="159"/>
      <c r="B150" s="48"/>
      <c r="C150" s="48" t="s">
        <v>557</v>
      </c>
      <c r="D150" s="127" t="s">
        <v>556</v>
      </c>
      <c r="E150" s="128">
        <v>250.0</v>
      </c>
      <c r="F150" s="129">
        <v>2500.0</v>
      </c>
      <c r="G150" s="141"/>
      <c r="H150" s="93" t="s">
        <v>516</v>
      </c>
      <c r="I150" s="141"/>
      <c r="J150" s="141"/>
      <c r="K150" s="51">
        <v>10.0</v>
      </c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  <c r="AE150" s="141"/>
      <c r="AF150" s="141"/>
      <c r="AG150" s="141"/>
      <c r="AH150" s="141"/>
      <c r="AI150" s="141"/>
    </row>
    <row r="151">
      <c r="A151" s="125"/>
      <c r="B151" s="48"/>
      <c r="C151" s="48" t="s">
        <v>558</v>
      </c>
      <c r="D151" s="127" t="s">
        <v>543</v>
      </c>
      <c r="E151" s="128">
        <v>150.0</v>
      </c>
      <c r="F151" s="128">
        <v>3300.0</v>
      </c>
      <c r="G151" s="127" t="s">
        <v>283</v>
      </c>
      <c r="H151" s="93" t="s">
        <v>516</v>
      </c>
      <c r="I151" s="93">
        <v>22.0</v>
      </c>
      <c r="J151" s="93">
        <v>0.0</v>
      </c>
      <c r="K151" s="93">
        <v>0.0</v>
      </c>
      <c r="L151" s="152" t="s">
        <v>544</v>
      </c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 t="s">
        <v>545</v>
      </c>
    </row>
    <row r="152">
      <c r="A152" s="48"/>
      <c r="B152" s="48"/>
      <c r="C152" s="48" t="s">
        <v>559</v>
      </c>
      <c r="D152" s="127" t="s">
        <v>560</v>
      </c>
      <c r="E152" s="128">
        <v>100.0</v>
      </c>
      <c r="F152" s="128">
        <v>2000.0</v>
      </c>
      <c r="G152" s="176" t="s">
        <v>283</v>
      </c>
      <c r="H152" s="93" t="s">
        <v>516</v>
      </c>
      <c r="I152" s="135">
        <v>0.0</v>
      </c>
      <c r="J152" s="51">
        <v>20.0</v>
      </c>
      <c r="K152" s="135">
        <v>0.0</v>
      </c>
      <c r="L152" s="138" t="s">
        <v>561</v>
      </c>
      <c r="M152" s="138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8" t="s">
        <v>562</v>
      </c>
    </row>
    <row r="153">
      <c r="A153" s="48"/>
      <c r="B153" s="48"/>
      <c r="C153" s="48" t="s">
        <v>563</v>
      </c>
      <c r="D153" s="127" t="s">
        <v>564</v>
      </c>
      <c r="E153" s="128">
        <v>250.0</v>
      </c>
      <c r="F153" s="128">
        <v>3750.0</v>
      </c>
      <c r="G153" s="141"/>
      <c r="H153" s="93" t="s">
        <v>516</v>
      </c>
      <c r="I153" s="141"/>
      <c r="J153" s="51">
        <v>15.0</v>
      </c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  <c r="AE153" s="141"/>
      <c r="AF153" s="141"/>
      <c r="AG153" s="141"/>
      <c r="AH153" s="141"/>
      <c r="AI153" s="141"/>
    </row>
    <row r="154">
      <c r="A154" s="177" t="s">
        <v>340</v>
      </c>
      <c r="B154" s="110"/>
      <c r="C154" s="110"/>
      <c r="D154" s="178">
        <f>SUM(F12:F153)</f>
        <v>10489611</v>
      </c>
      <c r="E154" s="99"/>
      <c r="F154" s="99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</row>
    <row r="155">
      <c r="A155" s="179" t="s">
        <v>341</v>
      </c>
      <c r="B155" s="110"/>
      <c r="C155" s="110"/>
      <c r="D155" s="110"/>
      <c r="E155" s="112"/>
      <c r="F155" s="113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</row>
    <row r="156">
      <c r="A156" s="110"/>
      <c r="B156" s="110"/>
      <c r="C156" s="110"/>
      <c r="D156" s="110"/>
      <c r="E156" s="112"/>
      <c r="F156" s="113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</row>
    <row r="157">
      <c r="A157" s="180" t="s">
        <v>342</v>
      </c>
      <c r="B157" s="110"/>
      <c r="C157" s="110"/>
      <c r="D157" s="181" t="s">
        <v>343</v>
      </c>
      <c r="E157" s="182"/>
      <c r="F157" s="183"/>
      <c r="G157" s="184" t="s">
        <v>344</v>
      </c>
      <c r="H157" s="185"/>
      <c r="I157" s="185"/>
      <c r="J157" s="186" t="s">
        <v>345</v>
      </c>
      <c r="K157" s="185"/>
      <c r="L157" s="185"/>
      <c r="M157" s="185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</row>
    <row r="158">
      <c r="A158" s="110"/>
      <c r="B158" s="110"/>
      <c r="C158" s="110"/>
      <c r="D158" s="185"/>
      <c r="E158" s="182"/>
      <c r="F158" s="183"/>
      <c r="G158" s="185"/>
      <c r="H158" s="185"/>
      <c r="I158" s="185"/>
      <c r="J158" s="185"/>
      <c r="K158" s="185"/>
      <c r="L158" s="185"/>
      <c r="M158" s="185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</row>
    <row r="159">
      <c r="A159" s="110"/>
      <c r="B159" s="110"/>
      <c r="C159" s="110"/>
      <c r="D159" s="185"/>
      <c r="E159" s="182"/>
      <c r="F159" s="183"/>
      <c r="G159" s="185"/>
      <c r="H159" s="185"/>
      <c r="I159" s="185"/>
      <c r="J159" s="185"/>
      <c r="K159" s="185"/>
      <c r="L159" s="185"/>
      <c r="M159" s="185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</row>
    <row r="160">
      <c r="A160" s="110"/>
      <c r="B160" s="110"/>
      <c r="C160" s="110"/>
      <c r="D160" s="185"/>
      <c r="E160" s="182"/>
      <c r="F160" s="183"/>
      <c r="G160" s="185"/>
      <c r="H160" s="185"/>
      <c r="I160" s="185"/>
      <c r="J160" s="185"/>
      <c r="K160" s="185"/>
      <c r="L160" s="185"/>
      <c r="M160" s="185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</row>
    <row r="161">
      <c r="A161" s="180" t="s">
        <v>346</v>
      </c>
      <c r="D161" s="186" t="s">
        <v>347</v>
      </c>
      <c r="E161" s="182"/>
      <c r="F161" s="183"/>
      <c r="G161" s="184" t="s">
        <v>348</v>
      </c>
      <c r="H161" s="185"/>
      <c r="I161" s="185"/>
      <c r="J161" s="186" t="s">
        <v>349</v>
      </c>
      <c r="K161" s="185"/>
      <c r="L161" s="185"/>
      <c r="M161" s="185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</row>
    <row r="162">
      <c r="A162" s="187" t="s">
        <v>350</v>
      </c>
      <c r="D162" s="188" t="s">
        <v>351</v>
      </c>
      <c r="E162" s="182"/>
      <c r="F162" s="183"/>
      <c r="G162" s="189" t="s">
        <v>352</v>
      </c>
      <c r="H162" s="185"/>
      <c r="I162" s="185"/>
      <c r="J162" s="188" t="s">
        <v>353</v>
      </c>
      <c r="K162" s="185"/>
      <c r="L162" s="185"/>
      <c r="M162" s="185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</row>
    <row r="163">
      <c r="A163" s="110"/>
      <c r="B163" s="110"/>
      <c r="C163" s="110"/>
      <c r="D163" s="185"/>
      <c r="E163" s="182"/>
      <c r="F163" s="183"/>
      <c r="G163" s="185"/>
      <c r="H163" s="185"/>
      <c r="I163" s="185"/>
      <c r="J163" s="185"/>
      <c r="K163" s="185"/>
      <c r="L163" s="185"/>
      <c r="M163" s="185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</row>
    <row r="164">
      <c r="A164" s="190" t="s">
        <v>565</v>
      </c>
      <c r="B164" s="110"/>
      <c r="C164" s="110"/>
      <c r="D164" s="188" t="s">
        <v>355</v>
      </c>
      <c r="E164" s="182"/>
      <c r="F164" s="183"/>
      <c r="G164" s="189" t="s">
        <v>355</v>
      </c>
      <c r="H164" s="185"/>
      <c r="I164" s="185"/>
      <c r="J164" s="188" t="s">
        <v>355</v>
      </c>
      <c r="K164" s="185"/>
      <c r="L164" s="185"/>
      <c r="M164" s="185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</row>
    <row r="165">
      <c r="A165" s="185"/>
      <c r="B165" s="185"/>
      <c r="C165" s="185"/>
      <c r="D165" s="110"/>
      <c r="E165" s="112"/>
      <c r="F165" s="113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</row>
  </sheetData>
  <mergeCells count="258">
    <mergeCell ref="AB152:AB153"/>
    <mergeCell ref="AC152:AC153"/>
    <mergeCell ref="U152:U153"/>
    <mergeCell ref="V152:V153"/>
    <mergeCell ref="W152:W153"/>
    <mergeCell ref="X152:X153"/>
    <mergeCell ref="Y152:Y153"/>
    <mergeCell ref="Z152:Z153"/>
    <mergeCell ref="AA152:AA153"/>
    <mergeCell ref="Z102:Z105"/>
    <mergeCell ref="AA102:AA105"/>
    <mergeCell ref="S102:S105"/>
    <mergeCell ref="T102:T105"/>
    <mergeCell ref="U102:U105"/>
    <mergeCell ref="V102:V105"/>
    <mergeCell ref="W102:W105"/>
    <mergeCell ref="X102:X105"/>
    <mergeCell ref="Y102:Y105"/>
    <mergeCell ref="P149:P150"/>
    <mergeCell ref="Q149:Q150"/>
    <mergeCell ref="R149:R150"/>
    <mergeCell ref="S149:S150"/>
    <mergeCell ref="T149:T150"/>
    <mergeCell ref="U149:U150"/>
    <mergeCell ref="V149:V150"/>
    <mergeCell ref="W149:W150"/>
    <mergeCell ref="X149:X150"/>
    <mergeCell ref="Y149:Y150"/>
    <mergeCell ref="Z149:Z150"/>
    <mergeCell ref="AA149:AA150"/>
    <mergeCell ref="AB149:AB150"/>
    <mergeCell ref="AC149:AC150"/>
    <mergeCell ref="K152:K153"/>
    <mergeCell ref="L152:L153"/>
    <mergeCell ref="M152:M153"/>
    <mergeCell ref="N152:N153"/>
    <mergeCell ref="P152:P153"/>
    <mergeCell ref="Q152:Q153"/>
    <mergeCell ref="R152:R153"/>
    <mergeCell ref="S152:S153"/>
    <mergeCell ref="T152:T153"/>
    <mergeCell ref="AE152:AE153"/>
    <mergeCell ref="AF152:AF153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H20:AH25"/>
    <mergeCell ref="AI20:AI25"/>
    <mergeCell ref="AA20:AA25"/>
    <mergeCell ref="AB20:AB25"/>
    <mergeCell ref="AC20:AC25"/>
    <mergeCell ref="AD20:AD25"/>
    <mergeCell ref="AE20:AE25"/>
    <mergeCell ref="AF20:AF25"/>
    <mergeCell ref="AG20:AG25"/>
    <mergeCell ref="F8:F9"/>
    <mergeCell ref="G8:G9"/>
    <mergeCell ref="D20:D25"/>
    <mergeCell ref="F20:F25"/>
    <mergeCell ref="G20:G25"/>
    <mergeCell ref="H20:H25"/>
    <mergeCell ref="L20:L25"/>
    <mergeCell ref="Q40:Q64"/>
    <mergeCell ref="R40:R64"/>
    <mergeCell ref="S40:S64"/>
    <mergeCell ref="T40:T64"/>
    <mergeCell ref="U40:U64"/>
    <mergeCell ref="V40:V64"/>
    <mergeCell ref="W40:W64"/>
    <mergeCell ref="AE40:AE64"/>
    <mergeCell ref="AF40:AF64"/>
    <mergeCell ref="AG40:AG64"/>
    <mergeCell ref="AH40:AH64"/>
    <mergeCell ref="AI40:AI64"/>
    <mergeCell ref="X40:X64"/>
    <mergeCell ref="Y40:Y64"/>
    <mergeCell ref="Z40:Z64"/>
    <mergeCell ref="AA40:AA64"/>
    <mergeCell ref="AB40:AB64"/>
    <mergeCell ref="AC40:AC64"/>
    <mergeCell ref="AD40:AD64"/>
    <mergeCell ref="G40:G64"/>
    <mergeCell ref="H40:H64"/>
    <mergeCell ref="L40:L64"/>
    <mergeCell ref="M40:M64"/>
    <mergeCell ref="N40:N64"/>
    <mergeCell ref="O40:O64"/>
    <mergeCell ref="P40:P64"/>
    <mergeCell ref="O70:O72"/>
    <mergeCell ref="P70:P72"/>
    <mergeCell ref="Q70:Q72"/>
    <mergeCell ref="R70:R72"/>
    <mergeCell ref="S70:S72"/>
    <mergeCell ref="T70:T72"/>
    <mergeCell ref="U70:U72"/>
    <mergeCell ref="AC70:AC72"/>
    <mergeCell ref="AD70:AD72"/>
    <mergeCell ref="AE70:AE72"/>
    <mergeCell ref="AF70:AF72"/>
    <mergeCell ref="AG70:AG72"/>
    <mergeCell ref="AH70:AH72"/>
    <mergeCell ref="AI70:AI72"/>
    <mergeCell ref="V70:V72"/>
    <mergeCell ref="W70:W72"/>
    <mergeCell ref="X70:X72"/>
    <mergeCell ref="Y70:Y72"/>
    <mergeCell ref="Z70:Z72"/>
    <mergeCell ref="AA70:AA72"/>
    <mergeCell ref="AB70:AB72"/>
    <mergeCell ref="AC77:AC81"/>
    <mergeCell ref="AD77:AD81"/>
    <mergeCell ref="V77:V81"/>
    <mergeCell ref="W77:W81"/>
    <mergeCell ref="X77:X81"/>
    <mergeCell ref="Y77:Y81"/>
    <mergeCell ref="Z77:Z81"/>
    <mergeCell ref="AA77:AA81"/>
    <mergeCell ref="AB77:AB81"/>
    <mergeCell ref="G73:G74"/>
    <mergeCell ref="H73:H74"/>
    <mergeCell ref="D70:D72"/>
    <mergeCell ref="G70:G72"/>
    <mergeCell ref="H70:H72"/>
    <mergeCell ref="L70:L72"/>
    <mergeCell ref="M70:M72"/>
    <mergeCell ref="N70:N72"/>
    <mergeCell ref="D73:D74"/>
    <mergeCell ref="N73:N74"/>
    <mergeCell ref="L73:L74"/>
    <mergeCell ref="M73:M74"/>
    <mergeCell ref="O73:O74"/>
    <mergeCell ref="P73:P74"/>
    <mergeCell ref="Q73:Q74"/>
    <mergeCell ref="R73:R74"/>
    <mergeCell ref="S73:S74"/>
    <mergeCell ref="AH73:AH74"/>
    <mergeCell ref="AI73:AI74"/>
    <mergeCell ref="AE77:AE81"/>
    <mergeCell ref="AF77:AF81"/>
    <mergeCell ref="AG77:AG81"/>
    <mergeCell ref="AH77:AH81"/>
    <mergeCell ref="AI77:AI81"/>
    <mergeCell ref="AA73:AA74"/>
    <mergeCell ref="AB73:AB74"/>
    <mergeCell ref="AC73:AC74"/>
    <mergeCell ref="AD73:AD74"/>
    <mergeCell ref="AE73:AE74"/>
    <mergeCell ref="AF73:AF74"/>
    <mergeCell ref="AG73:AG74"/>
    <mergeCell ref="F70:F72"/>
    <mergeCell ref="F73:F74"/>
    <mergeCell ref="D77:D81"/>
    <mergeCell ref="F77:F81"/>
    <mergeCell ref="G77:G81"/>
    <mergeCell ref="H77:H81"/>
    <mergeCell ref="L77:L81"/>
    <mergeCell ref="T73:T74"/>
    <mergeCell ref="U73:U74"/>
    <mergeCell ref="V73:V74"/>
    <mergeCell ref="W73:W74"/>
    <mergeCell ref="X73:X74"/>
    <mergeCell ref="Y73:Y74"/>
    <mergeCell ref="Z73:Z74"/>
    <mergeCell ref="T77:T81"/>
    <mergeCell ref="U77:U81"/>
    <mergeCell ref="M77:M81"/>
    <mergeCell ref="N77:N81"/>
    <mergeCell ref="O77:O81"/>
    <mergeCell ref="P77:P81"/>
    <mergeCell ref="Q77:Q81"/>
    <mergeCell ref="R77:R81"/>
    <mergeCell ref="S77:S81"/>
    <mergeCell ref="O92:O95"/>
    <mergeCell ref="P92:P95"/>
    <mergeCell ref="Q92:Q95"/>
    <mergeCell ref="R92:R95"/>
    <mergeCell ref="S92:S95"/>
    <mergeCell ref="T92:T95"/>
    <mergeCell ref="U92:U95"/>
    <mergeCell ref="AC92:AC95"/>
    <mergeCell ref="AD92:AD95"/>
    <mergeCell ref="AE92:AE95"/>
    <mergeCell ref="AF92:AF95"/>
    <mergeCell ref="AG92:AG95"/>
    <mergeCell ref="AH92:AH95"/>
    <mergeCell ref="AI92:AI95"/>
    <mergeCell ref="V92:V95"/>
    <mergeCell ref="W92:W95"/>
    <mergeCell ref="X92:X95"/>
    <mergeCell ref="Y92:Y95"/>
    <mergeCell ref="Z92:Z95"/>
    <mergeCell ref="AA92:AA95"/>
    <mergeCell ref="AB92:AB95"/>
    <mergeCell ref="D92:D95"/>
    <mergeCell ref="F92:F95"/>
    <mergeCell ref="G92:G95"/>
    <mergeCell ref="H92:H95"/>
    <mergeCell ref="L92:L95"/>
    <mergeCell ref="M92:M95"/>
    <mergeCell ref="N92:N95"/>
    <mergeCell ref="AB102:AB105"/>
    <mergeCell ref="AC102:AC105"/>
    <mergeCell ref="AD102:AD105"/>
    <mergeCell ref="AE102:AE105"/>
    <mergeCell ref="AF102:AF105"/>
    <mergeCell ref="AG102:AG105"/>
    <mergeCell ref="AH102:AH105"/>
    <mergeCell ref="AI102:AI105"/>
    <mergeCell ref="L102:L105"/>
    <mergeCell ref="M102:M105"/>
    <mergeCell ref="N102:N105"/>
    <mergeCell ref="O102:O105"/>
    <mergeCell ref="P102:P105"/>
    <mergeCell ref="Q102:Q105"/>
    <mergeCell ref="R102:R105"/>
    <mergeCell ref="I149:I150"/>
    <mergeCell ref="I152:I153"/>
    <mergeCell ref="G152:G153"/>
    <mergeCell ref="D154:F154"/>
    <mergeCell ref="A161:C161"/>
    <mergeCell ref="A162:C162"/>
    <mergeCell ref="G149:G150"/>
    <mergeCell ref="J149:J150"/>
    <mergeCell ref="L149:L150"/>
    <mergeCell ref="M149:M150"/>
    <mergeCell ref="N149:N150"/>
    <mergeCell ref="O149:O150"/>
    <mergeCell ref="O152:O153"/>
    <mergeCell ref="AG152:AG153"/>
    <mergeCell ref="AH152:AH153"/>
    <mergeCell ref="AD149:AD150"/>
    <mergeCell ref="AE149:AE150"/>
    <mergeCell ref="AF149:AF150"/>
    <mergeCell ref="AG149:AG150"/>
    <mergeCell ref="AH149:AH150"/>
    <mergeCell ref="AI149:AI150"/>
    <mergeCell ref="AD152:AD153"/>
    <mergeCell ref="AI152:AI153"/>
  </mergeCells>
  <drawing r:id="rId1"/>
</worksheet>
</file>