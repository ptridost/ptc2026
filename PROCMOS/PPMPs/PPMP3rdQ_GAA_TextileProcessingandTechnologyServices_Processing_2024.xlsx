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D:\Desktop\TSD-2\corz\PTRI forms\"/>
    </mc:Choice>
  </mc:AlternateContent>
  <xr:revisionPtr revIDLastSave="0" documentId="13_ncr:1_{4F8856E3-0061-415B-A1B2-01338D6CED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py of TSD-ICYT 2nd Quarter" sheetId="2" r:id="rId1"/>
    <sheet name="TSD-ICYT" sheetId="1" r:id="rId2"/>
  </sheets>
  <calcPr calcId="191029"/>
</workbook>
</file>

<file path=xl/calcChain.xml><?xml version="1.0" encoding="utf-8"?>
<calcChain xmlns="http://schemas.openxmlformats.org/spreadsheetml/2006/main">
  <c r="E28" i="2" l="1"/>
  <c r="C171" i="1"/>
  <c r="C170" i="1"/>
  <c r="C169" i="1"/>
  <c r="C168" i="1"/>
  <c r="E147" i="1"/>
  <c r="E145" i="1"/>
  <c r="E143" i="1"/>
  <c r="E138" i="1"/>
  <c r="E137" i="1"/>
  <c r="E136" i="1"/>
  <c r="E135" i="1"/>
  <c r="E132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U9" i="1"/>
  <c r="E84" i="2"/>
  <c r="E81" i="2"/>
  <c r="E76" i="2"/>
  <c r="E75" i="2"/>
  <c r="E74" i="2"/>
  <c r="E73" i="2"/>
  <c r="E71" i="2"/>
  <c r="E69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7" i="2"/>
  <c r="E26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U9" i="2"/>
  <c r="C105" i="2" l="1"/>
  <c r="C106" i="2" s="1"/>
  <c r="C107" i="2" l="1"/>
  <c r="C10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75" authorId="0" shapeId="0" xr:uid="{00000000-0006-0000-0100-000001000000}">
      <text>
        <r>
          <rPr>
            <sz val="11"/>
            <color rgb="FF000000"/>
            <rFont val="Arial"/>
            <charset val="1"/>
            <scheme val="minor"/>
          </rPr>
          <t>======
ID#AAABEIV_FJA
upmnih    (2021-04-08 04:25:07)
Prepared by: Project Staff/ Research Associate</t>
        </r>
      </text>
    </comment>
    <comment ref="C175" authorId="0" shapeId="0" xr:uid="{00000000-0006-0000-0100-000002000000}">
      <text>
        <r>
          <rPr>
            <sz val="11"/>
            <color rgb="FF000000"/>
            <rFont val="Arial"/>
            <charset val="1"/>
            <scheme val="minor"/>
          </rPr>
          <t>======
ID#AAABEIV_FI4
upmnih    (2021-04-08 04:25:07)
Submitted by: Project Leader</t>
        </r>
      </text>
    </comment>
  </commentList>
</comments>
</file>

<file path=xl/sharedStrings.xml><?xml version="1.0" encoding="utf-8"?>
<sst xmlns="http://schemas.openxmlformats.org/spreadsheetml/2006/main" count="452" uniqueCount="202">
  <si>
    <t xml:space="preserve">  PROJECT PROCUREMENT MANAGEMENT PLAN (PPMP) 2024</t>
  </si>
  <si>
    <t>END-USER/UNIT: TSD-Mechanical and Chemical Processing Section</t>
  </si>
  <si>
    <t>Charged to: Textile Processing Technology Services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</si>
  <si>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</si>
  <si>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</si>
  <si>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</si>
  <si>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</si>
  <si>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</si>
  <si>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</si>
  <si>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</si>
  <si>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</si>
  <si>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</si>
  <si>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</si>
  <si>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</si>
  <si>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</si>
  <si>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</si>
  <si>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</si>
  <si>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</si>
  <si>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</si>
  <si>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</si>
  <si>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</si>
  <si>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</si>
  <si>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</si>
  <si>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Other Supplies</t>
  </si>
  <si>
    <t>Alcohol, Isoprophyl 1 Gallon</t>
  </si>
  <si>
    <t>Shopping</t>
  </si>
  <si>
    <t>Liquid Handsoap, 500ml</t>
  </si>
  <si>
    <t>Paper towel, interfold 150 pulls per pack</t>
  </si>
  <si>
    <t>Insecticide 600ml</t>
  </si>
  <si>
    <t>Instant glue high strenght adhesive (mighty bond)</t>
  </si>
  <si>
    <t>Fabric trimmer, pc</t>
  </si>
  <si>
    <t>Shuttle with spindle, pieces</t>
  </si>
  <si>
    <t>Heddle wires, pieces</t>
  </si>
  <si>
    <t>Reed 25dpi width 30in; hg: 4.5in pc</t>
  </si>
  <si>
    <t>Reed 25dpi width 59in; hg: 4.5in pc</t>
  </si>
  <si>
    <t xml:space="preserve">Flat bars length 60.5in; thickness 3mm </t>
  </si>
  <si>
    <t>Interfolded Tissue paper, box</t>
  </si>
  <si>
    <t>Stainless fabric shears (Bicol asero),pc</t>
  </si>
  <si>
    <t>Tape measure,pc</t>
  </si>
  <si>
    <t>Dressmaker pins, box</t>
  </si>
  <si>
    <t>Cotton cords/rope, 2mm diameter, 100 meter per roll</t>
  </si>
  <si>
    <t>Laboratory Supplies</t>
  </si>
  <si>
    <t>Nitrile gloves-medium, box</t>
  </si>
  <si>
    <t>Nitrile gloves-large, box</t>
  </si>
  <si>
    <t>Acid dye, red kg</t>
  </si>
  <si>
    <t>Acid dye, blue kg</t>
  </si>
  <si>
    <t>Acid dye, yellow kg</t>
  </si>
  <si>
    <t>Acid dye, black kg</t>
  </si>
  <si>
    <t>Disperse dye, Yellow, kg</t>
  </si>
  <si>
    <t>Disperse dye, brown, kg</t>
  </si>
  <si>
    <t>Disperse dye, red, kg</t>
  </si>
  <si>
    <t>Disperse dye, blue, kg</t>
  </si>
  <si>
    <t>Reactive dye, blue, kg</t>
  </si>
  <si>
    <t>Reactive dye, red, kg</t>
  </si>
  <si>
    <t>Reactive dye, yellow, kg</t>
  </si>
  <si>
    <t>Reactive dye, black, kg</t>
  </si>
  <si>
    <t>Reactive dye, brown, kg</t>
  </si>
  <si>
    <t>Soda Ash, technical grade, sack</t>
  </si>
  <si>
    <t>Glauber salt (sodium sulfate) , tehnical grade, sack</t>
  </si>
  <si>
    <t>`</t>
  </si>
  <si>
    <t>Polyescar, carrying agent for polyester dyeing, kg</t>
  </si>
  <si>
    <t>Machine Cleaning Agent, kg</t>
  </si>
  <si>
    <t>Versene, Levelling agent for polyester dyeing,</t>
  </si>
  <si>
    <t>Rokafenol NB, fixing agent, kg</t>
  </si>
  <si>
    <t>Detergent, liquid, anionic, gallon</t>
  </si>
  <si>
    <t>Softener, cationic, kg</t>
  </si>
  <si>
    <t xml:space="preserve">Cellulase Enzyme, </t>
  </si>
  <si>
    <t>Sodium Hydroxide, 48 %, liquid, 30kg/cb</t>
  </si>
  <si>
    <t>Hydrogen peroxide, 50 %, technical grade, 20kg/cb</t>
  </si>
  <si>
    <t>Sodium Hydrosulfite technical grade /kg</t>
  </si>
  <si>
    <t>Copper Sulfate technical grade</t>
  </si>
  <si>
    <t>Laboratory Shoes, radom sizes, pair</t>
  </si>
  <si>
    <t>Rags, pc</t>
  </si>
  <si>
    <t>Laboratory apron, Polyester fabric, black color, pc</t>
  </si>
  <si>
    <t>Pipette, 0.01 capacity</t>
  </si>
  <si>
    <t xml:space="preserve">Dyeing vat, material: 304 stainless steel, pc
Thickness: 1.5mm
Diameter: 50 cm
Capacity: 80 
</t>
  </si>
  <si>
    <t>Stainless steel pitcher, Capacity: 5L
Material:304 Stainless Steel
Thickness: 1.5mm</t>
  </si>
  <si>
    <t xml:space="preserve">Laboratory spatula, Stainless steel laboratory sampling spoon, 20 cm length </t>
  </si>
  <si>
    <t>Plastic bottles, Plastic bottle
Laboratory chemicals/reagent storage bottle, 2000 ml capacity, wide mouth</t>
  </si>
  <si>
    <t>Re-usable Rubber gloves, Acid and Chemical resistance, mid arm length,  length:12 inches /pair</t>
  </si>
  <si>
    <t>Beaker brush</t>
  </si>
  <si>
    <t>Sponge with scrub, pcs</t>
  </si>
  <si>
    <t>Heavy duty scrub, pcs</t>
  </si>
  <si>
    <t>Weighing Balance Adaptor (Sartorious Entris 323)</t>
  </si>
  <si>
    <t>Weighing Balance Adaptor (Shimadzu volts: 100-240V, voltage: 12V@500mA)</t>
  </si>
  <si>
    <t>Ginned Cotton fiber, kg</t>
  </si>
  <si>
    <t>Pineapple fiber, kg</t>
  </si>
  <si>
    <t>Repair, Fabrication and Maintenance</t>
  </si>
  <si>
    <t>Repair, Fabrication and Maintenance, lot</t>
  </si>
  <si>
    <t>Transportation and Delivery Cost</t>
  </si>
  <si>
    <t>Courier Services</t>
  </si>
  <si>
    <t>Other MOOE</t>
  </si>
  <si>
    <t>Processing of Documents for UM and ID</t>
  </si>
  <si>
    <t>RYPIC Cotabato Trademark</t>
  </si>
  <si>
    <t>PDEA , notarization, renewal</t>
  </si>
  <si>
    <t>Other Supplies, lot</t>
  </si>
  <si>
    <t>Training and Conference fees</t>
  </si>
  <si>
    <t>Travel Expenses</t>
  </si>
  <si>
    <t>Travel expense, lot</t>
  </si>
  <si>
    <t>Other Professional Services</t>
  </si>
  <si>
    <t>Calibration (digital  timer, thermometer, balance)</t>
  </si>
  <si>
    <t>Direct contracting</t>
  </si>
  <si>
    <t>Embroidery Professional services, lot</t>
  </si>
  <si>
    <t>Utility Expenses</t>
  </si>
  <si>
    <t>Electricity, lot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</si>
  <si>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</si>
  <si>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</si>
  <si>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</si>
  <si>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</si>
  <si>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</si>
  <si>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</si>
  <si>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</si>
  <si>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</si>
  <si>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</si>
  <si>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</si>
  <si>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</si>
  <si>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</si>
  <si>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ENGR. JOANNA TESS M. MANUEL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</si>
  <si>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</si>
  <si>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</si>
  <si>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</si>
  <si>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</si>
  <si>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</si>
  <si>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</si>
  <si>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</si>
  <si>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</si>
  <si>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For 1st Quarter of CY 2024</t>
  </si>
  <si>
    <t>Jan</t>
  </si>
  <si>
    <t>Feb</t>
  </si>
  <si>
    <t>Mar</t>
  </si>
  <si>
    <t>Office Supplies</t>
  </si>
  <si>
    <t>Sign pen, Blue, liquid or gel, pieces</t>
  </si>
  <si>
    <t>Ballpen, Blue, pieces</t>
  </si>
  <si>
    <t>Tape, electrical 50m, roll</t>
  </si>
  <si>
    <t>Tape, masking 1 inch width 50m, roll</t>
  </si>
  <si>
    <t>Tape, packaging 2inches width 50m, roll</t>
  </si>
  <si>
    <t>Tape, transparent 1 inch width 50m, roll</t>
  </si>
  <si>
    <t>Clip backfold small , box</t>
  </si>
  <si>
    <t>Clip backfold medium, box</t>
  </si>
  <si>
    <t>Data file box, pieces</t>
  </si>
  <si>
    <t>Data folder, pieces</t>
  </si>
  <si>
    <t>Paper Fastener, box</t>
  </si>
  <si>
    <t>Rubber band No 18, box</t>
  </si>
  <si>
    <t>Paper clip small, box</t>
  </si>
  <si>
    <t>Scissors, pieces</t>
  </si>
  <si>
    <t>Stapler standard, pieces</t>
  </si>
  <si>
    <t>Staple wire standard, box</t>
  </si>
  <si>
    <t>Note pad stick on 3x3', 100 sheets, pieces</t>
  </si>
  <si>
    <t>Paper multipurpose A4 500 sheets per ream</t>
  </si>
  <si>
    <t>Paper multipurpose Folio 500 sheets per ream</t>
  </si>
  <si>
    <t>Pink paper A4 500 sheets per ream</t>
  </si>
  <si>
    <t>Parchment paper A4 500 sheets per ream</t>
  </si>
  <si>
    <t>Record book with pages 500 per page, book</t>
  </si>
  <si>
    <t>Toner Cart., HP CF400A 201A Black Laser Jet</t>
  </si>
  <si>
    <r>
      <rPr>
        <sz val="11"/>
        <color theme="1"/>
        <rFont val="Arial"/>
        <charset val="134"/>
      </rPr>
      <t>To</t>
    </r>
    <r>
      <rPr>
        <sz val="11"/>
        <color theme="1"/>
        <rFont val="Arial"/>
        <charset val="134"/>
      </rPr>
      <t>ner Cart., HP CF401A 201A Cyan Laser Jet</t>
    </r>
  </si>
  <si>
    <r>
      <rPr>
        <sz val="11"/>
        <color theme="1"/>
        <rFont val="Arial"/>
        <charset val="134"/>
      </rPr>
      <t>To</t>
    </r>
    <r>
      <rPr>
        <sz val="11"/>
        <color theme="1"/>
        <rFont val="Arial"/>
        <charset val="134"/>
      </rPr>
      <t>ner Cart., HP CF402A 201A Yellow Laser Jet</t>
    </r>
  </si>
  <si>
    <t>Toner Cart., HP CF403A 201A Magenta Laser Jet</t>
  </si>
  <si>
    <t>Ink HP 680 black pc</t>
  </si>
  <si>
    <t>Ink HP 680 colored pc</t>
  </si>
  <si>
    <t>Toner Kyocera TK-1124 for Ecosys FS1060DN</t>
  </si>
  <si>
    <t>Ink cart. HPDJ ink adv 2545 black</t>
  </si>
  <si>
    <t>Ink cart. HPDJ ink adv 2545 tri-color</t>
  </si>
  <si>
    <t>Toner cart. HP CE28SAC laserjet pro P1102 black</t>
  </si>
  <si>
    <t xml:space="preserve">Battery, dry cell size AA </t>
  </si>
  <si>
    <t>Battery, dry cell size AAA</t>
  </si>
  <si>
    <t>Disinfectant Spray</t>
  </si>
  <si>
    <t>Paper cone</t>
  </si>
  <si>
    <t>Thread cotton black ticket 120@5,000m, cone</t>
  </si>
  <si>
    <t>Thread cotton white ticket 120@5,000m, cone</t>
  </si>
  <si>
    <t>Thread cotton black ticket 50@5,000m, cone</t>
  </si>
  <si>
    <t>Thread cotton white ticket 50@5,000m, cone</t>
  </si>
  <si>
    <t>NTF yarns</t>
  </si>
  <si>
    <t>Facemask KF94, box</t>
  </si>
  <si>
    <t>Cotton fibers, kg</t>
  </si>
  <si>
    <t>Pineapple fibers, kg</t>
  </si>
  <si>
    <t>Gasoline oil, lubricant, lot</t>
  </si>
  <si>
    <t>Cooking gas,  50kg, tank</t>
  </si>
  <si>
    <t>Diesel, drum</t>
  </si>
  <si>
    <t>Disperse dye, Navy Blue, kg</t>
  </si>
  <si>
    <t>Disperse dye, royal blue, kg</t>
  </si>
  <si>
    <t>Reactive dye, royal blue, kg</t>
  </si>
  <si>
    <t>Sodium Hydroxide flakes, or Caustic Soda, Technical grade, sack, 25 kg  per/Sack</t>
  </si>
  <si>
    <t>Sodium hexame taphosphate</t>
  </si>
  <si>
    <t>Optical brightener, for cellulosic fabric, kg</t>
  </si>
  <si>
    <t>Detergent, liquid, anionic, Liters</t>
  </si>
  <si>
    <t>Sodium Metabisulfite, technical grade, sack</t>
  </si>
  <si>
    <t>Glacial Acetic Acid, technical grade, 20 kg/Cb</t>
  </si>
  <si>
    <t>Stirring rod, 12 '' long, pc</t>
  </si>
  <si>
    <t>Portable sink, Aluminum rack with sink, lot</t>
  </si>
  <si>
    <t>pH paper strips indicator, box</t>
  </si>
  <si>
    <t xml:space="preserve">Dyeing Vats, Material:304 Stainless Steel, pc
Thickness: 1.5mm
Diameter: 50 cm
Capacity: 80 
</t>
  </si>
  <si>
    <t>Stainless steel pitcher, Capacity- 5  L
Material:304 Stainless Steel
Thickness: 1.5mm</t>
  </si>
  <si>
    <t>Stainless Beakers: 
•        Capacity:2000mL
•        Material:304 Stainless Steel
•        Diameter of Mouth:140mm
•        Diameter of bottom:110mm
•        Height:170mm                                                                                                                                                •        Classification: Beaker</t>
  </si>
  <si>
    <t>Other Repairs, lot</t>
  </si>
  <si>
    <t>Other Professional fees lot</t>
  </si>
  <si>
    <t>Calibration (digital  timer, thermometer, balance, on-site)</t>
  </si>
  <si>
    <t>Weaving hook</t>
  </si>
  <si>
    <t>For 3rd Quarter of CY 2024</t>
  </si>
  <si>
    <t>Basic Dye, Black, kg</t>
  </si>
  <si>
    <t>July</t>
  </si>
  <si>
    <t>August</t>
  </si>
  <si>
    <t>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</si>
</sst>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3">
    <font>
      <sz val="11"/>
      <color theme="1"/>
      <name val="Arial"/>
      <charset val="134"/>
      <scheme val="minor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i/>
      <sz val="12"/>
      <color theme="1"/>
      <name val="Arial"/>
      <charset val="134"/>
    </font>
    <font>
      <i/>
      <sz val="12"/>
      <color theme="1"/>
      <name val="Arial"/>
      <charset val="134"/>
    </font>
    <font>
      <b/>
      <sz val="9"/>
      <color theme="1"/>
      <name val="Arial"/>
      <charset val="134"/>
    </font>
    <font>
      <b/>
      <sz val="10"/>
      <color theme="1"/>
      <name val="Arial"/>
      <charset val="134"/>
    </font>
    <font>
      <sz val="11"/>
      <name val="Arial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b/>
      <u/>
      <sz val="9"/>
      <color theme="1"/>
      <name val="Arial"/>
      <charset val="134"/>
    </font>
    <font>
      <sz val="9"/>
      <color theme="1"/>
      <name val="Arial"/>
      <charset val="134"/>
    </font>
    <font>
      <b/>
      <sz val="8"/>
      <color theme="1"/>
      <name val="Arial"/>
      <charset val="134"/>
    </font>
    <font>
      <u/>
      <sz val="8"/>
      <color theme="1"/>
      <name val="Arial"/>
      <charset val="134"/>
    </font>
    <font>
      <b/>
      <u/>
      <sz val="10"/>
      <color theme="1"/>
      <name val="Arial"/>
      <charset val="134"/>
    </font>
    <font>
      <sz val="11"/>
      <color theme="1"/>
      <name val="Calibri"/>
      <charset val="134"/>
    </font>
    <font>
      <b/>
      <sz val="10"/>
      <color theme="1"/>
      <name val="Verdana"/>
      <charset val="134"/>
    </font>
    <font>
      <sz val="10"/>
      <color theme="1"/>
      <name val="Calibri"/>
      <charset val="134"/>
    </font>
    <font>
      <sz val="10"/>
      <color theme="1"/>
      <name val="Verdana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sz val="11"/>
      <color rgb="FF000000"/>
      <name val="Arial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/>
    <xf numFmtId="4" fontId="2" fillId="0" borderId="0" xfId="0" applyNumberFormat="1" applyFont="1" applyAlignment="1">
      <alignment horizontal="right"/>
    </xf>
    <xf numFmtId="4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" fontId="6" fillId="2" borderId="10" xfId="0" applyNumberFormat="1" applyFont="1" applyFill="1" applyBorder="1" applyAlignment="1">
      <alignment horizontal="right" vertical="center" wrapText="1"/>
    </xf>
    <xf numFmtId="4" fontId="6" fillId="2" borderId="10" xfId="0" applyNumberFormat="1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4" fontId="2" fillId="0" borderId="12" xfId="0" applyNumberFormat="1" applyFont="1" applyBorder="1" applyAlignment="1">
      <alignment horizontal="right"/>
    </xf>
    <xf numFmtId="4" fontId="2" fillId="0" borderId="12" xfId="0" applyNumberFormat="1" applyFont="1" applyBorder="1"/>
    <xf numFmtId="0" fontId="2" fillId="0" borderId="12" xfId="0" applyFont="1" applyBorder="1"/>
    <xf numFmtId="0" fontId="2" fillId="0" borderId="10" xfId="0" applyFont="1" applyBorder="1" applyAlignment="1">
      <alignment horizontal="left" vertical="center"/>
    </xf>
    <xf numFmtId="0" fontId="2" fillId="0" borderId="13" xfId="0" applyFont="1" applyBorder="1" applyAlignment="1">
      <alignment horizontal="center"/>
    </xf>
    <xf numFmtId="4" fontId="2" fillId="0" borderId="13" xfId="0" applyNumberFormat="1" applyFont="1" applyBorder="1" applyAlignment="1">
      <alignment horizontal="right"/>
    </xf>
    <xf numFmtId="4" fontId="2" fillId="0" borderId="13" xfId="0" applyNumberFormat="1" applyFont="1" applyBorder="1"/>
    <xf numFmtId="0" fontId="2" fillId="0" borderId="13" xfId="0" applyFont="1" applyBorder="1"/>
    <xf numFmtId="0" fontId="9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wrapText="1"/>
    </xf>
    <xf numFmtId="4" fontId="6" fillId="2" borderId="12" xfId="0" applyNumberFormat="1" applyFont="1" applyFill="1" applyBorder="1" applyAlignment="1">
      <alignment horizontal="right" vertical="center" wrapText="1"/>
    </xf>
    <xf numFmtId="4" fontId="6" fillId="2" borderId="12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49" fontId="2" fillId="0" borderId="9" xfId="0" applyNumberFormat="1" applyFont="1" applyBorder="1"/>
    <xf numFmtId="0" fontId="2" fillId="0" borderId="13" xfId="0" applyFont="1" applyBorder="1" applyAlignment="1">
      <alignment horizontal="center" vertical="center" wrapText="1"/>
    </xf>
    <xf numFmtId="4" fontId="2" fillId="0" borderId="13" xfId="0" applyNumberFormat="1" applyFont="1" applyBorder="1" applyAlignment="1">
      <alignment horizontal="right" vertical="center" wrapText="1"/>
    </xf>
    <xf numFmtId="4" fontId="2" fillId="0" borderId="13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/>
    <xf numFmtId="0" fontId="2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2" fillId="0" borderId="9" xfId="0" applyFont="1" applyBorder="1"/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left" vertical="center"/>
    </xf>
    <xf numFmtId="0" fontId="2" fillId="2" borderId="12" xfId="0" applyFont="1" applyFill="1" applyBorder="1"/>
    <xf numFmtId="4" fontId="2" fillId="2" borderId="12" xfId="0" applyNumberFormat="1" applyFont="1" applyFill="1" applyBorder="1" applyAlignment="1">
      <alignment horizontal="right"/>
    </xf>
    <xf numFmtId="4" fontId="2" fillId="2" borderId="12" xfId="0" applyNumberFormat="1" applyFont="1" applyFill="1" applyBorder="1"/>
    <xf numFmtId="4" fontId="2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wrapText="1"/>
    </xf>
    <xf numFmtId="0" fontId="2" fillId="2" borderId="12" xfId="0" applyFont="1" applyFill="1" applyBorder="1" applyAlignment="1">
      <alignment horizontal="center"/>
    </xf>
    <xf numFmtId="0" fontId="9" fillId="2" borderId="12" xfId="0" applyFont="1" applyFill="1" applyBorder="1"/>
    <xf numFmtId="0" fontId="2" fillId="0" borderId="12" xfId="0" applyFont="1" applyBorder="1" applyAlignment="1">
      <alignment horizontal="center" vertical="center" wrapText="1"/>
    </xf>
    <xf numFmtId="4" fontId="2" fillId="0" borderId="12" xfId="0" applyNumberFormat="1" applyFont="1" applyBorder="1" applyAlignment="1">
      <alignment horizontal="right" wrapText="1"/>
    </xf>
    <xf numFmtId="4" fontId="2" fillId="0" borderId="18" xfId="0" applyNumberFormat="1" applyFont="1" applyBorder="1" applyAlignment="1">
      <alignment horizontal="right"/>
    </xf>
    <xf numFmtId="49" fontId="2" fillId="0" borderId="18" xfId="0" applyNumberFormat="1" applyFont="1" applyBorder="1"/>
    <xf numFmtId="4" fontId="2" fillId="0" borderId="18" xfId="0" applyNumberFormat="1" applyFont="1" applyBorder="1" applyAlignment="1">
      <alignment horizontal="center" vertical="center" wrapText="1"/>
    </xf>
    <xf numFmtId="4" fontId="2" fillId="0" borderId="12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" fontId="2" fillId="0" borderId="22" xfId="0" applyNumberFormat="1" applyFont="1" applyBorder="1"/>
    <xf numFmtId="0" fontId="11" fillId="0" borderId="0" xfId="0" applyFont="1" applyAlignment="1">
      <alignment vertical="center"/>
    </xf>
    <xf numFmtId="0" fontId="6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6" fillId="0" borderId="12" xfId="0" applyFont="1" applyBorder="1" applyAlignment="1">
      <alignment vertical="center"/>
    </xf>
    <xf numFmtId="0" fontId="10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7" fillId="0" borderId="0" xfId="0" applyNumberFormat="1" applyFont="1" applyAlignment="1">
      <alignment horizontal="left" vertical="center" wrapText="1"/>
    </xf>
    <xf numFmtId="4" fontId="10" fillId="0" borderId="0" xfId="0" applyNumberFormat="1" applyFont="1" applyAlignment="1">
      <alignment horizontal="right"/>
    </xf>
    <xf numFmtId="4" fontId="7" fillId="0" borderId="0" xfId="0" applyNumberFormat="1" applyFont="1" applyAlignment="1">
      <alignment wrapText="1"/>
    </xf>
    <xf numFmtId="0" fontId="2" fillId="0" borderId="0" xfId="0" applyFont="1" applyAlignment="1">
      <alignment horizontal="left"/>
    </xf>
    <xf numFmtId="4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left" vertical="center" wrapText="1"/>
    </xf>
    <xf numFmtId="0" fontId="18" fillId="0" borderId="0" xfId="0" applyFont="1"/>
    <xf numFmtId="164" fontId="10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12" xfId="0" applyFont="1" applyBorder="1"/>
    <xf numFmtId="0" fontId="21" fillId="0" borderId="9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14" xfId="0" applyFont="1" applyBorder="1"/>
    <xf numFmtId="0" fontId="8" fillId="0" borderId="15" xfId="0" applyFont="1" applyBorder="1"/>
    <xf numFmtId="0" fontId="6" fillId="0" borderId="20" xfId="0" applyFont="1" applyBorder="1" applyAlignment="1">
      <alignment horizontal="left" vertical="center" wrapText="1"/>
    </xf>
    <xf numFmtId="0" fontId="8" fillId="0" borderId="21" xfId="0" applyFont="1" applyBorder="1"/>
    <xf numFmtId="0" fontId="8" fillId="0" borderId="25" xfId="0" applyFont="1" applyBorder="1"/>
    <xf numFmtId="164" fontId="1" fillId="0" borderId="0" xfId="0" applyNumberFormat="1" applyFont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0" fontId="8" fillId="0" borderId="24" xfId="0" applyFont="1" applyBorder="1"/>
    <xf numFmtId="0" fontId="8" fillId="0" borderId="18" xfId="0" applyFont="1" applyBorder="1"/>
    <xf numFmtId="0" fontId="12" fillId="0" borderId="0" xfId="0" applyFont="1" applyAlignment="1">
      <alignment horizontal="left"/>
    </xf>
    <xf numFmtId="164" fontId="1" fillId="0" borderId="20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wrapText="1"/>
    </xf>
    <xf numFmtId="164" fontId="19" fillId="0" borderId="0" xfId="0" applyNumberFormat="1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5" xfId="0" applyFont="1" applyBorder="1"/>
    <xf numFmtId="0" fontId="6" fillId="0" borderId="2" xfId="0" applyFont="1" applyBorder="1" applyAlignment="1">
      <alignment horizontal="center" vertical="center" wrapText="1"/>
    </xf>
    <xf numFmtId="0" fontId="8" fillId="0" borderId="6" xfId="0" applyFont="1" applyBorder="1"/>
    <xf numFmtId="4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8"/>
  <sheetViews>
    <sheetView tabSelected="1" topLeftCell="A10" zoomScale="86" zoomScaleNormal="86" workbookViewId="0">
      <selection activeCell="B41" sqref="B41"/>
    </sheetView>
  </sheetViews>
  <sheetFormatPr defaultColWidth="12.625" defaultRowHeight="15" customHeight="1"/>
  <cols>
    <col min="1" max="1" width="8.625" customWidth="1"/>
    <col min="2" max="2" width="68.375" customWidth="1"/>
    <col min="3" max="3" width="11.625" customWidth="1"/>
    <col min="4" max="4" width="11.75" customWidth="1"/>
    <col min="5" max="5" width="11.625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</cols>
  <sheetData>
    <row r="1" spans="1:22" ht="15.75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2" ht="14.25">
      <c r="A2" s="103" t="s">
        <v>197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</row>
    <row r="3" spans="1:22">
      <c r="A3" s="104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</row>
    <row r="4" spans="1:22">
      <c r="A4" s="2" t="s">
        <v>1</v>
      </c>
      <c r="B4" s="3"/>
      <c r="C4" s="3"/>
      <c r="D4" s="4"/>
      <c r="E4" s="5"/>
      <c r="F4" s="3"/>
      <c r="G4" s="3"/>
      <c r="H4" s="3"/>
      <c r="I4" s="3"/>
      <c r="J4" s="4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7"/>
    </row>
    <row r="5" spans="1:22">
      <c r="A5" s="6"/>
      <c r="B5" s="3"/>
      <c r="C5" s="7"/>
      <c r="D5" s="8"/>
      <c r="E5" s="9"/>
      <c r="F5" s="10"/>
      <c r="G5" s="10"/>
      <c r="H5" s="7"/>
      <c r="I5" s="7"/>
      <c r="J5" s="1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>
      <c r="A6" s="2" t="s">
        <v>2</v>
      </c>
      <c r="B6" s="3"/>
      <c r="C6" s="7"/>
      <c r="D6" s="8"/>
      <c r="E6" s="9"/>
      <c r="F6" s="10"/>
      <c r="G6" s="10"/>
      <c r="H6" s="7"/>
      <c r="I6" s="7"/>
      <c r="J6" s="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6"/>
      <c r="B7" s="3"/>
      <c r="C7" s="7"/>
      <c r="D7" s="8"/>
      <c r="E7" s="9"/>
      <c r="F7" s="10"/>
      <c r="G7" s="10"/>
      <c r="H7" s="7"/>
      <c r="I7" s="7"/>
      <c r="J7" s="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ht="22.5" customHeight="1">
      <c r="A8" s="123" t="s">
        <v>3</v>
      </c>
      <c r="B8" s="125" t="s">
        <v>4</v>
      </c>
      <c r="C8" s="11" t="s">
        <v>5</v>
      </c>
      <c r="D8" s="127" t="s">
        <v>6</v>
      </c>
      <c r="E8" s="127" t="s">
        <v>7</v>
      </c>
      <c r="F8" s="128" t="s">
        <v>8</v>
      </c>
      <c r="G8" s="125" t="s">
        <v>9</v>
      </c>
      <c r="H8" s="105" t="s">
        <v>10</v>
      </c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7"/>
    </row>
    <row r="9" spans="1:22" ht="38.25">
      <c r="A9" s="124"/>
      <c r="B9" s="126"/>
      <c r="C9" s="12" t="s">
        <v>11</v>
      </c>
      <c r="D9" s="126"/>
      <c r="E9" s="126"/>
      <c r="F9" s="126"/>
      <c r="G9" s="126"/>
      <c r="H9" s="13" t="s">
        <v>199</v>
      </c>
      <c r="I9" s="13" t="s">
        <v>200</v>
      </c>
      <c r="J9" s="13" t="s">
        <v>201</v>
      </c>
      <c r="K9" s="13" t="s">
        <v>12</v>
      </c>
      <c r="L9" s="13" t="s">
        <v>13</v>
      </c>
      <c r="M9" s="13" t="s">
        <v>14</v>
      </c>
      <c r="N9" s="13" t="s">
        <v>15</v>
      </c>
      <c r="O9" s="13" t="s">
        <v>16</v>
      </c>
      <c r="P9" s="13" t="s">
        <v>17</v>
      </c>
      <c r="Q9" s="13" t="s">
        <v>18</v>
      </c>
      <c r="R9" s="13" t="s">
        <v>19</v>
      </c>
      <c r="S9" s="13" t="s">
        <v>20</v>
      </c>
      <c r="T9" s="13" t="s">
        <v>21</v>
      </c>
      <c r="U9" s="48" t="str">
        <f>$V$9</f>
        <v>REMARKS</v>
      </c>
      <c r="V9" s="49" t="s">
        <v>22</v>
      </c>
    </row>
    <row r="10" spans="1:22" ht="15.75" customHeight="1">
      <c r="A10" s="33"/>
      <c r="B10" s="34" t="s">
        <v>23</v>
      </c>
      <c r="C10" s="35"/>
      <c r="D10" s="36"/>
      <c r="E10" s="37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</row>
    <row r="11" spans="1:22" ht="15.75" customHeight="1">
      <c r="A11" s="25"/>
      <c r="B11" s="25" t="s">
        <v>24</v>
      </c>
      <c r="C11" s="22">
        <v>40</v>
      </c>
      <c r="D11" s="24">
        <v>600</v>
      </c>
      <c r="E11" s="24">
        <f t="shared" ref="E11:E24" si="0">D11*C11</f>
        <v>24000</v>
      </c>
      <c r="F11" s="25" t="s">
        <v>25</v>
      </c>
      <c r="G11" s="33"/>
      <c r="H11" s="22"/>
      <c r="I11" s="22">
        <v>20</v>
      </c>
      <c r="J11" s="22">
        <v>20</v>
      </c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</row>
    <row r="12" spans="1:22" ht="15.75" customHeight="1">
      <c r="A12" s="31"/>
      <c r="B12" s="32" t="s">
        <v>26</v>
      </c>
      <c r="C12" s="22">
        <v>10</v>
      </c>
      <c r="D12" s="23">
        <v>100</v>
      </c>
      <c r="E12" s="24">
        <f t="shared" si="0"/>
        <v>1000</v>
      </c>
      <c r="F12" s="25" t="s">
        <v>25</v>
      </c>
      <c r="G12" s="25"/>
      <c r="H12" s="25"/>
      <c r="I12" s="22">
        <v>10</v>
      </c>
      <c r="J12" s="22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 spans="1:22" ht="15.75" customHeight="1">
      <c r="A13" s="31"/>
      <c r="B13" s="32" t="s">
        <v>27</v>
      </c>
      <c r="C13" s="22">
        <v>50</v>
      </c>
      <c r="D13" s="23">
        <v>80</v>
      </c>
      <c r="E13" s="24">
        <f t="shared" si="0"/>
        <v>4000</v>
      </c>
      <c r="F13" s="25" t="s">
        <v>25</v>
      </c>
      <c r="G13" s="25"/>
      <c r="H13" s="25"/>
      <c r="I13" s="22">
        <v>50</v>
      </c>
      <c r="J13" s="22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</row>
    <row r="14" spans="1:22" ht="15.75" customHeight="1">
      <c r="A14" s="31"/>
      <c r="B14" s="32" t="s">
        <v>30</v>
      </c>
      <c r="C14" s="22">
        <v>50</v>
      </c>
      <c r="D14" s="23">
        <v>75</v>
      </c>
      <c r="E14" s="24">
        <f t="shared" si="0"/>
        <v>3750</v>
      </c>
      <c r="F14" s="25" t="s">
        <v>25</v>
      </c>
      <c r="G14" s="25"/>
      <c r="H14" s="25"/>
      <c r="I14" s="22">
        <v>50</v>
      </c>
      <c r="J14" s="22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</row>
    <row r="15" spans="1:22" ht="15.75" customHeight="1">
      <c r="A15" s="20"/>
      <c r="B15" s="40" t="s">
        <v>31</v>
      </c>
      <c r="C15" s="41">
        <v>10</v>
      </c>
      <c r="D15" s="42">
        <v>500</v>
      </c>
      <c r="E15" s="43">
        <f t="shared" si="0"/>
        <v>5000</v>
      </c>
      <c r="F15" s="25" t="s">
        <v>25</v>
      </c>
      <c r="G15" s="25"/>
      <c r="H15" s="25"/>
      <c r="I15" s="41">
        <v>10</v>
      </c>
      <c r="J15" s="41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spans="1:22" ht="15.75" customHeight="1">
      <c r="A16" s="20"/>
      <c r="B16" s="40" t="s">
        <v>32</v>
      </c>
      <c r="C16" s="41">
        <v>1000</v>
      </c>
      <c r="D16" s="42">
        <v>4</v>
      </c>
      <c r="E16" s="43">
        <f t="shared" si="0"/>
        <v>4000</v>
      </c>
      <c r="F16" s="25" t="s">
        <v>25</v>
      </c>
      <c r="G16" s="25"/>
      <c r="H16" s="25"/>
      <c r="I16" s="41">
        <v>1000</v>
      </c>
      <c r="J16" s="41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 spans="1:22" ht="15.75" customHeight="1">
      <c r="A17" s="20"/>
      <c r="B17" s="40" t="s">
        <v>33</v>
      </c>
      <c r="C17" s="41">
        <v>4</v>
      </c>
      <c r="D17" s="42">
        <v>2000</v>
      </c>
      <c r="E17" s="43">
        <f t="shared" si="0"/>
        <v>8000</v>
      </c>
      <c r="F17" s="25" t="s">
        <v>25</v>
      </c>
      <c r="G17" s="25"/>
      <c r="H17" s="25"/>
      <c r="I17" s="41">
        <v>4</v>
      </c>
      <c r="J17" s="41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spans="1:22" ht="15.75" customHeight="1">
      <c r="A18" s="20"/>
      <c r="B18" s="44" t="s">
        <v>35</v>
      </c>
      <c r="C18" s="41">
        <v>4</v>
      </c>
      <c r="D18" s="42">
        <v>800</v>
      </c>
      <c r="E18" s="43">
        <f t="shared" si="0"/>
        <v>3200</v>
      </c>
      <c r="F18" s="25" t="s">
        <v>25</v>
      </c>
      <c r="G18" s="25"/>
      <c r="H18" s="25"/>
      <c r="I18" s="41">
        <v>4</v>
      </c>
      <c r="J18" s="41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 ht="15.75" customHeight="1">
      <c r="A19" s="20"/>
      <c r="B19" s="44" t="s">
        <v>36</v>
      </c>
      <c r="C19" s="41">
        <v>50</v>
      </c>
      <c r="D19" s="42">
        <v>100</v>
      </c>
      <c r="E19" s="43">
        <f t="shared" si="0"/>
        <v>5000</v>
      </c>
      <c r="F19" s="25" t="s">
        <v>25</v>
      </c>
      <c r="G19" s="25"/>
      <c r="H19" s="25"/>
      <c r="I19" s="41">
        <v>50</v>
      </c>
      <c r="J19" s="41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spans="1:22" ht="15.75" customHeight="1">
      <c r="A20" s="20"/>
      <c r="B20" s="40" t="s">
        <v>37</v>
      </c>
      <c r="C20" s="41">
        <v>10</v>
      </c>
      <c r="D20" s="42">
        <v>1000</v>
      </c>
      <c r="E20" s="43">
        <f t="shared" si="0"/>
        <v>10000</v>
      </c>
      <c r="F20" s="25"/>
      <c r="G20" s="25"/>
      <c r="H20" s="25"/>
      <c r="I20" s="41">
        <v>10</v>
      </c>
      <c r="J20" s="41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spans="1:22" ht="15.75" customHeight="1">
      <c r="A21" s="20"/>
      <c r="B21" s="40" t="s">
        <v>38</v>
      </c>
      <c r="C21" s="41">
        <v>20</v>
      </c>
      <c r="D21" s="42">
        <v>100</v>
      </c>
      <c r="E21" s="43">
        <f t="shared" si="0"/>
        <v>2000</v>
      </c>
      <c r="F21" s="25"/>
      <c r="G21" s="25"/>
      <c r="H21" s="25"/>
      <c r="I21" s="41">
        <v>20</v>
      </c>
      <c r="J21" s="41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spans="1:22" ht="15.75" customHeight="1">
      <c r="A22" s="20"/>
      <c r="B22" s="40" t="s">
        <v>39</v>
      </c>
      <c r="C22" s="41">
        <v>2</v>
      </c>
      <c r="D22" s="42">
        <v>300</v>
      </c>
      <c r="E22" s="43">
        <f t="shared" si="0"/>
        <v>600</v>
      </c>
      <c r="F22" s="25"/>
      <c r="G22" s="25"/>
      <c r="H22" s="25"/>
      <c r="I22" s="41">
        <v>2</v>
      </c>
      <c r="J22" s="41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spans="1:22" ht="15.75" customHeight="1">
      <c r="A23" s="20"/>
      <c r="B23" s="40" t="s">
        <v>40</v>
      </c>
      <c r="C23" s="41">
        <v>2</v>
      </c>
      <c r="D23" s="42">
        <v>300</v>
      </c>
      <c r="E23" s="43">
        <f t="shared" si="0"/>
        <v>600</v>
      </c>
      <c r="F23" s="25"/>
      <c r="G23" s="25"/>
      <c r="H23" s="25"/>
      <c r="I23" s="41">
        <v>2</v>
      </c>
      <c r="J23" s="41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 spans="1:22" ht="15.75" customHeight="1">
      <c r="A24" s="20"/>
      <c r="B24" s="40" t="s">
        <v>196</v>
      </c>
      <c r="C24" s="41">
        <v>20</v>
      </c>
      <c r="D24" s="42">
        <v>200</v>
      </c>
      <c r="E24" s="43">
        <f t="shared" si="0"/>
        <v>4000</v>
      </c>
      <c r="F24" s="25"/>
      <c r="G24" s="25"/>
      <c r="H24" s="25"/>
      <c r="I24" s="41">
        <v>20</v>
      </c>
      <c r="J24" s="41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 spans="1:22">
      <c r="A25" s="20"/>
      <c r="B25" s="51" t="s">
        <v>41</v>
      </c>
      <c r="C25" s="52"/>
      <c r="D25" s="53"/>
      <c r="E25" s="54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</row>
    <row r="26" spans="1:22" ht="15.75" customHeight="1">
      <c r="A26" s="20"/>
      <c r="B26" s="21" t="s">
        <v>42</v>
      </c>
      <c r="C26" s="41">
        <v>30</v>
      </c>
      <c r="D26" s="42">
        <v>2000</v>
      </c>
      <c r="E26" s="43">
        <f t="shared" ref="E26:E41" si="1">D26*C26</f>
        <v>60000</v>
      </c>
      <c r="F26" s="25" t="s">
        <v>25</v>
      </c>
      <c r="G26" s="25"/>
      <c r="H26" s="25"/>
      <c r="I26" s="41">
        <v>30</v>
      </c>
      <c r="J26" s="41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2" ht="15.75" customHeight="1">
      <c r="A27" s="20"/>
      <c r="B27" s="21" t="s">
        <v>43</v>
      </c>
      <c r="C27" s="41">
        <v>30</v>
      </c>
      <c r="D27" s="42">
        <v>2000</v>
      </c>
      <c r="E27" s="43">
        <f t="shared" si="1"/>
        <v>60000</v>
      </c>
      <c r="F27" s="25" t="s">
        <v>25</v>
      </c>
      <c r="G27" s="25"/>
      <c r="H27" s="25"/>
      <c r="I27" s="41">
        <v>30</v>
      </c>
      <c r="J27" s="41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 spans="1:22" ht="15.75" customHeight="1">
      <c r="A28" s="20"/>
      <c r="B28" s="21" t="s">
        <v>198</v>
      </c>
      <c r="C28" s="41">
        <v>20</v>
      </c>
      <c r="D28" s="42">
        <v>3000</v>
      </c>
      <c r="E28" s="43">
        <f t="shared" si="1"/>
        <v>60000</v>
      </c>
      <c r="F28" s="25" t="s">
        <v>25</v>
      </c>
      <c r="G28" s="25"/>
      <c r="H28" s="25"/>
      <c r="I28" s="41">
        <v>20</v>
      </c>
      <c r="J28" s="41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spans="1:22" ht="15.75" customHeight="1">
      <c r="A29" s="20"/>
      <c r="B29" s="21" t="s">
        <v>44</v>
      </c>
      <c r="C29" s="41">
        <v>10</v>
      </c>
      <c r="D29" s="42">
        <v>3500</v>
      </c>
      <c r="E29" s="43">
        <f t="shared" si="1"/>
        <v>35000</v>
      </c>
      <c r="F29" s="25" t="s">
        <v>25</v>
      </c>
      <c r="G29" s="25"/>
      <c r="H29" s="25"/>
      <c r="I29" s="41">
        <v>10</v>
      </c>
      <c r="J29" s="41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</row>
    <row r="30" spans="1:22" ht="15.75" customHeight="1">
      <c r="A30" s="20"/>
      <c r="B30" s="21" t="s">
        <v>45</v>
      </c>
      <c r="C30" s="41">
        <v>10</v>
      </c>
      <c r="D30" s="42">
        <v>3500</v>
      </c>
      <c r="E30" s="43">
        <f t="shared" si="1"/>
        <v>35000</v>
      </c>
      <c r="F30" s="25" t="s">
        <v>25</v>
      </c>
      <c r="G30" s="25"/>
      <c r="H30" s="25"/>
      <c r="I30" s="41">
        <v>10</v>
      </c>
      <c r="J30" s="41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</row>
    <row r="31" spans="1:22" ht="15.75" customHeight="1">
      <c r="A31" s="20"/>
      <c r="B31" s="21" t="s">
        <v>46</v>
      </c>
      <c r="C31" s="41">
        <v>10</v>
      </c>
      <c r="D31" s="42">
        <v>3500</v>
      </c>
      <c r="E31" s="43">
        <f t="shared" si="1"/>
        <v>35000</v>
      </c>
      <c r="F31" s="25" t="s">
        <v>25</v>
      </c>
      <c r="G31" s="25"/>
      <c r="H31" s="25"/>
      <c r="I31" s="41">
        <v>10</v>
      </c>
      <c r="J31" s="41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</row>
    <row r="32" spans="1:22" ht="15.75" customHeight="1">
      <c r="A32" s="20"/>
      <c r="B32" s="21" t="s">
        <v>47</v>
      </c>
      <c r="C32" s="41">
        <v>10</v>
      </c>
      <c r="D32" s="42">
        <v>3500</v>
      </c>
      <c r="E32" s="43">
        <f t="shared" si="1"/>
        <v>35000</v>
      </c>
      <c r="F32" s="25" t="s">
        <v>25</v>
      </c>
      <c r="G32" s="25"/>
      <c r="H32" s="25"/>
      <c r="I32" s="41">
        <v>10</v>
      </c>
      <c r="J32" s="41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spans="1:22" ht="15.75" customHeight="1">
      <c r="A33" s="20"/>
      <c r="B33" s="21" t="s">
        <v>48</v>
      </c>
      <c r="C33" s="41">
        <v>25</v>
      </c>
      <c r="D33" s="42">
        <v>3500</v>
      </c>
      <c r="E33" s="43">
        <f t="shared" si="1"/>
        <v>87500</v>
      </c>
      <c r="F33" s="25" t="s">
        <v>25</v>
      </c>
      <c r="G33" s="25"/>
      <c r="H33" s="25"/>
      <c r="I33" s="41">
        <v>10</v>
      </c>
      <c r="J33" s="41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spans="1:22" ht="15.75" customHeight="1">
      <c r="A34" s="20"/>
      <c r="B34" s="21" t="s">
        <v>49</v>
      </c>
      <c r="C34" s="41">
        <v>10</v>
      </c>
      <c r="D34" s="42">
        <v>3500</v>
      </c>
      <c r="E34" s="43">
        <f t="shared" si="1"/>
        <v>35000</v>
      </c>
      <c r="F34" s="25" t="s">
        <v>25</v>
      </c>
      <c r="G34" s="25"/>
      <c r="H34" s="25"/>
      <c r="I34" s="41">
        <v>10</v>
      </c>
      <c r="J34" s="41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spans="1:22" ht="15.75" customHeight="1">
      <c r="A35" s="20"/>
      <c r="B35" s="21" t="s">
        <v>50</v>
      </c>
      <c r="C35" s="41">
        <v>25</v>
      </c>
      <c r="D35" s="42">
        <v>3500</v>
      </c>
      <c r="E35" s="43">
        <f t="shared" si="1"/>
        <v>87500</v>
      </c>
      <c r="F35" s="25" t="s">
        <v>25</v>
      </c>
      <c r="G35" s="25"/>
      <c r="H35" s="25"/>
      <c r="I35" s="41">
        <v>10</v>
      </c>
      <c r="J35" s="41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spans="1:22" ht="15.75" customHeight="1">
      <c r="A36" s="20"/>
      <c r="B36" s="21" t="s">
        <v>51</v>
      </c>
      <c r="C36" s="41">
        <v>25</v>
      </c>
      <c r="D36" s="42">
        <v>3500</v>
      </c>
      <c r="E36" s="43">
        <f t="shared" si="1"/>
        <v>87500</v>
      </c>
      <c r="F36" s="25" t="s">
        <v>25</v>
      </c>
      <c r="G36" s="25"/>
      <c r="H36" s="25"/>
      <c r="I36" s="41">
        <v>10</v>
      </c>
      <c r="J36" s="41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spans="1:22" ht="15.75" customHeight="1">
      <c r="A37" s="20"/>
      <c r="B37" s="21" t="s">
        <v>52</v>
      </c>
      <c r="C37" s="41">
        <v>20</v>
      </c>
      <c r="D37" s="42">
        <v>3500</v>
      </c>
      <c r="E37" s="43">
        <f t="shared" si="1"/>
        <v>70000</v>
      </c>
      <c r="F37" s="25" t="s">
        <v>25</v>
      </c>
      <c r="G37" s="25"/>
      <c r="H37" s="25"/>
      <c r="I37" s="41">
        <v>10</v>
      </c>
      <c r="J37" s="41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spans="1:22" ht="15.75" customHeight="1">
      <c r="A38" s="20"/>
      <c r="B38" s="21" t="s">
        <v>53</v>
      </c>
      <c r="C38" s="41">
        <v>20</v>
      </c>
      <c r="D38" s="42">
        <v>3500</v>
      </c>
      <c r="E38" s="43">
        <f t="shared" ref="E38" si="2">D38*C38</f>
        <v>70000</v>
      </c>
      <c r="F38" s="25" t="s">
        <v>25</v>
      </c>
      <c r="G38" s="25"/>
      <c r="H38" s="25"/>
      <c r="I38" s="41">
        <v>10</v>
      </c>
      <c r="J38" s="41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spans="1:22" ht="15.75" customHeight="1">
      <c r="A39" s="20"/>
      <c r="B39" s="21" t="s">
        <v>54</v>
      </c>
      <c r="C39" s="41">
        <v>20</v>
      </c>
      <c r="D39" s="42">
        <v>3500</v>
      </c>
      <c r="E39" s="43">
        <f t="shared" ref="E39" si="3">D39*C39</f>
        <v>70000</v>
      </c>
      <c r="F39" s="25" t="s">
        <v>25</v>
      </c>
      <c r="G39" s="25"/>
      <c r="H39" s="25"/>
      <c r="I39" s="41">
        <v>10</v>
      </c>
      <c r="J39" s="41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spans="1:22" ht="15.75" customHeight="1">
      <c r="A40" s="20"/>
      <c r="B40" s="21" t="s">
        <v>55</v>
      </c>
      <c r="C40" s="41">
        <v>10</v>
      </c>
      <c r="D40" s="42">
        <v>3500</v>
      </c>
      <c r="E40" s="43">
        <f t="shared" si="1"/>
        <v>35000</v>
      </c>
      <c r="F40" s="25" t="s">
        <v>25</v>
      </c>
      <c r="G40" s="25"/>
      <c r="H40" s="25"/>
      <c r="I40" s="41">
        <v>10</v>
      </c>
      <c r="J40" s="41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spans="1:22" ht="15.75" customHeight="1">
      <c r="A41" s="20"/>
      <c r="B41" s="21" t="s">
        <v>56</v>
      </c>
      <c r="C41" s="41">
        <v>10</v>
      </c>
      <c r="D41" s="42">
        <v>3500</v>
      </c>
      <c r="E41" s="43">
        <f t="shared" si="1"/>
        <v>35000</v>
      </c>
      <c r="F41" s="25" t="s">
        <v>25</v>
      </c>
      <c r="G41" s="25"/>
      <c r="H41" s="25"/>
      <c r="I41" s="41">
        <v>10</v>
      </c>
      <c r="J41" s="41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2" ht="15.75" customHeight="1">
      <c r="A42" s="20" t="s">
        <v>59</v>
      </c>
      <c r="B42" s="25" t="s">
        <v>60</v>
      </c>
      <c r="C42" s="41">
        <v>60</v>
      </c>
      <c r="D42" s="42">
        <v>500</v>
      </c>
      <c r="E42" s="43">
        <f t="shared" ref="E42:E44" si="4">D42*C42</f>
        <v>30000</v>
      </c>
      <c r="F42" s="25" t="s">
        <v>25</v>
      </c>
      <c r="G42" s="25"/>
      <c r="H42" s="25"/>
      <c r="I42" s="41">
        <v>60</v>
      </c>
      <c r="J42" s="41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spans="1:22" ht="15.75" customHeight="1">
      <c r="A43" s="20"/>
      <c r="B43" s="25" t="s">
        <v>61</v>
      </c>
      <c r="C43" s="41">
        <v>50</v>
      </c>
      <c r="D43" s="42">
        <v>500</v>
      </c>
      <c r="E43" s="43">
        <f t="shared" ref="E43" si="5">D43*C43</f>
        <v>25000</v>
      </c>
      <c r="F43" s="25" t="s">
        <v>25</v>
      </c>
      <c r="G43" s="25"/>
      <c r="H43" s="25"/>
      <c r="I43" s="41">
        <v>50</v>
      </c>
      <c r="J43" s="41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pans="1:22" ht="15.75" customHeight="1">
      <c r="A44" s="20"/>
      <c r="B44" s="25" t="s">
        <v>62</v>
      </c>
      <c r="C44" s="41">
        <v>20</v>
      </c>
      <c r="D44" s="42">
        <v>400</v>
      </c>
      <c r="E44" s="43">
        <f t="shared" si="4"/>
        <v>8000</v>
      </c>
      <c r="F44" s="25" t="s">
        <v>25</v>
      </c>
      <c r="G44" s="25"/>
      <c r="H44" s="25"/>
      <c r="I44" s="41">
        <v>20</v>
      </c>
      <c r="J44" s="41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spans="1:22" ht="15.75" customHeight="1">
      <c r="A45" s="20"/>
      <c r="B45" s="25" t="s">
        <v>63</v>
      </c>
      <c r="C45" s="41">
        <v>5</v>
      </c>
      <c r="D45" s="42">
        <v>500</v>
      </c>
      <c r="E45" s="43">
        <f t="shared" ref="E45:E55" si="6">D45*C45</f>
        <v>2500</v>
      </c>
      <c r="F45" s="25" t="s">
        <v>25</v>
      </c>
      <c r="G45" s="25"/>
      <c r="H45" s="25"/>
      <c r="I45" s="41">
        <v>5</v>
      </c>
      <c r="J45" s="41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 spans="1:22" ht="15.75" customHeight="1">
      <c r="A46" s="20"/>
      <c r="B46" s="25" t="s">
        <v>64</v>
      </c>
      <c r="C46" s="41">
        <v>20</v>
      </c>
      <c r="D46" s="42">
        <v>600</v>
      </c>
      <c r="E46" s="43">
        <f t="shared" si="6"/>
        <v>12000</v>
      </c>
      <c r="F46" s="25" t="s">
        <v>25</v>
      </c>
      <c r="G46" s="25"/>
      <c r="H46" s="25"/>
      <c r="I46" s="41">
        <v>100</v>
      </c>
      <c r="J46" s="41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spans="1:22" ht="15.75" customHeight="1">
      <c r="A47" s="20"/>
      <c r="B47" s="25" t="s">
        <v>65</v>
      </c>
      <c r="C47" s="41">
        <v>100</v>
      </c>
      <c r="D47" s="42">
        <v>200</v>
      </c>
      <c r="E47" s="43">
        <f t="shared" si="6"/>
        <v>20000</v>
      </c>
      <c r="F47" s="25" t="s">
        <v>25</v>
      </c>
      <c r="G47" s="25"/>
      <c r="H47" s="25"/>
      <c r="I47" s="41">
        <v>100</v>
      </c>
      <c r="J47" s="41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</row>
    <row r="48" spans="1:22" ht="15.75" customHeight="1">
      <c r="A48" s="20"/>
      <c r="B48" s="25" t="s">
        <v>66</v>
      </c>
      <c r="C48" s="41">
        <v>100</v>
      </c>
      <c r="D48" s="42">
        <v>1000</v>
      </c>
      <c r="E48" s="43">
        <f t="shared" si="6"/>
        <v>100000</v>
      </c>
      <c r="F48" s="25" t="s">
        <v>25</v>
      </c>
      <c r="G48" s="25"/>
      <c r="H48" s="25"/>
      <c r="I48" s="41">
        <v>100</v>
      </c>
      <c r="J48" s="41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 spans="1:26" ht="15.75" customHeight="1">
      <c r="A49" s="20"/>
      <c r="B49" s="25" t="s">
        <v>67</v>
      </c>
      <c r="C49" s="41">
        <v>100</v>
      </c>
      <c r="D49" s="42">
        <v>4500</v>
      </c>
      <c r="E49" s="43">
        <f t="shared" si="6"/>
        <v>450000</v>
      </c>
      <c r="F49" s="25" t="s">
        <v>25</v>
      </c>
      <c r="G49" s="25"/>
      <c r="H49" s="25"/>
      <c r="I49" s="41">
        <v>100</v>
      </c>
      <c r="J49" s="41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</row>
    <row r="50" spans="1:26" ht="15.75" customHeight="1">
      <c r="A50" s="20"/>
      <c r="B50" s="25" t="s">
        <v>68</v>
      </c>
      <c r="C50" s="41">
        <v>20</v>
      </c>
      <c r="D50" s="42">
        <v>10000</v>
      </c>
      <c r="E50" s="43">
        <f t="shared" si="6"/>
        <v>200000</v>
      </c>
      <c r="F50" s="25" t="s">
        <v>25</v>
      </c>
      <c r="G50" s="25"/>
      <c r="H50" s="25"/>
      <c r="I50" s="41">
        <v>20</v>
      </c>
      <c r="J50" s="41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</row>
    <row r="51" spans="1:26" ht="15.75" customHeight="1">
      <c r="A51" s="20"/>
      <c r="B51" s="25" t="s">
        <v>69</v>
      </c>
      <c r="C51" s="41">
        <v>20</v>
      </c>
      <c r="D51" s="42">
        <v>500</v>
      </c>
      <c r="E51" s="43">
        <f t="shared" si="6"/>
        <v>10000</v>
      </c>
      <c r="F51" s="25" t="s">
        <v>25</v>
      </c>
      <c r="G51" s="25"/>
      <c r="H51" s="25"/>
      <c r="I51" s="41">
        <v>20</v>
      </c>
      <c r="J51" s="41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</row>
    <row r="52" spans="1:26" ht="15.75" customHeight="1">
      <c r="A52" s="20"/>
      <c r="B52" s="25" t="s">
        <v>70</v>
      </c>
      <c r="C52" s="41">
        <v>20</v>
      </c>
      <c r="D52" s="42">
        <v>500</v>
      </c>
      <c r="E52" s="43">
        <f t="shared" si="6"/>
        <v>10000</v>
      </c>
      <c r="F52" s="25" t="s">
        <v>25</v>
      </c>
      <c r="G52" s="25"/>
      <c r="H52" s="25"/>
      <c r="I52" s="41">
        <v>20</v>
      </c>
      <c r="J52" s="41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 spans="1:26" ht="15.75" customHeight="1">
      <c r="A53" s="20"/>
      <c r="B53" s="25" t="s">
        <v>71</v>
      </c>
      <c r="C53" s="41">
        <v>10</v>
      </c>
      <c r="D53" s="42">
        <v>300</v>
      </c>
      <c r="E53" s="43">
        <f t="shared" si="6"/>
        <v>3000</v>
      </c>
      <c r="F53" s="25" t="s">
        <v>25</v>
      </c>
      <c r="G53" s="25"/>
      <c r="H53" s="25"/>
      <c r="I53" s="41">
        <v>10</v>
      </c>
      <c r="J53" s="41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</row>
    <row r="54" spans="1:26" ht="15.75" customHeight="1">
      <c r="A54" s="20"/>
      <c r="B54" s="32" t="s">
        <v>72</v>
      </c>
      <c r="C54" s="41">
        <v>500</v>
      </c>
      <c r="D54" s="42">
        <v>10</v>
      </c>
      <c r="E54" s="43">
        <f t="shared" si="6"/>
        <v>5000</v>
      </c>
      <c r="F54" s="25" t="s">
        <v>25</v>
      </c>
      <c r="G54" s="25"/>
      <c r="H54" s="25"/>
      <c r="I54" s="41">
        <v>500</v>
      </c>
      <c r="J54" s="41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</row>
    <row r="55" spans="1:26" ht="15.75" customHeight="1">
      <c r="A55" s="20"/>
      <c r="B55" s="25" t="s">
        <v>73</v>
      </c>
      <c r="C55" s="41">
        <v>20</v>
      </c>
      <c r="D55" s="42">
        <v>100</v>
      </c>
      <c r="E55" s="43">
        <f t="shared" si="6"/>
        <v>2000</v>
      </c>
      <c r="F55" s="25" t="s">
        <v>25</v>
      </c>
      <c r="G55" s="25"/>
      <c r="H55" s="25"/>
      <c r="I55" s="41">
        <v>20</v>
      </c>
      <c r="J55" s="41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 spans="1:26" ht="65.25" customHeight="1">
      <c r="A56" s="20"/>
      <c r="B56" s="56" t="s">
        <v>75</v>
      </c>
      <c r="C56" s="41">
        <v>2</v>
      </c>
      <c r="D56" s="42">
        <v>7500</v>
      </c>
      <c r="E56" s="43">
        <f t="shared" ref="E56:E63" si="7">D56*C56</f>
        <v>15000</v>
      </c>
      <c r="F56" s="57" t="s">
        <v>25</v>
      </c>
      <c r="G56" s="57"/>
      <c r="H56" s="57"/>
      <c r="I56" s="41">
        <v>2</v>
      </c>
      <c r="J56" s="41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3"/>
      <c r="X56" s="3"/>
      <c r="Y56" s="3"/>
      <c r="Z56" s="3"/>
    </row>
    <row r="57" spans="1:26" ht="42.75">
      <c r="A57" s="20"/>
      <c r="B57" s="58" t="s">
        <v>76</v>
      </c>
      <c r="C57" s="41">
        <v>3</v>
      </c>
      <c r="D57" s="42">
        <v>1500</v>
      </c>
      <c r="E57" s="43">
        <f t="shared" si="7"/>
        <v>4500</v>
      </c>
      <c r="F57" s="57" t="s">
        <v>25</v>
      </c>
      <c r="G57" s="25"/>
      <c r="H57" s="25"/>
      <c r="I57" s="41">
        <v>3</v>
      </c>
      <c r="J57" s="41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</row>
    <row r="58" spans="1:26" ht="15.75" customHeight="1">
      <c r="A58" s="20"/>
      <c r="B58" s="25" t="s">
        <v>77</v>
      </c>
      <c r="C58" s="41">
        <v>10</v>
      </c>
      <c r="D58" s="42">
        <v>100</v>
      </c>
      <c r="E58" s="43">
        <f t="shared" si="7"/>
        <v>1000</v>
      </c>
      <c r="F58" s="25" t="s">
        <v>25</v>
      </c>
      <c r="G58" s="25"/>
      <c r="H58" s="25"/>
      <c r="I58" s="41">
        <v>10</v>
      </c>
      <c r="J58" s="41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</row>
    <row r="59" spans="1:26" ht="28.5">
      <c r="A59" s="20"/>
      <c r="B59" s="58" t="s">
        <v>78</v>
      </c>
      <c r="C59" s="41">
        <v>10</v>
      </c>
      <c r="D59" s="42">
        <v>300</v>
      </c>
      <c r="E59" s="43">
        <f t="shared" si="7"/>
        <v>3000</v>
      </c>
      <c r="F59" s="57" t="s">
        <v>25</v>
      </c>
      <c r="G59" s="25"/>
      <c r="H59" s="25"/>
      <c r="I59" s="41">
        <v>10</v>
      </c>
      <c r="J59" s="41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</row>
    <row r="60" spans="1:26">
      <c r="A60" s="20"/>
      <c r="B60" s="25" t="s">
        <v>79</v>
      </c>
      <c r="C60" s="41">
        <v>5</v>
      </c>
      <c r="D60" s="42">
        <v>500</v>
      </c>
      <c r="E60" s="43">
        <f t="shared" si="7"/>
        <v>2500</v>
      </c>
      <c r="F60" s="25" t="s">
        <v>25</v>
      </c>
      <c r="G60" s="25"/>
      <c r="H60" s="25"/>
      <c r="I60" s="41">
        <v>5</v>
      </c>
      <c r="J60" s="41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</row>
    <row r="61" spans="1:26" ht="15.75" customHeight="1">
      <c r="A61" s="20"/>
      <c r="B61" s="32" t="s">
        <v>80</v>
      </c>
      <c r="C61" s="41">
        <v>10</v>
      </c>
      <c r="D61" s="42">
        <v>100</v>
      </c>
      <c r="E61" s="43">
        <f t="shared" si="7"/>
        <v>1000</v>
      </c>
      <c r="F61" s="25" t="s">
        <v>25</v>
      </c>
      <c r="G61" s="25"/>
      <c r="H61" s="25"/>
      <c r="I61" s="41">
        <v>10</v>
      </c>
      <c r="J61" s="41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</row>
    <row r="62" spans="1:26" ht="15.75" customHeight="1">
      <c r="A62" s="20"/>
      <c r="B62" s="32" t="s">
        <v>81</v>
      </c>
      <c r="C62" s="41">
        <v>30</v>
      </c>
      <c r="D62" s="42">
        <v>80</v>
      </c>
      <c r="E62" s="43">
        <f t="shared" si="7"/>
        <v>2400</v>
      </c>
      <c r="F62" s="25" t="s">
        <v>25</v>
      </c>
      <c r="G62" s="25"/>
      <c r="H62" s="25"/>
      <c r="I62" s="41">
        <v>30</v>
      </c>
      <c r="J62" s="41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 spans="1:26" ht="15.75" customHeight="1">
      <c r="A63" s="20"/>
      <c r="B63" s="32" t="s">
        <v>82</v>
      </c>
      <c r="C63" s="41">
        <v>20</v>
      </c>
      <c r="D63" s="42">
        <v>100</v>
      </c>
      <c r="E63" s="43">
        <f t="shared" si="7"/>
        <v>2000</v>
      </c>
      <c r="F63" s="25" t="s">
        <v>25</v>
      </c>
      <c r="G63" s="25"/>
      <c r="H63" s="25"/>
      <c r="I63" s="41">
        <v>20</v>
      </c>
      <c r="J63" s="41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</row>
    <row r="64" spans="1:26" ht="15.75" customHeight="1">
      <c r="A64" s="20"/>
      <c r="B64" s="32" t="s">
        <v>83</v>
      </c>
      <c r="C64" s="41">
        <v>1</v>
      </c>
      <c r="D64" s="42">
        <v>10000</v>
      </c>
      <c r="E64" s="43">
        <f>D64*C64</f>
        <v>10000</v>
      </c>
      <c r="F64" s="25" t="s">
        <v>25</v>
      </c>
      <c r="G64" s="25"/>
      <c r="H64" s="25"/>
      <c r="I64" s="41">
        <v>1</v>
      </c>
      <c r="J64" s="27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</row>
    <row r="65" spans="1:22" ht="15.75" customHeight="1">
      <c r="A65" s="20"/>
      <c r="B65" s="32" t="s">
        <v>84</v>
      </c>
      <c r="C65" s="41">
        <v>1</v>
      </c>
      <c r="D65" s="42">
        <v>10000</v>
      </c>
      <c r="E65" s="43">
        <f t="shared" ref="E65:E69" si="8">D65*C65</f>
        <v>10000</v>
      </c>
      <c r="F65" s="25" t="s">
        <v>25</v>
      </c>
      <c r="G65" s="25"/>
      <c r="H65" s="25"/>
      <c r="I65" s="41">
        <v>1</v>
      </c>
      <c r="J65" s="27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</row>
    <row r="66" spans="1:22" ht="15.75" customHeight="1">
      <c r="A66" s="20"/>
      <c r="B66" s="32" t="s">
        <v>85</v>
      </c>
      <c r="C66" s="41">
        <v>7000</v>
      </c>
      <c r="D66" s="42">
        <v>150</v>
      </c>
      <c r="E66" s="43">
        <f t="shared" si="8"/>
        <v>1050000</v>
      </c>
      <c r="F66" s="25"/>
      <c r="G66" s="25"/>
      <c r="H66" s="25"/>
      <c r="I66" s="41">
        <v>7000</v>
      </c>
      <c r="J66" s="27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7" spans="1:22" ht="15.75" customHeight="1">
      <c r="A67" s="20"/>
      <c r="B67" s="32" t="s">
        <v>86</v>
      </c>
      <c r="C67" s="41">
        <v>4000</v>
      </c>
      <c r="D67" s="42">
        <v>150</v>
      </c>
      <c r="E67" s="43">
        <f t="shared" si="8"/>
        <v>600000</v>
      </c>
      <c r="F67" s="25"/>
      <c r="G67" s="25"/>
      <c r="H67" s="25"/>
      <c r="I67" s="41">
        <v>4000</v>
      </c>
      <c r="J67" s="27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spans="1:22" ht="15.75" customHeight="1">
      <c r="A68" s="20"/>
      <c r="B68" s="60" t="s">
        <v>87</v>
      </c>
      <c r="C68" s="41"/>
      <c r="D68" s="42"/>
      <c r="E68" s="43"/>
      <c r="F68" s="25"/>
      <c r="G68" s="25"/>
      <c r="H68" s="25"/>
      <c r="I68" s="41"/>
      <c r="J68" s="27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</row>
    <row r="69" spans="1:22" ht="15.75" customHeight="1">
      <c r="A69" s="20"/>
      <c r="B69" s="99" t="s">
        <v>88</v>
      </c>
      <c r="C69" s="41">
        <v>1</v>
      </c>
      <c r="D69" s="42">
        <v>150000</v>
      </c>
      <c r="E69" s="43">
        <f t="shared" si="8"/>
        <v>150000</v>
      </c>
      <c r="F69" s="25"/>
      <c r="G69" s="25"/>
      <c r="H69" s="25"/>
      <c r="I69" s="41"/>
      <c r="J69" s="27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</row>
    <row r="70" spans="1:22" ht="15.75" customHeight="1">
      <c r="A70" s="20"/>
      <c r="B70" s="60" t="s">
        <v>89</v>
      </c>
      <c r="C70" s="25"/>
      <c r="D70" s="25"/>
      <c r="E70" s="25"/>
      <c r="F70" s="25"/>
      <c r="G70" s="25"/>
      <c r="H70" s="25"/>
      <c r="I70" s="25"/>
      <c r="J70" s="22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</row>
    <row r="71" spans="1:22" ht="15.75" customHeight="1">
      <c r="A71" s="20"/>
      <c r="B71" s="21" t="s">
        <v>90</v>
      </c>
      <c r="C71" s="41">
        <v>2</v>
      </c>
      <c r="D71" s="42">
        <v>2500</v>
      </c>
      <c r="E71" s="43">
        <f>D71*C71</f>
        <v>5000</v>
      </c>
      <c r="F71" s="25"/>
      <c r="G71" s="25"/>
      <c r="H71" s="25"/>
      <c r="I71" s="22">
        <v>2</v>
      </c>
      <c r="J71" s="22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</row>
    <row r="72" spans="1:22" ht="15.75" customHeight="1">
      <c r="A72" s="20"/>
      <c r="B72" s="60" t="s">
        <v>91</v>
      </c>
      <c r="C72" s="41"/>
      <c r="D72" s="42"/>
      <c r="E72" s="43"/>
      <c r="F72" s="25"/>
      <c r="G72" s="25"/>
      <c r="H72" s="25"/>
      <c r="I72" s="22"/>
      <c r="J72" s="22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</row>
    <row r="73" spans="1:22" ht="15.75" customHeight="1">
      <c r="A73" s="20"/>
      <c r="B73" s="21" t="s">
        <v>92</v>
      </c>
      <c r="C73" s="61">
        <v>2</v>
      </c>
      <c r="D73" s="55">
        <v>13000</v>
      </c>
      <c r="E73" s="23">
        <f t="shared" ref="E73:E76" si="9">D73*C73</f>
        <v>26000</v>
      </c>
      <c r="F73" s="25"/>
      <c r="G73" s="25"/>
      <c r="H73" s="25"/>
      <c r="I73" s="22">
        <v>2</v>
      </c>
      <c r="J73" s="22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</row>
    <row r="74" spans="1:22" ht="15.75" customHeight="1">
      <c r="A74" s="20"/>
      <c r="B74" s="40" t="s">
        <v>93</v>
      </c>
      <c r="C74" s="22">
        <v>1</v>
      </c>
      <c r="D74" s="62">
        <v>1550</v>
      </c>
      <c r="E74" s="63">
        <f t="shared" si="9"/>
        <v>1550</v>
      </c>
      <c r="F74" s="64"/>
      <c r="G74" s="25"/>
      <c r="H74" s="25"/>
      <c r="I74" s="22">
        <v>1</v>
      </c>
      <c r="J74" s="22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</row>
    <row r="75" spans="1:22" ht="15.75" customHeight="1">
      <c r="A75" s="20"/>
      <c r="B75" s="21" t="s">
        <v>94</v>
      </c>
      <c r="C75" s="41">
        <v>1</v>
      </c>
      <c r="D75" s="42">
        <v>500</v>
      </c>
      <c r="E75" s="63">
        <f t="shared" si="9"/>
        <v>500</v>
      </c>
      <c r="F75" s="25"/>
      <c r="G75" s="25"/>
      <c r="H75" s="25"/>
      <c r="I75" s="22">
        <v>1</v>
      </c>
      <c r="J75" s="22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 spans="1:22" ht="15.75" customHeight="1">
      <c r="A76" s="20"/>
      <c r="B76" s="40" t="s">
        <v>95</v>
      </c>
      <c r="C76" s="41">
        <v>1</v>
      </c>
      <c r="D76" s="42">
        <v>120000</v>
      </c>
      <c r="E76" s="42">
        <f t="shared" si="9"/>
        <v>120000</v>
      </c>
      <c r="F76" s="25"/>
      <c r="G76" s="25"/>
      <c r="H76" s="25"/>
      <c r="I76" s="25"/>
      <c r="J76" s="22">
        <v>1</v>
      </c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</row>
    <row r="77" spans="1:22" ht="15.75" customHeight="1">
      <c r="A77" s="20"/>
      <c r="B77" s="40" t="s">
        <v>96</v>
      </c>
      <c r="C77" s="41">
        <v>3</v>
      </c>
      <c r="D77" s="42">
        <v>60000</v>
      </c>
      <c r="E77" s="55">
        <v>60000</v>
      </c>
      <c r="F77" s="25"/>
      <c r="G77" s="25"/>
      <c r="H77" s="25"/>
      <c r="I77" s="22">
        <v>1</v>
      </c>
      <c r="J77" s="22">
        <v>2</v>
      </c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</row>
    <row r="78" spans="1:22" ht="15.75" customHeight="1">
      <c r="A78" s="20"/>
      <c r="B78" s="60" t="s">
        <v>97</v>
      </c>
      <c r="C78" s="41"/>
      <c r="D78" s="42"/>
      <c r="E78" s="65"/>
      <c r="F78" s="25"/>
      <c r="G78" s="25"/>
      <c r="H78" s="25"/>
      <c r="I78" s="22"/>
      <c r="J78" s="41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 spans="1:22" ht="15.75" customHeight="1">
      <c r="A79" s="20"/>
      <c r="B79" s="40" t="s">
        <v>98</v>
      </c>
      <c r="C79" s="41">
        <v>1</v>
      </c>
      <c r="D79" s="42">
        <v>50000</v>
      </c>
      <c r="E79" s="42">
        <v>50000</v>
      </c>
      <c r="F79" s="25"/>
      <c r="G79" s="25"/>
      <c r="H79" s="25"/>
      <c r="I79" s="22">
        <v>1</v>
      </c>
      <c r="J79" s="41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</row>
    <row r="80" spans="1:22" ht="15.75" customHeight="1">
      <c r="A80" s="20"/>
      <c r="B80" s="60" t="s">
        <v>99</v>
      </c>
      <c r="C80" s="41"/>
      <c r="D80" s="42"/>
      <c r="E80" s="66"/>
      <c r="F80" s="25"/>
      <c r="G80" s="25"/>
      <c r="H80" s="25"/>
      <c r="I80" s="22"/>
      <c r="J80" s="22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 spans="1:22" ht="15.75" customHeight="1">
      <c r="A81" s="20"/>
      <c r="B81" s="100" t="s">
        <v>195</v>
      </c>
      <c r="C81" s="41">
        <v>1</v>
      </c>
      <c r="D81" s="42">
        <v>50000</v>
      </c>
      <c r="E81" s="43">
        <f>D81*C81</f>
        <v>50000</v>
      </c>
      <c r="F81" s="25" t="s">
        <v>101</v>
      </c>
      <c r="G81" s="25"/>
      <c r="H81" s="25"/>
      <c r="I81" s="22">
        <v>1</v>
      </c>
      <c r="J81" s="22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</row>
    <row r="82" spans="1:22" ht="15.75" customHeight="1">
      <c r="A82" s="20"/>
      <c r="B82" s="40" t="s">
        <v>102</v>
      </c>
      <c r="C82" s="41">
        <v>1</v>
      </c>
      <c r="D82" s="42">
        <v>581300</v>
      </c>
      <c r="E82" s="43">
        <v>581300</v>
      </c>
      <c r="F82" s="25"/>
      <c r="G82" s="25"/>
      <c r="H82" s="25"/>
      <c r="I82" s="22">
        <v>1</v>
      </c>
      <c r="J82" s="41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 spans="1:22" ht="15.75" customHeight="1">
      <c r="A83" s="20"/>
      <c r="B83" s="60" t="s">
        <v>103</v>
      </c>
      <c r="C83" s="41"/>
      <c r="D83" s="42"/>
      <c r="E83" s="43"/>
      <c r="F83" s="25"/>
      <c r="G83" s="25"/>
      <c r="H83" s="25"/>
      <c r="I83" s="25"/>
      <c r="J83" s="22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 spans="1:22" ht="15.75" customHeight="1">
      <c r="A84" s="20"/>
      <c r="B84" s="40" t="s">
        <v>104</v>
      </c>
      <c r="C84" s="41">
        <v>1</v>
      </c>
      <c r="D84" s="42">
        <v>135000</v>
      </c>
      <c r="E84" s="43">
        <f>D84*C84</f>
        <v>135000</v>
      </c>
      <c r="F84" s="25"/>
      <c r="G84" s="25"/>
      <c r="H84" s="25"/>
      <c r="I84" s="25"/>
      <c r="J84" s="22">
        <v>1</v>
      </c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 spans="1:22" ht="15.75" customHeight="1">
      <c r="A85" s="20"/>
      <c r="B85" s="21"/>
      <c r="C85" s="41"/>
      <c r="D85" s="42"/>
      <c r="E85" s="43"/>
      <c r="F85" s="25"/>
      <c r="G85" s="25"/>
      <c r="H85" s="25"/>
      <c r="I85" s="25"/>
      <c r="J85" s="22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</row>
    <row r="86" spans="1:22" ht="15.75" customHeight="1">
      <c r="A86" s="20"/>
      <c r="B86" s="21"/>
      <c r="C86" s="41"/>
      <c r="D86" s="42"/>
      <c r="E86" s="43"/>
      <c r="F86" s="25"/>
      <c r="G86" s="25"/>
      <c r="H86" s="25"/>
      <c r="I86" s="25"/>
      <c r="J86" s="22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 spans="1:22" ht="15.75" hidden="1" customHeight="1">
      <c r="A87" s="20"/>
      <c r="B87" s="21"/>
      <c r="C87" s="41"/>
      <c r="D87" s="42"/>
      <c r="E87" s="43"/>
      <c r="F87" s="25"/>
      <c r="G87" s="25"/>
      <c r="H87" s="25"/>
      <c r="I87" s="25"/>
      <c r="J87" s="22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 spans="1:22" ht="15.75" hidden="1" customHeight="1">
      <c r="A88" s="20"/>
      <c r="B88" s="21"/>
      <c r="C88" s="41"/>
      <c r="D88" s="42"/>
      <c r="E88" s="43"/>
      <c r="F88" s="25"/>
      <c r="G88" s="25"/>
      <c r="H88" s="25"/>
      <c r="I88" s="25"/>
      <c r="J88" s="22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spans="1:22" ht="15.75" hidden="1" customHeight="1">
      <c r="A89" s="20"/>
      <c r="B89" s="21"/>
      <c r="C89" s="41"/>
      <c r="D89" s="42"/>
      <c r="E89" s="43"/>
      <c r="F89" s="25"/>
      <c r="G89" s="25"/>
      <c r="H89" s="25"/>
      <c r="I89" s="25"/>
      <c r="J89" s="22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 spans="1:22" ht="15.75" hidden="1" customHeight="1">
      <c r="A90" s="20"/>
      <c r="B90" s="21"/>
      <c r="C90" s="41"/>
      <c r="D90" s="42"/>
      <c r="E90" s="43"/>
      <c r="F90" s="25"/>
      <c r="G90" s="25"/>
      <c r="H90" s="25"/>
      <c r="I90" s="25"/>
      <c r="J90" s="22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 spans="1:22" ht="15.75" hidden="1" customHeight="1">
      <c r="A91" s="20"/>
      <c r="B91" s="21"/>
      <c r="C91" s="41"/>
      <c r="D91" s="42"/>
      <c r="E91" s="43"/>
      <c r="F91" s="25"/>
      <c r="G91" s="25"/>
      <c r="H91" s="25"/>
      <c r="I91" s="25"/>
      <c r="J91" s="22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 spans="1:22" ht="15.75" hidden="1" customHeight="1">
      <c r="A92" s="20"/>
      <c r="B92" s="21"/>
      <c r="C92" s="41"/>
      <c r="D92" s="42"/>
      <c r="E92" s="43"/>
      <c r="F92" s="25"/>
      <c r="G92" s="25"/>
      <c r="H92" s="25"/>
      <c r="I92" s="25"/>
      <c r="J92" s="22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 spans="1:22" ht="15.75" hidden="1" customHeight="1">
      <c r="A93" s="68"/>
      <c r="B93" s="32"/>
      <c r="C93" s="61"/>
      <c r="D93" s="55"/>
      <c r="E93" s="66"/>
      <c r="F93" s="25"/>
      <c r="G93" s="25"/>
      <c r="H93" s="25"/>
      <c r="I93" s="25"/>
      <c r="J93" s="22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 spans="1:22" ht="15.75" hidden="1" customHeight="1">
      <c r="A94" s="20"/>
      <c r="B94" s="51" t="s">
        <v>105</v>
      </c>
      <c r="C94" s="52"/>
      <c r="D94" s="53"/>
      <c r="E94" s="54"/>
      <c r="F94" s="52"/>
      <c r="G94" s="52"/>
      <c r="H94" s="52"/>
      <c r="I94" s="52"/>
      <c r="J94" s="59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</row>
    <row r="95" spans="1:22" ht="15.75" hidden="1" customHeight="1">
      <c r="A95" s="20"/>
      <c r="B95" s="21"/>
      <c r="C95" s="41"/>
      <c r="D95" s="42"/>
      <c r="E95" s="43"/>
      <c r="F95" s="25"/>
      <c r="G95" s="25"/>
      <c r="H95" s="25"/>
      <c r="I95" s="25"/>
      <c r="J95" s="22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 spans="1:22" ht="15.75" hidden="1" customHeight="1">
      <c r="A96" s="20"/>
      <c r="B96" s="21"/>
      <c r="C96" s="41"/>
      <c r="D96" s="42"/>
      <c r="E96" s="43"/>
      <c r="F96" s="25"/>
      <c r="G96" s="25"/>
      <c r="H96" s="25"/>
      <c r="I96" s="25"/>
      <c r="J96" s="22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 spans="1:22" ht="15.75" hidden="1" customHeight="1">
      <c r="A97" s="20"/>
      <c r="B97" s="21"/>
      <c r="C97" s="41"/>
      <c r="D97" s="42"/>
      <c r="E97" s="43"/>
      <c r="F97" s="25"/>
      <c r="G97" s="25"/>
      <c r="H97" s="25"/>
      <c r="I97" s="25"/>
      <c r="J97" s="22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 spans="1:22" ht="15.75" hidden="1" customHeight="1">
      <c r="A98" s="20"/>
      <c r="B98" s="21"/>
      <c r="C98" s="41"/>
      <c r="D98" s="42"/>
      <c r="E98" s="43"/>
      <c r="F98" s="25"/>
      <c r="G98" s="25"/>
      <c r="H98" s="25"/>
      <c r="I98" s="25"/>
      <c r="J98" s="22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 spans="1:22" ht="15.75" hidden="1" customHeight="1">
      <c r="A99" s="20"/>
      <c r="B99" s="51" t="s">
        <v>106</v>
      </c>
      <c r="C99" s="52"/>
      <c r="D99" s="53"/>
      <c r="E99" s="54"/>
      <c r="F99" s="52"/>
      <c r="G99" s="52"/>
      <c r="H99" s="52"/>
      <c r="I99" s="52"/>
      <c r="J99" s="59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</row>
    <row r="100" spans="1:22" ht="15.75" hidden="1" customHeight="1">
      <c r="A100" s="20"/>
      <c r="B100" s="21"/>
      <c r="C100" s="41"/>
      <c r="D100" s="42"/>
      <c r="E100" s="43"/>
      <c r="F100" s="25"/>
      <c r="G100" s="25"/>
      <c r="H100" s="25"/>
      <c r="I100" s="25"/>
      <c r="J100" s="22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  <row r="101" spans="1:22" ht="15.75" hidden="1" customHeight="1">
      <c r="A101" s="20"/>
      <c r="B101" s="21"/>
      <c r="C101" s="41"/>
      <c r="D101" s="42"/>
      <c r="E101" s="43"/>
      <c r="F101" s="25"/>
      <c r="G101" s="25"/>
      <c r="H101" s="25"/>
      <c r="I101" s="25"/>
      <c r="J101" s="22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</row>
    <row r="102" spans="1:22" ht="15.75" hidden="1" customHeight="1">
      <c r="A102" s="20"/>
      <c r="B102" s="21"/>
      <c r="C102" s="41"/>
      <c r="D102" s="42"/>
      <c r="E102" s="43"/>
      <c r="F102" s="25"/>
      <c r="G102" s="25"/>
      <c r="H102" s="25"/>
      <c r="I102" s="25"/>
      <c r="J102" s="22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 spans="1:22" ht="15.75" customHeight="1">
      <c r="A103" s="68"/>
      <c r="B103" s="108" t="s">
        <v>107</v>
      </c>
      <c r="C103" s="109"/>
      <c r="D103" s="109"/>
      <c r="E103" s="109"/>
      <c r="F103" s="109"/>
      <c r="G103" s="109"/>
      <c r="H103" s="109"/>
      <c r="I103" s="110"/>
      <c r="J103" s="22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</row>
    <row r="104" spans="1:22" ht="15.75" customHeight="1">
      <c r="A104" s="69"/>
      <c r="B104" s="70"/>
      <c r="C104" s="7"/>
      <c r="D104" s="8"/>
      <c r="E104" s="71"/>
      <c r="F104" s="10"/>
      <c r="G104" s="10"/>
      <c r="H104" s="7"/>
      <c r="I104" s="7"/>
      <c r="J104" s="1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 ht="15.75" customHeight="1">
      <c r="A105" s="72" t="s">
        <v>108</v>
      </c>
      <c r="B105" s="3"/>
      <c r="C105" s="111">
        <f>SUM(E10:E86)</f>
        <v>4730900</v>
      </c>
      <c r="D105" s="102"/>
      <c r="E105" s="102"/>
      <c r="F105" s="10"/>
      <c r="G105" s="10"/>
      <c r="H105" s="7"/>
      <c r="I105" s="7"/>
      <c r="J105" s="1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 ht="15.75" hidden="1" customHeight="1">
      <c r="A106" s="73" t="s">
        <v>109</v>
      </c>
      <c r="B106" s="74"/>
      <c r="C106" s="112">
        <f>PRODUCT(C105,0.1)</f>
        <v>473090</v>
      </c>
      <c r="D106" s="113"/>
      <c r="E106" s="114"/>
      <c r="F106" s="10"/>
      <c r="G106" s="10"/>
      <c r="H106" s="115"/>
      <c r="I106" s="102"/>
      <c r="J106" s="115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75"/>
      <c r="V106" s="7"/>
    </row>
    <row r="107" spans="1:22" ht="15.75" hidden="1" customHeight="1">
      <c r="A107" s="76" t="s">
        <v>110</v>
      </c>
      <c r="B107" s="57"/>
      <c r="C107" s="116">
        <f>PRODUCT(C105,0.1)</f>
        <v>473090</v>
      </c>
      <c r="D107" s="109"/>
      <c r="E107" s="110"/>
      <c r="F107" s="10"/>
      <c r="G107" s="10"/>
      <c r="H107" s="77"/>
      <c r="I107" s="77"/>
      <c r="J107" s="117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91"/>
      <c r="V107" s="7"/>
    </row>
    <row r="108" spans="1:22" ht="15.75" hidden="1" customHeight="1">
      <c r="A108" s="76" t="s">
        <v>111</v>
      </c>
      <c r="B108" s="57"/>
      <c r="C108" s="116">
        <f>SUM(C105:E107)</f>
        <v>5677080</v>
      </c>
      <c r="D108" s="109"/>
      <c r="E108" s="110"/>
      <c r="F108" s="10"/>
      <c r="G108" s="10"/>
      <c r="H108" s="77"/>
      <c r="I108" s="77"/>
      <c r="J108" s="117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91"/>
      <c r="V108" s="7"/>
    </row>
    <row r="109" spans="1:22" ht="15.75" customHeight="1">
      <c r="A109" s="78"/>
      <c r="B109" s="3"/>
      <c r="C109" s="7"/>
      <c r="D109" s="8"/>
      <c r="E109" s="9"/>
      <c r="F109" s="10"/>
      <c r="G109" s="10"/>
      <c r="H109" s="77"/>
      <c r="I109" s="77"/>
      <c r="J109" s="117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91"/>
      <c r="V109" s="7"/>
    </row>
    <row r="110" spans="1:22" ht="15.75" customHeight="1">
      <c r="A110" s="79" t="s">
        <v>112</v>
      </c>
      <c r="B110" s="3"/>
      <c r="C110" s="7"/>
      <c r="D110" s="8"/>
      <c r="E110" s="9"/>
      <c r="F110" s="10"/>
      <c r="G110" s="10"/>
      <c r="H110" s="7"/>
      <c r="I110" s="7"/>
      <c r="J110" s="1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 ht="15.75" customHeight="1">
      <c r="A111" s="80"/>
      <c r="B111" s="3"/>
      <c r="C111" s="7"/>
      <c r="D111" s="8"/>
      <c r="E111" s="9"/>
      <c r="F111" s="10"/>
      <c r="G111" s="10"/>
      <c r="H111" s="7"/>
      <c r="I111" s="7"/>
      <c r="J111" s="1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 ht="15.75" customHeight="1">
      <c r="A112" s="81" t="s">
        <v>113</v>
      </c>
      <c r="B112" s="70"/>
      <c r="C112" s="119" t="s">
        <v>114</v>
      </c>
      <c r="D112" s="102"/>
      <c r="E112" s="102"/>
      <c r="F112" s="77"/>
      <c r="G112" s="77"/>
      <c r="H112" s="7"/>
      <c r="I112" s="119" t="s">
        <v>115</v>
      </c>
      <c r="J112" s="102"/>
      <c r="K112" s="102"/>
      <c r="L112" s="102"/>
      <c r="M112" s="102"/>
      <c r="N112" s="102"/>
      <c r="O112" s="7"/>
      <c r="P112" s="7"/>
      <c r="Q112" s="119" t="s">
        <v>116</v>
      </c>
      <c r="R112" s="102"/>
      <c r="S112" s="102"/>
      <c r="T112" s="102"/>
      <c r="U112" s="7"/>
      <c r="V112" s="7"/>
    </row>
    <row r="113" spans="1:22" ht="15.75" customHeight="1">
      <c r="A113" s="81"/>
      <c r="B113" s="70"/>
      <c r="C113" s="82"/>
      <c r="D113" s="83"/>
      <c r="E113" s="84"/>
      <c r="F113" s="77"/>
      <c r="G113" s="77"/>
      <c r="H113" s="7"/>
      <c r="I113" s="82"/>
      <c r="J113" s="9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</row>
    <row r="114" spans="1:22" ht="15.75" customHeight="1">
      <c r="A114" s="70"/>
      <c r="B114" s="70"/>
      <c r="C114" s="77"/>
      <c r="D114" s="85"/>
      <c r="E114" s="86"/>
      <c r="F114" s="77"/>
      <c r="G114" s="77"/>
      <c r="H114" s="7"/>
      <c r="I114" s="77"/>
      <c r="J114" s="93"/>
      <c r="K114" s="94"/>
      <c r="L114" s="94"/>
      <c r="M114" s="94"/>
      <c r="N114" s="94"/>
      <c r="O114" s="94"/>
      <c r="P114" s="94"/>
      <c r="Q114" s="77"/>
      <c r="R114" s="94"/>
      <c r="S114" s="77"/>
      <c r="T114" s="77"/>
      <c r="U114" s="77"/>
      <c r="V114" s="77"/>
    </row>
    <row r="115" spans="1:22" ht="15.75" customHeight="1">
      <c r="A115" s="129" t="s">
        <v>117</v>
      </c>
      <c r="B115" s="102"/>
      <c r="C115" s="130" t="s">
        <v>118</v>
      </c>
      <c r="D115" s="102"/>
      <c r="E115" s="102"/>
      <c r="F115" s="102"/>
      <c r="G115" s="7"/>
      <c r="H115" s="7"/>
      <c r="I115" s="130" t="s">
        <v>119</v>
      </c>
      <c r="J115" s="102"/>
      <c r="K115" s="102"/>
      <c r="L115" s="102"/>
      <c r="M115" s="102"/>
      <c r="N115" s="102"/>
      <c r="O115" s="7"/>
      <c r="P115" s="7"/>
      <c r="Q115" s="130" t="s">
        <v>120</v>
      </c>
      <c r="R115" s="102"/>
      <c r="S115" s="102"/>
      <c r="T115" s="102"/>
      <c r="U115" s="7"/>
      <c r="V115" s="7"/>
    </row>
    <row r="116" spans="1:22" ht="15" customHeight="1">
      <c r="A116" s="131" t="s">
        <v>121</v>
      </c>
      <c r="B116" s="102"/>
      <c r="C116" s="118" t="s">
        <v>122</v>
      </c>
      <c r="D116" s="102"/>
      <c r="E116" s="102"/>
      <c r="F116" s="102"/>
      <c r="G116" s="87"/>
      <c r="H116" s="7"/>
      <c r="I116" s="132" t="s">
        <v>123</v>
      </c>
      <c r="J116" s="102"/>
      <c r="K116" s="102"/>
      <c r="L116" s="102"/>
      <c r="M116" s="102"/>
      <c r="N116" s="102"/>
      <c r="O116" s="7"/>
      <c r="P116" s="7"/>
      <c r="Q116" s="118" t="s">
        <v>124</v>
      </c>
      <c r="R116" s="102"/>
      <c r="S116" s="102"/>
      <c r="T116" s="102"/>
      <c r="U116" s="7"/>
      <c r="V116" s="7"/>
    </row>
    <row r="117" spans="1:22" ht="15.75" customHeight="1">
      <c r="A117" s="7"/>
      <c r="B117" s="7"/>
      <c r="C117" s="7"/>
      <c r="D117" s="8"/>
      <c r="E117" s="9"/>
      <c r="F117" s="7"/>
      <c r="G117" s="7"/>
      <c r="H117" s="7"/>
      <c r="I117" s="7"/>
      <c r="J117" s="1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 ht="15.75" customHeight="1">
      <c r="A118" s="7" t="s">
        <v>125</v>
      </c>
      <c r="B118" s="7"/>
      <c r="C118" s="7" t="s">
        <v>125</v>
      </c>
      <c r="D118" s="8"/>
      <c r="E118" s="9"/>
      <c r="F118" s="7"/>
      <c r="G118" s="7"/>
      <c r="H118" s="7"/>
      <c r="I118" s="7" t="s">
        <v>125</v>
      </c>
      <c r="J118" s="1"/>
      <c r="K118" s="7"/>
      <c r="L118" s="7"/>
      <c r="M118" s="7"/>
      <c r="N118" s="7"/>
      <c r="O118" s="7"/>
      <c r="P118" s="7"/>
      <c r="Q118" s="7" t="s">
        <v>125</v>
      </c>
      <c r="R118" s="7"/>
      <c r="S118" s="7"/>
      <c r="T118" s="7"/>
      <c r="U118" s="7"/>
      <c r="V118" s="7"/>
    </row>
    <row r="119" spans="1:22" ht="15.75" customHeight="1">
      <c r="D119" s="88"/>
      <c r="E119" s="9"/>
      <c r="H119" s="120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</row>
    <row r="120" spans="1:22" ht="15.75" customHeight="1">
      <c r="D120" s="88"/>
      <c r="E120" s="9"/>
      <c r="H120" s="89"/>
      <c r="I120" s="89"/>
      <c r="J120" s="95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</row>
    <row r="121" spans="1:22" ht="15.75" customHeight="1">
      <c r="D121" s="88"/>
      <c r="E121" s="9"/>
      <c r="H121" s="90"/>
      <c r="I121" s="96"/>
      <c r="J121" s="97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</row>
    <row r="122" spans="1:22" ht="15.75" customHeight="1">
      <c r="D122" s="88"/>
      <c r="E122" s="9"/>
      <c r="H122" s="121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</row>
    <row r="123" spans="1:22" ht="15.75" customHeight="1">
      <c r="D123" s="88"/>
      <c r="E123" s="9"/>
      <c r="H123" s="12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</row>
    <row r="124" spans="1:22" ht="15.75" customHeight="1">
      <c r="D124" s="88"/>
      <c r="E124" s="9"/>
      <c r="J124" s="1"/>
    </row>
    <row r="125" spans="1:22" ht="15.75" customHeight="1">
      <c r="D125" s="88"/>
      <c r="E125" s="9"/>
      <c r="J125" s="1"/>
    </row>
    <row r="126" spans="1:22" ht="15.75" customHeight="1">
      <c r="D126" s="88"/>
      <c r="E126" s="9"/>
      <c r="J126" s="1"/>
    </row>
    <row r="127" spans="1:22" ht="15.75" customHeight="1">
      <c r="D127" s="88"/>
      <c r="E127" s="9"/>
      <c r="J127" s="1"/>
    </row>
    <row r="128" spans="1:22" ht="15.75" customHeight="1">
      <c r="D128" s="88"/>
      <c r="E128" s="9"/>
      <c r="J128" s="1"/>
    </row>
    <row r="129" spans="4:10" ht="15.75" customHeight="1">
      <c r="D129" s="88"/>
      <c r="E129" s="9"/>
      <c r="J129" s="1"/>
    </row>
    <row r="130" spans="4:10" ht="15.75" customHeight="1">
      <c r="D130" s="88"/>
      <c r="E130" s="9"/>
      <c r="J130" s="1"/>
    </row>
    <row r="131" spans="4:10" ht="15.75" customHeight="1">
      <c r="D131" s="88"/>
      <c r="E131" s="9"/>
      <c r="J131" s="1"/>
    </row>
    <row r="132" spans="4:10" ht="15.75" customHeight="1">
      <c r="D132" s="88"/>
      <c r="E132" s="9"/>
      <c r="J132" s="1"/>
    </row>
    <row r="133" spans="4:10" ht="15.75" customHeight="1">
      <c r="D133" s="88"/>
      <c r="E133" s="9"/>
      <c r="J133" s="1"/>
    </row>
    <row r="134" spans="4:10" ht="15.75" customHeight="1">
      <c r="D134" s="88"/>
      <c r="E134" s="9"/>
      <c r="J134" s="1"/>
    </row>
    <row r="135" spans="4:10" ht="15.75" customHeight="1">
      <c r="D135" s="88"/>
      <c r="E135" s="9"/>
      <c r="J135" s="1"/>
    </row>
    <row r="136" spans="4:10" ht="15.75" customHeight="1">
      <c r="D136" s="88"/>
      <c r="E136" s="9"/>
      <c r="J136" s="1"/>
    </row>
    <row r="137" spans="4:10" ht="15.75" customHeight="1">
      <c r="D137" s="88"/>
      <c r="E137" s="9"/>
      <c r="J137" s="1"/>
    </row>
    <row r="138" spans="4:10" ht="15.75" customHeight="1">
      <c r="D138" s="88"/>
      <c r="E138" s="9"/>
      <c r="J138" s="1"/>
    </row>
    <row r="139" spans="4:10" ht="15.75" customHeight="1">
      <c r="D139" s="88"/>
      <c r="E139" s="9"/>
      <c r="J139" s="1"/>
    </row>
    <row r="140" spans="4:10" ht="15.75" customHeight="1">
      <c r="D140" s="88"/>
      <c r="E140" s="9"/>
      <c r="J140" s="1"/>
    </row>
    <row r="141" spans="4:10" ht="15.75" customHeight="1">
      <c r="D141" s="88"/>
      <c r="E141" s="9"/>
      <c r="J141" s="1"/>
    </row>
    <row r="142" spans="4:10" ht="15.75" customHeight="1">
      <c r="D142" s="88"/>
      <c r="E142" s="9"/>
      <c r="J142" s="1"/>
    </row>
    <row r="143" spans="4:10" ht="15.75" customHeight="1">
      <c r="D143" s="88"/>
      <c r="E143" s="9"/>
      <c r="J143" s="1"/>
    </row>
    <row r="144" spans="4:10" ht="15.75" customHeight="1">
      <c r="D144" s="88"/>
      <c r="E144" s="9"/>
      <c r="J144" s="1"/>
    </row>
    <row r="145" spans="4:10" ht="15.75" customHeight="1">
      <c r="D145" s="88"/>
      <c r="E145" s="9"/>
      <c r="J145" s="1"/>
    </row>
    <row r="146" spans="4:10" ht="15.75" customHeight="1">
      <c r="D146" s="88"/>
      <c r="E146" s="9"/>
      <c r="J146" s="1"/>
    </row>
    <row r="147" spans="4:10" ht="15.75" customHeight="1">
      <c r="D147" s="88"/>
      <c r="E147" s="9"/>
      <c r="J147" s="1"/>
    </row>
    <row r="148" spans="4:10" ht="15.75" customHeight="1">
      <c r="D148" s="88"/>
      <c r="E148" s="9"/>
      <c r="J148" s="1"/>
    </row>
    <row r="149" spans="4:10" ht="15.75" customHeight="1">
      <c r="D149" s="88"/>
      <c r="E149" s="9"/>
      <c r="J149" s="1"/>
    </row>
    <row r="150" spans="4:10" ht="15.75" customHeight="1">
      <c r="D150" s="88"/>
      <c r="E150" s="9"/>
      <c r="J150" s="1"/>
    </row>
    <row r="151" spans="4:10" ht="15.75" customHeight="1">
      <c r="D151" s="88"/>
      <c r="E151" s="9"/>
      <c r="J151" s="1"/>
    </row>
    <row r="152" spans="4:10" ht="15.75" customHeight="1">
      <c r="D152" s="88"/>
      <c r="E152" s="9"/>
      <c r="J152" s="1"/>
    </row>
    <row r="153" spans="4:10" ht="15.75" customHeight="1">
      <c r="D153" s="88"/>
      <c r="E153" s="9"/>
      <c r="J153" s="1"/>
    </row>
    <row r="154" spans="4:10" ht="15.75" customHeight="1">
      <c r="D154" s="88"/>
      <c r="E154" s="9"/>
      <c r="J154" s="1"/>
    </row>
    <row r="155" spans="4:10" ht="15.75" customHeight="1">
      <c r="D155" s="88"/>
      <c r="E155" s="9"/>
      <c r="J155" s="1"/>
    </row>
    <row r="156" spans="4:10" ht="15.75" customHeight="1">
      <c r="D156" s="88"/>
      <c r="E156" s="9"/>
      <c r="J156" s="1"/>
    </row>
    <row r="157" spans="4:10" ht="15.75" customHeight="1">
      <c r="D157" s="88"/>
      <c r="E157" s="9"/>
      <c r="J157" s="1"/>
    </row>
    <row r="158" spans="4:10" ht="15.75" customHeight="1">
      <c r="D158" s="88"/>
      <c r="E158" s="9"/>
      <c r="J158" s="1"/>
    </row>
    <row r="159" spans="4:10" ht="15.75" customHeight="1">
      <c r="D159" s="88"/>
      <c r="E159" s="9"/>
      <c r="J159" s="1"/>
    </row>
    <row r="160" spans="4:10" ht="15.75" customHeight="1">
      <c r="D160" s="88"/>
      <c r="E160" s="9"/>
      <c r="J160" s="1"/>
    </row>
    <row r="161" spans="4:10" ht="15.75" customHeight="1">
      <c r="D161" s="88"/>
      <c r="E161" s="9"/>
      <c r="J161" s="1"/>
    </row>
    <row r="162" spans="4:10" ht="15.75" customHeight="1">
      <c r="D162" s="88"/>
      <c r="E162" s="9"/>
      <c r="J162" s="1"/>
    </row>
    <row r="163" spans="4:10" ht="15.75" customHeight="1">
      <c r="D163" s="88"/>
      <c r="E163" s="9"/>
      <c r="J163" s="1"/>
    </row>
    <row r="164" spans="4:10" ht="15.75" customHeight="1">
      <c r="D164" s="88"/>
      <c r="E164" s="9"/>
      <c r="J164" s="1"/>
    </row>
    <row r="165" spans="4:10" ht="15.75" customHeight="1">
      <c r="D165" s="88"/>
      <c r="E165" s="9"/>
      <c r="J165" s="1"/>
    </row>
    <row r="166" spans="4:10" ht="15.75" customHeight="1">
      <c r="D166" s="88"/>
      <c r="E166" s="9"/>
      <c r="J166" s="1"/>
    </row>
    <row r="167" spans="4:10" ht="15.75" customHeight="1">
      <c r="D167" s="88"/>
      <c r="E167" s="9"/>
      <c r="J167" s="1"/>
    </row>
    <row r="168" spans="4:10" ht="15.75" customHeight="1">
      <c r="D168" s="88"/>
      <c r="E168" s="9"/>
      <c r="J168" s="1"/>
    </row>
    <row r="169" spans="4:10" ht="15.75" customHeight="1">
      <c r="D169" s="88"/>
      <c r="E169" s="9"/>
      <c r="J169" s="1"/>
    </row>
    <row r="170" spans="4:10" ht="15.75" customHeight="1">
      <c r="D170" s="88"/>
      <c r="E170" s="9"/>
      <c r="J170" s="1"/>
    </row>
    <row r="171" spans="4:10" ht="15.75" customHeight="1">
      <c r="D171" s="88"/>
      <c r="E171" s="9"/>
      <c r="J171" s="1"/>
    </row>
    <row r="172" spans="4:10" ht="15.75" customHeight="1">
      <c r="D172" s="88"/>
      <c r="E172" s="9"/>
      <c r="J172" s="1"/>
    </row>
    <row r="173" spans="4:10" ht="15.75" customHeight="1">
      <c r="D173" s="88"/>
      <c r="E173" s="9"/>
      <c r="J173" s="1"/>
    </row>
    <row r="174" spans="4:10" ht="15.75" customHeight="1">
      <c r="D174" s="88"/>
      <c r="E174" s="9"/>
      <c r="J174" s="1"/>
    </row>
    <row r="175" spans="4:10" ht="15.75" customHeight="1">
      <c r="D175" s="88"/>
      <c r="E175" s="9"/>
      <c r="J175" s="1"/>
    </row>
    <row r="176" spans="4:10" ht="15.75" customHeight="1">
      <c r="D176" s="88"/>
      <c r="E176" s="9"/>
      <c r="J176" s="1"/>
    </row>
    <row r="177" spans="4:10" ht="15.75" customHeight="1">
      <c r="D177" s="88"/>
      <c r="E177" s="9"/>
      <c r="J177" s="1"/>
    </row>
    <row r="178" spans="4:10" ht="15.75" customHeight="1">
      <c r="D178" s="88"/>
      <c r="E178" s="9"/>
      <c r="J178" s="1"/>
    </row>
    <row r="179" spans="4:10" ht="15.75" customHeight="1">
      <c r="D179" s="88"/>
      <c r="E179" s="9"/>
      <c r="J179" s="1"/>
    </row>
    <row r="180" spans="4:10" ht="15.75" customHeight="1">
      <c r="D180" s="88"/>
      <c r="E180" s="9"/>
      <c r="J180" s="1"/>
    </row>
    <row r="181" spans="4:10" ht="15.75" customHeight="1">
      <c r="D181" s="88"/>
      <c r="E181" s="9"/>
      <c r="J181" s="1"/>
    </row>
    <row r="182" spans="4:10" ht="15.75" customHeight="1">
      <c r="D182" s="88"/>
      <c r="E182" s="9"/>
      <c r="J182" s="1"/>
    </row>
    <row r="183" spans="4:10" ht="15.75" customHeight="1">
      <c r="D183" s="88"/>
      <c r="E183" s="9"/>
      <c r="J183" s="1"/>
    </row>
    <row r="184" spans="4:10" ht="15.75" customHeight="1">
      <c r="D184" s="88"/>
      <c r="E184" s="9"/>
      <c r="J184" s="1"/>
    </row>
    <row r="185" spans="4:10" ht="15.75" customHeight="1">
      <c r="D185" s="88"/>
      <c r="E185" s="9"/>
      <c r="J185" s="1"/>
    </row>
    <row r="186" spans="4:10" ht="15.75" customHeight="1">
      <c r="D186" s="88"/>
      <c r="E186" s="9"/>
      <c r="J186" s="1"/>
    </row>
    <row r="187" spans="4:10" ht="15.75" customHeight="1">
      <c r="D187" s="88"/>
      <c r="E187" s="9"/>
      <c r="J187" s="1"/>
    </row>
    <row r="188" spans="4:10" ht="15.75" customHeight="1">
      <c r="D188" s="88"/>
      <c r="E188" s="9"/>
      <c r="J188" s="1"/>
    </row>
    <row r="189" spans="4:10" ht="15.75" customHeight="1">
      <c r="D189" s="88"/>
      <c r="E189" s="9"/>
      <c r="J189" s="1"/>
    </row>
    <row r="190" spans="4:10" ht="15.75" customHeight="1">
      <c r="D190" s="88"/>
      <c r="E190" s="9"/>
      <c r="J190" s="1"/>
    </row>
    <row r="191" spans="4:10" ht="15.75" customHeight="1">
      <c r="D191" s="88"/>
      <c r="E191" s="9"/>
      <c r="J191" s="1"/>
    </row>
    <row r="192" spans="4:10" ht="15.75" customHeight="1">
      <c r="D192" s="88"/>
      <c r="E192" s="9"/>
      <c r="J192" s="1"/>
    </row>
    <row r="193" spans="4:10" ht="15.75" customHeight="1">
      <c r="D193" s="88"/>
      <c r="E193" s="9"/>
      <c r="J193" s="1"/>
    </row>
    <row r="194" spans="4:10" ht="15.75" customHeight="1">
      <c r="D194" s="88"/>
      <c r="E194" s="9"/>
      <c r="J194" s="1"/>
    </row>
    <row r="195" spans="4:10" ht="15.75" customHeight="1">
      <c r="D195" s="88"/>
      <c r="E195" s="9"/>
      <c r="J195" s="1"/>
    </row>
    <row r="196" spans="4:10" ht="15.75" customHeight="1">
      <c r="D196" s="88"/>
      <c r="E196" s="9"/>
      <c r="J196" s="1"/>
    </row>
    <row r="197" spans="4:10" ht="15.75" customHeight="1">
      <c r="D197" s="88"/>
      <c r="E197" s="9"/>
      <c r="J197" s="1"/>
    </row>
    <row r="198" spans="4:10" ht="15.75" customHeight="1">
      <c r="D198" s="88"/>
      <c r="E198" s="9"/>
      <c r="J198" s="1"/>
    </row>
    <row r="199" spans="4:10" ht="15.75" customHeight="1">
      <c r="D199" s="88"/>
      <c r="E199" s="9"/>
      <c r="J199" s="1"/>
    </row>
    <row r="200" spans="4:10" ht="15.75" customHeight="1">
      <c r="D200" s="88"/>
      <c r="E200" s="9"/>
      <c r="J200" s="1"/>
    </row>
    <row r="201" spans="4:10" ht="15.75" customHeight="1">
      <c r="D201" s="88"/>
      <c r="E201" s="9"/>
      <c r="J201" s="1"/>
    </row>
    <row r="202" spans="4:10" ht="15.75" customHeight="1">
      <c r="D202" s="88"/>
      <c r="E202" s="9"/>
      <c r="J202" s="1"/>
    </row>
    <row r="203" spans="4:10" ht="15.75" customHeight="1">
      <c r="D203" s="88"/>
      <c r="E203" s="9"/>
      <c r="J203" s="1"/>
    </row>
    <row r="204" spans="4:10" ht="15.75" customHeight="1">
      <c r="D204" s="88"/>
      <c r="E204" s="9"/>
      <c r="J204" s="1"/>
    </row>
    <row r="205" spans="4:10" ht="15.75" customHeight="1">
      <c r="D205" s="88"/>
      <c r="E205" s="9"/>
      <c r="J205" s="1"/>
    </row>
    <row r="206" spans="4:10" ht="15.75" customHeight="1">
      <c r="D206" s="88"/>
      <c r="E206" s="9"/>
      <c r="J206" s="1"/>
    </row>
    <row r="207" spans="4:10" ht="15.75" customHeight="1">
      <c r="D207" s="88"/>
      <c r="E207" s="9"/>
      <c r="J207" s="1"/>
    </row>
    <row r="208" spans="4:10" ht="15.75" customHeight="1">
      <c r="D208" s="88"/>
      <c r="E208" s="9"/>
      <c r="J208" s="1"/>
    </row>
    <row r="209" spans="4:10" ht="15.75" customHeight="1">
      <c r="D209" s="88"/>
      <c r="E209" s="9"/>
      <c r="J209" s="1"/>
    </row>
    <row r="210" spans="4:10" ht="15.75" customHeight="1">
      <c r="D210" s="88"/>
      <c r="E210" s="9"/>
      <c r="J210" s="1"/>
    </row>
    <row r="211" spans="4:10" ht="15.75" customHeight="1">
      <c r="D211" s="88"/>
      <c r="E211" s="9"/>
      <c r="J211" s="1"/>
    </row>
    <row r="212" spans="4:10" ht="15.75" customHeight="1">
      <c r="D212" s="88"/>
      <c r="E212" s="9"/>
      <c r="J212" s="1"/>
    </row>
    <row r="213" spans="4:10" ht="15.75" customHeight="1">
      <c r="D213" s="88"/>
      <c r="E213" s="9"/>
      <c r="J213" s="1"/>
    </row>
    <row r="214" spans="4:10" ht="15.75" customHeight="1">
      <c r="D214" s="88"/>
      <c r="E214" s="9"/>
      <c r="J214" s="1"/>
    </row>
    <row r="215" spans="4:10" ht="15.75" customHeight="1">
      <c r="D215" s="88"/>
      <c r="E215" s="9"/>
      <c r="J215" s="1"/>
    </row>
    <row r="216" spans="4:10" ht="15.75" customHeight="1">
      <c r="D216" s="88"/>
      <c r="E216" s="9"/>
      <c r="J216" s="1"/>
    </row>
    <row r="217" spans="4:10" ht="15.75" customHeight="1">
      <c r="D217" s="88"/>
      <c r="E217" s="9"/>
      <c r="J217" s="1"/>
    </row>
    <row r="218" spans="4:10" ht="15.75" customHeight="1">
      <c r="D218" s="88"/>
      <c r="E218" s="9"/>
      <c r="J218" s="1"/>
    </row>
    <row r="219" spans="4:10" ht="15.75" customHeight="1">
      <c r="D219" s="88"/>
      <c r="E219" s="9"/>
      <c r="J219" s="1"/>
    </row>
    <row r="220" spans="4:10" ht="15.75" customHeight="1">
      <c r="D220" s="88"/>
      <c r="E220" s="9"/>
      <c r="J220" s="1"/>
    </row>
    <row r="221" spans="4:10" ht="15.75" customHeight="1">
      <c r="D221" s="88"/>
      <c r="E221" s="9"/>
      <c r="J221" s="1"/>
    </row>
    <row r="222" spans="4:10" ht="15.75" customHeight="1">
      <c r="D222" s="88"/>
      <c r="E222" s="9"/>
      <c r="J222" s="1"/>
    </row>
    <row r="223" spans="4:10" ht="15.75" customHeight="1">
      <c r="D223" s="88"/>
      <c r="E223" s="9"/>
      <c r="J223" s="1"/>
    </row>
    <row r="224" spans="4:10" ht="15.75" customHeight="1">
      <c r="D224" s="88"/>
      <c r="E224" s="9"/>
      <c r="J224" s="1"/>
    </row>
    <row r="225" spans="4:10" ht="15.75" customHeight="1">
      <c r="D225" s="88"/>
      <c r="E225" s="9"/>
      <c r="J225" s="1"/>
    </row>
    <row r="226" spans="4:10" ht="15.75" customHeight="1">
      <c r="D226" s="88"/>
      <c r="E226" s="9"/>
      <c r="J226" s="1"/>
    </row>
    <row r="227" spans="4:10" ht="15.75" customHeight="1">
      <c r="D227" s="88"/>
      <c r="E227" s="9"/>
      <c r="J227" s="1"/>
    </row>
    <row r="228" spans="4:10" ht="15.75" customHeight="1">
      <c r="D228" s="88"/>
      <c r="E228" s="9"/>
      <c r="J228" s="1"/>
    </row>
    <row r="229" spans="4:10" ht="15.75" customHeight="1">
      <c r="D229" s="88"/>
      <c r="E229" s="9"/>
      <c r="J229" s="1"/>
    </row>
    <row r="230" spans="4:10" ht="15.75" customHeight="1">
      <c r="D230" s="88"/>
      <c r="E230" s="9"/>
      <c r="J230" s="1"/>
    </row>
    <row r="231" spans="4:10" ht="15.75" customHeight="1">
      <c r="D231" s="88"/>
      <c r="E231" s="9"/>
      <c r="J231" s="1"/>
    </row>
    <row r="232" spans="4:10" ht="15.75" customHeight="1">
      <c r="D232" s="88"/>
      <c r="E232" s="9"/>
      <c r="J232" s="1"/>
    </row>
    <row r="233" spans="4:10" ht="15.75" customHeight="1">
      <c r="D233" s="88"/>
      <c r="E233" s="9"/>
      <c r="J233" s="1"/>
    </row>
    <row r="234" spans="4:10" ht="15.75" customHeight="1">
      <c r="D234" s="88"/>
      <c r="E234" s="9"/>
      <c r="J234" s="1"/>
    </row>
    <row r="235" spans="4:10" ht="15.75" customHeight="1">
      <c r="D235" s="88"/>
      <c r="E235" s="9"/>
      <c r="J235" s="1"/>
    </row>
    <row r="236" spans="4:10" ht="15.75" customHeight="1">
      <c r="D236" s="88"/>
      <c r="E236" s="9"/>
      <c r="J236" s="1"/>
    </row>
    <row r="237" spans="4:10" ht="15.75" customHeight="1">
      <c r="D237" s="88"/>
      <c r="E237" s="9"/>
      <c r="J237" s="1"/>
    </row>
    <row r="238" spans="4:10" ht="15.75" customHeight="1">
      <c r="D238" s="88"/>
      <c r="E238" s="9"/>
      <c r="J238" s="1"/>
    </row>
    <row r="239" spans="4:10" ht="15.75" customHeight="1">
      <c r="D239" s="88"/>
      <c r="E239" s="9"/>
      <c r="J239" s="1"/>
    </row>
    <row r="240" spans="4:10" ht="15.75" customHeight="1">
      <c r="D240" s="88"/>
      <c r="E240" s="9"/>
      <c r="J240" s="1"/>
    </row>
    <row r="241" spans="4:10" ht="15.75" customHeight="1">
      <c r="D241" s="88"/>
      <c r="E241" s="9"/>
      <c r="J241" s="1"/>
    </row>
    <row r="242" spans="4:10" ht="15.75" customHeight="1">
      <c r="D242" s="88"/>
      <c r="E242" s="9"/>
      <c r="J242" s="1"/>
    </row>
    <row r="243" spans="4:10" ht="15.75" customHeight="1">
      <c r="D243" s="88"/>
      <c r="E243" s="9"/>
      <c r="J243" s="1"/>
    </row>
    <row r="244" spans="4:10" ht="15.75" customHeight="1">
      <c r="D244" s="88"/>
      <c r="E244" s="9"/>
      <c r="J244" s="1"/>
    </row>
    <row r="245" spans="4:10" ht="15.75" customHeight="1">
      <c r="D245" s="88"/>
      <c r="E245" s="9"/>
      <c r="J245" s="1"/>
    </row>
    <row r="246" spans="4:10" ht="15.75" customHeight="1">
      <c r="D246" s="88"/>
      <c r="E246" s="9"/>
      <c r="J246" s="1"/>
    </row>
    <row r="247" spans="4:10" ht="15.75" customHeight="1">
      <c r="D247" s="88"/>
      <c r="E247" s="9"/>
      <c r="J247" s="1"/>
    </row>
    <row r="248" spans="4:10" ht="15.75" customHeight="1">
      <c r="D248" s="88"/>
      <c r="E248" s="9"/>
      <c r="J248" s="1"/>
    </row>
    <row r="249" spans="4:10" ht="15.75" customHeight="1">
      <c r="D249" s="88"/>
      <c r="E249" s="9"/>
      <c r="J249" s="1"/>
    </row>
    <row r="250" spans="4:10" ht="15.75" customHeight="1">
      <c r="D250" s="88"/>
      <c r="E250" s="9"/>
      <c r="J250" s="1"/>
    </row>
    <row r="251" spans="4:10" ht="15.75" customHeight="1">
      <c r="D251" s="88"/>
      <c r="E251" s="9"/>
      <c r="J251" s="1"/>
    </row>
    <row r="252" spans="4:10" ht="15.75" customHeight="1">
      <c r="D252" s="88"/>
      <c r="E252" s="9"/>
      <c r="J252" s="1"/>
    </row>
    <row r="253" spans="4:10" ht="15.75" customHeight="1">
      <c r="D253" s="88"/>
      <c r="E253" s="9"/>
      <c r="J253" s="1"/>
    </row>
    <row r="254" spans="4:10" ht="15.75" customHeight="1">
      <c r="D254" s="88"/>
      <c r="E254" s="9"/>
      <c r="J254" s="1"/>
    </row>
    <row r="255" spans="4:10" ht="15.75" customHeight="1">
      <c r="D255" s="88"/>
      <c r="E255" s="9"/>
      <c r="J255" s="1"/>
    </row>
    <row r="256" spans="4:10" ht="15.75" customHeight="1">
      <c r="D256" s="88"/>
      <c r="E256" s="9"/>
      <c r="J256" s="1"/>
    </row>
    <row r="257" spans="4:10" ht="15.75" customHeight="1">
      <c r="D257" s="88"/>
      <c r="E257" s="9"/>
      <c r="J257" s="1"/>
    </row>
    <row r="258" spans="4:10" ht="15.75" customHeight="1">
      <c r="D258" s="88"/>
      <c r="E258" s="9"/>
      <c r="J258" s="1"/>
    </row>
    <row r="259" spans="4:10" ht="15.75" customHeight="1">
      <c r="D259" s="88"/>
      <c r="E259" s="9"/>
      <c r="J259" s="1"/>
    </row>
    <row r="260" spans="4:10" ht="15.75" customHeight="1">
      <c r="D260" s="88"/>
      <c r="E260" s="9"/>
      <c r="J260" s="1"/>
    </row>
    <row r="261" spans="4:10" ht="15.75" customHeight="1">
      <c r="D261" s="88"/>
      <c r="E261" s="9"/>
      <c r="J261" s="1"/>
    </row>
    <row r="262" spans="4:10" ht="15.75" customHeight="1">
      <c r="D262" s="88"/>
      <c r="E262" s="9"/>
      <c r="J262" s="1"/>
    </row>
    <row r="263" spans="4:10" ht="15.75" customHeight="1">
      <c r="D263" s="88"/>
      <c r="E263" s="9"/>
      <c r="J263" s="1"/>
    </row>
    <row r="264" spans="4:10" ht="15.75" customHeight="1">
      <c r="D264" s="88"/>
      <c r="E264" s="9"/>
      <c r="J264" s="1"/>
    </row>
    <row r="265" spans="4:10" ht="15.75" customHeight="1">
      <c r="D265" s="88"/>
      <c r="E265" s="9"/>
      <c r="J265" s="1"/>
    </row>
    <row r="266" spans="4:10" ht="15.75" customHeight="1">
      <c r="D266" s="88"/>
      <c r="E266" s="9"/>
      <c r="J266" s="1"/>
    </row>
    <row r="267" spans="4:10" ht="15.75" customHeight="1">
      <c r="D267" s="88"/>
      <c r="E267" s="9"/>
      <c r="J267" s="1"/>
    </row>
    <row r="268" spans="4:10" ht="15.75" customHeight="1">
      <c r="D268" s="88"/>
      <c r="E268" s="9"/>
      <c r="J268" s="1"/>
    </row>
    <row r="269" spans="4:10" ht="15.75" customHeight="1">
      <c r="D269" s="88"/>
      <c r="E269" s="9"/>
      <c r="J269" s="1"/>
    </row>
    <row r="270" spans="4:10" ht="15.75" customHeight="1">
      <c r="D270" s="88"/>
      <c r="E270" s="9"/>
      <c r="J270" s="1"/>
    </row>
    <row r="271" spans="4:10" ht="15.75" customHeight="1">
      <c r="D271" s="88"/>
      <c r="E271" s="9"/>
      <c r="J271" s="1"/>
    </row>
    <row r="272" spans="4:10" ht="15.75" customHeight="1">
      <c r="D272" s="88"/>
      <c r="E272" s="9"/>
      <c r="J272" s="1"/>
    </row>
    <row r="273" spans="4:10" ht="15.75" customHeight="1">
      <c r="D273" s="88"/>
      <c r="E273" s="9"/>
      <c r="J273" s="1"/>
    </row>
    <row r="274" spans="4:10" ht="15.75" customHeight="1">
      <c r="D274" s="88"/>
      <c r="E274" s="9"/>
      <c r="J274" s="1"/>
    </row>
    <row r="275" spans="4:10" ht="15.75" customHeight="1">
      <c r="D275" s="88"/>
      <c r="E275" s="9"/>
      <c r="J275" s="1"/>
    </row>
    <row r="276" spans="4:10" ht="15.75" customHeight="1">
      <c r="D276" s="88"/>
      <c r="E276" s="9"/>
      <c r="J276" s="1"/>
    </row>
    <row r="277" spans="4:10" ht="15.75" customHeight="1">
      <c r="D277" s="88"/>
      <c r="E277" s="9"/>
      <c r="J277" s="1"/>
    </row>
    <row r="278" spans="4:10" ht="15.75" customHeight="1">
      <c r="D278" s="88"/>
      <c r="E278" s="9"/>
      <c r="J278" s="1"/>
    </row>
    <row r="279" spans="4:10" ht="15.75" customHeight="1">
      <c r="D279" s="88"/>
      <c r="E279" s="9"/>
      <c r="J279" s="1"/>
    </row>
    <row r="280" spans="4:10" ht="15.75" customHeight="1">
      <c r="D280" s="88"/>
      <c r="E280" s="9"/>
      <c r="J280" s="1"/>
    </row>
    <row r="281" spans="4:10" ht="15.75" customHeight="1">
      <c r="D281" s="88"/>
      <c r="E281" s="9"/>
      <c r="J281" s="1"/>
    </row>
    <row r="282" spans="4:10" ht="15.75" customHeight="1">
      <c r="D282" s="88"/>
      <c r="E282" s="9"/>
      <c r="J282" s="1"/>
    </row>
    <row r="283" spans="4:10" ht="15.75" customHeight="1">
      <c r="D283" s="88"/>
      <c r="E283" s="9"/>
      <c r="J283" s="1"/>
    </row>
    <row r="284" spans="4:10" ht="15.75" customHeight="1">
      <c r="D284" s="88"/>
      <c r="E284" s="9"/>
      <c r="J284" s="1"/>
    </row>
    <row r="285" spans="4:10" ht="15.75" customHeight="1">
      <c r="D285" s="88"/>
      <c r="E285" s="9"/>
      <c r="J285" s="1"/>
    </row>
    <row r="286" spans="4:10" ht="15.75" customHeight="1">
      <c r="D286" s="88"/>
      <c r="E286" s="9"/>
      <c r="J286" s="1"/>
    </row>
    <row r="287" spans="4:10" ht="15.75" customHeight="1">
      <c r="D287" s="88"/>
      <c r="E287" s="9"/>
      <c r="J287" s="1"/>
    </row>
    <row r="288" spans="4:10" ht="15.75" customHeight="1">
      <c r="D288" s="88"/>
      <c r="E288" s="9"/>
      <c r="J288" s="1"/>
    </row>
    <row r="289" spans="4:10" ht="15.75" customHeight="1">
      <c r="D289" s="88"/>
      <c r="E289" s="9"/>
      <c r="J289" s="1"/>
    </row>
    <row r="290" spans="4:10" ht="15.75" customHeight="1">
      <c r="D290" s="88"/>
      <c r="E290" s="9"/>
      <c r="J290" s="1"/>
    </row>
    <row r="291" spans="4:10" ht="15.75" customHeight="1">
      <c r="D291" s="88"/>
      <c r="E291" s="9"/>
      <c r="J291" s="1"/>
    </row>
    <row r="292" spans="4:10" ht="15.75" customHeight="1">
      <c r="D292" s="88"/>
      <c r="E292" s="9"/>
      <c r="J292" s="1"/>
    </row>
    <row r="293" spans="4:10" ht="15.75" customHeight="1">
      <c r="D293" s="88"/>
      <c r="E293" s="9"/>
      <c r="J293" s="1"/>
    </row>
    <row r="294" spans="4:10" ht="15.75" customHeight="1">
      <c r="D294" s="88"/>
      <c r="E294" s="9"/>
      <c r="J294" s="1"/>
    </row>
    <row r="295" spans="4:10" ht="15.75" customHeight="1">
      <c r="D295" s="88"/>
      <c r="E295" s="9"/>
      <c r="J295" s="1"/>
    </row>
    <row r="296" spans="4:10" ht="15.75" customHeight="1">
      <c r="D296" s="88"/>
      <c r="E296" s="9"/>
      <c r="J296" s="1"/>
    </row>
    <row r="297" spans="4:10" ht="15.75" customHeight="1">
      <c r="D297" s="88"/>
      <c r="E297" s="9"/>
      <c r="J297" s="1"/>
    </row>
    <row r="298" spans="4:10" ht="15.75" customHeight="1">
      <c r="D298" s="88"/>
      <c r="E298" s="9"/>
      <c r="J298" s="1"/>
    </row>
    <row r="299" spans="4:10" ht="15.75" customHeight="1">
      <c r="D299" s="88"/>
      <c r="E299" s="9"/>
      <c r="J299" s="1"/>
    </row>
    <row r="300" spans="4:10" ht="15.75" customHeight="1">
      <c r="D300" s="88"/>
      <c r="E300" s="9"/>
      <c r="J300" s="1"/>
    </row>
    <row r="301" spans="4:10" ht="15.75" customHeight="1">
      <c r="D301" s="88"/>
      <c r="E301" s="9"/>
      <c r="J301" s="1"/>
    </row>
    <row r="302" spans="4:10" ht="15.75" customHeight="1">
      <c r="D302" s="88"/>
      <c r="E302" s="9"/>
      <c r="J302" s="1"/>
    </row>
    <row r="303" spans="4:10" ht="15.75" customHeight="1">
      <c r="D303" s="88"/>
      <c r="E303" s="9"/>
      <c r="J303" s="1"/>
    </row>
    <row r="304" spans="4:10" ht="15.75" customHeight="1">
      <c r="D304" s="88"/>
      <c r="E304" s="9"/>
      <c r="J304" s="1"/>
    </row>
    <row r="305" spans="4:10" ht="15.75" customHeight="1">
      <c r="D305" s="88"/>
      <c r="E305" s="9"/>
      <c r="J305" s="1"/>
    </row>
    <row r="306" spans="4:10" ht="15.75" customHeight="1">
      <c r="D306" s="88"/>
      <c r="E306" s="9"/>
      <c r="J306" s="1"/>
    </row>
    <row r="307" spans="4:10" ht="15.75" customHeight="1">
      <c r="D307" s="88"/>
      <c r="E307" s="9"/>
      <c r="J307" s="1"/>
    </row>
    <row r="308" spans="4:10" ht="15.75" customHeight="1">
      <c r="D308" s="88"/>
      <c r="E308" s="9"/>
      <c r="J308" s="1"/>
    </row>
    <row r="309" spans="4:10" ht="15.75" customHeight="1">
      <c r="D309" s="88"/>
      <c r="E309" s="9"/>
      <c r="J309" s="1"/>
    </row>
    <row r="310" spans="4:10" ht="15.75" customHeight="1">
      <c r="D310" s="88"/>
      <c r="E310" s="9"/>
      <c r="J310" s="1"/>
    </row>
    <row r="311" spans="4:10" ht="15.75" customHeight="1">
      <c r="D311" s="88"/>
      <c r="E311" s="9"/>
      <c r="J311" s="1"/>
    </row>
    <row r="312" spans="4:10" ht="15.75" customHeight="1">
      <c r="D312" s="88"/>
      <c r="E312" s="9"/>
      <c r="J312" s="1"/>
    </row>
    <row r="313" spans="4:10" ht="15.75" customHeight="1">
      <c r="D313" s="88"/>
      <c r="E313" s="9"/>
      <c r="J313" s="1"/>
    </row>
    <row r="314" spans="4:10" ht="15.75" customHeight="1">
      <c r="D314" s="88"/>
      <c r="E314" s="9"/>
      <c r="J314" s="1"/>
    </row>
    <row r="315" spans="4:10" ht="15.75" customHeight="1">
      <c r="D315" s="88"/>
      <c r="E315" s="9"/>
      <c r="J315" s="1"/>
    </row>
    <row r="316" spans="4:10" ht="15.75" customHeight="1">
      <c r="D316" s="88"/>
      <c r="E316" s="9"/>
      <c r="J316" s="1"/>
    </row>
    <row r="317" spans="4:10" ht="15.75" customHeight="1">
      <c r="D317" s="88"/>
      <c r="E317" s="9"/>
      <c r="J317" s="1"/>
    </row>
    <row r="318" spans="4:10" ht="15.75" customHeight="1">
      <c r="D318" s="88"/>
      <c r="E318" s="9"/>
      <c r="J318" s="1"/>
    </row>
    <row r="319" spans="4:10" ht="15.75" customHeight="1">
      <c r="D319" s="9"/>
      <c r="E319" s="9"/>
      <c r="J319" s="1"/>
    </row>
    <row r="320" spans="4:10" ht="15.75" customHeight="1">
      <c r="D320" s="9"/>
      <c r="E320" s="9"/>
      <c r="J320" s="1"/>
    </row>
    <row r="321" spans="4:10" ht="15.75" customHeight="1">
      <c r="D321" s="9"/>
      <c r="E321" s="9"/>
      <c r="J321" s="1"/>
    </row>
    <row r="322" spans="4:10" ht="15.75" customHeight="1">
      <c r="D322" s="9"/>
      <c r="E322" s="9"/>
      <c r="J322" s="1"/>
    </row>
    <row r="323" spans="4:10" ht="15.75" customHeight="1">
      <c r="D323" s="9"/>
      <c r="E323" s="9"/>
      <c r="J323" s="1"/>
    </row>
    <row r="324" spans="4:10" ht="15.75" customHeight="1">
      <c r="D324" s="9"/>
      <c r="E324" s="9"/>
      <c r="J324" s="1"/>
    </row>
    <row r="325" spans="4:10" ht="15.75" customHeight="1">
      <c r="D325" s="9"/>
      <c r="E325" s="9"/>
      <c r="J325" s="1"/>
    </row>
    <row r="326" spans="4:10" ht="15.75" customHeight="1">
      <c r="D326" s="9"/>
      <c r="E326" s="9"/>
      <c r="J326" s="1"/>
    </row>
    <row r="327" spans="4:10" ht="15.75" customHeight="1">
      <c r="D327" s="9"/>
      <c r="E327" s="9"/>
      <c r="J327" s="1"/>
    </row>
    <row r="328" spans="4:10" ht="15.75" customHeight="1">
      <c r="D328" s="9"/>
      <c r="E328" s="9"/>
      <c r="J328" s="1"/>
    </row>
    <row r="329" spans="4:10" ht="15.75" customHeight="1">
      <c r="D329" s="9"/>
      <c r="E329" s="9"/>
      <c r="J329" s="1"/>
    </row>
    <row r="330" spans="4:10" ht="15.75" customHeight="1">
      <c r="D330" s="9"/>
      <c r="E330" s="9"/>
      <c r="J330" s="1"/>
    </row>
    <row r="331" spans="4:10" ht="15.75" customHeight="1">
      <c r="D331" s="9"/>
      <c r="E331" s="9"/>
      <c r="J331" s="1"/>
    </row>
    <row r="332" spans="4:10" ht="15.75" customHeight="1">
      <c r="D332" s="9"/>
      <c r="E332" s="9"/>
      <c r="J332" s="1"/>
    </row>
    <row r="333" spans="4:10" ht="15.75" customHeight="1">
      <c r="D333" s="9"/>
      <c r="E333" s="9"/>
      <c r="J333" s="1"/>
    </row>
    <row r="334" spans="4:10" ht="15.75" customHeight="1">
      <c r="D334" s="9"/>
      <c r="E334" s="9"/>
      <c r="J334" s="1"/>
    </row>
    <row r="335" spans="4:10" ht="15.75" customHeight="1">
      <c r="D335" s="9"/>
      <c r="E335" s="9"/>
      <c r="J335" s="1"/>
    </row>
    <row r="336" spans="4:10" ht="15.75" customHeight="1">
      <c r="D336" s="9"/>
      <c r="E336" s="9"/>
      <c r="J336" s="1"/>
    </row>
    <row r="337" spans="4:10" ht="15.75" customHeight="1">
      <c r="D337" s="9"/>
      <c r="E337" s="9"/>
      <c r="J337" s="1"/>
    </row>
    <row r="338" spans="4:10" ht="15.75" customHeight="1">
      <c r="D338" s="9"/>
      <c r="E338" s="9"/>
      <c r="J338" s="1"/>
    </row>
    <row r="339" spans="4:10" ht="15.75" customHeight="1">
      <c r="D339" s="9"/>
      <c r="E339" s="9"/>
      <c r="J339" s="1"/>
    </row>
    <row r="340" spans="4:10" ht="15.75" customHeight="1">
      <c r="D340" s="9"/>
      <c r="E340" s="9"/>
      <c r="J340" s="1"/>
    </row>
    <row r="341" spans="4:10" ht="15.75" customHeight="1">
      <c r="D341" s="9"/>
      <c r="E341" s="9"/>
      <c r="J341" s="1"/>
    </row>
    <row r="342" spans="4:10" ht="15.75" customHeight="1">
      <c r="D342" s="9"/>
      <c r="E342" s="9"/>
      <c r="J342" s="1"/>
    </row>
    <row r="343" spans="4:10" ht="15.75" customHeight="1">
      <c r="D343" s="9"/>
      <c r="E343" s="9"/>
      <c r="J343" s="1"/>
    </row>
    <row r="344" spans="4:10" ht="15.75" customHeight="1">
      <c r="D344" s="9"/>
      <c r="E344" s="9"/>
      <c r="J344" s="1"/>
    </row>
    <row r="345" spans="4:10" ht="15.75" customHeight="1">
      <c r="D345" s="9"/>
      <c r="E345" s="9"/>
      <c r="J345" s="1"/>
    </row>
    <row r="346" spans="4:10" ht="15.75" customHeight="1">
      <c r="D346" s="9"/>
      <c r="E346" s="9"/>
      <c r="J346" s="1"/>
    </row>
    <row r="347" spans="4:10" ht="15.75" customHeight="1">
      <c r="D347" s="9"/>
      <c r="E347" s="9"/>
      <c r="J347" s="1"/>
    </row>
    <row r="348" spans="4:10" ht="15.75" customHeight="1">
      <c r="D348" s="9"/>
      <c r="E348" s="9"/>
      <c r="J348" s="1"/>
    </row>
    <row r="349" spans="4:10" ht="15.75" customHeight="1">
      <c r="D349" s="9"/>
      <c r="E349" s="9"/>
      <c r="J349" s="1"/>
    </row>
    <row r="350" spans="4:10" ht="15.75" customHeight="1">
      <c r="D350" s="9"/>
      <c r="E350" s="9"/>
      <c r="J350" s="1"/>
    </row>
    <row r="351" spans="4:10" ht="15.75" customHeight="1">
      <c r="D351" s="9"/>
      <c r="E351" s="9"/>
      <c r="J351" s="1"/>
    </row>
    <row r="352" spans="4:10" ht="15.75" customHeight="1">
      <c r="D352" s="9"/>
      <c r="E352" s="9"/>
      <c r="J352" s="1"/>
    </row>
    <row r="353" spans="4:10" ht="15.75" customHeight="1">
      <c r="D353" s="9"/>
      <c r="E353" s="9"/>
      <c r="J353" s="1"/>
    </row>
    <row r="354" spans="4:10" ht="15.75" customHeight="1">
      <c r="D354" s="9"/>
      <c r="E354" s="9"/>
      <c r="J354" s="1"/>
    </row>
    <row r="355" spans="4:10" ht="15.75" customHeight="1">
      <c r="D355" s="9"/>
      <c r="E355" s="9"/>
      <c r="J355" s="1"/>
    </row>
    <row r="356" spans="4:10" ht="15.75" customHeight="1">
      <c r="D356" s="9"/>
      <c r="E356" s="9"/>
      <c r="J356" s="1"/>
    </row>
    <row r="357" spans="4:10" ht="15.75" customHeight="1">
      <c r="D357" s="9"/>
      <c r="E357" s="9"/>
      <c r="J357" s="1"/>
    </row>
    <row r="358" spans="4:10" ht="15.75" customHeight="1">
      <c r="D358" s="9"/>
      <c r="E358" s="9"/>
      <c r="J358" s="1"/>
    </row>
    <row r="359" spans="4:10" ht="15.75" customHeight="1">
      <c r="D359" s="9"/>
      <c r="E359" s="9"/>
      <c r="J359" s="1"/>
    </row>
    <row r="360" spans="4:10" ht="15.75" customHeight="1">
      <c r="D360" s="9"/>
      <c r="E360" s="9"/>
      <c r="J360" s="1"/>
    </row>
    <row r="361" spans="4:10" ht="15.75" customHeight="1">
      <c r="D361" s="9"/>
      <c r="E361" s="9"/>
      <c r="J361" s="1"/>
    </row>
    <row r="362" spans="4:10" ht="15.75" customHeight="1">
      <c r="D362" s="9"/>
      <c r="E362" s="9"/>
      <c r="J362" s="1"/>
    </row>
    <row r="363" spans="4:10" ht="15.75" customHeight="1">
      <c r="D363" s="9"/>
      <c r="E363" s="9"/>
      <c r="J363" s="1"/>
    </row>
    <row r="364" spans="4:10" ht="15.75" customHeight="1">
      <c r="D364" s="9"/>
      <c r="E364" s="9"/>
      <c r="J364" s="1"/>
    </row>
    <row r="365" spans="4:10" ht="15.75" customHeight="1">
      <c r="D365" s="9"/>
      <c r="E365" s="9"/>
      <c r="J365" s="1"/>
    </row>
    <row r="366" spans="4:10" ht="15.75" customHeight="1">
      <c r="D366" s="9"/>
      <c r="E366" s="9"/>
      <c r="J366" s="1"/>
    </row>
    <row r="367" spans="4:10" ht="15.75" customHeight="1">
      <c r="D367" s="9"/>
      <c r="E367" s="9"/>
      <c r="J367" s="1"/>
    </row>
    <row r="368" spans="4:10" ht="15.75" customHeight="1">
      <c r="D368" s="9"/>
      <c r="E368" s="9"/>
      <c r="J368" s="1"/>
    </row>
    <row r="369" spans="4:10" ht="15.75" customHeight="1">
      <c r="D369" s="9"/>
      <c r="E369" s="9"/>
      <c r="J369" s="1"/>
    </row>
    <row r="370" spans="4:10" ht="15.75" customHeight="1">
      <c r="D370" s="9"/>
      <c r="E370" s="9"/>
      <c r="J370" s="1"/>
    </row>
    <row r="371" spans="4:10" ht="15.75" customHeight="1">
      <c r="D371" s="9"/>
      <c r="E371" s="9"/>
      <c r="J371" s="1"/>
    </row>
    <row r="372" spans="4:10" ht="15.75" customHeight="1">
      <c r="D372" s="9"/>
      <c r="E372" s="9"/>
      <c r="J372" s="1"/>
    </row>
    <row r="373" spans="4:10" ht="15.75" customHeight="1">
      <c r="D373" s="9"/>
      <c r="E373" s="9"/>
      <c r="J373" s="1"/>
    </row>
    <row r="374" spans="4:10" ht="15.75" customHeight="1">
      <c r="D374" s="9"/>
      <c r="E374" s="9"/>
      <c r="J374" s="1"/>
    </row>
    <row r="375" spans="4:10" ht="15.75" customHeight="1">
      <c r="D375" s="9"/>
      <c r="E375" s="9"/>
      <c r="J375" s="1"/>
    </row>
    <row r="376" spans="4:10" ht="15.75" customHeight="1">
      <c r="D376" s="9"/>
      <c r="E376" s="9"/>
      <c r="J376" s="1"/>
    </row>
    <row r="377" spans="4:10" ht="15.75" customHeight="1">
      <c r="D377" s="9"/>
      <c r="E377" s="9"/>
      <c r="J377" s="1"/>
    </row>
    <row r="378" spans="4:10" ht="15.75" customHeight="1">
      <c r="D378" s="9"/>
      <c r="E378" s="9"/>
      <c r="J378" s="1"/>
    </row>
    <row r="379" spans="4:10" ht="15.75" customHeight="1">
      <c r="D379" s="9"/>
      <c r="E379" s="9"/>
      <c r="J379" s="1"/>
    </row>
    <row r="380" spans="4:10" ht="15.75" customHeight="1">
      <c r="D380" s="9"/>
      <c r="E380" s="9"/>
      <c r="J380" s="1"/>
    </row>
    <row r="381" spans="4:10" ht="15.75" customHeight="1">
      <c r="D381" s="9"/>
      <c r="E381" s="9"/>
      <c r="J381" s="1"/>
    </row>
    <row r="382" spans="4:10" ht="15.75" customHeight="1">
      <c r="D382" s="9"/>
      <c r="E382" s="9"/>
      <c r="J382" s="1"/>
    </row>
    <row r="383" spans="4:10" ht="15.75" customHeight="1">
      <c r="D383" s="9"/>
      <c r="E383" s="9"/>
      <c r="J383" s="1"/>
    </row>
    <row r="384" spans="4:10" ht="15.75" customHeight="1">
      <c r="D384" s="9"/>
      <c r="E384" s="9"/>
      <c r="J384" s="1"/>
    </row>
    <row r="385" spans="4:10" ht="15.75" customHeight="1">
      <c r="D385" s="9"/>
      <c r="E385" s="9"/>
      <c r="J385" s="1"/>
    </row>
    <row r="386" spans="4:10" ht="15.75" customHeight="1">
      <c r="D386" s="9"/>
      <c r="E386" s="9"/>
      <c r="J386" s="1"/>
    </row>
    <row r="387" spans="4:10" ht="15.75" customHeight="1">
      <c r="D387" s="9"/>
      <c r="E387" s="9"/>
      <c r="J387" s="1"/>
    </row>
    <row r="388" spans="4:10" ht="15.75" customHeight="1">
      <c r="D388" s="9"/>
      <c r="E388" s="9"/>
      <c r="J388" s="1"/>
    </row>
    <row r="389" spans="4:10" ht="15.75" customHeight="1">
      <c r="D389" s="9"/>
      <c r="E389" s="9"/>
      <c r="J389" s="1"/>
    </row>
    <row r="390" spans="4:10" ht="15.75" customHeight="1">
      <c r="D390" s="9"/>
      <c r="E390" s="9"/>
      <c r="J390" s="1"/>
    </row>
    <row r="391" spans="4:10" ht="15.75" customHeight="1">
      <c r="D391" s="9"/>
      <c r="E391" s="9"/>
      <c r="J391" s="1"/>
    </row>
    <row r="392" spans="4:10" ht="15.75" customHeight="1">
      <c r="D392" s="9"/>
      <c r="E392" s="9"/>
      <c r="J392" s="1"/>
    </row>
    <row r="393" spans="4:10" ht="15.75" customHeight="1">
      <c r="D393" s="9"/>
      <c r="E393" s="9"/>
      <c r="J393" s="1"/>
    </row>
    <row r="394" spans="4:10" ht="15.75" customHeight="1">
      <c r="D394" s="9"/>
      <c r="E394" s="9"/>
      <c r="J394" s="1"/>
    </row>
    <row r="395" spans="4:10" ht="15.75" customHeight="1">
      <c r="D395" s="9"/>
      <c r="E395" s="9"/>
      <c r="J395" s="1"/>
    </row>
    <row r="396" spans="4:10" ht="15.75" customHeight="1">
      <c r="D396" s="9"/>
      <c r="E396" s="9"/>
      <c r="J396" s="1"/>
    </row>
    <row r="397" spans="4:10" ht="15.75" customHeight="1">
      <c r="D397" s="9"/>
      <c r="E397" s="9"/>
      <c r="J397" s="1"/>
    </row>
    <row r="398" spans="4:10" ht="15.75" customHeight="1">
      <c r="D398" s="9"/>
      <c r="E398" s="9"/>
      <c r="J398" s="1"/>
    </row>
    <row r="399" spans="4:10" ht="15.75" customHeight="1">
      <c r="D399" s="9"/>
      <c r="E399" s="9"/>
      <c r="J399" s="1"/>
    </row>
    <row r="400" spans="4:10" ht="15.75" customHeight="1">
      <c r="D400" s="9"/>
      <c r="E400" s="9"/>
      <c r="J400" s="1"/>
    </row>
    <row r="401" spans="4:10" ht="15.75" customHeight="1">
      <c r="D401" s="9"/>
      <c r="E401" s="9"/>
      <c r="J401" s="1"/>
    </row>
    <row r="402" spans="4:10" ht="15.75" customHeight="1">
      <c r="D402" s="9"/>
      <c r="E402" s="9"/>
      <c r="J402" s="1"/>
    </row>
    <row r="403" spans="4:10" ht="15.75" customHeight="1">
      <c r="D403" s="9"/>
      <c r="E403" s="9"/>
      <c r="J403" s="1"/>
    </row>
    <row r="404" spans="4:10" ht="15.75" customHeight="1">
      <c r="D404" s="9"/>
      <c r="E404" s="9"/>
      <c r="J404" s="1"/>
    </row>
    <row r="405" spans="4:10" ht="15.75" customHeight="1">
      <c r="D405" s="9"/>
      <c r="E405" s="9"/>
      <c r="J405" s="1"/>
    </row>
    <row r="406" spans="4:10" ht="15.75" customHeight="1">
      <c r="D406" s="9"/>
      <c r="E406" s="9"/>
      <c r="J406" s="1"/>
    </row>
    <row r="407" spans="4:10" ht="15.75" customHeight="1">
      <c r="D407" s="9"/>
      <c r="E407" s="9"/>
      <c r="J407" s="1"/>
    </row>
    <row r="408" spans="4:10" ht="15.75" customHeight="1">
      <c r="D408" s="9"/>
      <c r="E408" s="9"/>
      <c r="J408" s="1"/>
    </row>
    <row r="409" spans="4:10" ht="15.75" customHeight="1">
      <c r="D409" s="9"/>
      <c r="E409" s="9"/>
      <c r="J409" s="1"/>
    </row>
    <row r="410" spans="4:10" ht="15.75" customHeight="1">
      <c r="D410" s="9"/>
      <c r="E410" s="9"/>
      <c r="J410" s="1"/>
    </row>
    <row r="411" spans="4:10" ht="15.75" customHeight="1">
      <c r="D411" s="9"/>
      <c r="E411" s="9"/>
      <c r="J411" s="1"/>
    </row>
    <row r="412" spans="4:10" ht="15.75" customHeight="1">
      <c r="D412" s="9"/>
      <c r="E412" s="9"/>
      <c r="J412" s="1"/>
    </row>
    <row r="413" spans="4:10" ht="15.75" customHeight="1">
      <c r="D413" s="9"/>
      <c r="E413" s="9"/>
      <c r="J413" s="1"/>
    </row>
    <row r="414" spans="4:10" ht="15.75" customHeight="1">
      <c r="D414" s="9"/>
      <c r="E414" s="9"/>
      <c r="J414" s="1"/>
    </row>
    <row r="415" spans="4:10" ht="15.75" customHeight="1">
      <c r="D415" s="9"/>
      <c r="E415" s="9"/>
      <c r="J415" s="1"/>
    </row>
    <row r="416" spans="4:10" ht="15.75" customHeight="1">
      <c r="D416" s="9"/>
      <c r="E416" s="9"/>
      <c r="J416" s="1"/>
    </row>
    <row r="417" spans="4:10" ht="15.75" customHeight="1">
      <c r="D417" s="9"/>
      <c r="E417" s="9"/>
      <c r="J417" s="1"/>
    </row>
    <row r="418" spans="4:10" ht="15.75" customHeight="1">
      <c r="D418" s="9"/>
      <c r="E418" s="9"/>
      <c r="J418" s="1"/>
    </row>
    <row r="419" spans="4:10" ht="15.75" customHeight="1">
      <c r="D419" s="9"/>
      <c r="E419" s="9"/>
      <c r="J419" s="1"/>
    </row>
    <row r="420" spans="4:10" ht="15.75" customHeight="1">
      <c r="D420" s="9"/>
      <c r="E420" s="9"/>
      <c r="J420" s="1"/>
    </row>
    <row r="421" spans="4:10" ht="15.75" customHeight="1">
      <c r="D421" s="9"/>
      <c r="E421" s="9"/>
      <c r="J421" s="1"/>
    </row>
    <row r="422" spans="4:10" ht="15.75" customHeight="1">
      <c r="D422" s="9"/>
      <c r="E422" s="9"/>
      <c r="J422" s="1"/>
    </row>
    <row r="423" spans="4:10" ht="15.75" customHeight="1">
      <c r="D423" s="9"/>
      <c r="E423" s="9"/>
      <c r="J423" s="1"/>
    </row>
    <row r="424" spans="4:10" ht="15.75" customHeight="1">
      <c r="D424" s="9"/>
      <c r="E424" s="9"/>
      <c r="J424" s="1"/>
    </row>
    <row r="425" spans="4:10" ht="15.75" customHeight="1">
      <c r="D425" s="9"/>
      <c r="E425" s="9"/>
      <c r="J425" s="1"/>
    </row>
    <row r="426" spans="4:10" ht="15.75" customHeight="1">
      <c r="D426" s="9"/>
      <c r="E426" s="9"/>
      <c r="J426" s="1"/>
    </row>
    <row r="427" spans="4:10" ht="15.75" customHeight="1">
      <c r="D427" s="9"/>
      <c r="E427" s="9"/>
      <c r="J427" s="1"/>
    </row>
    <row r="428" spans="4:10" ht="15.75" customHeight="1">
      <c r="D428" s="9"/>
      <c r="E428" s="9"/>
      <c r="J428" s="1"/>
    </row>
    <row r="429" spans="4:10" ht="15.75" customHeight="1">
      <c r="D429" s="9"/>
      <c r="E429" s="9"/>
      <c r="J429" s="1"/>
    </row>
    <row r="430" spans="4:10" ht="15.75" customHeight="1">
      <c r="D430" s="9"/>
      <c r="E430" s="9"/>
      <c r="J430" s="1"/>
    </row>
    <row r="431" spans="4:10" ht="15.75" customHeight="1">
      <c r="D431" s="9"/>
      <c r="E431" s="9"/>
      <c r="J431" s="1"/>
    </row>
    <row r="432" spans="4:10" ht="15.75" customHeight="1">
      <c r="D432" s="9"/>
      <c r="E432" s="9"/>
      <c r="J432" s="1"/>
    </row>
    <row r="433" spans="4:10" ht="15.75" customHeight="1">
      <c r="D433" s="9"/>
      <c r="E433" s="9"/>
      <c r="J433" s="1"/>
    </row>
    <row r="434" spans="4:10" ht="15.75" customHeight="1">
      <c r="D434" s="9"/>
      <c r="E434" s="9"/>
      <c r="J434" s="1"/>
    </row>
    <row r="435" spans="4:10" ht="15.75" customHeight="1">
      <c r="D435" s="9"/>
      <c r="E435" s="9"/>
      <c r="J435" s="1"/>
    </row>
    <row r="436" spans="4:10" ht="15.75" customHeight="1">
      <c r="D436" s="9"/>
      <c r="E436" s="9"/>
      <c r="J436" s="1"/>
    </row>
    <row r="437" spans="4:10" ht="15.75" customHeight="1">
      <c r="D437" s="9"/>
      <c r="E437" s="9"/>
      <c r="J437" s="1"/>
    </row>
    <row r="438" spans="4:10" ht="15.75" customHeight="1">
      <c r="D438" s="9"/>
      <c r="E438" s="9"/>
      <c r="J438" s="1"/>
    </row>
    <row r="439" spans="4:10" ht="15.75" customHeight="1">
      <c r="D439" s="9"/>
      <c r="E439" s="9"/>
      <c r="J439" s="1"/>
    </row>
    <row r="440" spans="4:10" ht="15.75" customHeight="1">
      <c r="D440" s="9"/>
      <c r="E440" s="9"/>
      <c r="J440" s="1"/>
    </row>
    <row r="441" spans="4:10" ht="15.75" customHeight="1">
      <c r="D441" s="9"/>
      <c r="E441" s="9"/>
      <c r="J441" s="1"/>
    </row>
    <row r="442" spans="4:10" ht="15.75" customHeight="1">
      <c r="D442" s="9"/>
      <c r="E442" s="9"/>
      <c r="J442" s="1"/>
    </row>
    <row r="443" spans="4:10" ht="15.75" customHeight="1">
      <c r="D443" s="9"/>
      <c r="E443" s="9"/>
      <c r="J443" s="1"/>
    </row>
    <row r="444" spans="4:10" ht="15.75" customHeight="1">
      <c r="D444" s="9"/>
      <c r="E444" s="9"/>
      <c r="J444" s="1"/>
    </row>
    <row r="445" spans="4:10" ht="15.75" customHeight="1">
      <c r="D445" s="9"/>
      <c r="E445" s="9"/>
      <c r="J445" s="1"/>
    </row>
    <row r="446" spans="4:10" ht="15.75" customHeight="1">
      <c r="D446" s="9"/>
      <c r="E446" s="9"/>
      <c r="J446" s="1"/>
    </row>
    <row r="447" spans="4:10" ht="15.75" customHeight="1">
      <c r="D447" s="9"/>
      <c r="E447" s="9"/>
      <c r="J447" s="1"/>
    </row>
    <row r="448" spans="4:10" ht="15.75" customHeight="1">
      <c r="D448" s="9"/>
      <c r="E448" s="9"/>
      <c r="J448" s="1"/>
    </row>
    <row r="449" spans="4:10" ht="15.75" customHeight="1">
      <c r="D449" s="9"/>
      <c r="E449" s="9"/>
      <c r="J449" s="1"/>
    </row>
    <row r="450" spans="4:10" ht="15.75" customHeight="1">
      <c r="D450" s="9"/>
      <c r="E450" s="9"/>
      <c r="J450" s="1"/>
    </row>
    <row r="451" spans="4:10" ht="15.75" customHeight="1">
      <c r="D451" s="9"/>
      <c r="E451" s="9"/>
      <c r="J451" s="1"/>
    </row>
    <row r="452" spans="4:10" ht="15.75" customHeight="1">
      <c r="D452" s="9"/>
      <c r="E452" s="9"/>
      <c r="J452" s="1"/>
    </row>
    <row r="453" spans="4:10" ht="15.75" customHeight="1">
      <c r="D453" s="9"/>
      <c r="E453" s="9"/>
      <c r="J453" s="1"/>
    </row>
    <row r="454" spans="4:10" ht="15.75" customHeight="1">
      <c r="D454" s="9"/>
      <c r="E454" s="9"/>
      <c r="J454" s="1"/>
    </row>
    <row r="455" spans="4:10" ht="15.75" customHeight="1">
      <c r="D455" s="9"/>
      <c r="E455" s="9"/>
      <c r="J455" s="1"/>
    </row>
    <row r="456" spans="4:10" ht="15.75" customHeight="1">
      <c r="D456" s="9"/>
      <c r="E456" s="9"/>
      <c r="J456" s="1"/>
    </row>
    <row r="457" spans="4:10" ht="15.75" customHeight="1">
      <c r="D457" s="9"/>
      <c r="E457" s="9"/>
      <c r="J457" s="1"/>
    </row>
    <row r="458" spans="4:10" ht="15.75" customHeight="1">
      <c r="D458" s="9"/>
      <c r="E458" s="9"/>
      <c r="J458" s="1"/>
    </row>
    <row r="459" spans="4:10" ht="15.75" customHeight="1">
      <c r="D459" s="9"/>
      <c r="E459" s="9"/>
      <c r="J459" s="1"/>
    </row>
    <row r="460" spans="4:10" ht="15.75" customHeight="1">
      <c r="D460" s="9"/>
      <c r="E460" s="9"/>
      <c r="J460" s="1"/>
    </row>
    <row r="461" spans="4:10" ht="15.75" customHeight="1">
      <c r="D461" s="9"/>
      <c r="E461" s="9"/>
      <c r="J461" s="1"/>
    </row>
    <row r="462" spans="4:10" ht="15.75" customHeight="1">
      <c r="D462" s="9"/>
      <c r="E462" s="9"/>
      <c r="J462" s="1"/>
    </row>
    <row r="463" spans="4:10" ht="15.75" customHeight="1">
      <c r="D463" s="9"/>
      <c r="E463" s="9"/>
      <c r="J463" s="1"/>
    </row>
    <row r="464" spans="4:10" ht="15.75" customHeight="1">
      <c r="D464" s="9"/>
      <c r="E464" s="9"/>
      <c r="J464" s="1"/>
    </row>
    <row r="465" spans="4:10" ht="15.75" customHeight="1">
      <c r="D465" s="9"/>
      <c r="E465" s="9"/>
      <c r="J465" s="1"/>
    </row>
    <row r="466" spans="4:10" ht="15.75" customHeight="1">
      <c r="D466" s="9"/>
      <c r="E466" s="9"/>
      <c r="J466" s="1"/>
    </row>
    <row r="467" spans="4:10" ht="15.75" customHeight="1">
      <c r="D467" s="9"/>
      <c r="E467" s="9"/>
      <c r="J467" s="1"/>
    </row>
    <row r="468" spans="4:10" ht="15.75" customHeight="1">
      <c r="D468" s="9"/>
      <c r="E468" s="9"/>
      <c r="J468" s="1"/>
    </row>
    <row r="469" spans="4:10" ht="15.75" customHeight="1">
      <c r="D469" s="9"/>
      <c r="E469" s="9"/>
      <c r="J469" s="1"/>
    </row>
    <row r="470" spans="4:10" ht="15.75" customHeight="1">
      <c r="D470" s="9"/>
      <c r="E470" s="9"/>
      <c r="J470" s="1"/>
    </row>
    <row r="471" spans="4:10" ht="15.75" customHeight="1">
      <c r="D471" s="9"/>
      <c r="E471" s="9"/>
      <c r="J471" s="1"/>
    </row>
    <row r="472" spans="4:10" ht="15.75" customHeight="1">
      <c r="D472" s="9"/>
      <c r="E472" s="9"/>
      <c r="J472" s="1"/>
    </row>
    <row r="473" spans="4:10" ht="15.75" customHeight="1">
      <c r="D473" s="9"/>
      <c r="E473" s="9"/>
      <c r="J473" s="1"/>
    </row>
    <row r="474" spans="4:10" ht="15.75" customHeight="1">
      <c r="D474" s="9"/>
      <c r="E474" s="9"/>
      <c r="J474" s="1"/>
    </row>
    <row r="475" spans="4:10" ht="15.75" customHeight="1">
      <c r="D475" s="9"/>
      <c r="E475" s="9"/>
      <c r="J475" s="1"/>
    </row>
    <row r="476" spans="4:10" ht="15.75" customHeight="1">
      <c r="D476" s="9"/>
      <c r="E476" s="9"/>
      <c r="J476" s="1"/>
    </row>
    <row r="477" spans="4:10" ht="15.75" customHeight="1">
      <c r="D477" s="9"/>
      <c r="E477" s="9"/>
      <c r="J477" s="1"/>
    </row>
    <row r="478" spans="4:10" ht="15.75" customHeight="1">
      <c r="D478" s="9"/>
      <c r="E478" s="9"/>
      <c r="J478" s="1"/>
    </row>
    <row r="479" spans="4:10" ht="15.75" customHeight="1">
      <c r="D479" s="9"/>
      <c r="E479" s="9"/>
      <c r="J479" s="1"/>
    </row>
    <row r="480" spans="4:10" ht="15.75" customHeight="1">
      <c r="D480" s="9"/>
      <c r="E480" s="9"/>
      <c r="J480" s="1"/>
    </row>
    <row r="481" spans="4:10" ht="15.75" customHeight="1">
      <c r="D481" s="9"/>
      <c r="E481" s="9"/>
      <c r="J481" s="1"/>
    </row>
    <row r="482" spans="4:10" ht="15.75" customHeight="1">
      <c r="D482" s="9"/>
      <c r="E482" s="9"/>
      <c r="J482" s="1"/>
    </row>
    <row r="483" spans="4:10" ht="15.75" customHeight="1">
      <c r="D483" s="9"/>
      <c r="E483" s="9"/>
      <c r="J483" s="1"/>
    </row>
    <row r="484" spans="4:10" ht="15.75" customHeight="1">
      <c r="D484" s="9"/>
      <c r="E484" s="9"/>
      <c r="J484" s="1"/>
    </row>
    <row r="485" spans="4:10" ht="15.75" customHeight="1">
      <c r="D485" s="9"/>
      <c r="E485" s="9"/>
      <c r="J485" s="1"/>
    </row>
    <row r="486" spans="4:10" ht="15.75" customHeight="1">
      <c r="D486" s="9"/>
      <c r="E486" s="9"/>
      <c r="J486" s="1"/>
    </row>
    <row r="487" spans="4:10" ht="15.75" customHeight="1">
      <c r="D487" s="9"/>
      <c r="E487" s="9"/>
      <c r="J487" s="1"/>
    </row>
    <row r="488" spans="4:10" ht="15.75" customHeight="1">
      <c r="D488" s="9"/>
      <c r="E488" s="9"/>
      <c r="J488" s="1"/>
    </row>
    <row r="489" spans="4:10" ht="15.75" customHeight="1">
      <c r="D489" s="9"/>
      <c r="E489" s="9"/>
      <c r="J489" s="1"/>
    </row>
    <row r="490" spans="4:10" ht="15.75" customHeight="1">
      <c r="D490" s="9"/>
      <c r="E490" s="9"/>
      <c r="J490" s="1"/>
    </row>
    <row r="491" spans="4:10" ht="15.75" customHeight="1">
      <c r="D491" s="9"/>
      <c r="E491" s="9"/>
      <c r="J491" s="1"/>
    </row>
    <row r="492" spans="4:10" ht="15.75" customHeight="1">
      <c r="D492" s="9"/>
      <c r="E492" s="9"/>
      <c r="J492" s="1"/>
    </row>
    <row r="493" spans="4:10" ht="15.75" customHeight="1">
      <c r="D493" s="9"/>
      <c r="E493" s="9"/>
      <c r="J493" s="1"/>
    </row>
    <row r="494" spans="4:10" ht="15.75" customHeight="1">
      <c r="D494" s="9"/>
      <c r="E494" s="9"/>
      <c r="J494" s="1"/>
    </row>
    <row r="495" spans="4:10" ht="15.75" customHeight="1">
      <c r="D495" s="9"/>
      <c r="E495" s="9"/>
      <c r="J495" s="1"/>
    </row>
    <row r="496" spans="4:10" ht="15.75" customHeight="1">
      <c r="D496" s="9"/>
      <c r="E496" s="9"/>
      <c r="J496" s="1"/>
    </row>
    <row r="497" spans="4:10" ht="15.75" customHeight="1">
      <c r="D497" s="9"/>
      <c r="E497" s="9"/>
      <c r="J497" s="1"/>
    </row>
    <row r="498" spans="4:10" ht="15.75" customHeight="1">
      <c r="D498" s="9"/>
      <c r="E498" s="9"/>
      <c r="J498" s="1"/>
    </row>
    <row r="499" spans="4:10" ht="15.75" customHeight="1">
      <c r="D499" s="9"/>
      <c r="E499" s="9"/>
      <c r="J499" s="1"/>
    </row>
    <row r="500" spans="4:10" ht="15.75" customHeight="1">
      <c r="D500" s="9"/>
      <c r="E500" s="9"/>
      <c r="J500" s="1"/>
    </row>
    <row r="501" spans="4:10" ht="15.75" customHeight="1">
      <c r="D501" s="9"/>
      <c r="E501" s="9"/>
      <c r="J501" s="1"/>
    </row>
    <row r="502" spans="4:10" ht="15.75" customHeight="1">
      <c r="D502" s="9"/>
      <c r="E502" s="9"/>
      <c r="J502" s="1"/>
    </row>
    <row r="503" spans="4:10" ht="15.75" customHeight="1">
      <c r="D503" s="9"/>
      <c r="E503" s="9"/>
      <c r="J503" s="1"/>
    </row>
    <row r="504" spans="4:10" ht="15.75" customHeight="1">
      <c r="D504" s="9"/>
      <c r="E504" s="9"/>
      <c r="J504" s="1"/>
    </row>
    <row r="505" spans="4:10" ht="15.75" customHeight="1">
      <c r="D505" s="9"/>
      <c r="E505" s="9"/>
      <c r="J505" s="1"/>
    </row>
    <row r="506" spans="4:10" ht="15.75" customHeight="1">
      <c r="D506" s="9"/>
      <c r="E506" s="9"/>
      <c r="J506" s="1"/>
    </row>
    <row r="507" spans="4:10" ht="15.75" customHeight="1">
      <c r="D507" s="9"/>
      <c r="E507" s="9"/>
      <c r="J507" s="1"/>
    </row>
    <row r="508" spans="4:10" ht="15.75" customHeight="1">
      <c r="D508" s="9"/>
      <c r="E508" s="9"/>
      <c r="J508" s="1"/>
    </row>
    <row r="509" spans="4:10" ht="15.75" customHeight="1">
      <c r="D509" s="9"/>
      <c r="E509" s="9"/>
      <c r="J509" s="1"/>
    </row>
    <row r="510" spans="4:10" ht="15.75" customHeight="1">
      <c r="D510" s="9"/>
      <c r="E510" s="9"/>
      <c r="J510" s="1"/>
    </row>
    <row r="511" spans="4:10" ht="15.75" customHeight="1">
      <c r="D511" s="9"/>
      <c r="E511" s="9"/>
      <c r="J511" s="1"/>
    </row>
    <row r="512" spans="4:10" ht="15.75" customHeight="1">
      <c r="D512" s="9"/>
      <c r="E512" s="9"/>
      <c r="J512" s="1"/>
    </row>
    <row r="513" spans="4:10" ht="15.75" customHeight="1">
      <c r="D513" s="9"/>
      <c r="E513" s="9"/>
      <c r="J513" s="1"/>
    </row>
    <row r="514" spans="4:10" ht="15.75" customHeight="1">
      <c r="D514" s="9"/>
      <c r="E514" s="9"/>
      <c r="J514" s="1"/>
    </row>
    <row r="515" spans="4:10" ht="15.75" customHeight="1">
      <c r="D515" s="9"/>
      <c r="E515" s="9"/>
      <c r="J515" s="1"/>
    </row>
    <row r="516" spans="4:10" ht="15.75" customHeight="1">
      <c r="D516" s="9"/>
      <c r="E516" s="9"/>
      <c r="J516" s="1"/>
    </row>
    <row r="517" spans="4:10" ht="15.75" customHeight="1">
      <c r="D517" s="9"/>
      <c r="E517" s="9"/>
      <c r="J517" s="1"/>
    </row>
    <row r="518" spans="4:10" ht="15.75" customHeight="1">
      <c r="D518" s="9"/>
      <c r="E518" s="9"/>
      <c r="J518" s="1"/>
    </row>
    <row r="519" spans="4:10" ht="15.75" customHeight="1">
      <c r="D519" s="9"/>
      <c r="E519" s="9"/>
      <c r="J519" s="1"/>
    </row>
    <row r="520" spans="4:10" ht="15.75" customHeight="1">
      <c r="D520" s="9"/>
      <c r="E520" s="9"/>
      <c r="J520" s="1"/>
    </row>
    <row r="521" spans="4:10" ht="15.75" customHeight="1">
      <c r="D521" s="9"/>
      <c r="E521" s="9"/>
      <c r="J521" s="1"/>
    </row>
    <row r="522" spans="4:10" ht="15.75" customHeight="1">
      <c r="D522" s="9"/>
      <c r="E522" s="9"/>
      <c r="J522" s="1"/>
    </row>
    <row r="523" spans="4:10" ht="15.75" customHeight="1">
      <c r="D523" s="9"/>
      <c r="E523" s="9"/>
      <c r="J523" s="1"/>
    </row>
    <row r="524" spans="4:10" ht="15.75" customHeight="1">
      <c r="D524" s="9"/>
      <c r="E524" s="9"/>
      <c r="J524" s="1"/>
    </row>
    <row r="525" spans="4:10" ht="15.75" customHeight="1">
      <c r="D525" s="9"/>
      <c r="E525" s="9"/>
      <c r="J525" s="1"/>
    </row>
    <row r="526" spans="4:10" ht="15.75" customHeight="1">
      <c r="D526" s="9"/>
      <c r="E526" s="9"/>
      <c r="J526" s="1"/>
    </row>
    <row r="527" spans="4:10" ht="15.75" customHeight="1">
      <c r="D527" s="9"/>
      <c r="E527" s="9"/>
      <c r="J527" s="1"/>
    </row>
    <row r="528" spans="4:10" ht="15.75" customHeight="1">
      <c r="D528" s="9"/>
      <c r="E528" s="9"/>
      <c r="J528" s="1"/>
    </row>
    <row r="529" spans="4:10" ht="15.75" customHeight="1">
      <c r="D529" s="9"/>
      <c r="E529" s="9"/>
      <c r="J529" s="1"/>
    </row>
    <row r="530" spans="4:10" ht="15.75" customHeight="1">
      <c r="D530" s="9"/>
      <c r="E530" s="9"/>
      <c r="J530" s="1"/>
    </row>
    <row r="531" spans="4:10" ht="15.75" customHeight="1">
      <c r="D531" s="9"/>
      <c r="E531" s="9"/>
      <c r="J531" s="1"/>
    </row>
    <row r="532" spans="4:10" ht="15.75" customHeight="1">
      <c r="D532" s="9"/>
      <c r="E532" s="9"/>
      <c r="J532" s="1"/>
    </row>
    <row r="533" spans="4:10" ht="15.75" customHeight="1">
      <c r="D533" s="9"/>
      <c r="E533" s="9"/>
      <c r="J533" s="1"/>
    </row>
    <row r="534" spans="4:10" ht="15.75" customHeight="1">
      <c r="D534" s="9"/>
      <c r="E534" s="9"/>
      <c r="J534" s="1"/>
    </row>
    <row r="535" spans="4:10" ht="15.75" customHeight="1">
      <c r="D535" s="9"/>
      <c r="E535" s="9"/>
      <c r="J535" s="1"/>
    </row>
    <row r="536" spans="4:10" ht="15.75" customHeight="1">
      <c r="D536" s="9"/>
      <c r="E536" s="9"/>
      <c r="J536" s="1"/>
    </row>
    <row r="537" spans="4:10" ht="15.75" customHeight="1">
      <c r="D537" s="9"/>
      <c r="E537" s="9"/>
      <c r="J537" s="1"/>
    </row>
    <row r="538" spans="4:10" ht="15.75" customHeight="1">
      <c r="D538" s="9"/>
      <c r="E538" s="9"/>
      <c r="J538" s="1"/>
    </row>
    <row r="539" spans="4:10" ht="15.75" customHeight="1">
      <c r="D539" s="9"/>
      <c r="E539" s="9"/>
      <c r="J539" s="1"/>
    </row>
    <row r="540" spans="4:10" ht="15.75" customHeight="1">
      <c r="D540" s="9"/>
      <c r="E540" s="9"/>
      <c r="J540" s="1"/>
    </row>
    <row r="541" spans="4:10" ht="15.75" customHeight="1">
      <c r="D541" s="9"/>
      <c r="E541" s="9"/>
      <c r="J541" s="1"/>
    </row>
    <row r="542" spans="4:10" ht="15.75" customHeight="1">
      <c r="D542" s="9"/>
      <c r="E542" s="9"/>
      <c r="J542" s="1"/>
    </row>
    <row r="543" spans="4:10" ht="15.75" customHeight="1">
      <c r="D543" s="9"/>
      <c r="E543" s="9"/>
      <c r="J543" s="1"/>
    </row>
    <row r="544" spans="4:10" ht="15.75" customHeight="1">
      <c r="D544" s="9"/>
      <c r="E544" s="9"/>
      <c r="J544" s="1"/>
    </row>
    <row r="545" spans="4:10" ht="15.75" customHeight="1">
      <c r="D545" s="9"/>
      <c r="E545" s="9"/>
      <c r="J545" s="1"/>
    </row>
    <row r="546" spans="4:10" ht="15.75" customHeight="1">
      <c r="D546" s="9"/>
      <c r="E546" s="9"/>
      <c r="J546" s="1"/>
    </row>
    <row r="547" spans="4:10" ht="15.75" customHeight="1">
      <c r="D547" s="9"/>
      <c r="E547" s="9"/>
      <c r="J547" s="1"/>
    </row>
    <row r="548" spans="4:10" ht="15.75" customHeight="1">
      <c r="D548" s="9"/>
      <c r="E548" s="9"/>
      <c r="J548" s="1"/>
    </row>
    <row r="549" spans="4:10" ht="15.75" customHeight="1">
      <c r="D549" s="9"/>
      <c r="E549" s="9"/>
      <c r="J549" s="1"/>
    </row>
    <row r="550" spans="4:10" ht="15.75" customHeight="1">
      <c r="D550" s="9"/>
      <c r="E550" s="9"/>
      <c r="J550" s="1"/>
    </row>
    <row r="551" spans="4:10" ht="15.75" customHeight="1">
      <c r="D551" s="9"/>
      <c r="E551" s="9"/>
      <c r="J551" s="1"/>
    </row>
    <row r="552" spans="4:10" ht="15.75" customHeight="1">
      <c r="D552" s="9"/>
      <c r="E552" s="9"/>
      <c r="J552" s="1"/>
    </row>
    <row r="553" spans="4:10" ht="15.75" customHeight="1">
      <c r="D553" s="9"/>
      <c r="E553" s="9"/>
      <c r="J553" s="1"/>
    </row>
    <row r="554" spans="4:10" ht="15.75" customHeight="1">
      <c r="D554" s="9"/>
      <c r="E554" s="9"/>
      <c r="J554" s="1"/>
    </row>
    <row r="555" spans="4:10" ht="15.75" customHeight="1">
      <c r="D555" s="9"/>
      <c r="E555" s="9"/>
      <c r="J555" s="1"/>
    </row>
    <row r="556" spans="4:10" ht="15.75" customHeight="1">
      <c r="D556" s="9"/>
      <c r="E556" s="9"/>
      <c r="J556" s="1"/>
    </row>
    <row r="557" spans="4:10" ht="15.75" customHeight="1">
      <c r="D557" s="9"/>
      <c r="E557" s="9"/>
      <c r="J557" s="1"/>
    </row>
    <row r="558" spans="4:10" ht="15.75" customHeight="1">
      <c r="D558" s="9"/>
      <c r="E558" s="9"/>
      <c r="J558" s="1"/>
    </row>
    <row r="559" spans="4:10" ht="15.75" customHeight="1">
      <c r="D559" s="9"/>
      <c r="E559" s="9"/>
      <c r="J559" s="1"/>
    </row>
    <row r="560" spans="4:10" ht="15.75" customHeight="1">
      <c r="D560" s="9"/>
      <c r="E560" s="9"/>
      <c r="J560" s="1"/>
    </row>
    <row r="561" spans="4:10" ht="15.75" customHeight="1">
      <c r="D561" s="9"/>
      <c r="E561" s="9"/>
      <c r="J561" s="1"/>
    </row>
    <row r="562" spans="4:10" ht="15.75" customHeight="1">
      <c r="D562" s="9"/>
      <c r="E562" s="9"/>
      <c r="J562" s="1"/>
    </row>
    <row r="563" spans="4:10" ht="15.75" customHeight="1">
      <c r="D563" s="9"/>
      <c r="E563" s="9"/>
      <c r="J563" s="1"/>
    </row>
    <row r="564" spans="4:10" ht="15.75" customHeight="1">
      <c r="D564" s="9"/>
      <c r="E564" s="9"/>
      <c r="J564" s="1"/>
    </row>
    <row r="565" spans="4:10" ht="15.75" customHeight="1">
      <c r="D565" s="9"/>
      <c r="E565" s="9"/>
      <c r="J565" s="1"/>
    </row>
    <row r="566" spans="4:10" ht="15.75" customHeight="1">
      <c r="D566" s="9"/>
      <c r="E566" s="9"/>
      <c r="J566" s="1"/>
    </row>
    <row r="567" spans="4:10" ht="15.75" customHeight="1">
      <c r="D567" s="9"/>
      <c r="E567" s="9"/>
      <c r="J567" s="1"/>
    </row>
    <row r="568" spans="4:10" ht="15.75" customHeight="1">
      <c r="D568" s="9"/>
      <c r="E568" s="9"/>
      <c r="J568" s="1"/>
    </row>
    <row r="569" spans="4:10" ht="15.75" customHeight="1">
      <c r="D569" s="9"/>
      <c r="E569" s="9"/>
      <c r="J569" s="1"/>
    </row>
    <row r="570" spans="4:10" ht="15.75" customHeight="1">
      <c r="D570" s="9"/>
      <c r="E570" s="9"/>
      <c r="J570" s="1"/>
    </row>
    <row r="571" spans="4:10" ht="15.75" customHeight="1">
      <c r="D571" s="9"/>
      <c r="E571" s="9"/>
      <c r="J571" s="1"/>
    </row>
    <row r="572" spans="4:10" ht="15.75" customHeight="1">
      <c r="D572" s="9"/>
      <c r="E572" s="9"/>
      <c r="J572" s="1"/>
    </row>
    <row r="573" spans="4:10" ht="15.75" customHeight="1">
      <c r="D573" s="9"/>
      <c r="E573" s="9"/>
      <c r="J573" s="1"/>
    </row>
    <row r="574" spans="4:10" ht="15.75" customHeight="1">
      <c r="D574" s="9"/>
      <c r="E574" s="9"/>
      <c r="J574" s="1"/>
    </row>
    <row r="575" spans="4:10" ht="15.75" customHeight="1">
      <c r="D575" s="9"/>
      <c r="E575" s="9"/>
      <c r="J575" s="1"/>
    </row>
    <row r="576" spans="4:10" ht="15.75" customHeight="1">
      <c r="D576" s="9"/>
      <c r="E576" s="9"/>
      <c r="J576" s="1"/>
    </row>
    <row r="577" spans="4:10" ht="15.75" customHeight="1">
      <c r="D577" s="9"/>
      <c r="E577" s="9"/>
      <c r="J577" s="1"/>
    </row>
    <row r="578" spans="4:10" ht="15.75" customHeight="1">
      <c r="D578" s="9"/>
      <c r="E578" s="9"/>
      <c r="J578" s="1"/>
    </row>
    <row r="579" spans="4:10" ht="15.75" customHeight="1">
      <c r="D579" s="9"/>
      <c r="E579" s="9"/>
      <c r="J579" s="1"/>
    </row>
    <row r="580" spans="4:10" ht="15.75" customHeight="1">
      <c r="D580" s="9"/>
      <c r="E580" s="9"/>
      <c r="J580" s="1"/>
    </row>
    <row r="581" spans="4:10" ht="15.75" customHeight="1">
      <c r="D581" s="9"/>
      <c r="E581" s="9"/>
      <c r="J581" s="1"/>
    </row>
    <row r="582" spans="4:10" ht="15.75" customHeight="1">
      <c r="D582" s="9"/>
      <c r="E582" s="9"/>
      <c r="J582" s="1"/>
    </row>
    <row r="583" spans="4:10" ht="15.75" customHeight="1">
      <c r="D583" s="9"/>
      <c r="E583" s="9"/>
      <c r="J583" s="1"/>
    </row>
    <row r="584" spans="4:10" ht="15.75" customHeight="1">
      <c r="D584" s="9"/>
      <c r="E584" s="9"/>
      <c r="J584" s="1"/>
    </row>
    <row r="585" spans="4:10" ht="15.75" customHeight="1">
      <c r="D585" s="9"/>
      <c r="E585" s="9"/>
      <c r="J585" s="1"/>
    </row>
    <row r="586" spans="4:10" ht="15.75" customHeight="1">
      <c r="D586" s="9"/>
      <c r="E586" s="9"/>
      <c r="J586" s="1"/>
    </row>
    <row r="587" spans="4:10" ht="15.75" customHeight="1">
      <c r="D587" s="9"/>
      <c r="E587" s="9"/>
      <c r="J587" s="1"/>
    </row>
    <row r="588" spans="4:10" ht="15.75" customHeight="1">
      <c r="D588" s="9"/>
      <c r="E588" s="9"/>
      <c r="J588" s="1"/>
    </row>
    <row r="589" spans="4:10" ht="15.75" customHeight="1">
      <c r="D589" s="9"/>
      <c r="E589" s="9"/>
      <c r="J589" s="1"/>
    </row>
    <row r="590" spans="4:10" ht="15.75" customHeight="1">
      <c r="D590" s="9"/>
      <c r="E590" s="9"/>
      <c r="J590" s="1"/>
    </row>
    <row r="591" spans="4:10" ht="15.75" customHeight="1">
      <c r="D591" s="9"/>
      <c r="E591" s="9"/>
      <c r="J591" s="1"/>
    </row>
    <row r="592" spans="4:10" ht="15.75" customHeight="1">
      <c r="D592" s="9"/>
      <c r="E592" s="9"/>
      <c r="J592" s="1"/>
    </row>
    <row r="593" spans="4:10" ht="15.75" customHeight="1">
      <c r="D593" s="9"/>
      <c r="E593" s="9"/>
      <c r="J593" s="1"/>
    </row>
    <row r="594" spans="4:10" ht="15.75" customHeight="1">
      <c r="D594" s="9"/>
      <c r="E594" s="9"/>
      <c r="J594" s="1"/>
    </row>
    <row r="595" spans="4:10" ht="15.75" customHeight="1">
      <c r="D595" s="9"/>
      <c r="E595" s="9"/>
      <c r="J595" s="1"/>
    </row>
    <row r="596" spans="4:10" ht="15.75" customHeight="1">
      <c r="D596" s="9"/>
      <c r="E596" s="9"/>
      <c r="J596" s="1"/>
    </row>
    <row r="597" spans="4:10" ht="15.75" customHeight="1">
      <c r="D597" s="9"/>
      <c r="E597" s="9"/>
      <c r="J597" s="1"/>
    </row>
    <row r="598" spans="4:10" ht="15.75" customHeight="1">
      <c r="D598" s="9"/>
      <c r="E598" s="9"/>
      <c r="J598" s="1"/>
    </row>
    <row r="599" spans="4:10" ht="15.75" customHeight="1">
      <c r="D599" s="9"/>
      <c r="E599" s="9"/>
      <c r="J599" s="1"/>
    </row>
    <row r="600" spans="4:10" ht="15.75" customHeight="1">
      <c r="D600" s="9"/>
      <c r="E600" s="9"/>
      <c r="J600" s="1"/>
    </row>
    <row r="601" spans="4:10" ht="15.75" customHeight="1">
      <c r="D601" s="9"/>
      <c r="E601" s="9"/>
      <c r="J601" s="1"/>
    </row>
    <row r="602" spans="4:10" ht="15.75" customHeight="1">
      <c r="D602" s="9"/>
      <c r="E602" s="9"/>
      <c r="J602" s="1"/>
    </row>
    <row r="603" spans="4:10" ht="15.75" customHeight="1">
      <c r="D603" s="9"/>
      <c r="E603" s="9"/>
      <c r="J603" s="1"/>
    </row>
    <row r="604" spans="4:10" ht="15.75" customHeight="1">
      <c r="D604" s="9"/>
      <c r="E604" s="9"/>
      <c r="J604" s="1"/>
    </row>
    <row r="605" spans="4:10" ht="15.75" customHeight="1">
      <c r="D605" s="9"/>
      <c r="E605" s="9"/>
      <c r="J605" s="1"/>
    </row>
    <row r="606" spans="4:10" ht="15.75" customHeight="1">
      <c r="D606" s="9"/>
      <c r="E606" s="9"/>
      <c r="J606" s="1"/>
    </row>
    <row r="607" spans="4:10" ht="15.75" customHeight="1">
      <c r="D607" s="9"/>
      <c r="E607" s="9"/>
      <c r="J607" s="1"/>
    </row>
    <row r="608" spans="4:10" ht="15.75" customHeight="1">
      <c r="D608" s="9"/>
      <c r="E608" s="9"/>
      <c r="J608" s="1"/>
    </row>
    <row r="609" spans="4:10" ht="15.75" customHeight="1">
      <c r="D609" s="9"/>
      <c r="E609" s="9"/>
      <c r="J609" s="1"/>
    </row>
    <row r="610" spans="4:10" ht="15.75" customHeight="1">
      <c r="D610" s="9"/>
      <c r="E610" s="9"/>
      <c r="J610" s="1"/>
    </row>
    <row r="611" spans="4:10" ht="15.75" customHeight="1">
      <c r="D611" s="9"/>
      <c r="E611" s="9"/>
      <c r="J611" s="1"/>
    </row>
    <row r="612" spans="4:10" ht="15.75" customHeight="1">
      <c r="D612" s="9"/>
      <c r="E612" s="9"/>
      <c r="J612" s="1"/>
    </row>
    <row r="613" spans="4:10" ht="15.75" customHeight="1">
      <c r="D613" s="9"/>
      <c r="E613" s="9"/>
      <c r="J613" s="1"/>
    </row>
    <row r="614" spans="4:10" ht="15.75" customHeight="1">
      <c r="D614" s="9"/>
      <c r="E614" s="9"/>
      <c r="J614" s="1"/>
    </row>
    <row r="615" spans="4:10" ht="15.75" customHeight="1">
      <c r="D615" s="9"/>
      <c r="E615" s="9"/>
      <c r="J615" s="1"/>
    </row>
    <row r="616" spans="4:10" ht="15.75" customHeight="1">
      <c r="D616" s="9"/>
      <c r="E616" s="9"/>
      <c r="J616" s="1"/>
    </row>
    <row r="617" spans="4:10" ht="15.75" customHeight="1">
      <c r="D617" s="9"/>
      <c r="E617" s="9"/>
      <c r="J617" s="1"/>
    </row>
    <row r="618" spans="4:10" ht="15.75" customHeight="1">
      <c r="D618" s="9"/>
      <c r="E618" s="9"/>
      <c r="J618" s="1"/>
    </row>
    <row r="619" spans="4:10" ht="15.75" customHeight="1">
      <c r="D619" s="9"/>
      <c r="E619" s="9"/>
      <c r="J619" s="1"/>
    </row>
    <row r="620" spans="4:10" ht="15.75" customHeight="1">
      <c r="D620" s="9"/>
      <c r="E620" s="9"/>
      <c r="J620" s="1"/>
    </row>
    <row r="621" spans="4:10" ht="15.75" customHeight="1">
      <c r="D621" s="9"/>
      <c r="E621" s="9"/>
      <c r="J621" s="1"/>
    </row>
    <row r="622" spans="4:10" ht="15.75" customHeight="1">
      <c r="D622" s="9"/>
      <c r="E622" s="9"/>
      <c r="J622" s="1"/>
    </row>
    <row r="623" spans="4:10" ht="15.75" customHeight="1">
      <c r="D623" s="9"/>
      <c r="E623" s="9"/>
      <c r="J623" s="1"/>
    </row>
    <row r="624" spans="4:10" ht="15.75" customHeight="1">
      <c r="D624" s="9"/>
      <c r="E624" s="9"/>
      <c r="J624" s="1"/>
    </row>
    <row r="625" spans="4:10" ht="15.75" customHeight="1">
      <c r="D625" s="9"/>
      <c r="E625" s="9"/>
      <c r="J625" s="1"/>
    </row>
    <row r="626" spans="4:10" ht="15.75" customHeight="1">
      <c r="D626" s="9"/>
      <c r="E626" s="9"/>
      <c r="J626" s="1"/>
    </row>
    <row r="627" spans="4:10" ht="15.75" customHeight="1">
      <c r="D627" s="9"/>
      <c r="E627" s="9"/>
      <c r="J627" s="1"/>
    </row>
    <row r="628" spans="4:10" ht="15.75" customHeight="1">
      <c r="D628" s="9"/>
      <c r="E628" s="9"/>
      <c r="J628" s="1"/>
    </row>
    <row r="629" spans="4:10" ht="15.75" customHeight="1">
      <c r="D629" s="9"/>
      <c r="E629" s="9"/>
      <c r="J629" s="1"/>
    </row>
    <row r="630" spans="4:10" ht="15.75" customHeight="1">
      <c r="D630" s="9"/>
      <c r="E630" s="9"/>
      <c r="J630" s="1"/>
    </row>
    <row r="631" spans="4:10" ht="15.75" customHeight="1">
      <c r="D631" s="9"/>
      <c r="E631" s="9"/>
      <c r="J631" s="1"/>
    </row>
    <row r="632" spans="4:10" ht="15.75" customHeight="1">
      <c r="D632" s="9"/>
      <c r="E632" s="9"/>
      <c r="J632" s="1"/>
    </row>
    <row r="633" spans="4:10" ht="15.75" customHeight="1">
      <c r="D633" s="9"/>
      <c r="E633" s="9"/>
      <c r="J633" s="1"/>
    </row>
    <row r="634" spans="4:10" ht="15.75" customHeight="1">
      <c r="D634" s="9"/>
      <c r="E634" s="9"/>
      <c r="J634" s="1"/>
    </row>
    <row r="635" spans="4:10" ht="15.75" customHeight="1">
      <c r="D635" s="9"/>
      <c r="E635" s="9"/>
      <c r="J635" s="1"/>
    </row>
    <row r="636" spans="4:10" ht="15.75" customHeight="1">
      <c r="D636" s="9"/>
      <c r="E636" s="9"/>
      <c r="J636" s="1"/>
    </row>
    <row r="637" spans="4:10" ht="15.75" customHeight="1">
      <c r="D637" s="9"/>
      <c r="E637" s="9"/>
      <c r="J637" s="1"/>
    </row>
    <row r="638" spans="4:10" ht="15.75" customHeight="1">
      <c r="D638" s="9"/>
      <c r="E638" s="9"/>
      <c r="J638" s="1"/>
    </row>
    <row r="639" spans="4:10" ht="15.75" customHeight="1">
      <c r="D639" s="9"/>
      <c r="E639" s="9"/>
      <c r="J639" s="1"/>
    </row>
    <row r="640" spans="4:10" ht="15.75" customHeight="1">
      <c r="D640" s="9"/>
      <c r="E640" s="9"/>
      <c r="J640" s="1"/>
    </row>
    <row r="641" spans="4:10" ht="15.75" customHeight="1">
      <c r="D641" s="9"/>
      <c r="E641" s="9"/>
      <c r="J641" s="1"/>
    </row>
    <row r="642" spans="4:10" ht="15.75" customHeight="1">
      <c r="D642" s="9"/>
      <c r="E642" s="9"/>
      <c r="J642" s="1"/>
    </row>
    <row r="643" spans="4:10" ht="15.75" customHeight="1">
      <c r="D643" s="9"/>
      <c r="E643" s="9"/>
      <c r="J643" s="1"/>
    </row>
    <row r="644" spans="4:10" ht="15.75" customHeight="1">
      <c r="D644" s="9"/>
      <c r="E644" s="9"/>
      <c r="J644" s="1"/>
    </row>
    <row r="645" spans="4:10" ht="15.75" customHeight="1">
      <c r="D645" s="9"/>
      <c r="E645" s="9"/>
      <c r="J645" s="1"/>
    </row>
    <row r="646" spans="4:10" ht="15.75" customHeight="1">
      <c r="D646" s="9"/>
      <c r="E646" s="9"/>
      <c r="J646" s="1"/>
    </row>
    <row r="647" spans="4:10" ht="15.75" customHeight="1">
      <c r="D647" s="9"/>
      <c r="E647" s="9"/>
      <c r="J647" s="1"/>
    </row>
    <row r="648" spans="4:10" ht="15.75" customHeight="1">
      <c r="D648" s="9"/>
      <c r="E648" s="9"/>
      <c r="J648" s="1"/>
    </row>
    <row r="649" spans="4:10" ht="15.75" customHeight="1">
      <c r="D649" s="9"/>
      <c r="E649" s="9"/>
      <c r="J649" s="1"/>
    </row>
    <row r="650" spans="4:10" ht="15.75" customHeight="1">
      <c r="D650" s="9"/>
      <c r="E650" s="9"/>
      <c r="J650" s="1"/>
    </row>
    <row r="651" spans="4:10" ht="15.75" customHeight="1">
      <c r="D651" s="9"/>
      <c r="E651" s="9"/>
      <c r="J651" s="1"/>
    </row>
    <row r="652" spans="4:10" ht="15.75" customHeight="1">
      <c r="D652" s="9"/>
      <c r="E652" s="9"/>
      <c r="J652" s="1"/>
    </row>
    <row r="653" spans="4:10" ht="15.75" customHeight="1">
      <c r="D653" s="9"/>
      <c r="E653" s="9"/>
      <c r="J653" s="1"/>
    </row>
    <row r="654" spans="4:10" ht="15.75" customHeight="1">
      <c r="D654" s="9"/>
      <c r="E654" s="9"/>
      <c r="J654" s="1"/>
    </row>
    <row r="655" spans="4:10" ht="15.75" customHeight="1">
      <c r="D655" s="9"/>
      <c r="E655" s="9"/>
      <c r="J655" s="1"/>
    </row>
    <row r="656" spans="4:10" ht="15.75" customHeight="1">
      <c r="D656" s="9"/>
      <c r="E656" s="9"/>
      <c r="J656" s="1"/>
    </row>
    <row r="657" spans="4:10" ht="15.75" customHeight="1">
      <c r="D657" s="9"/>
      <c r="E657" s="9"/>
      <c r="J657" s="1"/>
    </row>
    <row r="658" spans="4:10" ht="15.75" customHeight="1">
      <c r="D658" s="9"/>
      <c r="E658" s="9"/>
      <c r="J658" s="1"/>
    </row>
    <row r="659" spans="4:10" ht="15.75" customHeight="1">
      <c r="D659" s="9"/>
      <c r="E659" s="9"/>
      <c r="J659" s="1"/>
    </row>
    <row r="660" spans="4:10" ht="15.75" customHeight="1">
      <c r="D660" s="9"/>
      <c r="E660" s="9"/>
      <c r="J660" s="1"/>
    </row>
    <row r="661" spans="4:10" ht="15.75" customHeight="1">
      <c r="D661" s="9"/>
      <c r="E661" s="9"/>
      <c r="J661" s="1"/>
    </row>
    <row r="662" spans="4:10" ht="15.75" customHeight="1">
      <c r="D662" s="9"/>
      <c r="E662" s="9"/>
      <c r="J662" s="1"/>
    </row>
    <row r="663" spans="4:10" ht="15.75" customHeight="1">
      <c r="D663" s="9"/>
      <c r="E663" s="9"/>
      <c r="J663" s="1"/>
    </row>
    <row r="664" spans="4:10" ht="15.75" customHeight="1">
      <c r="D664" s="9"/>
      <c r="E664" s="9"/>
      <c r="J664" s="1"/>
    </row>
    <row r="665" spans="4:10" ht="15.75" customHeight="1">
      <c r="D665" s="9"/>
      <c r="E665" s="9"/>
      <c r="J665" s="1"/>
    </row>
    <row r="666" spans="4:10" ht="15.75" customHeight="1">
      <c r="D666" s="9"/>
      <c r="E666" s="9"/>
      <c r="J666" s="1"/>
    </row>
    <row r="667" spans="4:10" ht="15.75" customHeight="1">
      <c r="D667" s="9"/>
      <c r="E667" s="9"/>
      <c r="J667" s="1"/>
    </row>
    <row r="668" spans="4:10" ht="15.75" customHeight="1">
      <c r="D668" s="9"/>
      <c r="E668" s="9"/>
      <c r="J668" s="1"/>
    </row>
    <row r="669" spans="4:10" ht="15.75" customHeight="1">
      <c r="D669" s="9"/>
      <c r="E669" s="9"/>
      <c r="J669" s="1"/>
    </row>
    <row r="670" spans="4:10" ht="15.75" customHeight="1">
      <c r="D670" s="9"/>
      <c r="E670" s="9"/>
      <c r="J670" s="1"/>
    </row>
    <row r="671" spans="4:10" ht="15.75" customHeight="1">
      <c r="D671" s="9"/>
      <c r="E671" s="9"/>
      <c r="J671" s="1"/>
    </row>
    <row r="672" spans="4:10" ht="15.75" customHeight="1">
      <c r="D672" s="9"/>
      <c r="E672" s="9"/>
      <c r="J672" s="1"/>
    </row>
    <row r="673" spans="4:10" ht="15.75" customHeight="1">
      <c r="D673" s="9"/>
      <c r="E673" s="9"/>
      <c r="J673" s="1"/>
    </row>
    <row r="674" spans="4:10" ht="15.75" customHeight="1">
      <c r="D674" s="9"/>
      <c r="E674" s="9"/>
      <c r="J674" s="1"/>
    </row>
    <row r="675" spans="4:10" ht="15.75" customHeight="1">
      <c r="D675" s="9"/>
      <c r="E675" s="9"/>
      <c r="J675" s="1"/>
    </row>
    <row r="676" spans="4:10" ht="15.75" customHeight="1">
      <c r="D676" s="9"/>
      <c r="E676" s="9"/>
      <c r="J676" s="1"/>
    </row>
    <row r="677" spans="4:10" ht="15.75" customHeight="1">
      <c r="D677" s="9"/>
      <c r="E677" s="9"/>
      <c r="J677" s="1"/>
    </row>
    <row r="678" spans="4:10" ht="15.75" customHeight="1">
      <c r="D678" s="9"/>
      <c r="E678" s="9"/>
      <c r="J678" s="1"/>
    </row>
    <row r="679" spans="4:10" ht="15.75" customHeight="1">
      <c r="D679" s="9"/>
      <c r="E679" s="9"/>
      <c r="J679" s="1"/>
    </row>
    <row r="680" spans="4:10" ht="15.75" customHeight="1">
      <c r="D680" s="9"/>
      <c r="E680" s="9"/>
      <c r="J680" s="1"/>
    </row>
    <row r="681" spans="4:10" ht="15.75" customHeight="1">
      <c r="D681" s="9"/>
      <c r="E681" s="9"/>
      <c r="J681" s="1"/>
    </row>
    <row r="682" spans="4:10" ht="15.75" customHeight="1">
      <c r="D682" s="9"/>
      <c r="E682" s="9"/>
      <c r="J682" s="1"/>
    </row>
    <row r="683" spans="4:10" ht="15.75" customHeight="1">
      <c r="D683" s="9"/>
      <c r="E683" s="9"/>
      <c r="J683" s="1"/>
    </row>
    <row r="684" spans="4:10" ht="15.75" customHeight="1">
      <c r="D684" s="9"/>
      <c r="E684" s="9"/>
      <c r="J684" s="1"/>
    </row>
    <row r="685" spans="4:10" ht="15.75" customHeight="1">
      <c r="D685" s="9"/>
      <c r="E685" s="9"/>
      <c r="J685" s="1"/>
    </row>
    <row r="686" spans="4:10" ht="15.75" customHeight="1">
      <c r="D686" s="9"/>
      <c r="E686" s="9"/>
      <c r="J686" s="1"/>
    </row>
    <row r="687" spans="4:10" ht="15.75" customHeight="1">
      <c r="D687" s="9"/>
      <c r="E687" s="9"/>
      <c r="J687" s="1"/>
    </row>
    <row r="688" spans="4:10" ht="15.75" customHeight="1">
      <c r="D688" s="9"/>
      <c r="E688" s="9"/>
      <c r="J688" s="1"/>
    </row>
    <row r="689" spans="4:10" ht="15.75" customHeight="1">
      <c r="D689" s="9"/>
      <c r="E689" s="9"/>
      <c r="J689" s="1"/>
    </row>
    <row r="690" spans="4:10" ht="15.75" customHeight="1">
      <c r="D690" s="9"/>
      <c r="E690" s="9"/>
      <c r="J690" s="1"/>
    </row>
    <row r="691" spans="4:10" ht="15.75" customHeight="1">
      <c r="D691" s="9"/>
      <c r="E691" s="9"/>
      <c r="J691" s="1"/>
    </row>
    <row r="692" spans="4:10" ht="15.75" customHeight="1">
      <c r="D692" s="9"/>
      <c r="E692" s="9"/>
      <c r="J692" s="1"/>
    </row>
    <row r="693" spans="4:10" ht="15.75" customHeight="1">
      <c r="D693" s="9"/>
      <c r="E693" s="9"/>
      <c r="J693" s="1"/>
    </row>
    <row r="694" spans="4:10" ht="15.75" customHeight="1">
      <c r="D694" s="9"/>
      <c r="E694" s="9"/>
      <c r="J694" s="1"/>
    </row>
    <row r="695" spans="4:10" ht="15.75" customHeight="1">
      <c r="D695" s="9"/>
      <c r="E695" s="9"/>
      <c r="J695" s="1"/>
    </row>
    <row r="696" spans="4:10" ht="15.75" customHeight="1">
      <c r="D696" s="9"/>
      <c r="E696" s="9"/>
      <c r="J696" s="1"/>
    </row>
    <row r="697" spans="4:10" ht="15.75" customHeight="1">
      <c r="D697" s="9"/>
      <c r="E697" s="9"/>
      <c r="J697" s="1"/>
    </row>
    <row r="698" spans="4:10" ht="15.75" customHeight="1">
      <c r="D698" s="9"/>
      <c r="E698" s="9"/>
      <c r="J698" s="1"/>
    </row>
    <row r="699" spans="4:10" ht="15.75" customHeight="1">
      <c r="D699" s="9"/>
      <c r="E699" s="9"/>
      <c r="J699" s="1"/>
    </row>
    <row r="700" spans="4:10" ht="15.75" customHeight="1">
      <c r="D700" s="9"/>
      <c r="E700" s="9"/>
      <c r="J700" s="1"/>
    </row>
    <row r="701" spans="4:10" ht="15.75" customHeight="1">
      <c r="D701" s="9"/>
      <c r="E701" s="9"/>
      <c r="J701" s="1"/>
    </row>
    <row r="702" spans="4:10" ht="15.75" customHeight="1">
      <c r="D702" s="9"/>
      <c r="E702" s="9"/>
      <c r="J702" s="1"/>
    </row>
    <row r="703" spans="4:10" ht="15.75" customHeight="1">
      <c r="D703" s="9"/>
      <c r="E703" s="9"/>
      <c r="J703" s="1"/>
    </row>
    <row r="704" spans="4:10" ht="15.75" customHeight="1">
      <c r="D704" s="9"/>
      <c r="E704" s="9"/>
      <c r="J704" s="1"/>
    </row>
    <row r="705" spans="4:10" ht="15.75" customHeight="1">
      <c r="D705" s="9"/>
      <c r="E705" s="9"/>
      <c r="J705" s="1"/>
    </row>
    <row r="706" spans="4:10" ht="15.75" customHeight="1">
      <c r="D706" s="9"/>
      <c r="E706" s="9"/>
      <c r="J706" s="1"/>
    </row>
    <row r="707" spans="4:10" ht="15.75" customHeight="1">
      <c r="D707" s="9"/>
      <c r="E707" s="9"/>
      <c r="J707" s="1"/>
    </row>
    <row r="708" spans="4:10" ht="15.75" customHeight="1">
      <c r="D708" s="9"/>
      <c r="E708" s="9"/>
      <c r="J708" s="1"/>
    </row>
    <row r="709" spans="4:10" ht="15.75" customHeight="1">
      <c r="D709" s="9"/>
      <c r="E709" s="9"/>
      <c r="J709" s="1"/>
    </row>
    <row r="710" spans="4:10" ht="15.75" customHeight="1">
      <c r="D710" s="9"/>
      <c r="E710" s="9"/>
      <c r="J710" s="1"/>
    </row>
    <row r="711" spans="4:10" ht="15.75" customHeight="1">
      <c r="D711" s="9"/>
      <c r="E711" s="9"/>
      <c r="J711" s="1"/>
    </row>
    <row r="712" spans="4:10" ht="15.75" customHeight="1">
      <c r="D712" s="9"/>
      <c r="E712" s="9"/>
      <c r="J712" s="1"/>
    </row>
    <row r="713" spans="4:10" ht="15.75" customHeight="1">
      <c r="D713" s="9"/>
      <c r="E713" s="9"/>
      <c r="J713" s="1"/>
    </row>
    <row r="714" spans="4:10" ht="15.75" customHeight="1">
      <c r="D714" s="9"/>
      <c r="E714" s="9"/>
      <c r="J714" s="1"/>
    </row>
    <row r="715" spans="4:10" ht="15.75" customHeight="1">
      <c r="D715" s="9"/>
      <c r="E715" s="9"/>
      <c r="J715" s="1"/>
    </row>
    <row r="716" spans="4:10" ht="15.75" customHeight="1">
      <c r="D716" s="9"/>
      <c r="E716" s="9"/>
      <c r="J716" s="1"/>
    </row>
    <row r="717" spans="4:10" ht="15.75" customHeight="1">
      <c r="D717" s="9"/>
      <c r="E717" s="9"/>
      <c r="J717" s="1"/>
    </row>
    <row r="718" spans="4:10" ht="15.75" customHeight="1">
      <c r="D718" s="9"/>
      <c r="E718" s="9"/>
      <c r="J718" s="1"/>
    </row>
    <row r="719" spans="4:10" ht="15.75" customHeight="1">
      <c r="D719" s="9"/>
      <c r="E719" s="9"/>
      <c r="J719" s="1"/>
    </row>
    <row r="720" spans="4:10" ht="15.75" customHeight="1">
      <c r="D720" s="9"/>
      <c r="E720" s="9"/>
      <c r="J720" s="1"/>
    </row>
    <row r="721" spans="4:10" ht="15.75" customHeight="1">
      <c r="D721" s="9"/>
      <c r="E721" s="9"/>
      <c r="J721" s="1"/>
    </row>
    <row r="722" spans="4:10" ht="15.75" customHeight="1">
      <c r="D722" s="9"/>
      <c r="E722" s="9"/>
      <c r="J722" s="1"/>
    </row>
    <row r="723" spans="4:10" ht="15.75" customHeight="1">
      <c r="D723" s="9"/>
      <c r="E723" s="9"/>
      <c r="J723" s="1"/>
    </row>
    <row r="724" spans="4:10" ht="15.75" customHeight="1">
      <c r="D724" s="9"/>
      <c r="E724" s="9"/>
      <c r="J724" s="1"/>
    </row>
    <row r="725" spans="4:10" ht="15.75" customHeight="1">
      <c r="D725" s="9"/>
      <c r="E725" s="9"/>
      <c r="J725" s="1"/>
    </row>
    <row r="726" spans="4:10" ht="15.75" customHeight="1">
      <c r="D726" s="9"/>
      <c r="E726" s="9"/>
      <c r="J726" s="1"/>
    </row>
    <row r="727" spans="4:10" ht="15.75" customHeight="1">
      <c r="D727" s="9"/>
      <c r="E727" s="9"/>
      <c r="J727" s="1"/>
    </row>
    <row r="728" spans="4:10" ht="15.75" customHeight="1">
      <c r="D728" s="9"/>
      <c r="E728" s="9"/>
      <c r="J728" s="1"/>
    </row>
    <row r="729" spans="4:10" ht="15.75" customHeight="1">
      <c r="D729" s="9"/>
      <c r="E729" s="9"/>
      <c r="J729" s="1"/>
    </row>
    <row r="730" spans="4:10" ht="15.75" customHeight="1">
      <c r="D730" s="9"/>
      <c r="E730" s="9"/>
      <c r="J730" s="1"/>
    </row>
    <row r="731" spans="4:10" ht="15.75" customHeight="1">
      <c r="D731" s="9"/>
      <c r="E731" s="9"/>
      <c r="J731" s="1"/>
    </row>
    <row r="732" spans="4:10" ht="15.75" customHeight="1">
      <c r="D732" s="9"/>
      <c r="E732" s="9"/>
      <c r="J732" s="1"/>
    </row>
    <row r="733" spans="4:10" ht="15.75" customHeight="1">
      <c r="D733" s="9"/>
      <c r="E733" s="9"/>
      <c r="J733" s="1"/>
    </row>
    <row r="734" spans="4:10" ht="15.75" customHeight="1">
      <c r="D734" s="9"/>
      <c r="E734" s="9"/>
      <c r="J734" s="1"/>
    </row>
    <row r="735" spans="4:10" ht="15.75" customHeight="1">
      <c r="D735" s="9"/>
      <c r="E735" s="9"/>
      <c r="J735" s="1"/>
    </row>
    <row r="736" spans="4:10" ht="15.75" customHeight="1">
      <c r="D736" s="9"/>
      <c r="E736" s="9"/>
      <c r="J736" s="1"/>
    </row>
    <row r="737" spans="4:10" ht="15.75" customHeight="1">
      <c r="D737" s="9"/>
      <c r="E737" s="9"/>
      <c r="J737" s="1"/>
    </row>
    <row r="738" spans="4:10" ht="15.75" customHeight="1">
      <c r="D738" s="9"/>
      <c r="E738" s="9"/>
      <c r="J738" s="1"/>
    </row>
    <row r="739" spans="4:10" ht="15.75" customHeight="1">
      <c r="D739" s="9"/>
      <c r="E739" s="9"/>
      <c r="J739" s="1"/>
    </row>
    <row r="740" spans="4:10" ht="15.75" customHeight="1">
      <c r="D740" s="9"/>
      <c r="E740" s="9"/>
      <c r="J740" s="1"/>
    </row>
    <row r="741" spans="4:10" ht="15.75" customHeight="1">
      <c r="D741" s="9"/>
      <c r="E741" s="9"/>
      <c r="J741" s="1"/>
    </row>
    <row r="742" spans="4:10" ht="15.75" customHeight="1">
      <c r="D742" s="9"/>
      <c r="E742" s="9"/>
      <c r="J742" s="1"/>
    </row>
    <row r="743" spans="4:10" ht="15.75" customHeight="1">
      <c r="D743" s="9"/>
      <c r="E743" s="9"/>
      <c r="J743" s="1"/>
    </row>
    <row r="744" spans="4:10" ht="15.75" customHeight="1">
      <c r="D744" s="9"/>
      <c r="E744" s="9"/>
      <c r="J744" s="1"/>
    </row>
    <row r="745" spans="4:10" ht="15.75" customHeight="1">
      <c r="D745" s="9"/>
      <c r="E745" s="9"/>
      <c r="J745" s="1"/>
    </row>
    <row r="746" spans="4:10" ht="15.75" customHeight="1">
      <c r="D746" s="9"/>
      <c r="E746" s="9"/>
      <c r="J746" s="1"/>
    </row>
    <row r="747" spans="4:10" ht="15.75" customHeight="1">
      <c r="D747" s="9"/>
      <c r="E747" s="9"/>
      <c r="J747" s="1"/>
    </row>
    <row r="748" spans="4:10" ht="15.75" customHeight="1">
      <c r="D748" s="9"/>
      <c r="E748" s="9"/>
      <c r="J748" s="1"/>
    </row>
    <row r="749" spans="4:10" ht="15.75" customHeight="1">
      <c r="D749" s="9"/>
      <c r="E749" s="9"/>
      <c r="J749" s="1"/>
    </row>
    <row r="750" spans="4:10" ht="15.75" customHeight="1">
      <c r="D750" s="9"/>
      <c r="E750" s="9"/>
      <c r="J750" s="1"/>
    </row>
    <row r="751" spans="4:10" ht="15.75" customHeight="1">
      <c r="D751" s="9"/>
      <c r="E751" s="9"/>
      <c r="J751" s="1"/>
    </row>
    <row r="752" spans="4:10" ht="15.75" customHeight="1">
      <c r="D752" s="9"/>
      <c r="E752" s="9"/>
      <c r="J752" s="1"/>
    </row>
    <row r="753" spans="4:10" ht="15.75" customHeight="1">
      <c r="D753" s="9"/>
      <c r="E753" s="9"/>
      <c r="J753" s="1"/>
    </row>
    <row r="754" spans="4:10" ht="15.75" customHeight="1">
      <c r="D754" s="9"/>
      <c r="E754" s="9"/>
      <c r="J754" s="1"/>
    </row>
    <row r="755" spans="4:10" ht="15.75" customHeight="1">
      <c r="D755" s="9"/>
      <c r="E755" s="9"/>
      <c r="J755" s="1"/>
    </row>
    <row r="756" spans="4:10" ht="15.75" customHeight="1">
      <c r="D756" s="9"/>
      <c r="E756" s="9"/>
      <c r="J756" s="1"/>
    </row>
    <row r="757" spans="4:10" ht="15.75" customHeight="1">
      <c r="D757" s="9"/>
      <c r="E757" s="9"/>
      <c r="J757" s="1"/>
    </row>
    <row r="758" spans="4:10" ht="15.75" customHeight="1">
      <c r="D758" s="9"/>
      <c r="E758" s="9"/>
      <c r="J758" s="1"/>
    </row>
    <row r="759" spans="4:10" ht="15.75" customHeight="1">
      <c r="D759" s="9"/>
      <c r="E759" s="9"/>
      <c r="J759" s="1"/>
    </row>
    <row r="760" spans="4:10" ht="15.75" customHeight="1">
      <c r="D760" s="9"/>
      <c r="E760" s="9"/>
      <c r="J760" s="1"/>
    </row>
    <row r="761" spans="4:10" ht="15.75" customHeight="1">
      <c r="D761" s="9"/>
      <c r="E761" s="9"/>
      <c r="J761" s="1"/>
    </row>
    <row r="762" spans="4:10" ht="15.75" customHeight="1">
      <c r="D762" s="9"/>
      <c r="E762" s="9"/>
      <c r="J762" s="1"/>
    </row>
    <row r="763" spans="4:10" ht="15.75" customHeight="1">
      <c r="D763" s="9"/>
      <c r="E763" s="9"/>
      <c r="J763" s="1"/>
    </row>
    <row r="764" spans="4:10" ht="15.75" customHeight="1">
      <c r="D764" s="9"/>
      <c r="E764" s="9"/>
      <c r="J764" s="1"/>
    </row>
    <row r="765" spans="4:10" ht="15.75" customHeight="1">
      <c r="D765" s="9"/>
      <c r="E765" s="9"/>
      <c r="J765" s="1"/>
    </row>
    <row r="766" spans="4:10" ht="15.75" customHeight="1">
      <c r="D766" s="9"/>
      <c r="E766" s="9"/>
      <c r="J766" s="1"/>
    </row>
    <row r="767" spans="4:10" ht="15.75" customHeight="1">
      <c r="D767" s="9"/>
      <c r="E767" s="9"/>
      <c r="J767" s="1"/>
    </row>
    <row r="768" spans="4:10" ht="15.75" customHeight="1">
      <c r="D768" s="9"/>
      <c r="E768" s="9"/>
      <c r="J768" s="1"/>
    </row>
    <row r="769" spans="4:10" ht="15.75" customHeight="1">
      <c r="D769" s="9"/>
      <c r="E769" s="9"/>
      <c r="J769" s="1"/>
    </row>
    <row r="770" spans="4:10" ht="15.75" customHeight="1">
      <c r="D770" s="9"/>
      <c r="E770" s="9"/>
      <c r="J770" s="1"/>
    </row>
    <row r="771" spans="4:10" ht="15.75" customHeight="1">
      <c r="D771" s="9"/>
      <c r="E771" s="9"/>
      <c r="J771" s="1"/>
    </row>
    <row r="772" spans="4:10" ht="15.75" customHeight="1">
      <c r="D772" s="9"/>
      <c r="E772" s="9"/>
      <c r="J772" s="1"/>
    </row>
    <row r="773" spans="4:10" ht="15.75" customHeight="1">
      <c r="D773" s="9"/>
      <c r="E773" s="9"/>
      <c r="J773" s="1"/>
    </row>
    <row r="774" spans="4:10" ht="15.75" customHeight="1">
      <c r="D774" s="9"/>
      <c r="E774" s="9"/>
      <c r="J774" s="1"/>
    </row>
    <row r="775" spans="4:10" ht="15.75" customHeight="1">
      <c r="D775" s="9"/>
      <c r="E775" s="9"/>
      <c r="J775" s="1"/>
    </row>
    <row r="776" spans="4:10" ht="15.75" customHeight="1">
      <c r="D776" s="9"/>
      <c r="E776" s="9"/>
      <c r="J776" s="1"/>
    </row>
    <row r="777" spans="4:10" ht="15.75" customHeight="1">
      <c r="D777" s="9"/>
      <c r="E777" s="9"/>
      <c r="J777" s="1"/>
    </row>
    <row r="778" spans="4:10" ht="15.75" customHeight="1">
      <c r="D778" s="9"/>
      <c r="E778" s="9"/>
      <c r="J778" s="1"/>
    </row>
    <row r="779" spans="4:10" ht="15.75" customHeight="1">
      <c r="D779" s="9"/>
      <c r="E779" s="9"/>
      <c r="J779" s="1"/>
    </row>
    <row r="780" spans="4:10" ht="15.75" customHeight="1">
      <c r="D780" s="9"/>
      <c r="E780" s="9"/>
      <c r="J780" s="1"/>
    </row>
    <row r="781" spans="4:10" ht="15.75" customHeight="1">
      <c r="D781" s="9"/>
      <c r="E781" s="9"/>
      <c r="J781" s="1"/>
    </row>
    <row r="782" spans="4:10" ht="15.75" customHeight="1">
      <c r="D782" s="9"/>
      <c r="E782" s="9"/>
      <c r="J782" s="1"/>
    </row>
    <row r="783" spans="4:10" ht="15.75" customHeight="1">
      <c r="D783" s="9"/>
      <c r="E783" s="9"/>
      <c r="J783" s="1"/>
    </row>
    <row r="784" spans="4:10" ht="15.75" customHeight="1">
      <c r="D784" s="9"/>
      <c r="E784" s="9"/>
      <c r="J784" s="1"/>
    </row>
    <row r="785" spans="4:10" ht="15.75" customHeight="1">
      <c r="D785" s="9"/>
      <c r="E785" s="9"/>
      <c r="J785" s="1"/>
    </row>
    <row r="786" spans="4:10" ht="15.75" customHeight="1">
      <c r="D786" s="9"/>
      <c r="E786" s="9"/>
      <c r="J786" s="1"/>
    </row>
    <row r="787" spans="4:10" ht="15.75" customHeight="1">
      <c r="D787" s="9"/>
      <c r="E787" s="9"/>
      <c r="J787" s="1"/>
    </row>
    <row r="788" spans="4:10" ht="15.75" customHeight="1">
      <c r="D788" s="9"/>
      <c r="E788" s="9"/>
      <c r="J788" s="1"/>
    </row>
    <row r="789" spans="4:10" ht="15.75" customHeight="1">
      <c r="D789" s="9"/>
      <c r="E789" s="9"/>
      <c r="J789" s="1"/>
    </row>
    <row r="790" spans="4:10" ht="15.75" customHeight="1">
      <c r="D790" s="9"/>
      <c r="E790" s="9"/>
      <c r="J790" s="1"/>
    </row>
    <row r="791" spans="4:10" ht="15.75" customHeight="1">
      <c r="D791" s="9"/>
      <c r="E791" s="9"/>
      <c r="J791" s="1"/>
    </row>
    <row r="792" spans="4:10" ht="15.75" customHeight="1">
      <c r="D792" s="9"/>
      <c r="E792" s="9"/>
      <c r="J792" s="1"/>
    </row>
    <row r="793" spans="4:10" ht="15.75" customHeight="1">
      <c r="D793" s="9"/>
      <c r="E793" s="9"/>
      <c r="J793" s="1"/>
    </row>
    <row r="794" spans="4:10" ht="15.75" customHeight="1">
      <c r="D794" s="9"/>
      <c r="E794" s="9"/>
      <c r="J794" s="1"/>
    </row>
    <row r="795" spans="4:10" ht="15.75" customHeight="1">
      <c r="D795" s="9"/>
      <c r="E795" s="9"/>
      <c r="J795" s="1"/>
    </row>
    <row r="796" spans="4:10" ht="15.75" customHeight="1">
      <c r="D796" s="9"/>
      <c r="E796" s="9"/>
      <c r="J796" s="1"/>
    </row>
    <row r="797" spans="4:10" ht="15.75" customHeight="1">
      <c r="D797" s="9"/>
      <c r="E797" s="9"/>
      <c r="J797" s="1"/>
    </row>
    <row r="798" spans="4:10" ht="15.75" customHeight="1">
      <c r="D798" s="9"/>
      <c r="E798" s="9"/>
      <c r="J798" s="1"/>
    </row>
    <row r="799" spans="4:10" ht="15.75" customHeight="1">
      <c r="D799" s="9"/>
      <c r="E799" s="9"/>
      <c r="J799" s="1"/>
    </row>
    <row r="800" spans="4:10" ht="15.75" customHeight="1">
      <c r="D800" s="9"/>
      <c r="E800" s="9"/>
      <c r="J800" s="1"/>
    </row>
    <row r="801" spans="4:10" ht="15.75" customHeight="1">
      <c r="D801" s="9"/>
      <c r="E801" s="9"/>
      <c r="J801" s="1"/>
    </row>
    <row r="802" spans="4:10" ht="15.75" customHeight="1">
      <c r="D802" s="9"/>
      <c r="E802" s="9"/>
      <c r="J802" s="1"/>
    </row>
    <row r="803" spans="4:10" ht="15.75" customHeight="1">
      <c r="D803" s="9"/>
      <c r="E803" s="9"/>
      <c r="J803" s="1"/>
    </row>
    <row r="804" spans="4:10" ht="15.75" customHeight="1">
      <c r="D804" s="9"/>
      <c r="E804" s="9"/>
      <c r="J804" s="1"/>
    </row>
    <row r="805" spans="4:10" ht="15.75" customHeight="1">
      <c r="D805" s="9"/>
      <c r="E805" s="9"/>
      <c r="J805" s="1"/>
    </row>
    <row r="806" spans="4:10" ht="15.75" customHeight="1">
      <c r="D806" s="9"/>
      <c r="E806" s="9"/>
      <c r="J806" s="1"/>
    </row>
    <row r="807" spans="4:10" ht="15.75" customHeight="1">
      <c r="D807" s="9"/>
      <c r="E807" s="9"/>
      <c r="J807" s="1"/>
    </row>
    <row r="808" spans="4:10" ht="15.75" customHeight="1">
      <c r="D808" s="9"/>
      <c r="E808" s="9"/>
      <c r="J808" s="1"/>
    </row>
    <row r="809" spans="4:10" ht="15.75" customHeight="1">
      <c r="D809" s="9"/>
      <c r="E809" s="9"/>
      <c r="J809" s="1"/>
    </row>
    <row r="810" spans="4:10" ht="15.75" customHeight="1">
      <c r="D810" s="9"/>
      <c r="E810" s="9"/>
      <c r="J810" s="1"/>
    </row>
    <row r="811" spans="4:10" ht="15.75" customHeight="1">
      <c r="D811" s="9"/>
      <c r="E811" s="9"/>
      <c r="J811" s="1"/>
    </row>
    <row r="812" spans="4:10" ht="15.75" customHeight="1">
      <c r="D812" s="9"/>
      <c r="E812" s="9"/>
      <c r="J812" s="1"/>
    </row>
    <row r="813" spans="4:10" ht="15.75" customHeight="1">
      <c r="D813" s="9"/>
      <c r="E813" s="9"/>
      <c r="J813" s="1"/>
    </row>
    <row r="814" spans="4:10" ht="15.75" customHeight="1">
      <c r="D814" s="9"/>
      <c r="E814" s="9"/>
      <c r="J814" s="1"/>
    </row>
    <row r="815" spans="4:10" ht="15.75" customHeight="1">
      <c r="D815" s="9"/>
      <c r="E815" s="9"/>
      <c r="J815" s="1"/>
    </row>
    <row r="816" spans="4:10" ht="15.75" customHeight="1">
      <c r="D816" s="9"/>
      <c r="E816" s="9"/>
      <c r="J816" s="1"/>
    </row>
    <row r="817" spans="4:10" ht="15.75" customHeight="1">
      <c r="D817" s="9"/>
      <c r="E817" s="9"/>
      <c r="J817" s="1"/>
    </row>
    <row r="818" spans="4:10" ht="15.75" customHeight="1">
      <c r="D818" s="9"/>
      <c r="E818" s="9"/>
      <c r="J818" s="1"/>
    </row>
    <row r="819" spans="4:10" ht="15.75" customHeight="1">
      <c r="D819" s="9"/>
      <c r="E819" s="9"/>
      <c r="J819" s="1"/>
    </row>
    <row r="820" spans="4:10" ht="15.75" customHeight="1">
      <c r="D820" s="9"/>
      <c r="E820" s="9"/>
      <c r="J820" s="1"/>
    </row>
    <row r="821" spans="4:10" ht="15.75" customHeight="1">
      <c r="D821" s="9"/>
      <c r="E821" s="9"/>
      <c r="J821" s="1"/>
    </row>
    <row r="822" spans="4:10" ht="15.75" customHeight="1">
      <c r="D822" s="9"/>
      <c r="E822" s="9"/>
      <c r="J822" s="1"/>
    </row>
    <row r="823" spans="4:10" ht="15.75" customHeight="1">
      <c r="D823" s="9"/>
      <c r="E823" s="9"/>
      <c r="J823" s="1"/>
    </row>
    <row r="824" spans="4:10" ht="15.75" customHeight="1">
      <c r="D824" s="9"/>
      <c r="E824" s="9"/>
      <c r="J824" s="1"/>
    </row>
    <row r="825" spans="4:10" ht="15.75" customHeight="1">
      <c r="D825" s="9"/>
      <c r="E825" s="9"/>
      <c r="J825" s="1"/>
    </row>
    <row r="826" spans="4:10" ht="15.75" customHeight="1">
      <c r="D826" s="9"/>
      <c r="E826" s="9"/>
      <c r="J826" s="1"/>
    </row>
    <row r="827" spans="4:10" ht="15.75" customHeight="1">
      <c r="D827" s="9"/>
      <c r="E827" s="9"/>
      <c r="J827" s="1"/>
    </row>
    <row r="828" spans="4:10" ht="15.75" customHeight="1">
      <c r="D828" s="9"/>
      <c r="E828" s="9"/>
      <c r="J828" s="1"/>
    </row>
    <row r="829" spans="4:10" ht="15.75" customHeight="1">
      <c r="D829" s="9"/>
      <c r="E829" s="9"/>
      <c r="J829" s="1"/>
    </row>
    <row r="830" spans="4:10" ht="15.75" customHeight="1">
      <c r="D830" s="9"/>
      <c r="E830" s="9"/>
      <c r="J830" s="1"/>
    </row>
    <row r="831" spans="4:10" ht="15.75" customHeight="1">
      <c r="D831" s="9"/>
      <c r="E831" s="9"/>
      <c r="J831" s="1"/>
    </row>
    <row r="832" spans="4:10" ht="15.75" customHeight="1">
      <c r="D832" s="9"/>
      <c r="E832" s="9"/>
      <c r="J832" s="1"/>
    </row>
    <row r="833" spans="4:10" ht="15.75" customHeight="1">
      <c r="D833" s="9"/>
      <c r="E833" s="9"/>
      <c r="J833" s="1"/>
    </row>
    <row r="834" spans="4:10" ht="15.75" customHeight="1">
      <c r="D834" s="9"/>
      <c r="E834" s="9"/>
      <c r="J834" s="1"/>
    </row>
    <row r="835" spans="4:10" ht="15.75" customHeight="1">
      <c r="D835" s="9"/>
      <c r="E835" s="9"/>
      <c r="J835" s="1"/>
    </row>
    <row r="836" spans="4:10" ht="15.75" customHeight="1">
      <c r="D836" s="9"/>
      <c r="E836" s="9"/>
      <c r="J836" s="1"/>
    </row>
    <row r="837" spans="4:10" ht="15.75" customHeight="1">
      <c r="D837" s="9"/>
      <c r="E837" s="9"/>
      <c r="J837" s="1"/>
    </row>
    <row r="838" spans="4:10" ht="15.75" customHeight="1">
      <c r="D838" s="9"/>
      <c r="E838" s="9"/>
      <c r="J838" s="1"/>
    </row>
    <row r="839" spans="4:10" ht="15.75" customHeight="1">
      <c r="D839" s="9"/>
      <c r="E839" s="9"/>
      <c r="J839" s="1"/>
    </row>
    <row r="840" spans="4:10" ht="15.75" customHeight="1">
      <c r="D840" s="9"/>
      <c r="E840" s="9"/>
      <c r="J840" s="1"/>
    </row>
    <row r="841" spans="4:10" ht="15.75" customHeight="1">
      <c r="D841" s="9"/>
      <c r="E841" s="9"/>
      <c r="J841" s="1"/>
    </row>
    <row r="842" spans="4:10" ht="15.75" customHeight="1">
      <c r="D842" s="9"/>
      <c r="E842" s="9"/>
      <c r="J842" s="1"/>
    </row>
    <row r="843" spans="4:10" ht="15.75" customHeight="1">
      <c r="D843" s="9"/>
      <c r="E843" s="9"/>
      <c r="J843" s="1"/>
    </row>
    <row r="844" spans="4:10" ht="15.75" customHeight="1">
      <c r="D844" s="9"/>
      <c r="E844" s="9"/>
      <c r="J844" s="1"/>
    </row>
    <row r="845" spans="4:10" ht="15.75" customHeight="1">
      <c r="D845" s="9"/>
      <c r="E845" s="9"/>
      <c r="J845" s="1"/>
    </row>
    <row r="846" spans="4:10" ht="15.75" customHeight="1">
      <c r="D846" s="9"/>
      <c r="E846" s="9"/>
      <c r="J846" s="1"/>
    </row>
    <row r="847" spans="4:10" ht="15.75" customHeight="1">
      <c r="D847" s="9"/>
      <c r="E847" s="9"/>
      <c r="J847" s="1"/>
    </row>
    <row r="848" spans="4:10" ht="15.75" customHeight="1">
      <c r="D848" s="9"/>
      <c r="E848" s="9"/>
      <c r="J848" s="1"/>
    </row>
    <row r="849" spans="4:10" ht="15.75" customHeight="1">
      <c r="D849" s="9"/>
      <c r="E849" s="9"/>
      <c r="J849" s="1"/>
    </row>
    <row r="850" spans="4:10" ht="15.75" customHeight="1">
      <c r="D850" s="9"/>
      <c r="E850" s="9"/>
      <c r="J850" s="1"/>
    </row>
    <row r="851" spans="4:10" ht="15.75" customHeight="1">
      <c r="D851" s="9"/>
      <c r="E851" s="9"/>
      <c r="J851" s="1"/>
    </row>
    <row r="852" spans="4:10" ht="15.75" customHeight="1">
      <c r="D852" s="9"/>
      <c r="E852" s="9"/>
      <c r="J852" s="1"/>
    </row>
    <row r="853" spans="4:10" ht="15.75" customHeight="1">
      <c r="D853" s="9"/>
      <c r="E853" s="9"/>
      <c r="J853" s="1"/>
    </row>
    <row r="854" spans="4:10" ht="15.75" customHeight="1">
      <c r="D854" s="9"/>
      <c r="E854" s="9"/>
      <c r="J854" s="1"/>
    </row>
    <row r="855" spans="4:10" ht="15.75" customHeight="1">
      <c r="D855" s="9"/>
      <c r="E855" s="9"/>
      <c r="J855" s="1"/>
    </row>
    <row r="856" spans="4:10" ht="15.75" customHeight="1">
      <c r="D856" s="9"/>
      <c r="E856" s="9"/>
      <c r="J856" s="1"/>
    </row>
    <row r="857" spans="4:10" ht="15.75" customHeight="1">
      <c r="D857" s="9"/>
      <c r="E857" s="9"/>
      <c r="J857" s="1"/>
    </row>
    <row r="858" spans="4:10" ht="15.75" customHeight="1">
      <c r="D858" s="9"/>
      <c r="E858" s="9"/>
      <c r="J858" s="1"/>
    </row>
    <row r="859" spans="4:10" ht="15.75" customHeight="1">
      <c r="D859" s="9"/>
      <c r="E859" s="9"/>
      <c r="J859" s="1"/>
    </row>
    <row r="860" spans="4:10" ht="15.75" customHeight="1">
      <c r="D860" s="9"/>
      <c r="E860" s="9"/>
      <c r="J860" s="1"/>
    </row>
    <row r="861" spans="4:10" ht="15.75" customHeight="1">
      <c r="D861" s="9"/>
      <c r="E861" s="9"/>
      <c r="J861" s="1"/>
    </row>
    <row r="862" spans="4:10" ht="15.75" customHeight="1">
      <c r="D862" s="9"/>
      <c r="E862" s="9"/>
      <c r="J862" s="1"/>
    </row>
    <row r="863" spans="4:10" ht="15.75" customHeight="1">
      <c r="D863" s="9"/>
      <c r="E863" s="9"/>
      <c r="J863" s="1"/>
    </row>
    <row r="864" spans="4:10" ht="15.75" customHeight="1">
      <c r="D864" s="9"/>
      <c r="E864" s="9"/>
      <c r="J864" s="1"/>
    </row>
    <row r="865" spans="4:10" ht="15.75" customHeight="1">
      <c r="D865" s="9"/>
      <c r="E865" s="9"/>
      <c r="J865" s="1"/>
    </row>
    <row r="866" spans="4:10" ht="15.75" customHeight="1">
      <c r="D866" s="9"/>
      <c r="E866" s="9"/>
      <c r="J866" s="1"/>
    </row>
    <row r="867" spans="4:10" ht="15.75" customHeight="1">
      <c r="D867" s="9"/>
      <c r="E867" s="9"/>
      <c r="J867" s="1"/>
    </row>
    <row r="868" spans="4:10" ht="15.75" customHeight="1">
      <c r="D868" s="9"/>
      <c r="E868" s="9"/>
      <c r="J868" s="1"/>
    </row>
    <row r="869" spans="4:10" ht="15.75" customHeight="1">
      <c r="D869" s="9"/>
      <c r="E869" s="9"/>
      <c r="J869" s="1"/>
    </row>
    <row r="870" spans="4:10" ht="15.75" customHeight="1">
      <c r="D870" s="9"/>
      <c r="E870" s="9"/>
      <c r="J870" s="1"/>
    </row>
    <row r="871" spans="4:10" ht="15.75" customHeight="1">
      <c r="D871" s="9"/>
      <c r="E871" s="9"/>
      <c r="J871" s="1"/>
    </row>
    <row r="872" spans="4:10" ht="15.75" customHeight="1">
      <c r="D872" s="9"/>
      <c r="E872" s="9"/>
      <c r="J872" s="1"/>
    </row>
    <row r="873" spans="4:10" ht="15.75" customHeight="1">
      <c r="D873" s="9"/>
      <c r="E873" s="9"/>
      <c r="J873" s="1"/>
    </row>
    <row r="874" spans="4:10" ht="15.75" customHeight="1">
      <c r="D874" s="9"/>
      <c r="E874" s="9"/>
      <c r="J874" s="1"/>
    </row>
    <row r="875" spans="4:10" ht="15.75" customHeight="1">
      <c r="D875" s="9"/>
      <c r="E875" s="9"/>
      <c r="J875" s="1"/>
    </row>
    <row r="876" spans="4:10" ht="15.75" customHeight="1">
      <c r="D876" s="9"/>
      <c r="E876" s="9"/>
      <c r="J876" s="1"/>
    </row>
    <row r="877" spans="4:10" ht="15.75" customHeight="1">
      <c r="D877" s="9"/>
      <c r="E877" s="9"/>
      <c r="J877" s="1"/>
    </row>
    <row r="878" spans="4:10" ht="15.75" customHeight="1">
      <c r="D878" s="9"/>
      <c r="E878" s="9"/>
      <c r="J878" s="1"/>
    </row>
    <row r="879" spans="4:10" ht="15.75" customHeight="1">
      <c r="D879" s="9"/>
      <c r="E879" s="9"/>
      <c r="J879" s="1"/>
    </row>
    <row r="880" spans="4:10" ht="15.75" customHeight="1">
      <c r="D880" s="9"/>
      <c r="E880" s="9"/>
      <c r="J880" s="1"/>
    </row>
    <row r="881" spans="4:10" ht="15.75" customHeight="1">
      <c r="D881" s="9"/>
      <c r="E881" s="9"/>
      <c r="J881" s="1"/>
    </row>
    <row r="882" spans="4:10" ht="15.75" customHeight="1">
      <c r="D882" s="9"/>
      <c r="E882" s="9"/>
      <c r="J882" s="1"/>
    </row>
    <row r="883" spans="4:10" ht="15.75" customHeight="1">
      <c r="D883" s="9"/>
      <c r="E883" s="9"/>
      <c r="J883" s="1"/>
    </row>
    <row r="884" spans="4:10" ht="15.75" customHeight="1">
      <c r="D884" s="9"/>
      <c r="E884" s="9"/>
      <c r="J884" s="1"/>
    </row>
    <row r="885" spans="4:10" ht="15.75" customHeight="1">
      <c r="D885" s="9"/>
      <c r="E885" s="9"/>
      <c r="J885" s="1"/>
    </row>
    <row r="886" spans="4:10" ht="15.75" customHeight="1">
      <c r="D886" s="9"/>
      <c r="E886" s="9"/>
      <c r="J886" s="1"/>
    </row>
    <row r="887" spans="4:10" ht="15.75" customHeight="1">
      <c r="D887" s="9"/>
      <c r="E887" s="9"/>
      <c r="J887" s="1"/>
    </row>
    <row r="888" spans="4:10" ht="15.75" customHeight="1">
      <c r="D888" s="9"/>
      <c r="E888" s="9"/>
      <c r="J888" s="1"/>
    </row>
    <row r="889" spans="4:10" ht="15.75" customHeight="1">
      <c r="D889" s="9"/>
      <c r="E889" s="9"/>
      <c r="J889" s="1"/>
    </row>
    <row r="890" spans="4:10" ht="15.75" customHeight="1">
      <c r="D890" s="9"/>
      <c r="E890" s="9"/>
      <c r="J890" s="1"/>
    </row>
    <row r="891" spans="4:10" ht="15.75" customHeight="1">
      <c r="D891" s="9"/>
      <c r="E891" s="9"/>
      <c r="J891" s="1"/>
    </row>
    <row r="892" spans="4:10" ht="15.75" customHeight="1">
      <c r="D892" s="9"/>
      <c r="E892" s="9"/>
      <c r="J892" s="1"/>
    </row>
    <row r="893" spans="4:10" ht="15.75" customHeight="1">
      <c r="D893" s="9"/>
      <c r="E893" s="9"/>
      <c r="J893" s="1"/>
    </row>
    <row r="894" spans="4:10" ht="15.75" customHeight="1">
      <c r="D894" s="9"/>
      <c r="E894" s="9"/>
      <c r="J894" s="1"/>
    </row>
    <row r="895" spans="4:10" ht="15.75" customHeight="1">
      <c r="D895" s="9"/>
      <c r="E895" s="9"/>
      <c r="J895" s="1"/>
    </row>
    <row r="896" spans="4:10" ht="15.75" customHeight="1">
      <c r="D896" s="9"/>
      <c r="E896" s="9"/>
      <c r="J896" s="1"/>
    </row>
    <row r="897" spans="4:10" ht="15.75" customHeight="1">
      <c r="D897" s="9"/>
      <c r="E897" s="9"/>
      <c r="J897" s="1"/>
    </row>
    <row r="898" spans="4:10" ht="15.75" customHeight="1">
      <c r="D898" s="9"/>
      <c r="E898" s="9"/>
      <c r="J898" s="1"/>
    </row>
    <row r="899" spans="4:10" ht="15.75" customHeight="1">
      <c r="D899" s="9"/>
      <c r="E899" s="9"/>
      <c r="J899" s="1"/>
    </row>
    <row r="900" spans="4:10" ht="15.75" customHeight="1">
      <c r="D900" s="9"/>
      <c r="E900" s="9"/>
      <c r="J900" s="1"/>
    </row>
    <row r="901" spans="4:10" ht="15.75" customHeight="1">
      <c r="D901" s="9"/>
      <c r="E901" s="9"/>
      <c r="J901" s="1"/>
    </row>
    <row r="902" spans="4:10" ht="15.75" customHeight="1">
      <c r="D902" s="9"/>
      <c r="E902" s="9"/>
      <c r="J902" s="1"/>
    </row>
    <row r="903" spans="4:10" ht="15.75" customHeight="1">
      <c r="D903" s="9"/>
      <c r="E903" s="9"/>
      <c r="J903" s="1"/>
    </row>
    <row r="904" spans="4:10" ht="15.75" customHeight="1">
      <c r="D904" s="9"/>
      <c r="E904" s="9"/>
      <c r="J904" s="1"/>
    </row>
    <row r="905" spans="4:10" ht="15.75" customHeight="1">
      <c r="D905" s="9"/>
      <c r="E905" s="9"/>
      <c r="J905" s="1"/>
    </row>
    <row r="906" spans="4:10" ht="15.75" customHeight="1">
      <c r="D906" s="9"/>
      <c r="E906" s="9"/>
      <c r="J906" s="1"/>
    </row>
    <row r="907" spans="4:10" ht="15.75" customHeight="1">
      <c r="D907" s="9"/>
      <c r="E907" s="9"/>
      <c r="J907" s="1"/>
    </row>
    <row r="908" spans="4:10" ht="15.75" customHeight="1">
      <c r="D908" s="9"/>
      <c r="E908" s="9"/>
      <c r="J908" s="1"/>
    </row>
    <row r="909" spans="4:10" ht="15.75" customHeight="1">
      <c r="D909" s="9"/>
      <c r="E909" s="9"/>
      <c r="J909" s="1"/>
    </row>
    <row r="910" spans="4:10" ht="15.75" customHeight="1">
      <c r="D910" s="9"/>
      <c r="E910" s="9"/>
      <c r="J910" s="1"/>
    </row>
    <row r="911" spans="4:10" ht="15.75" customHeight="1">
      <c r="D911" s="9"/>
      <c r="E911" s="9"/>
      <c r="J911" s="1"/>
    </row>
    <row r="912" spans="4:10" ht="15.75" customHeight="1">
      <c r="D912" s="9"/>
      <c r="E912" s="9"/>
      <c r="J912" s="1"/>
    </row>
    <row r="913" spans="4:10" ht="15.75" customHeight="1">
      <c r="D913" s="9"/>
      <c r="E913" s="9"/>
      <c r="J913" s="1"/>
    </row>
    <row r="914" spans="4:10" ht="15.75" customHeight="1">
      <c r="D914" s="9"/>
      <c r="E914" s="9"/>
      <c r="J914" s="1"/>
    </row>
    <row r="915" spans="4:10" ht="15.75" customHeight="1">
      <c r="D915" s="9"/>
      <c r="E915" s="9"/>
      <c r="J915" s="1"/>
    </row>
    <row r="916" spans="4:10" ht="15.75" customHeight="1">
      <c r="D916" s="9"/>
      <c r="E916" s="9"/>
      <c r="J916" s="1"/>
    </row>
    <row r="917" spans="4:10" ht="15.75" customHeight="1">
      <c r="D917" s="9"/>
      <c r="E917" s="9"/>
      <c r="J917" s="1"/>
    </row>
    <row r="918" spans="4:10" ht="15.75" customHeight="1">
      <c r="D918" s="9"/>
      <c r="E918" s="9"/>
      <c r="J918" s="1"/>
    </row>
    <row r="919" spans="4:10" ht="15.75" customHeight="1">
      <c r="D919" s="9"/>
      <c r="E919" s="9"/>
      <c r="J919" s="1"/>
    </row>
    <row r="920" spans="4:10" ht="15.75" customHeight="1">
      <c r="D920" s="9"/>
      <c r="E920" s="9"/>
      <c r="J920" s="1"/>
    </row>
    <row r="921" spans="4:10" ht="15.75" customHeight="1">
      <c r="D921" s="9"/>
      <c r="E921" s="9"/>
      <c r="J921" s="1"/>
    </row>
    <row r="922" spans="4:10" ht="15.75" customHeight="1">
      <c r="D922" s="9"/>
      <c r="E922" s="9"/>
      <c r="J922" s="1"/>
    </row>
    <row r="923" spans="4:10" ht="15.75" customHeight="1">
      <c r="D923" s="9"/>
      <c r="E923" s="9"/>
      <c r="J923" s="1"/>
    </row>
    <row r="924" spans="4:10" ht="15.75" customHeight="1">
      <c r="D924" s="9"/>
      <c r="E924" s="9"/>
      <c r="J924" s="1"/>
    </row>
    <row r="925" spans="4:10" ht="15.75" customHeight="1">
      <c r="D925" s="9"/>
      <c r="E925" s="9"/>
      <c r="J925" s="1"/>
    </row>
    <row r="926" spans="4:10" ht="15.75" customHeight="1">
      <c r="D926" s="9"/>
      <c r="E926" s="9"/>
      <c r="J926" s="1"/>
    </row>
    <row r="927" spans="4:10" ht="15.75" customHeight="1">
      <c r="D927" s="9"/>
      <c r="E927" s="9"/>
      <c r="J927" s="1"/>
    </row>
    <row r="928" spans="4:10" ht="15.75" customHeight="1">
      <c r="D928" s="9"/>
      <c r="E928" s="9"/>
      <c r="J928" s="1"/>
    </row>
    <row r="929" spans="4:10" ht="15.75" customHeight="1">
      <c r="D929" s="9"/>
      <c r="E929" s="9"/>
      <c r="J929" s="1"/>
    </row>
    <row r="930" spans="4:10" ht="15.75" customHeight="1">
      <c r="D930" s="9"/>
      <c r="E930" s="9"/>
      <c r="J930" s="1"/>
    </row>
    <row r="931" spans="4:10" ht="15.75" customHeight="1">
      <c r="D931" s="9"/>
      <c r="E931" s="9"/>
      <c r="J931" s="1"/>
    </row>
    <row r="932" spans="4:10" ht="15.75" customHeight="1">
      <c r="D932" s="9"/>
      <c r="E932" s="9"/>
      <c r="J932" s="1"/>
    </row>
    <row r="933" spans="4:10" ht="15.75" customHeight="1">
      <c r="D933" s="9"/>
      <c r="E933" s="9"/>
      <c r="J933" s="1"/>
    </row>
    <row r="934" spans="4:10" ht="15.75" customHeight="1">
      <c r="D934" s="9"/>
      <c r="E934" s="9"/>
      <c r="J934" s="1"/>
    </row>
    <row r="935" spans="4:10" ht="15.75" customHeight="1">
      <c r="D935" s="9"/>
      <c r="E935" s="9"/>
      <c r="J935" s="1"/>
    </row>
    <row r="936" spans="4:10" ht="15.75" customHeight="1">
      <c r="D936" s="9"/>
      <c r="E936" s="9"/>
      <c r="J936" s="1"/>
    </row>
    <row r="937" spans="4:10" ht="15.75" customHeight="1">
      <c r="D937" s="9"/>
      <c r="E937" s="9"/>
      <c r="J937" s="1"/>
    </row>
    <row r="938" spans="4:10" ht="15.75" customHeight="1">
      <c r="D938" s="9"/>
      <c r="E938" s="9"/>
      <c r="J938" s="1"/>
    </row>
    <row r="939" spans="4:10" ht="15.75" customHeight="1">
      <c r="D939" s="9"/>
      <c r="E939" s="9"/>
      <c r="J939" s="1"/>
    </row>
    <row r="940" spans="4:10" ht="15.75" customHeight="1">
      <c r="D940" s="9"/>
      <c r="E940" s="9"/>
      <c r="J940" s="1"/>
    </row>
    <row r="941" spans="4:10" ht="15.75" customHeight="1">
      <c r="D941" s="9"/>
      <c r="E941" s="9"/>
      <c r="J941" s="1"/>
    </row>
    <row r="942" spans="4:10" ht="15.75" customHeight="1">
      <c r="D942" s="9"/>
      <c r="E942" s="9"/>
      <c r="J942" s="1"/>
    </row>
    <row r="943" spans="4:10" ht="15.75" customHeight="1">
      <c r="D943" s="9"/>
      <c r="E943" s="9"/>
      <c r="J943" s="1"/>
    </row>
    <row r="944" spans="4:10" ht="15.75" customHeight="1">
      <c r="D944" s="9"/>
      <c r="E944" s="9"/>
      <c r="J944" s="1"/>
    </row>
    <row r="945" spans="4:10" ht="15.75" customHeight="1">
      <c r="D945" s="9"/>
      <c r="E945" s="9"/>
      <c r="J945" s="1"/>
    </row>
    <row r="946" spans="4:10" ht="15.75" customHeight="1">
      <c r="D946" s="9"/>
      <c r="E946" s="9"/>
      <c r="J946" s="1"/>
    </row>
    <row r="947" spans="4:10" ht="15.75" customHeight="1">
      <c r="D947" s="9"/>
      <c r="E947" s="9"/>
      <c r="J947" s="1"/>
    </row>
    <row r="948" spans="4:10" ht="15.75" customHeight="1">
      <c r="D948" s="9"/>
      <c r="E948" s="9"/>
      <c r="J948" s="1"/>
    </row>
    <row r="949" spans="4:10" ht="15.75" customHeight="1">
      <c r="D949" s="9"/>
      <c r="E949" s="9"/>
      <c r="J949" s="1"/>
    </row>
    <row r="950" spans="4:10" ht="15.75" customHeight="1">
      <c r="D950" s="9"/>
      <c r="E950" s="9"/>
      <c r="J950" s="1"/>
    </row>
    <row r="951" spans="4:10" ht="15.75" customHeight="1">
      <c r="D951" s="9"/>
      <c r="E951" s="9"/>
      <c r="J951" s="1"/>
    </row>
    <row r="952" spans="4:10" ht="15.75" customHeight="1">
      <c r="D952" s="9"/>
      <c r="E952" s="9"/>
      <c r="J952" s="1"/>
    </row>
    <row r="953" spans="4:10" ht="15.75" customHeight="1">
      <c r="D953" s="9"/>
      <c r="E953" s="9"/>
      <c r="J953" s="1"/>
    </row>
    <row r="954" spans="4:10" ht="15.75" customHeight="1">
      <c r="D954" s="9"/>
      <c r="E954" s="9"/>
      <c r="J954" s="1"/>
    </row>
    <row r="955" spans="4:10" ht="15.75" customHeight="1">
      <c r="D955" s="9"/>
      <c r="E955" s="9"/>
      <c r="J955" s="1"/>
    </row>
    <row r="956" spans="4:10" ht="15.75" customHeight="1">
      <c r="D956" s="9"/>
      <c r="E956" s="9"/>
      <c r="J956" s="1"/>
    </row>
    <row r="957" spans="4:10" ht="15.75" customHeight="1">
      <c r="D957" s="9"/>
      <c r="E957" s="9"/>
      <c r="J957" s="1"/>
    </row>
    <row r="958" spans="4:10" ht="15.75" customHeight="1">
      <c r="D958" s="9"/>
      <c r="E958" s="9"/>
      <c r="J958" s="1"/>
    </row>
    <row r="959" spans="4:10" ht="15.75" customHeight="1">
      <c r="D959" s="9"/>
      <c r="E959" s="9"/>
      <c r="J959" s="1"/>
    </row>
    <row r="960" spans="4:10" ht="15.75" customHeight="1">
      <c r="D960" s="9"/>
      <c r="E960" s="9"/>
      <c r="J960" s="1"/>
    </row>
    <row r="961" spans="4:10" ht="15.75" customHeight="1">
      <c r="D961" s="9"/>
      <c r="E961" s="9"/>
      <c r="J961" s="1"/>
    </row>
    <row r="962" spans="4:10" ht="15.75" customHeight="1">
      <c r="D962" s="9"/>
      <c r="E962" s="9"/>
      <c r="J962" s="1"/>
    </row>
    <row r="963" spans="4:10" ht="15.75" customHeight="1">
      <c r="D963" s="9"/>
      <c r="E963" s="9"/>
      <c r="J963" s="1"/>
    </row>
    <row r="964" spans="4:10" ht="15.75" customHeight="1">
      <c r="D964" s="9"/>
      <c r="E964" s="9"/>
      <c r="J964" s="1"/>
    </row>
    <row r="965" spans="4:10" ht="15.75" customHeight="1">
      <c r="D965" s="9"/>
      <c r="E965" s="9"/>
      <c r="J965" s="1"/>
    </row>
    <row r="966" spans="4:10" ht="15.75" customHeight="1">
      <c r="D966" s="9"/>
      <c r="E966" s="9"/>
      <c r="J966" s="1"/>
    </row>
    <row r="967" spans="4:10" ht="15.75" customHeight="1">
      <c r="D967" s="9"/>
      <c r="E967" s="9"/>
      <c r="J967" s="1"/>
    </row>
    <row r="968" spans="4:10" ht="15.75" customHeight="1">
      <c r="D968" s="9"/>
      <c r="E968" s="9"/>
      <c r="J968" s="1"/>
    </row>
    <row r="969" spans="4:10" ht="15.75" customHeight="1">
      <c r="D969" s="9"/>
      <c r="E969" s="9"/>
      <c r="J969" s="1"/>
    </row>
    <row r="970" spans="4:10" ht="15.75" customHeight="1">
      <c r="D970" s="9"/>
      <c r="E970" s="9"/>
      <c r="J970" s="1"/>
    </row>
    <row r="971" spans="4:10" ht="15.75" customHeight="1">
      <c r="D971" s="9"/>
      <c r="E971" s="9"/>
      <c r="J971" s="1"/>
    </row>
    <row r="972" spans="4:10" ht="15.75" customHeight="1">
      <c r="D972" s="9"/>
      <c r="E972" s="9"/>
      <c r="J972" s="1"/>
    </row>
    <row r="973" spans="4:10" ht="15.75" customHeight="1">
      <c r="D973" s="9"/>
      <c r="E973" s="9"/>
      <c r="J973" s="1"/>
    </row>
    <row r="974" spans="4:10" ht="15.75" customHeight="1">
      <c r="D974" s="9"/>
      <c r="E974" s="9"/>
      <c r="J974" s="1"/>
    </row>
    <row r="975" spans="4:10" ht="15.75" customHeight="1">
      <c r="D975" s="9"/>
      <c r="E975" s="9"/>
      <c r="J975" s="1"/>
    </row>
    <row r="976" spans="4:10" ht="15.75" customHeight="1">
      <c r="D976" s="9"/>
      <c r="E976" s="9"/>
      <c r="J976" s="1"/>
    </row>
    <row r="977" spans="4:10" ht="15.75" customHeight="1">
      <c r="D977" s="9"/>
      <c r="E977" s="9"/>
      <c r="J977" s="1"/>
    </row>
    <row r="978" spans="4:10" ht="15.75" customHeight="1">
      <c r="D978" s="9"/>
      <c r="E978" s="9"/>
      <c r="J978" s="1"/>
    </row>
  </sheetData>
  <mergeCells count="34">
    <mergeCell ref="H119:T119"/>
    <mergeCell ref="H122:T122"/>
    <mergeCell ref="H123:T123"/>
    <mergeCell ref="A8:A9"/>
    <mergeCell ref="B8:B9"/>
    <mergeCell ref="D8:D9"/>
    <mergeCell ref="E8:E9"/>
    <mergeCell ref="F8:F9"/>
    <mergeCell ref="G8:G9"/>
    <mergeCell ref="A115:B115"/>
    <mergeCell ref="C115:F115"/>
    <mergeCell ref="I115:N115"/>
    <mergeCell ref="Q115:T115"/>
    <mergeCell ref="A116:B116"/>
    <mergeCell ref="C116:F116"/>
    <mergeCell ref="I116:N116"/>
    <mergeCell ref="Q116:T116"/>
    <mergeCell ref="C108:E108"/>
    <mergeCell ref="J108:T108"/>
    <mergeCell ref="J109:T109"/>
    <mergeCell ref="C112:E112"/>
    <mergeCell ref="I112:N112"/>
    <mergeCell ref="Q112:T112"/>
    <mergeCell ref="C105:E105"/>
    <mergeCell ref="C106:E106"/>
    <mergeCell ref="H106:I106"/>
    <mergeCell ref="J106:T106"/>
    <mergeCell ref="C107:E107"/>
    <mergeCell ref="J107:T107"/>
    <mergeCell ref="A1:V1"/>
    <mergeCell ref="A2:V2"/>
    <mergeCell ref="A3:V3"/>
    <mergeCell ref="H8:V8"/>
    <mergeCell ref="B103:I103"/>
  </mergeCells>
  <pageMargins left="0.23622047244094499" right="0.23622047244094499" top="0.74803149606299202" bottom="0.74803149606299202" header="0.31496062992126" footer="0.31496062992126"/>
  <pageSetup paperSize="14" scale="85" orientation="landscape" r:id="rId1"/>
  <rowBreaks count="2" manualBreakCount="2">
    <brk id="14" man="1"/>
    <brk id="5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41"/>
  <sheetViews>
    <sheetView topLeftCell="A43" workbookViewId="0">
      <selection activeCell="B65" sqref="B65:D68"/>
    </sheetView>
  </sheetViews>
  <sheetFormatPr defaultColWidth="12.625" defaultRowHeight="15" customHeight="1"/>
  <cols>
    <col min="1" max="1" width="8.625" customWidth="1"/>
    <col min="2" max="2" width="68.375" customWidth="1"/>
    <col min="3" max="3" width="11.625" customWidth="1"/>
    <col min="4" max="4" width="11.75" customWidth="1"/>
    <col min="5" max="5" width="11.625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</cols>
  <sheetData>
    <row r="1" spans="1:22" ht="15.75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2" ht="14.25">
      <c r="A2" s="103" t="s">
        <v>126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</row>
    <row r="3" spans="1:22">
      <c r="A3" s="104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</row>
    <row r="4" spans="1:22">
      <c r="A4" s="2" t="s">
        <v>1</v>
      </c>
      <c r="B4" s="3"/>
      <c r="C4" s="3"/>
      <c r="D4" s="4"/>
      <c r="E4" s="5"/>
      <c r="F4" s="3"/>
      <c r="G4" s="3"/>
      <c r="H4" s="3"/>
      <c r="I4" s="3"/>
      <c r="J4" s="4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7"/>
    </row>
    <row r="5" spans="1:22">
      <c r="A5" s="6"/>
      <c r="B5" s="3"/>
      <c r="C5" s="7"/>
      <c r="D5" s="8"/>
      <c r="E5" s="9"/>
      <c r="F5" s="10"/>
      <c r="G5" s="10"/>
      <c r="H5" s="7"/>
      <c r="I5" s="7"/>
      <c r="J5" s="1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>
      <c r="A6" s="2" t="s">
        <v>2</v>
      </c>
      <c r="B6" s="3"/>
      <c r="C6" s="7"/>
      <c r="D6" s="8"/>
      <c r="E6" s="9"/>
      <c r="F6" s="10"/>
      <c r="G6" s="10"/>
      <c r="H6" s="7"/>
      <c r="I6" s="7"/>
      <c r="J6" s="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6"/>
      <c r="B7" s="3"/>
      <c r="C7" s="7"/>
      <c r="D7" s="8"/>
      <c r="E7" s="9"/>
      <c r="F7" s="10"/>
      <c r="G7" s="10"/>
      <c r="H7" s="7"/>
      <c r="I7" s="7"/>
      <c r="J7" s="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 ht="22.5" customHeight="1">
      <c r="A8" s="123" t="s">
        <v>3</v>
      </c>
      <c r="B8" s="125" t="s">
        <v>4</v>
      </c>
      <c r="C8" s="11" t="s">
        <v>5</v>
      </c>
      <c r="D8" s="127" t="s">
        <v>6</v>
      </c>
      <c r="E8" s="127" t="s">
        <v>7</v>
      </c>
      <c r="F8" s="128" t="s">
        <v>8</v>
      </c>
      <c r="G8" s="125" t="s">
        <v>9</v>
      </c>
      <c r="H8" s="105" t="s">
        <v>10</v>
      </c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7"/>
    </row>
    <row r="9" spans="1:22" ht="38.25">
      <c r="A9" s="124"/>
      <c r="B9" s="126"/>
      <c r="C9" s="12" t="s">
        <v>11</v>
      </c>
      <c r="D9" s="126"/>
      <c r="E9" s="126"/>
      <c r="F9" s="126"/>
      <c r="G9" s="126"/>
      <c r="H9" s="13" t="s">
        <v>127</v>
      </c>
      <c r="I9" s="13" t="s">
        <v>128</v>
      </c>
      <c r="J9" s="13" t="s">
        <v>129</v>
      </c>
      <c r="K9" s="13" t="s">
        <v>12</v>
      </c>
      <c r="L9" s="13" t="s">
        <v>13</v>
      </c>
      <c r="M9" s="13" t="s">
        <v>14</v>
      </c>
      <c r="N9" s="13" t="s">
        <v>15</v>
      </c>
      <c r="O9" s="13" t="s">
        <v>16</v>
      </c>
      <c r="P9" s="13" t="s">
        <v>17</v>
      </c>
      <c r="Q9" s="13" t="s">
        <v>18</v>
      </c>
      <c r="R9" s="13" t="s">
        <v>19</v>
      </c>
      <c r="S9" s="13" t="s">
        <v>20</v>
      </c>
      <c r="T9" s="13" t="s">
        <v>21</v>
      </c>
      <c r="U9" s="48" t="str">
        <f>$V$9</f>
        <v>REMARKS</v>
      </c>
      <c r="V9" s="49" t="s">
        <v>22</v>
      </c>
    </row>
    <row r="10" spans="1:22" ht="14.25">
      <c r="A10" s="14"/>
      <c r="B10" s="15" t="s">
        <v>130</v>
      </c>
      <c r="C10" s="16"/>
      <c r="D10" s="17"/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50"/>
    </row>
    <row r="11" spans="1:22">
      <c r="A11" s="20"/>
      <c r="B11" s="21" t="s">
        <v>131</v>
      </c>
      <c r="C11" s="22">
        <v>30</v>
      </c>
      <c r="D11" s="23">
        <v>75</v>
      </c>
      <c r="E11" s="24">
        <f t="shared" ref="E11:E42" si="0">D11*C11</f>
        <v>2250</v>
      </c>
      <c r="F11" s="25" t="s">
        <v>25</v>
      </c>
      <c r="G11" s="25"/>
      <c r="H11" s="22"/>
      <c r="I11" s="22">
        <v>30</v>
      </c>
      <c r="J11" s="22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 spans="1:22">
      <c r="A12" s="20"/>
      <c r="B12" s="21" t="s">
        <v>132</v>
      </c>
      <c r="C12" s="22">
        <v>30</v>
      </c>
      <c r="D12" s="23">
        <v>50</v>
      </c>
      <c r="E12" s="24">
        <f t="shared" si="0"/>
        <v>1500</v>
      </c>
      <c r="F12" s="25" t="s">
        <v>25</v>
      </c>
      <c r="G12" s="25"/>
      <c r="H12" s="22"/>
      <c r="I12" s="22">
        <v>30</v>
      </c>
      <c r="J12" s="22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 spans="1:22">
      <c r="A13" s="20"/>
      <c r="B13" s="21" t="s">
        <v>133</v>
      </c>
      <c r="C13" s="22">
        <v>15</v>
      </c>
      <c r="D13" s="23">
        <v>200</v>
      </c>
      <c r="E13" s="24">
        <f t="shared" si="0"/>
        <v>3000</v>
      </c>
      <c r="F13" s="25" t="s">
        <v>25</v>
      </c>
      <c r="G13" s="25"/>
      <c r="H13" s="22"/>
      <c r="I13" s="22">
        <v>15</v>
      </c>
      <c r="J13" s="22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</row>
    <row r="14" spans="1:22">
      <c r="A14" s="20"/>
      <c r="B14" s="21" t="s">
        <v>134</v>
      </c>
      <c r="C14" s="22">
        <v>15</v>
      </c>
      <c r="D14" s="23">
        <v>200</v>
      </c>
      <c r="E14" s="24">
        <f t="shared" si="0"/>
        <v>3000</v>
      </c>
      <c r="F14" s="25" t="s">
        <v>25</v>
      </c>
      <c r="G14" s="25"/>
      <c r="H14" s="22"/>
      <c r="I14" s="22">
        <v>15</v>
      </c>
      <c r="J14" s="22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</row>
    <row r="15" spans="1:22">
      <c r="A15" s="20"/>
      <c r="B15" s="21" t="s">
        <v>135</v>
      </c>
      <c r="C15" s="22">
        <v>15</v>
      </c>
      <c r="D15" s="23">
        <v>250</v>
      </c>
      <c r="E15" s="24">
        <f t="shared" si="0"/>
        <v>3750</v>
      </c>
      <c r="F15" s="25" t="s">
        <v>25</v>
      </c>
      <c r="G15" s="25"/>
      <c r="H15" s="22"/>
      <c r="I15" s="22">
        <v>15</v>
      </c>
      <c r="J15" s="22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spans="1:22">
      <c r="A16" s="20"/>
      <c r="B16" s="21" t="s">
        <v>136</v>
      </c>
      <c r="C16" s="22">
        <v>15</v>
      </c>
      <c r="D16" s="23">
        <v>150</v>
      </c>
      <c r="E16" s="24">
        <f t="shared" si="0"/>
        <v>2250</v>
      </c>
      <c r="F16" s="25" t="s">
        <v>25</v>
      </c>
      <c r="G16" s="25"/>
      <c r="H16" s="22"/>
      <c r="I16" s="22">
        <v>15</v>
      </c>
      <c r="J16" s="22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 spans="1:22">
      <c r="A17" s="20"/>
      <c r="B17" s="21" t="s">
        <v>137</v>
      </c>
      <c r="C17" s="22">
        <v>10</v>
      </c>
      <c r="D17" s="23">
        <v>30</v>
      </c>
      <c r="E17" s="24">
        <f t="shared" si="0"/>
        <v>300</v>
      </c>
      <c r="F17" s="25" t="s">
        <v>25</v>
      </c>
      <c r="G17" s="25"/>
      <c r="H17" s="22"/>
      <c r="I17" s="22">
        <v>10</v>
      </c>
      <c r="J17" s="22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spans="1:22">
      <c r="A18" s="20"/>
      <c r="B18" s="21" t="s">
        <v>138</v>
      </c>
      <c r="C18" s="22">
        <v>10</v>
      </c>
      <c r="D18" s="23">
        <v>50</v>
      </c>
      <c r="E18" s="24">
        <f t="shared" si="0"/>
        <v>500</v>
      </c>
      <c r="F18" s="25" t="s">
        <v>25</v>
      </c>
      <c r="G18" s="25"/>
      <c r="H18" s="22"/>
      <c r="I18" s="22">
        <v>10</v>
      </c>
      <c r="J18" s="22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>
      <c r="A19" s="20"/>
      <c r="B19" s="21" t="s">
        <v>139</v>
      </c>
      <c r="C19" s="22">
        <v>10</v>
      </c>
      <c r="D19" s="23">
        <v>150</v>
      </c>
      <c r="E19" s="24">
        <f t="shared" si="0"/>
        <v>1500</v>
      </c>
      <c r="F19" s="25" t="s">
        <v>25</v>
      </c>
      <c r="G19" s="25"/>
      <c r="H19" s="22"/>
      <c r="I19" s="22">
        <v>10</v>
      </c>
      <c r="J19" s="22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spans="1:22">
      <c r="A20" s="20"/>
      <c r="B20" s="21" t="s">
        <v>140</v>
      </c>
      <c r="C20" s="22">
        <v>10</v>
      </c>
      <c r="D20" s="23">
        <v>200</v>
      </c>
      <c r="E20" s="24">
        <f t="shared" si="0"/>
        <v>2000</v>
      </c>
      <c r="F20" s="25" t="s">
        <v>25</v>
      </c>
      <c r="G20" s="25"/>
      <c r="H20" s="22"/>
      <c r="I20" s="22">
        <v>10</v>
      </c>
      <c r="J20" s="22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spans="1:22" ht="15.75" customHeight="1">
      <c r="A21" s="20"/>
      <c r="B21" s="21" t="s">
        <v>141</v>
      </c>
      <c r="C21" s="22">
        <v>10</v>
      </c>
      <c r="D21" s="23">
        <v>50</v>
      </c>
      <c r="E21" s="24">
        <f t="shared" si="0"/>
        <v>500</v>
      </c>
      <c r="F21" s="25" t="s">
        <v>25</v>
      </c>
      <c r="G21" s="25"/>
      <c r="H21" s="22"/>
      <c r="I21" s="22">
        <v>10</v>
      </c>
      <c r="J21" s="22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spans="1:22" ht="15.75" customHeight="1">
      <c r="A22" s="20"/>
      <c r="B22" s="21" t="s">
        <v>142</v>
      </c>
      <c r="C22" s="22">
        <v>5</v>
      </c>
      <c r="D22" s="23">
        <v>150</v>
      </c>
      <c r="E22" s="24">
        <f t="shared" si="0"/>
        <v>750</v>
      </c>
      <c r="F22" s="25" t="s">
        <v>25</v>
      </c>
      <c r="G22" s="25"/>
      <c r="H22" s="22"/>
      <c r="I22" s="22">
        <v>5</v>
      </c>
      <c r="J22" s="22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spans="1:22" ht="15.75" customHeight="1">
      <c r="A23" s="20"/>
      <c r="B23" s="21" t="s">
        <v>143</v>
      </c>
      <c r="C23" s="22">
        <v>10</v>
      </c>
      <c r="D23" s="23">
        <v>30</v>
      </c>
      <c r="E23" s="24">
        <f t="shared" si="0"/>
        <v>300</v>
      </c>
      <c r="F23" s="25" t="s">
        <v>25</v>
      </c>
      <c r="G23" s="25"/>
      <c r="H23" s="22"/>
      <c r="I23" s="22">
        <v>10</v>
      </c>
      <c r="J23" s="22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 spans="1:22" ht="15.75" customHeight="1">
      <c r="A24" s="20"/>
      <c r="B24" s="21" t="s">
        <v>144</v>
      </c>
      <c r="C24" s="22">
        <v>10</v>
      </c>
      <c r="D24" s="23">
        <v>100</v>
      </c>
      <c r="E24" s="24">
        <f t="shared" si="0"/>
        <v>1000</v>
      </c>
      <c r="F24" s="25" t="s">
        <v>25</v>
      </c>
      <c r="G24" s="25"/>
      <c r="H24" s="22"/>
      <c r="I24" s="22">
        <v>10</v>
      </c>
      <c r="J24" s="22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 spans="1:22" ht="15.75" customHeight="1">
      <c r="A25" s="20"/>
      <c r="B25" s="21" t="s">
        <v>145</v>
      </c>
      <c r="C25" s="22">
        <v>10</v>
      </c>
      <c r="D25" s="23">
        <v>200</v>
      </c>
      <c r="E25" s="24">
        <f t="shared" si="0"/>
        <v>2000</v>
      </c>
      <c r="F25" s="25" t="s">
        <v>25</v>
      </c>
      <c r="G25" s="25"/>
      <c r="H25" s="22"/>
      <c r="I25" s="22">
        <v>10</v>
      </c>
      <c r="J25" s="22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 spans="1:22" ht="15.75" customHeight="1">
      <c r="A26" s="20"/>
      <c r="B26" s="21" t="s">
        <v>146</v>
      </c>
      <c r="C26" s="22">
        <v>10</v>
      </c>
      <c r="D26" s="23">
        <v>200</v>
      </c>
      <c r="E26" s="24">
        <f t="shared" si="0"/>
        <v>2000</v>
      </c>
      <c r="F26" s="25" t="s">
        <v>25</v>
      </c>
      <c r="G26" s="25"/>
      <c r="H26" s="22"/>
      <c r="I26" s="22">
        <v>10</v>
      </c>
      <c r="J26" s="22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2" ht="15.75" customHeight="1">
      <c r="A27" s="20"/>
      <c r="B27" s="21" t="s">
        <v>147</v>
      </c>
      <c r="C27" s="22">
        <v>20</v>
      </c>
      <c r="D27" s="23">
        <v>50</v>
      </c>
      <c r="E27" s="24">
        <f t="shared" si="0"/>
        <v>1000</v>
      </c>
      <c r="F27" s="25" t="s">
        <v>25</v>
      </c>
      <c r="G27" s="25"/>
      <c r="H27" s="22"/>
      <c r="I27" s="22">
        <v>20</v>
      </c>
      <c r="J27" s="22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 spans="1:22" ht="15.75" customHeight="1">
      <c r="A28" s="20"/>
      <c r="B28" s="21" t="s">
        <v>148</v>
      </c>
      <c r="C28" s="22">
        <v>50</v>
      </c>
      <c r="D28" s="23">
        <v>250</v>
      </c>
      <c r="E28" s="24">
        <f t="shared" si="0"/>
        <v>12500</v>
      </c>
      <c r="F28" s="25" t="s">
        <v>25</v>
      </c>
      <c r="G28" s="25"/>
      <c r="H28" s="22"/>
      <c r="I28" s="22">
        <v>50</v>
      </c>
      <c r="J28" s="22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spans="1:22" ht="15.75" customHeight="1">
      <c r="A29" s="20"/>
      <c r="B29" s="26" t="s">
        <v>149</v>
      </c>
      <c r="C29" s="27">
        <v>25</v>
      </c>
      <c r="D29" s="28">
        <v>300</v>
      </c>
      <c r="E29" s="29">
        <f t="shared" si="0"/>
        <v>7500</v>
      </c>
      <c r="F29" s="30" t="s">
        <v>25</v>
      </c>
      <c r="G29" s="30"/>
      <c r="H29" s="27"/>
      <c r="I29" s="27">
        <v>25</v>
      </c>
      <c r="J29" s="27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</row>
    <row r="30" spans="1:22" ht="15.75" customHeight="1">
      <c r="A30" s="31"/>
      <c r="B30" s="32" t="s">
        <v>150</v>
      </c>
      <c r="C30" s="22">
        <v>10</v>
      </c>
      <c r="D30" s="23">
        <v>250</v>
      </c>
      <c r="E30" s="24">
        <f t="shared" si="0"/>
        <v>2500</v>
      </c>
      <c r="F30" s="25" t="s">
        <v>25</v>
      </c>
      <c r="G30" s="25"/>
      <c r="H30" s="22"/>
      <c r="I30" s="22">
        <v>10</v>
      </c>
      <c r="J30" s="22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</row>
    <row r="31" spans="1:22" ht="15.75" customHeight="1">
      <c r="A31" s="31"/>
      <c r="B31" s="32" t="s">
        <v>151</v>
      </c>
      <c r="C31" s="22">
        <v>10</v>
      </c>
      <c r="D31" s="23">
        <v>500</v>
      </c>
      <c r="E31" s="24">
        <f t="shared" si="0"/>
        <v>5000</v>
      </c>
      <c r="F31" s="25" t="s">
        <v>25</v>
      </c>
      <c r="G31" s="25"/>
      <c r="H31" s="22"/>
      <c r="I31" s="22">
        <v>10</v>
      </c>
      <c r="J31" s="22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</row>
    <row r="32" spans="1:22" ht="15.75" customHeight="1">
      <c r="A32" s="31"/>
      <c r="B32" s="32" t="s">
        <v>152</v>
      </c>
      <c r="C32" s="22">
        <v>20</v>
      </c>
      <c r="D32" s="23">
        <v>300</v>
      </c>
      <c r="E32" s="24">
        <f t="shared" si="0"/>
        <v>6000</v>
      </c>
      <c r="F32" s="25" t="s">
        <v>25</v>
      </c>
      <c r="G32" s="25"/>
      <c r="H32" s="22"/>
      <c r="I32" s="22">
        <v>20</v>
      </c>
      <c r="J32" s="22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spans="1:22" ht="15.75" customHeight="1">
      <c r="A33" s="31"/>
      <c r="B33" s="32" t="s">
        <v>153</v>
      </c>
      <c r="C33" s="22">
        <v>10</v>
      </c>
      <c r="D33" s="23">
        <v>3500</v>
      </c>
      <c r="E33" s="24">
        <f t="shared" si="0"/>
        <v>35000</v>
      </c>
      <c r="F33" s="25" t="s">
        <v>25</v>
      </c>
      <c r="G33" s="25"/>
      <c r="H33" s="22"/>
      <c r="I33" s="22">
        <v>10</v>
      </c>
      <c r="J33" s="22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spans="1:22" ht="15.75" customHeight="1">
      <c r="A34" s="31"/>
      <c r="B34" s="32" t="s">
        <v>154</v>
      </c>
      <c r="C34" s="22">
        <v>10</v>
      </c>
      <c r="D34" s="23">
        <v>4000</v>
      </c>
      <c r="E34" s="24">
        <f t="shared" si="0"/>
        <v>40000</v>
      </c>
      <c r="F34" s="25" t="s">
        <v>25</v>
      </c>
      <c r="G34" s="25"/>
      <c r="H34" s="22"/>
      <c r="I34" s="22">
        <v>10</v>
      </c>
      <c r="J34" s="22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spans="1:22" ht="15.75" customHeight="1">
      <c r="A35" s="31"/>
      <c r="B35" s="32" t="s">
        <v>155</v>
      </c>
      <c r="C35" s="22">
        <v>10</v>
      </c>
      <c r="D35" s="23">
        <v>4000</v>
      </c>
      <c r="E35" s="24">
        <f t="shared" si="0"/>
        <v>40000</v>
      </c>
      <c r="F35" s="25" t="s">
        <v>25</v>
      </c>
      <c r="G35" s="25"/>
      <c r="H35" s="22"/>
      <c r="I35" s="22">
        <v>10</v>
      </c>
      <c r="J35" s="22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spans="1:22" ht="15.75" customHeight="1">
      <c r="A36" s="31"/>
      <c r="B36" s="32" t="s">
        <v>156</v>
      </c>
      <c r="C36" s="22">
        <v>10</v>
      </c>
      <c r="D36" s="23">
        <v>4000</v>
      </c>
      <c r="E36" s="24">
        <f t="shared" si="0"/>
        <v>40000</v>
      </c>
      <c r="F36" s="25" t="s">
        <v>25</v>
      </c>
      <c r="G36" s="25"/>
      <c r="H36" s="22"/>
      <c r="I36" s="22">
        <v>10</v>
      </c>
      <c r="J36" s="22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spans="1:22" ht="15.75" customHeight="1">
      <c r="A37" s="31"/>
      <c r="B37" s="32" t="s">
        <v>157</v>
      </c>
      <c r="C37" s="22">
        <v>10</v>
      </c>
      <c r="D37" s="23">
        <v>1000</v>
      </c>
      <c r="E37" s="24">
        <f t="shared" si="0"/>
        <v>10000</v>
      </c>
      <c r="F37" s="25" t="s">
        <v>25</v>
      </c>
      <c r="G37" s="25"/>
      <c r="H37" s="22"/>
      <c r="I37" s="22">
        <v>10</v>
      </c>
      <c r="J37" s="22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spans="1:22" ht="15.75" customHeight="1">
      <c r="A38" s="31"/>
      <c r="B38" s="32" t="s">
        <v>158</v>
      </c>
      <c r="C38" s="22">
        <v>10</v>
      </c>
      <c r="D38" s="23">
        <v>1000</v>
      </c>
      <c r="E38" s="24">
        <f t="shared" si="0"/>
        <v>10000</v>
      </c>
      <c r="F38" s="25" t="s">
        <v>25</v>
      </c>
      <c r="G38" s="25"/>
      <c r="H38" s="22"/>
      <c r="I38" s="22">
        <v>10</v>
      </c>
      <c r="J38" s="22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spans="1:22" ht="15.75" customHeight="1">
      <c r="A39" s="31"/>
      <c r="B39" s="32" t="s">
        <v>159</v>
      </c>
      <c r="C39" s="22">
        <v>10</v>
      </c>
      <c r="D39" s="23">
        <v>3200</v>
      </c>
      <c r="E39" s="24">
        <f t="shared" si="0"/>
        <v>32000</v>
      </c>
      <c r="F39" s="25" t="s">
        <v>25</v>
      </c>
      <c r="G39" s="25"/>
      <c r="H39" s="22"/>
      <c r="I39" s="22">
        <v>10</v>
      </c>
      <c r="J39" s="22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spans="1:22" ht="15.75" customHeight="1">
      <c r="A40" s="31"/>
      <c r="B40" s="32" t="s">
        <v>160</v>
      </c>
      <c r="C40" s="22">
        <v>10</v>
      </c>
      <c r="D40" s="23">
        <v>1000</v>
      </c>
      <c r="E40" s="24">
        <f t="shared" si="0"/>
        <v>10000</v>
      </c>
      <c r="F40" s="25" t="s">
        <v>25</v>
      </c>
      <c r="G40" s="25"/>
      <c r="H40" s="22"/>
      <c r="I40" s="22">
        <v>10</v>
      </c>
      <c r="J40" s="22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spans="1:22" ht="15.75" customHeight="1">
      <c r="A41" s="31"/>
      <c r="B41" s="32" t="s">
        <v>161</v>
      </c>
      <c r="C41" s="22">
        <v>10</v>
      </c>
      <c r="D41" s="23">
        <v>1000</v>
      </c>
      <c r="E41" s="24">
        <f t="shared" si="0"/>
        <v>10000</v>
      </c>
      <c r="F41" s="25" t="s">
        <v>25</v>
      </c>
      <c r="G41" s="25"/>
      <c r="H41" s="22"/>
      <c r="I41" s="22">
        <v>10</v>
      </c>
      <c r="J41" s="22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2" ht="15.75" customHeight="1">
      <c r="A42" s="31"/>
      <c r="B42" s="32" t="s">
        <v>162</v>
      </c>
      <c r="C42" s="22">
        <v>10</v>
      </c>
      <c r="D42" s="23">
        <v>3000</v>
      </c>
      <c r="E42" s="24">
        <f t="shared" si="0"/>
        <v>30000</v>
      </c>
      <c r="F42" s="25" t="s">
        <v>25</v>
      </c>
      <c r="G42" s="25"/>
      <c r="H42" s="22"/>
      <c r="I42" s="22">
        <v>10</v>
      </c>
      <c r="J42" s="22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spans="1:22" ht="15.75" customHeight="1">
      <c r="A43" s="31"/>
      <c r="B43" s="32"/>
      <c r="C43" s="22"/>
      <c r="D43" s="23"/>
      <c r="E43" s="24"/>
      <c r="F43" s="25"/>
      <c r="G43" s="25"/>
      <c r="H43" s="25"/>
      <c r="I43" s="25"/>
      <c r="J43" s="22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pans="1:22" ht="15.75" customHeight="1">
      <c r="A44" s="33"/>
      <c r="B44" s="34" t="s">
        <v>23</v>
      </c>
      <c r="C44" s="35"/>
      <c r="D44" s="36"/>
      <c r="E44" s="37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</row>
    <row r="45" spans="1:22" ht="15.75" customHeight="1">
      <c r="A45" s="25"/>
      <c r="B45" s="25" t="s">
        <v>24</v>
      </c>
      <c r="C45" s="22">
        <v>40</v>
      </c>
      <c r="D45" s="24">
        <v>600</v>
      </c>
      <c r="E45" s="24">
        <f t="shared" ref="E45:E68" si="1">D45*C45</f>
        <v>24000</v>
      </c>
      <c r="F45" s="25" t="s">
        <v>25</v>
      </c>
      <c r="G45" s="33"/>
      <c r="H45" s="22">
        <v>20</v>
      </c>
      <c r="I45" s="22">
        <v>20</v>
      </c>
      <c r="J45" s="22">
        <v>20</v>
      </c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</row>
    <row r="46" spans="1:22" ht="15.75" customHeight="1">
      <c r="A46" s="31"/>
      <c r="B46" s="32" t="s">
        <v>163</v>
      </c>
      <c r="C46" s="22">
        <v>50</v>
      </c>
      <c r="D46" s="23">
        <v>75</v>
      </c>
      <c r="E46" s="24">
        <f t="shared" si="1"/>
        <v>3750</v>
      </c>
      <c r="F46" s="25" t="s">
        <v>25</v>
      </c>
      <c r="G46" s="25"/>
      <c r="H46" s="22"/>
      <c r="I46" s="22">
        <v>50</v>
      </c>
      <c r="J46" s="22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spans="1:22" ht="15.75" customHeight="1">
      <c r="A47" s="31"/>
      <c r="B47" s="32" t="s">
        <v>164</v>
      </c>
      <c r="C47" s="22">
        <v>50</v>
      </c>
      <c r="D47" s="23">
        <v>65</v>
      </c>
      <c r="E47" s="24">
        <f t="shared" si="1"/>
        <v>3250</v>
      </c>
      <c r="F47" s="25" t="s">
        <v>25</v>
      </c>
      <c r="G47" s="25"/>
      <c r="H47" s="22"/>
      <c r="I47" s="22">
        <v>50</v>
      </c>
      <c r="J47" s="22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</row>
    <row r="48" spans="1:22" ht="15.75" customHeight="1">
      <c r="A48" s="31"/>
      <c r="B48" s="32" t="s">
        <v>165</v>
      </c>
      <c r="C48" s="22">
        <v>10</v>
      </c>
      <c r="D48" s="23">
        <v>500</v>
      </c>
      <c r="E48" s="24">
        <f t="shared" si="1"/>
        <v>5000</v>
      </c>
      <c r="F48" s="25" t="s">
        <v>25</v>
      </c>
      <c r="G48" s="25"/>
      <c r="H48" s="22"/>
      <c r="I48" s="22">
        <v>10</v>
      </c>
      <c r="J48" s="22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 spans="1:22" ht="15.75" customHeight="1">
      <c r="A49" s="31"/>
      <c r="B49" s="32" t="s">
        <v>26</v>
      </c>
      <c r="C49" s="22">
        <v>10</v>
      </c>
      <c r="D49" s="23">
        <v>100</v>
      </c>
      <c r="E49" s="24">
        <f t="shared" si="1"/>
        <v>1000</v>
      </c>
      <c r="F49" s="25" t="s">
        <v>25</v>
      </c>
      <c r="G49" s="25"/>
      <c r="H49" s="22"/>
      <c r="I49" s="22">
        <v>10</v>
      </c>
      <c r="J49" s="22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</row>
    <row r="50" spans="1:22" ht="15.75" customHeight="1">
      <c r="A50" s="31"/>
      <c r="B50" s="32" t="s">
        <v>27</v>
      </c>
      <c r="C50" s="22">
        <v>50</v>
      </c>
      <c r="D50" s="23">
        <v>80</v>
      </c>
      <c r="E50" s="24">
        <f t="shared" si="1"/>
        <v>4000</v>
      </c>
      <c r="F50" s="25" t="s">
        <v>25</v>
      </c>
      <c r="G50" s="25"/>
      <c r="H50" s="22"/>
      <c r="I50" s="22">
        <v>50</v>
      </c>
      <c r="J50" s="22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</row>
    <row r="51" spans="1:22" ht="15.75" customHeight="1">
      <c r="A51" s="31"/>
      <c r="B51" s="32" t="s">
        <v>28</v>
      </c>
      <c r="C51" s="22">
        <v>10</v>
      </c>
      <c r="D51" s="23">
        <v>300</v>
      </c>
      <c r="E51" s="24">
        <f t="shared" si="1"/>
        <v>3000</v>
      </c>
      <c r="F51" s="25" t="s">
        <v>25</v>
      </c>
      <c r="G51" s="25"/>
      <c r="H51" s="22"/>
      <c r="I51" s="22">
        <v>10</v>
      </c>
      <c r="J51" s="22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</row>
    <row r="52" spans="1:22" ht="15.75" customHeight="1">
      <c r="A52" s="31"/>
      <c r="B52" s="32" t="s">
        <v>29</v>
      </c>
      <c r="C52" s="22">
        <v>50</v>
      </c>
      <c r="D52" s="23">
        <v>100</v>
      </c>
      <c r="E52" s="24">
        <f t="shared" si="1"/>
        <v>5000</v>
      </c>
      <c r="F52" s="25" t="s">
        <v>25</v>
      </c>
      <c r="G52" s="25"/>
      <c r="H52" s="22"/>
      <c r="I52" s="22">
        <v>50</v>
      </c>
      <c r="J52" s="22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 spans="1:22" ht="15.75" customHeight="1">
      <c r="A53" s="31"/>
      <c r="B53" s="32" t="s">
        <v>30</v>
      </c>
      <c r="C53" s="22">
        <v>50</v>
      </c>
      <c r="D53" s="23">
        <v>75</v>
      </c>
      <c r="E53" s="24">
        <f t="shared" si="1"/>
        <v>3750</v>
      </c>
      <c r="F53" s="25" t="s">
        <v>25</v>
      </c>
      <c r="G53" s="25"/>
      <c r="H53" s="22"/>
      <c r="I53" s="22">
        <v>50</v>
      </c>
      <c r="J53" s="22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</row>
    <row r="54" spans="1:22" ht="15.75" customHeight="1">
      <c r="A54" s="31"/>
      <c r="B54" s="32" t="s">
        <v>166</v>
      </c>
      <c r="C54" s="22">
        <v>200</v>
      </c>
      <c r="D54" s="23">
        <v>150</v>
      </c>
      <c r="E54" s="24">
        <f t="shared" si="1"/>
        <v>30000</v>
      </c>
      <c r="F54" s="25" t="s">
        <v>25</v>
      </c>
      <c r="G54" s="25"/>
      <c r="H54" s="22"/>
      <c r="I54" s="22">
        <v>200</v>
      </c>
      <c r="J54" s="22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</row>
    <row r="55" spans="1:22" ht="15.75" customHeight="1">
      <c r="A55" s="31"/>
      <c r="B55" s="32" t="s">
        <v>167</v>
      </c>
      <c r="C55" s="22">
        <v>200</v>
      </c>
      <c r="D55" s="23">
        <v>500</v>
      </c>
      <c r="E55" s="24">
        <f t="shared" si="1"/>
        <v>100000</v>
      </c>
      <c r="F55" s="25"/>
      <c r="G55" s="25"/>
      <c r="H55" s="22"/>
      <c r="I55" s="22">
        <v>200</v>
      </c>
      <c r="J55" s="22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 spans="1:22" ht="15.75" customHeight="1">
      <c r="A56" s="39"/>
      <c r="B56" s="32" t="s">
        <v>168</v>
      </c>
      <c r="C56" s="22">
        <v>200</v>
      </c>
      <c r="D56" s="23">
        <v>500</v>
      </c>
      <c r="E56" s="24">
        <f t="shared" si="1"/>
        <v>100000</v>
      </c>
      <c r="F56" s="25"/>
      <c r="G56" s="25"/>
      <c r="H56" s="22"/>
      <c r="I56" s="22">
        <v>200</v>
      </c>
      <c r="J56" s="22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</row>
    <row r="57" spans="1:22" ht="15.75" customHeight="1">
      <c r="A57" s="20"/>
      <c r="B57" s="32" t="s">
        <v>169</v>
      </c>
      <c r="C57" s="22">
        <v>200</v>
      </c>
      <c r="D57" s="23">
        <v>500</v>
      </c>
      <c r="E57" s="24">
        <f t="shared" si="1"/>
        <v>100000</v>
      </c>
      <c r="F57" s="25"/>
      <c r="G57" s="25"/>
      <c r="H57" s="22"/>
      <c r="I57" s="22">
        <v>200</v>
      </c>
      <c r="J57" s="22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</row>
    <row r="58" spans="1:22" ht="15.75" customHeight="1">
      <c r="A58" s="20"/>
      <c r="B58" s="32" t="s">
        <v>170</v>
      </c>
      <c r="C58" s="22">
        <v>200</v>
      </c>
      <c r="D58" s="23">
        <v>500</v>
      </c>
      <c r="E58" s="24">
        <f t="shared" si="1"/>
        <v>100000</v>
      </c>
      <c r="F58" s="25"/>
      <c r="G58" s="25"/>
      <c r="H58" s="22"/>
      <c r="I58" s="22">
        <v>200</v>
      </c>
      <c r="J58" s="22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</row>
    <row r="59" spans="1:22" ht="15.75" customHeight="1">
      <c r="A59" s="20"/>
      <c r="B59" s="40" t="s">
        <v>31</v>
      </c>
      <c r="C59" s="41">
        <v>10</v>
      </c>
      <c r="D59" s="42">
        <v>500</v>
      </c>
      <c r="E59" s="43">
        <f t="shared" si="1"/>
        <v>5000</v>
      </c>
      <c r="F59" s="25"/>
      <c r="G59" s="25"/>
      <c r="H59" s="41"/>
      <c r="I59" s="41">
        <v>10</v>
      </c>
      <c r="J59" s="41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</row>
    <row r="60" spans="1:22" ht="15.75" customHeight="1">
      <c r="A60" s="20"/>
      <c r="B60" s="40" t="s">
        <v>32</v>
      </c>
      <c r="C60" s="41">
        <v>1000</v>
      </c>
      <c r="D60" s="42">
        <v>4</v>
      </c>
      <c r="E60" s="43">
        <f t="shared" si="1"/>
        <v>4000</v>
      </c>
      <c r="F60" s="25"/>
      <c r="G60" s="25"/>
      <c r="H60" s="41"/>
      <c r="I60" s="41">
        <v>1000</v>
      </c>
      <c r="J60" s="41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</row>
    <row r="61" spans="1:22" ht="15.75" customHeight="1">
      <c r="A61" s="20"/>
      <c r="B61" s="40" t="s">
        <v>33</v>
      </c>
      <c r="C61" s="41">
        <v>4</v>
      </c>
      <c r="D61" s="42">
        <v>2000</v>
      </c>
      <c r="E61" s="43">
        <f t="shared" si="1"/>
        <v>8000</v>
      </c>
      <c r="F61" s="25"/>
      <c r="G61" s="25"/>
      <c r="H61" s="41"/>
      <c r="I61" s="41">
        <v>4</v>
      </c>
      <c r="J61" s="41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</row>
    <row r="62" spans="1:22" ht="15.75" customHeight="1">
      <c r="A62" s="20"/>
      <c r="B62" s="40" t="s">
        <v>34</v>
      </c>
      <c r="C62" s="41">
        <v>1</v>
      </c>
      <c r="D62" s="42">
        <v>300</v>
      </c>
      <c r="E62" s="43">
        <f t="shared" si="1"/>
        <v>300</v>
      </c>
      <c r="F62" s="25"/>
      <c r="G62" s="25"/>
      <c r="H62" s="41"/>
      <c r="I62" s="41">
        <v>1</v>
      </c>
      <c r="J62" s="41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 spans="1:22" ht="15.75" customHeight="1">
      <c r="A63" s="20"/>
      <c r="B63" s="44" t="s">
        <v>35</v>
      </c>
      <c r="C63" s="41">
        <v>4</v>
      </c>
      <c r="D63" s="42">
        <v>800</v>
      </c>
      <c r="E63" s="43">
        <f t="shared" si="1"/>
        <v>3200</v>
      </c>
      <c r="F63" s="25"/>
      <c r="G63" s="25"/>
      <c r="H63" s="41"/>
      <c r="I63" s="41">
        <v>4</v>
      </c>
      <c r="J63" s="41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</row>
    <row r="64" spans="1:22" ht="15.75" customHeight="1">
      <c r="A64" s="20"/>
      <c r="B64" s="44" t="s">
        <v>36</v>
      </c>
      <c r="C64" s="41">
        <v>50</v>
      </c>
      <c r="D64" s="42">
        <v>100</v>
      </c>
      <c r="E64" s="43">
        <f t="shared" si="1"/>
        <v>5000</v>
      </c>
      <c r="F64" s="25"/>
      <c r="G64" s="25"/>
      <c r="H64" s="41"/>
      <c r="I64" s="41">
        <v>50</v>
      </c>
      <c r="J64" s="41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</row>
    <row r="65" spans="1:22" ht="15.75" customHeight="1">
      <c r="A65" s="20"/>
      <c r="B65" s="40" t="s">
        <v>37</v>
      </c>
      <c r="C65" s="41">
        <v>10</v>
      </c>
      <c r="D65" s="42">
        <v>1000</v>
      </c>
      <c r="E65" s="43">
        <f t="shared" si="1"/>
        <v>10000</v>
      </c>
      <c r="F65" s="25"/>
      <c r="G65" s="25"/>
      <c r="H65" s="25"/>
      <c r="I65" s="22">
        <v>10</v>
      </c>
      <c r="J65" s="22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</row>
    <row r="66" spans="1:22" ht="15.75" customHeight="1">
      <c r="A66" s="20"/>
      <c r="B66" s="40" t="s">
        <v>38</v>
      </c>
      <c r="C66" s="41">
        <v>20</v>
      </c>
      <c r="D66" s="42">
        <v>100</v>
      </c>
      <c r="E66" s="43">
        <f t="shared" si="1"/>
        <v>2000</v>
      </c>
      <c r="F66" s="25"/>
      <c r="G66" s="25"/>
      <c r="H66" s="25"/>
      <c r="I66" s="22">
        <v>20</v>
      </c>
      <c r="J66" s="22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7" spans="1:22" ht="15.75" customHeight="1">
      <c r="A67" s="20"/>
      <c r="B67" s="40" t="s">
        <v>39</v>
      </c>
      <c r="C67" s="41">
        <v>2</v>
      </c>
      <c r="D67" s="42">
        <v>300</v>
      </c>
      <c r="E67" s="43">
        <f t="shared" si="1"/>
        <v>600</v>
      </c>
      <c r="F67" s="25"/>
      <c r="G67" s="25"/>
      <c r="H67" s="25"/>
      <c r="I67" s="22">
        <v>2</v>
      </c>
      <c r="J67" s="22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spans="1:22" ht="15.75" customHeight="1">
      <c r="A68" s="20"/>
      <c r="B68" s="40" t="s">
        <v>40</v>
      </c>
      <c r="C68" s="41">
        <v>2</v>
      </c>
      <c r="D68" s="42">
        <v>300</v>
      </c>
      <c r="E68" s="43">
        <f t="shared" si="1"/>
        <v>600</v>
      </c>
      <c r="F68" s="25"/>
      <c r="G68" s="25"/>
      <c r="H68" s="25"/>
      <c r="I68" s="22">
        <v>2</v>
      </c>
      <c r="J68" s="22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</row>
    <row r="69" spans="1:22" ht="15.75" customHeight="1">
      <c r="A69" s="20"/>
      <c r="B69" s="40"/>
      <c r="C69" s="41"/>
      <c r="D69" s="42"/>
      <c r="E69" s="43"/>
      <c r="F69" s="25"/>
      <c r="G69" s="25"/>
      <c r="H69" s="25"/>
      <c r="I69" s="22"/>
      <c r="J69" s="22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</row>
    <row r="70" spans="1:22" ht="15.75" customHeight="1">
      <c r="A70" s="20"/>
      <c r="B70" s="40"/>
      <c r="C70" s="41"/>
      <c r="D70" s="42"/>
      <c r="E70" s="43"/>
      <c r="F70" s="25"/>
      <c r="G70" s="25"/>
      <c r="H70" s="25"/>
      <c r="I70" s="22"/>
      <c r="J70" s="22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</row>
    <row r="71" spans="1:22" ht="15.75" customHeight="1">
      <c r="A71" s="20"/>
      <c r="B71" s="40"/>
      <c r="C71" s="41"/>
      <c r="D71" s="42"/>
      <c r="E71" s="43"/>
      <c r="F71" s="25"/>
      <c r="G71" s="25"/>
      <c r="H71" s="25"/>
      <c r="I71" s="22"/>
      <c r="J71" s="22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</row>
    <row r="72" spans="1:22" ht="15.75" customHeight="1">
      <c r="A72" s="20"/>
      <c r="B72" s="40"/>
      <c r="C72" s="41"/>
      <c r="D72" s="42"/>
      <c r="E72" s="43"/>
      <c r="F72" s="25"/>
      <c r="G72" s="25"/>
      <c r="H72" s="25"/>
      <c r="I72" s="22"/>
      <c r="J72" s="22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</row>
    <row r="73" spans="1:22" ht="15.75" customHeight="1">
      <c r="A73" s="20"/>
      <c r="B73" s="40"/>
      <c r="C73" s="41"/>
      <c r="D73" s="42"/>
      <c r="E73" s="43"/>
      <c r="F73" s="25"/>
      <c r="G73" s="25"/>
      <c r="H73" s="25"/>
      <c r="I73" s="22"/>
      <c r="J73" s="22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</row>
    <row r="74" spans="1:22" ht="15.75" customHeight="1">
      <c r="A74" s="20"/>
      <c r="B74" s="40"/>
      <c r="C74" s="41"/>
      <c r="D74" s="42"/>
      <c r="E74" s="43"/>
      <c r="F74" s="25"/>
      <c r="G74" s="25"/>
      <c r="H74" s="25"/>
      <c r="I74" s="22"/>
      <c r="J74" s="22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</row>
    <row r="75" spans="1:22" ht="15.75" customHeight="1">
      <c r="A75" s="20"/>
      <c r="B75" s="40"/>
      <c r="C75" s="41"/>
      <c r="D75" s="42"/>
      <c r="E75" s="43"/>
      <c r="F75" s="25"/>
      <c r="G75" s="25"/>
      <c r="H75" s="25"/>
      <c r="I75" s="22"/>
      <c r="J75" s="22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 spans="1:22" ht="15.75" customHeight="1">
      <c r="A76" s="20"/>
      <c r="B76" s="51" t="s">
        <v>41</v>
      </c>
      <c r="C76" s="52"/>
      <c r="D76" s="53"/>
      <c r="E76" s="54"/>
      <c r="F76" s="52"/>
      <c r="G76" s="52"/>
      <c r="H76" s="52"/>
      <c r="I76" s="52"/>
      <c r="J76" s="59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</row>
    <row r="77" spans="1:22" ht="15.75" customHeight="1">
      <c r="A77" s="20"/>
      <c r="B77" s="40" t="s">
        <v>171</v>
      </c>
      <c r="C77" s="22">
        <v>405</v>
      </c>
      <c r="D77" s="55">
        <v>615</v>
      </c>
      <c r="E77" s="24">
        <f t="shared" ref="E77:E119" si="2">D77*C77</f>
        <v>249075</v>
      </c>
      <c r="F77" s="25" t="s">
        <v>25</v>
      </c>
      <c r="G77" s="40"/>
      <c r="H77" s="22"/>
      <c r="I77" s="22">
        <v>405</v>
      </c>
      <c r="J77" s="22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52"/>
    </row>
    <row r="78" spans="1:22" ht="15.75" customHeight="1">
      <c r="A78" s="20"/>
      <c r="B78" s="21" t="s">
        <v>172</v>
      </c>
      <c r="C78" s="22">
        <v>100</v>
      </c>
      <c r="D78" s="42">
        <v>200</v>
      </c>
      <c r="E78" s="24">
        <f t="shared" si="2"/>
        <v>20000</v>
      </c>
      <c r="F78" s="25" t="s">
        <v>25</v>
      </c>
      <c r="G78" s="25"/>
      <c r="H78" s="22"/>
      <c r="I78" s="22">
        <v>100</v>
      </c>
      <c r="J78" s="22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 spans="1:22" ht="15.75" customHeight="1">
      <c r="A79" s="20"/>
      <c r="B79" s="40" t="s">
        <v>173</v>
      </c>
      <c r="C79" s="41">
        <v>4000</v>
      </c>
      <c r="D79" s="42">
        <v>150</v>
      </c>
      <c r="E79" s="24">
        <f t="shared" si="2"/>
        <v>600000</v>
      </c>
      <c r="F79" s="25" t="s">
        <v>25</v>
      </c>
      <c r="G79" s="25"/>
      <c r="H79" s="41"/>
      <c r="I79" s="41">
        <v>4000</v>
      </c>
      <c r="J79" s="41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</row>
    <row r="80" spans="1:22" ht="15.75" customHeight="1">
      <c r="A80" s="20"/>
      <c r="B80" s="40" t="s">
        <v>174</v>
      </c>
      <c r="C80" s="41">
        <v>600</v>
      </c>
      <c r="D80" s="42">
        <v>660</v>
      </c>
      <c r="E80" s="24">
        <f t="shared" si="2"/>
        <v>396000</v>
      </c>
      <c r="F80" s="25" t="s">
        <v>25</v>
      </c>
      <c r="G80" s="25"/>
      <c r="H80" s="41"/>
      <c r="I80" s="41">
        <v>600</v>
      </c>
      <c r="J80" s="41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 spans="1:22" ht="15.75" customHeight="1">
      <c r="A81" s="31"/>
      <c r="B81" s="32" t="s">
        <v>175</v>
      </c>
      <c r="C81" s="22">
        <v>1</v>
      </c>
      <c r="D81" s="23">
        <v>8000</v>
      </c>
      <c r="E81" s="24">
        <f t="shared" si="2"/>
        <v>8000</v>
      </c>
      <c r="F81" s="25" t="s">
        <v>25</v>
      </c>
      <c r="G81" s="25"/>
      <c r="H81" s="22"/>
      <c r="I81" s="22">
        <v>1</v>
      </c>
      <c r="J81" s="22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</row>
    <row r="82" spans="1:22" ht="15.75" customHeight="1">
      <c r="A82" s="20"/>
      <c r="B82" s="21" t="s">
        <v>176</v>
      </c>
      <c r="C82" s="41">
        <v>4</v>
      </c>
      <c r="D82" s="42">
        <v>9000</v>
      </c>
      <c r="E82" s="24">
        <f t="shared" si="2"/>
        <v>36000</v>
      </c>
      <c r="F82" s="25" t="s">
        <v>25</v>
      </c>
      <c r="G82" s="25"/>
      <c r="H82" s="41"/>
      <c r="I82" s="41">
        <v>4</v>
      </c>
      <c r="J82" s="41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 spans="1:22" ht="15.75" customHeight="1">
      <c r="A83" s="20"/>
      <c r="B83" s="21" t="s">
        <v>42</v>
      </c>
      <c r="C83" s="41">
        <v>30</v>
      </c>
      <c r="D83" s="42">
        <v>2000</v>
      </c>
      <c r="E83" s="43">
        <f t="shared" si="2"/>
        <v>60000</v>
      </c>
      <c r="F83" s="25" t="s">
        <v>25</v>
      </c>
      <c r="G83" s="25"/>
      <c r="H83" s="41"/>
      <c r="I83" s="41">
        <v>30</v>
      </c>
      <c r="J83" s="41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 spans="1:22" ht="15.75" customHeight="1">
      <c r="A84" s="20"/>
      <c r="B84" s="21" t="s">
        <v>43</v>
      </c>
      <c r="C84" s="41">
        <v>30</v>
      </c>
      <c r="D84" s="42">
        <v>2000</v>
      </c>
      <c r="E84" s="43">
        <f t="shared" si="2"/>
        <v>60000</v>
      </c>
      <c r="F84" s="25" t="s">
        <v>25</v>
      </c>
      <c r="G84" s="25"/>
      <c r="H84" s="41"/>
      <c r="I84" s="41">
        <v>30</v>
      </c>
      <c r="J84" s="41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 spans="1:22" ht="15.75" customHeight="1">
      <c r="A85" s="20"/>
      <c r="B85" s="21" t="s">
        <v>177</v>
      </c>
      <c r="C85" s="41">
        <v>40</v>
      </c>
      <c r="D85" s="42">
        <v>25000</v>
      </c>
      <c r="E85" s="43">
        <f t="shared" si="2"/>
        <v>1000000</v>
      </c>
      <c r="F85" s="25" t="s">
        <v>25</v>
      </c>
      <c r="G85" s="25"/>
      <c r="H85" s="41"/>
      <c r="I85" s="41">
        <v>40</v>
      </c>
      <c r="J85" s="41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</row>
    <row r="86" spans="1:22" ht="15.75" customHeight="1">
      <c r="A86" s="20"/>
      <c r="B86" s="21" t="s">
        <v>44</v>
      </c>
      <c r="C86" s="41">
        <v>2</v>
      </c>
      <c r="D86" s="42">
        <v>500</v>
      </c>
      <c r="E86" s="43">
        <f t="shared" si="2"/>
        <v>1000</v>
      </c>
      <c r="F86" s="25" t="s">
        <v>25</v>
      </c>
      <c r="G86" s="25"/>
      <c r="H86" s="41"/>
      <c r="I86" s="41">
        <v>10</v>
      </c>
      <c r="J86" s="41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 spans="1:22" ht="15.75" customHeight="1">
      <c r="A87" s="20"/>
      <c r="B87" s="21" t="s">
        <v>45</v>
      </c>
      <c r="C87" s="41">
        <v>2</v>
      </c>
      <c r="D87" s="42">
        <v>500</v>
      </c>
      <c r="E87" s="43">
        <f t="shared" si="2"/>
        <v>1000</v>
      </c>
      <c r="F87" s="25" t="s">
        <v>25</v>
      </c>
      <c r="G87" s="25"/>
      <c r="H87" s="41"/>
      <c r="I87" s="41">
        <v>10</v>
      </c>
      <c r="J87" s="41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 spans="1:22" ht="15.75" customHeight="1">
      <c r="A88" s="20"/>
      <c r="B88" s="21" t="s">
        <v>46</v>
      </c>
      <c r="C88" s="41">
        <v>2</v>
      </c>
      <c r="D88" s="42">
        <v>500</v>
      </c>
      <c r="E88" s="43">
        <f t="shared" si="2"/>
        <v>1000</v>
      </c>
      <c r="F88" s="25" t="s">
        <v>25</v>
      </c>
      <c r="G88" s="25"/>
      <c r="H88" s="41"/>
      <c r="I88" s="41">
        <v>10</v>
      </c>
      <c r="J88" s="41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spans="1:22" ht="15.75" customHeight="1">
      <c r="A89" s="20"/>
      <c r="B89" s="21" t="s">
        <v>47</v>
      </c>
      <c r="C89" s="41">
        <v>2</v>
      </c>
      <c r="D89" s="42">
        <v>500</v>
      </c>
      <c r="E89" s="43">
        <f t="shared" si="2"/>
        <v>1000</v>
      </c>
      <c r="F89" s="25" t="s">
        <v>25</v>
      </c>
      <c r="G89" s="25"/>
      <c r="H89" s="41"/>
      <c r="I89" s="41">
        <v>10</v>
      </c>
      <c r="J89" s="41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 spans="1:22" ht="15.75" customHeight="1">
      <c r="A90" s="20"/>
      <c r="B90" s="21" t="s">
        <v>178</v>
      </c>
      <c r="C90" s="41">
        <v>2</v>
      </c>
      <c r="D90" s="42">
        <v>700</v>
      </c>
      <c r="E90" s="43">
        <f t="shared" si="2"/>
        <v>1400</v>
      </c>
      <c r="F90" s="25" t="s">
        <v>25</v>
      </c>
      <c r="G90" s="25"/>
      <c r="H90" s="41"/>
      <c r="I90" s="41">
        <v>2</v>
      </c>
      <c r="J90" s="41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 spans="1:22" ht="15.75" customHeight="1">
      <c r="A91" s="20"/>
      <c r="B91" s="21" t="s">
        <v>49</v>
      </c>
      <c r="C91" s="41">
        <v>2</v>
      </c>
      <c r="D91" s="42">
        <v>700</v>
      </c>
      <c r="E91" s="43">
        <f t="shared" si="2"/>
        <v>1400</v>
      </c>
      <c r="F91" s="25" t="s">
        <v>25</v>
      </c>
      <c r="G91" s="25"/>
      <c r="H91" s="41"/>
      <c r="I91" s="41">
        <v>2</v>
      </c>
      <c r="J91" s="41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 spans="1:22" ht="15.75" customHeight="1">
      <c r="A92" s="20"/>
      <c r="B92" s="21" t="s">
        <v>50</v>
      </c>
      <c r="C92" s="41">
        <v>2</v>
      </c>
      <c r="D92" s="42">
        <v>700</v>
      </c>
      <c r="E92" s="43">
        <f t="shared" si="2"/>
        <v>1400</v>
      </c>
      <c r="F92" s="25" t="s">
        <v>25</v>
      </c>
      <c r="G92" s="25"/>
      <c r="H92" s="41"/>
      <c r="I92" s="41">
        <v>2</v>
      </c>
      <c r="J92" s="41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 spans="1:22" ht="15.75" customHeight="1">
      <c r="A93" s="20"/>
      <c r="B93" s="21" t="s">
        <v>179</v>
      </c>
      <c r="C93" s="41">
        <v>2</v>
      </c>
      <c r="D93" s="42">
        <v>700</v>
      </c>
      <c r="E93" s="43">
        <f t="shared" si="2"/>
        <v>1400</v>
      </c>
      <c r="F93" s="25" t="s">
        <v>25</v>
      </c>
      <c r="G93" s="25"/>
      <c r="H93" s="41"/>
      <c r="I93" s="41">
        <v>2</v>
      </c>
      <c r="J93" s="41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 spans="1:22" ht="15.75" customHeight="1">
      <c r="A94" s="20"/>
      <c r="B94" s="21" t="s">
        <v>180</v>
      </c>
      <c r="C94" s="41">
        <v>2</v>
      </c>
      <c r="D94" s="42">
        <v>700</v>
      </c>
      <c r="E94" s="43">
        <f t="shared" si="2"/>
        <v>1400</v>
      </c>
      <c r="F94" s="25" t="s">
        <v>25</v>
      </c>
      <c r="G94" s="25"/>
      <c r="H94" s="41"/>
      <c r="I94" s="41">
        <v>2</v>
      </c>
      <c r="J94" s="41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</row>
    <row r="95" spans="1:22" ht="15.75" customHeight="1">
      <c r="A95" s="20"/>
      <c r="B95" s="21" t="s">
        <v>55</v>
      </c>
      <c r="C95" s="41">
        <v>2</v>
      </c>
      <c r="D95" s="42">
        <v>700</v>
      </c>
      <c r="E95" s="43">
        <f t="shared" si="2"/>
        <v>1400</v>
      </c>
      <c r="F95" s="25" t="s">
        <v>25</v>
      </c>
      <c r="G95" s="25"/>
      <c r="H95" s="41"/>
      <c r="I95" s="41">
        <v>2</v>
      </c>
      <c r="J95" s="41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 spans="1:22" ht="15.75" customHeight="1">
      <c r="A96" s="20"/>
      <c r="B96" s="21" t="s">
        <v>56</v>
      </c>
      <c r="C96" s="41">
        <v>2</v>
      </c>
      <c r="D96" s="42">
        <v>700</v>
      </c>
      <c r="E96" s="43">
        <f t="shared" si="2"/>
        <v>1400</v>
      </c>
      <c r="F96" s="25" t="s">
        <v>25</v>
      </c>
      <c r="G96" s="25"/>
      <c r="H96" s="41"/>
      <c r="I96" s="41">
        <v>2</v>
      </c>
      <c r="J96" s="41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 spans="1:22" ht="15.75" customHeight="1">
      <c r="A97" s="20"/>
      <c r="B97" s="21" t="s">
        <v>57</v>
      </c>
      <c r="C97" s="41">
        <v>10</v>
      </c>
      <c r="D97" s="42">
        <v>500</v>
      </c>
      <c r="E97" s="43">
        <f t="shared" si="2"/>
        <v>5000</v>
      </c>
      <c r="F97" s="25" t="s">
        <v>25</v>
      </c>
      <c r="G97" s="25"/>
      <c r="H97" s="41"/>
      <c r="I97" s="41">
        <v>10</v>
      </c>
      <c r="J97" s="41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 spans="1:22" ht="15.75" customHeight="1">
      <c r="A98" s="20"/>
      <c r="B98" s="21" t="s">
        <v>58</v>
      </c>
      <c r="C98" s="41">
        <v>13</v>
      </c>
      <c r="D98" s="42">
        <v>900</v>
      </c>
      <c r="E98" s="43">
        <f t="shared" si="2"/>
        <v>11700</v>
      </c>
      <c r="F98" s="25" t="s">
        <v>25</v>
      </c>
      <c r="G98" s="25"/>
      <c r="H98" s="41"/>
      <c r="I98" s="41">
        <v>13</v>
      </c>
      <c r="J98" s="41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 spans="1:22" ht="15.75" customHeight="1">
      <c r="A99" s="20"/>
      <c r="B99" s="32" t="s">
        <v>181</v>
      </c>
      <c r="C99" s="41">
        <v>2</v>
      </c>
      <c r="D99" s="42">
        <v>5000</v>
      </c>
      <c r="E99" s="43">
        <f t="shared" si="2"/>
        <v>10000</v>
      </c>
      <c r="F99" s="25" t="s">
        <v>25</v>
      </c>
      <c r="G99" s="25"/>
      <c r="H99" s="41"/>
      <c r="I99" s="41">
        <v>2</v>
      </c>
      <c r="J99" s="41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</row>
    <row r="100" spans="1:22" ht="15.75" customHeight="1">
      <c r="A100" s="20"/>
      <c r="B100" s="25" t="s">
        <v>60</v>
      </c>
      <c r="C100" s="41">
        <v>60</v>
      </c>
      <c r="D100" s="42">
        <v>500</v>
      </c>
      <c r="E100" s="43">
        <f t="shared" si="2"/>
        <v>30000</v>
      </c>
      <c r="F100" s="25" t="s">
        <v>25</v>
      </c>
      <c r="G100" s="25"/>
      <c r="H100" s="41"/>
      <c r="I100" s="41">
        <v>60</v>
      </c>
      <c r="J100" s="41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  <row r="101" spans="1:22" ht="15.75" customHeight="1">
      <c r="A101" s="20"/>
      <c r="B101" s="25" t="s">
        <v>62</v>
      </c>
      <c r="C101" s="41">
        <v>20</v>
      </c>
      <c r="D101" s="42">
        <v>400</v>
      </c>
      <c r="E101" s="43">
        <f t="shared" si="2"/>
        <v>8000</v>
      </c>
      <c r="F101" s="25" t="s">
        <v>25</v>
      </c>
      <c r="G101" s="25"/>
      <c r="H101" s="41"/>
      <c r="I101" s="41">
        <v>20</v>
      </c>
      <c r="J101" s="41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</row>
    <row r="102" spans="1:22" ht="15.75" customHeight="1">
      <c r="A102" s="20"/>
      <c r="B102" s="25" t="s">
        <v>182</v>
      </c>
      <c r="C102" s="41">
        <v>4</v>
      </c>
      <c r="D102" s="42">
        <v>500</v>
      </c>
      <c r="E102" s="43">
        <f t="shared" si="2"/>
        <v>2000</v>
      </c>
      <c r="F102" s="25" t="s">
        <v>25</v>
      </c>
      <c r="G102" s="25"/>
      <c r="H102" s="41"/>
      <c r="I102" s="41">
        <v>4</v>
      </c>
      <c r="J102" s="41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 spans="1:22" ht="15.75" customHeight="1">
      <c r="A103" s="20"/>
      <c r="B103" s="25" t="s">
        <v>63</v>
      </c>
      <c r="C103" s="41">
        <v>4</v>
      </c>
      <c r="D103" s="42">
        <v>500</v>
      </c>
      <c r="E103" s="43">
        <f t="shared" si="2"/>
        <v>2000</v>
      </c>
      <c r="F103" s="25" t="s">
        <v>25</v>
      </c>
      <c r="G103" s="25"/>
      <c r="H103" s="41"/>
      <c r="I103" s="41">
        <v>4</v>
      </c>
      <c r="J103" s="41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</row>
    <row r="104" spans="1:22" ht="15.75" customHeight="1">
      <c r="A104" s="20"/>
      <c r="B104" s="25" t="s">
        <v>65</v>
      </c>
      <c r="C104" s="41">
        <v>100</v>
      </c>
      <c r="D104" s="42">
        <v>200</v>
      </c>
      <c r="E104" s="43">
        <f t="shared" si="2"/>
        <v>20000</v>
      </c>
      <c r="F104" s="25" t="s">
        <v>25</v>
      </c>
      <c r="G104" s="25"/>
      <c r="H104" s="41"/>
      <c r="I104" s="41">
        <v>100</v>
      </c>
      <c r="J104" s="41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</row>
    <row r="105" spans="1:22" ht="15.75" customHeight="1">
      <c r="A105" s="20"/>
      <c r="B105" s="25" t="s">
        <v>66</v>
      </c>
      <c r="C105" s="41">
        <v>100</v>
      </c>
      <c r="D105" s="42">
        <v>1000</v>
      </c>
      <c r="E105" s="43">
        <f t="shared" si="2"/>
        <v>100000</v>
      </c>
      <c r="F105" s="25" t="s">
        <v>25</v>
      </c>
      <c r="G105" s="25"/>
      <c r="H105" s="41"/>
      <c r="I105" s="41">
        <v>100</v>
      </c>
      <c r="J105" s="41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</row>
    <row r="106" spans="1:22" ht="15.75" customHeight="1">
      <c r="A106" s="20"/>
      <c r="B106" s="25" t="s">
        <v>183</v>
      </c>
      <c r="C106" s="41">
        <v>3</v>
      </c>
      <c r="D106" s="42">
        <v>500</v>
      </c>
      <c r="E106" s="43">
        <f t="shared" si="2"/>
        <v>1500</v>
      </c>
      <c r="F106" s="25" t="s">
        <v>25</v>
      </c>
      <c r="G106" s="25"/>
      <c r="H106" s="41"/>
      <c r="I106" s="41">
        <v>3</v>
      </c>
      <c r="J106" s="41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</row>
    <row r="107" spans="1:22" ht="15.75" customHeight="1">
      <c r="A107" s="20"/>
      <c r="B107" s="25" t="s">
        <v>184</v>
      </c>
      <c r="C107" s="41">
        <v>100</v>
      </c>
      <c r="D107" s="42">
        <v>100</v>
      </c>
      <c r="E107" s="43">
        <f t="shared" si="2"/>
        <v>10000</v>
      </c>
      <c r="F107" s="25" t="s">
        <v>25</v>
      </c>
      <c r="G107" s="25"/>
      <c r="H107" s="41"/>
      <c r="I107" s="41">
        <v>100</v>
      </c>
      <c r="J107" s="41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</row>
    <row r="108" spans="1:22" ht="15.75" customHeight="1">
      <c r="A108" s="20"/>
      <c r="B108" s="25" t="s">
        <v>185</v>
      </c>
      <c r="C108" s="41">
        <v>10</v>
      </c>
      <c r="D108" s="42">
        <v>35000</v>
      </c>
      <c r="E108" s="43">
        <f t="shared" si="2"/>
        <v>350000</v>
      </c>
      <c r="F108" s="25" t="s">
        <v>25</v>
      </c>
      <c r="G108" s="25"/>
      <c r="H108" s="41"/>
      <c r="I108" s="41">
        <v>10</v>
      </c>
      <c r="J108" s="41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</row>
    <row r="109" spans="1:22" ht="15.75" customHeight="1">
      <c r="A109" s="20"/>
      <c r="B109" s="25" t="s">
        <v>67</v>
      </c>
      <c r="C109" s="41">
        <v>100</v>
      </c>
      <c r="D109" s="42">
        <v>4500</v>
      </c>
      <c r="E109" s="43">
        <f t="shared" si="2"/>
        <v>450000</v>
      </c>
      <c r="F109" s="25" t="s">
        <v>25</v>
      </c>
      <c r="G109" s="25"/>
      <c r="H109" s="41"/>
      <c r="I109" s="41">
        <v>100</v>
      </c>
      <c r="J109" s="41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</row>
    <row r="110" spans="1:22" ht="15.75" customHeight="1">
      <c r="A110" s="20"/>
      <c r="B110" s="25" t="s">
        <v>68</v>
      </c>
      <c r="C110" s="41">
        <v>20</v>
      </c>
      <c r="D110" s="42">
        <v>10000</v>
      </c>
      <c r="E110" s="43">
        <f t="shared" si="2"/>
        <v>200000</v>
      </c>
      <c r="F110" s="25" t="s">
        <v>25</v>
      </c>
      <c r="G110" s="25"/>
      <c r="H110" s="41"/>
      <c r="I110" s="41">
        <v>20</v>
      </c>
      <c r="J110" s="41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</row>
    <row r="111" spans="1:22" ht="15.75" customHeight="1">
      <c r="A111" s="20"/>
      <c r="B111" s="25" t="s">
        <v>186</v>
      </c>
      <c r="C111" s="41">
        <v>40</v>
      </c>
      <c r="D111" s="42">
        <v>3500</v>
      </c>
      <c r="E111" s="43">
        <f t="shared" si="2"/>
        <v>140000</v>
      </c>
      <c r="F111" s="25" t="s">
        <v>25</v>
      </c>
      <c r="G111" s="25"/>
      <c r="H111" s="41"/>
      <c r="I111" s="41">
        <v>40</v>
      </c>
      <c r="J111" s="41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</row>
    <row r="112" spans="1:22" ht="15.75" customHeight="1">
      <c r="A112" s="20"/>
      <c r="B112" s="25" t="s">
        <v>69</v>
      </c>
      <c r="C112" s="41">
        <v>20</v>
      </c>
      <c r="D112" s="42">
        <v>500</v>
      </c>
      <c r="E112" s="43">
        <f t="shared" si="2"/>
        <v>10000</v>
      </c>
      <c r="F112" s="25" t="s">
        <v>25</v>
      </c>
      <c r="G112" s="25"/>
      <c r="H112" s="41"/>
      <c r="I112" s="41">
        <v>20</v>
      </c>
      <c r="J112" s="41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</row>
    <row r="113" spans="1:26" ht="15.75" customHeight="1">
      <c r="A113" s="20"/>
      <c r="B113" s="25" t="s">
        <v>70</v>
      </c>
      <c r="C113" s="41">
        <v>20</v>
      </c>
      <c r="D113" s="42">
        <v>500</v>
      </c>
      <c r="E113" s="43">
        <f t="shared" si="2"/>
        <v>10000</v>
      </c>
      <c r="F113" s="25" t="s">
        <v>25</v>
      </c>
      <c r="G113" s="25"/>
      <c r="H113" s="41"/>
      <c r="I113" s="41">
        <v>20</v>
      </c>
      <c r="J113" s="41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</row>
    <row r="114" spans="1:26" ht="15.75" customHeight="1">
      <c r="A114" s="20"/>
      <c r="B114" s="25" t="s">
        <v>71</v>
      </c>
      <c r="C114" s="41">
        <v>10</v>
      </c>
      <c r="D114" s="42">
        <v>300</v>
      </c>
      <c r="E114" s="43">
        <f t="shared" si="2"/>
        <v>3000</v>
      </c>
      <c r="F114" s="25" t="s">
        <v>25</v>
      </c>
      <c r="G114" s="25"/>
      <c r="H114" s="41"/>
      <c r="I114" s="41">
        <v>10</v>
      </c>
      <c r="J114" s="41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</row>
    <row r="115" spans="1:26" ht="15.75" customHeight="1">
      <c r="A115" s="20"/>
      <c r="B115" s="25" t="s">
        <v>187</v>
      </c>
      <c r="C115" s="41">
        <v>20</v>
      </c>
      <c r="D115" s="42">
        <v>150</v>
      </c>
      <c r="E115" s="43">
        <f t="shared" si="2"/>
        <v>3000</v>
      </c>
      <c r="F115" s="25" t="s">
        <v>25</v>
      </c>
      <c r="G115" s="25"/>
      <c r="H115" s="41"/>
      <c r="I115" s="41">
        <v>20</v>
      </c>
      <c r="J115" s="41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</row>
    <row r="116" spans="1:26" ht="15.75" customHeight="1">
      <c r="A116" s="20"/>
      <c r="B116" s="32" t="s">
        <v>72</v>
      </c>
      <c r="C116" s="41">
        <v>500</v>
      </c>
      <c r="D116" s="42">
        <v>10</v>
      </c>
      <c r="E116" s="43">
        <f t="shared" si="2"/>
        <v>5000</v>
      </c>
      <c r="F116" s="25" t="s">
        <v>25</v>
      </c>
      <c r="G116" s="25"/>
      <c r="H116" s="41"/>
      <c r="I116" s="41">
        <v>500</v>
      </c>
      <c r="J116" s="41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</row>
    <row r="117" spans="1:26" ht="15.75" customHeight="1">
      <c r="A117" s="20"/>
      <c r="B117" s="25" t="s">
        <v>188</v>
      </c>
      <c r="C117" s="41">
        <v>1</v>
      </c>
      <c r="D117" s="42">
        <v>7000</v>
      </c>
      <c r="E117" s="43">
        <f t="shared" si="2"/>
        <v>7000</v>
      </c>
      <c r="F117" s="25" t="s">
        <v>25</v>
      </c>
      <c r="G117" s="25"/>
      <c r="H117" s="41"/>
      <c r="I117" s="41">
        <v>1</v>
      </c>
      <c r="J117" s="41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</row>
    <row r="118" spans="1:26" ht="15.75" customHeight="1">
      <c r="A118" s="20"/>
      <c r="B118" s="25" t="s">
        <v>73</v>
      </c>
      <c r="C118" s="41">
        <v>20</v>
      </c>
      <c r="D118" s="42">
        <v>100</v>
      </c>
      <c r="E118" s="43">
        <f t="shared" si="2"/>
        <v>2000</v>
      </c>
      <c r="F118" s="25" t="s">
        <v>25</v>
      </c>
      <c r="G118" s="25"/>
      <c r="H118" s="41"/>
      <c r="I118" s="41">
        <v>20</v>
      </c>
      <c r="J118" s="41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</row>
    <row r="119" spans="1:26" ht="15.75" customHeight="1">
      <c r="A119" s="20"/>
      <c r="B119" s="25" t="s">
        <v>189</v>
      </c>
      <c r="C119" s="41">
        <v>5</v>
      </c>
      <c r="D119" s="42">
        <v>1500</v>
      </c>
      <c r="E119" s="43">
        <f t="shared" si="2"/>
        <v>7500</v>
      </c>
      <c r="F119" s="25" t="s">
        <v>25</v>
      </c>
      <c r="G119" s="25"/>
      <c r="H119" s="41"/>
      <c r="I119" s="41">
        <v>5</v>
      </c>
      <c r="J119" s="41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</row>
    <row r="120" spans="1:26" ht="15.75" customHeight="1">
      <c r="A120" s="20"/>
      <c r="B120" s="25" t="s">
        <v>74</v>
      </c>
      <c r="C120" s="41">
        <v>20</v>
      </c>
      <c r="D120" s="42">
        <v>400</v>
      </c>
      <c r="E120" s="43">
        <f>C120*D120</f>
        <v>8000</v>
      </c>
      <c r="F120" s="25" t="s">
        <v>25</v>
      </c>
      <c r="G120" s="25"/>
      <c r="H120" s="41"/>
      <c r="I120" s="41">
        <v>20</v>
      </c>
      <c r="J120" s="41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</row>
    <row r="121" spans="1:26" ht="53.25" customHeight="1">
      <c r="A121" s="20"/>
      <c r="B121" s="56" t="s">
        <v>190</v>
      </c>
      <c r="C121" s="41">
        <v>2</v>
      </c>
      <c r="D121" s="42">
        <v>7500</v>
      </c>
      <c r="E121" s="43">
        <f t="shared" ref="E121:E129" si="3">D121*C121</f>
        <v>15000</v>
      </c>
      <c r="F121" s="57" t="s">
        <v>25</v>
      </c>
      <c r="G121" s="57"/>
      <c r="H121" s="41"/>
      <c r="I121" s="41">
        <v>2</v>
      </c>
      <c r="J121" s="41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3"/>
      <c r="X121" s="3"/>
      <c r="Y121" s="3"/>
      <c r="Z121" s="3"/>
    </row>
    <row r="122" spans="1:26" ht="42.75">
      <c r="A122" s="20"/>
      <c r="B122" s="58" t="s">
        <v>191</v>
      </c>
      <c r="C122" s="41">
        <v>3</v>
      </c>
      <c r="D122" s="42">
        <v>1500</v>
      </c>
      <c r="E122" s="43">
        <f t="shared" si="3"/>
        <v>4500</v>
      </c>
      <c r="F122" s="57" t="s">
        <v>25</v>
      </c>
      <c r="G122" s="25"/>
      <c r="H122" s="41"/>
      <c r="I122" s="41">
        <v>3</v>
      </c>
      <c r="J122" s="41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</row>
    <row r="123" spans="1:26">
      <c r="A123" s="20"/>
      <c r="B123" s="25" t="s">
        <v>192</v>
      </c>
      <c r="C123" s="41">
        <v>3</v>
      </c>
      <c r="D123" s="42">
        <v>2000</v>
      </c>
      <c r="E123" s="43">
        <f t="shared" si="3"/>
        <v>6000</v>
      </c>
      <c r="F123" s="25" t="s">
        <v>25</v>
      </c>
      <c r="G123" s="25"/>
      <c r="H123" s="41"/>
      <c r="I123" s="41">
        <v>3</v>
      </c>
      <c r="J123" s="41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</row>
    <row r="124" spans="1:26" ht="15.75" customHeight="1">
      <c r="A124" s="20"/>
      <c r="B124" s="25" t="s">
        <v>77</v>
      </c>
      <c r="C124" s="41">
        <v>10</v>
      </c>
      <c r="D124" s="42">
        <v>100</v>
      </c>
      <c r="E124" s="43">
        <f t="shared" si="3"/>
        <v>1000</v>
      </c>
      <c r="F124" s="25" t="s">
        <v>25</v>
      </c>
      <c r="G124" s="25"/>
      <c r="H124" s="41"/>
      <c r="I124" s="41">
        <v>10</v>
      </c>
      <c r="J124" s="41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</row>
    <row r="125" spans="1:26" ht="28.5">
      <c r="A125" s="20"/>
      <c r="B125" s="58" t="s">
        <v>78</v>
      </c>
      <c r="C125" s="41">
        <v>10</v>
      </c>
      <c r="D125" s="42">
        <v>300</v>
      </c>
      <c r="E125" s="43">
        <f t="shared" si="3"/>
        <v>3000</v>
      </c>
      <c r="F125" s="25" t="s">
        <v>25</v>
      </c>
      <c r="G125" s="25"/>
      <c r="H125" s="41"/>
      <c r="I125" s="41">
        <v>10</v>
      </c>
      <c r="J125" s="41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</row>
    <row r="126" spans="1:26">
      <c r="A126" s="20"/>
      <c r="B126" s="25" t="s">
        <v>79</v>
      </c>
      <c r="C126" s="41">
        <v>5</v>
      </c>
      <c r="D126" s="42">
        <v>500</v>
      </c>
      <c r="E126" s="43">
        <f t="shared" si="3"/>
        <v>2500</v>
      </c>
      <c r="F126" s="25" t="s">
        <v>25</v>
      </c>
      <c r="G126" s="25"/>
      <c r="H126" s="41"/>
      <c r="I126" s="41">
        <v>5</v>
      </c>
      <c r="J126" s="41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</row>
    <row r="127" spans="1:26" ht="15.75" customHeight="1">
      <c r="A127" s="20"/>
      <c r="B127" s="32" t="s">
        <v>80</v>
      </c>
      <c r="C127" s="41">
        <v>10</v>
      </c>
      <c r="D127" s="42">
        <v>100</v>
      </c>
      <c r="E127" s="43">
        <f t="shared" si="3"/>
        <v>1000</v>
      </c>
      <c r="F127" s="25" t="s">
        <v>25</v>
      </c>
      <c r="G127" s="25"/>
      <c r="H127" s="41"/>
      <c r="I127" s="41">
        <v>10</v>
      </c>
      <c r="J127" s="41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</row>
    <row r="128" spans="1:26" ht="15.75" customHeight="1">
      <c r="A128" s="20"/>
      <c r="B128" s="32" t="s">
        <v>81</v>
      </c>
      <c r="C128" s="41">
        <v>30</v>
      </c>
      <c r="D128" s="42">
        <v>80</v>
      </c>
      <c r="E128" s="43">
        <f t="shared" si="3"/>
        <v>2400</v>
      </c>
      <c r="F128" s="25" t="s">
        <v>25</v>
      </c>
      <c r="G128" s="25"/>
      <c r="H128" s="41"/>
      <c r="I128" s="41">
        <v>30</v>
      </c>
      <c r="J128" s="41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</row>
    <row r="129" spans="1:22" ht="15.75" customHeight="1">
      <c r="A129" s="20"/>
      <c r="B129" s="32" t="s">
        <v>82</v>
      </c>
      <c r="C129" s="41">
        <v>20</v>
      </c>
      <c r="D129" s="42">
        <v>100</v>
      </c>
      <c r="E129" s="43">
        <f t="shared" si="3"/>
        <v>2000</v>
      </c>
      <c r="F129" s="25" t="s">
        <v>25</v>
      </c>
      <c r="G129" s="25"/>
      <c r="H129" s="41"/>
      <c r="I129" s="41">
        <v>20</v>
      </c>
      <c r="J129" s="41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</row>
    <row r="130" spans="1:22" ht="15.75" customHeight="1">
      <c r="A130" s="20"/>
      <c r="B130" s="21"/>
      <c r="C130" s="41"/>
      <c r="D130" s="42"/>
      <c r="E130" s="43"/>
      <c r="F130" s="25"/>
      <c r="G130" s="25"/>
      <c r="H130" s="25"/>
      <c r="I130" s="25"/>
      <c r="J130" s="22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</row>
    <row r="131" spans="1:22" ht="15.75" customHeight="1">
      <c r="A131" s="20"/>
      <c r="B131" s="60" t="s">
        <v>89</v>
      </c>
      <c r="C131" s="25"/>
      <c r="D131" s="25"/>
      <c r="E131" s="25"/>
      <c r="F131" s="25"/>
      <c r="G131" s="25"/>
      <c r="H131" s="25"/>
      <c r="I131" s="25"/>
      <c r="J131" s="22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</row>
    <row r="132" spans="1:22" ht="15.75" customHeight="1">
      <c r="A132" s="20"/>
      <c r="B132" s="21" t="s">
        <v>90</v>
      </c>
      <c r="C132" s="41">
        <v>2</v>
      </c>
      <c r="D132" s="42">
        <v>2500</v>
      </c>
      <c r="E132" s="43">
        <f>D132*C132</f>
        <v>5000</v>
      </c>
      <c r="F132" s="25"/>
      <c r="G132" s="25"/>
      <c r="H132" s="22"/>
      <c r="I132" s="22">
        <v>2</v>
      </c>
      <c r="J132" s="22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</row>
    <row r="133" spans="1:22" ht="15.75" customHeight="1">
      <c r="A133" s="20"/>
      <c r="B133" s="41"/>
      <c r="C133" s="41"/>
      <c r="D133" s="42"/>
      <c r="E133" s="43"/>
      <c r="F133" s="25"/>
      <c r="G133" s="25"/>
      <c r="H133" s="22"/>
      <c r="I133" s="22"/>
      <c r="J133" s="22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</row>
    <row r="134" spans="1:22" ht="15.75" customHeight="1">
      <c r="A134" s="20"/>
      <c r="B134" s="60" t="s">
        <v>91</v>
      </c>
      <c r="C134" s="41"/>
      <c r="D134" s="42"/>
      <c r="E134" s="43"/>
      <c r="F134" s="25"/>
      <c r="G134" s="25"/>
      <c r="H134" s="22"/>
      <c r="I134" s="22"/>
      <c r="J134" s="22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</row>
    <row r="135" spans="1:22" ht="15.75" customHeight="1">
      <c r="A135" s="20"/>
      <c r="B135" s="21" t="s">
        <v>92</v>
      </c>
      <c r="C135" s="61">
        <v>2</v>
      </c>
      <c r="D135" s="55">
        <v>13000</v>
      </c>
      <c r="E135" s="23">
        <f t="shared" ref="E135:E138" si="4">D135*C135</f>
        <v>26000</v>
      </c>
      <c r="F135" s="25"/>
      <c r="G135" s="25"/>
      <c r="H135" s="22"/>
      <c r="I135" s="22">
        <v>2</v>
      </c>
      <c r="J135" s="22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</row>
    <row r="136" spans="1:22" ht="15.75" customHeight="1">
      <c r="A136" s="20"/>
      <c r="B136" s="40" t="s">
        <v>93</v>
      </c>
      <c r="C136" s="22">
        <v>1</v>
      </c>
      <c r="D136" s="62">
        <v>1550</v>
      </c>
      <c r="E136" s="63">
        <f t="shared" si="4"/>
        <v>1550</v>
      </c>
      <c r="F136" s="64"/>
      <c r="G136" s="25"/>
      <c r="H136" s="22"/>
      <c r="I136" s="22">
        <v>1</v>
      </c>
      <c r="J136" s="22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</row>
    <row r="137" spans="1:22" ht="15.75" customHeight="1">
      <c r="A137" s="20"/>
      <c r="B137" s="21" t="s">
        <v>94</v>
      </c>
      <c r="C137" s="41">
        <v>1</v>
      </c>
      <c r="D137" s="42">
        <v>500</v>
      </c>
      <c r="E137" s="63">
        <f t="shared" si="4"/>
        <v>500</v>
      </c>
      <c r="F137" s="25"/>
      <c r="G137" s="25"/>
      <c r="H137" s="22"/>
      <c r="I137" s="22">
        <v>1</v>
      </c>
      <c r="J137" s="22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</row>
    <row r="138" spans="1:22" ht="15.75" customHeight="1">
      <c r="A138" s="20"/>
      <c r="B138" s="40" t="s">
        <v>193</v>
      </c>
      <c r="C138" s="41">
        <v>1</v>
      </c>
      <c r="D138" s="42">
        <v>120000</v>
      </c>
      <c r="E138" s="43">
        <f t="shared" si="4"/>
        <v>120000</v>
      </c>
      <c r="F138" s="25"/>
      <c r="G138" s="25"/>
      <c r="H138" s="25"/>
      <c r="I138" s="25"/>
      <c r="J138" s="22">
        <v>1</v>
      </c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</row>
    <row r="139" spans="1:22" ht="15.75" customHeight="1">
      <c r="A139" s="20"/>
      <c r="B139" s="40" t="s">
        <v>96</v>
      </c>
      <c r="C139" s="41">
        <v>2</v>
      </c>
      <c r="D139" s="42">
        <v>60000</v>
      </c>
      <c r="E139" s="55">
        <v>60000</v>
      </c>
      <c r="F139" s="25"/>
      <c r="G139" s="25"/>
      <c r="H139" s="25"/>
      <c r="I139" s="25"/>
      <c r="J139" s="22">
        <v>2</v>
      </c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</row>
    <row r="140" spans="1:22" ht="15.75" customHeight="1">
      <c r="A140" s="20"/>
      <c r="B140" s="60" t="s">
        <v>97</v>
      </c>
      <c r="C140" s="41"/>
      <c r="D140" s="42"/>
      <c r="E140" s="65"/>
      <c r="F140" s="25"/>
      <c r="G140" s="25"/>
      <c r="H140" s="25"/>
      <c r="I140" s="22"/>
      <c r="J140" s="41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</row>
    <row r="141" spans="1:22" ht="15.75" customHeight="1">
      <c r="A141" s="20"/>
      <c r="B141" s="40" t="s">
        <v>98</v>
      </c>
      <c r="C141" s="41">
        <v>1</v>
      </c>
      <c r="D141" s="42">
        <v>50000</v>
      </c>
      <c r="E141" s="42">
        <v>50000</v>
      </c>
      <c r="F141" s="25"/>
      <c r="G141" s="25"/>
      <c r="H141" s="25"/>
      <c r="I141" s="22">
        <v>1</v>
      </c>
      <c r="J141" s="41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</row>
    <row r="142" spans="1:22" ht="15.75" customHeight="1">
      <c r="A142" s="20"/>
      <c r="B142" s="60" t="s">
        <v>99</v>
      </c>
      <c r="C142" s="41"/>
      <c r="D142" s="42"/>
      <c r="E142" s="66"/>
      <c r="F142" s="25"/>
      <c r="G142" s="25"/>
      <c r="H142" s="41"/>
      <c r="I142" s="22"/>
      <c r="J142" s="22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</row>
    <row r="143" spans="1:22" ht="15.75" customHeight="1">
      <c r="A143" s="20"/>
      <c r="B143" s="67" t="s">
        <v>100</v>
      </c>
      <c r="C143" s="41">
        <v>1</v>
      </c>
      <c r="D143" s="42">
        <v>50000</v>
      </c>
      <c r="E143" s="43">
        <f>D143*C143</f>
        <v>50000</v>
      </c>
      <c r="F143" s="25" t="s">
        <v>101</v>
      </c>
      <c r="G143" s="25"/>
      <c r="H143" s="41"/>
      <c r="I143" s="22">
        <v>2</v>
      </c>
      <c r="J143" s="22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</row>
    <row r="144" spans="1:22" ht="15.75" customHeight="1">
      <c r="A144" s="20"/>
      <c r="B144" s="40" t="s">
        <v>102</v>
      </c>
      <c r="C144" s="41">
        <v>1</v>
      </c>
      <c r="D144" s="42">
        <v>581300</v>
      </c>
      <c r="E144" s="43">
        <v>581300</v>
      </c>
      <c r="F144" s="25"/>
      <c r="G144" s="25"/>
      <c r="H144" s="27"/>
      <c r="I144" s="25">
        <v>1</v>
      </c>
      <c r="J144" s="41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</row>
    <row r="145" spans="1:22" ht="15.75" customHeight="1">
      <c r="A145" s="20"/>
      <c r="B145" s="40" t="s">
        <v>194</v>
      </c>
      <c r="C145" s="41">
        <v>1</v>
      </c>
      <c r="D145" s="42">
        <v>918700</v>
      </c>
      <c r="E145" s="43">
        <f>D145*C145</f>
        <v>918700</v>
      </c>
      <c r="F145" s="25"/>
      <c r="G145" s="25"/>
      <c r="H145" s="25"/>
      <c r="I145" s="25"/>
      <c r="J145" s="41">
        <v>1</v>
      </c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</row>
    <row r="146" spans="1:22" ht="15.75" customHeight="1">
      <c r="A146" s="20"/>
      <c r="B146" s="60" t="s">
        <v>103</v>
      </c>
      <c r="C146" s="41"/>
      <c r="D146" s="42"/>
      <c r="E146" s="43"/>
      <c r="F146" s="25"/>
      <c r="G146" s="25"/>
      <c r="H146" s="25"/>
      <c r="I146" s="25"/>
      <c r="J146" s="22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</row>
    <row r="147" spans="1:22" ht="15.75" customHeight="1">
      <c r="A147" s="20"/>
      <c r="B147" s="40" t="s">
        <v>104</v>
      </c>
      <c r="C147" s="41">
        <v>1</v>
      </c>
      <c r="D147" s="42">
        <v>135000</v>
      </c>
      <c r="E147" s="43">
        <f>D147*C147</f>
        <v>135000</v>
      </c>
      <c r="F147" s="25"/>
      <c r="G147" s="25"/>
      <c r="H147" s="25"/>
      <c r="I147" s="25"/>
      <c r="J147" s="22">
        <v>1</v>
      </c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</row>
    <row r="148" spans="1:22" ht="15.75" customHeight="1">
      <c r="A148" s="20"/>
      <c r="B148" s="21"/>
      <c r="C148" s="41"/>
      <c r="D148" s="42"/>
      <c r="E148" s="43"/>
      <c r="F148" s="25"/>
      <c r="G148" s="25"/>
      <c r="H148" s="25"/>
      <c r="I148" s="25"/>
      <c r="J148" s="22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</row>
    <row r="149" spans="1:22" ht="15.75" customHeight="1">
      <c r="A149" s="20"/>
      <c r="B149" s="21"/>
      <c r="C149" s="41"/>
      <c r="D149" s="42"/>
      <c r="E149" s="43"/>
      <c r="F149" s="25"/>
      <c r="G149" s="25"/>
      <c r="H149" s="25"/>
      <c r="I149" s="25"/>
      <c r="J149" s="22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</row>
    <row r="150" spans="1:22" ht="15.75" hidden="1" customHeight="1">
      <c r="A150" s="20"/>
      <c r="B150" s="21"/>
      <c r="C150" s="41"/>
      <c r="D150" s="42"/>
      <c r="E150" s="43"/>
      <c r="F150" s="25"/>
      <c r="G150" s="25"/>
      <c r="H150" s="25"/>
      <c r="I150" s="25"/>
      <c r="J150" s="22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</row>
    <row r="151" spans="1:22" ht="15.75" hidden="1" customHeight="1">
      <c r="A151" s="20"/>
      <c r="B151" s="21"/>
      <c r="C151" s="41"/>
      <c r="D151" s="42"/>
      <c r="E151" s="43"/>
      <c r="F151" s="25"/>
      <c r="G151" s="25"/>
      <c r="H151" s="25"/>
      <c r="I151" s="25"/>
      <c r="J151" s="22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</row>
    <row r="152" spans="1:22" ht="15.75" hidden="1" customHeight="1">
      <c r="A152" s="20"/>
      <c r="B152" s="21"/>
      <c r="C152" s="41"/>
      <c r="D152" s="42"/>
      <c r="E152" s="43"/>
      <c r="F152" s="25"/>
      <c r="G152" s="25"/>
      <c r="H152" s="25"/>
      <c r="I152" s="25"/>
      <c r="J152" s="22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</row>
    <row r="153" spans="1:22" ht="15.75" hidden="1" customHeight="1">
      <c r="A153" s="20"/>
      <c r="B153" s="21"/>
      <c r="C153" s="41"/>
      <c r="D153" s="42"/>
      <c r="E153" s="43"/>
      <c r="F153" s="25"/>
      <c r="G153" s="25"/>
      <c r="H153" s="25"/>
      <c r="I153" s="25"/>
      <c r="J153" s="22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</row>
    <row r="154" spans="1:22" ht="15.75" hidden="1" customHeight="1">
      <c r="A154" s="20"/>
      <c r="B154" s="21"/>
      <c r="C154" s="41"/>
      <c r="D154" s="42"/>
      <c r="E154" s="43"/>
      <c r="F154" s="25"/>
      <c r="G154" s="25"/>
      <c r="H154" s="25"/>
      <c r="I154" s="25"/>
      <c r="J154" s="22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</row>
    <row r="155" spans="1:22" ht="15.75" hidden="1" customHeight="1">
      <c r="A155" s="20"/>
      <c r="B155" s="21"/>
      <c r="C155" s="41"/>
      <c r="D155" s="42"/>
      <c r="E155" s="43"/>
      <c r="F155" s="25"/>
      <c r="G155" s="25"/>
      <c r="H155" s="25"/>
      <c r="I155" s="25"/>
      <c r="J155" s="22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</row>
    <row r="156" spans="1:22" ht="15.75" hidden="1" customHeight="1">
      <c r="A156" s="68"/>
      <c r="B156" s="32"/>
      <c r="C156" s="61"/>
      <c r="D156" s="55"/>
      <c r="E156" s="66"/>
      <c r="F156" s="25"/>
      <c r="G156" s="25"/>
      <c r="H156" s="25"/>
      <c r="I156" s="25"/>
      <c r="J156" s="22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</row>
    <row r="157" spans="1:22" ht="15.75" hidden="1" customHeight="1">
      <c r="A157" s="20"/>
      <c r="B157" s="51" t="s">
        <v>105</v>
      </c>
      <c r="C157" s="52"/>
      <c r="D157" s="53"/>
      <c r="E157" s="54"/>
      <c r="F157" s="52"/>
      <c r="G157" s="52"/>
      <c r="H157" s="52"/>
      <c r="I157" s="52"/>
      <c r="J157" s="59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</row>
    <row r="158" spans="1:22" ht="15.75" hidden="1" customHeight="1">
      <c r="A158" s="20"/>
      <c r="B158" s="21"/>
      <c r="C158" s="41"/>
      <c r="D158" s="42"/>
      <c r="E158" s="43"/>
      <c r="F158" s="25"/>
      <c r="G158" s="25"/>
      <c r="H158" s="25"/>
      <c r="I158" s="25"/>
      <c r="J158" s="22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</row>
    <row r="159" spans="1:22" ht="15.75" hidden="1" customHeight="1">
      <c r="A159" s="20"/>
      <c r="B159" s="21"/>
      <c r="C159" s="41"/>
      <c r="D159" s="42"/>
      <c r="E159" s="43"/>
      <c r="F159" s="25"/>
      <c r="G159" s="25"/>
      <c r="H159" s="25"/>
      <c r="I159" s="25"/>
      <c r="J159" s="22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</row>
    <row r="160" spans="1:22" ht="15.75" hidden="1" customHeight="1">
      <c r="A160" s="20"/>
      <c r="B160" s="21"/>
      <c r="C160" s="41"/>
      <c r="D160" s="42"/>
      <c r="E160" s="43"/>
      <c r="F160" s="25"/>
      <c r="G160" s="25"/>
      <c r="H160" s="25"/>
      <c r="I160" s="25"/>
      <c r="J160" s="22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</row>
    <row r="161" spans="1:22" ht="15.75" hidden="1" customHeight="1">
      <c r="A161" s="20"/>
      <c r="B161" s="21"/>
      <c r="C161" s="41"/>
      <c r="D161" s="42"/>
      <c r="E161" s="43"/>
      <c r="F161" s="25"/>
      <c r="G161" s="25"/>
      <c r="H161" s="25"/>
      <c r="I161" s="25"/>
      <c r="J161" s="22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</row>
    <row r="162" spans="1:22" ht="15.75" hidden="1" customHeight="1">
      <c r="A162" s="20"/>
      <c r="B162" s="51" t="s">
        <v>106</v>
      </c>
      <c r="C162" s="52"/>
      <c r="D162" s="53"/>
      <c r="E162" s="54"/>
      <c r="F162" s="52"/>
      <c r="G162" s="52"/>
      <c r="H162" s="52"/>
      <c r="I162" s="52"/>
      <c r="J162" s="59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</row>
    <row r="163" spans="1:22" ht="15.75" hidden="1" customHeight="1">
      <c r="A163" s="20"/>
      <c r="B163" s="21"/>
      <c r="C163" s="41"/>
      <c r="D163" s="42"/>
      <c r="E163" s="43"/>
      <c r="F163" s="25"/>
      <c r="G163" s="25"/>
      <c r="H163" s="25"/>
      <c r="I163" s="25"/>
      <c r="J163" s="22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</row>
    <row r="164" spans="1:22" ht="15.75" hidden="1" customHeight="1">
      <c r="A164" s="20"/>
      <c r="B164" s="21"/>
      <c r="C164" s="41"/>
      <c r="D164" s="42"/>
      <c r="E164" s="43"/>
      <c r="F164" s="25"/>
      <c r="G164" s="25"/>
      <c r="H164" s="25"/>
      <c r="I164" s="25"/>
      <c r="J164" s="22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</row>
    <row r="165" spans="1:22" ht="15.75" hidden="1" customHeight="1">
      <c r="A165" s="20"/>
      <c r="B165" s="21"/>
      <c r="C165" s="41"/>
      <c r="D165" s="42"/>
      <c r="E165" s="43"/>
      <c r="F165" s="25"/>
      <c r="G165" s="25"/>
      <c r="H165" s="25"/>
      <c r="I165" s="25"/>
      <c r="J165" s="22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</row>
    <row r="166" spans="1:22" ht="15.75" customHeight="1">
      <c r="A166" s="68"/>
      <c r="B166" s="108" t="s">
        <v>107</v>
      </c>
      <c r="C166" s="109"/>
      <c r="D166" s="109"/>
      <c r="E166" s="109"/>
      <c r="F166" s="109"/>
      <c r="G166" s="109"/>
      <c r="H166" s="109"/>
      <c r="I166" s="110"/>
      <c r="J166" s="22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</row>
    <row r="167" spans="1:22" ht="15.75" customHeight="1">
      <c r="A167" s="69"/>
      <c r="B167" s="70"/>
      <c r="C167" s="7"/>
      <c r="D167" s="8"/>
      <c r="E167" s="71"/>
      <c r="F167" s="10"/>
      <c r="G167" s="10"/>
      <c r="H167" s="7"/>
      <c r="I167" s="7"/>
      <c r="J167" s="1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 ht="15.75" customHeight="1">
      <c r="A168" s="72" t="s">
        <v>108</v>
      </c>
      <c r="B168" s="3"/>
      <c r="C168" s="111">
        <f>SUM(E10:E149)</f>
        <v>6663575</v>
      </c>
      <c r="D168" s="102"/>
      <c r="E168" s="102"/>
      <c r="F168" s="10"/>
      <c r="G168" s="10"/>
      <c r="H168" s="7"/>
      <c r="I168" s="7"/>
      <c r="J168" s="1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 ht="15.75" hidden="1" customHeight="1">
      <c r="A169" s="73" t="s">
        <v>109</v>
      </c>
      <c r="B169" s="74"/>
      <c r="C169" s="112">
        <f>PRODUCT(C168,0.1)</f>
        <v>666357.5</v>
      </c>
      <c r="D169" s="113"/>
      <c r="E169" s="114"/>
      <c r="F169" s="10"/>
      <c r="G169" s="10"/>
      <c r="H169" s="115"/>
      <c r="I169" s="102"/>
      <c r="J169" s="115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75"/>
      <c r="V169" s="7"/>
    </row>
    <row r="170" spans="1:22" ht="15.75" hidden="1" customHeight="1">
      <c r="A170" s="76" t="s">
        <v>110</v>
      </c>
      <c r="B170" s="57"/>
      <c r="C170" s="116">
        <f>PRODUCT(C168,0.1)</f>
        <v>666357.5</v>
      </c>
      <c r="D170" s="109"/>
      <c r="E170" s="110"/>
      <c r="F170" s="10"/>
      <c r="G170" s="10"/>
      <c r="H170" s="77"/>
      <c r="I170" s="77"/>
      <c r="J170" s="117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91"/>
      <c r="V170" s="7"/>
    </row>
    <row r="171" spans="1:22" ht="15.75" hidden="1" customHeight="1">
      <c r="A171" s="76" t="s">
        <v>111</v>
      </c>
      <c r="B171" s="57"/>
      <c r="C171" s="116">
        <f>SUM(C168:E170)</f>
        <v>7996290</v>
      </c>
      <c r="D171" s="109"/>
      <c r="E171" s="110"/>
      <c r="F171" s="10"/>
      <c r="G171" s="10"/>
      <c r="H171" s="77"/>
      <c r="I171" s="77"/>
      <c r="J171" s="117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91"/>
      <c r="V171" s="7"/>
    </row>
    <row r="172" spans="1:22" ht="15.75" customHeight="1">
      <c r="A172" s="78"/>
      <c r="B172" s="3"/>
      <c r="C172" s="7"/>
      <c r="D172" s="8"/>
      <c r="E172" s="9"/>
      <c r="F172" s="10"/>
      <c r="G172" s="10"/>
      <c r="H172" s="77"/>
      <c r="I172" s="77"/>
      <c r="J172" s="117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91"/>
      <c r="V172" s="7"/>
    </row>
    <row r="173" spans="1:22" ht="15.75" customHeight="1">
      <c r="A173" s="79" t="s">
        <v>112</v>
      </c>
      <c r="B173" s="3"/>
      <c r="C173" s="7"/>
      <c r="D173" s="8"/>
      <c r="E173" s="9"/>
      <c r="F173" s="10"/>
      <c r="G173" s="10"/>
      <c r="H173" s="7"/>
      <c r="I173" s="7"/>
      <c r="J173" s="1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 ht="15.75" customHeight="1">
      <c r="A174" s="80"/>
      <c r="B174" s="3"/>
      <c r="C174" s="7"/>
      <c r="D174" s="8"/>
      <c r="E174" s="9"/>
      <c r="F174" s="10"/>
      <c r="G174" s="10"/>
      <c r="H174" s="7"/>
      <c r="I174" s="7"/>
      <c r="J174" s="1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 ht="15.75" customHeight="1">
      <c r="A175" s="81" t="s">
        <v>113</v>
      </c>
      <c r="B175" s="70"/>
      <c r="C175" s="119" t="s">
        <v>114</v>
      </c>
      <c r="D175" s="102"/>
      <c r="E175" s="102"/>
      <c r="F175" s="77"/>
      <c r="G175" s="77"/>
      <c r="H175" s="7"/>
      <c r="I175" s="119" t="s">
        <v>115</v>
      </c>
      <c r="J175" s="102"/>
      <c r="K175" s="102"/>
      <c r="L175" s="102"/>
      <c r="M175" s="102"/>
      <c r="N175" s="102"/>
      <c r="O175" s="7"/>
      <c r="P175" s="7"/>
      <c r="Q175" s="119" t="s">
        <v>116</v>
      </c>
      <c r="R175" s="102"/>
      <c r="S175" s="102"/>
      <c r="T175" s="102"/>
      <c r="U175" s="7"/>
      <c r="V175" s="7"/>
    </row>
    <row r="176" spans="1:22" ht="15.75" customHeight="1">
      <c r="A176" s="81"/>
      <c r="B176" s="70"/>
      <c r="C176" s="82"/>
      <c r="D176" s="83"/>
      <c r="E176" s="84"/>
      <c r="F176" s="77"/>
      <c r="G176" s="77"/>
      <c r="H176" s="7"/>
      <c r="I176" s="82"/>
      <c r="J176" s="9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</row>
    <row r="177" spans="1:22" ht="15.75" customHeight="1">
      <c r="A177" s="70"/>
      <c r="B177" s="70"/>
      <c r="C177" s="77"/>
      <c r="D177" s="85"/>
      <c r="E177" s="86"/>
      <c r="F177" s="77"/>
      <c r="G177" s="77"/>
      <c r="H177" s="7"/>
      <c r="I177" s="77"/>
      <c r="J177" s="93"/>
      <c r="K177" s="94"/>
      <c r="L177" s="94"/>
      <c r="M177" s="94"/>
      <c r="N177" s="94"/>
      <c r="O177" s="94"/>
      <c r="P177" s="94"/>
      <c r="Q177" s="77"/>
      <c r="R177" s="94"/>
      <c r="S177" s="77"/>
      <c r="T177" s="77"/>
      <c r="U177" s="77"/>
      <c r="V177" s="77"/>
    </row>
    <row r="178" spans="1:22" ht="15.75" customHeight="1">
      <c r="A178" s="129" t="s">
        <v>117</v>
      </c>
      <c r="B178" s="102"/>
      <c r="C178" s="130" t="s">
        <v>118</v>
      </c>
      <c r="D178" s="102"/>
      <c r="E178" s="102"/>
      <c r="F178" s="102"/>
      <c r="G178" s="7"/>
      <c r="H178" s="7"/>
      <c r="I178" s="130" t="s">
        <v>119</v>
      </c>
      <c r="J178" s="102"/>
      <c r="K178" s="102"/>
      <c r="L178" s="102"/>
      <c r="M178" s="102"/>
      <c r="N178" s="102"/>
      <c r="O178" s="7"/>
      <c r="P178" s="7"/>
      <c r="Q178" s="130" t="s">
        <v>120</v>
      </c>
      <c r="R178" s="102"/>
      <c r="S178" s="102"/>
      <c r="T178" s="102"/>
      <c r="U178" s="7"/>
      <c r="V178" s="7"/>
    </row>
    <row r="179" spans="1:22" ht="15" customHeight="1">
      <c r="A179" s="131" t="s">
        <v>121</v>
      </c>
      <c r="B179" s="102"/>
      <c r="C179" s="118" t="s">
        <v>122</v>
      </c>
      <c r="D179" s="102"/>
      <c r="E179" s="102"/>
      <c r="F179" s="102"/>
      <c r="G179" s="87"/>
      <c r="H179" s="7"/>
      <c r="I179" s="132" t="s">
        <v>123</v>
      </c>
      <c r="J179" s="102"/>
      <c r="K179" s="102"/>
      <c r="L179" s="102"/>
      <c r="M179" s="102"/>
      <c r="N179" s="102"/>
      <c r="O179" s="7"/>
      <c r="P179" s="7"/>
      <c r="Q179" s="118" t="s">
        <v>124</v>
      </c>
      <c r="R179" s="102"/>
      <c r="S179" s="102"/>
      <c r="T179" s="102"/>
      <c r="U179" s="7"/>
      <c r="V179" s="7"/>
    </row>
    <row r="180" spans="1:22" ht="15.75" customHeight="1">
      <c r="A180" s="7"/>
      <c r="B180" s="7"/>
      <c r="C180" s="7"/>
      <c r="D180" s="8"/>
      <c r="E180" s="9"/>
      <c r="F180" s="7"/>
      <c r="G180" s="7"/>
      <c r="H180" s="7"/>
      <c r="I180" s="7"/>
      <c r="J180" s="1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 ht="15.75" customHeight="1">
      <c r="A181" s="7" t="s">
        <v>125</v>
      </c>
      <c r="B181" s="7"/>
      <c r="C181" s="7" t="s">
        <v>125</v>
      </c>
      <c r="D181" s="8"/>
      <c r="E181" s="9"/>
      <c r="F181" s="7"/>
      <c r="G181" s="7"/>
      <c r="H181" s="7"/>
      <c r="I181" s="7" t="s">
        <v>125</v>
      </c>
      <c r="J181" s="1"/>
      <c r="K181" s="7"/>
      <c r="L181" s="7"/>
      <c r="M181" s="7"/>
      <c r="N181" s="7"/>
      <c r="O181" s="7"/>
      <c r="P181" s="7"/>
      <c r="Q181" s="7" t="s">
        <v>125</v>
      </c>
      <c r="R181" s="7"/>
      <c r="S181" s="7"/>
      <c r="T181" s="7"/>
      <c r="U181" s="7"/>
      <c r="V181" s="7"/>
    </row>
    <row r="182" spans="1:22" ht="15.75" customHeight="1">
      <c r="D182" s="88"/>
      <c r="E182" s="9"/>
      <c r="H182" s="120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</row>
    <row r="183" spans="1:22" ht="15.75" customHeight="1">
      <c r="D183" s="88"/>
      <c r="E183" s="9"/>
      <c r="H183" s="89"/>
      <c r="I183" s="89"/>
      <c r="J183" s="95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</row>
    <row r="184" spans="1:22" ht="15.75" customHeight="1">
      <c r="D184" s="88"/>
      <c r="E184" s="9"/>
      <c r="H184" s="90"/>
      <c r="I184" s="96"/>
      <c r="J184" s="97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</row>
    <row r="185" spans="1:22" ht="15.75" customHeight="1">
      <c r="D185" s="88"/>
      <c r="E185" s="9"/>
      <c r="H185" s="121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</row>
    <row r="186" spans="1:22" ht="15.75" customHeight="1">
      <c r="D186" s="88"/>
      <c r="E186" s="9"/>
      <c r="H186" s="12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</row>
    <row r="187" spans="1:22" ht="15.75" customHeight="1">
      <c r="D187" s="88"/>
      <c r="E187" s="9"/>
      <c r="J187" s="1"/>
    </row>
    <row r="188" spans="1:22" ht="15.75" customHeight="1">
      <c r="D188" s="88"/>
      <c r="E188" s="9"/>
      <c r="J188" s="1"/>
    </row>
    <row r="189" spans="1:22" ht="15.75" customHeight="1">
      <c r="D189" s="88"/>
      <c r="E189" s="9"/>
      <c r="J189" s="1"/>
    </row>
    <row r="190" spans="1:22" ht="15.75" customHeight="1">
      <c r="D190" s="88"/>
      <c r="E190" s="9"/>
      <c r="J190" s="1"/>
    </row>
    <row r="191" spans="1:22" ht="15.75" customHeight="1">
      <c r="D191" s="88"/>
      <c r="E191" s="9"/>
      <c r="J191" s="1"/>
    </row>
    <row r="192" spans="1:22" ht="15.75" customHeight="1">
      <c r="D192" s="88"/>
      <c r="E192" s="9"/>
      <c r="J192" s="1"/>
    </row>
    <row r="193" spans="4:10" ht="15.75" customHeight="1">
      <c r="D193" s="88"/>
      <c r="E193" s="9"/>
      <c r="J193" s="1"/>
    </row>
    <row r="194" spans="4:10" ht="15.75" customHeight="1">
      <c r="D194" s="88"/>
      <c r="E194" s="9"/>
      <c r="J194" s="1"/>
    </row>
    <row r="195" spans="4:10" ht="15.75" customHeight="1">
      <c r="D195" s="88"/>
      <c r="E195" s="9"/>
      <c r="J195" s="1"/>
    </row>
    <row r="196" spans="4:10" ht="15.75" customHeight="1">
      <c r="D196" s="88"/>
      <c r="E196" s="9"/>
      <c r="J196" s="1"/>
    </row>
    <row r="197" spans="4:10" ht="15.75" customHeight="1">
      <c r="D197" s="88"/>
      <c r="E197" s="9"/>
      <c r="J197" s="1"/>
    </row>
    <row r="198" spans="4:10" ht="15.75" customHeight="1">
      <c r="D198" s="88"/>
      <c r="E198" s="9"/>
      <c r="J198" s="1"/>
    </row>
    <row r="199" spans="4:10" ht="15.75" customHeight="1">
      <c r="D199" s="88"/>
      <c r="E199" s="9"/>
      <c r="J199" s="1"/>
    </row>
    <row r="200" spans="4:10" ht="15.75" customHeight="1">
      <c r="D200" s="88"/>
      <c r="E200" s="9"/>
      <c r="J200" s="1"/>
    </row>
    <row r="201" spans="4:10" ht="15.75" customHeight="1">
      <c r="D201" s="88"/>
      <c r="E201" s="9"/>
      <c r="J201" s="1"/>
    </row>
    <row r="202" spans="4:10" ht="15.75" customHeight="1">
      <c r="D202" s="88"/>
      <c r="E202" s="9"/>
      <c r="J202" s="1"/>
    </row>
    <row r="203" spans="4:10" ht="15.75" customHeight="1">
      <c r="D203" s="88"/>
      <c r="E203" s="9"/>
      <c r="J203" s="1"/>
    </row>
    <row r="204" spans="4:10" ht="15.75" customHeight="1">
      <c r="D204" s="88"/>
      <c r="E204" s="9"/>
      <c r="J204" s="1"/>
    </row>
    <row r="205" spans="4:10" ht="15.75" customHeight="1">
      <c r="D205" s="88"/>
      <c r="E205" s="9"/>
      <c r="J205" s="1"/>
    </row>
    <row r="206" spans="4:10" ht="15.75" customHeight="1">
      <c r="D206" s="88"/>
      <c r="E206" s="9"/>
      <c r="J206" s="1"/>
    </row>
    <row r="207" spans="4:10" ht="15.75" customHeight="1">
      <c r="D207" s="88"/>
      <c r="E207" s="9"/>
      <c r="J207" s="1"/>
    </row>
    <row r="208" spans="4:10" ht="15.75" customHeight="1">
      <c r="D208" s="88"/>
      <c r="E208" s="9"/>
      <c r="J208" s="1"/>
    </row>
    <row r="209" spans="4:10" ht="15.75" customHeight="1">
      <c r="D209" s="88"/>
      <c r="E209" s="9"/>
      <c r="J209" s="1"/>
    </row>
    <row r="210" spans="4:10" ht="15.75" customHeight="1">
      <c r="D210" s="88"/>
      <c r="E210" s="9"/>
      <c r="J210" s="1"/>
    </row>
    <row r="211" spans="4:10" ht="15.75" customHeight="1">
      <c r="D211" s="88"/>
      <c r="E211" s="9"/>
      <c r="J211" s="1"/>
    </row>
    <row r="212" spans="4:10" ht="15.75" customHeight="1">
      <c r="D212" s="88"/>
      <c r="E212" s="9"/>
      <c r="J212" s="1"/>
    </row>
    <row r="213" spans="4:10" ht="15.75" customHeight="1">
      <c r="D213" s="88"/>
      <c r="E213" s="9"/>
      <c r="J213" s="1"/>
    </row>
    <row r="214" spans="4:10" ht="15.75" customHeight="1">
      <c r="D214" s="88"/>
      <c r="E214" s="9"/>
      <c r="J214" s="1"/>
    </row>
    <row r="215" spans="4:10" ht="15.75" customHeight="1">
      <c r="D215" s="88"/>
      <c r="E215" s="9"/>
      <c r="J215" s="1"/>
    </row>
    <row r="216" spans="4:10" ht="15.75" customHeight="1">
      <c r="D216" s="88"/>
      <c r="E216" s="9"/>
      <c r="J216" s="1"/>
    </row>
    <row r="217" spans="4:10" ht="15.75" customHeight="1">
      <c r="D217" s="88"/>
      <c r="E217" s="9"/>
      <c r="J217" s="1"/>
    </row>
    <row r="218" spans="4:10" ht="15.75" customHeight="1">
      <c r="D218" s="88"/>
      <c r="E218" s="9"/>
      <c r="J218" s="1"/>
    </row>
    <row r="219" spans="4:10" ht="15.75" customHeight="1">
      <c r="D219" s="88"/>
      <c r="E219" s="9"/>
      <c r="J219" s="1"/>
    </row>
    <row r="220" spans="4:10" ht="15.75" customHeight="1">
      <c r="D220" s="88"/>
      <c r="E220" s="9"/>
      <c r="J220" s="1"/>
    </row>
    <row r="221" spans="4:10" ht="15.75" customHeight="1">
      <c r="D221" s="88"/>
      <c r="E221" s="9"/>
      <c r="J221" s="1"/>
    </row>
    <row r="222" spans="4:10" ht="15.75" customHeight="1">
      <c r="D222" s="88"/>
      <c r="E222" s="9"/>
      <c r="J222" s="1"/>
    </row>
    <row r="223" spans="4:10" ht="15.75" customHeight="1">
      <c r="D223" s="88"/>
      <c r="E223" s="9"/>
      <c r="J223" s="1"/>
    </row>
    <row r="224" spans="4:10" ht="15.75" customHeight="1">
      <c r="D224" s="88"/>
      <c r="E224" s="9"/>
      <c r="J224" s="1"/>
    </row>
    <row r="225" spans="4:10" ht="15.75" customHeight="1">
      <c r="D225" s="88"/>
      <c r="E225" s="9"/>
      <c r="J225" s="1"/>
    </row>
    <row r="226" spans="4:10" ht="15.75" customHeight="1">
      <c r="D226" s="88"/>
      <c r="E226" s="9"/>
      <c r="J226" s="1"/>
    </row>
    <row r="227" spans="4:10" ht="15.75" customHeight="1">
      <c r="D227" s="88"/>
      <c r="E227" s="9"/>
      <c r="J227" s="1"/>
    </row>
    <row r="228" spans="4:10" ht="15.75" customHeight="1">
      <c r="D228" s="88"/>
      <c r="E228" s="9"/>
      <c r="J228" s="1"/>
    </row>
    <row r="229" spans="4:10" ht="15.75" customHeight="1">
      <c r="D229" s="88"/>
      <c r="E229" s="9"/>
      <c r="J229" s="1"/>
    </row>
    <row r="230" spans="4:10" ht="15.75" customHeight="1">
      <c r="D230" s="88"/>
      <c r="E230" s="9"/>
      <c r="J230" s="1"/>
    </row>
    <row r="231" spans="4:10" ht="15.75" customHeight="1">
      <c r="D231" s="88"/>
      <c r="E231" s="9"/>
      <c r="J231" s="1"/>
    </row>
    <row r="232" spans="4:10" ht="15.75" customHeight="1">
      <c r="D232" s="88"/>
      <c r="E232" s="9"/>
      <c r="J232" s="1"/>
    </row>
    <row r="233" spans="4:10" ht="15.75" customHeight="1">
      <c r="D233" s="88"/>
      <c r="E233" s="9"/>
      <c r="J233" s="1"/>
    </row>
    <row r="234" spans="4:10" ht="15.75" customHeight="1">
      <c r="D234" s="88"/>
      <c r="E234" s="9"/>
      <c r="J234" s="1"/>
    </row>
    <row r="235" spans="4:10" ht="15.75" customHeight="1">
      <c r="D235" s="88"/>
      <c r="E235" s="9"/>
      <c r="J235" s="1"/>
    </row>
    <row r="236" spans="4:10" ht="15.75" customHeight="1">
      <c r="D236" s="88"/>
      <c r="E236" s="9"/>
      <c r="J236" s="1"/>
    </row>
    <row r="237" spans="4:10" ht="15.75" customHeight="1">
      <c r="D237" s="88"/>
      <c r="E237" s="9"/>
      <c r="J237" s="1"/>
    </row>
    <row r="238" spans="4:10" ht="15.75" customHeight="1">
      <c r="D238" s="88"/>
      <c r="E238" s="9"/>
      <c r="J238" s="1"/>
    </row>
    <row r="239" spans="4:10" ht="15.75" customHeight="1">
      <c r="D239" s="88"/>
      <c r="E239" s="9"/>
      <c r="J239" s="1"/>
    </row>
    <row r="240" spans="4:10" ht="15.75" customHeight="1">
      <c r="D240" s="88"/>
      <c r="E240" s="9"/>
      <c r="J240" s="1"/>
    </row>
    <row r="241" spans="4:10" ht="15.75" customHeight="1">
      <c r="D241" s="88"/>
      <c r="E241" s="9"/>
      <c r="J241" s="1"/>
    </row>
    <row r="242" spans="4:10" ht="15.75" customHeight="1">
      <c r="D242" s="88"/>
      <c r="E242" s="9"/>
      <c r="J242" s="1"/>
    </row>
    <row r="243" spans="4:10" ht="15.75" customHeight="1">
      <c r="D243" s="88"/>
      <c r="E243" s="9"/>
      <c r="J243" s="1"/>
    </row>
    <row r="244" spans="4:10" ht="15.75" customHeight="1">
      <c r="D244" s="88"/>
      <c r="E244" s="9"/>
      <c r="J244" s="1"/>
    </row>
    <row r="245" spans="4:10" ht="15.75" customHeight="1">
      <c r="D245" s="88"/>
      <c r="E245" s="9"/>
      <c r="J245" s="1"/>
    </row>
    <row r="246" spans="4:10" ht="15.75" customHeight="1">
      <c r="D246" s="88"/>
      <c r="E246" s="9"/>
      <c r="J246" s="1"/>
    </row>
    <row r="247" spans="4:10" ht="15.75" customHeight="1">
      <c r="D247" s="88"/>
      <c r="E247" s="9"/>
      <c r="J247" s="1"/>
    </row>
    <row r="248" spans="4:10" ht="15.75" customHeight="1">
      <c r="D248" s="88"/>
      <c r="E248" s="9"/>
      <c r="J248" s="1"/>
    </row>
    <row r="249" spans="4:10" ht="15.75" customHeight="1">
      <c r="D249" s="88"/>
      <c r="E249" s="9"/>
      <c r="J249" s="1"/>
    </row>
    <row r="250" spans="4:10" ht="15.75" customHeight="1">
      <c r="D250" s="88"/>
      <c r="E250" s="9"/>
      <c r="J250" s="1"/>
    </row>
    <row r="251" spans="4:10" ht="15.75" customHeight="1">
      <c r="D251" s="88"/>
      <c r="E251" s="9"/>
      <c r="J251" s="1"/>
    </row>
    <row r="252" spans="4:10" ht="15.75" customHeight="1">
      <c r="D252" s="88"/>
      <c r="E252" s="9"/>
      <c r="J252" s="1"/>
    </row>
    <row r="253" spans="4:10" ht="15.75" customHeight="1">
      <c r="D253" s="88"/>
      <c r="E253" s="9"/>
      <c r="J253" s="1"/>
    </row>
    <row r="254" spans="4:10" ht="15.75" customHeight="1">
      <c r="D254" s="88"/>
      <c r="E254" s="9"/>
      <c r="J254" s="1"/>
    </row>
    <row r="255" spans="4:10" ht="15.75" customHeight="1">
      <c r="D255" s="88"/>
      <c r="E255" s="9"/>
      <c r="J255" s="1"/>
    </row>
    <row r="256" spans="4:10" ht="15.75" customHeight="1">
      <c r="D256" s="88"/>
      <c r="E256" s="9"/>
      <c r="J256" s="1"/>
    </row>
    <row r="257" spans="4:10" ht="15.75" customHeight="1">
      <c r="D257" s="88"/>
      <c r="E257" s="9"/>
      <c r="J257" s="1"/>
    </row>
    <row r="258" spans="4:10" ht="15.75" customHeight="1">
      <c r="D258" s="88"/>
      <c r="E258" s="9"/>
      <c r="J258" s="1"/>
    </row>
    <row r="259" spans="4:10" ht="15.75" customHeight="1">
      <c r="D259" s="88"/>
      <c r="E259" s="9"/>
      <c r="J259" s="1"/>
    </row>
    <row r="260" spans="4:10" ht="15.75" customHeight="1">
      <c r="D260" s="88"/>
      <c r="E260" s="9"/>
      <c r="J260" s="1"/>
    </row>
    <row r="261" spans="4:10" ht="15.75" customHeight="1">
      <c r="D261" s="88"/>
      <c r="E261" s="9"/>
      <c r="J261" s="1"/>
    </row>
    <row r="262" spans="4:10" ht="15.75" customHeight="1">
      <c r="D262" s="88"/>
      <c r="E262" s="9"/>
      <c r="J262" s="1"/>
    </row>
    <row r="263" spans="4:10" ht="15.75" customHeight="1">
      <c r="D263" s="88"/>
      <c r="E263" s="9"/>
      <c r="J263" s="1"/>
    </row>
    <row r="264" spans="4:10" ht="15.75" customHeight="1">
      <c r="D264" s="88"/>
      <c r="E264" s="9"/>
      <c r="J264" s="1"/>
    </row>
    <row r="265" spans="4:10" ht="15.75" customHeight="1">
      <c r="D265" s="88"/>
      <c r="E265" s="9"/>
      <c r="J265" s="1"/>
    </row>
    <row r="266" spans="4:10" ht="15.75" customHeight="1">
      <c r="D266" s="88"/>
      <c r="E266" s="9"/>
      <c r="J266" s="1"/>
    </row>
    <row r="267" spans="4:10" ht="15.75" customHeight="1">
      <c r="D267" s="88"/>
      <c r="E267" s="9"/>
      <c r="J267" s="1"/>
    </row>
    <row r="268" spans="4:10" ht="15.75" customHeight="1">
      <c r="D268" s="88"/>
      <c r="E268" s="9"/>
      <c r="J268" s="1"/>
    </row>
    <row r="269" spans="4:10" ht="15.75" customHeight="1">
      <c r="D269" s="88"/>
      <c r="E269" s="9"/>
      <c r="J269" s="1"/>
    </row>
    <row r="270" spans="4:10" ht="15.75" customHeight="1">
      <c r="D270" s="88"/>
      <c r="E270" s="9"/>
      <c r="J270" s="1"/>
    </row>
    <row r="271" spans="4:10" ht="15.75" customHeight="1">
      <c r="D271" s="88"/>
      <c r="E271" s="9"/>
      <c r="J271" s="1"/>
    </row>
    <row r="272" spans="4:10" ht="15.75" customHeight="1">
      <c r="D272" s="88"/>
      <c r="E272" s="9"/>
      <c r="J272" s="1"/>
    </row>
    <row r="273" spans="4:10" ht="15.75" customHeight="1">
      <c r="D273" s="88"/>
      <c r="E273" s="9"/>
      <c r="J273" s="1"/>
    </row>
    <row r="274" spans="4:10" ht="15.75" customHeight="1">
      <c r="D274" s="88"/>
      <c r="E274" s="9"/>
      <c r="J274" s="1"/>
    </row>
    <row r="275" spans="4:10" ht="15.75" customHeight="1">
      <c r="D275" s="88"/>
      <c r="E275" s="9"/>
      <c r="J275" s="1"/>
    </row>
    <row r="276" spans="4:10" ht="15.75" customHeight="1">
      <c r="D276" s="88"/>
      <c r="E276" s="9"/>
      <c r="J276" s="1"/>
    </row>
    <row r="277" spans="4:10" ht="15.75" customHeight="1">
      <c r="D277" s="88"/>
      <c r="E277" s="9"/>
      <c r="J277" s="1"/>
    </row>
    <row r="278" spans="4:10" ht="15.75" customHeight="1">
      <c r="D278" s="88"/>
      <c r="E278" s="9"/>
      <c r="J278" s="1"/>
    </row>
    <row r="279" spans="4:10" ht="15.75" customHeight="1">
      <c r="D279" s="88"/>
      <c r="E279" s="9"/>
      <c r="J279" s="1"/>
    </row>
    <row r="280" spans="4:10" ht="15.75" customHeight="1">
      <c r="D280" s="88"/>
      <c r="E280" s="9"/>
      <c r="J280" s="1"/>
    </row>
    <row r="281" spans="4:10" ht="15.75" customHeight="1">
      <c r="D281" s="88"/>
      <c r="E281" s="9"/>
      <c r="J281" s="1"/>
    </row>
    <row r="282" spans="4:10" ht="15.75" customHeight="1">
      <c r="D282" s="88"/>
      <c r="E282" s="9"/>
      <c r="J282" s="1"/>
    </row>
    <row r="283" spans="4:10" ht="15.75" customHeight="1">
      <c r="D283" s="88"/>
      <c r="E283" s="9"/>
      <c r="J283" s="1"/>
    </row>
    <row r="284" spans="4:10" ht="15.75" customHeight="1">
      <c r="D284" s="88"/>
      <c r="E284" s="9"/>
      <c r="J284" s="1"/>
    </row>
    <row r="285" spans="4:10" ht="15.75" customHeight="1">
      <c r="D285" s="88"/>
      <c r="E285" s="9"/>
      <c r="J285" s="1"/>
    </row>
    <row r="286" spans="4:10" ht="15.75" customHeight="1">
      <c r="D286" s="88"/>
      <c r="E286" s="9"/>
      <c r="J286" s="1"/>
    </row>
    <row r="287" spans="4:10" ht="15.75" customHeight="1">
      <c r="D287" s="88"/>
      <c r="E287" s="9"/>
      <c r="J287" s="1"/>
    </row>
    <row r="288" spans="4:10" ht="15.75" customHeight="1">
      <c r="D288" s="88"/>
      <c r="E288" s="9"/>
      <c r="J288" s="1"/>
    </row>
    <row r="289" spans="4:10" ht="15.75" customHeight="1">
      <c r="D289" s="88"/>
      <c r="E289" s="9"/>
      <c r="J289" s="1"/>
    </row>
    <row r="290" spans="4:10" ht="15.75" customHeight="1">
      <c r="D290" s="88"/>
      <c r="E290" s="9"/>
      <c r="J290" s="1"/>
    </row>
    <row r="291" spans="4:10" ht="15.75" customHeight="1">
      <c r="D291" s="88"/>
      <c r="E291" s="9"/>
      <c r="J291" s="1"/>
    </row>
    <row r="292" spans="4:10" ht="15.75" customHeight="1">
      <c r="D292" s="88"/>
      <c r="E292" s="9"/>
      <c r="J292" s="1"/>
    </row>
    <row r="293" spans="4:10" ht="15.75" customHeight="1">
      <c r="D293" s="88"/>
      <c r="E293" s="9"/>
      <c r="J293" s="1"/>
    </row>
    <row r="294" spans="4:10" ht="15.75" customHeight="1">
      <c r="D294" s="88"/>
      <c r="E294" s="9"/>
      <c r="J294" s="1"/>
    </row>
    <row r="295" spans="4:10" ht="15.75" customHeight="1">
      <c r="D295" s="88"/>
      <c r="E295" s="9"/>
      <c r="J295" s="1"/>
    </row>
    <row r="296" spans="4:10" ht="15.75" customHeight="1">
      <c r="D296" s="88"/>
      <c r="E296" s="9"/>
      <c r="J296" s="1"/>
    </row>
    <row r="297" spans="4:10" ht="15.75" customHeight="1">
      <c r="D297" s="88"/>
      <c r="E297" s="9"/>
      <c r="J297" s="1"/>
    </row>
    <row r="298" spans="4:10" ht="15.75" customHeight="1">
      <c r="D298" s="88"/>
      <c r="E298" s="9"/>
      <c r="J298" s="1"/>
    </row>
    <row r="299" spans="4:10" ht="15.75" customHeight="1">
      <c r="D299" s="88"/>
      <c r="E299" s="9"/>
      <c r="J299" s="1"/>
    </row>
    <row r="300" spans="4:10" ht="15.75" customHeight="1">
      <c r="D300" s="88"/>
      <c r="E300" s="9"/>
      <c r="J300" s="1"/>
    </row>
    <row r="301" spans="4:10" ht="15.75" customHeight="1">
      <c r="D301" s="88"/>
      <c r="E301" s="9"/>
      <c r="J301" s="1"/>
    </row>
    <row r="302" spans="4:10" ht="15.75" customHeight="1">
      <c r="D302" s="88"/>
      <c r="E302" s="9"/>
      <c r="J302" s="1"/>
    </row>
    <row r="303" spans="4:10" ht="15.75" customHeight="1">
      <c r="D303" s="88"/>
      <c r="E303" s="9"/>
      <c r="J303" s="1"/>
    </row>
    <row r="304" spans="4:10" ht="15.75" customHeight="1">
      <c r="D304" s="88"/>
      <c r="E304" s="9"/>
      <c r="J304" s="1"/>
    </row>
    <row r="305" spans="4:10" ht="15.75" customHeight="1">
      <c r="D305" s="88"/>
      <c r="E305" s="9"/>
      <c r="J305" s="1"/>
    </row>
    <row r="306" spans="4:10" ht="15.75" customHeight="1">
      <c r="D306" s="88"/>
      <c r="E306" s="9"/>
      <c r="J306" s="1"/>
    </row>
    <row r="307" spans="4:10" ht="15.75" customHeight="1">
      <c r="D307" s="88"/>
      <c r="E307" s="9"/>
      <c r="J307" s="1"/>
    </row>
    <row r="308" spans="4:10" ht="15.75" customHeight="1">
      <c r="D308" s="88"/>
      <c r="E308" s="9"/>
      <c r="J308" s="1"/>
    </row>
    <row r="309" spans="4:10" ht="15.75" customHeight="1">
      <c r="D309" s="88"/>
      <c r="E309" s="9"/>
      <c r="J309" s="1"/>
    </row>
    <row r="310" spans="4:10" ht="15.75" customHeight="1">
      <c r="D310" s="88"/>
      <c r="E310" s="9"/>
      <c r="J310" s="1"/>
    </row>
    <row r="311" spans="4:10" ht="15.75" customHeight="1">
      <c r="D311" s="88"/>
      <c r="E311" s="9"/>
      <c r="J311" s="1"/>
    </row>
    <row r="312" spans="4:10" ht="15.75" customHeight="1">
      <c r="D312" s="88"/>
      <c r="E312" s="9"/>
      <c r="J312" s="1"/>
    </row>
    <row r="313" spans="4:10" ht="15.75" customHeight="1">
      <c r="D313" s="88"/>
      <c r="E313" s="9"/>
      <c r="J313" s="1"/>
    </row>
    <row r="314" spans="4:10" ht="15.75" customHeight="1">
      <c r="D314" s="88"/>
      <c r="E314" s="9"/>
      <c r="J314" s="1"/>
    </row>
    <row r="315" spans="4:10" ht="15.75" customHeight="1">
      <c r="D315" s="88"/>
      <c r="E315" s="9"/>
      <c r="J315" s="1"/>
    </row>
    <row r="316" spans="4:10" ht="15.75" customHeight="1">
      <c r="D316" s="88"/>
      <c r="E316" s="9"/>
      <c r="J316" s="1"/>
    </row>
    <row r="317" spans="4:10" ht="15.75" customHeight="1">
      <c r="D317" s="88"/>
      <c r="E317" s="9"/>
      <c r="J317" s="1"/>
    </row>
    <row r="318" spans="4:10" ht="15.75" customHeight="1">
      <c r="D318" s="88"/>
      <c r="E318" s="9"/>
      <c r="J318" s="1"/>
    </row>
    <row r="319" spans="4:10" ht="15.75" customHeight="1">
      <c r="D319" s="88"/>
      <c r="E319" s="9"/>
      <c r="J319" s="1"/>
    </row>
    <row r="320" spans="4:10" ht="15.75" customHeight="1">
      <c r="D320" s="88"/>
      <c r="E320" s="9"/>
      <c r="J320" s="1"/>
    </row>
    <row r="321" spans="4:10" ht="15.75" customHeight="1">
      <c r="D321" s="88"/>
      <c r="E321" s="9"/>
      <c r="J321" s="1"/>
    </row>
    <row r="322" spans="4:10" ht="15.75" customHeight="1">
      <c r="D322" s="88"/>
      <c r="E322" s="9"/>
      <c r="J322" s="1"/>
    </row>
    <row r="323" spans="4:10" ht="15.75" customHeight="1">
      <c r="D323" s="88"/>
      <c r="E323" s="9"/>
      <c r="J323" s="1"/>
    </row>
    <row r="324" spans="4:10" ht="15.75" customHeight="1">
      <c r="D324" s="88"/>
      <c r="E324" s="9"/>
      <c r="J324" s="1"/>
    </row>
    <row r="325" spans="4:10" ht="15.75" customHeight="1">
      <c r="D325" s="88"/>
      <c r="E325" s="9"/>
      <c r="J325" s="1"/>
    </row>
    <row r="326" spans="4:10" ht="15.75" customHeight="1">
      <c r="D326" s="88"/>
      <c r="E326" s="9"/>
      <c r="J326" s="1"/>
    </row>
    <row r="327" spans="4:10" ht="15.75" customHeight="1">
      <c r="D327" s="88"/>
      <c r="E327" s="9"/>
      <c r="J327" s="1"/>
    </row>
    <row r="328" spans="4:10" ht="15.75" customHeight="1">
      <c r="D328" s="88"/>
      <c r="E328" s="9"/>
      <c r="J328" s="1"/>
    </row>
    <row r="329" spans="4:10" ht="15.75" customHeight="1">
      <c r="D329" s="88"/>
      <c r="E329" s="9"/>
      <c r="J329" s="1"/>
    </row>
    <row r="330" spans="4:10" ht="15.75" customHeight="1">
      <c r="D330" s="88"/>
      <c r="E330" s="9"/>
      <c r="J330" s="1"/>
    </row>
    <row r="331" spans="4:10" ht="15.75" customHeight="1">
      <c r="D331" s="88"/>
      <c r="E331" s="9"/>
      <c r="J331" s="1"/>
    </row>
    <row r="332" spans="4:10" ht="15.75" customHeight="1">
      <c r="D332" s="88"/>
      <c r="E332" s="9"/>
      <c r="J332" s="1"/>
    </row>
    <row r="333" spans="4:10" ht="15.75" customHeight="1">
      <c r="D333" s="88"/>
      <c r="E333" s="9"/>
      <c r="J333" s="1"/>
    </row>
    <row r="334" spans="4:10" ht="15.75" customHeight="1">
      <c r="D334" s="88"/>
      <c r="E334" s="9"/>
      <c r="J334" s="1"/>
    </row>
    <row r="335" spans="4:10" ht="15.75" customHeight="1">
      <c r="D335" s="88"/>
      <c r="E335" s="9"/>
      <c r="J335" s="1"/>
    </row>
    <row r="336" spans="4:10" ht="15.75" customHeight="1">
      <c r="D336" s="88"/>
      <c r="E336" s="9"/>
      <c r="J336" s="1"/>
    </row>
    <row r="337" spans="4:10" ht="15.75" customHeight="1">
      <c r="D337" s="88"/>
      <c r="E337" s="9"/>
      <c r="J337" s="1"/>
    </row>
    <row r="338" spans="4:10" ht="15.75" customHeight="1">
      <c r="D338" s="88"/>
      <c r="E338" s="9"/>
      <c r="J338" s="1"/>
    </row>
    <row r="339" spans="4:10" ht="15.75" customHeight="1">
      <c r="D339" s="88"/>
      <c r="E339" s="9"/>
      <c r="J339" s="1"/>
    </row>
    <row r="340" spans="4:10" ht="15.75" customHeight="1">
      <c r="D340" s="88"/>
      <c r="E340" s="9"/>
      <c r="J340" s="1"/>
    </row>
    <row r="341" spans="4:10" ht="15.75" customHeight="1">
      <c r="D341" s="88"/>
      <c r="E341" s="9"/>
      <c r="J341" s="1"/>
    </row>
    <row r="342" spans="4:10" ht="15.75" customHeight="1">
      <c r="D342" s="88"/>
      <c r="E342" s="9"/>
      <c r="J342" s="1"/>
    </row>
    <row r="343" spans="4:10" ht="15.75" customHeight="1">
      <c r="D343" s="88"/>
      <c r="E343" s="9"/>
      <c r="J343" s="1"/>
    </row>
    <row r="344" spans="4:10" ht="15.75" customHeight="1">
      <c r="D344" s="88"/>
      <c r="E344" s="9"/>
      <c r="J344" s="1"/>
    </row>
    <row r="345" spans="4:10" ht="15.75" customHeight="1">
      <c r="D345" s="88"/>
      <c r="E345" s="9"/>
      <c r="J345" s="1"/>
    </row>
    <row r="346" spans="4:10" ht="15.75" customHeight="1">
      <c r="D346" s="88"/>
      <c r="E346" s="9"/>
      <c r="J346" s="1"/>
    </row>
    <row r="347" spans="4:10" ht="15.75" customHeight="1">
      <c r="D347" s="88"/>
      <c r="E347" s="9"/>
      <c r="J347" s="1"/>
    </row>
    <row r="348" spans="4:10" ht="15.75" customHeight="1">
      <c r="D348" s="88"/>
      <c r="E348" s="9"/>
      <c r="J348" s="1"/>
    </row>
    <row r="349" spans="4:10" ht="15.75" customHeight="1">
      <c r="D349" s="88"/>
      <c r="E349" s="9"/>
      <c r="J349" s="1"/>
    </row>
    <row r="350" spans="4:10" ht="15.75" customHeight="1">
      <c r="D350" s="88"/>
      <c r="E350" s="9"/>
      <c r="J350" s="1"/>
    </row>
    <row r="351" spans="4:10" ht="15.75" customHeight="1">
      <c r="D351" s="88"/>
      <c r="E351" s="9"/>
      <c r="J351" s="1"/>
    </row>
    <row r="352" spans="4:10" ht="15.75" customHeight="1">
      <c r="D352" s="88"/>
      <c r="E352" s="9"/>
      <c r="J352" s="1"/>
    </row>
    <row r="353" spans="4:10" ht="15.75" customHeight="1">
      <c r="D353" s="88"/>
      <c r="E353" s="9"/>
      <c r="J353" s="1"/>
    </row>
    <row r="354" spans="4:10" ht="15.75" customHeight="1">
      <c r="D354" s="88"/>
      <c r="E354" s="9"/>
      <c r="J354" s="1"/>
    </row>
    <row r="355" spans="4:10" ht="15.75" customHeight="1">
      <c r="D355" s="88"/>
      <c r="E355" s="9"/>
      <c r="J355" s="1"/>
    </row>
    <row r="356" spans="4:10" ht="15.75" customHeight="1">
      <c r="D356" s="88"/>
      <c r="E356" s="9"/>
      <c r="J356" s="1"/>
    </row>
    <row r="357" spans="4:10" ht="15.75" customHeight="1">
      <c r="D357" s="88"/>
      <c r="E357" s="9"/>
      <c r="J357" s="1"/>
    </row>
    <row r="358" spans="4:10" ht="15.75" customHeight="1">
      <c r="D358" s="88"/>
      <c r="E358" s="9"/>
      <c r="J358" s="1"/>
    </row>
    <row r="359" spans="4:10" ht="15.75" customHeight="1">
      <c r="D359" s="88"/>
      <c r="E359" s="9"/>
      <c r="J359" s="1"/>
    </row>
    <row r="360" spans="4:10" ht="15.75" customHeight="1">
      <c r="D360" s="88"/>
      <c r="E360" s="9"/>
      <c r="J360" s="1"/>
    </row>
    <row r="361" spans="4:10" ht="15.75" customHeight="1">
      <c r="D361" s="88"/>
      <c r="E361" s="9"/>
      <c r="J361" s="1"/>
    </row>
    <row r="362" spans="4:10" ht="15.75" customHeight="1">
      <c r="D362" s="88"/>
      <c r="E362" s="9"/>
      <c r="J362" s="1"/>
    </row>
    <row r="363" spans="4:10" ht="15.75" customHeight="1">
      <c r="D363" s="88"/>
      <c r="E363" s="9"/>
      <c r="J363" s="1"/>
    </row>
    <row r="364" spans="4:10" ht="15.75" customHeight="1">
      <c r="D364" s="88"/>
      <c r="E364" s="9"/>
      <c r="J364" s="1"/>
    </row>
    <row r="365" spans="4:10" ht="15.75" customHeight="1">
      <c r="D365" s="88"/>
      <c r="E365" s="9"/>
      <c r="J365" s="1"/>
    </row>
    <row r="366" spans="4:10" ht="15.75" customHeight="1">
      <c r="D366" s="88"/>
      <c r="E366" s="9"/>
      <c r="J366" s="1"/>
    </row>
    <row r="367" spans="4:10" ht="15.75" customHeight="1">
      <c r="D367" s="88"/>
      <c r="E367" s="9"/>
      <c r="J367" s="1"/>
    </row>
    <row r="368" spans="4:10" ht="15.75" customHeight="1">
      <c r="D368" s="88"/>
      <c r="E368" s="9"/>
      <c r="J368" s="1"/>
    </row>
    <row r="369" spans="4:10" ht="15.75" customHeight="1">
      <c r="D369" s="88"/>
      <c r="E369" s="9"/>
      <c r="J369" s="1"/>
    </row>
    <row r="370" spans="4:10" ht="15.75" customHeight="1">
      <c r="D370" s="88"/>
      <c r="E370" s="9"/>
      <c r="J370" s="1"/>
    </row>
    <row r="371" spans="4:10" ht="15.75" customHeight="1">
      <c r="D371" s="88"/>
      <c r="E371" s="9"/>
      <c r="J371" s="1"/>
    </row>
    <row r="372" spans="4:10" ht="15.75" customHeight="1">
      <c r="D372" s="88"/>
      <c r="E372" s="9"/>
      <c r="J372" s="1"/>
    </row>
    <row r="373" spans="4:10" ht="15.75" customHeight="1">
      <c r="D373" s="88"/>
      <c r="E373" s="9"/>
      <c r="J373" s="1"/>
    </row>
    <row r="374" spans="4:10" ht="15.75" customHeight="1">
      <c r="D374" s="88"/>
      <c r="E374" s="9"/>
      <c r="J374" s="1"/>
    </row>
    <row r="375" spans="4:10" ht="15.75" customHeight="1">
      <c r="D375" s="88"/>
      <c r="E375" s="9"/>
      <c r="J375" s="1"/>
    </row>
    <row r="376" spans="4:10" ht="15.75" customHeight="1">
      <c r="D376" s="88"/>
      <c r="E376" s="9"/>
      <c r="J376" s="1"/>
    </row>
    <row r="377" spans="4:10" ht="15.75" customHeight="1">
      <c r="D377" s="88"/>
      <c r="E377" s="9"/>
      <c r="J377" s="1"/>
    </row>
    <row r="378" spans="4:10" ht="15.75" customHeight="1">
      <c r="D378" s="88"/>
      <c r="E378" s="9"/>
      <c r="J378" s="1"/>
    </row>
    <row r="379" spans="4:10" ht="15.75" customHeight="1">
      <c r="D379" s="88"/>
      <c r="E379" s="9"/>
      <c r="J379" s="1"/>
    </row>
    <row r="380" spans="4:10" ht="15.75" customHeight="1">
      <c r="D380" s="88"/>
      <c r="E380" s="9"/>
      <c r="J380" s="1"/>
    </row>
    <row r="381" spans="4:10" ht="15.75" customHeight="1">
      <c r="D381" s="88"/>
      <c r="E381" s="9"/>
      <c r="J381" s="1"/>
    </row>
    <row r="382" spans="4:10" ht="15.75" customHeight="1">
      <c r="D382" s="9"/>
      <c r="E382" s="9"/>
      <c r="J382" s="1"/>
    </row>
    <row r="383" spans="4:10" ht="15.75" customHeight="1">
      <c r="D383" s="9"/>
      <c r="E383" s="9"/>
      <c r="J383" s="1"/>
    </row>
    <row r="384" spans="4:10" ht="15.75" customHeight="1">
      <c r="D384" s="9"/>
      <c r="E384" s="9"/>
      <c r="J384" s="1"/>
    </row>
    <row r="385" spans="4:10" ht="15.75" customHeight="1">
      <c r="D385" s="9"/>
      <c r="E385" s="9"/>
      <c r="J385" s="1"/>
    </row>
    <row r="386" spans="4:10" ht="15.75" customHeight="1">
      <c r="D386" s="9"/>
      <c r="E386" s="9"/>
      <c r="J386" s="1"/>
    </row>
    <row r="387" spans="4:10" ht="15.75" customHeight="1">
      <c r="D387" s="9"/>
      <c r="E387" s="9"/>
      <c r="J387" s="1"/>
    </row>
    <row r="388" spans="4:10" ht="15.75" customHeight="1">
      <c r="D388" s="9"/>
      <c r="E388" s="9"/>
      <c r="J388" s="1"/>
    </row>
    <row r="389" spans="4:10" ht="15.75" customHeight="1">
      <c r="D389" s="9"/>
      <c r="E389" s="9"/>
      <c r="J389" s="1"/>
    </row>
    <row r="390" spans="4:10" ht="15.75" customHeight="1">
      <c r="D390" s="9"/>
      <c r="E390" s="9"/>
      <c r="J390" s="1"/>
    </row>
    <row r="391" spans="4:10" ht="15.75" customHeight="1">
      <c r="D391" s="9"/>
      <c r="E391" s="9"/>
      <c r="J391" s="1"/>
    </row>
    <row r="392" spans="4:10" ht="15.75" customHeight="1">
      <c r="D392" s="9"/>
      <c r="E392" s="9"/>
      <c r="J392" s="1"/>
    </row>
    <row r="393" spans="4:10" ht="15.75" customHeight="1">
      <c r="D393" s="9"/>
      <c r="E393" s="9"/>
      <c r="J393" s="1"/>
    </row>
    <row r="394" spans="4:10" ht="15.75" customHeight="1">
      <c r="D394" s="9"/>
      <c r="E394" s="9"/>
      <c r="J394" s="1"/>
    </row>
    <row r="395" spans="4:10" ht="15.75" customHeight="1">
      <c r="D395" s="9"/>
      <c r="E395" s="9"/>
      <c r="J395" s="1"/>
    </row>
    <row r="396" spans="4:10" ht="15.75" customHeight="1">
      <c r="D396" s="9"/>
      <c r="E396" s="9"/>
      <c r="J396" s="1"/>
    </row>
    <row r="397" spans="4:10" ht="15.75" customHeight="1">
      <c r="D397" s="9"/>
      <c r="E397" s="9"/>
      <c r="J397" s="1"/>
    </row>
    <row r="398" spans="4:10" ht="15.75" customHeight="1">
      <c r="D398" s="9"/>
      <c r="E398" s="9"/>
      <c r="J398" s="1"/>
    </row>
    <row r="399" spans="4:10" ht="15.75" customHeight="1">
      <c r="D399" s="9"/>
      <c r="E399" s="9"/>
      <c r="J399" s="1"/>
    </row>
    <row r="400" spans="4:10" ht="15.75" customHeight="1">
      <c r="D400" s="9"/>
      <c r="E400" s="9"/>
      <c r="J400" s="1"/>
    </row>
    <row r="401" spans="4:10" ht="15.75" customHeight="1">
      <c r="D401" s="9"/>
      <c r="E401" s="9"/>
      <c r="J401" s="1"/>
    </row>
    <row r="402" spans="4:10" ht="15.75" customHeight="1">
      <c r="D402" s="9"/>
      <c r="E402" s="9"/>
      <c r="J402" s="1"/>
    </row>
    <row r="403" spans="4:10" ht="15.75" customHeight="1">
      <c r="D403" s="9"/>
      <c r="E403" s="9"/>
      <c r="J403" s="1"/>
    </row>
    <row r="404" spans="4:10" ht="15.75" customHeight="1">
      <c r="D404" s="9"/>
      <c r="E404" s="9"/>
      <c r="J404" s="1"/>
    </row>
    <row r="405" spans="4:10" ht="15.75" customHeight="1">
      <c r="D405" s="9"/>
      <c r="E405" s="9"/>
      <c r="J405" s="1"/>
    </row>
    <row r="406" spans="4:10" ht="15.75" customHeight="1">
      <c r="D406" s="9"/>
      <c r="E406" s="9"/>
      <c r="J406" s="1"/>
    </row>
    <row r="407" spans="4:10" ht="15.75" customHeight="1">
      <c r="D407" s="9"/>
      <c r="E407" s="9"/>
      <c r="J407" s="1"/>
    </row>
    <row r="408" spans="4:10" ht="15.75" customHeight="1">
      <c r="D408" s="9"/>
      <c r="E408" s="9"/>
      <c r="J408" s="1"/>
    </row>
    <row r="409" spans="4:10" ht="15.75" customHeight="1">
      <c r="D409" s="9"/>
      <c r="E409" s="9"/>
      <c r="J409" s="1"/>
    </row>
    <row r="410" spans="4:10" ht="15.75" customHeight="1">
      <c r="D410" s="9"/>
      <c r="E410" s="9"/>
      <c r="J410" s="1"/>
    </row>
    <row r="411" spans="4:10" ht="15.75" customHeight="1">
      <c r="D411" s="9"/>
      <c r="E411" s="9"/>
      <c r="J411" s="1"/>
    </row>
    <row r="412" spans="4:10" ht="15.75" customHeight="1">
      <c r="D412" s="9"/>
      <c r="E412" s="9"/>
      <c r="J412" s="1"/>
    </row>
    <row r="413" spans="4:10" ht="15.75" customHeight="1">
      <c r="D413" s="9"/>
      <c r="E413" s="9"/>
      <c r="J413" s="1"/>
    </row>
    <row r="414" spans="4:10" ht="15.75" customHeight="1">
      <c r="D414" s="9"/>
      <c r="E414" s="9"/>
      <c r="J414" s="1"/>
    </row>
    <row r="415" spans="4:10" ht="15.75" customHeight="1">
      <c r="D415" s="9"/>
      <c r="E415" s="9"/>
      <c r="J415" s="1"/>
    </row>
    <row r="416" spans="4:10" ht="15.75" customHeight="1">
      <c r="D416" s="9"/>
      <c r="E416" s="9"/>
      <c r="J416" s="1"/>
    </row>
    <row r="417" spans="4:10" ht="15.75" customHeight="1">
      <c r="D417" s="9"/>
      <c r="E417" s="9"/>
      <c r="J417" s="1"/>
    </row>
    <row r="418" spans="4:10" ht="15.75" customHeight="1">
      <c r="D418" s="9"/>
      <c r="E418" s="9"/>
      <c r="J418" s="1"/>
    </row>
    <row r="419" spans="4:10" ht="15.75" customHeight="1">
      <c r="D419" s="9"/>
      <c r="E419" s="9"/>
      <c r="J419" s="1"/>
    </row>
    <row r="420" spans="4:10" ht="15.75" customHeight="1">
      <c r="D420" s="9"/>
      <c r="E420" s="9"/>
      <c r="J420" s="1"/>
    </row>
    <row r="421" spans="4:10" ht="15.75" customHeight="1">
      <c r="D421" s="9"/>
      <c r="E421" s="9"/>
      <c r="J421" s="1"/>
    </row>
    <row r="422" spans="4:10" ht="15.75" customHeight="1">
      <c r="D422" s="9"/>
      <c r="E422" s="9"/>
      <c r="J422" s="1"/>
    </row>
    <row r="423" spans="4:10" ht="15.75" customHeight="1">
      <c r="D423" s="9"/>
      <c r="E423" s="9"/>
      <c r="J423" s="1"/>
    </row>
    <row r="424" spans="4:10" ht="15.75" customHeight="1">
      <c r="D424" s="9"/>
      <c r="E424" s="9"/>
      <c r="J424" s="1"/>
    </row>
    <row r="425" spans="4:10" ht="15.75" customHeight="1">
      <c r="D425" s="9"/>
      <c r="E425" s="9"/>
      <c r="J425" s="1"/>
    </row>
    <row r="426" spans="4:10" ht="15.75" customHeight="1">
      <c r="D426" s="9"/>
      <c r="E426" s="9"/>
      <c r="J426" s="1"/>
    </row>
    <row r="427" spans="4:10" ht="15.75" customHeight="1">
      <c r="D427" s="9"/>
      <c r="E427" s="9"/>
      <c r="J427" s="1"/>
    </row>
    <row r="428" spans="4:10" ht="15.75" customHeight="1">
      <c r="D428" s="9"/>
      <c r="E428" s="9"/>
      <c r="J428" s="1"/>
    </row>
    <row r="429" spans="4:10" ht="15.75" customHeight="1">
      <c r="D429" s="9"/>
      <c r="E429" s="9"/>
      <c r="J429" s="1"/>
    </row>
    <row r="430" spans="4:10" ht="15.75" customHeight="1">
      <c r="D430" s="9"/>
      <c r="E430" s="9"/>
      <c r="J430" s="1"/>
    </row>
    <row r="431" spans="4:10" ht="15.75" customHeight="1">
      <c r="D431" s="9"/>
      <c r="E431" s="9"/>
      <c r="J431" s="1"/>
    </row>
    <row r="432" spans="4:10" ht="15.75" customHeight="1">
      <c r="D432" s="9"/>
      <c r="E432" s="9"/>
      <c r="J432" s="1"/>
    </row>
    <row r="433" spans="4:10" ht="15.75" customHeight="1">
      <c r="D433" s="9"/>
      <c r="E433" s="9"/>
      <c r="J433" s="1"/>
    </row>
    <row r="434" spans="4:10" ht="15.75" customHeight="1">
      <c r="D434" s="9"/>
      <c r="E434" s="9"/>
      <c r="J434" s="1"/>
    </row>
    <row r="435" spans="4:10" ht="15.75" customHeight="1">
      <c r="D435" s="9"/>
      <c r="E435" s="9"/>
      <c r="J435" s="1"/>
    </row>
    <row r="436" spans="4:10" ht="15.75" customHeight="1">
      <c r="D436" s="9"/>
      <c r="E436" s="9"/>
      <c r="J436" s="1"/>
    </row>
    <row r="437" spans="4:10" ht="15.75" customHeight="1">
      <c r="D437" s="9"/>
      <c r="E437" s="9"/>
      <c r="J437" s="1"/>
    </row>
    <row r="438" spans="4:10" ht="15.75" customHeight="1">
      <c r="D438" s="9"/>
      <c r="E438" s="9"/>
      <c r="J438" s="1"/>
    </row>
    <row r="439" spans="4:10" ht="15.75" customHeight="1">
      <c r="D439" s="9"/>
      <c r="E439" s="9"/>
      <c r="J439" s="1"/>
    </row>
    <row r="440" spans="4:10" ht="15.75" customHeight="1">
      <c r="D440" s="9"/>
      <c r="E440" s="9"/>
      <c r="J440" s="1"/>
    </row>
    <row r="441" spans="4:10" ht="15.75" customHeight="1">
      <c r="D441" s="9"/>
      <c r="E441" s="9"/>
      <c r="J441" s="1"/>
    </row>
    <row r="442" spans="4:10" ht="15.75" customHeight="1">
      <c r="D442" s="9"/>
      <c r="E442" s="9"/>
      <c r="J442" s="1"/>
    </row>
    <row r="443" spans="4:10" ht="15.75" customHeight="1">
      <c r="D443" s="9"/>
      <c r="E443" s="9"/>
      <c r="J443" s="1"/>
    </row>
    <row r="444" spans="4:10" ht="15.75" customHeight="1">
      <c r="D444" s="9"/>
      <c r="E444" s="9"/>
      <c r="J444" s="1"/>
    </row>
    <row r="445" spans="4:10" ht="15.75" customHeight="1">
      <c r="D445" s="9"/>
      <c r="E445" s="9"/>
      <c r="J445" s="1"/>
    </row>
    <row r="446" spans="4:10" ht="15.75" customHeight="1">
      <c r="D446" s="9"/>
      <c r="E446" s="9"/>
      <c r="J446" s="1"/>
    </row>
    <row r="447" spans="4:10" ht="15.75" customHeight="1">
      <c r="D447" s="9"/>
      <c r="E447" s="9"/>
      <c r="J447" s="1"/>
    </row>
    <row r="448" spans="4:10" ht="15.75" customHeight="1">
      <c r="D448" s="9"/>
      <c r="E448" s="9"/>
      <c r="J448" s="1"/>
    </row>
    <row r="449" spans="4:10" ht="15.75" customHeight="1">
      <c r="D449" s="9"/>
      <c r="E449" s="9"/>
      <c r="J449" s="1"/>
    </row>
    <row r="450" spans="4:10" ht="15.75" customHeight="1">
      <c r="D450" s="9"/>
      <c r="E450" s="9"/>
      <c r="J450" s="1"/>
    </row>
    <row r="451" spans="4:10" ht="15.75" customHeight="1">
      <c r="D451" s="9"/>
      <c r="E451" s="9"/>
      <c r="J451" s="1"/>
    </row>
    <row r="452" spans="4:10" ht="15.75" customHeight="1">
      <c r="D452" s="9"/>
      <c r="E452" s="9"/>
      <c r="J452" s="1"/>
    </row>
    <row r="453" spans="4:10" ht="15.75" customHeight="1">
      <c r="D453" s="9"/>
      <c r="E453" s="9"/>
      <c r="J453" s="1"/>
    </row>
    <row r="454" spans="4:10" ht="15.75" customHeight="1">
      <c r="D454" s="9"/>
      <c r="E454" s="9"/>
      <c r="J454" s="1"/>
    </row>
    <row r="455" spans="4:10" ht="15.75" customHeight="1">
      <c r="D455" s="9"/>
      <c r="E455" s="9"/>
      <c r="J455" s="1"/>
    </row>
    <row r="456" spans="4:10" ht="15.75" customHeight="1">
      <c r="D456" s="9"/>
      <c r="E456" s="9"/>
      <c r="J456" s="1"/>
    </row>
    <row r="457" spans="4:10" ht="15.75" customHeight="1">
      <c r="D457" s="9"/>
      <c r="E457" s="9"/>
      <c r="J457" s="1"/>
    </row>
    <row r="458" spans="4:10" ht="15.75" customHeight="1">
      <c r="D458" s="9"/>
      <c r="E458" s="9"/>
      <c r="J458" s="1"/>
    </row>
    <row r="459" spans="4:10" ht="15.75" customHeight="1">
      <c r="D459" s="9"/>
      <c r="E459" s="9"/>
      <c r="J459" s="1"/>
    </row>
    <row r="460" spans="4:10" ht="15.75" customHeight="1">
      <c r="D460" s="9"/>
      <c r="E460" s="9"/>
      <c r="J460" s="1"/>
    </row>
    <row r="461" spans="4:10" ht="15.75" customHeight="1">
      <c r="D461" s="9"/>
      <c r="E461" s="9"/>
      <c r="J461" s="1"/>
    </row>
    <row r="462" spans="4:10" ht="15.75" customHeight="1">
      <c r="D462" s="9"/>
      <c r="E462" s="9"/>
      <c r="J462" s="1"/>
    </row>
    <row r="463" spans="4:10" ht="15.75" customHeight="1">
      <c r="D463" s="9"/>
      <c r="E463" s="9"/>
      <c r="J463" s="1"/>
    </row>
    <row r="464" spans="4:10" ht="15.75" customHeight="1">
      <c r="D464" s="9"/>
      <c r="E464" s="9"/>
      <c r="J464" s="1"/>
    </row>
    <row r="465" spans="4:10" ht="15.75" customHeight="1">
      <c r="D465" s="9"/>
      <c r="E465" s="9"/>
      <c r="J465" s="1"/>
    </row>
    <row r="466" spans="4:10" ht="15.75" customHeight="1">
      <c r="D466" s="9"/>
      <c r="E466" s="9"/>
      <c r="J466" s="1"/>
    </row>
    <row r="467" spans="4:10" ht="15.75" customHeight="1">
      <c r="D467" s="9"/>
      <c r="E467" s="9"/>
      <c r="J467" s="1"/>
    </row>
    <row r="468" spans="4:10" ht="15.75" customHeight="1">
      <c r="D468" s="9"/>
      <c r="E468" s="9"/>
      <c r="J468" s="1"/>
    </row>
    <row r="469" spans="4:10" ht="15.75" customHeight="1">
      <c r="D469" s="9"/>
      <c r="E469" s="9"/>
      <c r="J469" s="1"/>
    </row>
    <row r="470" spans="4:10" ht="15.75" customHeight="1">
      <c r="D470" s="9"/>
      <c r="E470" s="9"/>
      <c r="J470" s="1"/>
    </row>
    <row r="471" spans="4:10" ht="15.75" customHeight="1">
      <c r="D471" s="9"/>
      <c r="E471" s="9"/>
      <c r="J471" s="1"/>
    </row>
    <row r="472" spans="4:10" ht="15.75" customHeight="1">
      <c r="D472" s="9"/>
      <c r="E472" s="9"/>
      <c r="J472" s="1"/>
    </row>
    <row r="473" spans="4:10" ht="15.75" customHeight="1">
      <c r="D473" s="9"/>
      <c r="E473" s="9"/>
      <c r="J473" s="1"/>
    </row>
    <row r="474" spans="4:10" ht="15.75" customHeight="1">
      <c r="D474" s="9"/>
      <c r="E474" s="9"/>
      <c r="J474" s="1"/>
    </row>
    <row r="475" spans="4:10" ht="15.75" customHeight="1">
      <c r="D475" s="9"/>
      <c r="E475" s="9"/>
      <c r="J475" s="1"/>
    </row>
    <row r="476" spans="4:10" ht="15.75" customHeight="1">
      <c r="D476" s="9"/>
      <c r="E476" s="9"/>
      <c r="J476" s="1"/>
    </row>
    <row r="477" spans="4:10" ht="15.75" customHeight="1">
      <c r="D477" s="9"/>
      <c r="E477" s="9"/>
      <c r="J477" s="1"/>
    </row>
    <row r="478" spans="4:10" ht="15.75" customHeight="1">
      <c r="D478" s="9"/>
      <c r="E478" s="9"/>
      <c r="J478" s="1"/>
    </row>
    <row r="479" spans="4:10" ht="15.75" customHeight="1">
      <c r="D479" s="9"/>
      <c r="E479" s="9"/>
      <c r="J479" s="1"/>
    </row>
    <row r="480" spans="4:10" ht="15.75" customHeight="1">
      <c r="D480" s="9"/>
      <c r="E480" s="9"/>
      <c r="J480" s="1"/>
    </row>
    <row r="481" spans="4:10" ht="15.75" customHeight="1">
      <c r="D481" s="9"/>
      <c r="E481" s="9"/>
      <c r="J481" s="1"/>
    </row>
    <row r="482" spans="4:10" ht="15.75" customHeight="1">
      <c r="D482" s="9"/>
      <c r="E482" s="9"/>
      <c r="J482" s="1"/>
    </row>
    <row r="483" spans="4:10" ht="15.75" customHeight="1">
      <c r="D483" s="9"/>
      <c r="E483" s="9"/>
      <c r="J483" s="1"/>
    </row>
    <row r="484" spans="4:10" ht="15.75" customHeight="1">
      <c r="D484" s="9"/>
      <c r="E484" s="9"/>
      <c r="J484" s="1"/>
    </row>
    <row r="485" spans="4:10" ht="15.75" customHeight="1">
      <c r="D485" s="9"/>
      <c r="E485" s="9"/>
      <c r="J485" s="1"/>
    </row>
    <row r="486" spans="4:10" ht="15.75" customHeight="1">
      <c r="D486" s="9"/>
      <c r="E486" s="9"/>
      <c r="J486" s="1"/>
    </row>
    <row r="487" spans="4:10" ht="15.75" customHeight="1">
      <c r="D487" s="9"/>
      <c r="E487" s="9"/>
      <c r="J487" s="1"/>
    </row>
    <row r="488" spans="4:10" ht="15.75" customHeight="1">
      <c r="D488" s="9"/>
      <c r="E488" s="9"/>
      <c r="J488" s="1"/>
    </row>
    <row r="489" spans="4:10" ht="15.75" customHeight="1">
      <c r="D489" s="9"/>
      <c r="E489" s="9"/>
      <c r="J489" s="1"/>
    </row>
    <row r="490" spans="4:10" ht="15.75" customHeight="1">
      <c r="D490" s="9"/>
      <c r="E490" s="9"/>
      <c r="J490" s="1"/>
    </row>
    <row r="491" spans="4:10" ht="15.75" customHeight="1">
      <c r="D491" s="9"/>
      <c r="E491" s="9"/>
      <c r="J491" s="1"/>
    </row>
    <row r="492" spans="4:10" ht="15.75" customHeight="1">
      <c r="D492" s="9"/>
      <c r="E492" s="9"/>
      <c r="J492" s="1"/>
    </row>
    <row r="493" spans="4:10" ht="15.75" customHeight="1">
      <c r="D493" s="9"/>
      <c r="E493" s="9"/>
      <c r="J493" s="1"/>
    </row>
    <row r="494" spans="4:10" ht="15.75" customHeight="1">
      <c r="D494" s="9"/>
      <c r="E494" s="9"/>
      <c r="J494" s="1"/>
    </row>
    <row r="495" spans="4:10" ht="15.75" customHeight="1">
      <c r="D495" s="9"/>
      <c r="E495" s="9"/>
      <c r="J495" s="1"/>
    </row>
    <row r="496" spans="4:10" ht="15.75" customHeight="1">
      <c r="D496" s="9"/>
      <c r="E496" s="9"/>
      <c r="J496" s="1"/>
    </row>
    <row r="497" spans="4:10" ht="15.75" customHeight="1">
      <c r="D497" s="9"/>
      <c r="E497" s="9"/>
      <c r="J497" s="1"/>
    </row>
    <row r="498" spans="4:10" ht="15.75" customHeight="1">
      <c r="D498" s="9"/>
      <c r="E498" s="9"/>
      <c r="J498" s="1"/>
    </row>
    <row r="499" spans="4:10" ht="15.75" customHeight="1">
      <c r="D499" s="9"/>
      <c r="E499" s="9"/>
      <c r="J499" s="1"/>
    </row>
    <row r="500" spans="4:10" ht="15.75" customHeight="1">
      <c r="D500" s="9"/>
      <c r="E500" s="9"/>
      <c r="J500" s="1"/>
    </row>
    <row r="501" spans="4:10" ht="15.75" customHeight="1">
      <c r="D501" s="9"/>
      <c r="E501" s="9"/>
      <c r="J501" s="1"/>
    </row>
    <row r="502" spans="4:10" ht="15.75" customHeight="1">
      <c r="D502" s="9"/>
      <c r="E502" s="9"/>
      <c r="J502" s="1"/>
    </row>
    <row r="503" spans="4:10" ht="15.75" customHeight="1">
      <c r="D503" s="9"/>
      <c r="E503" s="9"/>
      <c r="J503" s="1"/>
    </row>
    <row r="504" spans="4:10" ht="15.75" customHeight="1">
      <c r="D504" s="9"/>
      <c r="E504" s="9"/>
      <c r="J504" s="1"/>
    </row>
    <row r="505" spans="4:10" ht="15.75" customHeight="1">
      <c r="D505" s="9"/>
      <c r="E505" s="9"/>
      <c r="J505" s="1"/>
    </row>
    <row r="506" spans="4:10" ht="15.75" customHeight="1">
      <c r="D506" s="9"/>
      <c r="E506" s="9"/>
      <c r="J506" s="1"/>
    </row>
    <row r="507" spans="4:10" ht="15.75" customHeight="1">
      <c r="D507" s="9"/>
      <c r="E507" s="9"/>
      <c r="J507" s="1"/>
    </row>
    <row r="508" spans="4:10" ht="15.75" customHeight="1">
      <c r="D508" s="9"/>
      <c r="E508" s="9"/>
      <c r="J508" s="1"/>
    </row>
    <row r="509" spans="4:10" ht="15.75" customHeight="1">
      <c r="D509" s="9"/>
      <c r="E509" s="9"/>
      <c r="J509" s="1"/>
    </row>
    <row r="510" spans="4:10" ht="15.75" customHeight="1">
      <c r="D510" s="9"/>
      <c r="E510" s="9"/>
      <c r="J510" s="1"/>
    </row>
    <row r="511" spans="4:10" ht="15.75" customHeight="1">
      <c r="D511" s="9"/>
      <c r="E511" s="9"/>
      <c r="J511" s="1"/>
    </row>
    <row r="512" spans="4:10" ht="15.75" customHeight="1">
      <c r="D512" s="9"/>
      <c r="E512" s="9"/>
      <c r="J512" s="1"/>
    </row>
    <row r="513" spans="4:10" ht="15.75" customHeight="1">
      <c r="D513" s="9"/>
      <c r="E513" s="9"/>
      <c r="J513" s="1"/>
    </row>
    <row r="514" spans="4:10" ht="15.75" customHeight="1">
      <c r="D514" s="9"/>
      <c r="E514" s="9"/>
      <c r="J514" s="1"/>
    </row>
    <row r="515" spans="4:10" ht="15.75" customHeight="1">
      <c r="D515" s="9"/>
      <c r="E515" s="9"/>
      <c r="J515" s="1"/>
    </row>
    <row r="516" spans="4:10" ht="15.75" customHeight="1">
      <c r="D516" s="9"/>
      <c r="E516" s="9"/>
      <c r="J516" s="1"/>
    </row>
    <row r="517" spans="4:10" ht="15.75" customHeight="1">
      <c r="D517" s="9"/>
      <c r="E517" s="9"/>
      <c r="J517" s="1"/>
    </row>
    <row r="518" spans="4:10" ht="15.75" customHeight="1">
      <c r="D518" s="9"/>
      <c r="E518" s="9"/>
      <c r="J518" s="1"/>
    </row>
    <row r="519" spans="4:10" ht="15.75" customHeight="1">
      <c r="D519" s="9"/>
      <c r="E519" s="9"/>
      <c r="J519" s="1"/>
    </row>
    <row r="520" spans="4:10" ht="15.75" customHeight="1">
      <c r="D520" s="9"/>
      <c r="E520" s="9"/>
      <c r="J520" s="1"/>
    </row>
    <row r="521" spans="4:10" ht="15.75" customHeight="1">
      <c r="D521" s="9"/>
      <c r="E521" s="9"/>
      <c r="J521" s="1"/>
    </row>
    <row r="522" spans="4:10" ht="15.75" customHeight="1">
      <c r="D522" s="9"/>
      <c r="E522" s="9"/>
      <c r="J522" s="1"/>
    </row>
    <row r="523" spans="4:10" ht="15.75" customHeight="1">
      <c r="D523" s="9"/>
      <c r="E523" s="9"/>
      <c r="J523" s="1"/>
    </row>
    <row r="524" spans="4:10" ht="15.75" customHeight="1">
      <c r="D524" s="9"/>
      <c r="E524" s="9"/>
      <c r="J524" s="1"/>
    </row>
    <row r="525" spans="4:10" ht="15.75" customHeight="1">
      <c r="D525" s="9"/>
      <c r="E525" s="9"/>
      <c r="J525" s="1"/>
    </row>
    <row r="526" spans="4:10" ht="15.75" customHeight="1">
      <c r="D526" s="9"/>
      <c r="E526" s="9"/>
      <c r="J526" s="1"/>
    </row>
    <row r="527" spans="4:10" ht="15.75" customHeight="1">
      <c r="D527" s="9"/>
      <c r="E527" s="9"/>
      <c r="J527" s="1"/>
    </row>
    <row r="528" spans="4:10" ht="15.75" customHeight="1">
      <c r="D528" s="9"/>
      <c r="E528" s="9"/>
      <c r="J528" s="1"/>
    </row>
    <row r="529" spans="4:10" ht="15.75" customHeight="1">
      <c r="D529" s="9"/>
      <c r="E529" s="9"/>
      <c r="J529" s="1"/>
    </row>
    <row r="530" spans="4:10" ht="15.75" customHeight="1">
      <c r="D530" s="9"/>
      <c r="E530" s="9"/>
      <c r="J530" s="1"/>
    </row>
    <row r="531" spans="4:10" ht="15.75" customHeight="1">
      <c r="D531" s="9"/>
      <c r="E531" s="9"/>
      <c r="J531" s="1"/>
    </row>
    <row r="532" spans="4:10" ht="15.75" customHeight="1">
      <c r="D532" s="9"/>
      <c r="E532" s="9"/>
      <c r="J532" s="1"/>
    </row>
    <row r="533" spans="4:10" ht="15.75" customHeight="1">
      <c r="D533" s="9"/>
      <c r="E533" s="9"/>
      <c r="J533" s="1"/>
    </row>
    <row r="534" spans="4:10" ht="15.75" customHeight="1">
      <c r="D534" s="9"/>
      <c r="E534" s="9"/>
      <c r="J534" s="1"/>
    </row>
    <row r="535" spans="4:10" ht="15.75" customHeight="1">
      <c r="D535" s="9"/>
      <c r="E535" s="9"/>
      <c r="J535" s="1"/>
    </row>
    <row r="536" spans="4:10" ht="15.75" customHeight="1">
      <c r="D536" s="9"/>
      <c r="E536" s="9"/>
      <c r="J536" s="1"/>
    </row>
    <row r="537" spans="4:10" ht="15.75" customHeight="1">
      <c r="D537" s="9"/>
      <c r="E537" s="9"/>
      <c r="J537" s="1"/>
    </row>
    <row r="538" spans="4:10" ht="15.75" customHeight="1">
      <c r="D538" s="9"/>
      <c r="E538" s="9"/>
      <c r="J538" s="1"/>
    </row>
    <row r="539" spans="4:10" ht="15.75" customHeight="1">
      <c r="D539" s="9"/>
      <c r="E539" s="9"/>
      <c r="J539" s="1"/>
    </row>
    <row r="540" spans="4:10" ht="15.75" customHeight="1">
      <c r="D540" s="9"/>
      <c r="E540" s="9"/>
      <c r="J540" s="1"/>
    </row>
    <row r="541" spans="4:10" ht="15.75" customHeight="1">
      <c r="D541" s="9"/>
      <c r="E541" s="9"/>
      <c r="J541" s="1"/>
    </row>
    <row r="542" spans="4:10" ht="15.75" customHeight="1">
      <c r="D542" s="9"/>
      <c r="E542" s="9"/>
      <c r="J542" s="1"/>
    </row>
    <row r="543" spans="4:10" ht="15.75" customHeight="1">
      <c r="D543" s="9"/>
      <c r="E543" s="9"/>
      <c r="J543" s="1"/>
    </row>
    <row r="544" spans="4:10" ht="15.75" customHeight="1">
      <c r="D544" s="9"/>
      <c r="E544" s="9"/>
      <c r="J544" s="1"/>
    </row>
    <row r="545" spans="4:10" ht="15.75" customHeight="1">
      <c r="D545" s="9"/>
      <c r="E545" s="9"/>
      <c r="J545" s="1"/>
    </row>
    <row r="546" spans="4:10" ht="15.75" customHeight="1">
      <c r="D546" s="9"/>
      <c r="E546" s="9"/>
      <c r="J546" s="1"/>
    </row>
    <row r="547" spans="4:10" ht="15.75" customHeight="1">
      <c r="D547" s="9"/>
      <c r="E547" s="9"/>
      <c r="J547" s="1"/>
    </row>
    <row r="548" spans="4:10" ht="15.75" customHeight="1">
      <c r="D548" s="9"/>
      <c r="E548" s="9"/>
      <c r="J548" s="1"/>
    </row>
    <row r="549" spans="4:10" ht="15.75" customHeight="1">
      <c r="D549" s="9"/>
      <c r="E549" s="9"/>
      <c r="J549" s="1"/>
    </row>
    <row r="550" spans="4:10" ht="15.75" customHeight="1">
      <c r="D550" s="9"/>
      <c r="E550" s="9"/>
      <c r="J550" s="1"/>
    </row>
    <row r="551" spans="4:10" ht="15.75" customHeight="1">
      <c r="D551" s="9"/>
      <c r="E551" s="9"/>
      <c r="J551" s="1"/>
    </row>
    <row r="552" spans="4:10" ht="15.75" customHeight="1">
      <c r="D552" s="9"/>
      <c r="E552" s="9"/>
      <c r="J552" s="1"/>
    </row>
    <row r="553" spans="4:10" ht="15.75" customHeight="1">
      <c r="D553" s="9"/>
      <c r="E553" s="9"/>
      <c r="J553" s="1"/>
    </row>
    <row r="554" spans="4:10" ht="15.75" customHeight="1">
      <c r="D554" s="9"/>
      <c r="E554" s="9"/>
      <c r="J554" s="1"/>
    </row>
    <row r="555" spans="4:10" ht="15.75" customHeight="1">
      <c r="D555" s="9"/>
      <c r="E555" s="9"/>
      <c r="J555" s="1"/>
    </row>
    <row r="556" spans="4:10" ht="15.75" customHeight="1">
      <c r="D556" s="9"/>
      <c r="E556" s="9"/>
      <c r="J556" s="1"/>
    </row>
    <row r="557" spans="4:10" ht="15.75" customHeight="1">
      <c r="D557" s="9"/>
      <c r="E557" s="9"/>
      <c r="J557" s="1"/>
    </row>
    <row r="558" spans="4:10" ht="15.75" customHeight="1">
      <c r="D558" s="9"/>
      <c r="E558" s="9"/>
      <c r="J558" s="1"/>
    </row>
    <row r="559" spans="4:10" ht="15.75" customHeight="1">
      <c r="D559" s="9"/>
      <c r="E559" s="9"/>
      <c r="J559" s="1"/>
    </row>
    <row r="560" spans="4:10" ht="15.75" customHeight="1">
      <c r="D560" s="9"/>
      <c r="E560" s="9"/>
      <c r="J560" s="1"/>
    </row>
    <row r="561" spans="4:10" ht="15.75" customHeight="1">
      <c r="D561" s="9"/>
      <c r="E561" s="9"/>
      <c r="J561" s="1"/>
    </row>
    <row r="562" spans="4:10" ht="15.75" customHeight="1">
      <c r="D562" s="9"/>
      <c r="E562" s="9"/>
      <c r="J562" s="1"/>
    </row>
    <row r="563" spans="4:10" ht="15.75" customHeight="1">
      <c r="D563" s="9"/>
      <c r="E563" s="9"/>
      <c r="J563" s="1"/>
    </row>
    <row r="564" spans="4:10" ht="15.75" customHeight="1">
      <c r="D564" s="9"/>
      <c r="E564" s="9"/>
      <c r="J564" s="1"/>
    </row>
    <row r="565" spans="4:10" ht="15.75" customHeight="1">
      <c r="D565" s="9"/>
      <c r="E565" s="9"/>
      <c r="J565" s="1"/>
    </row>
    <row r="566" spans="4:10" ht="15.75" customHeight="1">
      <c r="D566" s="9"/>
      <c r="E566" s="9"/>
      <c r="J566" s="1"/>
    </row>
    <row r="567" spans="4:10" ht="15.75" customHeight="1">
      <c r="D567" s="9"/>
      <c r="E567" s="9"/>
      <c r="J567" s="1"/>
    </row>
    <row r="568" spans="4:10" ht="15.75" customHeight="1">
      <c r="D568" s="9"/>
      <c r="E568" s="9"/>
      <c r="J568" s="1"/>
    </row>
    <row r="569" spans="4:10" ht="15.75" customHeight="1">
      <c r="D569" s="9"/>
      <c r="E569" s="9"/>
      <c r="J569" s="1"/>
    </row>
    <row r="570" spans="4:10" ht="15.75" customHeight="1">
      <c r="D570" s="9"/>
      <c r="E570" s="9"/>
      <c r="J570" s="1"/>
    </row>
    <row r="571" spans="4:10" ht="15.75" customHeight="1">
      <c r="D571" s="9"/>
      <c r="E571" s="9"/>
      <c r="J571" s="1"/>
    </row>
    <row r="572" spans="4:10" ht="15.75" customHeight="1">
      <c r="D572" s="9"/>
      <c r="E572" s="9"/>
      <c r="J572" s="1"/>
    </row>
    <row r="573" spans="4:10" ht="15.75" customHeight="1">
      <c r="D573" s="9"/>
      <c r="E573" s="9"/>
      <c r="J573" s="1"/>
    </row>
    <row r="574" spans="4:10" ht="15.75" customHeight="1">
      <c r="D574" s="9"/>
      <c r="E574" s="9"/>
      <c r="J574" s="1"/>
    </row>
    <row r="575" spans="4:10" ht="15.75" customHeight="1">
      <c r="D575" s="9"/>
      <c r="E575" s="9"/>
      <c r="J575" s="1"/>
    </row>
    <row r="576" spans="4:10" ht="15.75" customHeight="1">
      <c r="D576" s="9"/>
      <c r="E576" s="9"/>
      <c r="J576" s="1"/>
    </row>
    <row r="577" spans="4:10" ht="15.75" customHeight="1">
      <c r="D577" s="9"/>
      <c r="E577" s="9"/>
      <c r="J577" s="1"/>
    </row>
    <row r="578" spans="4:10" ht="15.75" customHeight="1">
      <c r="D578" s="9"/>
      <c r="E578" s="9"/>
      <c r="J578" s="1"/>
    </row>
    <row r="579" spans="4:10" ht="15.75" customHeight="1">
      <c r="D579" s="9"/>
      <c r="E579" s="9"/>
      <c r="J579" s="1"/>
    </row>
    <row r="580" spans="4:10" ht="15.75" customHeight="1">
      <c r="D580" s="9"/>
      <c r="E580" s="9"/>
      <c r="J580" s="1"/>
    </row>
    <row r="581" spans="4:10" ht="15.75" customHeight="1">
      <c r="D581" s="9"/>
      <c r="E581" s="9"/>
      <c r="J581" s="1"/>
    </row>
    <row r="582" spans="4:10" ht="15.75" customHeight="1">
      <c r="D582" s="9"/>
      <c r="E582" s="9"/>
      <c r="J582" s="1"/>
    </row>
    <row r="583" spans="4:10" ht="15.75" customHeight="1">
      <c r="D583" s="9"/>
      <c r="E583" s="9"/>
      <c r="J583" s="1"/>
    </row>
    <row r="584" spans="4:10" ht="15.75" customHeight="1">
      <c r="D584" s="9"/>
      <c r="E584" s="9"/>
      <c r="J584" s="1"/>
    </row>
    <row r="585" spans="4:10" ht="15.75" customHeight="1">
      <c r="D585" s="9"/>
      <c r="E585" s="9"/>
      <c r="J585" s="1"/>
    </row>
    <row r="586" spans="4:10" ht="15.75" customHeight="1">
      <c r="D586" s="9"/>
      <c r="E586" s="9"/>
      <c r="J586" s="1"/>
    </row>
    <row r="587" spans="4:10" ht="15.75" customHeight="1">
      <c r="D587" s="9"/>
      <c r="E587" s="9"/>
      <c r="J587" s="1"/>
    </row>
    <row r="588" spans="4:10" ht="15.75" customHeight="1">
      <c r="D588" s="9"/>
      <c r="E588" s="9"/>
      <c r="J588" s="1"/>
    </row>
    <row r="589" spans="4:10" ht="15.75" customHeight="1">
      <c r="D589" s="9"/>
      <c r="E589" s="9"/>
      <c r="J589" s="1"/>
    </row>
    <row r="590" spans="4:10" ht="15.75" customHeight="1">
      <c r="D590" s="9"/>
      <c r="E590" s="9"/>
      <c r="J590" s="1"/>
    </row>
    <row r="591" spans="4:10" ht="15.75" customHeight="1">
      <c r="D591" s="9"/>
      <c r="E591" s="9"/>
      <c r="J591" s="1"/>
    </row>
    <row r="592" spans="4:10" ht="15.75" customHeight="1">
      <c r="D592" s="9"/>
      <c r="E592" s="9"/>
      <c r="J592" s="1"/>
    </row>
    <row r="593" spans="4:10" ht="15.75" customHeight="1">
      <c r="D593" s="9"/>
      <c r="E593" s="9"/>
      <c r="J593" s="1"/>
    </row>
    <row r="594" spans="4:10" ht="15.75" customHeight="1">
      <c r="D594" s="9"/>
      <c r="E594" s="9"/>
      <c r="J594" s="1"/>
    </row>
    <row r="595" spans="4:10" ht="15.75" customHeight="1">
      <c r="D595" s="9"/>
      <c r="E595" s="9"/>
      <c r="J595" s="1"/>
    </row>
    <row r="596" spans="4:10" ht="15.75" customHeight="1">
      <c r="D596" s="9"/>
      <c r="E596" s="9"/>
      <c r="J596" s="1"/>
    </row>
    <row r="597" spans="4:10" ht="15.75" customHeight="1">
      <c r="D597" s="9"/>
      <c r="E597" s="9"/>
      <c r="J597" s="1"/>
    </row>
    <row r="598" spans="4:10" ht="15.75" customHeight="1">
      <c r="D598" s="9"/>
      <c r="E598" s="9"/>
      <c r="J598" s="1"/>
    </row>
    <row r="599" spans="4:10" ht="15.75" customHeight="1">
      <c r="D599" s="9"/>
      <c r="E599" s="9"/>
      <c r="J599" s="1"/>
    </row>
    <row r="600" spans="4:10" ht="15.75" customHeight="1">
      <c r="D600" s="9"/>
      <c r="E600" s="9"/>
      <c r="J600" s="1"/>
    </row>
    <row r="601" spans="4:10" ht="15.75" customHeight="1">
      <c r="D601" s="9"/>
      <c r="E601" s="9"/>
      <c r="J601" s="1"/>
    </row>
    <row r="602" spans="4:10" ht="15.75" customHeight="1">
      <c r="D602" s="9"/>
      <c r="E602" s="9"/>
      <c r="J602" s="1"/>
    </row>
    <row r="603" spans="4:10" ht="15.75" customHeight="1">
      <c r="D603" s="9"/>
      <c r="E603" s="9"/>
      <c r="J603" s="1"/>
    </row>
    <row r="604" spans="4:10" ht="15.75" customHeight="1">
      <c r="D604" s="9"/>
      <c r="E604" s="9"/>
      <c r="J604" s="1"/>
    </row>
    <row r="605" spans="4:10" ht="15.75" customHeight="1">
      <c r="D605" s="9"/>
      <c r="E605" s="9"/>
      <c r="J605" s="1"/>
    </row>
    <row r="606" spans="4:10" ht="15.75" customHeight="1">
      <c r="D606" s="9"/>
      <c r="E606" s="9"/>
      <c r="J606" s="1"/>
    </row>
    <row r="607" spans="4:10" ht="15.75" customHeight="1">
      <c r="D607" s="9"/>
      <c r="E607" s="9"/>
      <c r="J607" s="1"/>
    </row>
    <row r="608" spans="4:10" ht="15.75" customHeight="1">
      <c r="D608" s="9"/>
      <c r="E608" s="9"/>
      <c r="J608" s="1"/>
    </row>
    <row r="609" spans="4:10" ht="15.75" customHeight="1">
      <c r="D609" s="9"/>
      <c r="E609" s="9"/>
      <c r="J609" s="1"/>
    </row>
    <row r="610" spans="4:10" ht="15.75" customHeight="1">
      <c r="D610" s="9"/>
      <c r="E610" s="9"/>
      <c r="J610" s="1"/>
    </row>
    <row r="611" spans="4:10" ht="15.75" customHeight="1">
      <c r="D611" s="9"/>
      <c r="E611" s="9"/>
      <c r="J611" s="1"/>
    </row>
    <row r="612" spans="4:10" ht="15.75" customHeight="1">
      <c r="D612" s="9"/>
      <c r="E612" s="9"/>
      <c r="J612" s="1"/>
    </row>
    <row r="613" spans="4:10" ht="15.75" customHeight="1">
      <c r="D613" s="9"/>
      <c r="E613" s="9"/>
      <c r="J613" s="1"/>
    </row>
    <row r="614" spans="4:10" ht="15.75" customHeight="1">
      <c r="D614" s="9"/>
      <c r="E614" s="9"/>
      <c r="J614" s="1"/>
    </row>
    <row r="615" spans="4:10" ht="15.75" customHeight="1">
      <c r="D615" s="9"/>
      <c r="E615" s="9"/>
      <c r="J615" s="1"/>
    </row>
    <row r="616" spans="4:10" ht="15.75" customHeight="1">
      <c r="D616" s="9"/>
      <c r="E616" s="9"/>
      <c r="J616" s="1"/>
    </row>
    <row r="617" spans="4:10" ht="15.75" customHeight="1">
      <c r="D617" s="9"/>
      <c r="E617" s="9"/>
      <c r="J617" s="1"/>
    </row>
    <row r="618" spans="4:10" ht="15.75" customHeight="1">
      <c r="D618" s="9"/>
      <c r="E618" s="9"/>
      <c r="J618" s="1"/>
    </row>
    <row r="619" spans="4:10" ht="15.75" customHeight="1">
      <c r="D619" s="9"/>
      <c r="E619" s="9"/>
      <c r="J619" s="1"/>
    </row>
    <row r="620" spans="4:10" ht="15.75" customHeight="1">
      <c r="D620" s="9"/>
      <c r="E620" s="9"/>
      <c r="J620" s="1"/>
    </row>
    <row r="621" spans="4:10" ht="15.75" customHeight="1">
      <c r="D621" s="9"/>
      <c r="E621" s="9"/>
      <c r="J621" s="1"/>
    </row>
    <row r="622" spans="4:10" ht="15.75" customHeight="1">
      <c r="D622" s="9"/>
      <c r="E622" s="9"/>
      <c r="J622" s="1"/>
    </row>
    <row r="623" spans="4:10" ht="15.75" customHeight="1">
      <c r="D623" s="9"/>
      <c r="E623" s="9"/>
      <c r="J623" s="1"/>
    </row>
    <row r="624" spans="4:10" ht="15.75" customHeight="1">
      <c r="D624" s="9"/>
      <c r="E624" s="9"/>
      <c r="J624" s="1"/>
    </row>
    <row r="625" spans="4:10" ht="15.75" customHeight="1">
      <c r="D625" s="9"/>
      <c r="E625" s="9"/>
      <c r="J625" s="1"/>
    </row>
    <row r="626" spans="4:10" ht="15.75" customHeight="1">
      <c r="D626" s="9"/>
      <c r="E626" s="9"/>
      <c r="J626" s="1"/>
    </row>
    <row r="627" spans="4:10" ht="15.75" customHeight="1">
      <c r="D627" s="9"/>
      <c r="E627" s="9"/>
      <c r="J627" s="1"/>
    </row>
    <row r="628" spans="4:10" ht="15.75" customHeight="1">
      <c r="D628" s="9"/>
      <c r="E628" s="9"/>
      <c r="J628" s="1"/>
    </row>
    <row r="629" spans="4:10" ht="15.75" customHeight="1">
      <c r="D629" s="9"/>
      <c r="E629" s="9"/>
      <c r="J629" s="1"/>
    </row>
    <row r="630" spans="4:10" ht="15.75" customHeight="1">
      <c r="D630" s="9"/>
      <c r="E630" s="9"/>
      <c r="J630" s="1"/>
    </row>
    <row r="631" spans="4:10" ht="15.75" customHeight="1">
      <c r="D631" s="9"/>
      <c r="E631" s="9"/>
      <c r="J631" s="1"/>
    </row>
    <row r="632" spans="4:10" ht="15.75" customHeight="1">
      <c r="D632" s="9"/>
      <c r="E632" s="9"/>
      <c r="J632" s="1"/>
    </row>
    <row r="633" spans="4:10" ht="15.75" customHeight="1">
      <c r="D633" s="9"/>
      <c r="E633" s="9"/>
      <c r="J633" s="1"/>
    </row>
    <row r="634" spans="4:10" ht="15.75" customHeight="1">
      <c r="D634" s="9"/>
      <c r="E634" s="9"/>
      <c r="J634" s="1"/>
    </row>
    <row r="635" spans="4:10" ht="15.75" customHeight="1">
      <c r="D635" s="9"/>
      <c r="E635" s="9"/>
      <c r="J635" s="1"/>
    </row>
    <row r="636" spans="4:10" ht="15.75" customHeight="1">
      <c r="D636" s="9"/>
      <c r="E636" s="9"/>
      <c r="J636" s="1"/>
    </row>
    <row r="637" spans="4:10" ht="15.75" customHeight="1">
      <c r="D637" s="9"/>
      <c r="E637" s="9"/>
      <c r="J637" s="1"/>
    </row>
    <row r="638" spans="4:10" ht="15.75" customHeight="1">
      <c r="D638" s="9"/>
      <c r="E638" s="9"/>
      <c r="J638" s="1"/>
    </row>
    <row r="639" spans="4:10" ht="15.75" customHeight="1">
      <c r="D639" s="9"/>
      <c r="E639" s="9"/>
      <c r="J639" s="1"/>
    </row>
    <row r="640" spans="4:10" ht="15.75" customHeight="1">
      <c r="D640" s="9"/>
      <c r="E640" s="9"/>
      <c r="J640" s="1"/>
    </row>
    <row r="641" spans="4:10" ht="15.75" customHeight="1">
      <c r="D641" s="9"/>
      <c r="E641" s="9"/>
      <c r="J641" s="1"/>
    </row>
    <row r="642" spans="4:10" ht="15.75" customHeight="1">
      <c r="D642" s="9"/>
      <c r="E642" s="9"/>
      <c r="J642" s="1"/>
    </row>
    <row r="643" spans="4:10" ht="15.75" customHeight="1">
      <c r="D643" s="9"/>
      <c r="E643" s="9"/>
      <c r="J643" s="1"/>
    </row>
    <row r="644" spans="4:10" ht="15.75" customHeight="1">
      <c r="D644" s="9"/>
      <c r="E644" s="9"/>
      <c r="J644" s="1"/>
    </row>
    <row r="645" spans="4:10" ht="15.75" customHeight="1">
      <c r="D645" s="9"/>
      <c r="E645" s="9"/>
      <c r="J645" s="1"/>
    </row>
    <row r="646" spans="4:10" ht="15.75" customHeight="1">
      <c r="D646" s="9"/>
      <c r="E646" s="9"/>
      <c r="J646" s="1"/>
    </row>
    <row r="647" spans="4:10" ht="15.75" customHeight="1">
      <c r="D647" s="9"/>
      <c r="E647" s="9"/>
      <c r="J647" s="1"/>
    </row>
    <row r="648" spans="4:10" ht="15.75" customHeight="1">
      <c r="D648" s="9"/>
      <c r="E648" s="9"/>
      <c r="J648" s="1"/>
    </row>
    <row r="649" spans="4:10" ht="15.75" customHeight="1">
      <c r="D649" s="9"/>
      <c r="E649" s="9"/>
      <c r="J649" s="1"/>
    </row>
    <row r="650" spans="4:10" ht="15.75" customHeight="1">
      <c r="D650" s="9"/>
      <c r="E650" s="9"/>
      <c r="J650" s="1"/>
    </row>
    <row r="651" spans="4:10" ht="15.75" customHeight="1">
      <c r="D651" s="9"/>
      <c r="E651" s="9"/>
      <c r="J651" s="1"/>
    </row>
    <row r="652" spans="4:10" ht="15.75" customHeight="1">
      <c r="D652" s="9"/>
      <c r="E652" s="9"/>
      <c r="J652" s="1"/>
    </row>
    <row r="653" spans="4:10" ht="15.75" customHeight="1">
      <c r="D653" s="9"/>
      <c r="E653" s="9"/>
      <c r="J653" s="1"/>
    </row>
    <row r="654" spans="4:10" ht="15.75" customHeight="1">
      <c r="D654" s="9"/>
      <c r="E654" s="9"/>
      <c r="J654" s="1"/>
    </row>
    <row r="655" spans="4:10" ht="15.75" customHeight="1">
      <c r="D655" s="9"/>
      <c r="E655" s="9"/>
      <c r="J655" s="1"/>
    </row>
    <row r="656" spans="4:10" ht="15.75" customHeight="1">
      <c r="D656" s="9"/>
      <c r="E656" s="9"/>
      <c r="J656" s="1"/>
    </row>
    <row r="657" spans="4:10" ht="15.75" customHeight="1">
      <c r="D657" s="9"/>
      <c r="E657" s="9"/>
      <c r="J657" s="1"/>
    </row>
    <row r="658" spans="4:10" ht="15.75" customHeight="1">
      <c r="D658" s="9"/>
      <c r="E658" s="9"/>
      <c r="J658" s="1"/>
    </row>
    <row r="659" spans="4:10" ht="15.75" customHeight="1">
      <c r="D659" s="9"/>
      <c r="E659" s="9"/>
      <c r="J659" s="1"/>
    </row>
    <row r="660" spans="4:10" ht="15.75" customHeight="1">
      <c r="D660" s="9"/>
      <c r="E660" s="9"/>
      <c r="J660" s="1"/>
    </row>
    <row r="661" spans="4:10" ht="15.75" customHeight="1">
      <c r="D661" s="9"/>
      <c r="E661" s="9"/>
      <c r="J661" s="1"/>
    </row>
    <row r="662" spans="4:10" ht="15.75" customHeight="1">
      <c r="D662" s="9"/>
      <c r="E662" s="9"/>
      <c r="J662" s="1"/>
    </row>
    <row r="663" spans="4:10" ht="15.75" customHeight="1">
      <c r="D663" s="9"/>
      <c r="E663" s="9"/>
      <c r="J663" s="1"/>
    </row>
    <row r="664" spans="4:10" ht="15.75" customHeight="1">
      <c r="D664" s="9"/>
      <c r="E664" s="9"/>
      <c r="J664" s="1"/>
    </row>
    <row r="665" spans="4:10" ht="15.75" customHeight="1">
      <c r="D665" s="9"/>
      <c r="E665" s="9"/>
      <c r="J665" s="1"/>
    </row>
    <row r="666" spans="4:10" ht="15.75" customHeight="1">
      <c r="D666" s="9"/>
      <c r="E666" s="9"/>
      <c r="J666" s="1"/>
    </row>
    <row r="667" spans="4:10" ht="15.75" customHeight="1">
      <c r="D667" s="9"/>
      <c r="E667" s="9"/>
      <c r="J667" s="1"/>
    </row>
    <row r="668" spans="4:10" ht="15.75" customHeight="1">
      <c r="D668" s="9"/>
      <c r="E668" s="9"/>
      <c r="J668" s="1"/>
    </row>
    <row r="669" spans="4:10" ht="15.75" customHeight="1">
      <c r="D669" s="9"/>
      <c r="E669" s="9"/>
      <c r="J669" s="1"/>
    </row>
    <row r="670" spans="4:10" ht="15.75" customHeight="1">
      <c r="D670" s="9"/>
      <c r="E670" s="9"/>
      <c r="J670" s="1"/>
    </row>
    <row r="671" spans="4:10" ht="15.75" customHeight="1">
      <c r="D671" s="9"/>
      <c r="E671" s="9"/>
      <c r="J671" s="1"/>
    </row>
    <row r="672" spans="4:10" ht="15.75" customHeight="1">
      <c r="D672" s="9"/>
      <c r="E672" s="9"/>
      <c r="J672" s="1"/>
    </row>
    <row r="673" spans="4:10" ht="15.75" customHeight="1">
      <c r="D673" s="9"/>
      <c r="E673" s="9"/>
      <c r="J673" s="1"/>
    </row>
    <row r="674" spans="4:10" ht="15.75" customHeight="1">
      <c r="D674" s="9"/>
      <c r="E674" s="9"/>
      <c r="J674" s="1"/>
    </row>
    <row r="675" spans="4:10" ht="15.75" customHeight="1">
      <c r="D675" s="9"/>
      <c r="E675" s="9"/>
      <c r="J675" s="1"/>
    </row>
    <row r="676" spans="4:10" ht="15.75" customHeight="1">
      <c r="D676" s="9"/>
      <c r="E676" s="9"/>
      <c r="J676" s="1"/>
    </row>
    <row r="677" spans="4:10" ht="15.75" customHeight="1">
      <c r="D677" s="9"/>
      <c r="E677" s="9"/>
      <c r="J677" s="1"/>
    </row>
    <row r="678" spans="4:10" ht="15.75" customHeight="1">
      <c r="D678" s="9"/>
      <c r="E678" s="9"/>
      <c r="J678" s="1"/>
    </row>
    <row r="679" spans="4:10" ht="15.75" customHeight="1">
      <c r="D679" s="9"/>
      <c r="E679" s="9"/>
      <c r="J679" s="1"/>
    </row>
    <row r="680" spans="4:10" ht="15.75" customHeight="1">
      <c r="D680" s="9"/>
      <c r="E680" s="9"/>
      <c r="J680" s="1"/>
    </row>
    <row r="681" spans="4:10" ht="15.75" customHeight="1">
      <c r="D681" s="9"/>
      <c r="E681" s="9"/>
      <c r="J681" s="1"/>
    </row>
    <row r="682" spans="4:10" ht="15.75" customHeight="1">
      <c r="D682" s="9"/>
      <c r="E682" s="9"/>
      <c r="J682" s="1"/>
    </row>
    <row r="683" spans="4:10" ht="15.75" customHeight="1">
      <c r="D683" s="9"/>
      <c r="E683" s="9"/>
      <c r="J683" s="1"/>
    </row>
    <row r="684" spans="4:10" ht="15.75" customHeight="1">
      <c r="D684" s="9"/>
      <c r="E684" s="9"/>
      <c r="J684" s="1"/>
    </row>
    <row r="685" spans="4:10" ht="15.75" customHeight="1">
      <c r="D685" s="9"/>
      <c r="E685" s="9"/>
      <c r="J685" s="1"/>
    </row>
    <row r="686" spans="4:10" ht="15.75" customHeight="1">
      <c r="D686" s="9"/>
      <c r="E686" s="9"/>
      <c r="J686" s="1"/>
    </row>
    <row r="687" spans="4:10" ht="15.75" customHeight="1">
      <c r="D687" s="9"/>
      <c r="E687" s="9"/>
      <c r="J687" s="1"/>
    </row>
    <row r="688" spans="4:10" ht="15.75" customHeight="1">
      <c r="D688" s="9"/>
      <c r="E688" s="9"/>
      <c r="J688" s="1"/>
    </row>
    <row r="689" spans="4:10" ht="15.75" customHeight="1">
      <c r="D689" s="9"/>
      <c r="E689" s="9"/>
      <c r="J689" s="1"/>
    </row>
    <row r="690" spans="4:10" ht="15.75" customHeight="1">
      <c r="D690" s="9"/>
      <c r="E690" s="9"/>
      <c r="J690" s="1"/>
    </row>
    <row r="691" spans="4:10" ht="15.75" customHeight="1">
      <c r="D691" s="9"/>
      <c r="E691" s="9"/>
      <c r="J691" s="1"/>
    </row>
    <row r="692" spans="4:10" ht="15.75" customHeight="1">
      <c r="D692" s="9"/>
      <c r="E692" s="9"/>
      <c r="J692" s="1"/>
    </row>
    <row r="693" spans="4:10" ht="15.75" customHeight="1">
      <c r="D693" s="9"/>
      <c r="E693" s="9"/>
      <c r="J693" s="1"/>
    </row>
    <row r="694" spans="4:10" ht="15.75" customHeight="1">
      <c r="D694" s="9"/>
      <c r="E694" s="9"/>
      <c r="J694" s="1"/>
    </row>
    <row r="695" spans="4:10" ht="15.75" customHeight="1">
      <c r="D695" s="9"/>
      <c r="E695" s="9"/>
      <c r="J695" s="1"/>
    </row>
    <row r="696" spans="4:10" ht="15.75" customHeight="1">
      <c r="D696" s="9"/>
      <c r="E696" s="9"/>
      <c r="J696" s="1"/>
    </row>
    <row r="697" spans="4:10" ht="15.75" customHeight="1">
      <c r="D697" s="9"/>
      <c r="E697" s="9"/>
      <c r="J697" s="1"/>
    </row>
    <row r="698" spans="4:10" ht="15.75" customHeight="1">
      <c r="D698" s="9"/>
      <c r="E698" s="9"/>
      <c r="J698" s="1"/>
    </row>
    <row r="699" spans="4:10" ht="15.75" customHeight="1">
      <c r="D699" s="9"/>
      <c r="E699" s="9"/>
      <c r="J699" s="1"/>
    </row>
    <row r="700" spans="4:10" ht="15.75" customHeight="1">
      <c r="D700" s="9"/>
      <c r="E700" s="9"/>
      <c r="J700" s="1"/>
    </row>
    <row r="701" spans="4:10" ht="15.75" customHeight="1">
      <c r="D701" s="9"/>
      <c r="E701" s="9"/>
      <c r="J701" s="1"/>
    </row>
    <row r="702" spans="4:10" ht="15.75" customHeight="1">
      <c r="D702" s="9"/>
      <c r="E702" s="9"/>
      <c r="J702" s="1"/>
    </row>
    <row r="703" spans="4:10" ht="15.75" customHeight="1">
      <c r="D703" s="9"/>
      <c r="E703" s="9"/>
      <c r="J703" s="1"/>
    </row>
    <row r="704" spans="4:10" ht="15.75" customHeight="1">
      <c r="D704" s="9"/>
      <c r="E704" s="9"/>
      <c r="J704" s="1"/>
    </row>
    <row r="705" spans="4:10" ht="15.75" customHeight="1">
      <c r="D705" s="9"/>
      <c r="E705" s="9"/>
      <c r="J705" s="1"/>
    </row>
    <row r="706" spans="4:10" ht="15.75" customHeight="1">
      <c r="D706" s="9"/>
      <c r="E706" s="9"/>
      <c r="J706" s="1"/>
    </row>
    <row r="707" spans="4:10" ht="15.75" customHeight="1">
      <c r="D707" s="9"/>
      <c r="E707" s="9"/>
      <c r="J707" s="1"/>
    </row>
    <row r="708" spans="4:10" ht="15.75" customHeight="1">
      <c r="D708" s="9"/>
      <c r="E708" s="9"/>
      <c r="J708" s="1"/>
    </row>
    <row r="709" spans="4:10" ht="15.75" customHeight="1">
      <c r="D709" s="9"/>
      <c r="E709" s="9"/>
      <c r="J709" s="1"/>
    </row>
    <row r="710" spans="4:10" ht="15.75" customHeight="1">
      <c r="D710" s="9"/>
      <c r="E710" s="9"/>
      <c r="J710" s="1"/>
    </row>
    <row r="711" spans="4:10" ht="15.75" customHeight="1">
      <c r="D711" s="9"/>
      <c r="E711" s="9"/>
      <c r="J711" s="1"/>
    </row>
    <row r="712" spans="4:10" ht="15.75" customHeight="1">
      <c r="D712" s="9"/>
      <c r="E712" s="9"/>
      <c r="J712" s="1"/>
    </row>
    <row r="713" spans="4:10" ht="15.75" customHeight="1">
      <c r="D713" s="9"/>
      <c r="E713" s="9"/>
      <c r="J713" s="1"/>
    </row>
    <row r="714" spans="4:10" ht="15.75" customHeight="1">
      <c r="D714" s="9"/>
      <c r="E714" s="9"/>
      <c r="J714" s="1"/>
    </row>
    <row r="715" spans="4:10" ht="15.75" customHeight="1">
      <c r="D715" s="9"/>
      <c r="E715" s="9"/>
      <c r="J715" s="1"/>
    </row>
    <row r="716" spans="4:10" ht="15.75" customHeight="1">
      <c r="D716" s="9"/>
      <c r="E716" s="9"/>
      <c r="J716" s="1"/>
    </row>
    <row r="717" spans="4:10" ht="15.75" customHeight="1">
      <c r="D717" s="9"/>
      <c r="E717" s="9"/>
      <c r="J717" s="1"/>
    </row>
    <row r="718" spans="4:10" ht="15.75" customHeight="1">
      <c r="D718" s="9"/>
      <c r="E718" s="9"/>
      <c r="J718" s="1"/>
    </row>
    <row r="719" spans="4:10" ht="15.75" customHeight="1">
      <c r="D719" s="9"/>
      <c r="E719" s="9"/>
      <c r="J719" s="1"/>
    </row>
    <row r="720" spans="4:10" ht="15.75" customHeight="1">
      <c r="D720" s="9"/>
      <c r="E720" s="9"/>
      <c r="J720" s="1"/>
    </row>
    <row r="721" spans="4:10" ht="15.75" customHeight="1">
      <c r="D721" s="9"/>
      <c r="E721" s="9"/>
      <c r="J721" s="1"/>
    </row>
    <row r="722" spans="4:10" ht="15.75" customHeight="1">
      <c r="D722" s="9"/>
      <c r="E722" s="9"/>
      <c r="J722" s="1"/>
    </row>
    <row r="723" spans="4:10" ht="15.75" customHeight="1">
      <c r="D723" s="9"/>
      <c r="E723" s="9"/>
      <c r="J723" s="1"/>
    </row>
    <row r="724" spans="4:10" ht="15.75" customHeight="1">
      <c r="D724" s="9"/>
      <c r="E724" s="9"/>
      <c r="J724" s="1"/>
    </row>
    <row r="725" spans="4:10" ht="15.75" customHeight="1">
      <c r="D725" s="9"/>
      <c r="E725" s="9"/>
      <c r="J725" s="1"/>
    </row>
    <row r="726" spans="4:10" ht="15.75" customHeight="1">
      <c r="D726" s="9"/>
      <c r="E726" s="9"/>
      <c r="J726" s="1"/>
    </row>
    <row r="727" spans="4:10" ht="15.75" customHeight="1">
      <c r="D727" s="9"/>
      <c r="E727" s="9"/>
      <c r="J727" s="1"/>
    </row>
    <row r="728" spans="4:10" ht="15.75" customHeight="1">
      <c r="D728" s="9"/>
      <c r="E728" s="9"/>
      <c r="J728" s="1"/>
    </row>
    <row r="729" spans="4:10" ht="15.75" customHeight="1">
      <c r="D729" s="9"/>
      <c r="E729" s="9"/>
      <c r="J729" s="1"/>
    </row>
    <row r="730" spans="4:10" ht="15.75" customHeight="1">
      <c r="D730" s="9"/>
      <c r="E730" s="9"/>
      <c r="J730" s="1"/>
    </row>
    <row r="731" spans="4:10" ht="15.75" customHeight="1">
      <c r="D731" s="9"/>
      <c r="E731" s="9"/>
      <c r="J731" s="1"/>
    </row>
    <row r="732" spans="4:10" ht="15.75" customHeight="1">
      <c r="D732" s="9"/>
      <c r="E732" s="9"/>
      <c r="J732" s="1"/>
    </row>
    <row r="733" spans="4:10" ht="15.75" customHeight="1">
      <c r="D733" s="9"/>
      <c r="E733" s="9"/>
      <c r="J733" s="1"/>
    </row>
    <row r="734" spans="4:10" ht="15.75" customHeight="1">
      <c r="D734" s="9"/>
      <c r="E734" s="9"/>
      <c r="J734" s="1"/>
    </row>
    <row r="735" spans="4:10" ht="15.75" customHeight="1">
      <c r="D735" s="9"/>
      <c r="E735" s="9"/>
      <c r="J735" s="1"/>
    </row>
    <row r="736" spans="4:10" ht="15.75" customHeight="1">
      <c r="D736" s="9"/>
      <c r="E736" s="9"/>
      <c r="J736" s="1"/>
    </row>
    <row r="737" spans="4:10" ht="15.75" customHeight="1">
      <c r="D737" s="9"/>
      <c r="E737" s="9"/>
      <c r="J737" s="1"/>
    </row>
    <row r="738" spans="4:10" ht="15.75" customHeight="1">
      <c r="D738" s="9"/>
      <c r="E738" s="9"/>
      <c r="J738" s="1"/>
    </row>
    <row r="739" spans="4:10" ht="15.75" customHeight="1">
      <c r="D739" s="9"/>
      <c r="E739" s="9"/>
      <c r="J739" s="1"/>
    </row>
    <row r="740" spans="4:10" ht="15.75" customHeight="1">
      <c r="D740" s="9"/>
      <c r="E740" s="9"/>
      <c r="J740" s="1"/>
    </row>
    <row r="741" spans="4:10" ht="15.75" customHeight="1">
      <c r="D741" s="9"/>
      <c r="E741" s="9"/>
      <c r="J741" s="1"/>
    </row>
    <row r="742" spans="4:10" ht="15.75" customHeight="1">
      <c r="D742" s="9"/>
      <c r="E742" s="9"/>
      <c r="J742" s="1"/>
    </row>
    <row r="743" spans="4:10" ht="15.75" customHeight="1">
      <c r="D743" s="9"/>
      <c r="E743" s="9"/>
      <c r="J743" s="1"/>
    </row>
    <row r="744" spans="4:10" ht="15.75" customHeight="1">
      <c r="D744" s="9"/>
      <c r="E744" s="9"/>
      <c r="J744" s="1"/>
    </row>
    <row r="745" spans="4:10" ht="15.75" customHeight="1">
      <c r="D745" s="9"/>
      <c r="E745" s="9"/>
      <c r="J745" s="1"/>
    </row>
    <row r="746" spans="4:10" ht="15.75" customHeight="1">
      <c r="D746" s="9"/>
      <c r="E746" s="9"/>
      <c r="J746" s="1"/>
    </row>
    <row r="747" spans="4:10" ht="15.75" customHeight="1">
      <c r="D747" s="9"/>
      <c r="E747" s="9"/>
      <c r="J747" s="1"/>
    </row>
    <row r="748" spans="4:10" ht="15.75" customHeight="1">
      <c r="D748" s="9"/>
      <c r="E748" s="9"/>
      <c r="J748" s="1"/>
    </row>
    <row r="749" spans="4:10" ht="15.75" customHeight="1">
      <c r="D749" s="9"/>
      <c r="E749" s="9"/>
      <c r="J749" s="1"/>
    </row>
    <row r="750" spans="4:10" ht="15.75" customHeight="1">
      <c r="D750" s="9"/>
      <c r="E750" s="9"/>
      <c r="J750" s="1"/>
    </row>
    <row r="751" spans="4:10" ht="15.75" customHeight="1">
      <c r="D751" s="9"/>
      <c r="E751" s="9"/>
      <c r="J751" s="1"/>
    </row>
    <row r="752" spans="4:10" ht="15.75" customHeight="1">
      <c r="D752" s="9"/>
      <c r="E752" s="9"/>
      <c r="J752" s="1"/>
    </row>
    <row r="753" spans="4:10" ht="15.75" customHeight="1">
      <c r="D753" s="9"/>
      <c r="E753" s="9"/>
      <c r="J753" s="1"/>
    </row>
    <row r="754" spans="4:10" ht="15.75" customHeight="1">
      <c r="D754" s="9"/>
      <c r="E754" s="9"/>
      <c r="J754" s="1"/>
    </row>
    <row r="755" spans="4:10" ht="15.75" customHeight="1">
      <c r="D755" s="9"/>
      <c r="E755" s="9"/>
      <c r="J755" s="1"/>
    </row>
    <row r="756" spans="4:10" ht="15.75" customHeight="1">
      <c r="D756" s="9"/>
      <c r="E756" s="9"/>
      <c r="J756" s="1"/>
    </row>
    <row r="757" spans="4:10" ht="15.75" customHeight="1">
      <c r="D757" s="9"/>
      <c r="E757" s="9"/>
      <c r="J757" s="1"/>
    </row>
    <row r="758" spans="4:10" ht="15.75" customHeight="1">
      <c r="D758" s="9"/>
      <c r="E758" s="9"/>
      <c r="J758" s="1"/>
    </row>
    <row r="759" spans="4:10" ht="15.75" customHeight="1">
      <c r="D759" s="9"/>
      <c r="E759" s="9"/>
      <c r="J759" s="1"/>
    </row>
    <row r="760" spans="4:10" ht="15.75" customHeight="1">
      <c r="D760" s="9"/>
      <c r="E760" s="9"/>
      <c r="J760" s="1"/>
    </row>
    <row r="761" spans="4:10" ht="15.75" customHeight="1">
      <c r="D761" s="9"/>
      <c r="E761" s="9"/>
      <c r="J761" s="1"/>
    </row>
    <row r="762" spans="4:10" ht="15.75" customHeight="1">
      <c r="D762" s="9"/>
      <c r="E762" s="9"/>
      <c r="J762" s="1"/>
    </row>
    <row r="763" spans="4:10" ht="15.75" customHeight="1">
      <c r="D763" s="9"/>
      <c r="E763" s="9"/>
      <c r="J763" s="1"/>
    </row>
    <row r="764" spans="4:10" ht="15.75" customHeight="1">
      <c r="D764" s="9"/>
      <c r="E764" s="9"/>
      <c r="J764" s="1"/>
    </row>
    <row r="765" spans="4:10" ht="15.75" customHeight="1">
      <c r="D765" s="9"/>
      <c r="E765" s="9"/>
      <c r="J765" s="1"/>
    </row>
    <row r="766" spans="4:10" ht="15.75" customHeight="1">
      <c r="D766" s="9"/>
      <c r="E766" s="9"/>
      <c r="J766" s="1"/>
    </row>
    <row r="767" spans="4:10" ht="15.75" customHeight="1">
      <c r="D767" s="9"/>
      <c r="E767" s="9"/>
      <c r="J767" s="1"/>
    </row>
    <row r="768" spans="4:10" ht="15.75" customHeight="1">
      <c r="D768" s="9"/>
      <c r="E768" s="9"/>
      <c r="J768" s="1"/>
    </row>
    <row r="769" spans="4:10" ht="15.75" customHeight="1">
      <c r="D769" s="9"/>
      <c r="E769" s="9"/>
      <c r="J769" s="1"/>
    </row>
    <row r="770" spans="4:10" ht="15.75" customHeight="1">
      <c r="D770" s="9"/>
      <c r="E770" s="9"/>
      <c r="J770" s="1"/>
    </row>
    <row r="771" spans="4:10" ht="15.75" customHeight="1">
      <c r="D771" s="9"/>
      <c r="E771" s="9"/>
      <c r="J771" s="1"/>
    </row>
    <row r="772" spans="4:10" ht="15.75" customHeight="1">
      <c r="D772" s="9"/>
      <c r="E772" s="9"/>
      <c r="J772" s="1"/>
    </row>
    <row r="773" spans="4:10" ht="15.75" customHeight="1">
      <c r="D773" s="9"/>
      <c r="E773" s="9"/>
      <c r="J773" s="1"/>
    </row>
    <row r="774" spans="4:10" ht="15.75" customHeight="1">
      <c r="D774" s="9"/>
      <c r="E774" s="9"/>
      <c r="J774" s="1"/>
    </row>
    <row r="775" spans="4:10" ht="15.75" customHeight="1">
      <c r="D775" s="9"/>
      <c r="E775" s="9"/>
      <c r="J775" s="1"/>
    </row>
    <row r="776" spans="4:10" ht="15.75" customHeight="1">
      <c r="D776" s="9"/>
      <c r="E776" s="9"/>
      <c r="J776" s="1"/>
    </row>
    <row r="777" spans="4:10" ht="15.75" customHeight="1">
      <c r="D777" s="9"/>
      <c r="E777" s="9"/>
      <c r="J777" s="1"/>
    </row>
    <row r="778" spans="4:10" ht="15.75" customHeight="1">
      <c r="D778" s="9"/>
      <c r="E778" s="9"/>
      <c r="J778" s="1"/>
    </row>
    <row r="779" spans="4:10" ht="15.75" customHeight="1">
      <c r="D779" s="9"/>
      <c r="E779" s="9"/>
      <c r="J779" s="1"/>
    </row>
    <row r="780" spans="4:10" ht="15.75" customHeight="1">
      <c r="D780" s="9"/>
      <c r="E780" s="9"/>
      <c r="J780" s="1"/>
    </row>
    <row r="781" spans="4:10" ht="15.75" customHeight="1">
      <c r="D781" s="9"/>
      <c r="E781" s="9"/>
      <c r="J781" s="1"/>
    </row>
    <row r="782" spans="4:10" ht="15.75" customHeight="1">
      <c r="D782" s="9"/>
      <c r="E782" s="9"/>
      <c r="J782" s="1"/>
    </row>
    <row r="783" spans="4:10" ht="15.75" customHeight="1">
      <c r="D783" s="9"/>
      <c r="E783" s="9"/>
      <c r="J783" s="1"/>
    </row>
    <row r="784" spans="4:10" ht="15.75" customHeight="1">
      <c r="D784" s="9"/>
      <c r="E784" s="9"/>
      <c r="J784" s="1"/>
    </row>
    <row r="785" spans="4:10" ht="15.75" customHeight="1">
      <c r="D785" s="9"/>
      <c r="E785" s="9"/>
      <c r="J785" s="1"/>
    </row>
    <row r="786" spans="4:10" ht="15.75" customHeight="1">
      <c r="D786" s="9"/>
      <c r="E786" s="9"/>
      <c r="J786" s="1"/>
    </row>
    <row r="787" spans="4:10" ht="15.75" customHeight="1">
      <c r="D787" s="9"/>
      <c r="E787" s="9"/>
      <c r="J787" s="1"/>
    </row>
    <row r="788" spans="4:10" ht="15.75" customHeight="1">
      <c r="D788" s="9"/>
      <c r="E788" s="9"/>
      <c r="J788" s="1"/>
    </row>
    <row r="789" spans="4:10" ht="15.75" customHeight="1">
      <c r="D789" s="9"/>
      <c r="E789" s="9"/>
      <c r="J789" s="1"/>
    </row>
    <row r="790" spans="4:10" ht="15.75" customHeight="1">
      <c r="D790" s="9"/>
      <c r="E790" s="9"/>
      <c r="J790" s="1"/>
    </row>
    <row r="791" spans="4:10" ht="15.75" customHeight="1">
      <c r="D791" s="9"/>
      <c r="E791" s="9"/>
      <c r="J791" s="1"/>
    </row>
    <row r="792" spans="4:10" ht="15.75" customHeight="1">
      <c r="D792" s="9"/>
      <c r="E792" s="9"/>
      <c r="J792" s="1"/>
    </row>
    <row r="793" spans="4:10" ht="15.75" customHeight="1">
      <c r="D793" s="9"/>
      <c r="E793" s="9"/>
      <c r="J793" s="1"/>
    </row>
    <row r="794" spans="4:10" ht="15.75" customHeight="1">
      <c r="D794" s="9"/>
      <c r="E794" s="9"/>
      <c r="J794" s="1"/>
    </row>
    <row r="795" spans="4:10" ht="15.75" customHeight="1">
      <c r="D795" s="9"/>
      <c r="E795" s="9"/>
      <c r="J795" s="1"/>
    </row>
    <row r="796" spans="4:10" ht="15.75" customHeight="1">
      <c r="D796" s="9"/>
      <c r="E796" s="9"/>
      <c r="J796" s="1"/>
    </row>
    <row r="797" spans="4:10" ht="15.75" customHeight="1">
      <c r="D797" s="9"/>
      <c r="E797" s="9"/>
      <c r="J797" s="1"/>
    </row>
    <row r="798" spans="4:10" ht="15.75" customHeight="1">
      <c r="D798" s="9"/>
      <c r="E798" s="9"/>
      <c r="J798" s="1"/>
    </row>
    <row r="799" spans="4:10" ht="15.75" customHeight="1">
      <c r="D799" s="9"/>
      <c r="E799" s="9"/>
      <c r="J799" s="1"/>
    </row>
    <row r="800" spans="4:10" ht="15.75" customHeight="1">
      <c r="D800" s="9"/>
      <c r="E800" s="9"/>
      <c r="J800" s="1"/>
    </row>
    <row r="801" spans="4:10" ht="15.75" customHeight="1">
      <c r="D801" s="9"/>
      <c r="E801" s="9"/>
      <c r="J801" s="1"/>
    </row>
    <row r="802" spans="4:10" ht="15.75" customHeight="1">
      <c r="D802" s="9"/>
      <c r="E802" s="9"/>
      <c r="J802" s="1"/>
    </row>
    <row r="803" spans="4:10" ht="15.75" customHeight="1">
      <c r="D803" s="9"/>
      <c r="E803" s="9"/>
      <c r="J803" s="1"/>
    </row>
    <row r="804" spans="4:10" ht="15.75" customHeight="1">
      <c r="D804" s="9"/>
      <c r="E804" s="9"/>
      <c r="J804" s="1"/>
    </row>
    <row r="805" spans="4:10" ht="15.75" customHeight="1">
      <c r="D805" s="9"/>
      <c r="E805" s="9"/>
      <c r="J805" s="1"/>
    </row>
    <row r="806" spans="4:10" ht="15.75" customHeight="1">
      <c r="D806" s="9"/>
      <c r="E806" s="9"/>
      <c r="J806" s="1"/>
    </row>
    <row r="807" spans="4:10" ht="15.75" customHeight="1">
      <c r="D807" s="9"/>
      <c r="E807" s="9"/>
      <c r="J807" s="1"/>
    </row>
    <row r="808" spans="4:10" ht="15.75" customHeight="1">
      <c r="D808" s="9"/>
      <c r="E808" s="9"/>
      <c r="J808" s="1"/>
    </row>
    <row r="809" spans="4:10" ht="15.75" customHeight="1">
      <c r="D809" s="9"/>
      <c r="E809" s="9"/>
      <c r="J809" s="1"/>
    </row>
    <row r="810" spans="4:10" ht="15.75" customHeight="1">
      <c r="D810" s="9"/>
      <c r="E810" s="9"/>
      <c r="J810" s="1"/>
    </row>
    <row r="811" spans="4:10" ht="15.75" customHeight="1">
      <c r="D811" s="9"/>
      <c r="E811" s="9"/>
      <c r="J811" s="1"/>
    </row>
    <row r="812" spans="4:10" ht="15.75" customHeight="1">
      <c r="D812" s="9"/>
      <c r="E812" s="9"/>
      <c r="J812" s="1"/>
    </row>
    <row r="813" spans="4:10" ht="15.75" customHeight="1">
      <c r="D813" s="9"/>
      <c r="E813" s="9"/>
      <c r="J813" s="1"/>
    </row>
    <row r="814" spans="4:10" ht="15.75" customHeight="1">
      <c r="D814" s="9"/>
      <c r="E814" s="9"/>
      <c r="J814" s="1"/>
    </row>
    <row r="815" spans="4:10" ht="15.75" customHeight="1">
      <c r="D815" s="9"/>
      <c r="E815" s="9"/>
      <c r="J815" s="1"/>
    </row>
    <row r="816" spans="4:10" ht="15.75" customHeight="1">
      <c r="D816" s="9"/>
      <c r="E816" s="9"/>
      <c r="J816" s="1"/>
    </row>
    <row r="817" spans="4:10" ht="15.75" customHeight="1">
      <c r="D817" s="9"/>
      <c r="E817" s="9"/>
      <c r="J817" s="1"/>
    </row>
    <row r="818" spans="4:10" ht="15.75" customHeight="1">
      <c r="D818" s="9"/>
      <c r="E818" s="9"/>
      <c r="J818" s="1"/>
    </row>
    <row r="819" spans="4:10" ht="15.75" customHeight="1">
      <c r="D819" s="9"/>
      <c r="E819" s="9"/>
      <c r="J819" s="1"/>
    </row>
    <row r="820" spans="4:10" ht="15.75" customHeight="1">
      <c r="D820" s="9"/>
      <c r="E820" s="9"/>
      <c r="J820" s="1"/>
    </row>
    <row r="821" spans="4:10" ht="15.75" customHeight="1">
      <c r="D821" s="9"/>
      <c r="E821" s="9"/>
      <c r="J821" s="1"/>
    </row>
    <row r="822" spans="4:10" ht="15.75" customHeight="1">
      <c r="D822" s="9"/>
      <c r="E822" s="9"/>
      <c r="J822" s="1"/>
    </row>
    <row r="823" spans="4:10" ht="15.75" customHeight="1">
      <c r="D823" s="9"/>
      <c r="E823" s="9"/>
      <c r="J823" s="1"/>
    </row>
    <row r="824" spans="4:10" ht="15.75" customHeight="1">
      <c r="D824" s="9"/>
      <c r="E824" s="9"/>
      <c r="J824" s="1"/>
    </row>
    <row r="825" spans="4:10" ht="15.75" customHeight="1">
      <c r="D825" s="9"/>
      <c r="E825" s="9"/>
      <c r="J825" s="1"/>
    </row>
    <row r="826" spans="4:10" ht="15.75" customHeight="1">
      <c r="D826" s="9"/>
      <c r="E826" s="9"/>
      <c r="J826" s="1"/>
    </row>
    <row r="827" spans="4:10" ht="15.75" customHeight="1">
      <c r="D827" s="9"/>
      <c r="E827" s="9"/>
      <c r="J827" s="1"/>
    </row>
    <row r="828" spans="4:10" ht="15.75" customHeight="1">
      <c r="D828" s="9"/>
      <c r="E828" s="9"/>
      <c r="J828" s="1"/>
    </row>
    <row r="829" spans="4:10" ht="15.75" customHeight="1">
      <c r="D829" s="9"/>
      <c r="E829" s="9"/>
      <c r="J829" s="1"/>
    </row>
    <row r="830" spans="4:10" ht="15.75" customHeight="1">
      <c r="D830" s="9"/>
      <c r="E830" s="9"/>
      <c r="J830" s="1"/>
    </row>
    <row r="831" spans="4:10" ht="15.75" customHeight="1">
      <c r="D831" s="9"/>
      <c r="E831" s="9"/>
      <c r="J831" s="1"/>
    </row>
    <row r="832" spans="4:10" ht="15.75" customHeight="1">
      <c r="D832" s="9"/>
      <c r="E832" s="9"/>
      <c r="J832" s="1"/>
    </row>
    <row r="833" spans="4:10" ht="15.75" customHeight="1">
      <c r="D833" s="9"/>
      <c r="E833" s="9"/>
      <c r="J833" s="1"/>
    </row>
    <row r="834" spans="4:10" ht="15.75" customHeight="1">
      <c r="D834" s="9"/>
      <c r="E834" s="9"/>
      <c r="J834" s="1"/>
    </row>
    <row r="835" spans="4:10" ht="15.75" customHeight="1">
      <c r="D835" s="9"/>
      <c r="E835" s="9"/>
      <c r="J835" s="1"/>
    </row>
    <row r="836" spans="4:10" ht="15.75" customHeight="1">
      <c r="D836" s="9"/>
      <c r="E836" s="9"/>
      <c r="J836" s="1"/>
    </row>
    <row r="837" spans="4:10" ht="15.75" customHeight="1">
      <c r="D837" s="9"/>
      <c r="E837" s="9"/>
      <c r="J837" s="1"/>
    </row>
    <row r="838" spans="4:10" ht="15.75" customHeight="1">
      <c r="D838" s="9"/>
      <c r="E838" s="9"/>
      <c r="J838" s="1"/>
    </row>
    <row r="839" spans="4:10" ht="15.75" customHeight="1">
      <c r="D839" s="9"/>
      <c r="E839" s="9"/>
      <c r="J839" s="1"/>
    </row>
    <row r="840" spans="4:10" ht="15.75" customHeight="1">
      <c r="D840" s="9"/>
      <c r="E840" s="9"/>
      <c r="J840" s="1"/>
    </row>
    <row r="841" spans="4:10" ht="15.75" customHeight="1">
      <c r="D841" s="9"/>
      <c r="E841" s="9"/>
      <c r="J841" s="1"/>
    </row>
    <row r="842" spans="4:10" ht="15.75" customHeight="1">
      <c r="D842" s="9"/>
      <c r="E842" s="9"/>
      <c r="J842" s="1"/>
    </row>
    <row r="843" spans="4:10" ht="15.75" customHeight="1">
      <c r="D843" s="9"/>
      <c r="E843" s="9"/>
      <c r="J843" s="1"/>
    </row>
    <row r="844" spans="4:10" ht="15.75" customHeight="1">
      <c r="D844" s="9"/>
      <c r="E844" s="9"/>
      <c r="J844" s="1"/>
    </row>
    <row r="845" spans="4:10" ht="15.75" customHeight="1">
      <c r="D845" s="9"/>
      <c r="E845" s="9"/>
      <c r="J845" s="1"/>
    </row>
    <row r="846" spans="4:10" ht="15.75" customHeight="1">
      <c r="D846" s="9"/>
      <c r="E846" s="9"/>
      <c r="J846" s="1"/>
    </row>
    <row r="847" spans="4:10" ht="15.75" customHeight="1">
      <c r="D847" s="9"/>
      <c r="E847" s="9"/>
      <c r="J847" s="1"/>
    </row>
    <row r="848" spans="4:10" ht="15.75" customHeight="1">
      <c r="D848" s="9"/>
      <c r="E848" s="9"/>
      <c r="J848" s="1"/>
    </row>
    <row r="849" spans="4:10" ht="15.75" customHeight="1">
      <c r="D849" s="9"/>
      <c r="E849" s="9"/>
      <c r="J849" s="1"/>
    </row>
    <row r="850" spans="4:10" ht="15.75" customHeight="1">
      <c r="D850" s="9"/>
      <c r="E850" s="9"/>
      <c r="J850" s="1"/>
    </row>
    <row r="851" spans="4:10" ht="15.75" customHeight="1">
      <c r="D851" s="9"/>
      <c r="E851" s="9"/>
      <c r="J851" s="1"/>
    </row>
    <row r="852" spans="4:10" ht="15.75" customHeight="1">
      <c r="D852" s="9"/>
      <c r="E852" s="9"/>
      <c r="J852" s="1"/>
    </row>
    <row r="853" spans="4:10" ht="15.75" customHeight="1">
      <c r="D853" s="9"/>
      <c r="E853" s="9"/>
      <c r="J853" s="1"/>
    </row>
    <row r="854" spans="4:10" ht="15.75" customHeight="1">
      <c r="D854" s="9"/>
      <c r="E854" s="9"/>
      <c r="J854" s="1"/>
    </row>
    <row r="855" spans="4:10" ht="15.75" customHeight="1">
      <c r="D855" s="9"/>
      <c r="E855" s="9"/>
      <c r="J855" s="1"/>
    </row>
    <row r="856" spans="4:10" ht="15.75" customHeight="1">
      <c r="D856" s="9"/>
      <c r="E856" s="9"/>
      <c r="J856" s="1"/>
    </row>
    <row r="857" spans="4:10" ht="15.75" customHeight="1">
      <c r="D857" s="9"/>
      <c r="E857" s="9"/>
      <c r="J857" s="1"/>
    </row>
    <row r="858" spans="4:10" ht="15.75" customHeight="1">
      <c r="D858" s="9"/>
      <c r="E858" s="9"/>
      <c r="J858" s="1"/>
    </row>
    <row r="859" spans="4:10" ht="15.75" customHeight="1">
      <c r="D859" s="9"/>
      <c r="E859" s="9"/>
      <c r="J859" s="1"/>
    </row>
    <row r="860" spans="4:10" ht="15.75" customHeight="1">
      <c r="D860" s="9"/>
      <c r="E860" s="9"/>
      <c r="J860" s="1"/>
    </row>
    <row r="861" spans="4:10" ht="15.75" customHeight="1">
      <c r="D861" s="9"/>
      <c r="E861" s="9"/>
      <c r="J861" s="1"/>
    </row>
    <row r="862" spans="4:10" ht="15.75" customHeight="1">
      <c r="D862" s="9"/>
      <c r="E862" s="9"/>
      <c r="J862" s="1"/>
    </row>
    <row r="863" spans="4:10" ht="15.75" customHeight="1">
      <c r="D863" s="9"/>
      <c r="E863" s="9"/>
      <c r="J863" s="1"/>
    </row>
    <row r="864" spans="4:10" ht="15.75" customHeight="1">
      <c r="D864" s="9"/>
      <c r="E864" s="9"/>
      <c r="J864" s="1"/>
    </row>
    <row r="865" spans="4:10" ht="15.75" customHeight="1">
      <c r="D865" s="9"/>
      <c r="E865" s="9"/>
      <c r="J865" s="1"/>
    </row>
    <row r="866" spans="4:10" ht="15.75" customHeight="1">
      <c r="D866" s="9"/>
      <c r="E866" s="9"/>
      <c r="J866" s="1"/>
    </row>
    <row r="867" spans="4:10" ht="15.75" customHeight="1">
      <c r="D867" s="9"/>
      <c r="E867" s="9"/>
      <c r="J867" s="1"/>
    </row>
    <row r="868" spans="4:10" ht="15.75" customHeight="1">
      <c r="D868" s="9"/>
      <c r="E868" s="9"/>
      <c r="J868" s="1"/>
    </row>
    <row r="869" spans="4:10" ht="15.75" customHeight="1">
      <c r="D869" s="9"/>
      <c r="E869" s="9"/>
      <c r="J869" s="1"/>
    </row>
    <row r="870" spans="4:10" ht="15.75" customHeight="1">
      <c r="D870" s="9"/>
      <c r="E870" s="9"/>
      <c r="J870" s="1"/>
    </row>
    <row r="871" spans="4:10" ht="15.75" customHeight="1">
      <c r="D871" s="9"/>
      <c r="E871" s="9"/>
      <c r="J871" s="1"/>
    </row>
    <row r="872" spans="4:10" ht="15.75" customHeight="1">
      <c r="D872" s="9"/>
      <c r="E872" s="9"/>
      <c r="J872" s="1"/>
    </row>
    <row r="873" spans="4:10" ht="15.75" customHeight="1">
      <c r="D873" s="9"/>
      <c r="E873" s="9"/>
      <c r="J873" s="1"/>
    </row>
    <row r="874" spans="4:10" ht="15.75" customHeight="1">
      <c r="D874" s="9"/>
      <c r="E874" s="9"/>
      <c r="J874" s="1"/>
    </row>
    <row r="875" spans="4:10" ht="15.75" customHeight="1">
      <c r="D875" s="9"/>
      <c r="E875" s="9"/>
      <c r="J875" s="1"/>
    </row>
    <row r="876" spans="4:10" ht="15.75" customHeight="1">
      <c r="D876" s="9"/>
      <c r="E876" s="9"/>
      <c r="J876" s="1"/>
    </row>
    <row r="877" spans="4:10" ht="15.75" customHeight="1">
      <c r="D877" s="9"/>
      <c r="E877" s="9"/>
      <c r="J877" s="1"/>
    </row>
    <row r="878" spans="4:10" ht="15.75" customHeight="1">
      <c r="D878" s="9"/>
      <c r="E878" s="9"/>
      <c r="J878" s="1"/>
    </row>
    <row r="879" spans="4:10" ht="15.75" customHeight="1">
      <c r="D879" s="9"/>
      <c r="E879" s="9"/>
      <c r="J879" s="1"/>
    </row>
    <row r="880" spans="4:10" ht="15.75" customHeight="1">
      <c r="D880" s="9"/>
      <c r="E880" s="9"/>
      <c r="J880" s="1"/>
    </row>
    <row r="881" spans="4:10" ht="15.75" customHeight="1">
      <c r="D881" s="9"/>
      <c r="E881" s="9"/>
      <c r="J881" s="1"/>
    </row>
    <row r="882" spans="4:10" ht="15.75" customHeight="1">
      <c r="D882" s="9"/>
      <c r="E882" s="9"/>
      <c r="J882" s="1"/>
    </row>
    <row r="883" spans="4:10" ht="15.75" customHeight="1">
      <c r="D883" s="9"/>
      <c r="E883" s="9"/>
      <c r="J883" s="1"/>
    </row>
    <row r="884" spans="4:10" ht="15.75" customHeight="1">
      <c r="D884" s="9"/>
      <c r="E884" s="9"/>
      <c r="J884" s="1"/>
    </row>
    <row r="885" spans="4:10" ht="15.75" customHeight="1">
      <c r="D885" s="9"/>
      <c r="E885" s="9"/>
      <c r="J885" s="1"/>
    </row>
    <row r="886" spans="4:10" ht="15.75" customHeight="1">
      <c r="D886" s="9"/>
      <c r="E886" s="9"/>
      <c r="J886" s="1"/>
    </row>
    <row r="887" spans="4:10" ht="15.75" customHeight="1">
      <c r="D887" s="9"/>
      <c r="E887" s="9"/>
      <c r="J887" s="1"/>
    </row>
    <row r="888" spans="4:10" ht="15.75" customHeight="1">
      <c r="D888" s="9"/>
      <c r="E888" s="9"/>
      <c r="J888" s="1"/>
    </row>
    <row r="889" spans="4:10" ht="15.75" customHeight="1">
      <c r="D889" s="9"/>
      <c r="E889" s="9"/>
      <c r="J889" s="1"/>
    </row>
    <row r="890" spans="4:10" ht="15.75" customHeight="1">
      <c r="D890" s="9"/>
      <c r="E890" s="9"/>
      <c r="J890" s="1"/>
    </row>
    <row r="891" spans="4:10" ht="15.75" customHeight="1">
      <c r="D891" s="9"/>
      <c r="E891" s="9"/>
      <c r="J891" s="1"/>
    </row>
    <row r="892" spans="4:10" ht="15.75" customHeight="1">
      <c r="D892" s="9"/>
      <c r="E892" s="9"/>
      <c r="J892" s="1"/>
    </row>
    <row r="893" spans="4:10" ht="15.75" customHeight="1">
      <c r="D893" s="9"/>
      <c r="E893" s="9"/>
      <c r="J893" s="1"/>
    </row>
    <row r="894" spans="4:10" ht="15.75" customHeight="1">
      <c r="D894" s="9"/>
      <c r="E894" s="9"/>
      <c r="J894" s="1"/>
    </row>
    <row r="895" spans="4:10" ht="15.75" customHeight="1">
      <c r="D895" s="9"/>
      <c r="E895" s="9"/>
      <c r="J895" s="1"/>
    </row>
    <row r="896" spans="4:10" ht="15.75" customHeight="1">
      <c r="D896" s="9"/>
      <c r="E896" s="9"/>
      <c r="J896" s="1"/>
    </row>
    <row r="897" spans="4:10" ht="15.75" customHeight="1">
      <c r="D897" s="9"/>
      <c r="E897" s="9"/>
      <c r="J897" s="1"/>
    </row>
    <row r="898" spans="4:10" ht="15.75" customHeight="1">
      <c r="D898" s="9"/>
      <c r="E898" s="9"/>
      <c r="J898" s="1"/>
    </row>
    <row r="899" spans="4:10" ht="15.75" customHeight="1">
      <c r="D899" s="9"/>
      <c r="E899" s="9"/>
      <c r="J899" s="1"/>
    </row>
    <row r="900" spans="4:10" ht="15.75" customHeight="1">
      <c r="D900" s="9"/>
      <c r="E900" s="9"/>
      <c r="J900" s="1"/>
    </row>
    <row r="901" spans="4:10" ht="15.75" customHeight="1">
      <c r="D901" s="9"/>
      <c r="E901" s="9"/>
      <c r="J901" s="1"/>
    </row>
    <row r="902" spans="4:10" ht="15.75" customHeight="1">
      <c r="D902" s="9"/>
      <c r="E902" s="9"/>
      <c r="J902" s="1"/>
    </row>
    <row r="903" spans="4:10" ht="15.75" customHeight="1">
      <c r="D903" s="9"/>
      <c r="E903" s="9"/>
      <c r="J903" s="1"/>
    </row>
    <row r="904" spans="4:10" ht="15.75" customHeight="1">
      <c r="D904" s="9"/>
      <c r="E904" s="9"/>
      <c r="J904" s="1"/>
    </row>
    <row r="905" spans="4:10" ht="15.75" customHeight="1">
      <c r="D905" s="9"/>
      <c r="E905" s="9"/>
      <c r="J905" s="1"/>
    </row>
    <row r="906" spans="4:10" ht="15.75" customHeight="1">
      <c r="D906" s="9"/>
      <c r="E906" s="9"/>
      <c r="J906" s="1"/>
    </row>
    <row r="907" spans="4:10" ht="15.75" customHeight="1">
      <c r="D907" s="9"/>
      <c r="E907" s="9"/>
      <c r="J907" s="1"/>
    </row>
    <row r="908" spans="4:10" ht="15.75" customHeight="1">
      <c r="D908" s="9"/>
      <c r="E908" s="9"/>
      <c r="J908" s="1"/>
    </row>
    <row r="909" spans="4:10" ht="15.75" customHeight="1">
      <c r="D909" s="9"/>
      <c r="E909" s="9"/>
      <c r="J909" s="1"/>
    </row>
    <row r="910" spans="4:10" ht="15.75" customHeight="1">
      <c r="D910" s="9"/>
      <c r="E910" s="9"/>
      <c r="J910" s="1"/>
    </row>
    <row r="911" spans="4:10" ht="15.75" customHeight="1">
      <c r="D911" s="9"/>
      <c r="E911" s="9"/>
      <c r="J911" s="1"/>
    </row>
    <row r="912" spans="4:10" ht="15.75" customHeight="1">
      <c r="D912" s="9"/>
      <c r="E912" s="9"/>
      <c r="J912" s="1"/>
    </row>
    <row r="913" spans="4:10" ht="15.75" customHeight="1">
      <c r="D913" s="9"/>
      <c r="E913" s="9"/>
      <c r="J913" s="1"/>
    </row>
    <row r="914" spans="4:10" ht="15.75" customHeight="1">
      <c r="D914" s="9"/>
      <c r="E914" s="9"/>
      <c r="J914" s="1"/>
    </row>
    <row r="915" spans="4:10" ht="15.75" customHeight="1">
      <c r="D915" s="9"/>
      <c r="E915" s="9"/>
      <c r="J915" s="1"/>
    </row>
    <row r="916" spans="4:10" ht="15.75" customHeight="1">
      <c r="D916" s="9"/>
      <c r="E916" s="9"/>
      <c r="J916" s="1"/>
    </row>
    <row r="917" spans="4:10" ht="15.75" customHeight="1">
      <c r="D917" s="9"/>
      <c r="E917" s="9"/>
      <c r="J917" s="1"/>
    </row>
    <row r="918" spans="4:10" ht="15.75" customHeight="1">
      <c r="D918" s="9"/>
      <c r="E918" s="9"/>
      <c r="J918" s="1"/>
    </row>
    <row r="919" spans="4:10" ht="15.75" customHeight="1">
      <c r="D919" s="9"/>
      <c r="E919" s="9"/>
      <c r="J919" s="1"/>
    </row>
    <row r="920" spans="4:10" ht="15.75" customHeight="1">
      <c r="D920" s="9"/>
      <c r="E920" s="9"/>
      <c r="J920" s="1"/>
    </row>
    <row r="921" spans="4:10" ht="15.75" customHeight="1">
      <c r="D921" s="9"/>
      <c r="E921" s="9"/>
      <c r="J921" s="1"/>
    </row>
    <row r="922" spans="4:10" ht="15.75" customHeight="1">
      <c r="D922" s="9"/>
      <c r="E922" s="9"/>
      <c r="J922" s="1"/>
    </row>
    <row r="923" spans="4:10" ht="15.75" customHeight="1">
      <c r="D923" s="9"/>
      <c r="E923" s="9"/>
      <c r="J923" s="1"/>
    </row>
    <row r="924" spans="4:10" ht="15.75" customHeight="1">
      <c r="D924" s="9"/>
      <c r="E924" s="9"/>
      <c r="J924" s="1"/>
    </row>
    <row r="925" spans="4:10" ht="15.75" customHeight="1">
      <c r="D925" s="9"/>
      <c r="E925" s="9"/>
      <c r="J925" s="1"/>
    </row>
    <row r="926" spans="4:10" ht="15.75" customHeight="1">
      <c r="D926" s="9"/>
      <c r="E926" s="9"/>
      <c r="J926" s="1"/>
    </row>
    <row r="927" spans="4:10" ht="15.75" customHeight="1">
      <c r="D927" s="9"/>
      <c r="E927" s="9"/>
      <c r="J927" s="1"/>
    </row>
    <row r="928" spans="4:10" ht="15.75" customHeight="1">
      <c r="D928" s="9"/>
      <c r="E928" s="9"/>
      <c r="J928" s="1"/>
    </row>
    <row r="929" spans="4:10" ht="15.75" customHeight="1">
      <c r="D929" s="9"/>
      <c r="E929" s="9"/>
      <c r="J929" s="1"/>
    </row>
    <row r="930" spans="4:10" ht="15.75" customHeight="1">
      <c r="D930" s="9"/>
      <c r="E930" s="9"/>
      <c r="J930" s="1"/>
    </row>
    <row r="931" spans="4:10" ht="15.75" customHeight="1">
      <c r="D931" s="9"/>
      <c r="E931" s="9"/>
      <c r="J931" s="1"/>
    </row>
    <row r="932" spans="4:10" ht="15.75" customHeight="1">
      <c r="D932" s="9"/>
      <c r="E932" s="9"/>
      <c r="J932" s="1"/>
    </row>
    <row r="933" spans="4:10" ht="15.75" customHeight="1">
      <c r="D933" s="9"/>
      <c r="E933" s="9"/>
      <c r="J933" s="1"/>
    </row>
    <row r="934" spans="4:10" ht="15.75" customHeight="1">
      <c r="D934" s="9"/>
      <c r="E934" s="9"/>
      <c r="J934" s="1"/>
    </row>
    <row r="935" spans="4:10" ht="15.75" customHeight="1">
      <c r="D935" s="9"/>
      <c r="E935" s="9"/>
      <c r="J935" s="1"/>
    </row>
    <row r="936" spans="4:10" ht="15.75" customHeight="1">
      <c r="D936" s="9"/>
      <c r="E936" s="9"/>
      <c r="J936" s="1"/>
    </row>
    <row r="937" spans="4:10" ht="15.75" customHeight="1">
      <c r="D937" s="9"/>
      <c r="E937" s="9"/>
      <c r="J937" s="1"/>
    </row>
    <row r="938" spans="4:10" ht="15.75" customHeight="1">
      <c r="D938" s="9"/>
      <c r="E938" s="9"/>
      <c r="J938" s="1"/>
    </row>
    <row r="939" spans="4:10" ht="15.75" customHeight="1">
      <c r="D939" s="9"/>
      <c r="E939" s="9"/>
      <c r="J939" s="1"/>
    </row>
    <row r="940" spans="4:10" ht="15.75" customHeight="1">
      <c r="D940" s="9"/>
      <c r="E940" s="9"/>
      <c r="J940" s="1"/>
    </row>
    <row r="941" spans="4:10" ht="15.75" customHeight="1">
      <c r="D941" s="9"/>
      <c r="E941" s="9"/>
      <c r="J941" s="1"/>
    </row>
    <row r="942" spans="4:10" ht="15.75" customHeight="1">
      <c r="D942" s="9"/>
      <c r="E942" s="9"/>
      <c r="J942" s="1"/>
    </row>
    <row r="943" spans="4:10" ht="15.75" customHeight="1">
      <c r="D943" s="9"/>
      <c r="E943" s="9"/>
      <c r="J943" s="1"/>
    </row>
    <row r="944" spans="4:10" ht="15.75" customHeight="1">
      <c r="D944" s="9"/>
      <c r="E944" s="9"/>
      <c r="J944" s="1"/>
    </row>
    <row r="945" spans="4:10" ht="15.75" customHeight="1">
      <c r="D945" s="9"/>
      <c r="E945" s="9"/>
      <c r="J945" s="1"/>
    </row>
    <row r="946" spans="4:10" ht="15.75" customHeight="1">
      <c r="D946" s="9"/>
      <c r="E946" s="9"/>
      <c r="J946" s="1"/>
    </row>
    <row r="947" spans="4:10" ht="15.75" customHeight="1">
      <c r="D947" s="9"/>
      <c r="E947" s="9"/>
      <c r="J947" s="1"/>
    </row>
    <row r="948" spans="4:10" ht="15.75" customHeight="1">
      <c r="D948" s="9"/>
      <c r="E948" s="9"/>
      <c r="J948" s="1"/>
    </row>
    <row r="949" spans="4:10" ht="15.75" customHeight="1">
      <c r="D949" s="9"/>
      <c r="E949" s="9"/>
      <c r="J949" s="1"/>
    </row>
    <row r="950" spans="4:10" ht="15.75" customHeight="1">
      <c r="D950" s="9"/>
      <c r="E950" s="9"/>
      <c r="J950" s="1"/>
    </row>
    <row r="951" spans="4:10" ht="15.75" customHeight="1">
      <c r="D951" s="9"/>
      <c r="E951" s="9"/>
      <c r="J951" s="1"/>
    </row>
    <row r="952" spans="4:10" ht="15.75" customHeight="1">
      <c r="D952" s="9"/>
      <c r="E952" s="9"/>
      <c r="J952" s="1"/>
    </row>
    <row r="953" spans="4:10" ht="15.75" customHeight="1">
      <c r="D953" s="9"/>
      <c r="E953" s="9"/>
      <c r="J953" s="1"/>
    </row>
    <row r="954" spans="4:10" ht="15.75" customHeight="1">
      <c r="D954" s="9"/>
      <c r="E954" s="9"/>
      <c r="J954" s="1"/>
    </row>
    <row r="955" spans="4:10" ht="15.75" customHeight="1">
      <c r="D955" s="9"/>
      <c r="E955" s="9"/>
      <c r="J955" s="1"/>
    </row>
    <row r="956" spans="4:10" ht="15.75" customHeight="1">
      <c r="D956" s="9"/>
      <c r="E956" s="9"/>
      <c r="J956" s="1"/>
    </row>
    <row r="957" spans="4:10" ht="15.75" customHeight="1">
      <c r="D957" s="9"/>
      <c r="E957" s="9"/>
      <c r="J957" s="1"/>
    </row>
    <row r="958" spans="4:10" ht="15.75" customHeight="1">
      <c r="D958" s="9"/>
      <c r="E958" s="9"/>
      <c r="J958" s="1"/>
    </row>
    <row r="959" spans="4:10" ht="15.75" customHeight="1">
      <c r="D959" s="9"/>
      <c r="E959" s="9"/>
      <c r="J959" s="1"/>
    </row>
    <row r="960" spans="4:10" ht="15.75" customHeight="1">
      <c r="D960" s="9"/>
      <c r="E960" s="9"/>
      <c r="J960" s="1"/>
    </row>
    <row r="961" spans="4:10" ht="15.75" customHeight="1">
      <c r="D961" s="9"/>
      <c r="E961" s="9"/>
      <c r="J961" s="1"/>
    </row>
    <row r="962" spans="4:10" ht="15.75" customHeight="1">
      <c r="D962" s="9"/>
      <c r="E962" s="9"/>
      <c r="J962" s="1"/>
    </row>
    <row r="963" spans="4:10" ht="15.75" customHeight="1">
      <c r="D963" s="9"/>
      <c r="E963" s="9"/>
      <c r="J963" s="1"/>
    </row>
    <row r="964" spans="4:10" ht="15.75" customHeight="1">
      <c r="D964" s="9"/>
      <c r="E964" s="9"/>
      <c r="J964" s="1"/>
    </row>
    <row r="965" spans="4:10" ht="15.75" customHeight="1">
      <c r="D965" s="9"/>
      <c r="E965" s="9"/>
      <c r="J965" s="1"/>
    </row>
    <row r="966" spans="4:10" ht="15.75" customHeight="1">
      <c r="D966" s="9"/>
      <c r="E966" s="9"/>
      <c r="J966" s="1"/>
    </row>
    <row r="967" spans="4:10" ht="15.75" customHeight="1">
      <c r="D967" s="9"/>
      <c r="E967" s="9"/>
      <c r="J967" s="1"/>
    </row>
    <row r="968" spans="4:10" ht="15.75" customHeight="1">
      <c r="D968" s="9"/>
      <c r="E968" s="9"/>
      <c r="J968" s="1"/>
    </row>
    <row r="969" spans="4:10" ht="15.75" customHeight="1">
      <c r="D969" s="9"/>
      <c r="E969" s="9"/>
      <c r="J969" s="1"/>
    </row>
    <row r="970" spans="4:10" ht="15.75" customHeight="1">
      <c r="D970" s="9"/>
      <c r="E970" s="9"/>
      <c r="J970" s="1"/>
    </row>
    <row r="971" spans="4:10" ht="15.75" customHeight="1">
      <c r="D971" s="9"/>
      <c r="E971" s="9"/>
      <c r="J971" s="1"/>
    </row>
    <row r="972" spans="4:10" ht="15.75" customHeight="1">
      <c r="D972" s="9"/>
      <c r="E972" s="9"/>
      <c r="J972" s="1"/>
    </row>
    <row r="973" spans="4:10" ht="15.75" customHeight="1">
      <c r="D973" s="9"/>
      <c r="E973" s="9"/>
      <c r="J973" s="1"/>
    </row>
    <row r="974" spans="4:10" ht="15.75" customHeight="1">
      <c r="D974" s="9"/>
      <c r="E974" s="9"/>
      <c r="J974" s="1"/>
    </row>
    <row r="975" spans="4:10" ht="15.75" customHeight="1">
      <c r="D975" s="9"/>
      <c r="E975" s="9"/>
      <c r="J975" s="1"/>
    </row>
    <row r="976" spans="4:10" ht="15.75" customHeight="1">
      <c r="D976" s="9"/>
      <c r="E976" s="9"/>
      <c r="J976" s="1"/>
    </row>
    <row r="977" spans="4:10" ht="15.75" customHeight="1">
      <c r="D977" s="9"/>
      <c r="E977" s="9"/>
      <c r="J977" s="1"/>
    </row>
    <row r="978" spans="4:10" ht="15.75" customHeight="1">
      <c r="D978" s="9"/>
      <c r="E978" s="9"/>
      <c r="J978" s="1"/>
    </row>
    <row r="979" spans="4:10" ht="15.75" customHeight="1">
      <c r="D979" s="9"/>
      <c r="E979" s="9"/>
      <c r="J979" s="1"/>
    </row>
    <row r="980" spans="4:10" ht="15.75" customHeight="1">
      <c r="D980" s="9"/>
      <c r="E980" s="9"/>
      <c r="J980" s="1"/>
    </row>
    <row r="981" spans="4:10" ht="15.75" customHeight="1">
      <c r="D981" s="9"/>
      <c r="E981" s="9"/>
      <c r="J981" s="1"/>
    </row>
    <row r="982" spans="4:10" ht="15.75" customHeight="1">
      <c r="D982" s="9"/>
      <c r="E982" s="9"/>
      <c r="J982" s="1"/>
    </row>
    <row r="983" spans="4:10" ht="15.75" customHeight="1">
      <c r="D983" s="9"/>
      <c r="E983" s="9"/>
      <c r="J983" s="1"/>
    </row>
    <row r="984" spans="4:10" ht="15.75" customHeight="1">
      <c r="D984" s="9"/>
      <c r="E984" s="9"/>
      <c r="J984" s="1"/>
    </row>
    <row r="985" spans="4:10" ht="15.75" customHeight="1">
      <c r="D985" s="9"/>
      <c r="E985" s="9"/>
      <c r="J985" s="1"/>
    </row>
    <row r="986" spans="4:10" ht="15.75" customHeight="1">
      <c r="D986" s="9"/>
      <c r="E986" s="9"/>
      <c r="J986" s="1"/>
    </row>
    <row r="987" spans="4:10" ht="15.75" customHeight="1">
      <c r="D987" s="9"/>
      <c r="E987" s="9"/>
      <c r="J987" s="1"/>
    </row>
    <row r="988" spans="4:10" ht="15.75" customHeight="1">
      <c r="D988" s="9"/>
      <c r="E988" s="9"/>
      <c r="J988" s="1"/>
    </row>
    <row r="989" spans="4:10" ht="15.75" customHeight="1">
      <c r="D989" s="9"/>
      <c r="E989" s="9"/>
      <c r="J989" s="1"/>
    </row>
    <row r="990" spans="4:10" ht="15.75" customHeight="1">
      <c r="D990" s="9"/>
      <c r="E990" s="9"/>
      <c r="J990" s="1"/>
    </row>
    <row r="991" spans="4:10" ht="15.75" customHeight="1">
      <c r="D991" s="9"/>
      <c r="E991" s="9"/>
      <c r="J991" s="1"/>
    </row>
    <row r="992" spans="4:10" ht="15.75" customHeight="1">
      <c r="D992" s="9"/>
      <c r="E992" s="9"/>
      <c r="J992" s="1"/>
    </row>
    <row r="993" spans="4:10" ht="15.75" customHeight="1">
      <c r="D993" s="9"/>
      <c r="E993" s="9"/>
      <c r="J993" s="1"/>
    </row>
    <row r="994" spans="4:10" ht="15.75" customHeight="1">
      <c r="D994" s="9"/>
      <c r="E994" s="9"/>
      <c r="J994" s="1"/>
    </row>
    <row r="995" spans="4:10" ht="15.75" customHeight="1">
      <c r="D995" s="9"/>
      <c r="E995" s="9"/>
      <c r="J995" s="1"/>
    </row>
    <row r="996" spans="4:10" ht="15.75" customHeight="1">
      <c r="D996" s="9"/>
      <c r="E996" s="9"/>
      <c r="J996" s="1"/>
    </row>
    <row r="997" spans="4:10" ht="15.75" customHeight="1">
      <c r="D997" s="9"/>
      <c r="E997" s="9"/>
      <c r="J997" s="1"/>
    </row>
    <row r="998" spans="4:10" ht="15.75" customHeight="1">
      <c r="D998" s="9"/>
      <c r="E998" s="9"/>
      <c r="J998" s="1"/>
    </row>
    <row r="999" spans="4:10" ht="15.75" customHeight="1">
      <c r="D999" s="9"/>
      <c r="E999" s="9"/>
      <c r="J999" s="1"/>
    </row>
    <row r="1000" spans="4:10" ht="15.75" customHeight="1">
      <c r="D1000" s="9"/>
      <c r="E1000" s="9"/>
      <c r="J1000" s="1"/>
    </row>
    <row r="1001" spans="4:10" ht="15.75" customHeight="1">
      <c r="D1001" s="9"/>
      <c r="E1001" s="9"/>
      <c r="J1001" s="1"/>
    </row>
    <row r="1002" spans="4:10" ht="15.75" customHeight="1">
      <c r="D1002" s="9"/>
      <c r="E1002" s="9"/>
      <c r="J1002" s="1"/>
    </row>
    <row r="1003" spans="4:10" ht="15.75" customHeight="1">
      <c r="D1003" s="9"/>
      <c r="E1003" s="9"/>
      <c r="J1003" s="1"/>
    </row>
    <row r="1004" spans="4:10" ht="15.75" customHeight="1">
      <c r="D1004" s="9"/>
      <c r="E1004" s="9"/>
      <c r="J1004" s="1"/>
    </row>
    <row r="1005" spans="4:10" ht="15.75" customHeight="1">
      <c r="D1005" s="9"/>
      <c r="E1005" s="9"/>
      <c r="J1005" s="1"/>
    </row>
    <row r="1006" spans="4:10" ht="15.75" customHeight="1">
      <c r="D1006" s="9"/>
      <c r="E1006" s="9"/>
      <c r="J1006" s="1"/>
    </row>
    <row r="1007" spans="4:10" ht="15.75" customHeight="1">
      <c r="D1007" s="9"/>
      <c r="E1007" s="9"/>
      <c r="J1007" s="1"/>
    </row>
    <row r="1008" spans="4:10" ht="15.75" customHeight="1">
      <c r="D1008" s="9"/>
      <c r="E1008" s="9"/>
      <c r="J1008" s="1"/>
    </row>
    <row r="1009" spans="4:10" ht="15.75" customHeight="1">
      <c r="D1009" s="9"/>
      <c r="E1009" s="9"/>
      <c r="J1009" s="1"/>
    </row>
    <row r="1010" spans="4:10" ht="15.75" customHeight="1">
      <c r="D1010" s="9"/>
      <c r="E1010" s="9"/>
      <c r="J1010" s="1"/>
    </row>
    <row r="1011" spans="4:10" ht="15.75" customHeight="1">
      <c r="D1011" s="9"/>
      <c r="E1011" s="9"/>
      <c r="J1011" s="1"/>
    </row>
    <row r="1012" spans="4:10" ht="15.75" customHeight="1">
      <c r="D1012" s="9"/>
      <c r="E1012" s="9"/>
      <c r="J1012" s="1"/>
    </row>
    <row r="1013" spans="4:10" ht="15.75" customHeight="1">
      <c r="D1013" s="9"/>
      <c r="E1013" s="9"/>
      <c r="J1013" s="1"/>
    </row>
    <row r="1014" spans="4:10" ht="15.75" customHeight="1">
      <c r="D1014" s="9"/>
      <c r="E1014" s="9"/>
      <c r="J1014" s="1"/>
    </row>
    <row r="1015" spans="4:10" ht="15.75" customHeight="1">
      <c r="D1015" s="9"/>
      <c r="E1015" s="9"/>
      <c r="J1015" s="1"/>
    </row>
    <row r="1016" spans="4:10" ht="15.75" customHeight="1">
      <c r="D1016" s="9"/>
      <c r="E1016" s="9"/>
      <c r="J1016" s="1"/>
    </row>
    <row r="1017" spans="4:10" ht="15.75" customHeight="1">
      <c r="D1017" s="9"/>
      <c r="E1017" s="9"/>
      <c r="J1017" s="1"/>
    </row>
    <row r="1018" spans="4:10" ht="15.75" customHeight="1">
      <c r="D1018" s="9"/>
      <c r="E1018" s="9"/>
      <c r="J1018" s="1"/>
    </row>
    <row r="1019" spans="4:10" ht="15.75" customHeight="1">
      <c r="D1019" s="9"/>
      <c r="E1019" s="9"/>
      <c r="J1019" s="1"/>
    </row>
    <row r="1020" spans="4:10" ht="15.75" customHeight="1">
      <c r="D1020" s="9"/>
      <c r="E1020" s="9"/>
      <c r="J1020" s="1"/>
    </row>
    <row r="1021" spans="4:10" ht="15.75" customHeight="1">
      <c r="D1021" s="9"/>
      <c r="E1021" s="9"/>
      <c r="J1021" s="1"/>
    </row>
    <row r="1022" spans="4:10" ht="15.75" customHeight="1">
      <c r="D1022" s="9"/>
      <c r="E1022" s="9"/>
      <c r="J1022" s="1"/>
    </row>
    <row r="1023" spans="4:10" ht="15.75" customHeight="1">
      <c r="D1023" s="9"/>
      <c r="E1023" s="9"/>
      <c r="J1023" s="1"/>
    </row>
    <row r="1024" spans="4:10" ht="15.75" customHeight="1">
      <c r="D1024" s="9"/>
      <c r="E1024" s="9"/>
      <c r="J1024" s="1"/>
    </row>
    <row r="1025" spans="4:10" ht="15.75" customHeight="1">
      <c r="D1025" s="9"/>
      <c r="E1025" s="9"/>
      <c r="J1025" s="1"/>
    </row>
    <row r="1026" spans="4:10" ht="15.75" customHeight="1">
      <c r="D1026" s="9"/>
      <c r="E1026" s="9"/>
      <c r="J1026" s="1"/>
    </row>
    <row r="1027" spans="4:10" ht="15.75" customHeight="1">
      <c r="D1027" s="9"/>
      <c r="E1027" s="9"/>
      <c r="J1027" s="1"/>
    </row>
    <row r="1028" spans="4:10" ht="15.75" customHeight="1">
      <c r="D1028" s="9"/>
      <c r="E1028" s="9"/>
      <c r="J1028" s="1"/>
    </row>
    <row r="1029" spans="4:10" ht="15.75" customHeight="1">
      <c r="D1029" s="9"/>
      <c r="E1029" s="9"/>
      <c r="J1029" s="1"/>
    </row>
    <row r="1030" spans="4:10" ht="15.75" customHeight="1">
      <c r="D1030" s="9"/>
      <c r="E1030" s="9"/>
      <c r="J1030" s="1"/>
    </row>
    <row r="1031" spans="4:10" ht="15.75" customHeight="1">
      <c r="D1031" s="9"/>
      <c r="E1031" s="9"/>
      <c r="J1031" s="1"/>
    </row>
    <row r="1032" spans="4:10" ht="15.75" customHeight="1">
      <c r="D1032" s="9"/>
      <c r="E1032" s="9"/>
      <c r="J1032" s="1"/>
    </row>
    <row r="1033" spans="4:10" ht="15.75" customHeight="1">
      <c r="D1033" s="9"/>
      <c r="E1033" s="9"/>
      <c r="J1033" s="1"/>
    </row>
    <row r="1034" spans="4:10" ht="15.75" customHeight="1">
      <c r="D1034" s="9"/>
      <c r="E1034" s="9"/>
      <c r="J1034" s="1"/>
    </row>
    <row r="1035" spans="4:10" ht="15.75" customHeight="1">
      <c r="D1035" s="9"/>
      <c r="E1035" s="9"/>
      <c r="J1035" s="1"/>
    </row>
    <row r="1036" spans="4:10" ht="15.75" customHeight="1">
      <c r="D1036" s="9"/>
      <c r="E1036" s="9"/>
      <c r="J1036" s="1"/>
    </row>
    <row r="1037" spans="4:10" ht="15.75" customHeight="1">
      <c r="D1037" s="9"/>
      <c r="E1037" s="9"/>
      <c r="J1037" s="1"/>
    </row>
    <row r="1038" spans="4:10" ht="15.75" customHeight="1">
      <c r="D1038" s="9"/>
      <c r="E1038" s="9"/>
      <c r="J1038" s="1"/>
    </row>
    <row r="1039" spans="4:10" ht="15.75" customHeight="1">
      <c r="D1039" s="9"/>
      <c r="E1039" s="9"/>
      <c r="J1039" s="1"/>
    </row>
    <row r="1040" spans="4:10" ht="15.75" customHeight="1">
      <c r="D1040" s="9"/>
      <c r="E1040" s="9"/>
      <c r="J1040" s="1"/>
    </row>
    <row r="1041" spans="4:10" ht="15.75" customHeight="1">
      <c r="D1041" s="9"/>
      <c r="E1041" s="9"/>
      <c r="J1041" s="1"/>
    </row>
  </sheetData>
  <mergeCells count="34">
    <mergeCell ref="H182:T182"/>
    <mergeCell ref="H185:T185"/>
    <mergeCell ref="H186:T186"/>
    <mergeCell ref="A8:A9"/>
    <mergeCell ref="B8:B9"/>
    <mergeCell ref="D8:D9"/>
    <mergeCell ref="E8:E9"/>
    <mergeCell ref="F8:F9"/>
    <mergeCell ref="G8:G9"/>
    <mergeCell ref="A178:B178"/>
    <mergeCell ref="C178:F178"/>
    <mergeCell ref="I178:N178"/>
    <mergeCell ref="Q178:T178"/>
    <mergeCell ref="A179:B179"/>
    <mergeCell ref="C179:F179"/>
    <mergeCell ref="I179:N179"/>
    <mergeCell ref="Q179:T179"/>
    <mergeCell ref="C171:E171"/>
    <mergeCell ref="J171:T171"/>
    <mergeCell ref="J172:T172"/>
    <mergeCell ref="C175:E175"/>
    <mergeCell ref="I175:N175"/>
    <mergeCell ref="Q175:T175"/>
    <mergeCell ref="C168:E168"/>
    <mergeCell ref="C169:E169"/>
    <mergeCell ref="H169:I169"/>
    <mergeCell ref="J169:T169"/>
    <mergeCell ref="C170:E170"/>
    <mergeCell ref="J170:T170"/>
    <mergeCell ref="A1:V1"/>
    <mergeCell ref="A2:V2"/>
    <mergeCell ref="A3:V3"/>
    <mergeCell ref="H8:V8"/>
    <mergeCell ref="B166:I166"/>
  </mergeCells>
  <pageMargins left="0.45866141700000002" right="0" top="0.49803149600000002" bottom="0" header="0" footer="0"/>
  <pageSetup paperSize="14" orientation="landscape"/>
  <rowBreaks count="2" manualBreakCount="2">
    <brk id="58" man="1"/>
    <brk id="120" man="1"/>
  </row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Copy of TSD-ICYT 2nd Quarter</vt:lpstr>
      <vt:lpstr>TSD-ICYT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corzalviar@gmail.com</cp:lastModifiedBy>
  <cp:lastPrinted>2024-08-14T02:22:43Z</cp:lastPrinted>
  <dcterms:created xsi:type="dcterms:W3CDTF">2024-01-03T07:55:00Z</dcterms:created>
  <dcterms:modified xsi:type="dcterms:W3CDTF">2024-08-16T04:53:27Z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A681B5D629504885B970E5A8A1BAE700_12</vt:lpwstr>
  </property>
  <property fmtid="{D5CDD505-2E9C-101B-9397-08002B2CF9AE}" pid="3" name="KSOProductBuildVer">
    <vt:lpwstr>1033-12.2.0.16909</vt:lpwstr>
  </property>
</Properties>
</file>