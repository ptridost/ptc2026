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a10cb453c88dd481/Desktop/2024 PROJECT FILES/PPMP/Revised PPMP/"/>
    </mc:Choice>
  </mc:AlternateContent>
  <xr:revisionPtr revIDLastSave="13" documentId="11_B6676368401255D961269B603CC021A415DEFA43" xr6:coauthVersionLast="47" xr6:coauthVersionMax="47" xr10:uidLastSave="{DAACC6B2-633D-4EA9-84C4-9E1D76FC296E}"/>
  <bookViews>
    <workbookView xWindow="465" yWindow="135" windowWidth="19950" windowHeight="15345" activeTab="2" xr2:uid="{00000000-000D-0000-FFFF-FFFF00000000}"/>
  </bookViews>
  <sheets>
    <sheet name="1rst Quarter" sheetId="1" r:id="rId1"/>
    <sheet name="2nd Quarter" sheetId="2" r:id="rId2"/>
    <sheet name="Revised 2nd Quar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8" i="3" l="1"/>
  <c r="E131" i="3"/>
  <c r="E127" i="3"/>
  <c r="E126" i="3"/>
  <c r="E125" i="3"/>
  <c r="E119" i="3"/>
  <c r="E118" i="3"/>
  <c r="E117" i="3"/>
  <c r="E116" i="3"/>
  <c r="E115" i="3"/>
  <c r="E114" i="3"/>
  <c r="E111" i="3"/>
  <c r="E94" i="3"/>
  <c r="E93" i="3"/>
  <c r="E92" i="3"/>
  <c r="E91" i="3"/>
  <c r="E90" i="3"/>
  <c r="E89" i="3"/>
  <c r="E87" i="3"/>
  <c r="E86" i="3"/>
  <c r="E82" i="3"/>
  <c r="E81" i="3"/>
  <c r="E79" i="3"/>
  <c r="D79" i="3"/>
  <c r="E77" i="3"/>
  <c r="D77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4" i="3"/>
  <c r="E23" i="3"/>
  <c r="E22" i="3"/>
  <c r="E15" i="3"/>
  <c r="E13" i="3"/>
  <c r="E12" i="3"/>
  <c r="E11" i="3"/>
  <c r="E133" i="2"/>
  <c r="E131" i="2"/>
  <c r="E127" i="2"/>
  <c r="E126" i="2"/>
  <c r="E125" i="2"/>
  <c r="E119" i="2"/>
  <c r="E118" i="2"/>
  <c r="E117" i="2"/>
  <c r="E116" i="2"/>
  <c r="E115" i="2"/>
  <c r="E114" i="2"/>
  <c r="E111" i="2"/>
  <c r="E94" i="2"/>
  <c r="E93" i="2"/>
  <c r="E92" i="2"/>
  <c r="E91" i="2"/>
  <c r="E90" i="2"/>
  <c r="E89" i="2"/>
  <c r="E87" i="2"/>
  <c r="E86" i="2"/>
  <c r="E82" i="2"/>
  <c r="E81" i="2"/>
  <c r="E79" i="2"/>
  <c r="D79" i="2"/>
  <c r="E77" i="2"/>
  <c r="D77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4" i="2"/>
  <c r="E23" i="2"/>
  <c r="E22" i="2"/>
  <c r="E15" i="2"/>
  <c r="E13" i="2"/>
  <c r="E12" i="2"/>
  <c r="E11" i="2"/>
  <c r="E103" i="1"/>
  <c r="E101" i="1"/>
  <c r="E80" i="1"/>
  <c r="E75" i="1"/>
  <c r="E47" i="1"/>
  <c r="E45" i="1"/>
  <c r="E44" i="1"/>
  <c r="E43" i="1"/>
  <c r="E41" i="1"/>
  <c r="E40" i="1"/>
  <c r="E39" i="1"/>
  <c r="E38" i="1"/>
  <c r="E37" i="1"/>
  <c r="E34" i="1"/>
  <c r="E33" i="1"/>
  <c r="E32" i="1"/>
  <c r="E31" i="1"/>
  <c r="E30" i="1"/>
  <c r="E20" i="1"/>
  <c r="E12" i="1"/>
</calcChain>
</file>

<file path=xl/sharedStrings.xml><?xml version="1.0" encoding="utf-8"?>
<sst xmlns="http://schemas.openxmlformats.org/spreadsheetml/2006/main" count="766" uniqueCount="278">
  <si>
    <t>PROJECT PROCUREMENT MANAGEMENT PLAN (PPMP) 2024</t>
  </si>
  <si>
    <t>For 1st Quarter of CY 2024</t>
  </si>
  <si>
    <t>END-USER/UNIT: OD-TIPS</t>
  </si>
  <si>
    <t>Charged to: Performance Evaluation of the Long and Short Staple Spun Natural Textile Fiber (NTF)-Blended Yarns for RA 9242-Compliance Corporate Dress Apparel (Government Uniform Project)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</si>
  <si>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</si>
  <si>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</si>
  <si>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</si>
  <si>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</si>
  <si>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</si>
  <si>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</si>
  <si>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</si>
  <si>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</si>
  <si>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</si>
  <si>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</si>
  <si>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</si>
  <si>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</si>
  <si>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</si>
  <si>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</si>
  <si>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</si>
  <si>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</si>
  <si>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</si>
  <si>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</si>
  <si>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</si>
  <si>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</si>
  <si>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</si>
  <si>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</si>
  <si>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</si>
  <si>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</si>
  <si>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</si>
  <si>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Air Humidifier with Essential Oil Diffuser</t>
  </si>
  <si>
    <t>5 unit</t>
  </si>
  <si>
    <t>Shopping</t>
  </si>
  <si>
    <t>45days</t>
  </si>
  <si>
    <t>Specifications: 
Type:Ultrasonic Humidifier</t>
  </si>
  <si>
    <t xml:space="preserve">       - Power supply: USB charging
       - LED lights</t>
  </si>
  <si>
    <t xml:space="preserve">       -Certification:CE</t>
  </si>
  <si>
    <t xml:space="preserve">       -Material: ABS + PP + electrical part</t>
  </si>
  <si>
    <t xml:space="preserve">       -Color: White</t>
  </si>
  <si>
    <t xml:space="preserve">       -Capacity: 4000 mL</t>
  </si>
  <si>
    <t>*Automatically turn off without water</t>
  </si>
  <si>
    <t>Water-based essential oil, 1000 mL
      -Fresh bamboo, 
      -Peppermint, 
      -lavender, 
      -eucalyptus, 
      -green tea</t>
  </si>
  <si>
    <t>10 bottles</t>
  </si>
  <si>
    <t>Transporation and Delivery Expenses</t>
  </si>
  <si>
    <t>Courier Fee</t>
  </si>
  <si>
    <t>1 lot</t>
  </si>
  <si>
    <t>CA</t>
  </si>
  <si>
    <t>Transportation Expenses for Competition of Judge and Speaker</t>
  </si>
  <si>
    <t xml:space="preserve"> Dr. Dennis E. Montera</t>
  </si>
  <si>
    <t>Ms. Alma M. Quinto</t>
  </si>
  <si>
    <t xml:space="preserve"> of National Commission of Culture and Arts</t>
  </si>
  <si>
    <t>Representation</t>
  </si>
  <si>
    <t xml:space="preserve">Meals for Handloom Weaving Technical Committee Meeting
</t>
  </si>
  <si>
    <t>40 pax</t>
  </si>
  <si>
    <t>15 days</t>
  </si>
  <si>
    <t>Meals for National Footwear Technical Working Group Meeting</t>
  </si>
  <si>
    <t>50 pax</t>
  </si>
  <si>
    <t>Meals for Innovation Dialogue: Textile Producers</t>
  </si>
  <si>
    <t>Meals Philippine Tropical Fabrics Technical Committee Meeting</t>
  </si>
  <si>
    <t>30 pax</t>
  </si>
  <si>
    <t>Meals Inaugaration of the Meltblown Nonwoven Line, MOA Signing Ceremony - Spunlaid Nonwovens</t>
  </si>
  <si>
    <t>Laboratory Supplies</t>
  </si>
  <si>
    <t>Hydrogen Peroxide, Technical Grade 25 L/cby</t>
  </si>
  <si>
    <t>9 cby</t>
  </si>
  <si>
    <t>Sodium Hydroxide, Liquid 48% 30 kg/cby</t>
  </si>
  <si>
    <t>130 cby</t>
  </si>
  <si>
    <t>Small Value Procurement</t>
  </si>
  <si>
    <t>Sodium Metabisulfite, Technical Grade</t>
  </si>
  <si>
    <t>180 kg</t>
  </si>
  <si>
    <t>Anionic Detergent</t>
  </si>
  <si>
    <t>50 gal</t>
  </si>
  <si>
    <t>Acetic Acid, Technical Grade 20 kg/cby</t>
  </si>
  <si>
    <t>38 cby</t>
  </si>
  <si>
    <t>Other Supplies</t>
  </si>
  <si>
    <r>
      <rPr>
        <b/>
        <sz val="10"/>
        <color theme="1"/>
        <rFont val="Arial"/>
      </rPr>
      <t xml:space="preserve">"PAPER CONE 4°20’  
 </t>
    </r>
    <r>
      <rPr>
        <sz val="10"/>
        <color theme="1"/>
        <rFont val="Arial"/>
      </rPr>
      <t xml:space="preserve">Specifications:
 TOP ID: 27 mm ± 1.0 mm
 BOTTOM ID: 59 mm ± 1.0 mm
 LENGTH: 170 mm ± 1.0 mm
 THICKNESS: 2 mm 
 WEIGHT: 40 g ± 2g"
</t>
    </r>
  </si>
  <si>
    <t>5000 pcs</t>
  </si>
  <si>
    <r>
      <rPr>
        <b/>
        <sz val="10"/>
        <color theme="1"/>
        <rFont val="Arial"/>
      </rPr>
      <t xml:space="preserve">DECORTICATED PINEAPPLE LEAF FIBERS </t>
    </r>
    <r>
      <rPr>
        <sz val="10"/>
        <color theme="1"/>
        <rFont val="Arial"/>
      </rPr>
      <t xml:space="preserve">
 Hawaiian or Formosa Variety
 Note: Including VAT and Delivery to ICYT Bldg., DOST-PTRI
 Bicutan, Taguig City</t>
    </r>
  </si>
  <si>
    <t>1500 kg</t>
  </si>
  <si>
    <t>30 days</t>
  </si>
  <si>
    <r>
      <rPr>
        <b/>
        <sz val="10"/>
        <color theme="1"/>
        <rFont val="Arial"/>
      </rPr>
      <t xml:space="preserve">GINNED COTTON FIBER </t>
    </r>
    <r>
      <rPr>
        <sz val="10"/>
        <color theme="1"/>
        <rFont val="Arial"/>
      </rPr>
      <t xml:space="preserve">
 Note: Including VAT and Delivery to ICYT Bldg., DOST-PTRI
 Bicutan, Taguig City</t>
    </r>
  </si>
  <si>
    <t>Pineapple-based powerloom woven fabric</t>
  </si>
  <si>
    <t>1100 yards</t>
  </si>
  <si>
    <t>Direct Contracting</t>
  </si>
  <si>
    <t>- at least 5% pineapple fiber content</t>
  </si>
  <si>
    <t>- Assorted Colors</t>
  </si>
  <si>
    <t>- Fabric width: at least 55 inches</t>
  </si>
  <si>
    <t>- 11 rolls at 100 yards per roll</t>
  </si>
  <si>
    <t>Pineapple-based attire</t>
  </si>
  <si>
    <t>1 pc</t>
  </si>
  <si>
    <t xml:space="preserve">Button down woven shirt with cotton and pineaapple leaf fiber </t>
  </si>
  <si>
    <t>PiñaSeda Barong</t>
  </si>
  <si>
    <t>1 set</t>
  </si>
  <si>
    <t>Specifications:</t>
  </si>
  <si>
    <t>- 70% Pina; 30% Silk</t>
  </si>
  <si>
    <t>- Pechera Hand embroidery design</t>
  </si>
  <si>
    <t>For tech demonstration of Shibori Dyeing Technique using nat dyes and for design conceptualization and curation of creative workshop space</t>
  </si>
  <si>
    <t>FUELS, OILS, LUBRICANTS</t>
  </si>
  <si>
    <t>Diesel, 210 L/drum</t>
  </si>
  <si>
    <t>30 drums</t>
  </si>
  <si>
    <t>Other Professional Services</t>
  </si>
  <si>
    <t>ENZYME FINISHING and DYEING of Powerloom woven fabrics</t>
  </si>
  <si>
    <t>Weight: 40.7kgs</t>
  </si>
  <si>
    <t>Warp: 100% Polyester</t>
  </si>
  <si>
    <t>Warp: 70% cotton/ 30% Pineapple Leaf Fiber</t>
  </si>
  <si>
    <t>Shade: White, Beige, Yellow</t>
  </si>
  <si>
    <r>
      <rPr>
        <b/>
        <sz val="10"/>
        <color theme="1"/>
        <rFont val="Arial"/>
      </rPr>
      <t xml:space="preserve">Design and Prototype 
</t>
    </r>
    <r>
      <rPr>
        <sz val="10"/>
        <color theme="1"/>
        <rFont val="Arial"/>
      </rPr>
      <t>PTF attires for selected government officials
Piña Barong
Barong using PTF
Camisa</t>
    </r>
  </si>
  <si>
    <t xml:space="preserve">
5
1
2</t>
  </si>
  <si>
    <t>Design and Prototype Development</t>
  </si>
  <si>
    <t>12 looks, 20-30 pcs, ready-to-wear apparel made of bamboo and pineapple-based fabrics</t>
  </si>
  <si>
    <t>Professional Services for DOST-PTRI Ambassadors</t>
  </si>
  <si>
    <t>Scientific, Artistic Works</t>
  </si>
  <si>
    <t xml:space="preserve">Yarn dyeing service for cotton </t>
  </si>
  <si>
    <t xml:space="preserve">old rose TCX 17-1518 </t>
  </si>
  <si>
    <t xml:space="preserve">black beauty TCX 19-3911 </t>
  </si>
  <si>
    <t xml:space="preserve">brilliant white TCX 11-4001 </t>
  </si>
  <si>
    <t xml:space="preserve">bamboo (yellow) TCX 14-0740 </t>
  </si>
  <si>
    <t xml:space="preserve">banana palm (green) TCX 18-0230 </t>
  </si>
  <si>
    <t xml:space="preserve">regatta (blue) TCX 18-4039 </t>
  </si>
  <si>
    <t xml:space="preserve">aster purple TCX 17-3826 </t>
  </si>
  <si>
    <t xml:space="preserve">copper tan (orange) TCX 16-1338 </t>
  </si>
  <si>
    <t>Earth red TCX 18-1631</t>
  </si>
  <si>
    <t>*10 kg yarn per color</t>
  </si>
  <si>
    <t>Preventive Maintenance of Airconditioning Units:</t>
  </si>
  <si>
    <t>Koppel Floor Mounted Aircon-General Cleaning (Gallery)
Koppel Wall Mounted Aircon-General Cleaning (Pantry)
LG Wall Mounted Aircon-General Cleaning
LG Wall Mounted Aircon-General Cleaning (Mezzanine)
Koppel Floor Mounted Aircon-General Cleaning (TIPS)
Koppel Wall Mounted Aircon-General Cleaning (TIPS)</t>
  </si>
  <si>
    <t>Automatic glass door repair (gallery)</t>
  </si>
  <si>
    <t>Embroidery Design and Production</t>
  </si>
  <si>
    <t>Two new design using Philippine motifs</t>
  </si>
  <si>
    <t>On 100 yards Silk fabric</t>
  </si>
  <si>
    <t>Sewing of PTF blazers for exhibitors</t>
  </si>
  <si>
    <t>4 pcs</t>
  </si>
  <si>
    <t>Opened Pineapple Fibers</t>
  </si>
  <si>
    <t>TELArawan: Photography Contest</t>
  </si>
  <si>
    <t xml:space="preserve">1 lot </t>
  </si>
  <si>
    <t>- DOST Pick Award</t>
  </si>
  <si>
    <t>&lt;-- INSERT ROW IF NEEDED</t>
  </si>
  <si>
    <t>TOTAL BUDGET:</t>
  </si>
  <si>
    <t>NOTE: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</si>
  <si>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</si>
  <si>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</si>
  <si>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</si>
  <si>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</si>
  <si>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</si>
  <si>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</si>
  <si>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</si>
  <si>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</si>
  <si>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</si>
  <si>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</si>
  <si>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</si>
  <si>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</si>
  <si>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</si>
  <si>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2nd Quarter of CY 2024</t>
  </si>
  <si>
    <t xml:space="preserve">April </t>
  </si>
  <si>
    <t>May</t>
  </si>
  <si>
    <t>June</t>
  </si>
  <si>
    <t>Video Meeting Camera
Still image: 1280 x 960 1.2MP (True)
Image sensor: 1/6""CMOS, 640×480 Pixels (350K Pixels)
Framerate: 30fps at VGA Mode
Lens: 4.0 mm
View angle: 60°
Microphone: Built-in, Noise Suppression
Computer interface: USB 2.0"</t>
  </si>
  <si>
    <t>15 pcs</t>
  </si>
  <si>
    <t>45 days</t>
  </si>
  <si>
    <t>Audio Headset with Microphone
Cable length: 2.4 m
USB-A connector
Noise Cancelling Mic
Adjustable Headband</t>
  </si>
  <si>
    <t>Office Desk
Top Panel: 25 mm MFC board with PVC banding
Side Panels: 18 mm MFC board with PVC banding
Comes with 2 wire management holes
With leveling glides to keep it steady
Dimensions: 120 (W) x 60(D) x 75(H) cm
Color: Beech/Dark Grey</t>
  </si>
  <si>
    <t>5 pcs</t>
  </si>
  <si>
    <t xml:space="preserve">Epson EcoTank L6490 A4 Ink Tank Printer
Printer Type:
Print, Scan, Copy, Fax with ADF
Print Method:
PrecisionCore Printhead
Nozzle Configuration:
400 x 1 nozzles (Black), 128 x 1 nozzles per Colour (Cyan, Magenta, Yellow)
Maximum Resolution:
4800 x 1200 dpi
Automatic 2-sided Printing:
Yes
Copy Function
Maximum Copy Size:
Legal
Copy Resolution:
600 x 600 dpi
Max Copies:
99 copies
Scanner Type:
Flatbed colour image scanner
Optical Resolution:
1200 x 2400 dpi
Maximum Scan Area:
216 x 297 mm
Inclusion of:
Black Ink
Cyan Ink
Magenta Ink
Yellow Ink
</t>
  </si>
  <si>
    <t xml:space="preserve">Epson EcoTank L3216 A4 All-in-One Ink Tank Printer
Inclusion of:
Black Ink
Cyan Ink
Magenta Ink
Yellow Ink
</t>
  </si>
  <si>
    <t>2 set</t>
  </si>
  <si>
    <t>Laptop Charger for ASUS P1411CEA-EB1075, AD2108320, 45W</t>
  </si>
  <si>
    <t>STUDIO FLASH MOONLIGHT SET
"3 x 400Ws Strobes
Softbox with Speed Ring
40″ Umbrella (White/Black)
40″ Umbrella (Silver/Black)
2 x Standard Bowens-Type Reflector
3 x Light Stands (6.6′)
XT-16 Wireless Power-Control Trigger
Carrying Case"</t>
  </si>
  <si>
    <t xml:space="preserve">LED Light Tube
 * For Photo, Video &amp; Film Production 
 * 2700-7500K CCT; RGB Mode 
 * Output: 647 Lux at 3.3' for Each Light 
 * Onboard, Wireless, DMX &amp; App Control 
 * CRI 97 | TLCI 98 | TM-30 94 &amp; 101 
 * Built-In Rechargeable Battery; AC Power 
 * Works with Optional Barndoors &amp; Grid 
 * 15 Preset Special Effects 
 * T12 or 1/4"-20 Mounting 
 * Includes Adapters, Mounting Clips &amp; Bag </t>
  </si>
  <si>
    <t>PORTABLE ROLLUP CHROMA GREEN SCREEN BACKGROUND STAND 
Wrinkle Resistant
Oxford Chroma Green Material
Aluminum Housing
250cm x 200cm Maximum Height
Hydraulic Assisted
Dimensions (Extended) : 250 x 200 cm</t>
  </si>
  <si>
    <t>FLASH SPEEDLIGHT WITH LITHIUM ION BATTERY
Built-In 2.4GHz X Wireless Radio System
Compatible with Nikon i-TTL
Guide Number: 118′ at ISO 100 and 105mm
Zoom Range: 24-105mm (14mm with Panel)
Tilts from -7 to 90°
Rotates 270°
Wireless Master/Slave TTL Functionality
Recycle Time: 0.1-2.2 Seconds
High-Speed, 1st &amp; 2nd Curtain Sync
Runs on Two AA Batteries</t>
  </si>
  <si>
    <t xml:space="preserve">Universal Tower Extension Cord 16-Gang with Switch
Wire length: 1.83 meters
16 gang
Voltage: 250 volts
Materials: ABS Plastic and Copper Wire
Built-in safety circuit breaker
built-in lighting protector
</t>
  </si>
  <si>
    <t>3 pcs</t>
  </si>
  <si>
    <t>Extension Wheel 10-Meter Cord Length 10A - WEW-10M/U
Cord Length: 15 meters
Rigid brass strips for internal connection.
With REAL grounding system connection for safety.
With built-in safety circuit breaker.
With built-in lightning protector.
Maximum wattage: 2500W.
 Current: 10A.
Voltage: 250V</t>
  </si>
  <si>
    <t>8-Gang 10A 2000W 3Meter Extension Cord with USB Port
Cord Length: 3 meters
With Individual Switch Control
With 2 USB Ports at 5V 2A
With Surge Protection
Cable Length: 4 meter
Socket type: 5 Gang Multipurpose Sockets
Maximum Load Capacity: 6A 1500 Watts
Input Voltage: 250Vac, 50/60Hz
Product Dimension: 3.5 x 7 x 36 cm</t>
  </si>
  <si>
    <t>30 packs AA Batteries / 4s</t>
  </si>
  <si>
    <t>10 packs AAA Batteries / 4s</t>
  </si>
  <si>
    <t>50 packs Vellum Board / A4 / 10s</t>
  </si>
  <si>
    <t>4 packs Parchment Paper / A4 / 10s</t>
  </si>
  <si>
    <t>6 pcs toner Original Hp 206A W2110A (Black)</t>
  </si>
  <si>
    <t>6 pcs toner Original Hp 206A W2110A (Cyan)</t>
  </si>
  <si>
    <t>6 pcs toner Original Hp 206A W2110A (Magenta)</t>
  </si>
  <si>
    <t>6 pcs toner Original Hp 206A W2110A (Yellow)</t>
  </si>
  <si>
    <t>5 pcs toner Original Color LaserJet Pro M252n (201A) black</t>
  </si>
  <si>
    <t>5 pcs toner Original Color LaserJet Pro M252n (201A) cyan</t>
  </si>
  <si>
    <t>5 pcs toner Original Color LaserJet Pro M252n (201A) Magenta</t>
  </si>
  <si>
    <t>5 pcs toner Original Color LaserJet Pro M252n (201A) Yellow</t>
  </si>
  <si>
    <t>4 bottles Original Epson L6490, (008) Black</t>
  </si>
  <si>
    <t>3 bottles Original Epson L6490, (008) Cyan</t>
  </si>
  <si>
    <t>3 bottles Original Epson L6490, (008) Magenta</t>
  </si>
  <si>
    <t>3 bottles Original Epson L6490, (008) Yellow</t>
  </si>
  <si>
    <t>3 pcs toner Original  Hp 103A, (W1103A) Black</t>
  </si>
  <si>
    <t>3 pcs Portable SSD, 1 TB</t>
  </si>
  <si>
    <t>3 powerbank, 20000 mAh, 2 x USB-A (output), Type-C (input/output)</t>
  </si>
  <si>
    <t>5 pcs USB 3.0 Flash drive, USB-A, Up to 150MB/s read perf.</t>
  </si>
  <si>
    <t>10 pcs headset, with microphone, noise cancellation,</t>
  </si>
  <si>
    <t>2 pcs card reader, Type-C 3-in-1 Multi-Card Reader, USB 3.0 with Docking Station</t>
  </si>
  <si>
    <t>4 pcs Wireless mouse, 1000 DPI, Bluetooth, USB receiver, High Precision Optical Tracking</t>
  </si>
  <si>
    <t>15 boxes Bond Paper, A4, Sub-20, 5 reams/box</t>
  </si>
  <si>
    <t>10 boxes Bond paper Letter size, Sub-20, 5 reams/box</t>
  </si>
  <si>
    <t>10 boxes Bond Paper, Long, Sub-20, 5 reams/box</t>
  </si>
  <si>
    <t>8 boxes Sign pen, black, gel, 0.5 mm, 12 pcs/box</t>
  </si>
  <si>
    <t>4 boxes Ballpoint, ballpen, black, 12 pcs/box</t>
  </si>
  <si>
    <t>3 pcs single hole puncher</t>
  </si>
  <si>
    <t>3 roll Abaca twine</t>
  </si>
  <si>
    <t>10 packs Safety pin #2</t>
  </si>
  <si>
    <t>10 packs Safety pin #3</t>
  </si>
  <si>
    <t>10 packs Safety pin #4</t>
  </si>
  <si>
    <t>10 packs Colored Multi-Purpose paper, Rose,  A4, 25 sheets/pack</t>
  </si>
  <si>
    <t>25 rolls Double-sided Tape, 24 mm</t>
  </si>
  <si>
    <t>10 rolls Bubble wrap, 1x5m</t>
  </si>
  <si>
    <t>30 rolls Masking Tape, 24 mm</t>
  </si>
  <si>
    <t>50 rolls Masking Tape, 48 mm</t>
  </si>
  <si>
    <t>20 rolls Transparent Tape, 24 mm</t>
  </si>
  <si>
    <t>40 rolls Transparent Tape, 48 mm</t>
  </si>
  <si>
    <t>30 boxes Vinyl Paper Clip, 33 mm</t>
  </si>
  <si>
    <t>30 boxes Vinyl Paper Clip, 50 mm</t>
  </si>
  <si>
    <t>10 boxes Stainless Steel Paper Clip, 50 mm</t>
  </si>
  <si>
    <t>2 boxes Paper Fastener, Plastic, 50 sets/box</t>
  </si>
  <si>
    <t xml:space="preserve">20 packs "SIGN HERE" Page Markers, 5 colors, 150 sheets/pack
</t>
  </si>
  <si>
    <t>5 packs Reusable multi-purpose tack</t>
  </si>
  <si>
    <t>20 pcs Permanent Marker (Ultra Fine Point - Black)</t>
  </si>
  <si>
    <t xml:space="preserve">1 pcs Kneaded Eraser </t>
  </si>
  <si>
    <t>10 boxes interfolded paper towel, 150 pulls per pack, 30 packs/box</t>
  </si>
  <si>
    <t>10 packs Bathroom Tissue, 2 ply, 12 rolls/pack</t>
  </si>
  <si>
    <t>20 gallons Ethyl Alcohol, 70%, FDA product notification</t>
  </si>
  <si>
    <t>Stretch Wrap
-500 mm x 200 m
-Clear</t>
  </si>
  <si>
    <t>40 pcs</t>
  </si>
  <si>
    <t>P.E Plastic Clear 40 x 60 inches 50pcs/pack</t>
  </si>
  <si>
    <t>4 pack</t>
  </si>
  <si>
    <t>Handwoven fabric</t>
  </si>
  <si>
    <r>
      <rPr>
        <b/>
        <sz val="11"/>
        <color rgb="FF000000"/>
        <rFont val="Arial"/>
      </rPr>
      <t xml:space="preserve">"PAPER CONE 4°20’  </t>
    </r>
    <r>
      <rPr>
        <sz val="11"/>
        <color rgb="FF000000"/>
        <rFont val="Arial"/>
      </rPr>
      <t xml:space="preserve">
 Specifications:
 TOP ID: 27 mm ± 1.0 mm
 BOTTOM ID: 59 mm ± 1.0 mm
 LENGTH: 170 mm ± 1.0 mm
 THICKNESS: 2 mm 
 WEIGHT: 40 g ± 2g"
Color: 100% Cotton - Blue ; Cot/PALF - Green ; Cot/Abaca - Brown and Cot/Banana - Yellow
</t>
    </r>
    <r>
      <rPr>
        <b/>
        <sz val="11"/>
        <color rgb="FF000000"/>
        <rFont val="Arial"/>
      </rPr>
      <t>Note: 1k pcs per color</t>
    </r>
  </si>
  <si>
    <t>Semi-Expandable Supplies</t>
  </si>
  <si>
    <t>PC Desktop
Processor: 10th Gen Intel® Core i3-10105 (6 MB cache, 4 cores, 8 threads, 3.70 GHz to 4.40 GHz Turbo) 
Storage: 1TB HDD
Memory: 8 GB, 1 x 8 GB, DDR4 RAM
O.S: Licensed Latest Version
Graphics: Intel UHD Graphics
Peripherals: USB Keyboard and Mouse
24inch FullHD Monitor
Office Productivity Software (Latest Version)</t>
  </si>
  <si>
    <t>Laptop 
"Processor: Intel® Core™ i7-12650H
Storage:         
512GB M.2 PCIe NVMe SSD
Memory: 8GB 3200MHz DDR4
O.S: Licensed Latest Version
Graphics: GeForce RTX™ 3050
Display: 15.6” Full-HD 144Hz IPS
Office Productivity Software (Latest Version)"</t>
  </si>
  <si>
    <t>10 lot</t>
  </si>
  <si>
    <t>TNVS</t>
  </si>
  <si>
    <t>30 lot</t>
  </si>
  <si>
    <t>Trucking Fee</t>
  </si>
  <si>
    <t>20 lot</t>
  </si>
  <si>
    <t xml:space="preserve"> </t>
  </si>
  <si>
    <t>Meals</t>
  </si>
  <si>
    <t>50 lot</t>
  </si>
  <si>
    <t>Meals for April 24, 2024 GPPB, QC</t>
  </si>
  <si>
    <t>20 pax</t>
  </si>
  <si>
    <t>PiñaSeda Barong and Dress</t>
  </si>
  <si>
    <t>1 sets</t>
  </si>
  <si>
    <t>- 60% Pina; 40% Silk</t>
  </si>
  <si>
    <t>- Calado embroidery</t>
  </si>
  <si>
    <t xml:space="preserve">Design and Prototyping of three (4) Government Uniforms using PTF for
Males: Polo barong, suit, jacket, gala </t>
  </si>
  <si>
    <t xml:space="preserve">Design and Prototyping of Government Uniforms using PTF for:
Females: Blouse, blazer, gala, jacket
</t>
  </si>
  <si>
    <t xml:space="preserve">1 lot  </t>
  </si>
  <si>
    <r>
      <rPr>
        <b/>
        <sz val="10"/>
        <color theme="1"/>
        <rFont val="Arial"/>
      </rPr>
      <t xml:space="preserve">Poly/pineapple fabric
</t>
    </r>
    <r>
      <rPr>
        <sz val="10"/>
        <color theme="1"/>
        <rFont val="Arial"/>
      </rPr>
      <t>PTF-compliant, twill weave
Color: Navy blue</t>
    </r>
  </si>
  <si>
    <t>Sodium Hydroxide 48% t.g. 39 kg/cby</t>
  </si>
  <si>
    <t xml:space="preserve">Sodium Silicate, T.G. 1 liter </t>
  </si>
  <si>
    <t>Sodium Metabisulfite, T.G</t>
  </si>
  <si>
    <t>Chemical resistant gloves</t>
  </si>
  <si>
    <t>All purpose liquid detergent cleaner</t>
  </si>
  <si>
    <t>Acetic Acid, Glacial, 8&amp;3,II, 30 kg</t>
  </si>
  <si>
    <t>Design and Prototype</t>
  </si>
  <si>
    <t>PTF Attires for Selected government officials</t>
  </si>
  <si>
    <t>Piña Barong</t>
  </si>
  <si>
    <t>Barong using PTF</t>
  </si>
  <si>
    <t>Camisa</t>
  </si>
  <si>
    <t>Sewing of PTF uniform design for the following agency per agreed design
-Government Procurement Policy Board
-University of the Philippines
-Department of Science &amp; Technology</t>
  </si>
  <si>
    <t>12 sets</t>
  </si>
  <si>
    <t>7 pcs</t>
  </si>
  <si>
    <t>Dyeing and Finishing Services of 100 meters (27 kg) of woven fabric</t>
  </si>
  <si>
    <t>Dyeing Specifications</t>
  </si>
  <si>
    <t>Pantone 11-4001 TCX (Brilliant White)</t>
  </si>
  <si>
    <t>Blended fabric, Cotton-Pineapple, Plain Weave</t>
  </si>
  <si>
    <t>Finishing Specifications:</t>
  </si>
  <si>
    <t>Enzyme treatment of blended fabrics</t>
  </si>
  <si>
    <t>Cellulase Enzyme chemicals will be provided by PTRI</t>
  </si>
  <si>
    <t>Transportation and Delivery Expenses</t>
  </si>
  <si>
    <t>hauling of Textile Materials and other Collaterals per the attached List of Items</t>
  </si>
  <si>
    <t>Destination: Aklan Provincial Capitol</t>
  </si>
  <si>
    <t>Inclusive of tax, Fuel, Toll, driver, meals and other incidental expenses</t>
  </si>
  <si>
    <r>
      <rPr>
        <b/>
        <sz val="11"/>
        <color rgb="FF000000"/>
        <rFont val="Arial"/>
      </rPr>
      <t xml:space="preserve">"PAPER CONE 4°20’  </t>
    </r>
    <r>
      <rPr>
        <sz val="11"/>
        <color rgb="FF000000"/>
        <rFont val="Arial"/>
      </rPr>
      <t xml:space="preserve">
 Specifications:
 TOP ID: 27 mm ± 1.0 mm
 BOTTOM ID: 59 mm ± 1.0 mm
 LENGTH: 170 mm ± 1.0 mm
 THICKNESS: 2 mm 
 WEIGHT: 40 g ± 2g"
Color: 100% Cotton - Blue ; Cot/PALF - Green ; Cot/Abaca - Brown and Cot/Banana - Yellow
</t>
    </r>
    <r>
      <rPr>
        <b/>
        <sz val="11"/>
        <color rgb="FF000000"/>
        <rFont val="Arial"/>
      </rPr>
      <t>Note: 1k pcs per color</t>
    </r>
  </si>
  <si>
    <t>Design and Prototyping of four (4) Government Uniforms using PTF for
Males: Polo barong, suit, jacket, gala</t>
  </si>
  <si>
    <t>Design and Prototyping of four (4) Government
Uniforms using PTF for
Females: Blouse, blazer, gala, jacket</t>
  </si>
  <si>
    <r>
      <rPr>
        <b/>
        <sz val="10"/>
        <color theme="1"/>
        <rFont val="Arial"/>
      </rPr>
      <t xml:space="preserve">Poly/pineapple fabric
</t>
    </r>
    <r>
      <rPr>
        <sz val="10"/>
        <color theme="1"/>
        <rFont val="Arial"/>
      </rPr>
      <t>PTF-compliant, twill weave
Color: Navy blue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</si>
</sst>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sz val="10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u/>
      <sz val="9"/>
      <color theme="1"/>
      <name val="Arial"/>
    </font>
    <font>
      <u/>
      <sz val="8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i/>
      <sz val="10"/>
      <color theme="1"/>
      <name val="Arial"/>
    </font>
    <font>
      <b/>
      <u/>
      <sz val="10"/>
      <color theme="1"/>
      <name val="Arial"/>
    </font>
    <font>
      <u/>
      <sz val="10"/>
      <color theme="1"/>
      <name val="Arial"/>
    </font>
    <font>
      <b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8" fillId="0" borderId="5" xfId="0" applyFont="1" applyBorder="1"/>
    <xf numFmtId="0" fontId="9" fillId="2" borderId="4" xfId="0" applyFont="1" applyFill="1" applyBorder="1"/>
    <xf numFmtId="0" fontId="8" fillId="2" borderId="4" xfId="0" applyFont="1" applyFill="1" applyBorder="1" applyAlignment="1">
      <alignment horizontal="center" vertical="center"/>
    </xf>
    <xf numFmtId="4" fontId="8" fillId="2" borderId="4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vertical="top"/>
    </xf>
    <xf numFmtId="0" fontId="8" fillId="2" borderId="3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8" fillId="0" borderId="4" xfId="0" applyFont="1" applyBorder="1"/>
    <xf numFmtId="0" fontId="8" fillId="0" borderId="4" xfId="0" applyFont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vertical="top"/>
    </xf>
    <xf numFmtId="0" fontId="8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9" fillId="0" borderId="4" xfId="0" applyFont="1" applyBorder="1"/>
    <xf numFmtId="0" fontId="8" fillId="0" borderId="6" xfId="0" applyFont="1" applyBorder="1" applyAlignment="1">
      <alignment horizontal="center" vertical="center"/>
    </xf>
    <xf numFmtId="4" fontId="8" fillId="0" borderId="6" xfId="0" applyNumberFormat="1" applyFont="1" applyBorder="1" applyAlignment="1">
      <alignment horizontal="center" vertical="top"/>
    </xf>
    <xf numFmtId="0" fontId="8" fillId="0" borderId="6" xfId="0" applyFont="1" applyBorder="1" applyAlignment="1">
      <alignment vertical="top"/>
    </xf>
    <xf numFmtId="0" fontId="8" fillId="0" borderId="6" xfId="0" applyFont="1" applyBorder="1"/>
    <xf numFmtId="0" fontId="2" fillId="0" borderId="6" xfId="0" applyFont="1" applyBorder="1"/>
    <xf numFmtId="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8" fillId="3" borderId="5" xfId="0" applyFont="1" applyFill="1" applyBorder="1"/>
    <xf numFmtId="4" fontId="8" fillId="0" borderId="4" xfId="0" applyNumberFormat="1" applyFont="1" applyBorder="1" applyAlignment="1">
      <alignment horizontal="center" vertical="top"/>
    </xf>
    <xf numFmtId="0" fontId="9" fillId="4" borderId="4" xfId="0" applyFont="1" applyFill="1" applyBorder="1"/>
    <xf numFmtId="0" fontId="8" fillId="4" borderId="4" xfId="0" applyFont="1" applyFill="1" applyBorder="1" applyAlignment="1">
      <alignment horizontal="center" vertical="center"/>
    </xf>
    <xf numFmtId="4" fontId="8" fillId="4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top"/>
    </xf>
    <xf numFmtId="0" fontId="8" fillId="4" borderId="4" xfId="0" applyFont="1" applyFill="1" applyBorder="1" applyAlignment="1">
      <alignment vertical="top"/>
    </xf>
    <xf numFmtId="0" fontId="8" fillId="4" borderId="4" xfId="0" applyFont="1" applyFill="1" applyBorder="1"/>
    <xf numFmtId="0" fontId="2" fillId="4" borderId="4" xfId="0" applyFont="1" applyFill="1" applyBorder="1"/>
    <xf numFmtId="0" fontId="8" fillId="0" borderId="4" xfId="0" applyFont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8" fillId="2" borderId="4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vertical="top"/>
    </xf>
    <xf numFmtId="0" fontId="8" fillId="2" borderId="4" xfId="0" applyFont="1" applyFill="1" applyBorder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vertical="top"/>
    </xf>
    <xf numFmtId="0" fontId="9" fillId="0" borderId="6" xfId="0" applyFont="1" applyBorder="1"/>
    <xf numFmtId="0" fontId="8" fillId="0" borderId="4" xfId="0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0" fontId="10" fillId="0" borderId="6" xfId="0" applyFont="1" applyBorder="1"/>
    <xf numFmtId="0" fontId="11" fillId="0" borderId="6" xfId="0" applyFont="1" applyBorder="1"/>
    <xf numFmtId="0" fontId="10" fillId="3" borderId="6" xfId="0" applyFont="1" applyFill="1" applyBorder="1"/>
    <xf numFmtId="0" fontId="8" fillId="0" borderId="0" xfId="0" applyFont="1"/>
    <xf numFmtId="0" fontId="10" fillId="0" borderId="6" xfId="0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5" xfId="0" applyFont="1" applyBorder="1"/>
    <xf numFmtId="0" fontId="7" fillId="2" borderId="4" xfId="0" applyFont="1" applyFill="1" applyBorder="1"/>
    <xf numFmtId="0" fontId="3" fillId="2" borderId="4" xfId="0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8" fillId="0" borderId="8" xfId="0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0" fontId="2" fillId="0" borderId="5" xfId="0" applyFont="1" applyBorder="1"/>
    <xf numFmtId="4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/>
    <xf numFmtId="4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/>
    <xf numFmtId="49" fontId="2" fillId="0" borderId="5" xfId="0" applyNumberFormat="1" applyFont="1" applyBorder="1" applyAlignment="1">
      <alignment wrapText="1"/>
    </xf>
    <xf numFmtId="49" fontId="2" fillId="0" borderId="4" xfId="0" applyNumberFormat="1" applyFont="1" applyBorder="1"/>
    <xf numFmtId="0" fontId="16" fillId="5" borderId="6" xfId="0" applyFont="1" applyFill="1" applyBorder="1" applyAlignment="1">
      <alignment horizontal="center" vertical="center"/>
    </xf>
    <xf numFmtId="4" fontId="8" fillId="3" borderId="6" xfId="0" applyNumberFormat="1" applyFont="1" applyFill="1" applyBorder="1" applyAlignment="1">
      <alignment horizontal="center" vertical="center"/>
    </xf>
    <xf numFmtId="0" fontId="8" fillId="6" borderId="6" xfId="0" applyFont="1" applyFill="1" applyBorder="1"/>
    <xf numFmtId="0" fontId="17" fillId="0" borderId="6" xfId="0" applyFont="1" applyBorder="1" applyAlignment="1">
      <alignment horizontal="left" wrapText="1"/>
    </xf>
    <xf numFmtId="0" fontId="16" fillId="5" borderId="0" xfId="0" applyFont="1" applyFill="1" applyAlignment="1">
      <alignment horizontal="center" vertical="center"/>
    </xf>
    <xf numFmtId="0" fontId="17" fillId="0" borderId="0" xfId="0" applyFont="1" applyAlignment="1">
      <alignment horizontal="left" wrapText="1"/>
    </xf>
    <xf numFmtId="0" fontId="9" fillId="2" borderId="6" xfId="0" applyFont="1" applyFill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/>
    <xf numFmtId="0" fontId="8" fillId="6" borderId="5" xfId="0" applyFont="1" applyFill="1" applyBorder="1"/>
    <xf numFmtId="0" fontId="11" fillId="0" borderId="6" xfId="0" applyFont="1" applyBorder="1" applyAlignment="1">
      <alignment vertical="center"/>
    </xf>
    <xf numFmtId="0" fontId="7" fillId="4" borderId="4" xfId="0" applyFont="1" applyFill="1" applyBorder="1"/>
    <xf numFmtId="0" fontId="3" fillId="4" borderId="4" xfId="0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/>
    <xf numFmtId="0" fontId="16" fillId="0" borderId="5" xfId="0" applyFont="1" applyBorder="1"/>
    <xf numFmtId="0" fontId="16" fillId="0" borderId="4" xfId="0" applyFont="1" applyBorder="1"/>
    <xf numFmtId="0" fontId="16" fillId="0" borderId="4" xfId="0" applyFont="1" applyBorder="1" applyAlignment="1">
      <alignment horizontal="center" vertical="center"/>
    </xf>
    <xf numFmtId="4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0" xfId="0" applyFont="1"/>
    <xf numFmtId="0" fontId="3" fillId="2" borderId="4" xfId="0" applyFont="1" applyFill="1" applyBorder="1" applyAlignment="1">
      <alignment horizontal="center" vertical="top"/>
    </xf>
    <xf numFmtId="0" fontId="8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4" fontId="11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4" fontId="11" fillId="0" borderId="6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4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top"/>
    </xf>
    <xf numFmtId="0" fontId="7" fillId="7" borderId="4" xfId="0" applyFont="1" applyFill="1" applyBorder="1"/>
    <xf numFmtId="0" fontId="8" fillId="7" borderId="4" xfId="0" applyFont="1" applyFill="1" applyBorder="1" applyAlignment="1">
      <alignment horizontal="center"/>
    </xf>
    <xf numFmtId="4" fontId="8" fillId="7" borderId="4" xfId="0" applyNumberFormat="1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 vertical="top"/>
    </xf>
    <xf numFmtId="0" fontId="8" fillId="7" borderId="4" xfId="0" applyFont="1" applyFill="1" applyBorder="1"/>
    <xf numFmtId="0" fontId="11" fillId="0" borderId="6" xfId="0" applyFont="1" applyBorder="1" applyAlignment="1">
      <alignment horizontal="center"/>
    </xf>
    <xf numFmtId="0" fontId="11" fillId="0" borderId="2" xfId="0" applyFont="1" applyBorder="1"/>
    <xf numFmtId="0" fontId="8" fillId="0" borderId="6" xfId="0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0" fontId="8" fillId="3" borderId="6" xfId="0" applyFont="1" applyFill="1" applyBorder="1"/>
    <xf numFmtId="0" fontId="18" fillId="0" borderId="6" xfId="0" applyFont="1" applyBorder="1"/>
    <xf numFmtId="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center"/>
    </xf>
    <xf numFmtId="4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8" fillId="0" borderId="7" xfId="0" applyNumberFormat="1" applyFont="1" applyBorder="1" applyAlignment="1">
      <alignment horizontal="center"/>
    </xf>
    <xf numFmtId="0" fontId="8" fillId="0" borderId="0" xfId="0" applyFont="1" applyAlignment="1">
      <alignment horizontal="center" vertical="top"/>
    </xf>
    <xf numFmtId="4" fontId="9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0" fontId="8" fillId="8" borderId="5" xfId="0" applyFont="1" applyFill="1" applyBorder="1"/>
    <xf numFmtId="0" fontId="8" fillId="0" borderId="4" xfId="0" applyFont="1" applyBorder="1" applyAlignment="1">
      <alignment horizontal="left"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2" xfId="0" applyFont="1" applyBorder="1" applyAlignment="1">
      <alignment horizontal="center"/>
    </xf>
    <xf numFmtId="0" fontId="6" fillId="0" borderId="5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4" fontId="7" fillId="0" borderId="3" xfId="0" applyNumberFormat="1" applyFont="1" applyBorder="1" applyAlignment="1">
      <alignment horizontal="center" vertical="center"/>
    </xf>
    <xf numFmtId="0" fontId="6" fillId="0" borderId="4" xfId="0" applyFont="1" applyBorder="1"/>
    <xf numFmtId="0" fontId="7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3" xfId="0" applyFont="1" applyBorder="1" applyAlignment="1">
      <alignment horizontal="center"/>
    </xf>
    <xf numFmtId="0" fontId="9" fillId="0" borderId="1" xfId="0" applyFont="1" applyBorder="1"/>
    <xf numFmtId="0" fontId="12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5" fillId="0" borderId="0" xfId="0" applyFont="1"/>
    <xf numFmtId="0" fontId="8" fillId="0" borderId="9" xfId="0" applyFont="1" applyBorder="1" applyAlignment="1">
      <alignment horizontal="center" vertical="center"/>
    </xf>
    <xf numFmtId="0" fontId="6" fillId="0" borderId="2" xfId="0" applyFont="1" applyBorder="1"/>
    <xf numFmtId="0" fontId="19" fillId="0" borderId="0" xfId="0" applyFont="1"/>
    <xf numFmtId="0" fontId="8" fillId="0" borderId="0" xfId="0" applyFont="1"/>
    <xf numFmtId="0" fontId="2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6" fillId="0" borderId="3" xfId="0" applyFont="1" applyBorder="1"/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5"/>
  <sheetViews>
    <sheetView topLeftCell="A46" workbookViewId="0">
      <selection sqref="A1:V1"/>
    </sheetView>
  </sheetViews>
  <sheetFormatPr defaultColWidth="12.5703125" defaultRowHeight="15.75" customHeight="1" x14ac:dyDescent="0.2"/>
  <cols>
    <col min="2" max="2" width="65.140625" customWidth="1"/>
    <col min="5" max="5" width="17.85546875" customWidth="1"/>
    <col min="6" max="6" width="26.140625" customWidth="1"/>
    <col min="7" max="7" width="16.28515625" customWidth="1"/>
    <col min="13" max="13" width="20.42578125" customWidth="1"/>
  </cols>
  <sheetData>
    <row r="1" spans="1:26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"/>
      <c r="X1" s="1"/>
      <c r="Y1" s="1"/>
      <c r="Z1" s="1"/>
    </row>
    <row r="2" spans="1:26" ht="14.25" x14ac:dyDescent="0.2">
      <c r="A2" s="169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"/>
      <c r="X2" s="1"/>
      <c r="Y2" s="1"/>
      <c r="Z2" s="1"/>
    </row>
    <row r="3" spans="1:26" ht="12.75" x14ac:dyDescent="0.2">
      <c r="A3" s="170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"/>
      <c r="X3" s="1"/>
      <c r="Y3" s="1"/>
      <c r="Z3" s="1"/>
    </row>
    <row r="4" spans="1:26" ht="15" x14ac:dyDescent="0.2">
      <c r="A4" s="171" t="s">
        <v>2</v>
      </c>
      <c r="B4" s="168"/>
      <c r="C4" s="3"/>
      <c r="D4" s="4"/>
      <c r="E4" s="4"/>
      <c r="F4" s="5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2">
      <c r="A5" s="1"/>
      <c r="B5" s="7"/>
      <c r="C5" s="3"/>
      <c r="D5" s="4"/>
      <c r="E5" s="4"/>
      <c r="F5" s="5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72" t="s">
        <v>3</v>
      </c>
      <c r="B6" s="168"/>
      <c r="C6" s="168"/>
      <c r="D6" s="168"/>
      <c r="E6" s="168"/>
      <c r="F6" s="168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">
      <c r="A7" s="163" t="s">
        <v>4</v>
      </c>
      <c r="B7" s="164"/>
      <c r="C7" s="8"/>
      <c r="D7" s="9"/>
      <c r="E7" s="9"/>
      <c r="F7" s="10"/>
      <c r="G7" s="11"/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"/>
      <c r="X7" s="1"/>
      <c r="Y7" s="1"/>
      <c r="Z7" s="1"/>
    </row>
    <row r="8" spans="1:26" ht="15" x14ac:dyDescent="0.2">
      <c r="A8" s="165" t="s">
        <v>5</v>
      </c>
      <c r="B8" s="179" t="s">
        <v>6</v>
      </c>
      <c r="C8" s="13" t="s">
        <v>7</v>
      </c>
      <c r="D8" s="175" t="s">
        <v>8</v>
      </c>
      <c r="E8" s="175" t="s">
        <v>9</v>
      </c>
      <c r="F8" s="177" t="s">
        <v>10</v>
      </c>
      <c r="G8" s="177" t="s">
        <v>11</v>
      </c>
      <c r="H8" s="178" t="s">
        <v>12</v>
      </c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76"/>
      <c r="W8" s="1"/>
      <c r="X8" s="1"/>
      <c r="Y8" s="1"/>
      <c r="Z8" s="1"/>
    </row>
    <row r="9" spans="1:26" ht="15" x14ac:dyDescent="0.25">
      <c r="A9" s="166"/>
      <c r="B9" s="176"/>
      <c r="C9" s="13" t="s">
        <v>13</v>
      </c>
      <c r="D9" s="176"/>
      <c r="E9" s="176"/>
      <c r="F9" s="176"/>
      <c r="G9" s="176"/>
      <c r="H9" s="14" t="s">
        <v>14</v>
      </c>
      <c r="I9" s="15" t="s">
        <v>15</v>
      </c>
      <c r="J9" s="15" t="s">
        <v>16</v>
      </c>
      <c r="K9" s="15" t="s">
        <v>17</v>
      </c>
      <c r="L9" s="15" t="s">
        <v>18</v>
      </c>
      <c r="M9" s="15" t="s">
        <v>19</v>
      </c>
      <c r="N9" s="15" t="s">
        <v>20</v>
      </c>
      <c r="O9" s="15" t="s">
        <v>21</v>
      </c>
      <c r="P9" s="15" t="s">
        <v>22</v>
      </c>
      <c r="Q9" s="15" t="s">
        <v>23</v>
      </c>
      <c r="R9" s="15" t="s">
        <v>24</v>
      </c>
      <c r="S9" s="15" t="s">
        <v>25</v>
      </c>
      <c r="T9" s="15" t="s">
        <v>26</v>
      </c>
      <c r="U9" s="15" t="s">
        <v>27</v>
      </c>
      <c r="V9" s="15" t="s">
        <v>27</v>
      </c>
      <c r="W9" s="1"/>
      <c r="X9" s="1"/>
      <c r="Y9" s="1"/>
      <c r="Z9" s="1"/>
    </row>
    <row r="10" spans="1:26" ht="12.75" x14ac:dyDescent="0.2">
      <c r="A10" s="16"/>
      <c r="B10" s="17" t="s">
        <v>28</v>
      </c>
      <c r="C10" s="18"/>
      <c r="D10" s="19"/>
      <c r="E10" s="19"/>
      <c r="F10" s="20"/>
      <c r="G10" s="21"/>
      <c r="H10" s="21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4"/>
      <c r="W10" s="1"/>
      <c r="X10" s="1"/>
      <c r="Y10" s="1"/>
      <c r="Z10" s="1"/>
    </row>
    <row r="11" spans="1:26" ht="12.75" x14ac:dyDescent="0.2">
      <c r="A11" s="16"/>
      <c r="B11" s="25"/>
      <c r="C11" s="26"/>
      <c r="D11" s="27"/>
      <c r="E11" s="27"/>
      <c r="F11" s="28"/>
      <c r="G11" s="29"/>
      <c r="H11" s="29"/>
      <c r="I11" s="30"/>
      <c r="J11" s="30"/>
      <c r="K11" s="30"/>
      <c r="L11" s="30"/>
      <c r="M11" s="30"/>
      <c r="N11" s="30"/>
      <c r="O11" s="31"/>
      <c r="P11" s="31"/>
      <c r="Q11" s="31"/>
      <c r="R11" s="31"/>
      <c r="S11" s="31"/>
      <c r="T11" s="31"/>
      <c r="U11" s="31"/>
      <c r="V11" s="32"/>
      <c r="W11" s="1"/>
      <c r="X11" s="1"/>
      <c r="Y11" s="1"/>
      <c r="Z11" s="1"/>
    </row>
    <row r="12" spans="1:26" ht="12.75" x14ac:dyDescent="0.2">
      <c r="A12" s="16"/>
      <c r="B12" s="33" t="s">
        <v>29</v>
      </c>
      <c r="C12" s="34" t="s">
        <v>30</v>
      </c>
      <c r="D12" s="27">
        <v>1300</v>
      </c>
      <c r="E12" s="27">
        <f>D12*5</f>
        <v>6500</v>
      </c>
      <c r="F12" s="35" t="s">
        <v>31</v>
      </c>
      <c r="G12" s="36" t="s">
        <v>32</v>
      </c>
      <c r="H12" s="36"/>
      <c r="I12" s="37"/>
      <c r="J12" s="37"/>
      <c r="K12" s="37"/>
      <c r="L12" s="37"/>
      <c r="M12" s="37"/>
      <c r="N12" s="37"/>
      <c r="O12" s="38"/>
      <c r="P12" s="38"/>
      <c r="Q12" s="38"/>
      <c r="R12" s="38"/>
      <c r="S12" s="38"/>
      <c r="T12" s="38"/>
      <c r="U12" s="38"/>
      <c r="V12" s="38"/>
      <c r="W12" s="1"/>
      <c r="X12" s="1"/>
      <c r="Y12" s="1"/>
      <c r="Z12" s="1"/>
    </row>
    <row r="13" spans="1:26" ht="12.75" x14ac:dyDescent="0.2">
      <c r="A13" s="16"/>
      <c r="B13" s="37" t="s">
        <v>33</v>
      </c>
      <c r="C13" s="34"/>
      <c r="D13" s="34"/>
      <c r="E13" s="39"/>
      <c r="F13" s="40"/>
      <c r="G13" s="36"/>
      <c r="H13" s="36"/>
      <c r="I13" s="37"/>
      <c r="J13" s="37"/>
      <c r="K13" s="37"/>
      <c r="L13" s="37"/>
      <c r="M13" s="37"/>
      <c r="N13" s="37"/>
      <c r="O13" s="38"/>
      <c r="P13" s="38"/>
      <c r="Q13" s="38"/>
      <c r="R13" s="38"/>
      <c r="S13" s="38"/>
      <c r="T13" s="38"/>
      <c r="U13" s="38"/>
      <c r="V13" s="38"/>
      <c r="W13" s="1"/>
      <c r="X13" s="1"/>
      <c r="Y13" s="1"/>
      <c r="Z13" s="1"/>
    </row>
    <row r="14" spans="1:26" ht="12.75" x14ac:dyDescent="0.2">
      <c r="A14" s="16"/>
      <c r="B14" s="25" t="s">
        <v>34</v>
      </c>
      <c r="C14" s="26"/>
      <c r="D14" s="27"/>
      <c r="E14" s="27"/>
      <c r="F14" s="40"/>
      <c r="G14" s="36"/>
      <c r="H14" s="36"/>
      <c r="I14" s="37"/>
      <c r="J14" s="37"/>
      <c r="K14" s="37"/>
      <c r="L14" s="37"/>
      <c r="M14" s="37"/>
      <c r="N14" s="37"/>
      <c r="O14" s="38"/>
      <c r="P14" s="38"/>
      <c r="Q14" s="38"/>
      <c r="R14" s="38"/>
      <c r="S14" s="38"/>
      <c r="T14" s="38"/>
      <c r="U14" s="38"/>
      <c r="V14" s="38"/>
      <c r="W14" s="1"/>
      <c r="X14" s="1"/>
      <c r="Y14" s="1"/>
      <c r="Z14" s="1"/>
    </row>
    <row r="15" spans="1:26" ht="12.75" x14ac:dyDescent="0.2">
      <c r="A15" s="16"/>
      <c r="B15" s="25" t="s">
        <v>35</v>
      </c>
      <c r="C15" s="26"/>
      <c r="D15" s="27"/>
      <c r="E15" s="27"/>
      <c r="F15" s="40"/>
      <c r="G15" s="36"/>
      <c r="H15" s="36"/>
      <c r="I15" s="37"/>
      <c r="J15" s="37"/>
      <c r="K15" s="37"/>
      <c r="L15" s="37"/>
      <c r="M15" s="37"/>
      <c r="N15" s="37"/>
      <c r="O15" s="38"/>
      <c r="P15" s="38"/>
      <c r="Q15" s="38"/>
      <c r="R15" s="38"/>
      <c r="S15" s="38"/>
      <c r="T15" s="38"/>
      <c r="U15" s="38"/>
      <c r="V15" s="38"/>
      <c r="W15" s="1"/>
      <c r="X15" s="1"/>
      <c r="Y15" s="1"/>
      <c r="Z15" s="1"/>
    </row>
    <row r="16" spans="1:26" ht="12.75" x14ac:dyDescent="0.2">
      <c r="A16" s="16"/>
      <c r="B16" s="25" t="s">
        <v>36</v>
      </c>
      <c r="C16" s="26"/>
      <c r="D16" s="27"/>
      <c r="E16" s="27"/>
      <c r="F16" s="40"/>
      <c r="G16" s="36"/>
      <c r="H16" s="36"/>
      <c r="I16" s="37"/>
      <c r="J16" s="37"/>
      <c r="K16" s="37"/>
      <c r="L16" s="37"/>
      <c r="M16" s="37"/>
      <c r="N16" s="37"/>
      <c r="O16" s="38"/>
      <c r="P16" s="38"/>
      <c r="Q16" s="38"/>
      <c r="R16" s="38"/>
      <c r="S16" s="38"/>
      <c r="T16" s="38"/>
      <c r="U16" s="38"/>
      <c r="V16" s="38"/>
      <c r="W16" s="1"/>
      <c r="X16" s="1"/>
      <c r="Y16" s="1"/>
      <c r="Z16" s="1"/>
    </row>
    <row r="17" spans="1:26" ht="12.75" x14ac:dyDescent="0.2">
      <c r="A17" s="16"/>
      <c r="B17" s="25" t="s">
        <v>37</v>
      </c>
      <c r="C17" s="26"/>
      <c r="D17" s="27"/>
      <c r="E17" s="27"/>
      <c r="F17" s="40"/>
      <c r="G17" s="36"/>
      <c r="H17" s="36"/>
      <c r="I17" s="37"/>
      <c r="J17" s="37"/>
      <c r="K17" s="37"/>
      <c r="L17" s="37"/>
      <c r="M17" s="37"/>
      <c r="N17" s="37"/>
      <c r="O17" s="38"/>
      <c r="P17" s="38"/>
      <c r="Q17" s="38"/>
      <c r="R17" s="38"/>
      <c r="S17" s="38"/>
      <c r="T17" s="38"/>
      <c r="U17" s="38"/>
      <c r="V17" s="38"/>
      <c r="W17" s="1"/>
      <c r="X17" s="1"/>
      <c r="Y17" s="1"/>
      <c r="Z17" s="1"/>
    </row>
    <row r="18" spans="1:26" ht="12.75" x14ac:dyDescent="0.2">
      <c r="A18" s="16"/>
      <c r="B18" s="25" t="s">
        <v>38</v>
      </c>
      <c r="C18" s="26"/>
      <c r="D18" s="27"/>
      <c r="E18" s="27"/>
      <c r="F18" s="40"/>
      <c r="G18" s="36"/>
      <c r="H18" s="36"/>
      <c r="I18" s="37"/>
      <c r="J18" s="37"/>
      <c r="K18" s="37"/>
      <c r="L18" s="37"/>
      <c r="M18" s="37"/>
      <c r="N18" s="37"/>
      <c r="O18" s="38"/>
      <c r="P18" s="38"/>
      <c r="Q18" s="38"/>
      <c r="R18" s="38"/>
      <c r="S18" s="38"/>
      <c r="T18" s="38"/>
      <c r="U18" s="38"/>
      <c r="V18" s="38"/>
      <c r="W18" s="1"/>
      <c r="X18" s="1"/>
      <c r="Y18" s="1"/>
      <c r="Z18" s="1"/>
    </row>
    <row r="19" spans="1:26" ht="12.75" x14ac:dyDescent="0.2">
      <c r="A19" s="16"/>
      <c r="B19" s="25" t="s">
        <v>39</v>
      </c>
      <c r="C19" s="26"/>
      <c r="D19" s="27"/>
      <c r="E19" s="27"/>
      <c r="F19" s="35"/>
      <c r="G19" s="36"/>
      <c r="H19" s="36"/>
      <c r="I19" s="37"/>
      <c r="J19" s="37"/>
      <c r="K19" s="37"/>
      <c r="L19" s="37"/>
      <c r="M19" s="37"/>
      <c r="N19" s="37"/>
      <c r="O19" s="38"/>
      <c r="P19" s="38"/>
      <c r="Q19" s="38"/>
      <c r="R19" s="38"/>
      <c r="S19" s="38"/>
      <c r="T19" s="38"/>
      <c r="U19" s="38"/>
      <c r="V19" s="38"/>
      <c r="W19" s="1"/>
      <c r="X19" s="1"/>
      <c r="Y19" s="1"/>
      <c r="Z19" s="1"/>
    </row>
    <row r="20" spans="1:26" ht="76.5" x14ac:dyDescent="0.2">
      <c r="A20" s="16"/>
      <c r="B20" s="41" t="s">
        <v>40</v>
      </c>
      <c r="C20" s="42" t="s">
        <v>41</v>
      </c>
      <c r="D20" s="42">
        <v>500</v>
      </c>
      <c r="E20" s="42">
        <f>D20*10</f>
        <v>5000</v>
      </c>
      <c r="F20" s="35" t="s">
        <v>31</v>
      </c>
      <c r="G20" s="36" t="s">
        <v>32</v>
      </c>
      <c r="H20" s="36"/>
      <c r="I20" s="37"/>
      <c r="J20" s="37"/>
      <c r="K20" s="37"/>
      <c r="L20" s="37"/>
      <c r="M20" s="37"/>
      <c r="N20" s="37"/>
      <c r="O20" s="38"/>
      <c r="P20" s="38"/>
      <c r="Q20" s="38"/>
      <c r="R20" s="38"/>
      <c r="S20" s="38"/>
      <c r="T20" s="38"/>
      <c r="U20" s="38"/>
      <c r="V20" s="38"/>
      <c r="W20" s="1"/>
      <c r="X20" s="1"/>
      <c r="Y20" s="1"/>
      <c r="Z20" s="1"/>
    </row>
    <row r="21" spans="1:26" ht="12.75" x14ac:dyDescent="0.2">
      <c r="A21" s="16"/>
      <c r="B21" s="17" t="s">
        <v>42</v>
      </c>
      <c r="C21" s="26"/>
      <c r="D21" s="27"/>
      <c r="E21" s="27"/>
      <c r="F21" s="43"/>
      <c r="G21" s="44"/>
      <c r="H21" s="44"/>
      <c r="I21" s="25"/>
      <c r="J21" s="25"/>
      <c r="K21" s="25"/>
      <c r="L21" s="25"/>
      <c r="M21" s="25"/>
      <c r="N21" s="25"/>
      <c r="O21" s="32"/>
      <c r="P21" s="32"/>
      <c r="Q21" s="32"/>
      <c r="R21" s="32"/>
      <c r="S21" s="32"/>
      <c r="T21" s="32"/>
      <c r="U21" s="32"/>
      <c r="V21" s="32"/>
      <c r="W21" s="1"/>
      <c r="X21" s="1"/>
      <c r="Y21" s="1"/>
      <c r="Z21" s="1"/>
    </row>
    <row r="22" spans="1:26" ht="12.75" x14ac:dyDescent="0.2">
      <c r="A22" s="16"/>
      <c r="B22" s="25" t="s">
        <v>43</v>
      </c>
      <c r="C22" s="26" t="s">
        <v>44</v>
      </c>
      <c r="D22" s="27">
        <v>215</v>
      </c>
      <c r="E22" s="27">
        <v>215</v>
      </c>
      <c r="F22" s="43" t="s">
        <v>31</v>
      </c>
      <c r="G22" s="44" t="s">
        <v>45</v>
      </c>
      <c r="H22" s="43">
        <v>1</v>
      </c>
      <c r="I22" s="25"/>
      <c r="J22" s="25"/>
      <c r="K22" s="25"/>
      <c r="L22" s="25"/>
      <c r="M22" s="25"/>
      <c r="N22" s="25"/>
      <c r="O22" s="32"/>
      <c r="P22" s="32"/>
      <c r="Q22" s="32"/>
      <c r="R22" s="32"/>
      <c r="S22" s="32"/>
      <c r="T22" s="32"/>
      <c r="U22" s="32"/>
      <c r="V22" s="32"/>
      <c r="W22" s="1"/>
      <c r="X22" s="1"/>
      <c r="Y22" s="1"/>
      <c r="Z22" s="1"/>
    </row>
    <row r="23" spans="1:26" ht="12.75" x14ac:dyDescent="0.2">
      <c r="A23" s="16"/>
      <c r="B23" s="25"/>
      <c r="C23" s="26"/>
      <c r="D23" s="27"/>
      <c r="E23" s="27"/>
      <c r="F23" s="43"/>
      <c r="G23" s="44"/>
      <c r="H23" s="44"/>
      <c r="I23" s="25"/>
      <c r="J23" s="25"/>
      <c r="K23" s="25"/>
      <c r="L23" s="25"/>
      <c r="M23" s="25"/>
      <c r="N23" s="25"/>
      <c r="O23" s="32"/>
      <c r="P23" s="32"/>
      <c r="Q23" s="32"/>
      <c r="R23" s="32"/>
      <c r="S23" s="32"/>
      <c r="T23" s="32"/>
      <c r="U23" s="32"/>
      <c r="V23" s="32"/>
      <c r="W23" s="1"/>
      <c r="X23" s="1"/>
      <c r="Y23" s="1"/>
      <c r="Z23" s="1"/>
    </row>
    <row r="24" spans="1:26" ht="12.75" x14ac:dyDescent="0.2">
      <c r="A24" s="45"/>
      <c r="B24" s="25" t="s">
        <v>46</v>
      </c>
      <c r="C24" s="26" t="s">
        <v>44</v>
      </c>
      <c r="D24" s="27"/>
      <c r="E24" s="27">
        <v>10000</v>
      </c>
      <c r="F24" s="46" t="s">
        <v>31</v>
      </c>
      <c r="G24" s="44"/>
      <c r="H24" s="44"/>
      <c r="I24" s="25"/>
      <c r="J24" s="25"/>
      <c r="K24" s="25"/>
      <c r="L24" s="25"/>
      <c r="M24" s="25"/>
      <c r="N24" s="25"/>
      <c r="O24" s="32"/>
      <c r="P24" s="32"/>
      <c r="Q24" s="32"/>
      <c r="R24" s="32"/>
      <c r="S24" s="32"/>
      <c r="T24" s="32"/>
      <c r="U24" s="32"/>
      <c r="V24" s="32"/>
      <c r="W24" s="1"/>
      <c r="X24" s="1"/>
      <c r="Y24" s="1"/>
      <c r="Z24" s="1"/>
    </row>
    <row r="25" spans="1:26" ht="12.75" x14ac:dyDescent="0.2">
      <c r="A25" s="16"/>
      <c r="B25" s="25" t="s">
        <v>47</v>
      </c>
      <c r="C25" s="26"/>
      <c r="D25" s="27"/>
      <c r="E25" s="27"/>
      <c r="F25" s="43"/>
      <c r="G25" s="44"/>
      <c r="H25" s="44"/>
      <c r="I25" s="25"/>
      <c r="J25" s="25"/>
      <c r="K25" s="25"/>
      <c r="L25" s="25"/>
      <c r="M25" s="25"/>
      <c r="N25" s="25"/>
      <c r="O25" s="32"/>
      <c r="P25" s="32"/>
      <c r="Q25" s="32"/>
      <c r="R25" s="32"/>
      <c r="S25" s="32"/>
      <c r="T25" s="32"/>
      <c r="U25" s="32"/>
      <c r="V25" s="32"/>
      <c r="W25" s="1"/>
      <c r="X25" s="1"/>
      <c r="Y25" s="1"/>
      <c r="Z25" s="1"/>
    </row>
    <row r="26" spans="1:26" ht="12.75" x14ac:dyDescent="0.2">
      <c r="A26" s="16"/>
      <c r="B26" s="25" t="s">
        <v>48</v>
      </c>
      <c r="C26" s="26"/>
      <c r="D26" s="27"/>
      <c r="E26" s="27"/>
      <c r="F26" s="43"/>
      <c r="G26" s="44"/>
      <c r="H26" s="44"/>
      <c r="I26" s="25"/>
      <c r="J26" s="25"/>
      <c r="K26" s="25"/>
      <c r="L26" s="25"/>
      <c r="M26" s="25"/>
      <c r="N26" s="25"/>
      <c r="O26" s="32"/>
      <c r="P26" s="32"/>
      <c r="Q26" s="32"/>
      <c r="R26" s="32"/>
      <c r="S26" s="32"/>
      <c r="T26" s="32"/>
      <c r="U26" s="32"/>
      <c r="V26" s="32"/>
      <c r="W26" s="1"/>
      <c r="X26" s="1"/>
      <c r="Y26" s="1"/>
      <c r="Z26" s="1"/>
    </row>
    <row r="27" spans="1:26" ht="12.75" x14ac:dyDescent="0.2">
      <c r="A27" s="16"/>
      <c r="B27" s="25" t="s">
        <v>49</v>
      </c>
      <c r="C27" s="26"/>
      <c r="D27" s="27"/>
      <c r="E27" s="27"/>
      <c r="F27" s="43"/>
      <c r="G27" s="44"/>
      <c r="H27" s="44"/>
      <c r="I27" s="25"/>
      <c r="J27" s="25"/>
      <c r="K27" s="25"/>
      <c r="L27" s="25"/>
      <c r="M27" s="25"/>
      <c r="N27" s="25"/>
      <c r="O27" s="32"/>
      <c r="P27" s="32"/>
      <c r="Q27" s="32"/>
      <c r="R27" s="32"/>
      <c r="S27" s="32"/>
      <c r="T27" s="32"/>
      <c r="U27" s="32"/>
      <c r="V27" s="32"/>
      <c r="W27" s="1"/>
      <c r="X27" s="1"/>
      <c r="Y27" s="1"/>
      <c r="Z27" s="1"/>
    </row>
    <row r="28" spans="1:26" ht="12.75" x14ac:dyDescent="0.2">
      <c r="A28" s="16"/>
      <c r="B28" s="25"/>
      <c r="C28" s="26"/>
      <c r="D28" s="27"/>
      <c r="E28" s="27"/>
      <c r="F28" s="43"/>
      <c r="G28" s="44"/>
      <c r="H28" s="44"/>
      <c r="I28" s="25"/>
      <c r="J28" s="25"/>
      <c r="K28" s="25"/>
      <c r="L28" s="25"/>
      <c r="M28" s="25"/>
      <c r="N28" s="25"/>
      <c r="O28" s="32"/>
      <c r="P28" s="32"/>
      <c r="Q28" s="32"/>
      <c r="R28" s="32"/>
      <c r="S28" s="32"/>
      <c r="T28" s="32"/>
      <c r="U28" s="32"/>
      <c r="V28" s="32"/>
      <c r="W28" s="1"/>
      <c r="X28" s="1"/>
      <c r="Y28" s="1"/>
      <c r="Z28" s="1"/>
    </row>
    <row r="29" spans="1:26" ht="12.75" x14ac:dyDescent="0.2">
      <c r="A29" s="16"/>
      <c r="B29" s="47" t="s">
        <v>50</v>
      </c>
      <c r="C29" s="48"/>
      <c r="D29" s="49"/>
      <c r="E29" s="49"/>
      <c r="F29" s="50"/>
      <c r="G29" s="51"/>
      <c r="H29" s="51"/>
      <c r="I29" s="52"/>
      <c r="J29" s="52"/>
      <c r="K29" s="52"/>
      <c r="L29" s="52"/>
      <c r="M29" s="52"/>
      <c r="N29" s="52"/>
      <c r="O29" s="53"/>
      <c r="P29" s="53"/>
      <c r="Q29" s="53"/>
      <c r="R29" s="53"/>
      <c r="S29" s="53"/>
      <c r="T29" s="53"/>
      <c r="U29" s="53"/>
      <c r="V29" s="53"/>
      <c r="W29" s="1"/>
      <c r="X29" s="1"/>
      <c r="Y29" s="1"/>
      <c r="Z29" s="1"/>
    </row>
    <row r="30" spans="1:26" ht="22.5" customHeight="1" x14ac:dyDescent="0.2">
      <c r="A30" s="16"/>
      <c r="B30" s="54" t="s">
        <v>51</v>
      </c>
      <c r="C30" s="26" t="s">
        <v>52</v>
      </c>
      <c r="D30" s="27">
        <v>750</v>
      </c>
      <c r="E30" s="27">
        <f>40*750</f>
        <v>30000</v>
      </c>
      <c r="F30" s="43" t="s">
        <v>31</v>
      </c>
      <c r="G30" s="44" t="s">
        <v>53</v>
      </c>
      <c r="H30" s="43">
        <v>40</v>
      </c>
      <c r="I30" s="25"/>
      <c r="J30" s="25"/>
      <c r="K30" s="25"/>
      <c r="L30" s="25"/>
      <c r="M30" s="25"/>
      <c r="N30" s="25"/>
      <c r="O30" s="32"/>
      <c r="P30" s="32"/>
      <c r="Q30" s="32"/>
      <c r="R30" s="32"/>
      <c r="S30" s="32"/>
      <c r="T30" s="32"/>
      <c r="U30" s="32"/>
      <c r="V30" s="32"/>
      <c r="W30" s="1"/>
      <c r="X30" s="1"/>
      <c r="Y30" s="1"/>
      <c r="Z30" s="1"/>
    </row>
    <row r="31" spans="1:26" ht="12.75" x14ac:dyDescent="0.2">
      <c r="A31" s="16"/>
      <c r="B31" s="55" t="s">
        <v>54</v>
      </c>
      <c r="C31" s="26" t="s">
        <v>55</v>
      </c>
      <c r="D31" s="27">
        <v>1000</v>
      </c>
      <c r="E31" s="27">
        <f>50*1000</f>
        <v>50000</v>
      </c>
      <c r="F31" s="43" t="s">
        <v>31</v>
      </c>
      <c r="G31" s="44" t="s">
        <v>53</v>
      </c>
      <c r="H31" s="43">
        <v>50</v>
      </c>
      <c r="I31" s="25"/>
      <c r="J31" s="25"/>
      <c r="K31" s="25"/>
      <c r="L31" s="25"/>
      <c r="M31" s="25"/>
      <c r="N31" s="25"/>
      <c r="O31" s="32"/>
      <c r="P31" s="32"/>
      <c r="Q31" s="32"/>
      <c r="R31" s="32"/>
      <c r="S31" s="32"/>
      <c r="T31" s="32"/>
      <c r="U31" s="32"/>
      <c r="V31" s="32"/>
      <c r="W31" s="1"/>
      <c r="X31" s="1"/>
      <c r="Y31" s="1"/>
      <c r="Z31" s="1"/>
    </row>
    <row r="32" spans="1:26" ht="12.75" x14ac:dyDescent="0.2">
      <c r="A32" s="16"/>
      <c r="B32" s="55" t="s">
        <v>56</v>
      </c>
      <c r="C32" s="26" t="s">
        <v>52</v>
      </c>
      <c r="D32" s="27">
        <v>750</v>
      </c>
      <c r="E32" s="27">
        <f>40*750</f>
        <v>30000</v>
      </c>
      <c r="F32" s="43" t="s">
        <v>31</v>
      </c>
      <c r="G32" s="44" t="s">
        <v>53</v>
      </c>
      <c r="H32" s="43">
        <v>40</v>
      </c>
      <c r="I32" s="25"/>
      <c r="J32" s="25"/>
      <c r="K32" s="25"/>
      <c r="L32" s="25"/>
      <c r="M32" s="25"/>
      <c r="N32" s="25"/>
      <c r="O32" s="32"/>
      <c r="P32" s="32"/>
      <c r="Q32" s="32"/>
      <c r="R32" s="32"/>
      <c r="S32" s="32"/>
      <c r="T32" s="32"/>
      <c r="U32" s="32"/>
      <c r="V32" s="32"/>
      <c r="W32" s="1"/>
      <c r="X32" s="1"/>
      <c r="Y32" s="1"/>
      <c r="Z32" s="1"/>
    </row>
    <row r="33" spans="1:26" ht="12.75" x14ac:dyDescent="0.2">
      <c r="A33" s="16"/>
      <c r="B33" s="55" t="s">
        <v>57</v>
      </c>
      <c r="C33" s="26" t="s">
        <v>58</v>
      </c>
      <c r="D33" s="27">
        <v>750</v>
      </c>
      <c r="E33" s="27">
        <f t="shared" ref="E33:E34" si="0">30*750</f>
        <v>22500</v>
      </c>
      <c r="F33" s="43" t="s">
        <v>31</v>
      </c>
      <c r="G33" s="44" t="s">
        <v>53</v>
      </c>
      <c r="H33" s="43">
        <v>30</v>
      </c>
      <c r="I33" s="25"/>
      <c r="J33" s="25"/>
      <c r="K33" s="25"/>
      <c r="L33" s="25"/>
      <c r="M33" s="25"/>
      <c r="N33" s="25"/>
      <c r="O33" s="32"/>
      <c r="P33" s="32"/>
      <c r="Q33" s="32"/>
      <c r="R33" s="32"/>
      <c r="S33" s="32"/>
      <c r="T33" s="32"/>
      <c r="U33" s="32"/>
      <c r="V33" s="32"/>
      <c r="W33" s="1"/>
      <c r="X33" s="1"/>
      <c r="Y33" s="1"/>
      <c r="Z33" s="1"/>
    </row>
    <row r="34" spans="1:26" ht="25.5" x14ac:dyDescent="0.2">
      <c r="A34" s="16"/>
      <c r="B34" s="54" t="s">
        <v>59</v>
      </c>
      <c r="C34" s="26" t="s">
        <v>58</v>
      </c>
      <c r="D34" s="27">
        <v>750</v>
      </c>
      <c r="E34" s="27">
        <f t="shared" si="0"/>
        <v>22500</v>
      </c>
      <c r="F34" s="43" t="s">
        <v>31</v>
      </c>
      <c r="G34" s="44" t="s">
        <v>53</v>
      </c>
      <c r="H34" s="43">
        <v>30</v>
      </c>
      <c r="I34" s="25"/>
      <c r="J34" s="25"/>
      <c r="K34" s="25"/>
      <c r="L34" s="25"/>
      <c r="M34" s="25"/>
      <c r="N34" s="25"/>
      <c r="O34" s="32"/>
      <c r="P34" s="32"/>
      <c r="Q34" s="32"/>
      <c r="R34" s="32"/>
      <c r="S34" s="32"/>
      <c r="T34" s="32"/>
      <c r="U34" s="32"/>
      <c r="V34" s="32"/>
      <c r="W34" s="1"/>
      <c r="X34" s="1"/>
      <c r="Y34" s="1"/>
      <c r="Z34" s="1"/>
    </row>
    <row r="35" spans="1:26" ht="12.75" x14ac:dyDescent="0.2">
      <c r="A35" s="16"/>
      <c r="B35" s="25"/>
      <c r="C35" s="26"/>
      <c r="D35" s="27"/>
      <c r="E35" s="27"/>
      <c r="F35" s="43"/>
      <c r="G35" s="44"/>
      <c r="H35" s="44"/>
      <c r="I35" s="25"/>
      <c r="J35" s="25"/>
      <c r="K35" s="25"/>
      <c r="L35" s="25"/>
      <c r="M35" s="25"/>
      <c r="N35" s="25"/>
      <c r="O35" s="32"/>
      <c r="P35" s="32"/>
      <c r="Q35" s="32"/>
      <c r="R35" s="32"/>
      <c r="S35" s="32"/>
      <c r="T35" s="32"/>
      <c r="U35" s="32"/>
      <c r="V35" s="32"/>
      <c r="W35" s="1"/>
      <c r="X35" s="1"/>
      <c r="Y35" s="1"/>
      <c r="Z35" s="1"/>
    </row>
    <row r="36" spans="1:26" ht="12.75" x14ac:dyDescent="0.2">
      <c r="A36" s="16"/>
      <c r="B36" s="17" t="s">
        <v>60</v>
      </c>
      <c r="C36" s="18"/>
      <c r="D36" s="19"/>
      <c r="E36" s="19"/>
      <c r="F36" s="56"/>
      <c r="G36" s="57"/>
      <c r="H36" s="57"/>
      <c r="I36" s="58"/>
      <c r="J36" s="58"/>
      <c r="K36" s="58"/>
      <c r="L36" s="58"/>
      <c r="M36" s="58"/>
      <c r="N36" s="58"/>
      <c r="O36" s="24"/>
      <c r="P36" s="24"/>
      <c r="Q36" s="24"/>
      <c r="R36" s="24"/>
      <c r="S36" s="24"/>
      <c r="T36" s="24"/>
      <c r="U36" s="24"/>
      <c r="V36" s="24"/>
      <c r="W36" s="1"/>
      <c r="X36" s="1"/>
      <c r="Y36" s="1"/>
      <c r="Z36" s="1"/>
    </row>
    <row r="37" spans="1:26" ht="12.75" x14ac:dyDescent="0.2">
      <c r="A37" s="16"/>
      <c r="B37" s="25" t="s">
        <v>61</v>
      </c>
      <c r="C37" s="26" t="s">
        <v>62</v>
      </c>
      <c r="D37" s="27">
        <v>8000</v>
      </c>
      <c r="E37" s="27">
        <f>9*D37</f>
        <v>72000</v>
      </c>
      <c r="F37" s="46" t="s">
        <v>31</v>
      </c>
      <c r="G37" s="44" t="s">
        <v>53</v>
      </c>
      <c r="H37" s="43">
        <v>9</v>
      </c>
      <c r="I37" s="25"/>
      <c r="J37" s="25"/>
      <c r="K37" s="25"/>
      <c r="L37" s="25"/>
      <c r="M37" s="25"/>
      <c r="N37" s="25"/>
      <c r="O37" s="32"/>
      <c r="P37" s="32"/>
      <c r="Q37" s="32"/>
      <c r="R37" s="32"/>
      <c r="S37" s="32"/>
      <c r="T37" s="32"/>
      <c r="U37" s="32"/>
      <c r="V37" s="32"/>
      <c r="W37" s="1"/>
      <c r="X37" s="1"/>
      <c r="Y37" s="1"/>
      <c r="Z37" s="1"/>
    </row>
    <row r="38" spans="1:26" ht="12.75" x14ac:dyDescent="0.2">
      <c r="A38" s="16"/>
      <c r="B38" s="25" t="s">
        <v>63</v>
      </c>
      <c r="C38" s="26" t="s">
        <v>64</v>
      </c>
      <c r="D38" s="27">
        <v>3000</v>
      </c>
      <c r="E38" s="27">
        <f>D38*130</f>
        <v>390000</v>
      </c>
      <c r="F38" s="46" t="s">
        <v>65</v>
      </c>
      <c r="G38" s="44" t="s">
        <v>53</v>
      </c>
      <c r="H38" s="43">
        <v>130</v>
      </c>
      <c r="I38" s="25"/>
      <c r="J38" s="25"/>
      <c r="K38" s="25"/>
      <c r="L38" s="25"/>
      <c r="M38" s="25"/>
      <c r="N38" s="25"/>
      <c r="O38" s="32"/>
      <c r="P38" s="32"/>
      <c r="Q38" s="32"/>
      <c r="R38" s="32"/>
      <c r="S38" s="32"/>
      <c r="T38" s="32"/>
      <c r="U38" s="32"/>
      <c r="V38" s="32"/>
      <c r="W38" s="1"/>
      <c r="X38" s="1"/>
      <c r="Y38" s="1"/>
      <c r="Z38" s="1"/>
    </row>
    <row r="39" spans="1:26" ht="12.75" x14ac:dyDescent="0.2">
      <c r="A39" s="16"/>
      <c r="B39" s="25" t="s">
        <v>66</v>
      </c>
      <c r="C39" s="26" t="s">
        <v>67</v>
      </c>
      <c r="D39" s="27">
        <v>350</v>
      </c>
      <c r="E39" s="27">
        <f>180*350</f>
        <v>63000</v>
      </c>
      <c r="F39" s="46" t="s">
        <v>65</v>
      </c>
      <c r="G39" s="44" t="s">
        <v>53</v>
      </c>
      <c r="H39" s="43">
        <v>180</v>
      </c>
      <c r="I39" s="25"/>
      <c r="J39" s="25"/>
      <c r="K39" s="25"/>
      <c r="L39" s="25"/>
      <c r="M39" s="25"/>
      <c r="N39" s="25"/>
      <c r="O39" s="32"/>
      <c r="P39" s="32"/>
      <c r="Q39" s="32"/>
      <c r="R39" s="32"/>
      <c r="S39" s="32"/>
      <c r="T39" s="32"/>
      <c r="U39" s="32"/>
      <c r="V39" s="32"/>
      <c r="W39" s="1"/>
      <c r="X39" s="1"/>
      <c r="Y39" s="1"/>
      <c r="Z39" s="1"/>
    </row>
    <row r="40" spans="1:26" ht="12.75" x14ac:dyDescent="0.2">
      <c r="A40" s="16"/>
      <c r="B40" s="25" t="s">
        <v>68</v>
      </c>
      <c r="C40" s="26" t="s">
        <v>69</v>
      </c>
      <c r="D40" s="27">
        <v>700</v>
      </c>
      <c r="E40" s="27">
        <f>50*700</f>
        <v>35000</v>
      </c>
      <c r="F40" s="46" t="s">
        <v>31</v>
      </c>
      <c r="G40" s="44" t="s">
        <v>53</v>
      </c>
      <c r="H40" s="43">
        <v>50</v>
      </c>
      <c r="I40" s="25"/>
      <c r="J40" s="25"/>
      <c r="K40" s="25"/>
      <c r="L40" s="25"/>
      <c r="M40" s="25"/>
      <c r="N40" s="25"/>
      <c r="O40" s="32"/>
      <c r="P40" s="32"/>
      <c r="Q40" s="32"/>
      <c r="R40" s="32"/>
      <c r="S40" s="32"/>
      <c r="T40" s="32"/>
      <c r="U40" s="32"/>
      <c r="V40" s="32"/>
      <c r="W40" s="1"/>
      <c r="X40" s="1"/>
      <c r="Y40" s="1"/>
      <c r="Z40" s="1"/>
    </row>
    <row r="41" spans="1:26" ht="12.75" x14ac:dyDescent="0.2">
      <c r="A41" s="16"/>
      <c r="B41" s="25" t="s">
        <v>70</v>
      </c>
      <c r="C41" s="26" t="s">
        <v>71</v>
      </c>
      <c r="D41" s="27">
        <v>9500</v>
      </c>
      <c r="E41" s="27">
        <f>38*9500</f>
        <v>361000</v>
      </c>
      <c r="F41" s="46" t="s">
        <v>65</v>
      </c>
      <c r="G41" s="44" t="s">
        <v>53</v>
      </c>
      <c r="H41" s="43">
        <v>38</v>
      </c>
      <c r="I41" s="25"/>
      <c r="J41" s="25"/>
      <c r="K41" s="25"/>
      <c r="L41" s="25"/>
      <c r="M41" s="25"/>
      <c r="N41" s="25"/>
      <c r="O41" s="32"/>
      <c r="P41" s="32"/>
      <c r="Q41" s="32"/>
      <c r="R41" s="32"/>
      <c r="S41" s="32"/>
      <c r="T41" s="32"/>
      <c r="U41" s="32"/>
      <c r="V41" s="32"/>
      <c r="W41" s="1"/>
      <c r="X41" s="1"/>
      <c r="Y41" s="1"/>
      <c r="Z41" s="1"/>
    </row>
    <row r="42" spans="1:26" ht="12.75" x14ac:dyDescent="0.2">
      <c r="A42" s="16"/>
      <c r="B42" s="17" t="s">
        <v>72</v>
      </c>
      <c r="C42" s="18"/>
      <c r="D42" s="19"/>
      <c r="E42" s="19"/>
      <c r="F42" s="56"/>
      <c r="G42" s="57"/>
      <c r="H42" s="57"/>
      <c r="I42" s="58"/>
      <c r="J42" s="58"/>
      <c r="K42" s="58"/>
      <c r="L42" s="58"/>
      <c r="M42" s="58"/>
      <c r="N42" s="58"/>
      <c r="O42" s="24"/>
      <c r="P42" s="24"/>
      <c r="Q42" s="24"/>
      <c r="R42" s="24"/>
      <c r="S42" s="24"/>
      <c r="T42" s="24"/>
      <c r="U42" s="24"/>
      <c r="V42" s="24"/>
      <c r="W42" s="1"/>
      <c r="X42" s="1"/>
      <c r="Y42" s="1"/>
      <c r="Z42" s="1"/>
    </row>
    <row r="43" spans="1:26" ht="91.5" customHeight="1" x14ac:dyDescent="0.2">
      <c r="A43" s="16"/>
      <c r="B43" s="59" t="s">
        <v>73</v>
      </c>
      <c r="C43" s="26" t="s">
        <v>74</v>
      </c>
      <c r="D43" s="27">
        <v>55</v>
      </c>
      <c r="E43" s="27">
        <f>5000*55</f>
        <v>275000</v>
      </c>
      <c r="F43" s="43" t="s">
        <v>65</v>
      </c>
      <c r="G43" s="44" t="s">
        <v>53</v>
      </c>
      <c r="H43" s="43">
        <v>55</v>
      </c>
      <c r="I43" s="25"/>
      <c r="J43" s="25"/>
      <c r="K43" s="25"/>
      <c r="L43" s="25"/>
      <c r="M43" s="25"/>
      <c r="N43" s="25"/>
      <c r="O43" s="32"/>
      <c r="P43" s="32"/>
      <c r="Q43" s="32"/>
      <c r="R43" s="32"/>
      <c r="S43" s="32"/>
      <c r="T43" s="32"/>
      <c r="U43" s="32"/>
      <c r="V43" s="32"/>
      <c r="W43" s="1"/>
      <c r="X43" s="1"/>
      <c r="Y43" s="1"/>
      <c r="Z43" s="1"/>
    </row>
    <row r="44" spans="1:26" ht="51" x14ac:dyDescent="0.2">
      <c r="A44" s="16"/>
      <c r="B44" s="54" t="s">
        <v>75</v>
      </c>
      <c r="C44" s="26" t="s">
        <v>76</v>
      </c>
      <c r="D44" s="27">
        <v>600</v>
      </c>
      <c r="E44" s="27">
        <f>1500*600</f>
        <v>900000</v>
      </c>
      <c r="F44" s="43" t="s">
        <v>65</v>
      </c>
      <c r="G44" s="44" t="s">
        <v>77</v>
      </c>
      <c r="H44" s="43">
        <v>1500</v>
      </c>
      <c r="I44" s="25"/>
      <c r="J44" s="25"/>
      <c r="K44" s="25"/>
      <c r="L44" s="25"/>
      <c r="M44" s="25"/>
      <c r="N44" s="25"/>
      <c r="O44" s="32"/>
      <c r="P44" s="32"/>
      <c r="Q44" s="32"/>
      <c r="R44" s="32"/>
      <c r="S44" s="32"/>
      <c r="T44" s="32"/>
      <c r="U44" s="32"/>
      <c r="V44" s="32"/>
      <c r="W44" s="1"/>
      <c r="X44" s="1"/>
      <c r="Y44" s="1"/>
      <c r="Z44" s="1"/>
    </row>
    <row r="45" spans="1:26" ht="38.25" x14ac:dyDescent="0.2">
      <c r="A45" s="16"/>
      <c r="B45" s="54" t="s">
        <v>78</v>
      </c>
      <c r="C45" s="26" t="s">
        <v>76</v>
      </c>
      <c r="D45" s="27">
        <v>140</v>
      </c>
      <c r="E45" s="27">
        <f>1500*140</f>
        <v>210000</v>
      </c>
      <c r="F45" s="43" t="s">
        <v>65</v>
      </c>
      <c r="G45" s="44" t="s">
        <v>77</v>
      </c>
      <c r="H45" s="43">
        <v>1500</v>
      </c>
      <c r="I45" s="25"/>
      <c r="J45" s="25"/>
      <c r="K45" s="25"/>
      <c r="L45" s="25"/>
      <c r="M45" s="25"/>
      <c r="N45" s="25"/>
      <c r="O45" s="32"/>
      <c r="P45" s="32"/>
      <c r="Q45" s="32"/>
      <c r="R45" s="32"/>
      <c r="S45" s="32"/>
      <c r="T45" s="32"/>
      <c r="U45" s="32"/>
      <c r="V45" s="32"/>
      <c r="W45" s="1"/>
      <c r="X45" s="1"/>
      <c r="Y45" s="1"/>
      <c r="Z45" s="1"/>
    </row>
    <row r="46" spans="1:26" ht="12.75" x14ac:dyDescent="0.2">
      <c r="A46" s="16"/>
      <c r="B46" s="25"/>
      <c r="C46" s="26"/>
      <c r="D46" s="27"/>
      <c r="E46" s="27"/>
      <c r="F46" s="43"/>
      <c r="G46" s="44"/>
      <c r="H46" s="44"/>
      <c r="I46" s="25"/>
      <c r="J46" s="25"/>
      <c r="K46" s="25"/>
      <c r="L46" s="25"/>
      <c r="M46" s="25"/>
      <c r="N46" s="25"/>
      <c r="O46" s="32"/>
      <c r="P46" s="32"/>
      <c r="Q46" s="32"/>
      <c r="R46" s="32"/>
      <c r="S46" s="32"/>
      <c r="T46" s="32"/>
      <c r="U46" s="32"/>
      <c r="V46" s="32"/>
      <c r="W46" s="1"/>
      <c r="X46" s="1"/>
      <c r="Y46" s="1"/>
      <c r="Z46" s="1"/>
    </row>
    <row r="47" spans="1:26" ht="12.75" x14ac:dyDescent="0.2">
      <c r="A47" s="16"/>
      <c r="B47" s="60" t="s">
        <v>79</v>
      </c>
      <c r="C47" s="26" t="s">
        <v>80</v>
      </c>
      <c r="D47" s="27">
        <v>150</v>
      </c>
      <c r="E47" s="27">
        <f>1100*150</f>
        <v>165000</v>
      </c>
      <c r="F47" s="43" t="s">
        <v>81</v>
      </c>
      <c r="G47" s="44" t="s">
        <v>53</v>
      </c>
      <c r="H47" s="43">
        <v>1100</v>
      </c>
      <c r="I47" s="25"/>
      <c r="J47" s="25"/>
      <c r="K47" s="25"/>
      <c r="L47" s="25"/>
      <c r="M47" s="25"/>
      <c r="N47" s="25"/>
      <c r="O47" s="32"/>
      <c r="P47" s="32"/>
      <c r="Q47" s="32"/>
      <c r="R47" s="32"/>
      <c r="S47" s="32"/>
      <c r="T47" s="32"/>
      <c r="U47" s="32"/>
      <c r="V47" s="32"/>
      <c r="W47" s="1"/>
      <c r="X47" s="1"/>
      <c r="Y47" s="1"/>
      <c r="Z47" s="1"/>
    </row>
    <row r="48" spans="1:26" ht="12.75" x14ac:dyDescent="0.2">
      <c r="A48" s="16"/>
      <c r="B48" s="25" t="s">
        <v>82</v>
      </c>
      <c r="C48" s="26"/>
      <c r="D48" s="27"/>
      <c r="E48" s="27"/>
      <c r="F48" s="43"/>
      <c r="G48" s="44"/>
      <c r="H48" s="44"/>
      <c r="I48" s="25"/>
      <c r="J48" s="25"/>
      <c r="K48" s="25"/>
      <c r="L48" s="25"/>
      <c r="M48" s="25"/>
      <c r="N48" s="25"/>
      <c r="O48" s="32"/>
      <c r="P48" s="32"/>
      <c r="Q48" s="32"/>
      <c r="R48" s="32"/>
      <c r="S48" s="32"/>
      <c r="T48" s="32"/>
      <c r="U48" s="32"/>
      <c r="V48" s="32"/>
      <c r="W48" s="1"/>
      <c r="X48" s="1"/>
      <c r="Y48" s="1"/>
      <c r="Z48" s="1"/>
    </row>
    <row r="49" spans="1:26" ht="12.75" x14ac:dyDescent="0.2">
      <c r="A49" s="16"/>
      <c r="B49" s="25" t="s">
        <v>83</v>
      </c>
      <c r="C49" s="26"/>
      <c r="D49" s="27"/>
      <c r="E49" s="27"/>
      <c r="F49" s="43"/>
      <c r="G49" s="44"/>
      <c r="H49" s="44"/>
      <c r="I49" s="25"/>
      <c r="J49" s="25"/>
      <c r="K49" s="25"/>
      <c r="L49" s="25"/>
      <c r="M49" s="25"/>
      <c r="N49" s="25"/>
      <c r="O49" s="32"/>
      <c r="P49" s="32"/>
      <c r="Q49" s="32"/>
      <c r="R49" s="32"/>
      <c r="S49" s="32"/>
      <c r="T49" s="32"/>
      <c r="U49" s="32"/>
      <c r="V49" s="32"/>
      <c r="W49" s="1"/>
      <c r="X49" s="1"/>
      <c r="Y49" s="1"/>
      <c r="Z49" s="1"/>
    </row>
    <row r="50" spans="1:26" ht="12.75" x14ac:dyDescent="0.2">
      <c r="A50" s="16"/>
      <c r="B50" s="25" t="s">
        <v>84</v>
      </c>
      <c r="C50" s="26"/>
      <c r="D50" s="27"/>
      <c r="E50" s="27"/>
      <c r="F50" s="43"/>
      <c r="G50" s="44"/>
      <c r="H50" s="44"/>
      <c r="I50" s="25"/>
      <c r="J50" s="25"/>
      <c r="K50" s="25"/>
      <c r="L50" s="25"/>
      <c r="M50" s="25"/>
      <c r="N50" s="25"/>
      <c r="O50" s="32"/>
      <c r="P50" s="32"/>
      <c r="Q50" s="32"/>
      <c r="R50" s="32"/>
      <c r="S50" s="32"/>
      <c r="T50" s="32"/>
      <c r="U50" s="32"/>
      <c r="V50" s="32"/>
      <c r="W50" s="1"/>
      <c r="X50" s="1"/>
      <c r="Y50" s="1"/>
      <c r="Z50" s="1"/>
    </row>
    <row r="51" spans="1:26" ht="12.75" x14ac:dyDescent="0.2">
      <c r="A51" s="16"/>
      <c r="B51" s="25" t="s">
        <v>85</v>
      </c>
      <c r="C51" s="26"/>
      <c r="D51" s="27"/>
      <c r="E51" s="27"/>
      <c r="F51" s="43"/>
      <c r="G51" s="44"/>
      <c r="H51" s="44"/>
      <c r="I51" s="25"/>
      <c r="J51" s="25"/>
      <c r="K51" s="25"/>
      <c r="L51" s="25"/>
      <c r="M51" s="25"/>
      <c r="N51" s="25"/>
      <c r="O51" s="32"/>
      <c r="P51" s="32"/>
      <c r="Q51" s="32"/>
      <c r="R51" s="32"/>
      <c r="S51" s="32"/>
      <c r="T51" s="32"/>
      <c r="U51" s="32"/>
      <c r="V51" s="32"/>
      <c r="W51" s="1"/>
      <c r="X51" s="1"/>
      <c r="Y51" s="1"/>
      <c r="Z51" s="1"/>
    </row>
    <row r="52" spans="1:26" ht="12.75" x14ac:dyDescent="0.2">
      <c r="A52" s="16"/>
      <c r="B52" s="25"/>
      <c r="C52" s="26"/>
      <c r="D52" s="27"/>
      <c r="E52" s="27"/>
      <c r="F52" s="43"/>
      <c r="G52" s="44"/>
      <c r="H52" s="44"/>
      <c r="I52" s="25"/>
      <c r="J52" s="25"/>
      <c r="K52" s="25"/>
      <c r="L52" s="25"/>
      <c r="M52" s="25"/>
      <c r="N52" s="25"/>
      <c r="O52" s="32"/>
      <c r="P52" s="32"/>
      <c r="Q52" s="32"/>
      <c r="R52" s="32"/>
      <c r="S52" s="32"/>
      <c r="T52" s="32"/>
      <c r="U52" s="32"/>
      <c r="V52" s="32"/>
      <c r="W52" s="1"/>
      <c r="X52" s="1"/>
      <c r="Y52" s="1"/>
      <c r="Z52" s="1"/>
    </row>
    <row r="53" spans="1:26" ht="12.75" x14ac:dyDescent="0.2">
      <c r="A53" s="16"/>
      <c r="B53" s="33" t="s">
        <v>86</v>
      </c>
      <c r="C53" s="26" t="s">
        <v>87</v>
      </c>
      <c r="D53" s="27">
        <v>6000</v>
      </c>
      <c r="E53" s="27">
        <v>6000</v>
      </c>
      <c r="F53" s="43" t="s">
        <v>81</v>
      </c>
      <c r="G53" s="44" t="s">
        <v>53</v>
      </c>
      <c r="H53" s="43">
        <v>6000</v>
      </c>
      <c r="I53" s="25"/>
      <c r="J53" s="25"/>
      <c r="K53" s="25"/>
      <c r="L53" s="25"/>
      <c r="M53" s="25"/>
      <c r="N53" s="25"/>
      <c r="O53" s="32"/>
      <c r="P53" s="32"/>
      <c r="Q53" s="32"/>
      <c r="R53" s="32"/>
      <c r="S53" s="32"/>
      <c r="T53" s="32"/>
      <c r="U53" s="32"/>
      <c r="V53" s="32"/>
      <c r="W53" s="1"/>
      <c r="X53" s="1"/>
      <c r="Y53" s="1"/>
      <c r="Z53" s="1"/>
    </row>
    <row r="54" spans="1:26" ht="12.75" x14ac:dyDescent="0.2">
      <c r="A54" s="16"/>
      <c r="B54" s="54" t="s">
        <v>88</v>
      </c>
      <c r="C54" s="26"/>
      <c r="D54" s="27"/>
      <c r="E54" s="27"/>
      <c r="F54" s="43"/>
      <c r="G54" s="44"/>
      <c r="H54" s="44"/>
      <c r="I54" s="25"/>
      <c r="J54" s="25"/>
      <c r="K54" s="25"/>
      <c r="L54" s="25"/>
      <c r="M54" s="25"/>
      <c r="N54" s="25"/>
      <c r="O54" s="32"/>
      <c r="P54" s="32"/>
      <c r="Q54" s="32"/>
      <c r="R54" s="32"/>
      <c r="S54" s="32"/>
      <c r="T54" s="32"/>
      <c r="U54" s="32"/>
      <c r="V54" s="32"/>
      <c r="W54" s="1"/>
      <c r="X54" s="1"/>
      <c r="Y54" s="1"/>
      <c r="Z54" s="1"/>
    </row>
    <row r="55" spans="1:26" ht="12.75" x14ac:dyDescent="0.2">
      <c r="A55" s="16"/>
      <c r="B55" s="25"/>
      <c r="C55" s="26"/>
      <c r="D55" s="27"/>
      <c r="E55" s="27"/>
      <c r="F55" s="43"/>
      <c r="G55" s="44"/>
      <c r="H55" s="44"/>
      <c r="I55" s="25"/>
      <c r="J55" s="25"/>
      <c r="K55" s="25"/>
      <c r="L55" s="25"/>
      <c r="M55" s="25"/>
      <c r="N55" s="25"/>
      <c r="O55" s="32"/>
      <c r="P55" s="32"/>
      <c r="Q55" s="32"/>
      <c r="R55" s="32"/>
      <c r="S55" s="32"/>
      <c r="T55" s="32"/>
      <c r="U55" s="32"/>
      <c r="V55" s="32"/>
      <c r="W55" s="1"/>
      <c r="X55" s="1"/>
      <c r="Y55" s="1"/>
      <c r="Z55" s="1"/>
    </row>
    <row r="56" spans="1:26" ht="12.75" x14ac:dyDescent="0.2">
      <c r="A56" s="16"/>
      <c r="B56" s="61" t="s">
        <v>89</v>
      </c>
      <c r="C56" s="26" t="s">
        <v>90</v>
      </c>
      <c r="D56" s="27">
        <v>40000</v>
      </c>
      <c r="E56" s="27">
        <v>40000</v>
      </c>
      <c r="F56" s="43" t="s">
        <v>81</v>
      </c>
      <c r="G56" s="44" t="s">
        <v>53</v>
      </c>
      <c r="H56" s="44"/>
      <c r="I56" s="25"/>
      <c r="J56" s="25"/>
      <c r="K56" s="25"/>
      <c r="L56" s="25"/>
      <c r="M56" s="25"/>
      <c r="N56" s="25"/>
      <c r="O56" s="32"/>
      <c r="P56" s="32"/>
      <c r="Q56" s="32"/>
      <c r="R56" s="32"/>
      <c r="S56" s="32"/>
      <c r="T56" s="32"/>
      <c r="U56" s="32"/>
      <c r="V56" s="32"/>
      <c r="W56" s="1"/>
      <c r="X56" s="1"/>
      <c r="Y56" s="1"/>
      <c r="Z56" s="1"/>
    </row>
    <row r="57" spans="1:26" ht="12.75" x14ac:dyDescent="0.2">
      <c r="A57" s="16"/>
      <c r="B57" s="25" t="s">
        <v>91</v>
      </c>
      <c r="C57" s="26"/>
      <c r="D57" s="27"/>
      <c r="E57" s="27"/>
      <c r="F57" s="43"/>
      <c r="G57" s="44"/>
      <c r="H57" s="44"/>
      <c r="I57" s="25"/>
      <c r="J57" s="25"/>
      <c r="K57" s="25"/>
      <c r="L57" s="25"/>
      <c r="M57" s="25"/>
      <c r="N57" s="25"/>
      <c r="O57" s="32"/>
      <c r="P57" s="32"/>
      <c r="Q57" s="32"/>
      <c r="R57" s="32"/>
      <c r="S57" s="32"/>
      <c r="T57" s="32"/>
      <c r="U57" s="32"/>
      <c r="V57" s="32"/>
      <c r="W57" s="1"/>
      <c r="X57" s="1"/>
      <c r="Y57" s="1"/>
      <c r="Z57" s="1"/>
    </row>
    <row r="58" spans="1:26" ht="12.75" x14ac:dyDescent="0.2">
      <c r="A58" s="16"/>
      <c r="B58" s="25" t="s">
        <v>92</v>
      </c>
      <c r="C58" s="26"/>
      <c r="D58" s="27"/>
      <c r="E58" s="27"/>
      <c r="F58" s="43"/>
      <c r="G58" s="44"/>
      <c r="H58" s="44"/>
      <c r="I58" s="25"/>
      <c r="J58" s="25"/>
      <c r="K58" s="25"/>
      <c r="L58" s="25"/>
      <c r="M58" s="25"/>
      <c r="N58" s="25"/>
      <c r="O58" s="32"/>
      <c r="P58" s="32"/>
      <c r="Q58" s="32"/>
      <c r="R58" s="32"/>
      <c r="S58" s="32"/>
      <c r="T58" s="32"/>
      <c r="U58" s="32"/>
      <c r="V58" s="32"/>
      <c r="W58" s="1"/>
      <c r="X58" s="1"/>
      <c r="Y58" s="1"/>
      <c r="Z58" s="1"/>
    </row>
    <row r="59" spans="1:26" ht="12.75" x14ac:dyDescent="0.2">
      <c r="A59" s="16"/>
      <c r="B59" s="37" t="s">
        <v>93</v>
      </c>
      <c r="C59" s="26"/>
      <c r="D59" s="27"/>
      <c r="E59" s="27"/>
      <c r="F59" s="43"/>
      <c r="G59" s="44"/>
      <c r="H59" s="44"/>
      <c r="I59" s="25"/>
      <c r="J59" s="25"/>
      <c r="K59" s="25"/>
      <c r="L59" s="25"/>
      <c r="M59" s="25"/>
      <c r="N59" s="25"/>
      <c r="O59" s="32"/>
      <c r="P59" s="32"/>
      <c r="Q59" s="32"/>
      <c r="R59" s="32"/>
      <c r="S59" s="32"/>
      <c r="T59" s="32"/>
      <c r="U59" s="32"/>
      <c r="V59" s="32"/>
      <c r="W59" s="1"/>
      <c r="X59" s="1"/>
      <c r="Y59" s="1"/>
      <c r="Z59" s="1"/>
    </row>
    <row r="60" spans="1:26" ht="12.75" x14ac:dyDescent="0.2">
      <c r="A60" s="16"/>
      <c r="B60" s="25"/>
      <c r="C60" s="26"/>
      <c r="D60" s="27"/>
      <c r="E60" s="27"/>
      <c r="F60" s="43"/>
      <c r="G60" s="44"/>
      <c r="H60" s="44"/>
      <c r="I60" s="25"/>
      <c r="J60" s="25"/>
      <c r="K60" s="25"/>
      <c r="L60" s="25"/>
      <c r="M60" s="25"/>
      <c r="N60" s="25"/>
      <c r="O60" s="32"/>
      <c r="P60" s="32"/>
      <c r="Q60" s="32"/>
      <c r="R60" s="32"/>
      <c r="S60" s="32"/>
      <c r="T60" s="32"/>
      <c r="U60" s="32"/>
      <c r="V60" s="32"/>
      <c r="W60" s="1"/>
      <c r="X60" s="1"/>
      <c r="Y60" s="1"/>
      <c r="Z60" s="1"/>
    </row>
    <row r="61" spans="1:26" ht="25.5" x14ac:dyDescent="0.2">
      <c r="A61" s="16"/>
      <c r="B61" s="54" t="s">
        <v>94</v>
      </c>
      <c r="C61" s="26" t="s">
        <v>44</v>
      </c>
      <c r="D61" s="27">
        <v>30000</v>
      </c>
      <c r="E61" s="27">
        <v>30000</v>
      </c>
      <c r="F61" s="43" t="s">
        <v>81</v>
      </c>
      <c r="G61" s="44" t="s">
        <v>53</v>
      </c>
      <c r="H61" s="44"/>
      <c r="I61" s="25"/>
      <c r="J61" s="25"/>
      <c r="K61" s="25"/>
      <c r="L61" s="25"/>
      <c r="M61" s="25"/>
      <c r="N61" s="25"/>
      <c r="O61" s="32"/>
      <c r="P61" s="32"/>
      <c r="Q61" s="32"/>
      <c r="R61" s="32"/>
      <c r="S61" s="32"/>
      <c r="T61" s="32"/>
      <c r="U61" s="32"/>
      <c r="V61" s="32"/>
      <c r="W61" s="1"/>
      <c r="X61" s="1"/>
      <c r="Y61" s="1"/>
      <c r="Z61" s="1"/>
    </row>
    <row r="62" spans="1:26" ht="12.75" x14ac:dyDescent="0.2">
      <c r="A62" s="16"/>
      <c r="B62" s="25"/>
      <c r="C62" s="26"/>
      <c r="D62" s="27"/>
      <c r="E62" s="27"/>
      <c r="F62" s="43"/>
      <c r="G62" s="44"/>
      <c r="H62" s="44"/>
      <c r="I62" s="25"/>
      <c r="J62" s="25"/>
      <c r="K62" s="25"/>
      <c r="L62" s="25"/>
      <c r="M62" s="25"/>
      <c r="N62" s="25"/>
      <c r="O62" s="32"/>
      <c r="P62" s="32"/>
      <c r="Q62" s="32"/>
      <c r="R62" s="32"/>
      <c r="S62" s="32"/>
      <c r="T62" s="32"/>
      <c r="U62" s="32"/>
      <c r="V62" s="32"/>
      <c r="W62" s="1"/>
      <c r="X62" s="1"/>
      <c r="Y62" s="1"/>
      <c r="Z62" s="1"/>
    </row>
    <row r="63" spans="1:26" ht="12.75" x14ac:dyDescent="0.2">
      <c r="A63" s="16"/>
      <c r="B63" s="47" t="s">
        <v>95</v>
      </c>
      <c r="C63" s="48"/>
      <c r="D63" s="49"/>
      <c r="E63" s="49"/>
      <c r="F63" s="50"/>
      <c r="G63" s="51"/>
      <c r="H63" s="51"/>
      <c r="I63" s="52"/>
      <c r="J63" s="52"/>
      <c r="K63" s="52"/>
      <c r="L63" s="52"/>
      <c r="M63" s="52"/>
      <c r="N63" s="52"/>
      <c r="O63" s="53"/>
      <c r="P63" s="53"/>
      <c r="Q63" s="53"/>
      <c r="R63" s="53"/>
      <c r="S63" s="53"/>
      <c r="T63" s="53"/>
      <c r="U63" s="53"/>
      <c r="V63" s="53"/>
      <c r="W63" s="1"/>
      <c r="X63" s="1"/>
      <c r="Y63" s="1"/>
      <c r="Z63" s="1"/>
    </row>
    <row r="64" spans="1:26" ht="12.75" x14ac:dyDescent="0.2">
      <c r="A64" s="16"/>
      <c r="B64" s="25" t="s">
        <v>96</v>
      </c>
      <c r="C64" s="26" t="s">
        <v>97</v>
      </c>
      <c r="D64" s="27">
        <v>18000</v>
      </c>
      <c r="E64" s="27">
        <v>540000</v>
      </c>
      <c r="F64" s="43" t="s">
        <v>65</v>
      </c>
      <c r="G64" s="44" t="s">
        <v>53</v>
      </c>
      <c r="H64" s="43">
        <v>30</v>
      </c>
      <c r="I64" s="25"/>
      <c r="J64" s="25"/>
      <c r="K64" s="25"/>
      <c r="L64" s="25"/>
      <c r="M64" s="25"/>
      <c r="N64" s="25"/>
      <c r="O64" s="32"/>
      <c r="P64" s="32"/>
      <c r="Q64" s="32"/>
      <c r="R64" s="32"/>
      <c r="S64" s="32"/>
      <c r="T64" s="32"/>
      <c r="U64" s="32"/>
      <c r="V64" s="32"/>
      <c r="W64" s="1"/>
      <c r="X64" s="1"/>
      <c r="Y64" s="1"/>
      <c r="Z64" s="1"/>
    </row>
    <row r="65" spans="1:26" ht="12.75" x14ac:dyDescent="0.2">
      <c r="A65" s="16"/>
      <c r="B65" s="25"/>
      <c r="C65" s="26"/>
      <c r="D65" s="27"/>
      <c r="E65" s="27"/>
      <c r="F65" s="43"/>
      <c r="G65" s="44"/>
      <c r="H65" s="44"/>
      <c r="I65" s="25"/>
      <c r="J65" s="25"/>
      <c r="K65" s="25"/>
      <c r="L65" s="25"/>
      <c r="M65" s="25"/>
      <c r="N65" s="25"/>
      <c r="O65" s="32"/>
      <c r="P65" s="32"/>
      <c r="Q65" s="32"/>
      <c r="R65" s="32"/>
      <c r="S65" s="32"/>
      <c r="T65" s="32"/>
      <c r="U65" s="32"/>
      <c r="V65" s="32"/>
      <c r="W65" s="1"/>
      <c r="X65" s="1"/>
      <c r="Y65" s="1"/>
      <c r="Z65" s="1"/>
    </row>
    <row r="66" spans="1:26" ht="12.75" x14ac:dyDescent="0.2">
      <c r="A66" s="16"/>
      <c r="B66" s="17" t="s">
        <v>98</v>
      </c>
      <c r="C66" s="18"/>
      <c r="D66" s="19"/>
      <c r="E66" s="19"/>
      <c r="F66" s="56"/>
      <c r="G66" s="57"/>
      <c r="H66" s="57"/>
      <c r="I66" s="58"/>
      <c r="J66" s="58"/>
      <c r="K66" s="58"/>
      <c r="L66" s="58"/>
      <c r="M66" s="58"/>
      <c r="N66" s="58"/>
      <c r="O66" s="24"/>
      <c r="P66" s="24"/>
      <c r="Q66" s="24"/>
      <c r="R66" s="24"/>
      <c r="S66" s="24"/>
      <c r="T66" s="24"/>
      <c r="U66" s="24"/>
      <c r="V66" s="24"/>
      <c r="W66" s="1"/>
      <c r="X66" s="1"/>
      <c r="Y66" s="1"/>
      <c r="Z66" s="1"/>
    </row>
    <row r="67" spans="1:26" ht="12.75" x14ac:dyDescent="0.2">
      <c r="A67" s="16"/>
      <c r="B67" s="59" t="s">
        <v>99</v>
      </c>
      <c r="C67" s="26" t="s">
        <v>44</v>
      </c>
      <c r="D67" s="27">
        <v>30000</v>
      </c>
      <c r="E67" s="27">
        <v>30000</v>
      </c>
      <c r="F67" s="62" t="s">
        <v>81</v>
      </c>
      <c r="G67" s="25" t="s">
        <v>53</v>
      </c>
      <c r="H67" s="43">
        <v>1</v>
      </c>
      <c r="I67" s="25"/>
      <c r="J67" s="25"/>
      <c r="K67" s="25"/>
      <c r="L67" s="25"/>
      <c r="M67" s="25"/>
      <c r="N67" s="25"/>
      <c r="O67" s="32"/>
      <c r="P67" s="32"/>
      <c r="Q67" s="32"/>
      <c r="R67" s="32"/>
      <c r="S67" s="32"/>
      <c r="T67" s="32"/>
      <c r="U67" s="32"/>
      <c r="V67" s="32"/>
      <c r="W67" s="1"/>
      <c r="X67" s="1"/>
      <c r="Y67" s="1"/>
      <c r="Z67" s="1"/>
    </row>
    <row r="68" spans="1:26" ht="12.75" x14ac:dyDescent="0.2">
      <c r="A68" s="16"/>
      <c r="B68" s="25" t="s">
        <v>100</v>
      </c>
      <c r="C68" s="26"/>
      <c r="D68" s="27"/>
      <c r="E68" s="27"/>
      <c r="F68" s="43"/>
      <c r="G68" s="44"/>
      <c r="H68" s="44"/>
      <c r="I68" s="25"/>
      <c r="J68" s="25"/>
      <c r="K68" s="25"/>
      <c r="L68" s="25"/>
      <c r="M68" s="25"/>
      <c r="N68" s="25"/>
      <c r="O68" s="32"/>
      <c r="P68" s="32"/>
      <c r="Q68" s="32"/>
      <c r="R68" s="32"/>
      <c r="S68" s="32"/>
      <c r="T68" s="32"/>
      <c r="U68" s="32"/>
      <c r="V68" s="32"/>
      <c r="W68" s="1"/>
      <c r="X68" s="1"/>
      <c r="Y68" s="1"/>
      <c r="Z68" s="1"/>
    </row>
    <row r="69" spans="1:26" ht="12.75" x14ac:dyDescent="0.2">
      <c r="A69" s="16"/>
      <c r="B69" s="54" t="s">
        <v>101</v>
      </c>
      <c r="C69" s="26"/>
      <c r="D69" s="27"/>
      <c r="E69" s="27"/>
      <c r="F69" s="43"/>
      <c r="G69" s="44"/>
      <c r="H69" s="44"/>
      <c r="I69" s="25"/>
      <c r="J69" s="25"/>
      <c r="K69" s="25"/>
      <c r="L69" s="25"/>
      <c r="M69" s="25"/>
      <c r="N69" s="25"/>
      <c r="O69" s="32"/>
      <c r="P69" s="32"/>
      <c r="Q69" s="32"/>
      <c r="R69" s="32"/>
      <c r="S69" s="32"/>
      <c r="T69" s="32"/>
      <c r="U69" s="32"/>
      <c r="V69" s="32"/>
      <c r="W69" s="1"/>
      <c r="X69" s="1"/>
      <c r="Y69" s="1"/>
      <c r="Z69" s="1"/>
    </row>
    <row r="70" spans="1:26" ht="12.75" x14ac:dyDescent="0.2">
      <c r="A70" s="16"/>
      <c r="B70" s="54" t="s">
        <v>102</v>
      </c>
      <c r="C70" s="26"/>
      <c r="D70" s="27"/>
      <c r="E70" s="27"/>
      <c r="F70" s="43"/>
      <c r="G70" s="44"/>
      <c r="H70" s="44"/>
      <c r="I70" s="25"/>
      <c r="J70" s="25"/>
      <c r="K70" s="25"/>
      <c r="L70" s="25"/>
      <c r="M70" s="25"/>
      <c r="N70" s="25"/>
      <c r="O70" s="32"/>
      <c r="P70" s="32"/>
      <c r="Q70" s="32"/>
      <c r="R70" s="32"/>
      <c r="S70" s="32"/>
      <c r="T70" s="32"/>
      <c r="U70" s="32"/>
      <c r="V70" s="32"/>
      <c r="W70" s="1"/>
      <c r="X70" s="1"/>
      <c r="Y70" s="1"/>
      <c r="Z70" s="1"/>
    </row>
    <row r="71" spans="1:26" ht="12.75" x14ac:dyDescent="0.2">
      <c r="A71" s="16"/>
      <c r="B71" s="54" t="s">
        <v>103</v>
      </c>
      <c r="C71" s="26"/>
      <c r="D71" s="27"/>
      <c r="E71" s="27"/>
      <c r="F71" s="43"/>
      <c r="G71" s="44"/>
      <c r="H71" s="44"/>
      <c r="I71" s="25"/>
      <c r="J71" s="25"/>
      <c r="K71" s="25"/>
      <c r="L71" s="25"/>
      <c r="M71" s="25"/>
      <c r="N71" s="25"/>
      <c r="O71" s="32"/>
      <c r="P71" s="32"/>
      <c r="Q71" s="32"/>
      <c r="R71" s="32"/>
      <c r="S71" s="32"/>
      <c r="T71" s="32"/>
      <c r="U71" s="32"/>
      <c r="V71" s="32"/>
      <c r="W71" s="1"/>
      <c r="X71" s="1"/>
      <c r="Y71" s="1"/>
      <c r="Z71" s="1"/>
    </row>
    <row r="72" spans="1:26" ht="12.75" x14ac:dyDescent="0.2">
      <c r="A72" s="16"/>
      <c r="B72" s="25"/>
      <c r="C72" s="26"/>
      <c r="D72" s="27"/>
      <c r="E72" s="27"/>
      <c r="F72" s="43"/>
      <c r="G72" s="44"/>
      <c r="H72" s="44"/>
      <c r="I72" s="25"/>
      <c r="J72" s="25"/>
      <c r="K72" s="25"/>
      <c r="L72" s="25"/>
      <c r="M72" s="25"/>
      <c r="N72" s="25"/>
      <c r="O72" s="32"/>
      <c r="P72" s="32"/>
      <c r="Q72" s="32"/>
      <c r="R72" s="32"/>
      <c r="S72" s="32"/>
      <c r="T72" s="32"/>
      <c r="U72" s="32"/>
      <c r="V72" s="32"/>
      <c r="W72" s="1"/>
      <c r="X72" s="1"/>
      <c r="Y72" s="1"/>
      <c r="Z72" s="1"/>
    </row>
    <row r="73" spans="1:26" ht="12.75" x14ac:dyDescent="0.2">
      <c r="A73" s="16"/>
      <c r="B73" s="25" t="s">
        <v>104</v>
      </c>
      <c r="C73" s="26" t="s">
        <v>105</v>
      </c>
      <c r="D73" s="27"/>
      <c r="E73" s="27"/>
      <c r="F73" s="43"/>
      <c r="G73" s="44"/>
      <c r="H73" s="44"/>
      <c r="I73" s="25"/>
      <c r="J73" s="25"/>
      <c r="K73" s="25"/>
      <c r="L73" s="25"/>
      <c r="M73" s="25"/>
      <c r="N73" s="25"/>
      <c r="O73" s="32"/>
      <c r="P73" s="32"/>
      <c r="Q73" s="32"/>
      <c r="R73" s="32"/>
      <c r="S73" s="32"/>
      <c r="T73" s="32"/>
      <c r="U73" s="32"/>
      <c r="V73" s="32"/>
      <c r="W73" s="1"/>
      <c r="X73" s="1"/>
      <c r="Y73" s="1"/>
      <c r="Z73" s="1"/>
    </row>
    <row r="74" spans="1:26" ht="12.75" x14ac:dyDescent="0.2">
      <c r="A74" s="16"/>
      <c r="B74" s="25"/>
      <c r="C74" s="26"/>
      <c r="D74" s="27"/>
      <c r="E74" s="27"/>
      <c r="F74" s="43"/>
      <c r="G74" s="44"/>
      <c r="H74" s="44"/>
      <c r="I74" s="25"/>
      <c r="J74" s="25"/>
      <c r="K74" s="25"/>
      <c r="L74" s="25"/>
      <c r="M74" s="25"/>
      <c r="N74" s="25"/>
      <c r="O74" s="32"/>
      <c r="P74" s="32"/>
      <c r="Q74" s="32"/>
      <c r="R74" s="32"/>
      <c r="S74" s="32"/>
      <c r="T74" s="32"/>
      <c r="U74" s="32"/>
      <c r="V74" s="32"/>
      <c r="W74" s="1"/>
      <c r="X74" s="1"/>
      <c r="Y74" s="1"/>
      <c r="Z74" s="1"/>
    </row>
    <row r="75" spans="1:26" ht="12.75" x14ac:dyDescent="0.2">
      <c r="A75" s="16"/>
      <c r="B75" s="33" t="s">
        <v>106</v>
      </c>
      <c r="C75" s="26" t="s">
        <v>44</v>
      </c>
      <c r="D75" s="27">
        <v>325000</v>
      </c>
      <c r="E75" s="27">
        <f>250000+75000</f>
        <v>325000</v>
      </c>
      <c r="F75" s="62" t="s">
        <v>81</v>
      </c>
      <c r="G75" s="44" t="s">
        <v>53</v>
      </c>
      <c r="H75" s="43">
        <v>1</v>
      </c>
      <c r="I75" s="25"/>
      <c r="J75" s="25"/>
      <c r="K75" s="25"/>
      <c r="L75" s="25"/>
      <c r="M75" s="25"/>
      <c r="N75" s="25"/>
      <c r="O75" s="32"/>
      <c r="P75" s="32"/>
      <c r="Q75" s="32"/>
      <c r="R75" s="32"/>
      <c r="S75" s="32"/>
      <c r="T75" s="32"/>
      <c r="U75" s="32"/>
      <c r="V75" s="32"/>
      <c r="W75" s="1"/>
      <c r="X75" s="1"/>
      <c r="Y75" s="1"/>
      <c r="Z75" s="1"/>
    </row>
    <row r="76" spans="1:26" ht="25.5" x14ac:dyDescent="0.2">
      <c r="A76" s="16"/>
      <c r="B76" s="54" t="s">
        <v>107</v>
      </c>
      <c r="C76" s="26"/>
      <c r="D76" s="27"/>
      <c r="E76" s="27"/>
      <c r="F76" s="43"/>
      <c r="G76" s="44"/>
      <c r="H76" s="44"/>
      <c r="I76" s="25"/>
      <c r="J76" s="25"/>
      <c r="K76" s="25"/>
      <c r="L76" s="25"/>
      <c r="M76" s="25"/>
      <c r="N76" s="25"/>
      <c r="O76" s="32"/>
      <c r="P76" s="32"/>
      <c r="Q76" s="32"/>
      <c r="R76" s="32"/>
      <c r="S76" s="32"/>
      <c r="T76" s="32"/>
      <c r="U76" s="32"/>
      <c r="V76" s="32"/>
      <c r="W76" s="1"/>
      <c r="X76" s="1"/>
      <c r="Y76" s="1"/>
      <c r="Z76" s="1"/>
    </row>
    <row r="77" spans="1:26" ht="12.75" x14ac:dyDescent="0.2">
      <c r="A77" s="16"/>
      <c r="B77" s="25"/>
      <c r="C77" s="26"/>
      <c r="D77" s="27"/>
      <c r="E77" s="27"/>
      <c r="F77" s="43"/>
      <c r="G77" s="44"/>
      <c r="H77" s="44"/>
      <c r="I77" s="25"/>
      <c r="J77" s="25"/>
      <c r="K77" s="25"/>
      <c r="L77" s="25"/>
      <c r="M77" s="25"/>
      <c r="N77" s="25"/>
      <c r="O77" s="32"/>
      <c r="P77" s="32"/>
      <c r="Q77" s="32"/>
      <c r="R77" s="32"/>
      <c r="S77" s="32"/>
      <c r="T77" s="32"/>
      <c r="U77" s="32"/>
      <c r="V77" s="32"/>
      <c r="W77" s="1"/>
      <c r="X77" s="1"/>
      <c r="Y77" s="1"/>
      <c r="Z77" s="1"/>
    </row>
    <row r="78" spans="1:26" ht="12.75" x14ac:dyDescent="0.2">
      <c r="A78" s="16"/>
      <c r="B78" s="33" t="s">
        <v>108</v>
      </c>
      <c r="C78" s="26" t="s">
        <v>44</v>
      </c>
      <c r="D78" s="27">
        <v>80000</v>
      </c>
      <c r="E78" s="27">
        <v>80000</v>
      </c>
      <c r="F78" s="43" t="s">
        <v>109</v>
      </c>
      <c r="G78" s="44" t="s">
        <v>53</v>
      </c>
      <c r="H78" s="43">
        <v>1</v>
      </c>
      <c r="I78" s="25"/>
      <c r="J78" s="25"/>
      <c r="K78" s="25"/>
      <c r="L78" s="25"/>
      <c r="M78" s="25"/>
      <c r="N78" s="25"/>
      <c r="O78" s="32"/>
      <c r="P78" s="32"/>
      <c r="Q78" s="32"/>
      <c r="R78" s="32"/>
      <c r="S78" s="32"/>
      <c r="T78" s="32"/>
      <c r="U78" s="32"/>
      <c r="V78" s="32"/>
      <c r="W78" s="1"/>
      <c r="X78" s="1"/>
      <c r="Y78" s="1"/>
      <c r="Z78" s="1"/>
    </row>
    <row r="79" spans="1:26" ht="12.75" x14ac:dyDescent="0.2">
      <c r="A79" s="16"/>
      <c r="B79" s="25"/>
      <c r="C79" s="26"/>
      <c r="D79" s="27"/>
      <c r="E79" s="27"/>
      <c r="F79" s="43"/>
      <c r="G79" s="44"/>
      <c r="H79" s="44"/>
      <c r="I79" s="25"/>
      <c r="J79" s="25"/>
      <c r="K79" s="25"/>
      <c r="L79" s="25"/>
      <c r="M79" s="25"/>
      <c r="N79" s="25"/>
      <c r="O79" s="32"/>
      <c r="P79" s="32"/>
      <c r="Q79" s="32"/>
      <c r="R79" s="32"/>
      <c r="S79" s="32"/>
      <c r="T79" s="32"/>
      <c r="U79" s="32"/>
      <c r="V79" s="32"/>
      <c r="W79" s="1"/>
      <c r="X79" s="1"/>
      <c r="Y79" s="1"/>
      <c r="Z79" s="1"/>
    </row>
    <row r="80" spans="1:26" ht="12.75" x14ac:dyDescent="0.2">
      <c r="A80" s="16"/>
      <c r="B80" s="33" t="s">
        <v>110</v>
      </c>
      <c r="C80" s="26" t="s">
        <v>44</v>
      </c>
      <c r="D80" s="27">
        <v>180000</v>
      </c>
      <c r="E80" s="27">
        <f>2000*90</f>
        <v>180000</v>
      </c>
      <c r="F80" s="43" t="s">
        <v>65</v>
      </c>
      <c r="G80" s="44" t="s">
        <v>77</v>
      </c>
      <c r="H80" s="44"/>
      <c r="I80" s="25"/>
      <c r="J80" s="62">
        <v>1</v>
      </c>
      <c r="K80" s="25"/>
      <c r="L80" s="25"/>
      <c r="M80" s="25"/>
      <c r="N80" s="25"/>
      <c r="O80" s="32"/>
      <c r="P80" s="32"/>
      <c r="Q80" s="32"/>
      <c r="R80" s="32"/>
      <c r="S80" s="32"/>
      <c r="T80" s="32"/>
      <c r="U80" s="32"/>
      <c r="V80" s="32"/>
      <c r="W80" s="1"/>
      <c r="X80" s="1"/>
      <c r="Y80" s="1"/>
      <c r="Z80" s="1"/>
    </row>
    <row r="81" spans="1:26" ht="12.75" x14ac:dyDescent="0.2">
      <c r="A81" s="16"/>
      <c r="B81" s="25" t="s">
        <v>111</v>
      </c>
      <c r="C81" s="26"/>
      <c r="D81" s="27"/>
      <c r="E81" s="27"/>
      <c r="F81" s="43"/>
      <c r="G81" s="44"/>
      <c r="H81" s="44"/>
      <c r="I81" s="25"/>
      <c r="J81" s="25"/>
      <c r="K81" s="25"/>
      <c r="L81" s="25"/>
      <c r="M81" s="25"/>
      <c r="N81" s="25"/>
      <c r="O81" s="32"/>
      <c r="P81" s="32"/>
      <c r="Q81" s="32"/>
      <c r="R81" s="32"/>
      <c r="S81" s="32"/>
      <c r="T81" s="32"/>
      <c r="U81" s="32"/>
      <c r="V81" s="32"/>
      <c r="W81" s="1"/>
      <c r="X81" s="1"/>
      <c r="Y81" s="1"/>
      <c r="Z81" s="1"/>
    </row>
    <row r="82" spans="1:26" ht="12.75" x14ac:dyDescent="0.2">
      <c r="A82" s="16"/>
      <c r="B82" s="25" t="s">
        <v>112</v>
      </c>
      <c r="C82" s="26"/>
      <c r="D82" s="27"/>
      <c r="E82" s="27"/>
      <c r="F82" s="43"/>
      <c r="G82" s="44"/>
      <c r="H82" s="44"/>
      <c r="I82" s="25"/>
      <c r="J82" s="25"/>
      <c r="K82" s="25"/>
      <c r="L82" s="25"/>
      <c r="M82" s="25"/>
      <c r="N82" s="25"/>
      <c r="O82" s="32"/>
      <c r="P82" s="32"/>
      <c r="Q82" s="32"/>
      <c r="R82" s="32"/>
      <c r="S82" s="32"/>
      <c r="T82" s="32"/>
      <c r="U82" s="32"/>
      <c r="V82" s="32"/>
      <c r="W82" s="1"/>
      <c r="X82" s="1"/>
      <c r="Y82" s="1"/>
      <c r="Z82" s="1"/>
    </row>
    <row r="83" spans="1:26" ht="12.75" x14ac:dyDescent="0.2">
      <c r="A83" s="16"/>
      <c r="B83" s="25" t="s">
        <v>113</v>
      </c>
      <c r="C83" s="26"/>
      <c r="D83" s="27"/>
      <c r="E83" s="27"/>
      <c r="F83" s="43"/>
      <c r="G83" s="44"/>
      <c r="H83" s="44"/>
      <c r="I83" s="25"/>
      <c r="J83" s="25"/>
      <c r="K83" s="25"/>
      <c r="L83" s="25"/>
      <c r="M83" s="25"/>
      <c r="N83" s="25"/>
      <c r="O83" s="32"/>
      <c r="P83" s="32"/>
      <c r="Q83" s="32"/>
      <c r="R83" s="32"/>
      <c r="S83" s="32"/>
      <c r="T83" s="32"/>
      <c r="U83" s="32"/>
      <c r="V83" s="32"/>
      <c r="W83" s="1"/>
      <c r="X83" s="1"/>
      <c r="Y83" s="1"/>
      <c r="Z83" s="1"/>
    </row>
    <row r="84" spans="1:26" ht="12.75" x14ac:dyDescent="0.2">
      <c r="A84" s="16"/>
      <c r="B84" s="25" t="s">
        <v>114</v>
      </c>
      <c r="C84" s="26"/>
      <c r="D84" s="27"/>
      <c r="E84" s="27"/>
      <c r="F84" s="43"/>
      <c r="G84" s="44"/>
      <c r="H84" s="44"/>
      <c r="I84" s="25"/>
      <c r="J84" s="25"/>
      <c r="K84" s="25"/>
      <c r="L84" s="25"/>
      <c r="M84" s="25"/>
      <c r="N84" s="25"/>
      <c r="O84" s="32"/>
      <c r="P84" s="32"/>
      <c r="Q84" s="32"/>
      <c r="R84" s="32"/>
      <c r="S84" s="32"/>
      <c r="T84" s="32"/>
      <c r="U84" s="32"/>
      <c r="V84" s="32"/>
      <c r="W84" s="1"/>
      <c r="X84" s="1"/>
      <c r="Y84" s="1"/>
      <c r="Z84" s="1"/>
    </row>
    <row r="85" spans="1:26" ht="12.75" x14ac:dyDescent="0.2">
      <c r="A85" s="16"/>
      <c r="B85" s="25" t="s">
        <v>115</v>
      </c>
      <c r="C85" s="26"/>
      <c r="D85" s="27"/>
      <c r="E85" s="27"/>
      <c r="F85" s="43"/>
      <c r="G85" s="44"/>
      <c r="H85" s="44"/>
      <c r="I85" s="25"/>
      <c r="J85" s="25"/>
      <c r="K85" s="25"/>
      <c r="L85" s="25"/>
      <c r="M85" s="25"/>
      <c r="N85" s="25"/>
      <c r="O85" s="32"/>
      <c r="P85" s="32"/>
      <c r="Q85" s="32"/>
      <c r="R85" s="32"/>
      <c r="S85" s="32"/>
      <c r="T85" s="32"/>
      <c r="U85" s="32"/>
      <c r="V85" s="32"/>
      <c r="W85" s="1"/>
      <c r="X85" s="1"/>
      <c r="Y85" s="1"/>
      <c r="Z85" s="1"/>
    </row>
    <row r="86" spans="1:26" ht="12.75" x14ac:dyDescent="0.2">
      <c r="A86" s="16"/>
      <c r="B86" s="25" t="s">
        <v>116</v>
      </c>
      <c r="C86" s="26"/>
      <c r="D86" s="27"/>
      <c r="E86" s="27"/>
      <c r="F86" s="43"/>
      <c r="G86" s="44"/>
      <c r="H86" s="44"/>
      <c r="I86" s="25"/>
      <c r="J86" s="25"/>
      <c r="K86" s="25"/>
      <c r="L86" s="25"/>
      <c r="M86" s="25"/>
      <c r="N86" s="25"/>
      <c r="O86" s="32"/>
      <c r="P86" s="32"/>
      <c r="Q86" s="32"/>
      <c r="R86" s="32"/>
      <c r="S86" s="32"/>
      <c r="T86" s="32"/>
      <c r="U86" s="32"/>
      <c r="V86" s="32"/>
      <c r="W86" s="1"/>
      <c r="X86" s="1"/>
      <c r="Y86" s="1"/>
      <c r="Z86" s="1"/>
    </row>
    <row r="87" spans="1:26" ht="12.75" x14ac:dyDescent="0.2">
      <c r="A87" s="16"/>
      <c r="B87" s="25" t="s">
        <v>117</v>
      </c>
      <c r="C87" s="26"/>
      <c r="D87" s="27"/>
      <c r="E87" s="27"/>
      <c r="F87" s="43"/>
      <c r="G87" s="44"/>
      <c r="H87" s="44"/>
      <c r="I87" s="25"/>
      <c r="J87" s="25"/>
      <c r="K87" s="25"/>
      <c r="L87" s="25"/>
      <c r="M87" s="25"/>
      <c r="N87" s="25"/>
      <c r="O87" s="32"/>
      <c r="P87" s="32"/>
      <c r="Q87" s="32"/>
      <c r="R87" s="32"/>
      <c r="S87" s="32"/>
      <c r="T87" s="32"/>
      <c r="U87" s="32"/>
      <c r="V87" s="32"/>
      <c r="W87" s="1"/>
      <c r="X87" s="1"/>
      <c r="Y87" s="1"/>
      <c r="Z87" s="1"/>
    </row>
    <row r="88" spans="1:26" ht="12.75" x14ac:dyDescent="0.2">
      <c r="A88" s="16"/>
      <c r="B88" s="25" t="s">
        <v>118</v>
      </c>
      <c r="C88" s="26"/>
      <c r="D88" s="27"/>
      <c r="E88" s="27"/>
      <c r="F88" s="43"/>
      <c r="G88" s="44"/>
      <c r="H88" s="44"/>
      <c r="I88" s="25"/>
      <c r="J88" s="25"/>
      <c r="K88" s="25"/>
      <c r="L88" s="25"/>
      <c r="M88" s="25"/>
      <c r="N88" s="25"/>
      <c r="O88" s="32"/>
      <c r="P88" s="32"/>
      <c r="Q88" s="32"/>
      <c r="R88" s="32"/>
      <c r="S88" s="32"/>
      <c r="T88" s="32"/>
      <c r="U88" s="32"/>
      <c r="V88" s="32"/>
      <c r="W88" s="1"/>
      <c r="X88" s="1"/>
      <c r="Y88" s="1"/>
      <c r="Z88" s="1"/>
    </row>
    <row r="89" spans="1:26" ht="12.75" x14ac:dyDescent="0.2">
      <c r="A89" s="16"/>
      <c r="B89" s="25" t="s">
        <v>119</v>
      </c>
      <c r="C89" s="26"/>
      <c r="D89" s="27"/>
      <c r="E89" s="27"/>
      <c r="F89" s="43"/>
      <c r="G89" s="44"/>
      <c r="H89" s="44"/>
      <c r="I89" s="25"/>
      <c r="J89" s="25"/>
      <c r="K89" s="25"/>
      <c r="L89" s="25"/>
      <c r="M89" s="25"/>
      <c r="N89" s="25"/>
      <c r="O89" s="32"/>
      <c r="P89" s="32"/>
      <c r="Q89" s="32"/>
      <c r="R89" s="32"/>
      <c r="S89" s="32"/>
      <c r="T89" s="32"/>
      <c r="U89" s="32"/>
      <c r="V89" s="32"/>
      <c r="W89" s="1"/>
      <c r="X89" s="1"/>
      <c r="Y89" s="1"/>
      <c r="Z89" s="1"/>
    </row>
    <row r="90" spans="1:26" ht="12.75" x14ac:dyDescent="0.2">
      <c r="A90" s="16"/>
      <c r="B90" s="33" t="s">
        <v>120</v>
      </c>
      <c r="C90" s="26"/>
      <c r="D90" s="27"/>
      <c r="E90" s="27"/>
      <c r="F90" s="43"/>
      <c r="G90" s="44"/>
      <c r="H90" s="44"/>
      <c r="I90" s="25"/>
      <c r="J90" s="25"/>
      <c r="K90" s="25"/>
      <c r="L90" s="25"/>
      <c r="M90" s="25"/>
      <c r="N90" s="25"/>
      <c r="O90" s="32"/>
      <c r="P90" s="32"/>
      <c r="Q90" s="32"/>
      <c r="R90" s="32"/>
      <c r="S90" s="32"/>
      <c r="T90" s="32"/>
      <c r="U90" s="32"/>
      <c r="V90" s="32"/>
      <c r="W90" s="1"/>
      <c r="X90" s="1"/>
      <c r="Y90" s="1"/>
      <c r="Z90" s="1"/>
    </row>
    <row r="91" spans="1:26" ht="12.75" x14ac:dyDescent="0.2">
      <c r="A91" s="16"/>
      <c r="B91" s="25"/>
      <c r="C91" s="26"/>
      <c r="D91" s="27"/>
      <c r="E91" s="27"/>
      <c r="F91" s="43"/>
      <c r="G91" s="44"/>
      <c r="H91" s="44"/>
      <c r="I91" s="25"/>
      <c r="J91" s="25"/>
      <c r="K91" s="25"/>
      <c r="L91" s="25"/>
      <c r="M91" s="25"/>
      <c r="N91" s="25"/>
      <c r="O91" s="32"/>
      <c r="P91" s="32"/>
      <c r="Q91" s="32"/>
      <c r="R91" s="32"/>
      <c r="S91" s="32"/>
      <c r="T91" s="32"/>
      <c r="U91" s="32"/>
      <c r="V91" s="32"/>
      <c r="W91" s="1"/>
      <c r="X91" s="1"/>
      <c r="Y91" s="1"/>
      <c r="Z91" s="1"/>
    </row>
    <row r="92" spans="1:26" ht="12.75" x14ac:dyDescent="0.2">
      <c r="A92" s="16"/>
      <c r="B92" s="33" t="s">
        <v>121</v>
      </c>
      <c r="C92" s="26" t="s">
        <v>44</v>
      </c>
      <c r="D92" s="27">
        <v>18900</v>
      </c>
      <c r="E92" s="27">
        <v>18900</v>
      </c>
      <c r="F92" s="43"/>
      <c r="G92" s="44"/>
      <c r="H92" s="44"/>
      <c r="I92" s="25"/>
      <c r="J92" s="62">
        <v>1</v>
      </c>
      <c r="K92" s="25"/>
      <c r="L92" s="25"/>
      <c r="M92" s="25"/>
      <c r="N92" s="25"/>
      <c r="O92" s="32"/>
      <c r="P92" s="32"/>
      <c r="Q92" s="32"/>
      <c r="R92" s="32"/>
      <c r="S92" s="32"/>
      <c r="T92" s="32"/>
      <c r="U92" s="32"/>
      <c r="V92" s="32"/>
      <c r="W92" s="1"/>
      <c r="X92" s="1"/>
      <c r="Y92" s="1"/>
      <c r="Z92" s="1"/>
    </row>
    <row r="93" spans="1:26" ht="87" customHeight="1" x14ac:dyDescent="0.2">
      <c r="A93" s="16"/>
      <c r="B93" s="25" t="s">
        <v>122</v>
      </c>
      <c r="C93" s="26"/>
      <c r="D93" s="27"/>
      <c r="E93" s="27"/>
      <c r="F93" s="43"/>
      <c r="G93" s="44"/>
      <c r="H93" s="44"/>
      <c r="I93" s="25"/>
      <c r="J93" s="25"/>
      <c r="K93" s="25"/>
      <c r="L93" s="25"/>
      <c r="M93" s="25"/>
      <c r="N93" s="25"/>
      <c r="O93" s="32"/>
      <c r="P93" s="32"/>
      <c r="Q93" s="32"/>
      <c r="R93" s="32"/>
      <c r="S93" s="32"/>
      <c r="T93" s="32"/>
      <c r="U93" s="32"/>
      <c r="V93" s="32"/>
      <c r="W93" s="1"/>
      <c r="X93" s="1"/>
      <c r="Y93" s="1"/>
      <c r="Z93" s="1"/>
    </row>
    <row r="94" spans="1:26" ht="12.75" x14ac:dyDescent="0.2">
      <c r="A94" s="16"/>
      <c r="B94" s="25"/>
      <c r="C94" s="26"/>
      <c r="D94" s="27"/>
      <c r="E94" s="27"/>
      <c r="F94" s="43"/>
      <c r="G94" s="44"/>
      <c r="H94" s="44"/>
      <c r="I94" s="25"/>
      <c r="J94" s="25"/>
      <c r="K94" s="25"/>
      <c r="L94" s="25"/>
      <c r="M94" s="25"/>
      <c r="N94" s="25"/>
      <c r="O94" s="32"/>
      <c r="P94" s="32"/>
      <c r="Q94" s="32"/>
      <c r="R94" s="32"/>
      <c r="S94" s="32"/>
      <c r="T94" s="32"/>
      <c r="U94" s="32"/>
      <c r="V94" s="32"/>
      <c r="W94" s="1"/>
      <c r="X94" s="1"/>
      <c r="Y94" s="1"/>
      <c r="Z94" s="1"/>
    </row>
    <row r="95" spans="1:26" ht="12.75" x14ac:dyDescent="0.2">
      <c r="A95" s="16"/>
      <c r="B95" s="25" t="s">
        <v>123</v>
      </c>
      <c r="C95" s="26" t="s">
        <v>44</v>
      </c>
      <c r="D95" s="27">
        <v>4000</v>
      </c>
      <c r="E95" s="27">
        <v>4000</v>
      </c>
      <c r="F95" s="63"/>
      <c r="G95" s="44"/>
      <c r="H95" s="44"/>
      <c r="I95" s="25"/>
      <c r="J95" s="25">
        <v>1</v>
      </c>
      <c r="K95" s="25"/>
      <c r="L95" s="25"/>
      <c r="M95" s="25"/>
      <c r="N95" s="25"/>
      <c r="O95" s="32"/>
      <c r="P95" s="32"/>
      <c r="Q95" s="32"/>
      <c r="R95" s="32"/>
      <c r="S95" s="32"/>
      <c r="T95" s="32"/>
      <c r="U95" s="32"/>
      <c r="V95" s="32"/>
      <c r="W95" s="1"/>
      <c r="X95" s="1"/>
      <c r="Y95" s="1"/>
      <c r="Z95" s="1"/>
    </row>
    <row r="96" spans="1:26" ht="12.75" x14ac:dyDescent="0.2">
      <c r="A96" s="16"/>
      <c r="B96" s="25"/>
      <c r="C96" s="26"/>
      <c r="D96" s="27"/>
      <c r="E96" s="27"/>
      <c r="F96" s="43"/>
      <c r="G96" s="44"/>
      <c r="H96" s="44"/>
      <c r="I96" s="25"/>
      <c r="J96" s="25"/>
      <c r="K96" s="25"/>
      <c r="L96" s="25"/>
      <c r="M96" s="25"/>
      <c r="N96" s="25"/>
      <c r="O96" s="32"/>
      <c r="P96" s="32"/>
      <c r="Q96" s="32"/>
      <c r="R96" s="32"/>
      <c r="S96" s="32"/>
      <c r="T96" s="32"/>
      <c r="U96" s="32"/>
      <c r="V96" s="32"/>
      <c r="W96" s="1"/>
      <c r="X96" s="1"/>
      <c r="Y96" s="1"/>
      <c r="Z96" s="1"/>
    </row>
    <row r="97" spans="1:26" ht="12.75" x14ac:dyDescent="0.2">
      <c r="A97" s="45"/>
      <c r="B97" s="33" t="s">
        <v>124</v>
      </c>
      <c r="C97" s="26" t="s">
        <v>44</v>
      </c>
      <c r="D97" s="27"/>
      <c r="E97" s="27">
        <v>20000</v>
      </c>
      <c r="F97" s="43" t="s">
        <v>81</v>
      </c>
      <c r="G97" s="25" t="s">
        <v>53</v>
      </c>
      <c r="H97" s="44"/>
      <c r="I97" s="25"/>
      <c r="J97" s="25">
        <v>1</v>
      </c>
      <c r="K97" s="25"/>
      <c r="L97" s="25"/>
      <c r="M97" s="25"/>
      <c r="N97" s="25"/>
      <c r="O97" s="32"/>
      <c r="P97" s="32"/>
      <c r="Q97" s="32"/>
      <c r="R97" s="32"/>
      <c r="S97" s="32"/>
      <c r="T97" s="32"/>
      <c r="U97" s="32"/>
      <c r="V97" s="32"/>
      <c r="W97" s="1"/>
      <c r="X97" s="1"/>
      <c r="Y97" s="1"/>
      <c r="Z97" s="1"/>
    </row>
    <row r="98" spans="1:26" ht="12.75" x14ac:dyDescent="0.2">
      <c r="A98" s="16"/>
      <c r="B98" s="25" t="s">
        <v>125</v>
      </c>
      <c r="C98" s="26"/>
      <c r="D98" s="27"/>
      <c r="E98" s="27"/>
      <c r="F98" s="43"/>
      <c r="G98" s="44"/>
      <c r="H98" s="44"/>
      <c r="I98" s="25"/>
      <c r="J98" s="25"/>
      <c r="K98" s="25"/>
      <c r="L98" s="25"/>
      <c r="M98" s="25"/>
      <c r="N98" s="25"/>
      <c r="O98" s="32"/>
      <c r="P98" s="32"/>
      <c r="Q98" s="32"/>
      <c r="R98" s="32"/>
      <c r="S98" s="32"/>
      <c r="T98" s="32"/>
      <c r="U98" s="32"/>
      <c r="V98" s="32"/>
      <c r="W98" s="1"/>
      <c r="X98" s="1"/>
      <c r="Y98" s="1"/>
      <c r="Z98" s="1"/>
    </row>
    <row r="99" spans="1:26" ht="12.75" x14ac:dyDescent="0.2">
      <c r="A99" s="16"/>
      <c r="B99" s="25" t="s">
        <v>126</v>
      </c>
      <c r="C99" s="26"/>
      <c r="D99" s="27"/>
      <c r="E99" s="27"/>
      <c r="F99" s="43"/>
      <c r="G99" s="44"/>
      <c r="H99" s="44"/>
      <c r="I99" s="25"/>
      <c r="J99" s="25"/>
      <c r="K99" s="25"/>
      <c r="L99" s="25"/>
      <c r="M99" s="25"/>
      <c r="N99" s="25"/>
      <c r="O99" s="32"/>
      <c r="P99" s="32"/>
      <c r="Q99" s="32"/>
      <c r="R99" s="32"/>
      <c r="S99" s="32"/>
      <c r="T99" s="32"/>
      <c r="U99" s="32"/>
      <c r="V99" s="32"/>
      <c r="W99" s="1"/>
      <c r="X99" s="1"/>
      <c r="Y99" s="1"/>
      <c r="Z99" s="1"/>
    </row>
    <row r="100" spans="1:26" ht="12.75" x14ac:dyDescent="0.2">
      <c r="A100" s="64"/>
      <c r="B100" s="37"/>
      <c r="C100" s="34"/>
      <c r="D100" s="34"/>
      <c r="E100" s="34"/>
      <c r="F100" s="37"/>
      <c r="G100" s="37"/>
      <c r="H100" s="37"/>
      <c r="I100" s="37"/>
      <c r="J100" s="37"/>
      <c r="K100" s="37"/>
      <c r="L100" s="64"/>
      <c r="M100" s="64"/>
      <c r="N100" s="64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 x14ac:dyDescent="0.2">
      <c r="A101" s="66"/>
      <c r="B101" s="37" t="s">
        <v>127</v>
      </c>
      <c r="C101" s="34" t="s">
        <v>128</v>
      </c>
      <c r="D101" s="39">
        <v>7500</v>
      </c>
      <c r="E101" s="39">
        <f>7500*4</f>
        <v>30000</v>
      </c>
      <c r="F101" s="43" t="s">
        <v>81</v>
      </c>
      <c r="G101" s="25" t="s">
        <v>53</v>
      </c>
      <c r="H101" s="37"/>
      <c r="I101" s="37"/>
      <c r="J101" s="37"/>
      <c r="K101" s="37"/>
      <c r="L101" s="64"/>
      <c r="M101" s="64"/>
      <c r="N101" s="64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 x14ac:dyDescent="0.2">
      <c r="A102" s="64"/>
      <c r="B102" s="37"/>
      <c r="C102" s="34"/>
      <c r="D102" s="34"/>
      <c r="E102" s="34"/>
      <c r="F102" s="37"/>
      <c r="G102" s="37"/>
      <c r="H102" s="37"/>
      <c r="I102" s="37"/>
      <c r="J102" s="37"/>
      <c r="K102" s="37"/>
      <c r="L102" s="64"/>
      <c r="M102" s="64"/>
      <c r="N102" s="64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 x14ac:dyDescent="0.2">
      <c r="A103" s="64"/>
      <c r="B103" s="37" t="s">
        <v>129</v>
      </c>
      <c r="C103" s="34">
        <v>560</v>
      </c>
      <c r="D103" s="34">
        <v>1500</v>
      </c>
      <c r="E103" s="39">
        <f>1500*C103</f>
        <v>840000</v>
      </c>
      <c r="F103" s="43" t="s">
        <v>65</v>
      </c>
      <c r="G103" s="44" t="s">
        <v>77</v>
      </c>
      <c r="H103" s="37"/>
      <c r="I103" s="37"/>
      <c r="J103" s="37"/>
      <c r="K103" s="37"/>
      <c r="L103" s="64"/>
      <c r="M103" s="64"/>
      <c r="N103" s="64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 x14ac:dyDescent="0.2">
      <c r="A104" s="64"/>
      <c r="B104" s="37"/>
      <c r="C104" s="34"/>
      <c r="D104" s="34"/>
      <c r="E104" s="34"/>
      <c r="F104" s="37"/>
      <c r="G104" s="37"/>
      <c r="H104" s="37"/>
      <c r="I104" s="37"/>
      <c r="J104" s="37"/>
      <c r="K104" s="37"/>
      <c r="L104" s="64"/>
      <c r="M104" s="64"/>
      <c r="N104" s="64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 x14ac:dyDescent="0.2">
      <c r="A105" s="64"/>
      <c r="B105" s="37" t="s">
        <v>130</v>
      </c>
      <c r="C105" s="34" t="s">
        <v>131</v>
      </c>
      <c r="D105" s="39">
        <v>3000</v>
      </c>
      <c r="E105" s="39">
        <v>3000</v>
      </c>
      <c r="F105" s="37"/>
      <c r="G105" s="37"/>
      <c r="H105" s="37"/>
      <c r="I105" s="37"/>
      <c r="J105" s="37"/>
      <c r="K105" s="37"/>
      <c r="L105" s="64"/>
      <c r="M105" s="64"/>
      <c r="N105" s="64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 x14ac:dyDescent="0.2">
      <c r="A106" s="64"/>
      <c r="B106" s="67" t="s">
        <v>132</v>
      </c>
      <c r="C106" s="34"/>
      <c r="D106" s="34"/>
      <c r="E106" s="34"/>
      <c r="F106" s="37"/>
      <c r="G106" s="37"/>
      <c r="H106" s="37"/>
      <c r="I106" s="37"/>
      <c r="J106" s="37"/>
      <c r="K106" s="37"/>
      <c r="L106" s="64"/>
      <c r="M106" s="64"/>
      <c r="N106" s="64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 x14ac:dyDescent="0.2">
      <c r="A107" s="64"/>
      <c r="B107" s="37"/>
      <c r="C107" s="68"/>
      <c r="D107" s="68"/>
      <c r="E107" s="68"/>
      <c r="F107" s="64"/>
      <c r="G107" s="64"/>
      <c r="H107" s="64"/>
      <c r="I107" s="64"/>
      <c r="J107" s="64"/>
      <c r="K107" s="64"/>
      <c r="L107" s="64"/>
      <c r="M107" s="64"/>
      <c r="N107" s="64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 x14ac:dyDescent="0.2">
      <c r="A108" s="16"/>
      <c r="B108" s="180" t="s">
        <v>133</v>
      </c>
      <c r="C108" s="164"/>
      <c r="D108" s="164"/>
      <c r="E108" s="164"/>
      <c r="F108" s="164"/>
      <c r="G108" s="164"/>
      <c r="H108" s="164"/>
      <c r="I108" s="176"/>
      <c r="J108" s="25"/>
      <c r="K108" s="25"/>
      <c r="L108" s="25"/>
      <c r="M108" s="25"/>
      <c r="N108" s="25"/>
      <c r="O108" s="32"/>
      <c r="P108" s="32"/>
      <c r="Q108" s="32"/>
      <c r="R108" s="32"/>
      <c r="S108" s="32"/>
      <c r="T108" s="32"/>
      <c r="U108" s="32"/>
      <c r="V108" s="32"/>
      <c r="W108" s="1"/>
      <c r="X108" s="1"/>
      <c r="Y108" s="1"/>
      <c r="Z108" s="1"/>
    </row>
    <row r="109" spans="1:26" ht="14.25" x14ac:dyDescent="0.2">
      <c r="A109" s="1"/>
      <c r="B109" s="7"/>
      <c r="C109" s="3"/>
      <c r="D109" s="4"/>
      <c r="E109" s="69"/>
      <c r="F109" s="5"/>
      <c r="G109" s="6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81" t="s">
        <v>134</v>
      </c>
      <c r="B110" s="168"/>
      <c r="C110" s="3"/>
      <c r="D110" s="4"/>
      <c r="E110" s="70">
        <v>19500000</v>
      </c>
      <c r="F110" s="5"/>
      <c r="G110" s="6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2">
      <c r="A111" s="1"/>
      <c r="B111" s="7"/>
      <c r="C111" s="3"/>
      <c r="D111" s="4"/>
      <c r="E111" s="4"/>
      <c r="F111" s="5"/>
      <c r="G111" s="6"/>
      <c r="H111" s="6"/>
      <c r="I111" s="1"/>
      <c r="J111" s="182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"/>
      <c r="V111" s="1"/>
      <c r="W111" s="1"/>
      <c r="X111" s="1"/>
      <c r="Y111" s="1"/>
      <c r="Z111" s="1"/>
    </row>
    <row r="112" spans="1:26" ht="12.75" x14ac:dyDescent="0.2">
      <c r="A112" s="173" t="s">
        <v>135</v>
      </c>
      <c r="B112" s="168"/>
      <c r="C112" s="168"/>
      <c r="D112" s="168"/>
      <c r="E112" s="4"/>
      <c r="F112" s="5"/>
      <c r="G112" s="6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2">
      <c r="A113" s="1"/>
      <c r="B113" s="7"/>
      <c r="C113" s="3"/>
      <c r="D113" s="4"/>
      <c r="E113" s="4"/>
      <c r="F113" s="5"/>
      <c r="G113" s="6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74" t="s">
        <v>136</v>
      </c>
      <c r="B114" s="168"/>
      <c r="C114" s="184" t="s">
        <v>137</v>
      </c>
      <c r="D114" s="168"/>
      <c r="E114" s="168"/>
      <c r="F114" s="5"/>
      <c r="G114" s="6"/>
      <c r="H114" s="6"/>
      <c r="I114" s="174" t="s">
        <v>138</v>
      </c>
      <c r="J114" s="168"/>
      <c r="K114" s="168"/>
      <c r="L114" s="168"/>
      <c r="M114" s="168"/>
      <c r="N114" s="168"/>
      <c r="O114" s="1"/>
      <c r="P114" s="1"/>
      <c r="Q114" s="174" t="s">
        <v>139</v>
      </c>
      <c r="R114" s="168"/>
      <c r="S114" s="168"/>
      <c r="T114" s="168"/>
      <c r="U114" s="1"/>
      <c r="V114" s="182"/>
      <c r="W114" s="168"/>
      <c r="X114" s="1"/>
      <c r="Y114" s="1"/>
      <c r="Z114" s="1"/>
    </row>
    <row r="115" spans="1:26" ht="14.25" x14ac:dyDescent="0.2">
      <c r="A115" s="1"/>
      <c r="B115" s="7"/>
      <c r="C115" s="3"/>
      <c r="D115" s="4"/>
      <c r="E115" s="4"/>
      <c r="F115" s="5"/>
      <c r="G115" s="6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2">
      <c r="A116" s="1"/>
      <c r="B116" s="7"/>
      <c r="C116" s="3"/>
      <c r="D116" s="4"/>
      <c r="E116" s="4"/>
      <c r="F116" s="5"/>
      <c r="G116" s="6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88" t="s">
        <v>140</v>
      </c>
      <c r="B117" s="168"/>
      <c r="C117" s="184" t="s">
        <v>141</v>
      </c>
      <c r="D117" s="168"/>
      <c r="E117" s="168"/>
      <c r="F117" s="168"/>
      <c r="G117" s="6"/>
      <c r="H117" s="6"/>
      <c r="I117" s="174" t="s">
        <v>142</v>
      </c>
      <c r="J117" s="168"/>
      <c r="K117" s="168"/>
      <c r="L117" s="168"/>
      <c r="M117" s="168"/>
      <c r="N117" s="168"/>
      <c r="O117" s="1"/>
      <c r="P117" s="1"/>
      <c r="Q117" s="174" t="s">
        <v>143</v>
      </c>
      <c r="R117" s="168"/>
      <c r="S117" s="168"/>
      <c r="T117" s="168"/>
      <c r="U117" s="1"/>
      <c r="V117" s="182"/>
      <c r="W117" s="168"/>
      <c r="X117" s="168"/>
      <c r="Y117" s="1"/>
      <c r="Z117" s="1"/>
    </row>
    <row r="118" spans="1:26" ht="12.75" x14ac:dyDescent="0.2">
      <c r="A118" s="182" t="s">
        <v>144</v>
      </c>
      <c r="B118" s="168"/>
      <c r="C118" s="183" t="s">
        <v>145</v>
      </c>
      <c r="D118" s="168"/>
      <c r="E118" s="168"/>
      <c r="F118" s="168"/>
      <c r="G118" s="6"/>
      <c r="H118" s="6"/>
      <c r="I118" s="182" t="s">
        <v>146</v>
      </c>
      <c r="J118" s="168"/>
      <c r="K118" s="168"/>
      <c r="L118" s="168"/>
      <c r="M118" s="168"/>
      <c r="N118" s="168"/>
      <c r="O118" s="1"/>
      <c r="P118" s="1"/>
      <c r="Q118" s="182" t="s">
        <v>147</v>
      </c>
      <c r="R118" s="168"/>
      <c r="S118" s="168"/>
      <c r="T118" s="168"/>
      <c r="U118" s="1"/>
      <c r="V118" s="1"/>
      <c r="W118" s="1"/>
      <c r="X118" s="1"/>
      <c r="Y118" s="1"/>
      <c r="Z118" s="1"/>
    </row>
    <row r="119" spans="1:26" ht="14.25" x14ac:dyDescent="0.2">
      <c r="A119" s="1"/>
      <c r="B119" s="7"/>
      <c r="C119" s="3"/>
      <c r="D119" s="4"/>
      <c r="E119" s="4"/>
      <c r="F119" s="5"/>
      <c r="G119" s="6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2">
      <c r="A120" s="186" t="s">
        <v>148</v>
      </c>
      <c r="B120" s="168"/>
      <c r="C120" s="187" t="s">
        <v>148</v>
      </c>
      <c r="D120" s="168"/>
      <c r="E120" s="168"/>
      <c r="F120" s="5"/>
      <c r="G120" s="6"/>
      <c r="H120" s="6"/>
      <c r="I120" s="186" t="s">
        <v>148</v>
      </c>
      <c r="J120" s="168"/>
      <c r="K120" s="168"/>
      <c r="L120" s="168"/>
      <c r="M120" s="1"/>
      <c r="N120" s="1"/>
      <c r="O120" s="1"/>
      <c r="P120" s="1"/>
      <c r="Q120" s="186" t="s">
        <v>148</v>
      </c>
      <c r="R120" s="168"/>
      <c r="S120" s="168"/>
      <c r="T120" s="168"/>
      <c r="U120" s="1"/>
      <c r="V120" s="1"/>
      <c r="W120" s="1"/>
      <c r="X120" s="1"/>
      <c r="Y120" s="1"/>
      <c r="Z120" s="1"/>
    </row>
    <row r="121" spans="1:26" ht="14.25" x14ac:dyDescent="0.2">
      <c r="A121" s="1"/>
      <c r="B121" s="7"/>
      <c r="C121" s="3"/>
      <c r="D121" s="4"/>
      <c r="E121" s="4"/>
      <c r="F121" s="5"/>
      <c r="G121" s="6"/>
      <c r="H121" s="185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"/>
      <c r="V121" s="1"/>
      <c r="W121" s="1"/>
      <c r="X121" s="1"/>
      <c r="Y121" s="1"/>
      <c r="Z121" s="1"/>
    </row>
    <row r="122" spans="1:26" ht="14.25" x14ac:dyDescent="0.2">
      <c r="A122" s="1"/>
      <c r="B122" s="7"/>
      <c r="C122" s="3"/>
      <c r="D122" s="4"/>
      <c r="E122" s="4"/>
      <c r="F122" s="5"/>
      <c r="G122" s="6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2">
      <c r="A123" s="1"/>
      <c r="B123" s="7"/>
      <c r="C123" s="3"/>
      <c r="D123" s="4"/>
      <c r="E123" s="4"/>
      <c r="F123" s="5"/>
      <c r="G123" s="6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2">
      <c r="A124" s="1"/>
      <c r="B124" s="7"/>
      <c r="C124" s="3"/>
      <c r="D124" s="4"/>
      <c r="E124" s="4"/>
      <c r="F124" s="5"/>
      <c r="G124" s="6"/>
      <c r="H124" s="185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"/>
      <c r="V124" s="1"/>
      <c r="W124" s="1"/>
      <c r="X124" s="1"/>
      <c r="Y124" s="1"/>
      <c r="Z124" s="1"/>
    </row>
    <row r="125" spans="1:26" ht="14.25" x14ac:dyDescent="0.2">
      <c r="A125" s="1"/>
      <c r="B125" s="7"/>
      <c r="C125" s="3"/>
      <c r="D125" s="4"/>
      <c r="E125" s="4"/>
      <c r="F125" s="5"/>
      <c r="G125" s="6"/>
      <c r="H125" s="185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"/>
      <c r="V125" s="1"/>
      <c r="W125" s="1"/>
      <c r="X125" s="1"/>
      <c r="Y125" s="1"/>
      <c r="Z125" s="1"/>
    </row>
    <row r="126" spans="1:26" ht="14.25" x14ac:dyDescent="0.2">
      <c r="A126" s="1"/>
      <c r="B126" s="7"/>
      <c r="C126" s="3"/>
      <c r="D126" s="4"/>
      <c r="E126" s="4"/>
      <c r="F126" s="5"/>
      <c r="G126" s="6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2">
      <c r="A127" s="1"/>
      <c r="B127" s="7"/>
      <c r="C127" s="3"/>
      <c r="D127" s="4"/>
      <c r="E127" s="4"/>
      <c r="F127" s="5"/>
      <c r="G127" s="6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2">
      <c r="A128" s="1"/>
      <c r="B128" s="7"/>
      <c r="C128" s="3"/>
      <c r="D128" s="4"/>
      <c r="E128" s="4"/>
      <c r="F128" s="5"/>
      <c r="G128" s="6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2">
      <c r="A129" s="1"/>
      <c r="B129" s="7"/>
      <c r="C129" s="3"/>
      <c r="D129" s="4"/>
      <c r="E129" s="4"/>
      <c r="F129" s="5"/>
      <c r="G129" s="6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2">
      <c r="A130" s="1"/>
      <c r="B130" s="7"/>
      <c r="C130" s="3"/>
      <c r="D130" s="4"/>
      <c r="E130" s="4"/>
      <c r="F130" s="5"/>
      <c r="G130" s="6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2">
      <c r="A131" s="1"/>
      <c r="B131" s="7"/>
      <c r="C131" s="3"/>
      <c r="D131" s="4"/>
      <c r="E131" s="4"/>
      <c r="F131" s="5"/>
      <c r="G131" s="6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2">
      <c r="A132" s="1"/>
      <c r="B132" s="7"/>
      <c r="C132" s="3"/>
      <c r="D132" s="4"/>
      <c r="E132" s="4"/>
      <c r="F132" s="5"/>
      <c r="G132" s="6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2">
      <c r="A133" s="1"/>
      <c r="B133" s="7"/>
      <c r="C133" s="3"/>
      <c r="D133" s="4"/>
      <c r="E133" s="4"/>
      <c r="F133" s="5"/>
      <c r="G133" s="6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2">
      <c r="A134" s="1"/>
      <c r="B134" s="7"/>
      <c r="C134" s="3"/>
      <c r="D134" s="4"/>
      <c r="E134" s="4"/>
      <c r="F134" s="5"/>
      <c r="G134" s="6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2">
      <c r="A135" s="1"/>
      <c r="B135" s="7"/>
      <c r="C135" s="3"/>
      <c r="D135" s="4"/>
      <c r="E135" s="4"/>
      <c r="F135" s="5"/>
      <c r="G135" s="6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2">
      <c r="A136" s="1"/>
      <c r="B136" s="7"/>
      <c r="C136" s="3"/>
      <c r="D136" s="4"/>
      <c r="E136" s="4"/>
      <c r="F136" s="5"/>
      <c r="G136" s="6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2">
      <c r="A137" s="1"/>
      <c r="B137" s="7"/>
      <c r="C137" s="3"/>
      <c r="D137" s="4"/>
      <c r="E137" s="4"/>
      <c r="F137" s="5"/>
      <c r="G137" s="6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2">
      <c r="A138" s="1"/>
      <c r="B138" s="7"/>
      <c r="C138" s="3"/>
      <c r="D138" s="4"/>
      <c r="E138" s="4"/>
      <c r="F138" s="5"/>
      <c r="G138" s="6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2">
      <c r="A139" s="1"/>
      <c r="B139" s="7"/>
      <c r="C139" s="3"/>
      <c r="D139" s="4"/>
      <c r="E139" s="4"/>
      <c r="F139" s="5"/>
      <c r="G139" s="6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2">
      <c r="A140" s="1"/>
      <c r="B140" s="7"/>
      <c r="C140" s="3"/>
      <c r="D140" s="4"/>
      <c r="E140" s="4"/>
      <c r="F140" s="5"/>
      <c r="G140" s="6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2">
      <c r="A141" s="1"/>
      <c r="B141" s="7"/>
      <c r="C141" s="3"/>
      <c r="D141" s="4"/>
      <c r="E141" s="4"/>
      <c r="F141" s="5"/>
      <c r="G141" s="6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2">
      <c r="A142" s="1"/>
      <c r="B142" s="7"/>
      <c r="C142" s="3"/>
      <c r="D142" s="4"/>
      <c r="E142" s="4"/>
      <c r="F142" s="5"/>
      <c r="G142" s="6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2">
      <c r="A143" s="1"/>
      <c r="B143" s="7"/>
      <c r="C143" s="3"/>
      <c r="D143" s="4"/>
      <c r="E143" s="4"/>
      <c r="F143" s="5"/>
      <c r="G143" s="6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2">
      <c r="A144" s="1"/>
      <c r="B144" s="7"/>
      <c r="C144" s="3"/>
      <c r="D144" s="4"/>
      <c r="E144" s="4"/>
      <c r="F144" s="5"/>
      <c r="G144" s="6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2">
      <c r="A145" s="1"/>
      <c r="B145" s="7"/>
      <c r="C145" s="3"/>
      <c r="D145" s="4"/>
      <c r="E145" s="4"/>
      <c r="F145" s="5"/>
      <c r="G145" s="6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2">
      <c r="A146" s="1"/>
      <c r="B146" s="7"/>
      <c r="C146" s="3"/>
      <c r="D146" s="4"/>
      <c r="E146" s="4"/>
      <c r="F146" s="5"/>
      <c r="G146" s="6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2">
      <c r="A147" s="1"/>
      <c r="B147" s="7"/>
      <c r="C147" s="3"/>
      <c r="D147" s="4"/>
      <c r="E147" s="4"/>
      <c r="F147" s="5"/>
      <c r="G147" s="6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2">
      <c r="A148" s="1"/>
      <c r="B148" s="7"/>
      <c r="C148" s="3"/>
      <c r="D148" s="4"/>
      <c r="E148" s="4"/>
      <c r="F148" s="5"/>
      <c r="G148" s="6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2">
      <c r="A149" s="1"/>
      <c r="B149" s="7"/>
      <c r="C149" s="3"/>
      <c r="D149" s="4"/>
      <c r="E149" s="4"/>
      <c r="F149" s="5"/>
      <c r="G149" s="6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2">
      <c r="A150" s="1"/>
      <c r="B150" s="7"/>
      <c r="C150" s="3"/>
      <c r="D150" s="4"/>
      <c r="E150" s="4"/>
      <c r="F150" s="5"/>
      <c r="G150" s="6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2">
      <c r="A151" s="1"/>
      <c r="B151" s="7"/>
      <c r="C151" s="3"/>
      <c r="D151" s="4"/>
      <c r="E151" s="4"/>
      <c r="F151" s="5"/>
      <c r="G151" s="6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2">
      <c r="A152" s="1"/>
      <c r="B152" s="7"/>
      <c r="C152" s="3"/>
      <c r="D152" s="4"/>
      <c r="E152" s="4"/>
      <c r="F152" s="5"/>
      <c r="G152" s="6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2">
      <c r="A153" s="1"/>
      <c r="B153" s="7"/>
      <c r="C153" s="3"/>
      <c r="D153" s="4"/>
      <c r="E153" s="4"/>
      <c r="F153" s="5"/>
      <c r="G153" s="6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2">
      <c r="A154" s="1"/>
      <c r="B154" s="7"/>
      <c r="C154" s="3"/>
      <c r="D154" s="4"/>
      <c r="E154" s="4"/>
      <c r="F154" s="5"/>
      <c r="G154" s="6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2">
      <c r="A155" s="1"/>
      <c r="B155" s="7"/>
      <c r="C155" s="3"/>
      <c r="D155" s="4"/>
      <c r="E155" s="4"/>
      <c r="F155" s="5"/>
      <c r="G155" s="6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2">
      <c r="A156" s="1"/>
      <c r="B156" s="7"/>
      <c r="C156" s="3"/>
      <c r="D156" s="4"/>
      <c r="E156" s="4"/>
      <c r="F156" s="5"/>
      <c r="G156" s="6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2">
      <c r="A157" s="1"/>
      <c r="B157" s="7"/>
      <c r="C157" s="3"/>
      <c r="D157" s="4"/>
      <c r="E157" s="4"/>
      <c r="F157" s="5"/>
      <c r="G157" s="6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2">
      <c r="A158" s="1"/>
      <c r="B158" s="7"/>
      <c r="C158" s="3"/>
      <c r="D158" s="4"/>
      <c r="E158" s="4"/>
      <c r="F158" s="5"/>
      <c r="G158" s="6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2">
      <c r="A159" s="1"/>
      <c r="B159" s="7"/>
      <c r="C159" s="3"/>
      <c r="D159" s="4"/>
      <c r="E159" s="4"/>
      <c r="F159" s="5"/>
      <c r="G159" s="6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2">
      <c r="A160" s="1"/>
      <c r="B160" s="7"/>
      <c r="C160" s="3"/>
      <c r="D160" s="4"/>
      <c r="E160" s="4"/>
      <c r="F160" s="5"/>
      <c r="G160" s="6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2">
      <c r="A161" s="1"/>
      <c r="B161" s="7"/>
      <c r="C161" s="3"/>
      <c r="D161" s="4"/>
      <c r="E161" s="4"/>
      <c r="F161" s="5"/>
      <c r="G161" s="6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2">
      <c r="A162" s="1"/>
      <c r="B162" s="7"/>
      <c r="C162" s="3"/>
      <c r="D162" s="4"/>
      <c r="E162" s="4"/>
      <c r="F162" s="5"/>
      <c r="G162" s="6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2">
      <c r="A163" s="1"/>
      <c r="B163" s="7"/>
      <c r="C163" s="3"/>
      <c r="D163" s="4"/>
      <c r="E163" s="4"/>
      <c r="F163" s="5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2">
      <c r="A164" s="1"/>
      <c r="B164" s="7"/>
      <c r="C164" s="3"/>
      <c r="D164" s="4"/>
      <c r="E164" s="4"/>
      <c r="F164" s="5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2">
      <c r="A165" s="1"/>
      <c r="B165" s="7"/>
      <c r="C165" s="3"/>
      <c r="D165" s="4"/>
      <c r="E165" s="4"/>
      <c r="F165" s="5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2">
      <c r="A166" s="1"/>
      <c r="B166" s="7"/>
      <c r="C166" s="3"/>
      <c r="D166" s="4"/>
      <c r="E166" s="4"/>
      <c r="F166" s="5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2">
      <c r="A167" s="1"/>
      <c r="B167" s="7"/>
      <c r="C167" s="3"/>
      <c r="D167" s="4"/>
      <c r="E167" s="4"/>
      <c r="F167" s="5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2">
      <c r="A168" s="1"/>
      <c r="B168" s="7"/>
      <c r="C168" s="3"/>
      <c r="D168" s="4"/>
      <c r="E168" s="4"/>
      <c r="F168" s="5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2">
      <c r="A169" s="1"/>
      <c r="B169" s="7"/>
      <c r="C169" s="3"/>
      <c r="D169" s="4"/>
      <c r="E169" s="4"/>
      <c r="F169" s="5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2">
      <c r="A170" s="1"/>
      <c r="B170" s="7"/>
      <c r="C170" s="3"/>
      <c r="D170" s="4"/>
      <c r="E170" s="4"/>
      <c r="F170" s="5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2">
      <c r="A171" s="1"/>
      <c r="B171" s="7"/>
      <c r="C171" s="3"/>
      <c r="D171" s="4"/>
      <c r="E171" s="4"/>
      <c r="F171" s="5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2">
      <c r="A172" s="1"/>
      <c r="B172" s="7"/>
      <c r="C172" s="3"/>
      <c r="D172" s="4"/>
      <c r="E172" s="4"/>
      <c r="F172" s="5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2">
      <c r="A173" s="1"/>
      <c r="B173" s="7"/>
      <c r="C173" s="3"/>
      <c r="D173" s="4"/>
      <c r="E173" s="4"/>
      <c r="F173" s="5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2">
      <c r="A174" s="1"/>
      <c r="B174" s="7"/>
      <c r="C174" s="3"/>
      <c r="D174" s="4"/>
      <c r="E174" s="4"/>
      <c r="F174" s="5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2">
      <c r="A175" s="1"/>
      <c r="B175" s="7"/>
      <c r="C175" s="3"/>
      <c r="D175" s="4"/>
      <c r="E175" s="4"/>
      <c r="F175" s="5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2">
      <c r="A176" s="1"/>
      <c r="B176" s="7"/>
      <c r="C176" s="3"/>
      <c r="D176" s="4"/>
      <c r="E176" s="4"/>
      <c r="F176" s="5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2">
      <c r="A177" s="1"/>
      <c r="B177" s="7"/>
      <c r="C177" s="3"/>
      <c r="D177" s="4"/>
      <c r="E177" s="4"/>
      <c r="F177" s="5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2">
      <c r="A178" s="1"/>
      <c r="B178" s="7"/>
      <c r="C178" s="3"/>
      <c r="D178" s="4"/>
      <c r="E178" s="4"/>
      <c r="F178" s="5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2">
      <c r="A179" s="1"/>
      <c r="B179" s="7"/>
      <c r="C179" s="3"/>
      <c r="D179" s="4"/>
      <c r="E179" s="4"/>
      <c r="F179" s="5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2">
      <c r="A180" s="1"/>
      <c r="B180" s="7"/>
      <c r="C180" s="3"/>
      <c r="D180" s="4"/>
      <c r="E180" s="4"/>
      <c r="F180" s="5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2">
      <c r="A181" s="1"/>
      <c r="B181" s="7"/>
      <c r="C181" s="3"/>
      <c r="D181" s="4"/>
      <c r="E181" s="4"/>
      <c r="F181" s="5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2">
      <c r="A182" s="1"/>
      <c r="B182" s="7"/>
      <c r="C182" s="3"/>
      <c r="D182" s="4"/>
      <c r="E182" s="4"/>
      <c r="F182" s="5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2">
      <c r="A183" s="1"/>
      <c r="B183" s="7"/>
      <c r="C183" s="3"/>
      <c r="D183" s="4"/>
      <c r="E183" s="4"/>
      <c r="F183" s="5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2">
      <c r="A184" s="1"/>
      <c r="B184" s="7"/>
      <c r="C184" s="3"/>
      <c r="D184" s="4"/>
      <c r="E184" s="4"/>
      <c r="F184" s="5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2">
      <c r="A185" s="1"/>
      <c r="B185" s="7"/>
      <c r="C185" s="3"/>
      <c r="D185" s="4"/>
      <c r="E185" s="4"/>
      <c r="F185" s="5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2">
      <c r="A186" s="1"/>
      <c r="B186" s="7"/>
      <c r="C186" s="3"/>
      <c r="D186" s="4"/>
      <c r="E186" s="4"/>
      <c r="F186" s="5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2">
      <c r="A187" s="1"/>
      <c r="B187" s="7"/>
      <c r="C187" s="3"/>
      <c r="D187" s="4"/>
      <c r="E187" s="4"/>
      <c r="F187" s="5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2">
      <c r="A188" s="1"/>
      <c r="B188" s="7"/>
      <c r="C188" s="3"/>
      <c r="D188" s="4"/>
      <c r="E188" s="4"/>
      <c r="F188" s="5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2">
      <c r="A189" s="1"/>
      <c r="B189" s="7"/>
      <c r="C189" s="3"/>
      <c r="D189" s="4"/>
      <c r="E189" s="4"/>
      <c r="F189" s="5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2">
      <c r="A190" s="1"/>
      <c r="B190" s="7"/>
      <c r="C190" s="3"/>
      <c r="D190" s="4"/>
      <c r="E190" s="4"/>
      <c r="F190" s="5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2">
      <c r="A191" s="1"/>
      <c r="B191" s="7"/>
      <c r="C191" s="3"/>
      <c r="D191" s="4"/>
      <c r="E191" s="4"/>
      <c r="F191" s="5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2">
      <c r="A192" s="1"/>
      <c r="B192" s="7"/>
      <c r="C192" s="3"/>
      <c r="D192" s="4"/>
      <c r="E192" s="4"/>
      <c r="F192" s="5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2">
      <c r="A193" s="1"/>
      <c r="B193" s="7"/>
      <c r="C193" s="3"/>
      <c r="D193" s="4"/>
      <c r="E193" s="4"/>
      <c r="F193" s="5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2">
      <c r="A194" s="1"/>
      <c r="B194" s="7"/>
      <c r="C194" s="3"/>
      <c r="D194" s="4"/>
      <c r="E194" s="4"/>
      <c r="F194" s="5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2">
      <c r="A195" s="1"/>
      <c r="B195" s="7"/>
      <c r="C195" s="3"/>
      <c r="D195" s="4"/>
      <c r="E195" s="4"/>
      <c r="F195" s="5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2">
      <c r="A196" s="1"/>
      <c r="B196" s="7"/>
      <c r="C196" s="3"/>
      <c r="D196" s="4"/>
      <c r="E196" s="4"/>
      <c r="F196" s="5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2">
      <c r="A197" s="1"/>
      <c r="B197" s="7"/>
      <c r="C197" s="3"/>
      <c r="D197" s="4"/>
      <c r="E197" s="4"/>
      <c r="F197" s="5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2">
      <c r="A198" s="1"/>
      <c r="B198" s="7"/>
      <c r="C198" s="3"/>
      <c r="D198" s="4"/>
      <c r="E198" s="4"/>
      <c r="F198" s="5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2">
      <c r="A199" s="1"/>
      <c r="B199" s="7"/>
      <c r="C199" s="3"/>
      <c r="D199" s="4"/>
      <c r="E199" s="4"/>
      <c r="F199" s="5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2">
      <c r="A200" s="1"/>
      <c r="B200" s="7"/>
      <c r="C200" s="3"/>
      <c r="D200" s="4"/>
      <c r="E200" s="4"/>
      <c r="F200" s="5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2">
      <c r="A201" s="1"/>
      <c r="B201" s="7"/>
      <c r="C201" s="3"/>
      <c r="D201" s="4"/>
      <c r="E201" s="4"/>
      <c r="F201" s="5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2">
      <c r="A202" s="1"/>
      <c r="B202" s="7"/>
      <c r="C202" s="3"/>
      <c r="D202" s="4"/>
      <c r="E202" s="4"/>
      <c r="F202" s="5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2">
      <c r="A203" s="1"/>
      <c r="B203" s="7"/>
      <c r="C203" s="3"/>
      <c r="D203" s="4"/>
      <c r="E203" s="4"/>
      <c r="F203" s="5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2">
      <c r="A204" s="1"/>
      <c r="B204" s="7"/>
      <c r="C204" s="3"/>
      <c r="D204" s="4"/>
      <c r="E204" s="4"/>
      <c r="F204" s="5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2">
      <c r="A205" s="1"/>
      <c r="B205" s="7"/>
      <c r="C205" s="3"/>
      <c r="D205" s="4"/>
      <c r="E205" s="4"/>
      <c r="F205" s="5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2">
      <c r="A206" s="1"/>
      <c r="B206" s="7"/>
      <c r="C206" s="3"/>
      <c r="D206" s="4"/>
      <c r="E206" s="4"/>
      <c r="F206" s="5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2">
      <c r="A207" s="1"/>
      <c r="B207" s="7"/>
      <c r="C207" s="3"/>
      <c r="D207" s="4"/>
      <c r="E207" s="4"/>
      <c r="F207" s="5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2">
      <c r="A208" s="1"/>
      <c r="B208" s="7"/>
      <c r="C208" s="3"/>
      <c r="D208" s="4"/>
      <c r="E208" s="4"/>
      <c r="F208" s="5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2">
      <c r="A209" s="1"/>
      <c r="B209" s="7"/>
      <c r="C209" s="3"/>
      <c r="D209" s="4"/>
      <c r="E209" s="4"/>
      <c r="F209" s="5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2">
      <c r="A210" s="1"/>
      <c r="B210" s="7"/>
      <c r="C210" s="3"/>
      <c r="D210" s="4"/>
      <c r="E210" s="4"/>
      <c r="F210" s="5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2">
      <c r="A211" s="1"/>
      <c r="B211" s="7"/>
      <c r="C211" s="3"/>
      <c r="D211" s="4"/>
      <c r="E211" s="4"/>
      <c r="F211" s="5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2">
      <c r="A212" s="1"/>
      <c r="B212" s="7"/>
      <c r="C212" s="3"/>
      <c r="D212" s="4"/>
      <c r="E212" s="4"/>
      <c r="F212" s="5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2">
      <c r="A213" s="1"/>
      <c r="B213" s="7"/>
      <c r="C213" s="3"/>
      <c r="D213" s="4"/>
      <c r="E213" s="4"/>
      <c r="F213" s="5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2">
      <c r="A214" s="1"/>
      <c r="B214" s="7"/>
      <c r="C214" s="3"/>
      <c r="D214" s="4"/>
      <c r="E214" s="4"/>
      <c r="F214" s="5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2">
      <c r="A215" s="1"/>
      <c r="B215" s="7"/>
      <c r="C215" s="3"/>
      <c r="D215" s="4"/>
      <c r="E215" s="4"/>
      <c r="F215" s="5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2">
      <c r="A216" s="1"/>
      <c r="B216" s="7"/>
      <c r="C216" s="3"/>
      <c r="D216" s="4"/>
      <c r="E216" s="4"/>
      <c r="F216" s="5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2">
      <c r="A217" s="1"/>
      <c r="B217" s="7"/>
      <c r="C217" s="3"/>
      <c r="D217" s="4"/>
      <c r="E217" s="4"/>
      <c r="F217" s="5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2">
      <c r="A218" s="1"/>
      <c r="B218" s="7"/>
      <c r="C218" s="3"/>
      <c r="D218" s="4"/>
      <c r="E218" s="4"/>
      <c r="F218" s="5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2">
      <c r="A219" s="1"/>
      <c r="B219" s="7"/>
      <c r="C219" s="3"/>
      <c r="D219" s="4"/>
      <c r="E219" s="4"/>
      <c r="F219" s="5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2">
      <c r="A220" s="1"/>
      <c r="B220" s="7"/>
      <c r="C220" s="3"/>
      <c r="D220" s="4"/>
      <c r="E220" s="4"/>
      <c r="F220" s="5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2">
      <c r="A221" s="1"/>
      <c r="B221" s="7"/>
      <c r="C221" s="3"/>
      <c r="D221" s="4"/>
      <c r="E221" s="4"/>
      <c r="F221" s="5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2">
      <c r="A222" s="1"/>
      <c r="B222" s="7"/>
      <c r="C222" s="3"/>
      <c r="D222" s="4"/>
      <c r="E222" s="4"/>
      <c r="F222" s="5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2">
      <c r="A223" s="1"/>
      <c r="B223" s="7"/>
      <c r="C223" s="3"/>
      <c r="D223" s="4"/>
      <c r="E223" s="4"/>
      <c r="F223" s="5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2">
      <c r="A224" s="1"/>
      <c r="B224" s="7"/>
      <c r="C224" s="3"/>
      <c r="D224" s="4"/>
      <c r="E224" s="4"/>
      <c r="F224" s="5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2">
      <c r="A225" s="1"/>
      <c r="B225" s="7"/>
      <c r="C225" s="3"/>
      <c r="D225" s="4"/>
      <c r="E225" s="4"/>
      <c r="F225" s="5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2">
      <c r="A226" s="1"/>
      <c r="B226" s="7"/>
      <c r="C226" s="3"/>
      <c r="D226" s="4"/>
      <c r="E226" s="4"/>
      <c r="F226" s="5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2">
      <c r="A227" s="1"/>
      <c r="B227" s="7"/>
      <c r="C227" s="3"/>
      <c r="D227" s="4"/>
      <c r="E227" s="4"/>
      <c r="F227" s="5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2">
      <c r="A228" s="1"/>
      <c r="B228" s="7"/>
      <c r="C228" s="3"/>
      <c r="D228" s="4"/>
      <c r="E228" s="4"/>
      <c r="F228" s="5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2">
      <c r="A229" s="1"/>
      <c r="B229" s="7"/>
      <c r="C229" s="3"/>
      <c r="D229" s="4"/>
      <c r="E229" s="4"/>
      <c r="F229" s="5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2">
      <c r="A230" s="1"/>
      <c r="B230" s="7"/>
      <c r="C230" s="3"/>
      <c r="D230" s="4"/>
      <c r="E230" s="4"/>
      <c r="F230" s="5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2">
      <c r="A231" s="1"/>
      <c r="B231" s="7"/>
      <c r="C231" s="3"/>
      <c r="D231" s="4"/>
      <c r="E231" s="4"/>
      <c r="F231" s="5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2">
      <c r="A232" s="1"/>
      <c r="B232" s="7"/>
      <c r="C232" s="3"/>
      <c r="D232" s="4"/>
      <c r="E232" s="4"/>
      <c r="F232" s="5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2">
      <c r="A233" s="1"/>
      <c r="B233" s="7"/>
      <c r="C233" s="3"/>
      <c r="D233" s="4"/>
      <c r="E233" s="4"/>
      <c r="F233" s="5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2">
      <c r="A234" s="1"/>
      <c r="B234" s="7"/>
      <c r="C234" s="3"/>
      <c r="D234" s="4"/>
      <c r="E234" s="4"/>
      <c r="F234" s="5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2">
      <c r="A235" s="1"/>
      <c r="B235" s="7"/>
      <c r="C235" s="3"/>
      <c r="D235" s="4"/>
      <c r="E235" s="4"/>
      <c r="F235" s="5"/>
      <c r="G235" s="6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2">
      <c r="A236" s="1"/>
      <c r="B236" s="7"/>
      <c r="C236" s="3"/>
      <c r="D236" s="4"/>
      <c r="E236" s="4"/>
      <c r="F236" s="5"/>
      <c r="G236" s="6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2">
      <c r="A237" s="1"/>
      <c r="B237" s="7"/>
      <c r="C237" s="3"/>
      <c r="D237" s="4"/>
      <c r="E237" s="4"/>
      <c r="F237" s="5"/>
      <c r="G237" s="6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2">
      <c r="A238" s="1"/>
      <c r="B238" s="7"/>
      <c r="C238" s="3"/>
      <c r="D238" s="4"/>
      <c r="E238" s="4"/>
      <c r="F238" s="5"/>
      <c r="G238" s="6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2">
      <c r="A239" s="1"/>
      <c r="B239" s="7"/>
      <c r="C239" s="3"/>
      <c r="D239" s="4"/>
      <c r="E239" s="4"/>
      <c r="F239" s="5"/>
      <c r="G239" s="6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2">
      <c r="A240" s="1"/>
      <c r="B240" s="7"/>
      <c r="C240" s="3"/>
      <c r="D240" s="4"/>
      <c r="E240" s="4"/>
      <c r="F240" s="5"/>
      <c r="G240" s="6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2">
      <c r="A241" s="1"/>
      <c r="B241" s="7"/>
      <c r="C241" s="3"/>
      <c r="D241" s="4"/>
      <c r="E241" s="4"/>
      <c r="F241" s="5"/>
      <c r="G241" s="6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2">
      <c r="A242" s="1"/>
      <c r="B242" s="7"/>
      <c r="C242" s="3"/>
      <c r="D242" s="4"/>
      <c r="E242" s="4"/>
      <c r="F242" s="5"/>
      <c r="G242" s="6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2">
      <c r="A243" s="1"/>
      <c r="B243" s="7"/>
      <c r="C243" s="3"/>
      <c r="D243" s="4"/>
      <c r="E243" s="4"/>
      <c r="F243" s="5"/>
      <c r="G243" s="6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2">
      <c r="A244" s="1"/>
      <c r="B244" s="7"/>
      <c r="C244" s="3"/>
      <c r="D244" s="4"/>
      <c r="E244" s="4"/>
      <c r="F244" s="5"/>
      <c r="G244" s="6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2">
      <c r="A245" s="1"/>
      <c r="B245" s="7"/>
      <c r="C245" s="3"/>
      <c r="D245" s="4"/>
      <c r="E245" s="4"/>
      <c r="F245" s="5"/>
      <c r="G245" s="6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2">
      <c r="A246" s="1"/>
      <c r="B246" s="7"/>
      <c r="C246" s="3"/>
      <c r="D246" s="4"/>
      <c r="E246" s="4"/>
      <c r="F246" s="5"/>
      <c r="G246" s="6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2">
      <c r="A247" s="1"/>
      <c r="B247" s="7"/>
      <c r="C247" s="3"/>
      <c r="D247" s="4"/>
      <c r="E247" s="4"/>
      <c r="F247" s="5"/>
      <c r="G247" s="6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2">
      <c r="A248" s="1"/>
      <c r="B248" s="7"/>
      <c r="C248" s="3"/>
      <c r="D248" s="4"/>
      <c r="E248" s="4"/>
      <c r="F248" s="5"/>
      <c r="G248" s="6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2">
      <c r="A249" s="1"/>
      <c r="B249" s="7"/>
      <c r="C249" s="3"/>
      <c r="D249" s="4"/>
      <c r="E249" s="4"/>
      <c r="F249" s="5"/>
      <c r="G249" s="6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2">
      <c r="A250" s="1"/>
      <c r="B250" s="7"/>
      <c r="C250" s="3"/>
      <c r="D250" s="4"/>
      <c r="E250" s="4"/>
      <c r="F250" s="5"/>
      <c r="G250" s="6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2">
      <c r="A251" s="1"/>
      <c r="B251" s="7"/>
      <c r="C251" s="3"/>
      <c r="D251" s="4"/>
      <c r="E251" s="4"/>
      <c r="F251" s="5"/>
      <c r="G251" s="6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2">
      <c r="A252" s="1"/>
      <c r="B252" s="7"/>
      <c r="C252" s="3"/>
      <c r="D252" s="4"/>
      <c r="E252" s="4"/>
      <c r="F252" s="5"/>
      <c r="G252" s="6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2">
      <c r="A253" s="1"/>
      <c r="B253" s="7"/>
      <c r="C253" s="3"/>
      <c r="D253" s="4"/>
      <c r="E253" s="4"/>
      <c r="F253" s="5"/>
      <c r="G253" s="6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2">
      <c r="A254" s="1"/>
      <c r="B254" s="7"/>
      <c r="C254" s="3"/>
      <c r="D254" s="4"/>
      <c r="E254" s="4"/>
      <c r="F254" s="5"/>
      <c r="G254" s="6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2">
      <c r="A255" s="1"/>
      <c r="B255" s="7"/>
      <c r="C255" s="3"/>
      <c r="D255" s="4"/>
      <c r="E255" s="4"/>
      <c r="F255" s="5"/>
      <c r="G255" s="6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2">
      <c r="A256" s="1"/>
      <c r="B256" s="7"/>
      <c r="C256" s="3"/>
      <c r="D256" s="4"/>
      <c r="E256" s="4"/>
      <c r="F256" s="5"/>
      <c r="G256" s="6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2">
      <c r="A257" s="1"/>
      <c r="B257" s="7"/>
      <c r="C257" s="3"/>
      <c r="D257" s="4"/>
      <c r="E257" s="4"/>
      <c r="F257" s="5"/>
      <c r="G257" s="6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2">
      <c r="A258" s="1"/>
      <c r="B258" s="7"/>
      <c r="C258" s="3"/>
      <c r="D258" s="4"/>
      <c r="E258" s="4"/>
      <c r="F258" s="5"/>
      <c r="G258" s="6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2">
      <c r="A259" s="1"/>
      <c r="B259" s="7"/>
      <c r="C259" s="3"/>
      <c r="D259" s="4"/>
      <c r="E259" s="4"/>
      <c r="F259" s="5"/>
      <c r="G259" s="6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2">
      <c r="A260" s="1"/>
      <c r="B260" s="7"/>
      <c r="C260" s="3"/>
      <c r="D260" s="4"/>
      <c r="E260" s="4"/>
      <c r="F260" s="5"/>
      <c r="G260" s="6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2">
      <c r="A261" s="1"/>
      <c r="B261" s="7"/>
      <c r="C261" s="3"/>
      <c r="D261" s="4"/>
      <c r="E261" s="4"/>
      <c r="F261" s="5"/>
      <c r="G261" s="6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2">
      <c r="A262" s="1"/>
      <c r="B262" s="7"/>
      <c r="C262" s="3"/>
      <c r="D262" s="4"/>
      <c r="E262" s="4"/>
      <c r="F262" s="5"/>
      <c r="G262" s="6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2">
      <c r="A263" s="1"/>
      <c r="B263" s="7"/>
      <c r="C263" s="3"/>
      <c r="D263" s="4"/>
      <c r="E263" s="4"/>
      <c r="F263" s="5"/>
      <c r="G263" s="6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2">
      <c r="A264" s="1"/>
      <c r="B264" s="7"/>
      <c r="C264" s="3"/>
      <c r="D264" s="4"/>
      <c r="E264" s="4"/>
      <c r="F264" s="5"/>
      <c r="G264" s="6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2">
      <c r="A265" s="1"/>
      <c r="B265" s="7"/>
      <c r="C265" s="3"/>
      <c r="D265" s="4"/>
      <c r="E265" s="4"/>
      <c r="F265" s="5"/>
      <c r="G265" s="6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2">
      <c r="A266" s="1"/>
      <c r="B266" s="7"/>
      <c r="C266" s="3"/>
      <c r="D266" s="4"/>
      <c r="E266" s="4"/>
      <c r="F266" s="5"/>
      <c r="G266" s="6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2">
      <c r="A267" s="1"/>
      <c r="B267" s="7"/>
      <c r="C267" s="3"/>
      <c r="D267" s="4"/>
      <c r="E267" s="4"/>
      <c r="F267" s="5"/>
      <c r="G267" s="6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2">
      <c r="A268" s="1"/>
      <c r="B268" s="7"/>
      <c r="C268" s="3"/>
      <c r="D268" s="4"/>
      <c r="E268" s="4"/>
      <c r="F268" s="5"/>
      <c r="G268" s="6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2">
      <c r="A269" s="1"/>
      <c r="B269" s="7"/>
      <c r="C269" s="3"/>
      <c r="D269" s="4"/>
      <c r="E269" s="4"/>
      <c r="F269" s="5"/>
      <c r="G269" s="6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2">
      <c r="A270" s="1"/>
      <c r="B270" s="7"/>
      <c r="C270" s="3"/>
      <c r="D270" s="4"/>
      <c r="E270" s="4"/>
      <c r="F270" s="5"/>
      <c r="G270" s="6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2">
      <c r="A271" s="1"/>
      <c r="B271" s="7"/>
      <c r="C271" s="3"/>
      <c r="D271" s="4"/>
      <c r="E271" s="4"/>
      <c r="F271" s="5"/>
      <c r="G271" s="6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2">
      <c r="A272" s="1"/>
      <c r="B272" s="7"/>
      <c r="C272" s="3"/>
      <c r="D272" s="4"/>
      <c r="E272" s="4"/>
      <c r="F272" s="5"/>
      <c r="G272" s="6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2">
      <c r="A273" s="1"/>
      <c r="B273" s="7"/>
      <c r="C273" s="3"/>
      <c r="D273" s="4"/>
      <c r="E273" s="4"/>
      <c r="F273" s="5"/>
      <c r="G273" s="6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2">
      <c r="A274" s="1"/>
      <c r="B274" s="7"/>
      <c r="C274" s="3"/>
      <c r="D274" s="4"/>
      <c r="E274" s="4"/>
      <c r="F274" s="5"/>
      <c r="G274" s="6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2">
      <c r="A275" s="1"/>
      <c r="B275" s="7"/>
      <c r="C275" s="3"/>
      <c r="D275" s="4"/>
      <c r="E275" s="4"/>
      <c r="F275" s="5"/>
      <c r="G275" s="6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2">
      <c r="A276" s="1"/>
      <c r="B276" s="7"/>
      <c r="C276" s="3"/>
      <c r="D276" s="4"/>
      <c r="E276" s="4"/>
      <c r="F276" s="5"/>
      <c r="G276" s="6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2">
      <c r="A277" s="1"/>
      <c r="B277" s="7"/>
      <c r="C277" s="3"/>
      <c r="D277" s="4"/>
      <c r="E277" s="4"/>
      <c r="F277" s="5"/>
      <c r="G277" s="6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2">
      <c r="A278" s="1"/>
      <c r="B278" s="7"/>
      <c r="C278" s="3"/>
      <c r="D278" s="4"/>
      <c r="E278" s="4"/>
      <c r="F278" s="5"/>
      <c r="G278" s="6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2">
      <c r="A279" s="1"/>
      <c r="B279" s="7"/>
      <c r="C279" s="3"/>
      <c r="D279" s="4"/>
      <c r="E279" s="4"/>
      <c r="F279" s="5"/>
      <c r="G279" s="6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2">
      <c r="A280" s="1"/>
      <c r="B280" s="7"/>
      <c r="C280" s="3"/>
      <c r="D280" s="4"/>
      <c r="E280" s="4"/>
      <c r="F280" s="5"/>
      <c r="G280" s="6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2">
      <c r="A281" s="1"/>
      <c r="B281" s="7"/>
      <c r="C281" s="3"/>
      <c r="D281" s="4"/>
      <c r="E281" s="4"/>
      <c r="F281" s="5"/>
      <c r="G281" s="6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2">
      <c r="A282" s="1"/>
      <c r="B282" s="7"/>
      <c r="C282" s="3"/>
      <c r="D282" s="4"/>
      <c r="E282" s="4"/>
      <c r="F282" s="5"/>
      <c r="G282" s="6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2">
      <c r="A283" s="1"/>
      <c r="B283" s="7"/>
      <c r="C283" s="3"/>
      <c r="D283" s="4"/>
      <c r="E283" s="4"/>
      <c r="F283" s="5"/>
      <c r="G283" s="6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2">
      <c r="A284" s="1"/>
      <c r="B284" s="7"/>
      <c r="C284" s="3"/>
      <c r="D284" s="4"/>
      <c r="E284" s="4"/>
      <c r="F284" s="5"/>
      <c r="G284" s="6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2">
      <c r="A285" s="1"/>
      <c r="B285" s="7"/>
      <c r="C285" s="3"/>
      <c r="D285" s="4"/>
      <c r="E285" s="4"/>
      <c r="F285" s="5"/>
      <c r="G285" s="6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2">
      <c r="A286" s="1"/>
      <c r="B286" s="7"/>
      <c r="C286" s="3"/>
      <c r="D286" s="4"/>
      <c r="E286" s="4"/>
      <c r="F286" s="5"/>
      <c r="G286" s="6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2">
      <c r="A287" s="1"/>
      <c r="B287" s="7"/>
      <c r="C287" s="3"/>
      <c r="D287" s="4"/>
      <c r="E287" s="4"/>
      <c r="F287" s="5"/>
      <c r="G287" s="6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2">
      <c r="A288" s="1"/>
      <c r="B288" s="7"/>
      <c r="C288" s="3"/>
      <c r="D288" s="4"/>
      <c r="E288" s="4"/>
      <c r="F288" s="5"/>
      <c r="G288" s="6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2">
      <c r="A289" s="1"/>
      <c r="B289" s="7"/>
      <c r="C289" s="3"/>
      <c r="D289" s="4"/>
      <c r="E289" s="4"/>
      <c r="F289" s="5"/>
      <c r="G289" s="6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2">
      <c r="A290" s="1"/>
      <c r="B290" s="7"/>
      <c r="C290" s="3"/>
      <c r="D290" s="4"/>
      <c r="E290" s="4"/>
      <c r="F290" s="5"/>
      <c r="G290" s="6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2">
      <c r="A291" s="1"/>
      <c r="B291" s="7"/>
      <c r="C291" s="3"/>
      <c r="D291" s="4"/>
      <c r="E291" s="4"/>
      <c r="F291" s="5"/>
      <c r="G291" s="6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2">
      <c r="A292" s="1"/>
      <c r="B292" s="7"/>
      <c r="C292" s="3"/>
      <c r="D292" s="4"/>
      <c r="E292" s="4"/>
      <c r="F292" s="5"/>
      <c r="G292" s="6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2">
      <c r="A293" s="1"/>
      <c r="B293" s="7"/>
      <c r="C293" s="3"/>
      <c r="D293" s="4"/>
      <c r="E293" s="4"/>
      <c r="F293" s="5"/>
      <c r="G293" s="6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2">
      <c r="A294" s="1"/>
      <c r="B294" s="7"/>
      <c r="C294" s="3"/>
      <c r="D294" s="4"/>
      <c r="E294" s="4"/>
      <c r="F294" s="5"/>
      <c r="G294" s="6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2">
      <c r="A295" s="1"/>
      <c r="B295" s="7"/>
      <c r="C295" s="3"/>
      <c r="D295" s="4"/>
      <c r="E295" s="4"/>
      <c r="F295" s="5"/>
      <c r="G295" s="6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2">
      <c r="A296" s="1"/>
      <c r="B296" s="7"/>
      <c r="C296" s="3"/>
      <c r="D296" s="4"/>
      <c r="E296" s="4"/>
      <c r="F296" s="5"/>
      <c r="G296" s="6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2">
      <c r="A297" s="1"/>
      <c r="B297" s="7"/>
      <c r="C297" s="3"/>
      <c r="D297" s="4"/>
      <c r="E297" s="4"/>
      <c r="F297" s="5"/>
      <c r="G297" s="6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2">
      <c r="A298" s="1"/>
      <c r="B298" s="7"/>
      <c r="C298" s="3"/>
      <c r="D298" s="4"/>
      <c r="E298" s="4"/>
      <c r="F298" s="5"/>
      <c r="G298" s="6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2">
      <c r="A299" s="1"/>
      <c r="B299" s="7"/>
      <c r="C299" s="3"/>
      <c r="D299" s="4"/>
      <c r="E299" s="4"/>
      <c r="F299" s="5"/>
      <c r="G299" s="6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2">
      <c r="A300" s="1"/>
      <c r="B300" s="7"/>
      <c r="C300" s="3"/>
      <c r="D300" s="4"/>
      <c r="E300" s="4"/>
      <c r="F300" s="5"/>
      <c r="G300" s="6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2">
      <c r="A301" s="1"/>
      <c r="B301" s="7"/>
      <c r="C301" s="3"/>
      <c r="D301" s="4"/>
      <c r="E301" s="4"/>
      <c r="F301" s="5"/>
      <c r="G301" s="6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2">
      <c r="A302" s="1"/>
      <c r="B302" s="7"/>
      <c r="C302" s="3"/>
      <c r="D302" s="4"/>
      <c r="E302" s="4"/>
      <c r="F302" s="5"/>
      <c r="G302" s="6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2">
      <c r="A303" s="1"/>
      <c r="B303" s="7"/>
      <c r="C303" s="3"/>
      <c r="D303" s="4"/>
      <c r="E303" s="4"/>
      <c r="F303" s="5"/>
      <c r="G303" s="6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2">
      <c r="A304" s="1"/>
      <c r="B304" s="7"/>
      <c r="C304" s="3"/>
      <c r="D304" s="4"/>
      <c r="E304" s="4"/>
      <c r="F304" s="5"/>
      <c r="G304" s="6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2">
      <c r="A305" s="1"/>
      <c r="B305" s="7"/>
      <c r="C305" s="3"/>
      <c r="D305" s="4"/>
      <c r="E305" s="4"/>
      <c r="F305" s="5"/>
      <c r="G305" s="6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2">
      <c r="A306" s="1"/>
      <c r="B306" s="7"/>
      <c r="C306" s="3"/>
      <c r="D306" s="4"/>
      <c r="E306" s="4"/>
      <c r="F306" s="5"/>
      <c r="G306" s="6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2">
      <c r="A307" s="1"/>
      <c r="B307" s="7"/>
      <c r="C307" s="3"/>
      <c r="D307" s="4"/>
      <c r="E307" s="4"/>
      <c r="F307" s="5"/>
      <c r="G307" s="6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2">
      <c r="A308" s="1"/>
      <c r="B308" s="7"/>
      <c r="C308" s="3"/>
      <c r="D308" s="4"/>
      <c r="E308" s="4"/>
      <c r="F308" s="5"/>
      <c r="G308" s="6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2">
      <c r="A309" s="1"/>
      <c r="B309" s="7"/>
      <c r="C309" s="3"/>
      <c r="D309" s="4"/>
      <c r="E309" s="4"/>
      <c r="F309" s="5"/>
      <c r="G309" s="6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2">
      <c r="A310" s="1"/>
      <c r="B310" s="7"/>
      <c r="C310" s="3"/>
      <c r="D310" s="4"/>
      <c r="E310" s="4"/>
      <c r="F310" s="5"/>
      <c r="G310" s="6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2">
      <c r="A311" s="1"/>
      <c r="B311" s="7"/>
      <c r="C311" s="3"/>
      <c r="D311" s="4"/>
      <c r="E311" s="4"/>
      <c r="F311" s="5"/>
      <c r="G311" s="6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2">
      <c r="A312" s="1"/>
      <c r="B312" s="7"/>
      <c r="C312" s="3"/>
      <c r="D312" s="4"/>
      <c r="E312" s="4"/>
      <c r="F312" s="5"/>
      <c r="G312" s="6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2">
      <c r="A313" s="1"/>
      <c r="B313" s="7"/>
      <c r="C313" s="3"/>
      <c r="D313" s="4"/>
      <c r="E313" s="4"/>
      <c r="F313" s="5"/>
      <c r="G313" s="6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2">
      <c r="A314" s="1"/>
      <c r="B314" s="7"/>
      <c r="C314" s="3"/>
      <c r="D314" s="4"/>
      <c r="E314" s="4"/>
      <c r="F314" s="5"/>
      <c r="G314" s="6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2">
      <c r="A315" s="1"/>
      <c r="B315" s="7"/>
      <c r="C315" s="3"/>
      <c r="D315" s="4"/>
      <c r="E315" s="4"/>
      <c r="F315" s="5"/>
      <c r="G315" s="6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2">
      <c r="A316" s="1"/>
      <c r="B316" s="7"/>
      <c r="C316" s="3"/>
      <c r="D316" s="4"/>
      <c r="E316" s="4"/>
      <c r="F316" s="5"/>
      <c r="G316" s="6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2">
      <c r="A317" s="1"/>
      <c r="B317" s="7"/>
      <c r="C317" s="3"/>
      <c r="D317" s="4"/>
      <c r="E317" s="4"/>
      <c r="F317" s="5"/>
      <c r="G317" s="6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2">
      <c r="A318" s="1"/>
      <c r="B318" s="7"/>
      <c r="C318" s="3"/>
      <c r="D318" s="4"/>
      <c r="E318" s="4"/>
      <c r="F318" s="5"/>
      <c r="G318" s="6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2">
      <c r="A319" s="1"/>
      <c r="B319" s="7"/>
      <c r="C319" s="3"/>
      <c r="D319" s="4"/>
      <c r="E319" s="4"/>
      <c r="F319" s="5"/>
      <c r="G319" s="6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2">
      <c r="A320" s="1"/>
      <c r="B320" s="7"/>
      <c r="C320" s="3"/>
      <c r="D320" s="4"/>
      <c r="E320" s="4"/>
      <c r="F320" s="5"/>
      <c r="G320" s="6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2">
      <c r="A321" s="1"/>
      <c r="B321" s="7"/>
      <c r="C321" s="3"/>
      <c r="D321" s="4"/>
      <c r="E321" s="4"/>
      <c r="F321" s="5"/>
      <c r="G321" s="6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2">
      <c r="A322" s="1"/>
      <c r="B322" s="7"/>
      <c r="C322" s="3"/>
      <c r="D322" s="4"/>
      <c r="E322" s="4"/>
      <c r="F322" s="5"/>
      <c r="G322" s="6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2">
      <c r="A323" s="1"/>
      <c r="B323" s="7"/>
      <c r="C323" s="3"/>
      <c r="D323" s="4"/>
      <c r="E323" s="4"/>
      <c r="F323" s="5"/>
      <c r="G323" s="6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2">
      <c r="A324" s="1"/>
      <c r="B324" s="7"/>
      <c r="C324" s="3"/>
      <c r="D324" s="4"/>
      <c r="E324" s="4"/>
      <c r="F324" s="5"/>
      <c r="G324" s="6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2">
      <c r="A325" s="1"/>
      <c r="B325" s="7"/>
      <c r="C325" s="3"/>
      <c r="D325" s="4"/>
      <c r="E325" s="4"/>
      <c r="F325" s="5"/>
      <c r="G325" s="6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2">
      <c r="A326" s="1"/>
      <c r="B326" s="7"/>
      <c r="C326" s="3"/>
      <c r="D326" s="4"/>
      <c r="E326" s="4"/>
      <c r="F326" s="5"/>
      <c r="G326" s="6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2">
      <c r="A327" s="1"/>
      <c r="B327" s="7"/>
      <c r="C327" s="3"/>
      <c r="D327" s="4"/>
      <c r="E327" s="4"/>
      <c r="F327" s="5"/>
      <c r="G327" s="6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2">
      <c r="A328" s="1"/>
      <c r="B328" s="7"/>
      <c r="C328" s="3"/>
      <c r="D328" s="4"/>
      <c r="E328" s="4"/>
      <c r="F328" s="5"/>
      <c r="G328" s="6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2">
      <c r="A329" s="1"/>
      <c r="B329" s="7"/>
      <c r="C329" s="3"/>
      <c r="D329" s="4"/>
      <c r="E329" s="4"/>
      <c r="F329" s="5"/>
      <c r="G329" s="6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2">
      <c r="A330" s="1"/>
      <c r="B330" s="7"/>
      <c r="C330" s="3"/>
      <c r="D330" s="4"/>
      <c r="E330" s="4"/>
      <c r="F330" s="5"/>
      <c r="G330" s="6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2">
      <c r="A331" s="1"/>
      <c r="B331" s="7"/>
      <c r="C331" s="3"/>
      <c r="D331" s="4"/>
      <c r="E331" s="4"/>
      <c r="F331" s="5"/>
      <c r="G331" s="6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2">
      <c r="A332" s="1"/>
      <c r="B332" s="7"/>
      <c r="C332" s="3"/>
      <c r="D332" s="4"/>
      <c r="E332" s="4"/>
      <c r="F332" s="5"/>
      <c r="G332" s="6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2">
      <c r="A333" s="1"/>
      <c r="B333" s="7"/>
      <c r="C333" s="3"/>
      <c r="D333" s="4"/>
      <c r="E333" s="4"/>
      <c r="F333" s="5"/>
      <c r="G333" s="6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2">
      <c r="A334" s="1"/>
      <c r="B334" s="7"/>
      <c r="C334" s="3"/>
      <c r="D334" s="4"/>
      <c r="E334" s="4"/>
      <c r="F334" s="5"/>
      <c r="G334" s="6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2">
      <c r="A335" s="1"/>
      <c r="B335" s="7"/>
      <c r="C335" s="3"/>
      <c r="D335" s="4"/>
      <c r="E335" s="4"/>
      <c r="F335" s="5"/>
      <c r="G335" s="6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2">
      <c r="A336" s="1"/>
      <c r="B336" s="7"/>
      <c r="C336" s="3"/>
      <c r="D336" s="4"/>
      <c r="E336" s="4"/>
      <c r="F336" s="5"/>
      <c r="G336" s="6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2">
      <c r="A337" s="1"/>
      <c r="B337" s="7"/>
      <c r="C337" s="3"/>
      <c r="D337" s="4"/>
      <c r="E337" s="4"/>
      <c r="F337" s="5"/>
      <c r="G337" s="6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2">
      <c r="A338" s="1"/>
      <c r="B338" s="7"/>
      <c r="C338" s="3"/>
      <c r="D338" s="4"/>
      <c r="E338" s="4"/>
      <c r="F338" s="5"/>
      <c r="G338" s="6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2">
      <c r="A339" s="1"/>
      <c r="B339" s="7"/>
      <c r="C339" s="3"/>
      <c r="D339" s="4"/>
      <c r="E339" s="4"/>
      <c r="F339" s="5"/>
      <c r="G339" s="6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2">
      <c r="A340" s="1"/>
      <c r="B340" s="7"/>
      <c r="C340" s="3"/>
      <c r="D340" s="4"/>
      <c r="E340" s="4"/>
      <c r="F340" s="5"/>
      <c r="G340" s="6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2">
      <c r="A341" s="1"/>
      <c r="B341" s="7"/>
      <c r="C341" s="3"/>
      <c r="D341" s="4"/>
      <c r="E341" s="4"/>
      <c r="F341" s="5"/>
      <c r="G341" s="6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2">
      <c r="A342" s="1"/>
      <c r="B342" s="7"/>
      <c r="C342" s="3"/>
      <c r="D342" s="4"/>
      <c r="E342" s="4"/>
      <c r="F342" s="5"/>
      <c r="G342" s="6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2">
      <c r="A343" s="1"/>
      <c r="B343" s="7"/>
      <c r="C343" s="3"/>
      <c r="D343" s="4"/>
      <c r="E343" s="4"/>
      <c r="F343" s="5"/>
      <c r="G343" s="6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2">
      <c r="A344" s="1"/>
      <c r="B344" s="7"/>
      <c r="C344" s="3"/>
      <c r="D344" s="4"/>
      <c r="E344" s="4"/>
      <c r="F344" s="5"/>
      <c r="G344" s="6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2">
      <c r="A345" s="1"/>
      <c r="B345" s="7"/>
      <c r="C345" s="3"/>
      <c r="D345" s="4"/>
      <c r="E345" s="4"/>
      <c r="F345" s="5"/>
      <c r="G345" s="6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2">
      <c r="A346" s="1"/>
      <c r="B346" s="7"/>
      <c r="C346" s="3"/>
      <c r="D346" s="4"/>
      <c r="E346" s="4"/>
      <c r="F346" s="5"/>
      <c r="G346" s="6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2">
      <c r="A347" s="1"/>
      <c r="B347" s="7"/>
      <c r="C347" s="3"/>
      <c r="D347" s="4"/>
      <c r="E347" s="4"/>
      <c r="F347" s="5"/>
      <c r="G347" s="6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2">
      <c r="A348" s="1"/>
      <c r="B348" s="7"/>
      <c r="C348" s="3"/>
      <c r="D348" s="4"/>
      <c r="E348" s="4"/>
      <c r="F348" s="5"/>
      <c r="G348" s="6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2">
      <c r="A349" s="1"/>
      <c r="B349" s="7"/>
      <c r="C349" s="3"/>
      <c r="D349" s="4"/>
      <c r="E349" s="4"/>
      <c r="F349" s="5"/>
      <c r="G349" s="6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2">
      <c r="A350" s="1"/>
      <c r="B350" s="7"/>
      <c r="C350" s="3"/>
      <c r="D350" s="4"/>
      <c r="E350" s="4"/>
      <c r="F350" s="5"/>
      <c r="G350" s="6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2">
      <c r="A351" s="1"/>
      <c r="B351" s="7"/>
      <c r="C351" s="3"/>
      <c r="D351" s="4"/>
      <c r="E351" s="4"/>
      <c r="F351" s="5"/>
      <c r="G351" s="6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2">
      <c r="A352" s="1"/>
      <c r="B352" s="7"/>
      <c r="C352" s="3"/>
      <c r="D352" s="4"/>
      <c r="E352" s="4"/>
      <c r="F352" s="5"/>
      <c r="G352" s="6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2">
      <c r="A353" s="1"/>
      <c r="B353" s="7"/>
      <c r="C353" s="3"/>
      <c r="D353" s="4"/>
      <c r="E353" s="4"/>
      <c r="F353" s="5"/>
      <c r="G353" s="6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2">
      <c r="A354" s="1"/>
      <c r="B354" s="7"/>
      <c r="C354" s="3"/>
      <c r="D354" s="4"/>
      <c r="E354" s="4"/>
      <c r="F354" s="5"/>
      <c r="G354" s="6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2">
      <c r="A355" s="1"/>
      <c r="B355" s="7"/>
      <c r="C355" s="3"/>
      <c r="D355" s="4"/>
      <c r="E355" s="4"/>
      <c r="F355" s="5"/>
      <c r="G355" s="6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2">
      <c r="A356" s="1"/>
      <c r="B356" s="7"/>
      <c r="C356" s="3"/>
      <c r="D356" s="4"/>
      <c r="E356" s="4"/>
      <c r="F356" s="5"/>
      <c r="G356" s="6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2">
      <c r="A357" s="1"/>
      <c r="B357" s="7"/>
      <c r="C357" s="3"/>
      <c r="D357" s="4"/>
      <c r="E357" s="4"/>
      <c r="F357" s="5"/>
      <c r="G357" s="6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2">
      <c r="A358" s="1"/>
      <c r="B358" s="7"/>
      <c r="C358" s="3"/>
      <c r="D358" s="4"/>
      <c r="E358" s="4"/>
      <c r="F358" s="5"/>
      <c r="G358" s="6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2">
      <c r="A359" s="1"/>
      <c r="B359" s="7"/>
      <c r="C359" s="3"/>
      <c r="D359" s="4"/>
      <c r="E359" s="4"/>
      <c r="F359" s="5"/>
      <c r="G359" s="6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2">
      <c r="A360" s="1"/>
      <c r="B360" s="7"/>
      <c r="C360" s="3"/>
      <c r="D360" s="4"/>
      <c r="E360" s="4"/>
      <c r="F360" s="5"/>
      <c r="G360" s="6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2">
      <c r="A361" s="1"/>
      <c r="B361" s="7"/>
      <c r="C361" s="3"/>
      <c r="D361" s="4"/>
      <c r="E361" s="4"/>
      <c r="F361" s="5"/>
      <c r="G361" s="6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2">
      <c r="A362" s="1"/>
      <c r="B362" s="7"/>
      <c r="C362" s="3"/>
      <c r="D362" s="4"/>
      <c r="E362" s="4"/>
      <c r="F362" s="5"/>
      <c r="G362" s="6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2">
      <c r="A363" s="1"/>
      <c r="B363" s="7"/>
      <c r="C363" s="3"/>
      <c r="D363" s="4"/>
      <c r="E363" s="4"/>
      <c r="F363" s="5"/>
      <c r="G363" s="6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2">
      <c r="A364" s="1"/>
      <c r="B364" s="7"/>
      <c r="C364" s="3"/>
      <c r="D364" s="4"/>
      <c r="E364" s="4"/>
      <c r="F364" s="5"/>
      <c r="G364" s="6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2">
      <c r="A365" s="1"/>
      <c r="B365" s="7"/>
      <c r="C365" s="3"/>
      <c r="D365" s="4"/>
      <c r="E365" s="4"/>
      <c r="F365" s="5"/>
      <c r="G365" s="6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2">
      <c r="A366" s="1"/>
      <c r="B366" s="7"/>
      <c r="C366" s="3"/>
      <c r="D366" s="4"/>
      <c r="E366" s="4"/>
      <c r="F366" s="5"/>
      <c r="G366" s="6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2">
      <c r="A367" s="1"/>
      <c r="B367" s="7"/>
      <c r="C367" s="3"/>
      <c r="D367" s="4"/>
      <c r="E367" s="4"/>
      <c r="F367" s="5"/>
      <c r="G367" s="6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2">
      <c r="A368" s="1"/>
      <c r="B368" s="7"/>
      <c r="C368" s="3"/>
      <c r="D368" s="4"/>
      <c r="E368" s="4"/>
      <c r="F368" s="5"/>
      <c r="G368" s="6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2">
      <c r="A369" s="1"/>
      <c r="B369" s="7"/>
      <c r="C369" s="3"/>
      <c r="D369" s="4"/>
      <c r="E369" s="4"/>
      <c r="F369" s="5"/>
      <c r="G369" s="6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2">
      <c r="A370" s="1"/>
      <c r="B370" s="7"/>
      <c r="C370" s="3"/>
      <c r="D370" s="4"/>
      <c r="E370" s="4"/>
      <c r="F370" s="5"/>
      <c r="G370" s="6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2">
      <c r="A371" s="1"/>
      <c r="B371" s="7"/>
      <c r="C371" s="3"/>
      <c r="D371" s="4"/>
      <c r="E371" s="4"/>
      <c r="F371" s="5"/>
      <c r="G371" s="6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2">
      <c r="A372" s="1"/>
      <c r="B372" s="7"/>
      <c r="C372" s="3"/>
      <c r="D372" s="4"/>
      <c r="E372" s="4"/>
      <c r="F372" s="5"/>
      <c r="G372" s="6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2">
      <c r="A373" s="1"/>
      <c r="B373" s="7"/>
      <c r="C373" s="3"/>
      <c r="D373" s="4"/>
      <c r="E373" s="4"/>
      <c r="F373" s="5"/>
      <c r="G373" s="6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2">
      <c r="A374" s="1"/>
      <c r="B374" s="7"/>
      <c r="C374" s="3"/>
      <c r="D374" s="4"/>
      <c r="E374" s="4"/>
      <c r="F374" s="5"/>
      <c r="G374" s="6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2">
      <c r="A375" s="1"/>
      <c r="B375" s="7"/>
      <c r="C375" s="3"/>
      <c r="D375" s="4"/>
      <c r="E375" s="4"/>
      <c r="F375" s="5"/>
      <c r="G375" s="6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2">
      <c r="A376" s="1"/>
      <c r="B376" s="7"/>
      <c r="C376" s="3"/>
      <c r="D376" s="4"/>
      <c r="E376" s="4"/>
      <c r="F376" s="5"/>
      <c r="G376" s="6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2">
      <c r="A377" s="1"/>
      <c r="B377" s="7"/>
      <c r="C377" s="3"/>
      <c r="D377" s="4"/>
      <c r="E377" s="4"/>
      <c r="F377" s="5"/>
      <c r="G377" s="6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2">
      <c r="A378" s="1"/>
      <c r="B378" s="7"/>
      <c r="C378" s="3"/>
      <c r="D378" s="4"/>
      <c r="E378" s="4"/>
      <c r="F378" s="5"/>
      <c r="G378" s="6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2">
      <c r="A379" s="1"/>
      <c r="B379" s="7"/>
      <c r="C379" s="3"/>
      <c r="D379" s="4"/>
      <c r="E379" s="4"/>
      <c r="F379" s="5"/>
      <c r="G379" s="6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2">
      <c r="A380" s="1"/>
      <c r="B380" s="7"/>
      <c r="C380" s="3"/>
      <c r="D380" s="4"/>
      <c r="E380" s="4"/>
      <c r="F380" s="5"/>
      <c r="G380" s="6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2">
      <c r="A381" s="1"/>
      <c r="B381" s="7"/>
      <c r="C381" s="3"/>
      <c r="D381" s="4"/>
      <c r="E381" s="4"/>
      <c r="F381" s="5"/>
      <c r="G381" s="6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2">
      <c r="A382" s="1"/>
      <c r="B382" s="7"/>
      <c r="C382" s="3"/>
      <c r="D382" s="4"/>
      <c r="E382" s="4"/>
      <c r="F382" s="5"/>
      <c r="G382" s="6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2">
      <c r="A383" s="1"/>
      <c r="B383" s="7"/>
      <c r="C383" s="3"/>
      <c r="D383" s="4"/>
      <c r="E383" s="4"/>
      <c r="F383" s="5"/>
      <c r="G383" s="6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2">
      <c r="A384" s="1"/>
      <c r="B384" s="7"/>
      <c r="C384" s="3"/>
      <c r="D384" s="4"/>
      <c r="E384" s="4"/>
      <c r="F384" s="5"/>
      <c r="G384" s="6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2">
      <c r="A385" s="1"/>
      <c r="B385" s="7"/>
      <c r="C385" s="3"/>
      <c r="D385" s="4"/>
      <c r="E385" s="4"/>
      <c r="F385" s="5"/>
      <c r="G385" s="6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2">
      <c r="A386" s="1"/>
      <c r="B386" s="7"/>
      <c r="C386" s="3"/>
      <c r="D386" s="4"/>
      <c r="E386" s="4"/>
      <c r="F386" s="5"/>
      <c r="G386" s="6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2">
      <c r="A387" s="1"/>
      <c r="B387" s="7"/>
      <c r="C387" s="3"/>
      <c r="D387" s="4"/>
      <c r="E387" s="4"/>
      <c r="F387" s="5"/>
      <c r="G387" s="6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2">
      <c r="A388" s="1"/>
      <c r="B388" s="7"/>
      <c r="C388" s="3"/>
      <c r="D388" s="4"/>
      <c r="E388" s="4"/>
      <c r="F388" s="5"/>
      <c r="G388" s="6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2">
      <c r="A389" s="1"/>
      <c r="B389" s="7"/>
      <c r="C389" s="3"/>
      <c r="D389" s="4"/>
      <c r="E389" s="4"/>
      <c r="F389" s="5"/>
      <c r="G389" s="6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2">
      <c r="A390" s="1"/>
      <c r="B390" s="7"/>
      <c r="C390" s="3"/>
      <c r="D390" s="4"/>
      <c r="E390" s="4"/>
      <c r="F390" s="5"/>
      <c r="G390" s="6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2">
      <c r="A391" s="1"/>
      <c r="B391" s="7"/>
      <c r="C391" s="3"/>
      <c r="D391" s="4"/>
      <c r="E391" s="4"/>
      <c r="F391" s="5"/>
      <c r="G391" s="6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2">
      <c r="A392" s="1"/>
      <c r="B392" s="7"/>
      <c r="C392" s="3"/>
      <c r="D392" s="4"/>
      <c r="E392" s="4"/>
      <c r="F392" s="5"/>
      <c r="G392" s="6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2">
      <c r="A393" s="1"/>
      <c r="B393" s="7"/>
      <c r="C393" s="3"/>
      <c r="D393" s="4"/>
      <c r="E393" s="4"/>
      <c r="F393" s="5"/>
      <c r="G393" s="6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2">
      <c r="A394" s="1"/>
      <c r="B394" s="7"/>
      <c r="C394" s="3"/>
      <c r="D394" s="4"/>
      <c r="E394" s="4"/>
      <c r="F394" s="5"/>
      <c r="G394" s="6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2">
      <c r="A395" s="1"/>
      <c r="B395" s="7"/>
      <c r="C395" s="3"/>
      <c r="D395" s="4"/>
      <c r="E395" s="4"/>
      <c r="F395" s="5"/>
      <c r="G395" s="6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2">
      <c r="A396" s="1"/>
      <c r="B396" s="7"/>
      <c r="C396" s="3"/>
      <c r="D396" s="4"/>
      <c r="E396" s="4"/>
      <c r="F396" s="5"/>
      <c r="G396" s="6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2">
      <c r="A397" s="1"/>
      <c r="B397" s="7"/>
      <c r="C397" s="3"/>
      <c r="D397" s="4"/>
      <c r="E397" s="4"/>
      <c r="F397" s="5"/>
      <c r="G397" s="6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2">
      <c r="A398" s="1"/>
      <c r="B398" s="7"/>
      <c r="C398" s="3"/>
      <c r="D398" s="4"/>
      <c r="E398" s="4"/>
      <c r="F398" s="5"/>
      <c r="G398" s="6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2">
      <c r="A399" s="1"/>
      <c r="B399" s="7"/>
      <c r="C399" s="3"/>
      <c r="D399" s="4"/>
      <c r="E399" s="4"/>
      <c r="F399" s="5"/>
      <c r="G399" s="6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2">
      <c r="A400" s="1"/>
      <c r="B400" s="7"/>
      <c r="C400" s="3"/>
      <c r="D400" s="4"/>
      <c r="E400" s="4"/>
      <c r="F400" s="5"/>
      <c r="G400" s="6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2">
      <c r="A401" s="1"/>
      <c r="B401" s="7"/>
      <c r="C401" s="3"/>
      <c r="D401" s="4"/>
      <c r="E401" s="4"/>
      <c r="F401" s="5"/>
      <c r="G401" s="6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2">
      <c r="A402" s="1"/>
      <c r="B402" s="7"/>
      <c r="C402" s="3"/>
      <c r="D402" s="4"/>
      <c r="E402" s="4"/>
      <c r="F402" s="5"/>
      <c r="G402" s="6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2">
      <c r="A403" s="1"/>
      <c r="B403" s="7"/>
      <c r="C403" s="3"/>
      <c r="D403" s="4"/>
      <c r="E403" s="4"/>
      <c r="F403" s="5"/>
      <c r="G403" s="6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2">
      <c r="A404" s="1"/>
      <c r="B404" s="7"/>
      <c r="C404" s="3"/>
      <c r="D404" s="4"/>
      <c r="E404" s="4"/>
      <c r="F404" s="5"/>
      <c r="G404" s="6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2">
      <c r="A405" s="1"/>
      <c r="B405" s="7"/>
      <c r="C405" s="3"/>
      <c r="D405" s="4"/>
      <c r="E405" s="4"/>
      <c r="F405" s="5"/>
      <c r="G405" s="6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2">
      <c r="A406" s="1"/>
      <c r="B406" s="7"/>
      <c r="C406" s="3"/>
      <c r="D406" s="4"/>
      <c r="E406" s="4"/>
      <c r="F406" s="5"/>
      <c r="G406" s="6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2">
      <c r="A407" s="1"/>
      <c r="B407" s="7"/>
      <c r="C407" s="3"/>
      <c r="D407" s="4"/>
      <c r="E407" s="4"/>
      <c r="F407" s="5"/>
      <c r="G407" s="6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2">
      <c r="A408" s="1"/>
      <c r="B408" s="7"/>
      <c r="C408" s="3"/>
      <c r="D408" s="4"/>
      <c r="E408" s="4"/>
      <c r="F408" s="5"/>
      <c r="G408" s="6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2">
      <c r="A409" s="1"/>
      <c r="B409" s="7"/>
      <c r="C409" s="3"/>
      <c r="D409" s="4"/>
      <c r="E409" s="4"/>
      <c r="F409" s="5"/>
      <c r="G409" s="6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2">
      <c r="A410" s="1"/>
      <c r="B410" s="7"/>
      <c r="C410" s="3"/>
      <c r="D410" s="4"/>
      <c r="E410" s="4"/>
      <c r="F410" s="5"/>
      <c r="G410" s="6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2">
      <c r="A411" s="1"/>
      <c r="B411" s="7"/>
      <c r="C411" s="3"/>
      <c r="D411" s="4"/>
      <c r="E411" s="4"/>
      <c r="F411" s="5"/>
      <c r="G411" s="6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2">
      <c r="A412" s="1"/>
      <c r="B412" s="7"/>
      <c r="C412" s="3"/>
      <c r="D412" s="4"/>
      <c r="E412" s="4"/>
      <c r="F412" s="5"/>
      <c r="G412" s="6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2">
      <c r="A413" s="1"/>
      <c r="B413" s="7"/>
      <c r="C413" s="3"/>
      <c r="D413" s="4"/>
      <c r="E413" s="4"/>
      <c r="F413" s="5"/>
      <c r="G413" s="6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2">
      <c r="A414" s="1"/>
      <c r="B414" s="7"/>
      <c r="C414" s="3"/>
      <c r="D414" s="4"/>
      <c r="E414" s="4"/>
      <c r="F414" s="5"/>
      <c r="G414" s="6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2">
      <c r="A415" s="1"/>
      <c r="B415" s="7"/>
      <c r="C415" s="3"/>
      <c r="D415" s="4"/>
      <c r="E415" s="4"/>
      <c r="F415" s="5"/>
      <c r="G415" s="6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2">
      <c r="A416" s="1"/>
      <c r="B416" s="7"/>
      <c r="C416" s="3"/>
      <c r="D416" s="4"/>
      <c r="E416" s="4"/>
      <c r="F416" s="5"/>
      <c r="G416" s="6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2">
      <c r="A417" s="1"/>
      <c r="B417" s="7"/>
      <c r="C417" s="3"/>
      <c r="D417" s="4"/>
      <c r="E417" s="4"/>
      <c r="F417" s="5"/>
      <c r="G417" s="6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2">
      <c r="A418" s="1"/>
      <c r="B418" s="7"/>
      <c r="C418" s="3"/>
      <c r="D418" s="4"/>
      <c r="E418" s="4"/>
      <c r="F418" s="5"/>
      <c r="G418" s="6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2">
      <c r="A419" s="1"/>
      <c r="B419" s="7"/>
      <c r="C419" s="3"/>
      <c r="D419" s="4"/>
      <c r="E419" s="4"/>
      <c r="F419" s="5"/>
      <c r="G419" s="6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2">
      <c r="A420" s="1"/>
      <c r="B420" s="7"/>
      <c r="C420" s="3"/>
      <c r="D420" s="4"/>
      <c r="E420" s="4"/>
      <c r="F420" s="5"/>
      <c r="G420" s="6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2">
      <c r="A421" s="1"/>
      <c r="B421" s="7"/>
      <c r="C421" s="3"/>
      <c r="D421" s="4"/>
      <c r="E421" s="4"/>
      <c r="F421" s="5"/>
      <c r="G421" s="6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2">
      <c r="A422" s="1"/>
      <c r="B422" s="7"/>
      <c r="C422" s="3"/>
      <c r="D422" s="4"/>
      <c r="E422" s="4"/>
      <c r="F422" s="5"/>
      <c r="G422" s="6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2">
      <c r="A423" s="1"/>
      <c r="B423" s="7"/>
      <c r="C423" s="3"/>
      <c r="D423" s="4"/>
      <c r="E423" s="4"/>
      <c r="F423" s="5"/>
      <c r="G423" s="6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2">
      <c r="A424" s="1"/>
      <c r="B424" s="7"/>
      <c r="C424" s="3"/>
      <c r="D424" s="4"/>
      <c r="E424" s="4"/>
      <c r="F424" s="5"/>
      <c r="G424" s="6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2">
      <c r="A425" s="1"/>
      <c r="B425" s="7"/>
      <c r="C425" s="3"/>
      <c r="D425" s="4"/>
      <c r="E425" s="4"/>
      <c r="F425" s="5"/>
      <c r="G425" s="6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2">
      <c r="A426" s="1"/>
      <c r="B426" s="7"/>
      <c r="C426" s="3"/>
      <c r="D426" s="4"/>
      <c r="E426" s="4"/>
      <c r="F426" s="5"/>
      <c r="G426" s="6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2">
      <c r="A427" s="1"/>
      <c r="B427" s="7"/>
      <c r="C427" s="3"/>
      <c r="D427" s="4"/>
      <c r="E427" s="4"/>
      <c r="F427" s="5"/>
      <c r="G427" s="6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2">
      <c r="A428" s="1"/>
      <c r="B428" s="7"/>
      <c r="C428" s="3"/>
      <c r="D428" s="4"/>
      <c r="E428" s="4"/>
      <c r="F428" s="5"/>
      <c r="G428" s="6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2">
      <c r="A429" s="1"/>
      <c r="B429" s="7"/>
      <c r="C429" s="3"/>
      <c r="D429" s="4"/>
      <c r="E429" s="4"/>
      <c r="F429" s="5"/>
      <c r="G429" s="6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2">
      <c r="A430" s="1"/>
      <c r="B430" s="7"/>
      <c r="C430" s="3"/>
      <c r="D430" s="4"/>
      <c r="E430" s="4"/>
      <c r="F430" s="5"/>
      <c r="G430" s="6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2">
      <c r="A431" s="1"/>
      <c r="B431" s="7"/>
      <c r="C431" s="3"/>
      <c r="D431" s="4"/>
      <c r="E431" s="4"/>
      <c r="F431" s="5"/>
      <c r="G431" s="6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2">
      <c r="A432" s="1"/>
      <c r="B432" s="7"/>
      <c r="C432" s="3"/>
      <c r="D432" s="4"/>
      <c r="E432" s="4"/>
      <c r="F432" s="5"/>
      <c r="G432" s="6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2">
      <c r="A433" s="1"/>
      <c r="B433" s="7"/>
      <c r="C433" s="3"/>
      <c r="D433" s="4"/>
      <c r="E433" s="4"/>
      <c r="F433" s="5"/>
      <c r="G433" s="6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2">
      <c r="A434" s="1"/>
      <c r="B434" s="7"/>
      <c r="C434" s="3"/>
      <c r="D434" s="4"/>
      <c r="E434" s="4"/>
      <c r="F434" s="5"/>
      <c r="G434" s="6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2">
      <c r="A435" s="1"/>
      <c r="B435" s="7"/>
      <c r="C435" s="3"/>
      <c r="D435" s="4"/>
      <c r="E435" s="4"/>
      <c r="F435" s="5"/>
      <c r="G435" s="6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2">
      <c r="A436" s="1"/>
      <c r="B436" s="7"/>
      <c r="C436" s="3"/>
      <c r="D436" s="4"/>
      <c r="E436" s="4"/>
      <c r="F436" s="5"/>
      <c r="G436" s="6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2">
      <c r="A437" s="1"/>
      <c r="B437" s="7"/>
      <c r="C437" s="3"/>
      <c r="D437" s="4"/>
      <c r="E437" s="4"/>
      <c r="F437" s="5"/>
      <c r="G437" s="6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2">
      <c r="A438" s="1"/>
      <c r="B438" s="7"/>
      <c r="C438" s="3"/>
      <c r="D438" s="4"/>
      <c r="E438" s="4"/>
      <c r="F438" s="5"/>
      <c r="G438" s="6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2">
      <c r="A439" s="1"/>
      <c r="B439" s="7"/>
      <c r="C439" s="3"/>
      <c r="D439" s="4"/>
      <c r="E439" s="4"/>
      <c r="F439" s="5"/>
      <c r="G439" s="6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2">
      <c r="A440" s="1"/>
      <c r="B440" s="7"/>
      <c r="C440" s="3"/>
      <c r="D440" s="4"/>
      <c r="E440" s="4"/>
      <c r="F440" s="5"/>
      <c r="G440" s="6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2">
      <c r="A441" s="1"/>
      <c r="B441" s="7"/>
      <c r="C441" s="3"/>
      <c r="D441" s="4"/>
      <c r="E441" s="4"/>
      <c r="F441" s="5"/>
      <c r="G441" s="6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2">
      <c r="A442" s="1"/>
      <c r="B442" s="7"/>
      <c r="C442" s="3"/>
      <c r="D442" s="4"/>
      <c r="E442" s="4"/>
      <c r="F442" s="5"/>
      <c r="G442" s="6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2">
      <c r="A443" s="1"/>
      <c r="B443" s="7"/>
      <c r="C443" s="3"/>
      <c r="D443" s="4"/>
      <c r="E443" s="4"/>
      <c r="F443" s="5"/>
      <c r="G443" s="6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2">
      <c r="A444" s="1"/>
      <c r="B444" s="7"/>
      <c r="C444" s="3"/>
      <c r="D444" s="4"/>
      <c r="E444" s="4"/>
      <c r="F444" s="5"/>
      <c r="G444" s="6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2">
      <c r="A445" s="1"/>
      <c r="B445" s="7"/>
      <c r="C445" s="3"/>
      <c r="D445" s="4"/>
      <c r="E445" s="4"/>
      <c r="F445" s="5"/>
      <c r="G445" s="6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2">
      <c r="A446" s="1"/>
      <c r="B446" s="7"/>
      <c r="C446" s="3"/>
      <c r="D446" s="4"/>
      <c r="E446" s="4"/>
      <c r="F446" s="5"/>
      <c r="G446" s="6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2">
      <c r="A447" s="1"/>
      <c r="B447" s="7"/>
      <c r="C447" s="3"/>
      <c r="D447" s="4"/>
      <c r="E447" s="4"/>
      <c r="F447" s="5"/>
      <c r="G447" s="6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2">
      <c r="A448" s="1"/>
      <c r="B448" s="7"/>
      <c r="C448" s="3"/>
      <c r="D448" s="4"/>
      <c r="E448" s="4"/>
      <c r="F448" s="5"/>
      <c r="G448" s="6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2">
      <c r="A449" s="1"/>
      <c r="B449" s="7"/>
      <c r="C449" s="3"/>
      <c r="D449" s="4"/>
      <c r="E449" s="4"/>
      <c r="F449" s="5"/>
      <c r="G449" s="6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2">
      <c r="A450" s="1"/>
      <c r="B450" s="7"/>
      <c r="C450" s="3"/>
      <c r="D450" s="4"/>
      <c r="E450" s="4"/>
      <c r="F450" s="5"/>
      <c r="G450" s="6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2">
      <c r="A451" s="1"/>
      <c r="B451" s="7"/>
      <c r="C451" s="3"/>
      <c r="D451" s="4"/>
      <c r="E451" s="4"/>
      <c r="F451" s="5"/>
      <c r="G451" s="6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2">
      <c r="A452" s="1"/>
      <c r="B452" s="7"/>
      <c r="C452" s="3"/>
      <c r="D452" s="4"/>
      <c r="E452" s="4"/>
      <c r="F452" s="5"/>
      <c r="G452" s="6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2">
      <c r="A453" s="1"/>
      <c r="B453" s="7"/>
      <c r="C453" s="3"/>
      <c r="D453" s="4"/>
      <c r="E453" s="4"/>
      <c r="F453" s="5"/>
      <c r="G453" s="6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2">
      <c r="A454" s="1"/>
      <c r="B454" s="7"/>
      <c r="C454" s="3"/>
      <c r="D454" s="4"/>
      <c r="E454" s="4"/>
      <c r="F454" s="5"/>
      <c r="G454" s="6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2">
      <c r="A455" s="1"/>
      <c r="B455" s="7"/>
      <c r="C455" s="3"/>
      <c r="D455" s="4"/>
      <c r="E455" s="4"/>
      <c r="F455" s="5"/>
      <c r="G455" s="6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2">
      <c r="A456" s="1"/>
      <c r="B456" s="7"/>
      <c r="C456" s="3"/>
      <c r="D456" s="4"/>
      <c r="E456" s="4"/>
      <c r="F456" s="5"/>
      <c r="G456" s="6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2">
      <c r="A457" s="1"/>
      <c r="B457" s="7"/>
      <c r="C457" s="3"/>
      <c r="D457" s="4"/>
      <c r="E457" s="4"/>
      <c r="F457" s="5"/>
      <c r="G457" s="6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2">
      <c r="A458" s="1"/>
      <c r="B458" s="7"/>
      <c r="C458" s="3"/>
      <c r="D458" s="4"/>
      <c r="E458" s="4"/>
      <c r="F458" s="5"/>
      <c r="G458" s="6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2">
      <c r="A459" s="1"/>
      <c r="B459" s="7"/>
      <c r="C459" s="3"/>
      <c r="D459" s="4"/>
      <c r="E459" s="4"/>
      <c r="F459" s="5"/>
      <c r="G459" s="6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2">
      <c r="A460" s="1"/>
      <c r="B460" s="7"/>
      <c r="C460" s="3"/>
      <c r="D460" s="4"/>
      <c r="E460" s="4"/>
      <c r="F460" s="5"/>
      <c r="G460" s="6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2">
      <c r="A461" s="1"/>
      <c r="B461" s="7"/>
      <c r="C461" s="3"/>
      <c r="D461" s="4"/>
      <c r="E461" s="4"/>
      <c r="F461" s="5"/>
      <c r="G461" s="6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2">
      <c r="A462" s="1"/>
      <c r="B462" s="7"/>
      <c r="C462" s="3"/>
      <c r="D462" s="4"/>
      <c r="E462" s="4"/>
      <c r="F462" s="5"/>
      <c r="G462" s="6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2">
      <c r="A463" s="1"/>
      <c r="B463" s="7"/>
      <c r="C463" s="3"/>
      <c r="D463" s="4"/>
      <c r="E463" s="4"/>
      <c r="F463" s="5"/>
      <c r="G463" s="6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2">
      <c r="A464" s="1"/>
      <c r="B464" s="7"/>
      <c r="C464" s="3"/>
      <c r="D464" s="4"/>
      <c r="E464" s="4"/>
      <c r="F464" s="5"/>
      <c r="G464" s="6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2">
      <c r="A465" s="1"/>
      <c r="B465" s="7"/>
      <c r="C465" s="3"/>
      <c r="D465" s="4"/>
      <c r="E465" s="4"/>
      <c r="F465" s="5"/>
      <c r="G465" s="6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2">
      <c r="A466" s="1"/>
      <c r="B466" s="7"/>
      <c r="C466" s="3"/>
      <c r="D466" s="4"/>
      <c r="E466" s="4"/>
      <c r="F466" s="5"/>
      <c r="G466" s="6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2">
      <c r="A467" s="1"/>
      <c r="B467" s="7"/>
      <c r="C467" s="3"/>
      <c r="D467" s="4"/>
      <c r="E467" s="4"/>
      <c r="F467" s="5"/>
      <c r="G467" s="6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2">
      <c r="A468" s="1"/>
      <c r="B468" s="7"/>
      <c r="C468" s="3"/>
      <c r="D468" s="4"/>
      <c r="E468" s="4"/>
      <c r="F468" s="5"/>
      <c r="G468" s="6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2">
      <c r="A469" s="1"/>
      <c r="B469" s="7"/>
      <c r="C469" s="3"/>
      <c r="D469" s="4"/>
      <c r="E469" s="4"/>
      <c r="F469" s="5"/>
      <c r="G469" s="6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2">
      <c r="A470" s="1"/>
      <c r="B470" s="7"/>
      <c r="C470" s="3"/>
      <c r="D470" s="4"/>
      <c r="E470" s="4"/>
      <c r="F470" s="5"/>
      <c r="G470" s="6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2">
      <c r="A471" s="1"/>
      <c r="B471" s="7"/>
      <c r="C471" s="3"/>
      <c r="D471" s="4"/>
      <c r="E471" s="4"/>
      <c r="F471" s="5"/>
      <c r="G471" s="6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2">
      <c r="A472" s="1"/>
      <c r="B472" s="7"/>
      <c r="C472" s="3"/>
      <c r="D472" s="4"/>
      <c r="E472" s="4"/>
      <c r="F472" s="5"/>
      <c r="G472" s="6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2">
      <c r="A473" s="1"/>
      <c r="B473" s="7"/>
      <c r="C473" s="3"/>
      <c r="D473" s="4"/>
      <c r="E473" s="4"/>
      <c r="F473" s="5"/>
      <c r="G473" s="6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2">
      <c r="A474" s="1"/>
      <c r="B474" s="7"/>
      <c r="C474" s="3"/>
      <c r="D474" s="4"/>
      <c r="E474" s="4"/>
      <c r="F474" s="5"/>
      <c r="G474" s="6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2">
      <c r="A475" s="1"/>
      <c r="B475" s="7"/>
      <c r="C475" s="3"/>
      <c r="D475" s="4"/>
      <c r="E475" s="4"/>
      <c r="F475" s="5"/>
      <c r="G475" s="6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2">
      <c r="A476" s="1"/>
      <c r="B476" s="7"/>
      <c r="C476" s="3"/>
      <c r="D476" s="4"/>
      <c r="E476" s="4"/>
      <c r="F476" s="5"/>
      <c r="G476" s="6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2">
      <c r="A477" s="1"/>
      <c r="B477" s="7"/>
      <c r="C477" s="3"/>
      <c r="D477" s="4"/>
      <c r="E477" s="4"/>
      <c r="F477" s="5"/>
      <c r="G477" s="6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2">
      <c r="A478" s="1"/>
      <c r="B478" s="7"/>
      <c r="C478" s="3"/>
      <c r="D478" s="4"/>
      <c r="E478" s="4"/>
      <c r="F478" s="5"/>
      <c r="G478" s="6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2">
      <c r="A479" s="1"/>
      <c r="B479" s="7"/>
      <c r="C479" s="3"/>
      <c r="D479" s="4"/>
      <c r="E479" s="4"/>
      <c r="F479" s="5"/>
      <c r="G479" s="6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2">
      <c r="A480" s="1"/>
      <c r="B480" s="7"/>
      <c r="C480" s="3"/>
      <c r="D480" s="4"/>
      <c r="E480" s="4"/>
      <c r="F480" s="5"/>
      <c r="G480" s="6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2">
      <c r="A481" s="1"/>
      <c r="B481" s="7"/>
      <c r="C481" s="3"/>
      <c r="D481" s="4"/>
      <c r="E481" s="4"/>
      <c r="F481" s="5"/>
      <c r="G481" s="6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2">
      <c r="A482" s="1"/>
      <c r="B482" s="7"/>
      <c r="C482" s="3"/>
      <c r="D482" s="4"/>
      <c r="E482" s="4"/>
      <c r="F482" s="5"/>
      <c r="G482" s="6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2">
      <c r="A483" s="1"/>
      <c r="B483" s="7"/>
      <c r="C483" s="3"/>
      <c r="D483" s="4"/>
      <c r="E483" s="4"/>
      <c r="F483" s="5"/>
      <c r="G483" s="6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2">
      <c r="A484" s="1"/>
      <c r="B484" s="7"/>
      <c r="C484" s="3"/>
      <c r="D484" s="4"/>
      <c r="E484" s="4"/>
      <c r="F484" s="5"/>
      <c r="G484" s="6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2">
      <c r="A485" s="1"/>
      <c r="B485" s="7"/>
      <c r="C485" s="3"/>
      <c r="D485" s="4"/>
      <c r="E485" s="4"/>
      <c r="F485" s="5"/>
      <c r="G485" s="6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2">
      <c r="A486" s="1"/>
      <c r="B486" s="7"/>
      <c r="C486" s="3"/>
      <c r="D486" s="4"/>
      <c r="E486" s="4"/>
      <c r="F486" s="5"/>
      <c r="G486" s="6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2">
      <c r="A487" s="1"/>
      <c r="B487" s="7"/>
      <c r="C487" s="3"/>
      <c r="D487" s="4"/>
      <c r="E487" s="4"/>
      <c r="F487" s="5"/>
      <c r="G487" s="6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2">
      <c r="A488" s="1"/>
      <c r="B488" s="7"/>
      <c r="C488" s="3"/>
      <c r="D488" s="4"/>
      <c r="E488" s="4"/>
      <c r="F488" s="5"/>
      <c r="G488" s="6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2">
      <c r="A489" s="1"/>
      <c r="B489" s="7"/>
      <c r="C489" s="3"/>
      <c r="D489" s="4"/>
      <c r="E489" s="4"/>
      <c r="F489" s="5"/>
      <c r="G489" s="6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2">
      <c r="A490" s="1"/>
      <c r="B490" s="7"/>
      <c r="C490" s="3"/>
      <c r="D490" s="4"/>
      <c r="E490" s="4"/>
      <c r="F490" s="5"/>
      <c r="G490" s="6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2">
      <c r="A491" s="1"/>
      <c r="B491" s="7"/>
      <c r="C491" s="3"/>
      <c r="D491" s="4"/>
      <c r="E491" s="4"/>
      <c r="F491" s="5"/>
      <c r="G491" s="6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2">
      <c r="A492" s="1"/>
      <c r="B492" s="7"/>
      <c r="C492" s="3"/>
      <c r="D492" s="4"/>
      <c r="E492" s="4"/>
      <c r="F492" s="5"/>
      <c r="G492" s="6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2">
      <c r="A493" s="1"/>
      <c r="B493" s="7"/>
      <c r="C493" s="3"/>
      <c r="D493" s="4"/>
      <c r="E493" s="4"/>
      <c r="F493" s="5"/>
      <c r="G493" s="6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2">
      <c r="A494" s="1"/>
      <c r="B494" s="7"/>
      <c r="C494" s="3"/>
      <c r="D494" s="4"/>
      <c r="E494" s="4"/>
      <c r="F494" s="5"/>
      <c r="G494" s="6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2">
      <c r="A495" s="1"/>
      <c r="B495" s="7"/>
      <c r="C495" s="3"/>
      <c r="D495" s="4"/>
      <c r="E495" s="4"/>
      <c r="F495" s="5"/>
      <c r="G495" s="6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2">
      <c r="A496" s="1"/>
      <c r="B496" s="7"/>
      <c r="C496" s="3"/>
      <c r="D496" s="4"/>
      <c r="E496" s="4"/>
      <c r="F496" s="5"/>
      <c r="G496" s="6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2">
      <c r="A497" s="1"/>
      <c r="B497" s="7"/>
      <c r="C497" s="3"/>
      <c r="D497" s="4"/>
      <c r="E497" s="4"/>
      <c r="F497" s="5"/>
      <c r="G497" s="6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2">
      <c r="A498" s="1"/>
      <c r="B498" s="7"/>
      <c r="C498" s="3"/>
      <c r="D498" s="4"/>
      <c r="E498" s="4"/>
      <c r="F498" s="5"/>
      <c r="G498" s="6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2">
      <c r="A499" s="1"/>
      <c r="B499" s="7"/>
      <c r="C499" s="3"/>
      <c r="D499" s="4"/>
      <c r="E499" s="4"/>
      <c r="F499" s="5"/>
      <c r="G499" s="6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2">
      <c r="A500" s="1"/>
      <c r="B500" s="7"/>
      <c r="C500" s="3"/>
      <c r="D500" s="4"/>
      <c r="E500" s="4"/>
      <c r="F500" s="5"/>
      <c r="G500" s="6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2">
      <c r="A501" s="1"/>
      <c r="B501" s="7"/>
      <c r="C501" s="3"/>
      <c r="D501" s="4"/>
      <c r="E501" s="4"/>
      <c r="F501" s="5"/>
      <c r="G501" s="6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2">
      <c r="A502" s="1"/>
      <c r="B502" s="7"/>
      <c r="C502" s="3"/>
      <c r="D502" s="4"/>
      <c r="E502" s="4"/>
      <c r="F502" s="5"/>
      <c r="G502" s="6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2">
      <c r="A503" s="1"/>
      <c r="B503" s="7"/>
      <c r="C503" s="3"/>
      <c r="D503" s="4"/>
      <c r="E503" s="4"/>
      <c r="F503" s="5"/>
      <c r="G503" s="6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2">
      <c r="A504" s="1"/>
      <c r="B504" s="7"/>
      <c r="C504" s="3"/>
      <c r="D504" s="4"/>
      <c r="E504" s="4"/>
      <c r="F504" s="5"/>
      <c r="G504" s="6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2">
      <c r="A505" s="1"/>
      <c r="B505" s="7"/>
      <c r="C505" s="3"/>
      <c r="D505" s="4"/>
      <c r="E505" s="4"/>
      <c r="F505" s="5"/>
      <c r="G505" s="6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2">
      <c r="A506" s="1"/>
      <c r="B506" s="7"/>
      <c r="C506" s="3"/>
      <c r="D506" s="4"/>
      <c r="E506" s="4"/>
      <c r="F506" s="5"/>
      <c r="G506" s="6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2">
      <c r="A507" s="1"/>
      <c r="B507" s="7"/>
      <c r="C507" s="3"/>
      <c r="D507" s="4"/>
      <c r="E507" s="4"/>
      <c r="F507" s="5"/>
      <c r="G507" s="6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2">
      <c r="A508" s="1"/>
      <c r="B508" s="7"/>
      <c r="C508" s="3"/>
      <c r="D508" s="4"/>
      <c r="E508" s="4"/>
      <c r="F508" s="5"/>
      <c r="G508" s="6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2">
      <c r="A509" s="1"/>
      <c r="B509" s="7"/>
      <c r="C509" s="3"/>
      <c r="D509" s="4"/>
      <c r="E509" s="4"/>
      <c r="F509" s="5"/>
      <c r="G509" s="6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2">
      <c r="A510" s="1"/>
      <c r="B510" s="7"/>
      <c r="C510" s="3"/>
      <c r="D510" s="4"/>
      <c r="E510" s="4"/>
      <c r="F510" s="5"/>
      <c r="G510" s="6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2">
      <c r="A511" s="1"/>
      <c r="B511" s="7"/>
      <c r="C511" s="3"/>
      <c r="D511" s="4"/>
      <c r="E511" s="4"/>
      <c r="F511" s="5"/>
      <c r="G511" s="6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2">
      <c r="A512" s="1"/>
      <c r="B512" s="7"/>
      <c r="C512" s="3"/>
      <c r="D512" s="4"/>
      <c r="E512" s="4"/>
      <c r="F512" s="5"/>
      <c r="G512" s="6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2">
      <c r="A513" s="1"/>
      <c r="B513" s="7"/>
      <c r="C513" s="3"/>
      <c r="D513" s="4"/>
      <c r="E513" s="4"/>
      <c r="F513" s="5"/>
      <c r="G513" s="6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2">
      <c r="A514" s="1"/>
      <c r="B514" s="7"/>
      <c r="C514" s="3"/>
      <c r="D514" s="4"/>
      <c r="E514" s="4"/>
      <c r="F514" s="5"/>
      <c r="G514" s="6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2">
      <c r="A515" s="1"/>
      <c r="B515" s="7"/>
      <c r="C515" s="3"/>
      <c r="D515" s="4"/>
      <c r="E515" s="4"/>
      <c r="F515" s="5"/>
      <c r="G515" s="6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2">
      <c r="A516" s="1"/>
      <c r="B516" s="7"/>
      <c r="C516" s="3"/>
      <c r="D516" s="4"/>
      <c r="E516" s="4"/>
      <c r="F516" s="5"/>
      <c r="G516" s="6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2">
      <c r="A517" s="1"/>
      <c r="B517" s="7"/>
      <c r="C517" s="3"/>
      <c r="D517" s="4"/>
      <c r="E517" s="4"/>
      <c r="F517" s="5"/>
      <c r="G517" s="6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2">
      <c r="A518" s="1"/>
      <c r="B518" s="7"/>
      <c r="C518" s="3"/>
      <c r="D518" s="4"/>
      <c r="E518" s="4"/>
      <c r="F518" s="5"/>
      <c r="G518" s="6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2">
      <c r="A519" s="1"/>
      <c r="B519" s="7"/>
      <c r="C519" s="3"/>
      <c r="D519" s="4"/>
      <c r="E519" s="4"/>
      <c r="F519" s="5"/>
      <c r="G519" s="6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2">
      <c r="A520" s="1"/>
      <c r="B520" s="7"/>
      <c r="C520" s="3"/>
      <c r="D520" s="4"/>
      <c r="E520" s="4"/>
      <c r="F520" s="5"/>
      <c r="G520" s="6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2">
      <c r="A521" s="1"/>
      <c r="B521" s="7"/>
      <c r="C521" s="3"/>
      <c r="D521" s="4"/>
      <c r="E521" s="4"/>
      <c r="F521" s="5"/>
      <c r="G521" s="6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2">
      <c r="A522" s="1"/>
      <c r="B522" s="7"/>
      <c r="C522" s="3"/>
      <c r="D522" s="4"/>
      <c r="E522" s="4"/>
      <c r="F522" s="5"/>
      <c r="G522" s="6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2">
      <c r="A523" s="1"/>
      <c r="B523" s="7"/>
      <c r="C523" s="3"/>
      <c r="D523" s="4"/>
      <c r="E523" s="4"/>
      <c r="F523" s="5"/>
      <c r="G523" s="6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2">
      <c r="A524" s="1"/>
      <c r="B524" s="7"/>
      <c r="C524" s="3"/>
      <c r="D524" s="4"/>
      <c r="E524" s="4"/>
      <c r="F524" s="5"/>
      <c r="G524" s="6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2">
      <c r="A525" s="1"/>
      <c r="B525" s="7"/>
      <c r="C525" s="3"/>
      <c r="D525" s="4"/>
      <c r="E525" s="4"/>
      <c r="F525" s="5"/>
      <c r="G525" s="6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2">
      <c r="A526" s="1"/>
      <c r="B526" s="7"/>
      <c r="C526" s="3"/>
      <c r="D526" s="4"/>
      <c r="E526" s="4"/>
      <c r="F526" s="5"/>
      <c r="G526" s="6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2">
      <c r="A527" s="1"/>
      <c r="B527" s="7"/>
      <c r="C527" s="3"/>
      <c r="D527" s="4"/>
      <c r="E527" s="4"/>
      <c r="F527" s="5"/>
      <c r="G527" s="6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2">
      <c r="A528" s="1"/>
      <c r="B528" s="7"/>
      <c r="C528" s="3"/>
      <c r="D528" s="4"/>
      <c r="E528" s="4"/>
      <c r="F528" s="5"/>
      <c r="G528" s="6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2">
      <c r="A529" s="1"/>
      <c r="B529" s="7"/>
      <c r="C529" s="3"/>
      <c r="D529" s="4"/>
      <c r="E529" s="4"/>
      <c r="F529" s="5"/>
      <c r="G529" s="6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2">
      <c r="A530" s="1"/>
      <c r="B530" s="7"/>
      <c r="C530" s="3"/>
      <c r="D530" s="4"/>
      <c r="E530" s="4"/>
      <c r="F530" s="5"/>
      <c r="G530" s="6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2">
      <c r="A531" s="1"/>
      <c r="B531" s="7"/>
      <c r="C531" s="3"/>
      <c r="D531" s="4"/>
      <c r="E531" s="4"/>
      <c r="F531" s="5"/>
      <c r="G531" s="6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2">
      <c r="A532" s="1"/>
      <c r="B532" s="7"/>
      <c r="C532" s="3"/>
      <c r="D532" s="4"/>
      <c r="E532" s="4"/>
      <c r="F532" s="5"/>
      <c r="G532" s="6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2">
      <c r="A533" s="1"/>
      <c r="B533" s="7"/>
      <c r="C533" s="3"/>
      <c r="D533" s="4"/>
      <c r="E533" s="4"/>
      <c r="F533" s="5"/>
      <c r="G533" s="6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2">
      <c r="A534" s="1"/>
      <c r="B534" s="7"/>
      <c r="C534" s="3"/>
      <c r="D534" s="4"/>
      <c r="E534" s="4"/>
      <c r="F534" s="5"/>
      <c r="G534" s="6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2">
      <c r="A535" s="1"/>
      <c r="B535" s="7"/>
      <c r="C535" s="3"/>
      <c r="D535" s="4"/>
      <c r="E535" s="4"/>
      <c r="F535" s="5"/>
      <c r="G535" s="6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2">
      <c r="A536" s="1"/>
      <c r="B536" s="7"/>
      <c r="C536" s="3"/>
      <c r="D536" s="4"/>
      <c r="E536" s="4"/>
      <c r="F536" s="5"/>
      <c r="G536" s="6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2">
      <c r="A537" s="1"/>
      <c r="B537" s="7"/>
      <c r="C537" s="3"/>
      <c r="D537" s="4"/>
      <c r="E537" s="4"/>
      <c r="F537" s="5"/>
      <c r="G537" s="6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2">
      <c r="A538" s="1"/>
      <c r="B538" s="7"/>
      <c r="C538" s="3"/>
      <c r="D538" s="4"/>
      <c r="E538" s="4"/>
      <c r="F538" s="5"/>
      <c r="G538" s="6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2">
      <c r="A539" s="1"/>
      <c r="B539" s="7"/>
      <c r="C539" s="3"/>
      <c r="D539" s="4"/>
      <c r="E539" s="4"/>
      <c r="F539" s="5"/>
      <c r="G539" s="6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2">
      <c r="A540" s="1"/>
      <c r="B540" s="7"/>
      <c r="C540" s="3"/>
      <c r="D540" s="4"/>
      <c r="E540" s="4"/>
      <c r="F540" s="5"/>
      <c r="G540" s="6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2">
      <c r="A541" s="1"/>
      <c r="B541" s="7"/>
      <c r="C541" s="3"/>
      <c r="D541" s="4"/>
      <c r="E541" s="4"/>
      <c r="F541" s="5"/>
      <c r="G541" s="6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2">
      <c r="A542" s="1"/>
      <c r="B542" s="7"/>
      <c r="C542" s="3"/>
      <c r="D542" s="4"/>
      <c r="E542" s="4"/>
      <c r="F542" s="5"/>
      <c r="G542" s="6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2">
      <c r="A543" s="1"/>
      <c r="B543" s="7"/>
      <c r="C543" s="3"/>
      <c r="D543" s="4"/>
      <c r="E543" s="4"/>
      <c r="F543" s="5"/>
      <c r="G543" s="6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2">
      <c r="A544" s="1"/>
      <c r="B544" s="7"/>
      <c r="C544" s="3"/>
      <c r="D544" s="4"/>
      <c r="E544" s="4"/>
      <c r="F544" s="5"/>
      <c r="G544" s="6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2">
      <c r="A545" s="1"/>
      <c r="B545" s="7"/>
      <c r="C545" s="3"/>
      <c r="D545" s="4"/>
      <c r="E545" s="4"/>
      <c r="F545" s="5"/>
      <c r="G545" s="6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2">
      <c r="A546" s="1"/>
      <c r="B546" s="7"/>
      <c r="C546" s="3"/>
      <c r="D546" s="4"/>
      <c r="E546" s="4"/>
      <c r="F546" s="5"/>
      <c r="G546" s="6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2">
      <c r="A547" s="1"/>
      <c r="B547" s="7"/>
      <c r="C547" s="3"/>
      <c r="D547" s="4"/>
      <c r="E547" s="4"/>
      <c r="F547" s="5"/>
      <c r="G547" s="6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2">
      <c r="A548" s="1"/>
      <c r="B548" s="7"/>
      <c r="C548" s="3"/>
      <c r="D548" s="4"/>
      <c r="E548" s="4"/>
      <c r="F548" s="5"/>
      <c r="G548" s="6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2">
      <c r="A549" s="1"/>
      <c r="B549" s="7"/>
      <c r="C549" s="3"/>
      <c r="D549" s="4"/>
      <c r="E549" s="4"/>
      <c r="F549" s="5"/>
      <c r="G549" s="6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2">
      <c r="A550" s="1"/>
      <c r="B550" s="7"/>
      <c r="C550" s="3"/>
      <c r="D550" s="4"/>
      <c r="E550" s="4"/>
      <c r="F550" s="5"/>
      <c r="G550" s="6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2">
      <c r="A551" s="1"/>
      <c r="B551" s="7"/>
      <c r="C551" s="3"/>
      <c r="D551" s="4"/>
      <c r="E551" s="4"/>
      <c r="F551" s="5"/>
      <c r="G551" s="6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2">
      <c r="A552" s="1"/>
      <c r="B552" s="7"/>
      <c r="C552" s="3"/>
      <c r="D552" s="4"/>
      <c r="E552" s="4"/>
      <c r="F552" s="5"/>
      <c r="G552" s="6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2">
      <c r="A553" s="1"/>
      <c r="B553" s="7"/>
      <c r="C553" s="3"/>
      <c r="D553" s="4"/>
      <c r="E553" s="4"/>
      <c r="F553" s="5"/>
      <c r="G553" s="6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2">
      <c r="A554" s="1"/>
      <c r="B554" s="7"/>
      <c r="C554" s="3"/>
      <c r="D554" s="4"/>
      <c r="E554" s="4"/>
      <c r="F554" s="5"/>
      <c r="G554" s="6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2">
      <c r="A555" s="1"/>
      <c r="B555" s="7"/>
      <c r="C555" s="3"/>
      <c r="D555" s="4"/>
      <c r="E555" s="4"/>
      <c r="F555" s="5"/>
      <c r="G555" s="6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2">
      <c r="A556" s="1"/>
      <c r="B556" s="7"/>
      <c r="C556" s="3"/>
      <c r="D556" s="4"/>
      <c r="E556" s="4"/>
      <c r="F556" s="5"/>
      <c r="G556" s="6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2">
      <c r="A557" s="1"/>
      <c r="B557" s="7"/>
      <c r="C557" s="3"/>
      <c r="D557" s="4"/>
      <c r="E557" s="4"/>
      <c r="F557" s="5"/>
      <c r="G557" s="6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2">
      <c r="A558" s="1"/>
      <c r="B558" s="7"/>
      <c r="C558" s="3"/>
      <c r="D558" s="4"/>
      <c r="E558" s="4"/>
      <c r="F558" s="5"/>
      <c r="G558" s="6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2">
      <c r="A559" s="1"/>
      <c r="B559" s="7"/>
      <c r="C559" s="3"/>
      <c r="D559" s="4"/>
      <c r="E559" s="4"/>
      <c r="F559" s="5"/>
      <c r="G559" s="6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2">
      <c r="A560" s="1"/>
      <c r="B560" s="7"/>
      <c r="C560" s="3"/>
      <c r="D560" s="4"/>
      <c r="E560" s="4"/>
      <c r="F560" s="5"/>
      <c r="G560" s="6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2">
      <c r="A561" s="1"/>
      <c r="B561" s="7"/>
      <c r="C561" s="3"/>
      <c r="D561" s="4"/>
      <c r="E561" s="4"/>
      <c r="F561" s="5"/>
      <c r="G561" s="6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2">
      <c r="A562" s="1"/>
      <c r="B562" s="7"/>
      <c r="C562" s="3"/>
      <c r="D562" s="4"/>
      <c r="E562" s="4"/>
      <c r="F562" s="5"/>
      <c r="G562" s="6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2">
      <c r="A563" s="1"/>
      <c r="B563" s="7"/>
      <c r="C563" s="3"/>
      <c r="D563" s="4"/>
      <c r="E563" s="4"/>
      <c r="F563" s="5"/>
      <c r="G563" s="6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2">
      <c r="A564" s="1"/>
      <c r="B564" s="7"/>
      <c r="C564" s="3"/>
      <c r="D564" s="4"/>
      <c r="E564" s="4"/>
      <c r="F564" s="5"/>
      <c r="G564" s="6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2">
      <c r="A565" s="1"/>
      <c r="B565" s="7"/>
      <c r="C565" s="3"/>
      <c r="D565" s="4"/>
      <c r="E565" s="4"/>
      <c r="F565" s="5"/>
      <c r="G565" s="6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2">
      <c r="A566" s="1"/>
      <c r="B566" s="7"/>
      <c r="C566" s="3"/>
      <c r="D566" s="4"/>
      <c r="E566" s="4"/>
      <c r="F566" s="5"/>
      <c r="G566" s="6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2">
      <c r="A567" s="1"/>
      <c r="B567" s="7"/>
      <c r="C567" s="3"/>
      <c r="D567" s="4"/>
      <c r="E567" s="4"/>
      <c r="F567" s="5"/>
      <c r="G567" s="6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2">
      <c r="A568" s="1"/>
      <c r="B568" s="7"/>
      <c r="C568" s="3"/>
      <c r="D568" s="4"/>
      <c r="E568" s="4"/>
      <c r="F568" s="5"/>
      <c r="G568" s="6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2">
      <c r="A569" s="1"/>
      <c r="B569" s="7"/>
      <c r="C569" s="3"/>
      <c r="D569" s="4"/>
      <c r="E569" s="4"/>
      <c r="F569" s="5"/>
      <c r="G569" s="6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2">
      <c r="A570" s="1"/>
      <c r="B570" s="7"/>
      <c r="C570" s="3"/>
      <c r="D570" s="4"/>
      <c r="E570" s="4"/>
      <c r="F570" s="5"/>
      <c r="G570" s="6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2">
      <c r="A571" s="1"/>
      <c r="B571" s="7"/>
      <c r="C571" s="3"/>
      <c r="D571" s="4"/>
      <c r="E571" s="4"/>
      <c r="F571" s="5"/>
      <c r="G571" s="6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2">
      <c r="A572" s="1"/>
      <c r="B572" s="7"/>
      <c r="C572" s="3"/>
      <c r="D572" s="4"/>
      <c r="E572" s="4"/>
      <c r="F572" s="5"/>
      <c r="G572" s="6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2">
      <c r="A573" s="1"/>
      <c r="B573" s="7"/>
      <c r="C573" s="3"/>
      <c r="D573" s="4"/>
      <c r="E573" s="4"/>
      <c r="F573" s="5"/>
      <c r="G573" s="6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2">
      <c r="A574" s="1"/>
      <c r="B574" s="7"/>
      <c r="C574" s="3"/>
      <c r="D574" s="4"/>
      <c r="E574" s="4"/>
      <c r="F574" s="5"/>
      <c r="G574" s="6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2">
      <c r="A575" s="1"/>
      <c r="B575" s="7"/>
      <c r="C575" s="3"/>
      <c r="D575" s="4"/>
      <c r="E575" s="4"/>
      <c r="F575" s="5"/>
      <c r="G575" s="6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2">
      <c r="A576" s="1"/>
      <c r="B576" s="7"/>
      <c r="C576" s="3"/>
      <c r="D576" s="4"/>
      <c r="E576" s="4"/>
      <c r="F576" s="5"/>
      <c r="G576" s="6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2">
      <c r="A577" s="1"/>
      <c r="B577" s="7"/>
      <c r="C577" s="3"/>
      <c r="D577" s="4"/>
      <c r="E577" s="4"/>
      <c r="F577" s="5"/>
      <c r="G577" s="6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2">
      <c r="A578" s="1"/>
      <c r="B578" s="7"/>
      <c r="C578" s="3"/>
      <c r="D578" s="4"/>
      <c r="E578" s="4"/>
      <c r="F578" s="5"/>
      <c r="G578" s="6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2">
      <c r="A579" s="1"/>
      <c r="B579" s="7"/>
      <c r="C579" s="3"/>
      <c r="D579" s="4"/>
      <c r="E579" s="4"/>
      <c r="F579" s="5"/>
      <c r="G579" s="6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2">
      <c r="A580" s="1"/>
      <c r="B580" s="7"/>
      <c r="C580" s="3"/>
      <c r="D580" s="4"/>
      <c r="E580" s="4"/>
      <c r="F580" s="5"/>
      <c r="G580" s="6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2">
      <c r="A581" s="1"/>
      <c r="B581" s="7"/>
      <c r="C581" s="3"/>
      <c r="D581" s="4"/>
      <c r="E581" s="4"/>
      <c r="F581" s="5"/>
      <c r="G581" s="6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2">
      <c r="A582" s="1"/>
      <c r="B582" s="7"/>
      <c r="C582" s="3"/>
      <c r="D582" s="4"/>
      <c r="E582" s="4"/>
      <c r="F582" s="5"/>
      <c r="G582" s="6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2">
      <c r="A583" s="1"/>
      <c r="B583" s="7"/>
      <c r="C583" s="3"/>
      <c r="D583" s="4"/>
      <c r="E583" s="4"/>
      <c r="F583" s="5"/>
      <c r="G583" s="6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2">
      <c r="A584" s="1"/>
      <c r="B584" s="7"/>
      <c r="C584" s="3"/>
      <c r="D584" s="4"/>
      <c r="E584" s="4"/>
      <c r="F584" s="5"/>
      <c r="G584" s="6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2">
      <c r="A585" s="1"/>
      <c r="B585" s="7"/>
      <c r="C585" s="3"/>
      <c r="D585" s="4"/>
      <c r="E585" s="4"/>
      <c r="F585" s="5"/>
      <c r="G585" s="6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2">
      <c r="A586" s="1"/>
      <c r="B586" s="7"/>
      <c r="C586" s="3"/>
      <c r="D586" s="4"/>
      <c r="E586" s="4"/>
      <c r="F586" s="5"/>
      <c r="G586" s="6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2">
      <c r="A587" s="1"/>
      <c r="B587" s="7"/>
      <c r="C587" s="3"/>
      <c r="D587" s="4"/>
      <c r="E587" s="4"/>
      <c r="F587" s="5"/>
      <c r="G587" s="6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2">
      <c r="A588" s="1"/>
      <c r="B588" s="7"/>
      <c r="C588" s="3"/>
      <c r="D588" s="4"/>
      <c r="E588" s="4"/>
      <c r="F588" s="5"/>
      <c r="G588" s="6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2">
      <c r="A589" s="1"/>
      <c r="B589" s="7"/>
      <c r="C589" s="3"/>
      <c r="D589" s="4"/>
      <c r="E589" s="4"/>
      <c r="F589" s="5"/>
      <c r="G589" s="6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2">
      <c r="A590" s="1"/>
      <c r="B590" s="7"/>
      <c r="C590" s="3"/>
      <c r="D590" s="4"/>
      <c r="E590" s="4"/>
      <c r="F590" s="5"/>
      <c r="G590" s="6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2">
      <c r="A591" s="1"/>
      <c r="B591" s="7"/>
      <c r="C591" s="3"/>
      <c r="D591" s="4"/>
      <c r="E591" s="4"/>
      <c r="F591" s="5"/>
      <c r="G591" s="6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2">
      <c r="A592" s="1"/>
      <c r="B592" s="7"/>
      <c r="C592" s="3"/>
      <c r="D592" s="4"/>
      <c r="E592" s="4"/>
      <c r="F592" s="5"/>
      <c r="G592" s="6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2">
      <c r="A593" s="1"/>
      <c r="B593" s="7"/>
      <c r="C593" s="3"/>
      <c r="D593" s="4"/>
      <c r="E593" s="4"/>
      <c r="F593" s="5"/>
      <c r="G593" s="6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2">
      <c r="A594" s="1"/>
      <c r="B594" s="7"/>
      <c r="C594" s="3"/>
      <c r="D594" s="4"/>
      <c r="E594" s="4"/>
      <c r="F594" s="5"/>
      <c r="G594" s="6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2">
      <c r="A595" s="1"/>
      <c r="B595" s="7"/>
      <c r="C595" s="3"/>
      <c r="D595" s="4"/>
      <c r="E595" s="4"/>
      <c r="F595" s="5"/>
      <c r="G595" s="6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2">
      <c r="A596" s="1"/>
      <c r="B596" s="7"/>
      <c r="C596" s="3"/>
      <c r="D596" s="4"/>
      <c r="E596" s="4"/>
      <c r="F596" s="5"/>
      <c r="G596" s="6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2">
      <c r="A597" s="1"/>
      <c r="B597" s="7"/>
      <c r="C597" s="3"/>
      <c r="D597" s="4"/>
      <c r="E597" s="4"/>
      <c r="F597" s="5"/>
      <c r="G597" s="6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2">
      <c r="A598" s="1"/>
      <c r="B598" s="7"/>
      <c r="C598" s="3"/>
      <c r="D598" s="4"/>
      <c r="E598" s="4"/>
      <c r="F598" s="5"/>
      <c r="G598" s="6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2">
      <c r="A599" s="1"/>
      <c r="B599" s="7"/>
      <c r="C599" s="3"/>
      <c r="D599" s="4"/>
      <c r="E599" s="4"/>
      <c r="F599" s="5"/>
      <c r="G599" s="6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2">
      <c r="A600" s="1"/>
      <c r="B600" s="7"/>
      <c r="C600" s="3"/>
      <c r="D600" s="4"/>
      <c r="E600" s="4"/>
      <c r="F600" s="5"/>
      <c r="G600" s="6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2">
      <c r="A601" s="1"/>
      <c r="B601" s="7"/>
      <c r="C601" s="3"/>
      <c r="D601" s="4"/>
      <c r="E601" s="4"/>
      <c r="F601" s="5"/>
      <c r="G601" s="6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2">
      <c r="A602" s="1"/>
      <c r="B602" s="7"/>
      <c r="C602" s="3"/>
      <c r="D602" s="4"/>
      <c r="E602" s="4"/>
      <c r="F602" s="5"/>
      <c r="G602" s="6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2">
      <c r="A603" s="1"/>
      <c r="B603" s="7"/>
      <c r="C603" s="3"/>
      <c r="D603" s="4"/>
      <c r="E603" s="4"/>
      <c r="F603" s="5"/>
      <c r="G603" s="6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2">
      <c r="A604" s="1"/>
      <c r="B604" s="7"/>
      <c r="C604" s="3"/>
      <c r="D604" s="4"/>
      <c r="E604" s="4"/>
      <c r="F604" s="5"/>
      <c r="G604" s="6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2">
      <c r="A605" s="1"/>
      <c r="B605" s="7"/>
      <c r="C605" s="3"/>
      <c r="D605" s="4"/>
      <c r="E605" s="4"/>
      <c r="F605" s="5"/>
      <c r="G605" s="6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2">
      <c r="A606" s="1"/>
      <c r="B606" s="7"/>
      <c r="C606" s="3"/>
      <c r="D606" s="4"/>
      <c r="E606" s="4"/>
      <c r="F606" s="5"/>
      <c r="G606" s="6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2">
      <c r="A607" s="1"/>
      <c r="B607" s="7"/>
      <c r="C607" s="3"/>
      <c r="D607" s="4"/>
      <c r="E607" s="4"/>
      <c r="F607" s="5"/>
      <c r="G607" s="6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2">
      <c r="A608" s="1"/>
      <c r="B608" s="7"/>
      <c r="C608" s="3"/>
      <c r="D608" s="4"/>
      <c r="E608" s="4"/>
      <c r="F608" s="5"/>
      <c r="G608" s="6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2">
      <c r="A609" s="1"/>
      <c r="B609" s="7"/>
      <c r="C609" s="3"/>
      <c r="D609" s="4"/>
      <c r="E609" s="4"/>
      <c r="F609" s="5"/>
      <c r="G609" s="6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2">
      <c r="A610" s="1"/>
      <c r="B610" s="7"/>
      <c r="C610" s="3"/>
      <c r="D610" s="4"/>
      <c r="E610" s="4"/>
      <c r="F610" s="5"/>
      <c r="G610" s="6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2">
      <c r="A611" s="1"/>
      <c r="B611" s="7"/>
      <c r="C611" s="3"/>
      <c r="D611" s="4"/>
      <c r="E611" s="4"/>
      <c r="F611" s="5"/>
      <c r="G611" s="6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2">
      <c r="A612" s="1"/>
      <c r="B612" s="7"/>
      <c r="C612" s="3"/>
      <c r="D612" s="4"/>
      <c r="E612" s="4"/>
      <c r="F612" s="5"/>
      <c r="G612" s="6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2">
      <c r="A613" s="1"/>
      <c r="B613" s="7"/>
      <c r="C613" s="3"/>
      <c r="D613" s="4"/>
      <c r="E613" s="4"/>
      <c r="F613" s="5"/>
      <c r="G613" s="6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2">
      <c r="A614" s="1"/>
      <c r="B614" s="7"/>
      <c r="C614" s="3"/>
      <c r="D614" s="4"/>
      <c r="E614" s="4"/>
      <c r="F614" s="5"/>
      <c r="G614" s="6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2">
      <c r="A615" s="1"/>
      <c r="B615" s="7"/>
      <c r="C615" s="3"/>
      <c r="D615" s="4"/>
      <c r="E615" s="4"/>
      <c r="F615" s="5"/>
      <c r="G615" s="6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2">
      <c r="A616" s="1"/>
      <c r="B616" s="7"/>
      <c r="C616" s="3"/>
      <c r="D616" s="4"/>
      <c r="E616" s="4"/>
      <c r="F616" s="5"/>
      <c r="G616" s="6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2">
      <c r="A617" s="1"/>
      <c r="B617" s="7"/>
      <c r="C617" s="3"/>
      <c r="D617" s="4"/>
      <c r="E617" s="4"/>
      <c r="F617" s="5"/>
      <c r="G617" s="6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2">
      <c r="A618" s="1"/>
      <c r="B618" s="7"/>
      <c r="C618" s="3"/>
      <c r="D618" s="4"/>
      <c r="E618" s="4"/>
      <c r="F618" s="5"/>
      <c r="G618" s="6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2">
      <c r="A619" s="1"/>
      <c r="B619" s="7"/>
      <c r="C619" s="3"/>
      <c r="D619" s="4"/>
      <c r="E619" s="4"/>
      <c r="F619" s="5"/>
      <c r="G619" s="6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2">
      <c r="A620" s="1"/>
      <c r="B620" s="7"/>
      <c r="C620" s="3"/>
      <c r="D620" s="4"/>
      <c r="E620" s="4"/>
      <c r="F620" s="5"/>
      <c r="G620" s="6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2">
      <c r="A621" s="1"/>
      <c r="B621" s="7"/>
      <c r="C621" s="3"/>
      <c r="D621" s="4"/>
      <c r="E621" s="4"/>
      <c r="F621" s="5"/>
      <c r="G621" s="6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2">
      <c r="A622" s="1"/>
      <c r="B622" s="7"/>
      <c r="C622" s="3"/>
      <c r="D622" s="4"/>
      <c r="E622" s="4"/>
      <c r="F622" s="5"/>
      <c r="G622" s="6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2">
      <c r="A623" s="1"/>
      <c r="B623" s="7"/>
      <c r="C623" s="3"/>
      <c r="D623" s="4"/>
      <c r="E623" s="4"/>
      <c r="F623" s="5"/>
      <c r="G623" s="6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2">
      <c r="A624" s="1"/>
      <c r="B624" s="7"/>
      <c r="C624" s="3"/>
      <c r="D624" s="4"/>
      <c r="E624" s="4"/>
      <c r="F624" s="5"/>
      <c r="G624" s="6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2">
      <c r="A625" s="1"/>
      <c r="B625" s="7"/>
      <c r="C625" s="3"/>
      <c r="D625" s="4"/>
      <c r="E625" s="4"/>
      <c r="F625" s="5"/>
      <c r="G625" s="6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2">
      <c r="A626" s="1"/>
      <c r="B626" s="7"/>
      <c r="C626" s="3"/>
      <c r="D626" s="4"/>
      <c r="E626" s="4"/>
      <c r="F626" s="5"/>
      <c r="G626" s="6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2">
      <c r="A627" s="1"/>
      <c r="B627" s="7"/>
      <c r="C627" s="3"/>
      <c r="D627" s="4"/>
      <c r="E627" s="4"/>
      <c r="F627" s="5"/>
      <c r="G627" s="6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2">
      <c r="A628" s="1"/>
      <c r="B628" s="7"/>
      <c r="C628" s="3"/>
      <c r="D628" s="4"/>
      <c r="E628" s="4"/>
      <c r="F628" s="5"/>
      <c r="G628" s="6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2">
      <c r="A629" s="1"/>
      <c r="B629" s="7"/>
      <c r="C629" s="3"/>
      <c r="D629" s="4"/>
      <c r="E629" s="4"/>
      <c r="F629" s="5"/>
      <c r="G629" s="6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2">
      <c r="A630" s="1"/>
      <c r="B630" s="7"/>
      <c r="C630" s="3"/>
      <c r="D630" s="4"/>
      <c r="E630" s="4"/>
      <c r="F630" s="5"/>
      <c r="G630" s="6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2">
      <c r="A631" s="1"/>
      <c r="B631" s="7"/>
      <c r="C631" s="3"/>
      <c r="D631" s="4"/>
      <c r="E631" s="4"/>
      <c r="F631" s="5"/>
      <c r="G631" s="6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2">
      <c r="A632" s="1"/>
      <c r="B632" s="7"/>
      <c r="C632" s="3"/>
      <c r="D632" s="4"/>
      <c r="E632" s="4"/>
      <c r="F632" s="5"/>
      <c r="G632" s="6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2">
      <c r="A633" s="1"/>
      <c r="B633" s="7"/>
      <c r="C633" s="3"/>
      <c r="D633" s="4"/>
      <c r="E633" s="4"/>
      <c r="F633" s="5"/>
      <c r="G633" s="6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2">
      <c r="A634" s="1"/>
      <c r="B634" s="7"/>
      <c r="C634" s="3"/>
      <c r="D634" s="4"/>
      <c r="E634" s="4"/>
      <c r="F634" s="5"/>
      <c r="G634" s="6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2">
      <c r="A635" s="1"/>
      <c r="B635" s="7"/>
      <c r="C635" s="3"/>
      <c r="D635" s="4"/>
      <c r="E635" s="4"/>
      <c r="F635" s="5"/>
      <c r="G635" s="6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2">
      <c r="A636" s="1"/>
      <c r="B636" s="7"/>
      <c r="C636" s="3"/>
      <c r="D636" s="4"/>
      <c r="E636" s="4"/>
      <c r="F636" s="5"/>
      <c r="G636" s="6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2">
      <c r="A637" s="1"/>
      <c r="B637" s="7"/>
      <c r="C637" s="3"/>
      <c r="D637" s="4"/>
      <c r="E637" s="4"/>
      <c r="F637" s="5"/>
      <c r="G637" s="6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2">
      <c r="A638" s="1"/>
      <c r="B638" s="7"/>
      <c r="C638" s="3"/>
      <c r="D638" s="4"/>
      <c r="E638" s="4"/>
      <c r="F638" s="5"/>
      <c r="G638" s="6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2">
      <c r="A639" s="1"/>
      <c r="B639" s="7"/>
      <c r="C639" s="3"/>
      <c r="D639" s="4"/>
      <c r="E639" s="4"/>
      <c r="F639" s="5"/>
      <c r="G639" s="6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2">
      <c r="A640" s="1"/>
      <c r="B640" s="7"/>
      <c r="C640" s="3"/>
      <c r="D640" s="4"/>
      <c r="E640" s="4"/>
      <c r="F640" s="5"/>
      <c r="G640" s="6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2">
      <c r="A641" s="1"/>
      <c r="B641" s="7"/>
      <c r="C641" s="3"/>
      <c r="D641" s="4"/>
      <c r="E641" s="4"/>
      <c r="F641" s="5"/>
      <c r="G641" s="6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2">
      <c r="A642" s="1"/>
      <c r="B642" s="7"/>
      <c r="C642" s="3"/>
      <c r="D642" s="4"/>
      <c r="E642" s="4"/>
      <c r="F642" s="5"/>
      <c r="G642" s="6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2">
      <c r="A643" s="1"/>
      <c r="B643" s="7"/>
      <c r="C643" s="3"/>
      <c r="D643" s="4"/>
      <c r="E643" s="4"/>
      <c r="F643" s="5"/>
      <c r="G643" s="6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2">
      <c r="A644" s="1"/>
      <c r="B644" s="7"/>
      <c r="C644" s="3"/>
      <c r="D644" s="4"/>
      <c r="E644" s="4"/>
      <c r="F644" s="5"/>
      <c r="G644" s="6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2">
      <c r="A645" s="1"/>
      <c r="B645" s="7"/>
      <c r="C645" s="3"/>
      <c r="D645" s="4"/>
      <c r="E645" s="4"/>
      <c r="F645" s="5"/>
      <c r="G645" s="6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2">
      <c r="A646" s="1"/>
      <c r="B646" s="7"/>
      <c r="C646" s="3"/>
      <c r="D646" s="4"/>
      <c r="E646" s="4"/>
      <c r="F646" s="5"/>
      <c r="G646" s="6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2">
      <c r="A647" s="1"/>
      <c r="B647" s="7"/>
      <c r="C647" s="3"/>
      <c r="D647" s="4"/>
      <c r="E647" s="4"/>
      <c r="F647" s="5"/>
      <c r="G647" s="6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2">
      <c r="A648" s="1"/>
      <c r="B648" s="7"/>
      <c r="C648" s="3"/>
      <c r="D648" s="4"/>
      <c r="E648" s="4"/>
      <c r="F648" s="5"/>
      <c r="G648" s="6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2">
      <c r="A649" s="1"/>
      <c r="B649" s="7"/>
      <c r="C649" s="3"/>
      <c r="D649" s="4"/>
      <c r="E649" s="4"/>
      <c r="F649" s="5"/>
      <c r="G649" s="6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2">
      <c r="A650" s="1"/>
      <c r="B650" s="7"/>
      <c r="C650" s="3"/>
      <c r="D650" s="4"/>
      <c r="E650" s="4"/>
      <c r="F650" s="5"/>
      <c r="G650" s="6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2">
      <c r="A651" s="1"/>
      <c r="B651" s="7"/>
      <c r="C651" s="3"/>
      <c r="D651" s="4"/>
      <c r="E651" s="4"/>
      <c r="F651" s="5"/>
      <c r="G651" s="6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2">
      <c r="A652" s="1"/>
      <c r="B652" s="7"/>
      <c r="C652" s="3"/>
      <c r="D652" s="4"/>
      <c r="E652" s="4"/>
      <c r="F652" s="5"/>
      <c r="G652" s="6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2">
      <c r="A653" s="1"/>
      <c r="B653" s="7"/>
      <c r="C653" s="3"/>
      <c r="D653" s="4"/>
      <c r="E653" s="4"/>
      <c r="F653" s="5"/>
      <c r="G653" s="6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2">
      <c r="A654" s="1"/>
      <c r="B654" s="7"/>
      <c r="C654" s="3"/>
      <c r="D654" s="4"/>
      <c r="E654" s="4"/>
      <c r="F654" s="5"/>
      <c r="G654" s="6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2">
      <c r="A655" s="1"/>
      <c r="B655" s="7"/>
      <c r="C655" s="3"/>
      <c r="D655" s="4"/>
      <c r="E655" s="4"/>
      <c r="F655" s="5"/>
      <c r="G655" s="6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2">
      <c r="A656" s="1"/>
      <c r="B656" s="7"/>
      <c r="C656" s="3"/>
      <c r="D656" s="4"/>
      <c r="E656" s="4"/>
      <c r="F656" s="5"/>
      <c r="G656" s="6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2">
      <c r="A657" s="1"/>
      <c r="B657" s="7"/>
      <c r="C657" s="3"/>
      <c r="D657" s="4"/>
      <c r="E657" s="4"/>
      <c r="F657" s="5"/>
      <c r="G657" s="6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2">
      <c r="A658" s="1"/>
      <c r="B658" s="7"/>
      <c r="C658" s="3"/>
      <c r="D658" s="4"/>
      <c r="E658" s="4"/>
      <c r="F658" s="5"/>
      <c r="G658" s="6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2">
      <c r="A659" s="1"/>
      <c r="B659" s="7"/>
      <c r="C659" s="3"/>
      <c r="D659" s="4"/>
      <c r="E659" s="4"/>
      <c r="F659" s="5"/>
      <c r="G659" s="6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2">
      <c r="A660" s="1"/>
      <c r="B660" s="7"/>
      <c r="C660" s="3"/>
      <c r="D660" s="4"/>
      <c r="E660" s="4"/>
      <c r="F660" s="5"/>
      <c r="G660" s="6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2">
      <c r="A661" s="1"/>
      <c r="B661" s="7"/>
      <c r="C661" s="3"/>
      <c r="D661" s="4"/>
      <c r="E661" s="4"/>
      <c r="F661" s="5"/>
      <c r="G661" s="6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2">
      <c r="A662" s="1"/>
      <c r="B662" s="7"/>
      <c r="C662" s="3"/>
      <c r="D662" s="4"/>
      <c r="E662" s="4"/>
      <c r="F662" s="5"/>
      <c r="G662" s="6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2">
      <c r="A663" s="1"/>
      <c r="B663" s="7"/>
      <c r="C663" s="3"/>
      <c r="D663" s="4"/>
      <c r="E663" s="4"/>
      <c r="F663" s="5"/>
      <c r="G663" s="6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2">
      <c r="A664" s="1"/>
      <c r="B664" s="7"/>
      <c r="C664" s="3"/>
      <c r="D664" s="4"/>
      <c r="E664" s="4"/>
      <c r="F664" s="5"/>
      <c r="G664" s="6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2">
      <c r="A665" s="1"/>
      <c r="B665" s="7"/>
      <c r="C665" s="3"/>
      <c r="D665" s="4"/>
      <c r="E665" s="4"/>
      <c r="F665" s="5"/>
      <c r="G665" s="6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2">
      <c r="A666" s="1"/>
      <c r="B666" s="7"/>
      <c r="C666" s="3"/>
      <c r="D666" s="4"/>
      <c r="E666" s="4"/>
      <c r="F666" s="5"/>
      <c r="G666" s="6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2">
      <c r="A667" s="1"/>
      <c r="B667" s="7"/>
      <c r="C667" s="3"/>
      <c r="D667" s="4"/>
      <c r="E667" s="4"/>
      <c r="F667" s="5"/>
      <c r="G667" s="6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2">
      <c r="A668" s="1"/>
      <c r="B668" s="7"/>
      <c r="C668" s="3"/>
      <c r="D668" s="4"/>
      <c r="E668" s="4"/>
      <c r="F668" s="5"/>
      <c r="G668" s="6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2">
      <c r="A669" s="1"/>
      <c r="B669" s="7"/>
      <c r="C669" s="3"/>
      <c r="D669" s="4"/>
      <c r="E669" s="4"/>
      <c r="F669" s="5"/>
      <c r="G669" s="6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2">
      <c r="A670" s="1"/>
      <c r="B670" s="7"/>
      <c r="C670" s="3"/>
      <c r="D670" s="4"/>
      <c r="E670" s="4"/>
      <c r="F670" s="5"/>
      <c r="G670" s="6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2">
      <c r="A671" s="1"/>
      <c r="B671" s="7"/>
      <c r="C671" s="3"/>
      <c r="D671" s="4"/>
      <c r="E671" s="4"/>
      <c r="F671" s="5"/>
      <c r="G671" s="6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2">
      <c r="A672" s="1"/>
      <c r="B672" s="7"/>
      <c r="C672" s="3"/>
      <c r="D672" s="4"/>
      <c r="E672" s="4"/>
      <c r="F672" s="5"/>
      <c r="G672" s="6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2">
      <c r="A673" s="1"/>
      <c r="B673" s="7"/>
      <c r="C673" s="3"/>
      <c r="D673" s="4"/>
      <c r="E673" s="4"/>
      <c r="F673" s="5"/>
      <c r="G673" s="6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2">
      <c r="A674" s="1"/>
      <c r="B674" s="7"/>
      <c r="C674" s="3"/>
      <c r="D674" s="4"/>
      <c r="E674" s="4"/>
      <c r="F674" s="5"/>
      <c r="G674" s="6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2">
      <c r="A675" s="1"/>
      <c r="B675" s="7"/>
      <c r="C675" s="3"/>
      <c r="D675" s="4"/>
      <c r="E675" s="4"/>
      <c r="F675" s="5"/>
      <c r="G675" s="6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2">
      <c r="A676" s="1"/>
      <c r="B676" s="7"/>
      <c r="C676" s="3"/>
      <c r="D676" s="4"/>
      <c r="E676" s="4"/>
      <c r="F676" s="5"/>
      <c r="G676" s="6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2">
      <c r="A677" s="1"/>
      <c r="B677" s="7"/>
      <c r="C677" s="3"/>
      <c r="D677" s="4"/>
      <c r="E677" s="4"/>
      <c r="F677" s="5"/>
      <c r="G677" s="6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2">
      <c r="A678" s="1"/>
      <c r="B678" s="7"/>
      <c r="C678" s="3"/>
      <c r="D678" s="4"/>
      <c r="E678" s="4"/>
      <c r="F678" s="5"/>
      <c r="G678" s="6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2">
      <c r="A679" s="1"/>
      <c r="B679" s="7"/>
      <c r="C679" s="3"/>
      <c r="D679" s="4"/>
      <c r="E679" s="4"/>
      <c r="F679" s="5"/>
      <c r="G679" s="6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2">
      <c r="A680" s="1"/>
      <c r="B680" s="7"/>
      <c r="C680" s="3"/>
      <c r="D680" s="4"/>
      <c r="E680" s="4"/>
      <c r="F680" s="5"/>
      <c r="G680" s="6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2">
      <c r="A681" s="1"/>
      <c r="B681" s="7"/>
      <c r="C681" s="3"/>
      <c r="D681" s="4"/>
      <c r="E681" s="4"/>
      <c r="F681" s="5"/>
      <c r="G681" s="6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2">
      <c r="A682" s="1"/>
      <c r="B682" s="7"/>
      <c r="C682" s="3"/>
      <c r="D682" s="4"/>
      <c r="E682" s="4"/>
      <c r="F682" s="5"/>
      <c r="G682" s="6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2">
      <c r="A683" s="1"/>
      <c r="B683" s="7"/>
      <c r="C683" s="3"/>
      <c r="D683" s="4"/>
      <c r="E683" s="4"/>
      <c r="F683" s="5"/>
      <c r="G683" s="6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2">
      <c r="A684" s="1"/>
      <c r="B684" s="7"/>
      <c r="C684" s="3"/>
      <c r="D684" s="4"/>
      <c r="E684" s="4"/>
      <c r="F684" s="5"/>
      <c r="G684" s="6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2">
      <c r="A685" s="1"/>
      <c r="B685" s="7"/>
      <c r="C685" s="3"/>
      <c r="D685" s="4"/>
      <c r="E685" s="4"/>
      <c r="F685" s="5"/>
      <c r="G685" s="6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2">
      <c r="A686" s="1"/>
      <c r="B686" s="7"/>
      <c r="C686" s="3"/>
      <c r="D686" s="4"/>
      <c r="E686" s="4"/>
      <c r="F686" s="5"/>
      <c r="G686" s="6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2">
      <c r="A687" s="1"/>
      <c r="B687" s="7"/>
      <c r="C687" s="3"/>
      <c r="D687" s="4"/>
      <c r="E687" s="4"/>
      <c r="F687" s="5"/>
      <c r="G687" s="6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2">
      <c r="A688" s="1"/>
      <c r="B688" s="7"/>
      <c r="C688" s="3"/>
      <c r="D688" s="4"/>
      <c r="E688" s="4"/>
      <c r="F688" s="5"/>
      <c r="G688" s="6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2">
      <c r="A689" s="1"/>
      <c r="B689" s="7"/>
      <c r="C689" s="3"/>
      <c r="D689" s="4"/>
      <c r="E689" s="4"/>
      <c r="F689" s="5"/>
      <c r="G689" s="6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2">
      <c r="A690" s="1"/>
      <c r="B690" s="7"/>
      <c r="C690" s="3"/>
      <c r="D690" s="4"/>
      <c r="E690" s="4"/>
      <c r="F690" s="5"/>
      <c r="G690" s="6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2">
      <c r="A691" s="1"/>
      <c r="B691" s="7"/>
      <c r="C691" s="3"/>
      <c r="D691" s="4"/>
      <c r="E691" s="4"/>
      <c r="F691" s="5"/>
      <c r="G691" s="6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2">
      <c r="A692" s="1"/>
      <c r="B692" s="7"/>
      <c r="C692" s="3"/>
      <c r="D692" s="4"/>
      <c r="E692" s="4"/>
      <c r="F692" s="5"/>
      <c r="G692" s="6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2">
      <c r="A693" s="1"/>
      <c r="B693" s="7"/>
      <c r="C693" s="3"/>
      <c r="D693" s="4"/>
      <c r="E693" s="4"/>
      <c r="F693" s="5"/>
      <c r="G693" s="6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2">
      <c r="A694" s="1"/>
      <c r="B694" s="7"/>
      <c r="C694" s="3"/>
      <c r="D694" s="4"/>
      <c r="E694" s="4"/>
      <c r="F694" s="5"/>
      <c r="G694" s="6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2">
      <c r="A695" s="1"/>
      <c r="B695" s="7"/>
      <c r="C695" s="3"/>
      <c r="D695" s="4"/>
      <c r="E695" s="4"/>
      <c r="F695" s="5"/>
      <c r="G695" s="6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2">
      <c r="A696" s="1"/>
      <c r="B696" s="7"/>
      <c r="C696" s="3"/>
      <c r="D696" s="4"/>
      <c r="E696" s="4"/>
      <c r="F696" s="5"/>
      <c r="G696" s="6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2">
      <c r="A697" s="1"/>
      <c r="B697" s="7"/>
      <c r="C697" s="3"/>
      <c r="D697" s="4"/>
      <c r="E697" s="4"/>
      <c r="F697" s="5"/>
      <c r="G697" s="6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2">
      <c r="A698" s="1"/>
      <c r="B698" s="7"/>
      <c r="C698" s="3"/>
      <c r="D698" s="4"/>
      <c r="E698" s="4"/>
      <c r="F698" s="5"/>
      <c r="G698" s="6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2">
      <c r="A699" s="1"/>
      <c r="B699" s="7"/>
      <c r="C699" s="3"/>
      <c r="D699" s="4"/>
      <c r="E699" s="4"/>
      <c r="F699" s="5"/>
      <c r="G699" s="6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2">
      <c r="A700" s="1"/>
      <c r="B700" s="7"/>
      <c r="C700" s="3"/>
      <c r="D700" s="4"/>
      <c r="E700" s="4"/>
      <c r="F700" s="5"/>
      <c r="G700" s="6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2">
      <c r="A701" s="1"/>
      <c r="B701" s="7"/>
      <c r="C701" s="3"/>
      <c r="D701" s="4"/>
      <c r="E701" s="4"/>
      <c r="F701" s="5"/>
      <c r="G701" s="6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2">
      <c r="A702" s="1"/>
      <c r="B702" s="7"/>
      <c r="C702" s="3"/>
      <c r="D702" s="4"/>
      <c r="E702" s="4"/>
      <c r="F702" s="5"/>
      <c r="G702" s="6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2">
      <c r="A703" s="1"/>
      <c r="B703" s="7"/>
      <c r="C703" s="3"/>
      <c r="D703" s="4"/>
      <c r="E703" s="4"/>
      <c r="F703" s="5"/>
      <c r="G703" s="6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2">
      <c r="A704" s="1"/>
      <c r="B704" s="7"/>
      <c r="C704" s="3"/>
      <c r="D704" s="4"/>
      <c r="E704" s="4"/>
      <c r="F704" s="5"/>
      <c r="G704" s="6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2">
      <c r="A705" s="1"/>
      <c r="B705" s="7"/>
      <c r="C705" s="3"/>
      <c r="D705" s="4"/>
      <c r="E705" s="4"/>
      <c r="F705" s="5"/>
      <c r="G705" s="6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2">
      <c r="A706" s="1"/>
      <c r="B706" s="7"/>
      <c r="C706" s="3"/>
      <c r="D706" s="4"/>
      <c r="E706" s="4"/>
      <c r="F706" s="5"/>
      <c r="G706" s="6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2">
      <c r="A707" s="1"/>
      <c r="B707" s="7"/>
      <c r="C707" s="3"/>
      <c r="D707" s="4"/>
      <c r="E707" s="4"/>
      <c r="F707" s="5"/>
      <c r="G707" s="6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2">
      <c r="A708" s="1"/>
      <c r="B708" s="7"/>
      <c r="C708" s="3"/>
      <c r="D708" s="4"/>
      <c r="E708" s="4"/>
      <c r="F708" s="5"/>
      <c r="G708" s="6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2">
      <c r="A709" s="1"/>
      <c r="B709" s="7"/>
      <c r="C709" s="3"/>
      <c r="D709" s="4"/>
      <c r="E709" s="4"/>
      <c r="F709" s="5"/>
      <c r="G709" s="6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2">
      <c r="A710" s="1"/>
      <c r="B710" s="7"/>
      <c r="C710" s="3"/>
      <c r="D710" s="4"/>
      <c r="E710" s="4"/>
      <c r="F710" s="5"/>
      <c r="G710" s="6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2">
      <c r="A711" s="1"/>
      <c r="B711" s="7"/>
      <c r="C711" s="3"/>
      <c r="D711" s="4"/>
      <c r="E711" s="4"/>
      <c r="F711" s="5"/>
      <c r="G711" s="6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2">
      <c r="A712" s="1"/>
      <c r="B712" s="7"/>
      <c r="C712" s="3"/>
      <c r="D712" s="4"/>
      <c r="E712" s="4"/>
      <c r="F712" s="5"/>
      <c r="G712" s="6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2">
      <c r="A713" s="1"/>
      <c r="B713" s="7"/>
      <c r="C713" s="3"/>
      <c r="D713" s="4"/>
      <c r="E713" s="4"/>
      <c r="F713" s="5"/>
      <c r="G713" s="6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2">
      <c r="A714" s="1"/>
      <c r="B714" s="7"/>
      <c r="C714" s="3"/>
      <c r="D714" s="4"/>
      <c r="E714" s="4"/>
      <c r="F714" s="5"/>
      <c r="G714" s="6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2">
      <c r="A715" s="1"/>
      <c r="B715" s="7"/>
      <c r="C715" s="3"/>
      <c r="D715" s="4"/>
      <c r="E715" s="4"/>
      <c r="F715" s="5"/>
      <c r="G715" s="6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2">
      <c r="A716" s="1"/>
      <c r="B716" s="7"/>
      <c r="C716" s="3"/>
      <c r="D716" s="4"/>
      <c r="E716" s="4"/>
      <c r="F716" s="5"/>
      <c r="G716" s="6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2">
      <c r="A717" s="1"/>
      <c r="B717" s="7"/>
      <c r="C717" s="3"/>
      <c r="D717" s="4"/>
      <c r="E717" s="4"/>
      <c r="F717" s="5"/>
      <c r="G717" s="6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2">
      <c r="A718" s="1"/>
      <c r="B718" s="7"/>
      <c r="C718" s="3"/>
      <c r="D718" s="4"/>
      <c r="E718" s="4"/>
      <c r="F718" s="5"/>
      <c r="G718" s="6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2">
      <c r="A719" s="1"/>
      <c r="B719" s="7"/>
      <c r="C719" s="3"/>
      <c r="D719" s="4"/>
      <c r="E719" s="4"/>
      <c r="F719" s="5"/>
      <c r="G719" s="6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2">
      <c r="A720" s="1"/>
      <c r="B720" s="7"/>
      <c r="C720" s="3"/>
      <c r="D720" s="4"/>
      <c r="E720" s="4"/>
      <c r="F720" s="5"/>
      <c r="G720" s="6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2">
      <c r="A721" s="1"/>
      <c r="B721" s="7"/>
      <c r="C721" s="3"/>
      <c r="D721" s="4"/>
      <c r="E721" s="4"/>
      <c r="F721" s="5"/>
      <c r="G721" s="6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2">
      <c r="A722" s="1"/>
      <c r="B722" s="7"/>
      <c r="C722" s="3"/>
      <c r="D722" s="4"/>
      <c r="E722" s="4"/>
      <c r="F722" s="5"/>
      <c r="G722" s="6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2">
      <c r="A723" s="1"/>
      <c r="B723" s="7"/>
      <c r="C723" s="3"/>
      <c r="D723" s="4"/>
      <c r="E723" s="4"/>
      <c r="F723" s="5"/>
      <c r="G723" s="6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2">
      <c r="A724" s="1"/>
      <c r="B724" s="7"/>
      <c r="C724" s="3"/>
      <c r="D724" s="4"/>
      <c r="E724" s="4"/>
      <c r="F724" s="5"/>
      <c r="G724" s="6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2">
      <c r="A725" s="1"/>
      <c r="B725" s="7"/>
      <c r="C725" s="3"/>
      <c r="D725" s="4"/>
      <c r="E725" s="4"/>
      <c r="F725" s="5"/>
      <c r="G725" s="6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2">
      <c r="A726" s="1"/>
      <c r="B726" s="7"/>
      <c r="C726" s="3"/>
      <c r="D726" s="4"/>
      <c r="E726" s="4"/>
      <c r="F726" s="5"/>
      <c r="G726" s="6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2">
      <c r="A727" s="1"/>
      <c r="B727" s="7"/>
      <c r="C727" s="3"/>
      <c r="D727" s="4"/>
      <c r="E727" s="4"/>
      <c r="F727" s="5"/>
      <c r="G727" s="6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2">
      <c r="A728" s="1"/>
      <c r="B728" s="7"/>
      <c r="C728" s="3"/>
      <c r="D728" s="4"/>
      <c r="E728" s="4"/>
      <c r="F728" s="5"/>
      <c r="G728" s="6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2">
      <c r="A729" s="1"/>
      <c r="B729" s="7"/>
      <c r="C729" s="3"/>
      <c r="D729" s="4"/>
      <c r="E729" s="4"/>
      <c r="F729" s="5"/>
      <c r="G729" s="6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2">
      <c r="A730" s="1"/>
      <c r="B730" s="7"/>
      <c r="C730" s="3"/>
      <c r="D730" s="4"/>
      <c r="E730" s="4"/>
      <c r="F730" s="5"/>
      <c r="G730" s="6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2">
      <c r="A731" s="1"/>
      <c r="B731" s="7"/>
      <c r="C731" s="3"/>
      <c r="D731" s="4"/>
      <c r="E731" s="4"/>
      <c r="F731" s="5"/>
      <c r="G731" s="6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2">
      <c r="A732" s="1"/>
      <c r="B732" s="7"/>
      <c r="C732" s="3"/>
      <c r="D732" s="4"/>
      <c r="E732" s="4"/>
      <c r="F732" s="5"/>
      <c r="G732" s="6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2">
      <c r="A733" s="1"/>
      <c r="B733" s="7"/>
      <c r="C733" s="3"/>
      <c r="D733" s="4"/>
      <c r="E733" s="4"/>
      <c r="F733" s="5"/>
      <c r="G733" s="6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2">
      <c r="A734" s="1"/>
      <c r="B734" s="7"/>
      <c r="C734" s="3"/>
      <c r="D734" s="4"/>
      <c r="E734" s="4"/>
      <c r="F734" s="5"/>
      <c r="G734" s="6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2">
      <c r="A735" s="1"/>
      <c r="B735" s="7"/>
      <c r="C735" s="3"/>
      <c r="D735" s="4"/>
      <c r="E735" s="4"/>
      <c r="F735" s="5"/>
      <c r="G735" s="6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2">
      <c r="A736" s="1"/>
      <c r="B736" s="7"/>
      <c r="C736" s="3"/>
      <c r="D736" s="4"/>
      <c r="E736" s="4"/>
      <c r="F736" s="5"/>
      <c r="G736" s="6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2">
      <c r="A737" s="1"/>
      <c r="B737" s="7"/>
      <c r="C737" s="3"/>
      <c r="D737" s="4"/>
      <c r="E737" s="4"/>
      <c r="F737" s="5"/>
      <c r="G737" s="6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2">
      <c r="A738" s="1"/>
      <c r="B738" s="7"/>
      <c r="C738" s="3"/>
      <c r="D738" s="4"/>
      <c r="E738" s="4"/>
      <c r="F738" s="5"/>
      <c r="G738" s="6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2">
      <c r="A739" s="1"/>
      <c r="B739" s="7"/>
      <c r="C739" s="3"/>
      <c r="D739" s="4"/>
      <c r="E739" s="4"/>
      <c r="F739" s="5"/>
      <c r="G739" s="6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2">
      <c r="A740" s="1"/>
      <c r="B740" s="7"/>
      <c r="C740" s="3"/>
      <c r="D740" s="4"/>
      <c r="E740" s="4"/>
      <c r="F740" s="5"/>
      <c r="G740" s="6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2">
      <c r="A741" s="1"/>
      <c r="B741" s="7"/>
      <c r="C741" s="3"/>
      <c r="D741" s="4"/>
      <c r="E741" s="4"/>
      <c r="F741" s="5"/>
      <c r="G741" s="6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2">
      <c r="A742" s="1"/>
      <c r="B742" s="7"/>
      <c r="C742" s="3"/>
      <c r="D742" s="4"/>
      <c r="E742" s="4"/>
      <c r="F742" s="5"/>
      <c r="G742" s="6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2">
      <c r="A743" s="1"/>
      <c r="B743" s="7"/>
      <c r="C743" s="3"/>
      <c r="D743" s="4"/>
      <c r="E743" s="4"/>
      <c r="F743" s="5"/>
      <c r="G743" s="6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2">
      <c r="A744" s="1"/>
      <c r="B744" s="7"/>
      <c r="C744" s="3"/>
      <c r="D744" s="4"/>
      <c r="E744" s="4"/>
      <c r="F744" s="5"/>
      <c r="G744" s="6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2">
      <c r="A745" s="1"/>
      <c r="B745" s="7"/>
      <c r="C745" s="3"/>
      <c r="D745" s="4"/>
      <c r="E745" s="4"/>
      <c r="F745" s="5"/>
      <c r="G745" s="6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2">
      <c r="A746" s="1"/>
      <c r="B746" s="7"/>
      <c r="C746" s="3"/>
      <c r="D746" s="4"/>
      <c r="E746" s="4"/>
      <c r="F746" s="5"/>
      <c r="G746" s="6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2">
      <c r="A747" s="1"/>
      <c r="B747" s="7"/>
      <c r="C747" s="3"/>
      <c r="D747" s="4"/>
      <c r="E747" s="4"/>
      <c r="F747" s="5"/>
      <c r="G747" s="6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2">
      <c r="A748" s="1"/>
      <c r="B748" s="7"/>
      <c r="C748" s="3"/>
      <c r="D748" s="4"/>
      <c r="E748" s="4"/>
      <c r="F748" s="5"/>
      <c r="G748" s="6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2">
      <c r="A749" s="1"/>
      <c r="B749" s="7"/>
      <c r="C749" s="3"/>
      <c r="D749" s="4"/>
      <c r="E749" s="4"/>
      <c r="F749" s="5"/>
      <c r="G749" s="6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2">
      <c r="A750" s="1"/>
      <c r="B750" s="7"/>
      <c r="C750" s="3"/>
      <c r="D750" s="4"/>
      <c r="E750" s="4"/>
      <c r="F750" s="5"/>
      <c r="G750" s="6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2">
      <c r="A751" s="1"/>
      <c r="B751" s="7"/>
      <c r="C751" s="3"/>
      <c r="D751" s="4"/>
      <c r="E751" s="4"/>
      <c r="F751" s="5"/>
      <c r="G751" s="6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2">
      <c r="A752" s="1"/>
      <c r="B752" s="7"/>
      <c r="C752" s="3"/>
      <c r="D752" s="4"/>
      <c r="E752" s="4"/>
      <c r="F752" s="5"/>
      <c r="G752" s="6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2">
      <c r="A753" s="1"/>
      <c r="B753" s="7"/>
      <c r="C753" s="3"/>
      <c r="D753" s="4"/>
      <c r="E753" s="4"/>
      <c r="F753" s="5"/>
      <c r="G753" s="6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2">
      <c r="A754" s="1"/>
      <c r="B754" s="7"/>
      <c r="C754" s="3"/>
      <c r="D754" s="4"/>
      <c r="E754" s="4"/>
      <c r="F754" s="5"/>
      <c r="G754" s="6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2">
      <c r="A755" s="1"/>
      <c r="B755" s="7"/>
      <c r="C755" s="3"/>
      <c r="D755" s="4"/>
      <c r="E755" s="4"/>
      <c r="F755" s="5"/>
      <c r="G755" s="6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2">
      <c r="A756" s="1"/>
      <c r="B756" s="7"/>
      <c r="C756" s="3"/>
      <c r="D756" s="4"/>
      <c r="E756" s="4"/>
      <c r="F756" s="5"/>
      <c r="G756" s="6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2">
      <c r="A757" s="1"/>
      <c r="B757" s="7"/>
      <c r="C757" s="3"/>
      <c r="D757" s="4"/>
      <c r="E757" s="4"/>
      <c r="F757" s="5"/>
      <c r="G757" s="6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2">
      <c r="A758" s="1"/>
      <c r="B758" s="7"/>
      <c r="C758" s="3"/>
      <c r="D758" s="4"/>
      <c r="E758" s="4"/>
      <c r="F758" s="5"/>
      <c r="G758" s="6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2">
      <c r="A759" s="1"/>
      <c r="B759" s="7"/>
      <c r="C759" s="3"/>
      <c r="D759" s="4"/>
      <c r="E759" s="4"/>
      <c r="F759" s="5"/>
      <c r="G759" s="6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2">
      <c r="A760" s="1"/>
      <c r="B760" s="7"/>
      <c r="C760" s="3"/>
      <c r="D760" s="4"/>
      <c r="E760" s="4"/>
      <c r="F760" s="5"/>
      <c r="G760" s="6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2">
      <c r="A761" s="1"/>
      <c r="B761" s="7"/>
      <c r="C761" s="3"/>
      <c r="D761" s="4"/>
      <c r="E761" s="4"/>
      <c r="F761" s="5"/>
      <c r="G761" s="6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2">
      <c r="A762" s="1"/>
      <c r="B762" s="7"/>
      <c r="C762" s="3"/>
      <c r="D762" s="4"/>
      <c r="E762" s="4"/>
      <c r="F762" s="5"/>
      <c r="G762" s="6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2">
      <c r="A763" s="1"/>
      <c r="B763" s="7"/>
      <c r="C763" s="3"/>
      <c r="D763" s="4"/>
      <c r="E763" s="4"/>
      <c r="F763" s="5"/>
      <c r="G763" s="6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2">
      <c r="A764" s="1"/>
      <c r="B764" s="7"/>
      <c r="C764" s="3"/>
      <c r="D764" s="4"/>
      <c r="E764" s="4"/>
      <c r="F764" s="5"/>
      <c r="G764" s="6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2">
      <c r="A765" s="1"/>
      <c r="B765" s="7"/>
      <c r="C765" s="3"/>
      <c r="D765" s="4"/>
      <c r="E765" s="4"/>
      <c r="F765" s="5"/>
      <c r="G765" s="6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2">
      <c r="A766" s="1"/>
      <c r="B766" s="7"/>
      <c r="C766" s="3"/>
      <c r="D766" s="4"/>
      <c r="E766" s="4"/>
      <c r="F766" s="5"/>
      <c r="G766" s="6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2">
      <c r="A767" s="1"/>
      <c r="B767" s="7"/>
      <c r="C767" s="3"/>
      <c r="D767" s="4"/>
      <c r="E767" s="4"/>
      <c r="F767" s="5"/>
      <c r="G767" s="6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2">
      <c r="A768" s="1"/>
      <c r="B768" s="7"/>
      <c r="C768" s="3"/>
      <c r="D768" s="4"/>
      <c r="E768" s="4"/>
      <c r="F768" s="5"/>
      <c r="G768" s="6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2">
      <c r="A769" s="1"/>
      <c r="B769" s="7"/>
      <c r="C769" s="3"/>
      <c r="D769" s="4"/>
      <c r="E769" s="4"/>
      <c r="F769" s="5"/>
      <c r="G769" s="6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2">
      <c r="A770" s="1"/>
      <c r="B770" s="7"/>
      <c r="C770" s="3"/>
      <c r="D770" s="4"/>
      <c r="E770" s="4"/>
      <c r="F770" s="5"/>
      <c r="G770" s="6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2">
      <c r="A771" s="1"/>
      <c r="B771" s="7"/>
      <c r="C771" s="3"/>
      <c r="D771" s="4"/>
      <c r="E771" s="4"/>
      <c r="F771" s="5"/>
      <c r="G771" s="6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2">
      <c r="A772" s="1"/>
      <c r="B772" s="7"/>
      <c r="C772" s="3"/>
      <c r="D772" s="4"/>
      <c r="E772" s="4"/>
      <c r="F772" s="5"/>
      <c r="G772" s="6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2">
      <c r="A773" s="1"/>
      <c r="B773" s="7"/>
      <c r="C773" s="3"/>
      <c r="D773" s="4"/>
      <c r="E773" s="4"/>
      <c r="F773" s="5"/>
      <c r="G773" s="6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2">
      <c r="A774" s="1"/>
      <c r="B774" s="7"/>
      <c r="C774" s="3"/>
      <c r="D774" s="4"/>
      <c r="E774" s="4"/>
      <c r="F774" s="5"/>
      <c r="G774" s="6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2">
      <c r="A775" s="1"/>
      <c r="B775" s="7"/>
      <c r="C775" s="3"/>
      <c r="D775" s="4"/>
      <c r="E775" s="4"/>
      <c r="F775" s="5"/>
      <c r="G775" s="6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2">
      <c r="A776" s="1"/>
      <c r="B776" s="7"/>
      <c r="C776" s="3"/>
      <c r="D776" s="4"/>
      <c r="E776" s="4"/>
      <c r="F776" s="5"/>
      <c r="G776" s="6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2">
      <c r="A777" s="1"/>
      <c r="B777" s="7"/>
      <c r="C777" s="3"/>
      <c r="D777" s="4"/>
      <c r="E777" s="4"/>
      <c r="F777" s="5"/>
      <c r="G777" s="6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2">
      <c r="A778" s="1"/>
      <c r="B778" s="7"/>
      <c r="C778" s="3"/>
      <c r="D778" s="4"/>
      <c r="E778" s="4"/>
      <c r="F778" s="5"/>
      <c r="G778" s="6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2">
      <c r="A779" s="1"/>
      <c r="B779" s="7"/>
      <c r="C779" s="3"/>
      <c r="D779" s="4"/>
      <c r="E779" s="4"/>
      <c r="F779" s="5"/>
      <c r="G779" s="6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2">
      <c r="A780" s="1"/>
      <c r="B780" s="7"/>
      <c r="C780" s="3"/>
      <c r="D780" s="4"/>
      <c r="E780" s="4"/>
      <c r="F780" s="5"/>
      <c r="G780" s="6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2">
      <c r="A781" s="1"/>
      <c r="B781" s="7"/>
      <c r="C781" s="3"/>
      <c r="D781" s="4"/>
      <c r="E781" s="4"/>
      <c r="F781" s="5"/>
      <c r="G781" s="6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2">
      <c r="A782" s="1"/>
      <c r="B782" s="7"/>
      <c r="C782" s="3"/>
      <c r="D782" s="4"/>
      <c r="E782" s="4"/>
      <c r="F782" s="5"/>
      <c r="G782" s="6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2">
      <c r="A783" s="1"/>
      <c r="B783" s="7"/>
      <c r="C783" s="3"/>
      <c r="D783" s="4"/>
      <c r="E783" s="4"/>
      <c r="F783" s="5"/>
      <c r="G783" s="6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2">
      <c r="A784" s="1"/>
      <c r="B784" s="7"/>
      <c r="C784" s="3"/>
      <c r="D784" s="4"/>
      <c r="E784" s="4"/>
      <c r="F784" s="5"/>
      <c r="G784" s="6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2">
      <c r="A785" s="1"/>
      <c r="B785" s="7"/>
      <c r="C785" s="3"/>
      <c r="D785" s="4"/>
      <c r="E785" s="4"/>
      <c r="F785" s="5"/>
      <c r="G785" s="6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2">
      <c r="A786" s="1"/>
      <c r="B786" s="7"/>
      <c r="C786" s="3"/>
      <c r="D786" s="4"/>
      <c r="E786" s="4"/>
      <c r="F786" s="5"/>
      <c r="G786" s="6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2">
      <c r="A787" s="1"/>
      <c r="B787" s="7"/>
      <c r="C787" s="3"/>
      <c r="D787" s="4"/>
      <c r="E787" s="4"/>
      <c r="F787" s="5"/>
      <c r="G787" s="6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2">
      <c r="A788" s="1"/>
      <c r="B788" s="7"/>
      <c r="C788" s="3"/>
      <c r="D788" s="4"/>
      <c r="E788" s="4"/>
      <c r="F788" s="5"/>
      <c r="G788" s="6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2">
      <c r="A789" s="1"/>
      <c r="B789" s="7"/>
      <c r="C789" s="3"/>
      <c r="D789" s="4"/>
      <c r="E789" s="4"/>
      <c r="F789" s="5"/>
      <c r="G789" s="6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2">
      <c r="A790" s="1"/>
      <c r="B790" s="7"/>
      <c r="C790" s="3"/>
      <c r="D790" s="4"/>
      <c r="E790" s="4"/>
      <c r="F790" s="5"/>
      <c r="G790" s="6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2">
      <c r="A791" s="1"/>
      <c r="B791" s="7"/>
      <c r="C791" s="3"/>
      <c r="D791" s="4"/>
      <c r="E791" s="4"/>
      <c r="F791" s="5"/>
      <c r="G791" s="6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2">
      <c r="A792" s="1"/>
      <c r="B792" s="7"/>
      <c r="C792" s="3"/>
      <c r="D792" s="4"/>
      <c r="E792" s="4"/>
      <c r="F792" s="5"/>
      <c r="G792" s="6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2">
      <c r="A793" s="1"/>
      <c r="B793" s="7"/>
      <c r="C793" s="3"/>
      <c r="D793" s="4"/>
      <c r="E793" s="4"/>
      <c r="F793" s="5"/>
      <c r="G793" s="6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2">
      <c r="A794" s="1"/>
      <c r="B794" s="7"/>
      <c r="C794" s="3"/>
      <c r="D794" s="4"/>
      <c r="E794" s="4"/>
      <c r="F794" s="5"/>
      <c r="G794" s="6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2">
      <c r="A795" s="1"/>
      <c r="B795" s="7"/>
      <c r="C795" s="3"/>
      <c r="D795" s="4"/>
      <c r="E795" s="4"/>
      <c r="F795" s="5"/>
      <c r="G795" s="6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2">
      <c r="A796" s="1"/>
      <c r="B796" s="7"/>
      <c r="C796" s="3"/>
      <c r="D796" s="4"/>
      <c r="E796" s="4"/>
      <c r="F796" s="5"/>
      <c r="G796" s="6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2">
      <c r="A797" s="1"/>
      <c r="B797" s="7"/>
      <c r="C797" s="3"/>
      <c r="D797" s="4"/>
      <c r="E797" s="4"/>
      <c r="F797" s="5"/>
      <c r="G797" s="6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2">
      <c r="A798" s="1"/>
      <c r="B798" s="7"/>
      <c r="C798" s="3"/>
      <c r="D798" s="4"/>
      <c r="E798" s="4"/>
      <c r="F798" s="5"/>
      <c r="G798" s="6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2">
      <c r="A799" s="1"/>
      <c r="B799" s="7"/>
      <c r="C799" s="3"/>
      <c r="D799" s="4"/>
      <c r="E799" s="4"/>
      <c r="F799" s="5"/>
      <c r="G799" s="6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2">
      <c r="A800" s="1"/>
      <c r="B800" s="7"/>
      <c r="C800" s="3"/>
      <c r="D800" s="4"/>
      <c r="E800" s="4"/>
      <c r="F800" s="5"/>
      <c r="G800" s="6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2">
      <c r="A801" s="1"/>
      <c r="B801" s="7"/>
      <c r="C801" s="3"/>
      <c r="D801" s="4"/>
      <c r="E801" s="4"/>
      <c r="F801" s="5"/>
      <c r="G801" s="6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2">
      <c r="A802" s="1"/>
      <c r="B802" s="7"/>
      <c r="C802" s="3"/>
      <c r="D802" s="4"/>
      <c r="E802" s="4"/>
      <c r="F802" s="5"/>
      <c r="G802" s="6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2">
      <c r="A803" s="1"/>
      <c r="B803" s="7"/>
      <c r="C803" s="3"/>
      <c r="D803" s="4"/>
      <c r="E803" s="4"/>
      <c r="F803" s="5"/>
      <c r="G803" s="6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2">
      <c r="A804" s="1"/>
      <c r="B804" s="7"/>
      <c r="C804" s="3"/>
      <c r="D804" s="4"/>
      <c r="E804" s="4"/>
      <c r="F804" s="5"/>
      <c r="G804" s="6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2">
      <c r="A805" s="1"/>
      <c r="B805" s="7"/>
      <c r="C805" s="3"/>
      <c r="D805" s="4"/>
      <c r="E805" s="4"/>
      <c r="F805" s="5"/>
      <c r="G805" s="6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2">
      <c r="A806" s="1"/>
      <c r="B806" s="7"/>
      <c r="C806" s="3"/>
      <c r="D806" s="4"/>
      <c r="E806" s="4"/>
      <c r="F806" s="5"/>
      <c r="G806" s="6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2">
      <c r="A807" s="1"/>
      <c r="B807" s="7"/>
      <c r="C807" s="3"/>
      <c r="D807" s="4"/>
      <c r="E807" s="4"/>
      <c r="F807" s="5"/>
      <c r="G807" s="6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2">
      <c r="A808" s="1"/>
      <c r="B808" s="7"/>
      <c r="C808" s="3"/>
      <c r="D808" s="4"/>
      <c r="E808" s="4"/>
      <c r="F808" s="5"/>
      <c r="G808" s="6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2">
      <c r="A809" s="1"/>
      <c r="B809" s="7"/>
      <c r="C809" s="3"/>
      <c r="D809" s="4"/>
      <c r="E809" s="4"/>
      <c r="F809" s="5"/>
      <c r="G809" s="6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2">
      <c r="A810" s="1"/>
      <c r="B810" s="7"/>
      <c r="C810" s="3"/>
      <c r="D810" s="4"/>
      <c r="E810" s="4"/>
      <c r="F810" s="5"/>
      <c r="G810" s="6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2">
      <c r="A811" s="1"/>
      <c r="B811" s="7"/>
      <c r="C811" s="3"/>
      <c r="D811" s="4"/>
      <c r="E811" s="4"/>
      <c r="F811" s="5"/>
      <c r="G811" s="6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2">
      <c r="A812" s="1"/>
      <c r="B812" s="7"/>
      <c r="C812" s="3"/>
      <c r="D812" s="4"/>
      <c r="E812" s="4"/>
      <c r="F812" s="5"/>
      <c r="G812" s="6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2">
      <c r="A813" s="1"/>
      <c r="B813" s="7"/>
      <c r="C813" s="3"/>
      <c r="D813" s="4"/>
      <c r="E813" s="4"/>
      <c r="F813" s="5"/>
      <c r="G813" s="6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2">
      <c r="A814" s="1"/>
      <c r="B814" s="7"/>
      <c r="C814" s="3"/>
      <c r="D814" s="4"/>
      <c r="E814" s="4"/>
      <c r="F814" s="5"/>
      <c r="G814" s="6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2">
      <c r="A815" s="1"/>
      <c r="B815" s="7"/>
      <c r="C815" s="3"/>
      <c r="D815" s="4"/>
      <c r="E815" s="4"/>
      <c r="F815" s="5"/>
      <c r="G815" s="6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2">
      <c r="A816" s="1"/>
      <c r="B816" s="7"/>
      <c r="C816" s="3"/>
      <c r="D816" s="4"/>
      <c r="E816" s="4"/>
      <c r="F816" s="5"/>
      <c r="G816" s="6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2">
      <c r="A817" s="1"/>
      <c r="B817" s="7"/>
      <c r="C817" s="3"/>
      <c r="D817" s="4"/>
      <c r="E817" s="4"/>
      <c r="F817" s="5"/>
      <c r="G817" s="6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2">
      <c r="A818" s="1"/>
      <c r="B818" s="7"/>
      <c r="C818" s="3"/>
      <c r="D818" s="4"/>
      <c r="E818" s="4"/>
      <c r="F818" s="5"/>
      <c r="G818" s="6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2">
      <c r="A819" s="1"/>
      <c r="B819" s="7"/>
      <c r="C819" s="3"/>
      <c r="D819" s="4"/>
      <c r="E819" s="4"/>
      <c r="F819" s="5"/>
      <c r="G819" s="6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2">
      <c r="A820" s="1"/>
      <c r="B820" s="7"/>
      <c r="C820" s="3"/>
      <c r="D820" s="4"/>
      <c r="E820" s="4"/>
      <c r="F820" s="5"/>
      <c r="G820" s="6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2">
      <c r="A821" s="1"/>
      <c r="B821" s="7"/>
      <c r="C821" s="3"/>
      <c r="D821" s="4"/>
      <c r="E821" s="4"/>
      <c r="F821" s="5"/>
      <c r="G821" s="6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2">
      <c r="A822" s="1"/>
      <c r="B822" s="7"/>
      <c r="C822" s="3"/>
      <c r="D822" s="4"/>
      <c r="E822" s="4"/>
      <c r="F822" s="5"/>
      <c r="G822" s="6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2">
      <c r="A823" s="1"/>
      <c r="B823" s="7"/>
      <c r="C823" s="3"/>
      <c r="D823" s="4"/>
      <c r="E823" s="4"/>
      <c r="F823" s="5"/>
      <c r="G823" s="6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2">
      <c r="A824" s="1"/>
      <c r="B824" s="7"/>
      <c r="C824" s="3"/>
      <c r="D824" s="4"/>
      <c r="E824" s="4"/>
      <c r="F824" s="5"/>
      <c r="G824" s="6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2">
      <c r="A825" s="1"/>
      <c r="B825" s="7"/>
      <c r="C825" s="3"/>
      <c r="D825" s="4"/>
      <c r="E825" s="4"/>
      <c r="F825" s="5"/>
      <c r="G825" s="6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2">
      <c r="A826" s="1"/>
      <c r="B826" s="7"/>
      <c r="C826" s="3"/>
      <c r="D826" s="4"/>
      <c r="E826" s="4"/>
      <c r="F826" s="5"/>
      <c r="G826" s="6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2">
      <c r="A827" s="1"/>
      <c r="B827" s="7"/>
      <c r="C827" s="3"/>
      <c r="D827" s="4"/>
      <c r="E827" s="4"/>
      <c r="F827" s="5"/>
      <c r="G827" s="6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2">
      <c r="A828" s="1"/>
      <c r="B828" s="7"/>
      <c r="C828" s="3"/>
      <c r="D828" s="4"/>
      <c r="E828" s="4"/>
      <c r="F828" s="5"/>
      <c r="G828" s="6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2">
      <c r="A829" s="1"/>
      <c r="B829" s="7"/>
      <c r="C829" s="3"/>
      <c r="D829" s="4"/>
      <c r="E829" s="4"/>
      <c r="F829" s="5"/>
      <c r="G829" s="6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2">
      <c r="A830" s="1"/>
      <c r="B830" s="7"/>
      <c r="C830" s="3"/>
      <c r="D830" s="4"/>
      <c r="E830" s="4"/>
      <c r="F830" s="5"/>
      <c r="G830" s="6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2">
      <c r="A831" s="1"/>
      <c r="B831" s="7"/>
      <c r="C831" s="3"/>
      <c r="D831" s="4"/>
      <c r="E831" s="4"/>
      <c r="F831" s="5"/>
      <c r="G831" s="6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2">
      <c r="A832" s="1"/>
      <c r="B832" s="7"/>
      <c r="C832" s="3"/>
      <c r="D832" s="4"/>
      <c r="E832" s="4"/>
      <c r="F832" s="5"/>
      <c r="G832" s="6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2">
      <c r="A833" s="1"/>
      <c r="B833" s="7"/>
      <c r="C833" s="3"/>
      <c r="D833" s="4"/>
      <c r="E833" s="4"/>
      <c r="F833" s="5"/>
      <c r="G833" s="6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2">
      <c r="A834" s="1"/>
      <c r="B834" s="7"/>
      <c r="C834" s="3"/>
      <c r="D834" s="4"/>
      <c r="E834" s="4"/>
      <c r="F834" s="5"/>
      <c r="G834" s="6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2">
      <c r="A835" s="1"/>
      <c r="B835" s="7"/>
      <c r="C835" s="3"/>
      <c r="D835" s="4"/>
      <c r="E835" s="4"/>
      <c r="F835" s="5"/>
      <c r="G835" s="6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2">
      <c r="A836" s="1"/>
      <c r="B836" s="7"/>
      <c r="C836" s="3"/>
      <c r="D836" s="4"/>
      <c r="E836" s="4"/>
      <c r="F836" s="5"/>
      <c r="G836" s="6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2">
      <c r="A837" s="1"/>
      <c r="B837" s="7"/>
      <c r="C837" s="3"/>
      <c r="D837" s="4"/>
      <c r="E837" s="4"/>
      <c r="F837" s="5"/>
      <c r="G837" s="6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2">
      <c r="A838" s="1"/>
      <c r="B838" s="7"/>
      <c r="C838" s="3"/>
      <c r="D838" s="4"/>
      <c r="E838" s="4"/>
      <c r="F838" s="5"/>
      <c r="G838" s="6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2">
      <c r="A839" s="1"/>
      <c r="B839" s="7"/>
      <c r="C839" s="3"/>
      <c r="D839" s="4"/>
      <c r="E839" s="4"/>
      <c r="F839" s="5"/>
      <c r="G839" s="6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2">
      <c r="A840" s="1"/>
      <c r="B840" s="7"/>
      <c r="C840" s="3"/>
      <c r="D840" s="4"/>
      <c r="E840" s="4"/>
      <c r="F840" s="5"/>
      <c r="G840" s="6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2">
      <c r="A841" s="1"/>
      <c r="B841" s="7"/>
      <c r="C841" s="3"/>
      <c r="D841" s="4"/>
      <c r="E841" s="4"/>
      <c r="F841" s="5"/>
      <c r="G841" s="6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2">
      <c r="A842" s="1"/>
      <c r="B842" s="7"/>
      <c r="C842" s="3"/>
      <c r="D842" s="4"/>
      <c r="E842" s="4"/>
      <c r="F842" s="5"/>
      <c r="G842" s="6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2">
      <c r="A843" s="1"/>
      <c r="B843" s="7"/>
      <c r="C843" s="3"/>
      <c r="D843" s="4"/>
      <c r="E843" s="4"/>
      <c r="F843" s="5"/>
      <c r="G843" s="6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2">
      <c r="A844" s="1"/>
      <c r="B844" s="7"/>
      <c r="C844" s="3"/>
      <c r="D844" s="4"/>
      <c r="E844" s="4"/>
      <c r="F844" s="5"/>
      <c r="G844" s="6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2">
      <c r="A845" s="1"/>
      <c r="B845" s="7"/>
      <c r="C845" s="3"/>
      <c r="D845" s="4"/>
      <c r="E845" s="4"/>
      <c r="F845" s="5"/>
      <c r="G845" s="6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2">
      <c r="A846" s="1"/>
      <c r="B846" s="7"/>
      <c r="C846" s="3"/>
      <c r="D846" s="4"/>
      <c r="E846" s="4"/>
      <c r="F846" s="5"/>
      <c r="G846" s="6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2">
      <c r="A847" s="1"/>
      <c r="B847" s="7"/>
      <c r="C847" s="3"/>
      <c r="D847" s="4"/>
      <c r="E847" s="4"/>
      <c r="F847" s="5"/>
      <c r="G847" s="6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2">
      <c r="A848" s="1"/>
      <c r="B848" s="7"/>
      <c r="C848" s="3"/>
      <c r="D848" s="4"/>
      <c r="E848" s="4"/>
      <c r="F848" s="5"/>
      <c r="G848" s="6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2">
      <c r="A849" s="1"/>
      <c r="B849" s="7"/>
      <c r="C849" s="3"/>
      <c r="D849" s="4"/>
      <c r="E849" s="4"/>
      <c r="F849" s="5"/>
      <c r="G849" s="6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2">
      <c r="A850" s="1"/>
      <c r="B850" s="7"/>
      <c r="C850" s="3"/>
      <c r="D850" s="4"/>
      <c r="E850" s="4"/>
      <c r="F850" s="5"/>
      <c r="G850" s="6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2">
      <c r="A851" s="1"/>
      <c r="B851" s="7"/>
      <c r="C851" s="3"/>
      <c r="D851" s="4"/>
      <c r="E851" s="4"/>
      <c r="F851" s="5"/>
      <c r="G851" s="6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2">
      <c r="A852" s="1"/>
      <c r="B852" s="7"/>
      <c r="C852" s="3"/>
      <c r="D852" s="4"/>
      <c r="E852" s="4"/>
      <c r="F852" s="5"/>
      <c r="G852" s="6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2">
      <c r="A853" s="1"/>
      <c r="B853" s="7"/>
      <c r="C853" s="3"/>
      <c r="D853" s="4"/>
      <c r="E853" s="4"/>
      <c r="F853" s="5"/>
      <c r="G853" s="6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2">
      <c r="A854" s="1"/>
      <c r="B854" s="7"/>
      <c r="C854" s="3"/>
      <c r="D854" s="4"/>
      <c r="E854" s="4"/>
      <c r="F854" s="5"/>
      <c r="G854" s="6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2">
      <c r="A855" s="1"/>
      <c r="B855" s="7"/>
      <c r="C855" s="3"/>
      <c r="D855" s="4"/>
      <c r="E855" s="4"/>
      <c r="F855" s="5"/>
      <c r="G855" s="6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2">
      <c r="A856" s="1"/>
      <c r="B856" s="7"/>
      <c r="C856" s="3"/>
      <c r="D856" s="4"/>
      <c r="E856" s="4"/>
      <c r="F856" s="5"/>
      <c r="G856" s="6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2">
      <c r="A857" s="1"/>
      <c r="B857" s="7"/>
      <c r="C857" s="3"/>
      <c r="D857" s="4"/>
      <c r="E857" s="4"/>
      <c r="F857" s="5"/>
      <c r="G857" s="6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2">
      <c r="A858" s="1"/>
      <c r="B858" s="7"/>
      <c r="C858" s="3"/>
      <c r="D858" s="4"/>
      <c r="E858" s="4"/>
      <c r="F858" s="5"/>
      <c r="G858" s="6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2">
      <c r="A859" s="1"/>
      <c r="B859" s="7"/>
      <c r="C859" s="3"/>
      <c r="D859" s="4"/>
      <c r="E859" s="4"/>
      <c r="F859" s="5"/>
      <c r="G859" s="6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2">
      <c r="A860" s="1"/>
      <c r="B860" s="7"/>
      <c r="C860" s="3"/>
      <c r="D860" s="4"/>
      <c r="E860" s="4"/>
      <c r="F860" s="5"/>
      <c r="G860" s="6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2">
      <c r="A861" s="1"/>
      <c r="B861" s="7"/>
      <c r="C861" s="3"/>
      <c r="D861" s="4"/>
      <c r="E861" s="4"/>
      <c r="F861" s="5"/>
      <c r="G861" s="6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2">
      <c r="A862" s="1"/>
      <c r="B862" s="7"/>
      <c r="C862" s="3"/>
      <c r="D862" s="4"/>
      <c r="E862" s="4"/>
      <c r="F862" s="5"/>
      <c r="G862" s="6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2">
      <c r="A863" s="1"/>
      <c r="B863" s="7"/>
      <c r="C863" s="3"/>
      <c r="D863" s="4"/>
      <c r="E863" s="4"/>
      <c r="F863" s="5"/>
      <c r="G863" s="6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2">
      <c r="A864" s="1"/>
      <c r="B864" s="7"/>
      <c r="C864" s="3"/>
      <c r="D864" s="4"/>
      <c r="E864" s="4"/>
      <c r="F864" s="5"/>
      <c r="G864" s="6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2">
      <c r="A865" s="1"/>
      <c r="B865" s="7"/>
      <c r="C865" s="3"/>
      <c r="D865" s="4"/>
      <c r="E865" s="4"/>
      <c r="F865" s="5"/>
      <c r="G865" s="6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2">
      <c r="A866" s="1"/>
      <c r="B866" s="7"/>
      <c r="C866" s="3"/>
      <c r="D866" s="4"/>
      <c r="E866" s="4"/>
      <c r="F866" s="5"/>
      <c r="G866" s="6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2">
      <c r="A867" s="1"/>
      <c r="B867" s="7"/>
      <c r="C867" s="3"/>
      <c r="D867" s="4"/>
      <c r="E867" s="4"/>
      <c r="F867" s="5"/>
      <c r="G867" s="6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2">
      <c r="A868" s="1"/>
      <c r="B868" s="7"/>
      <c r="C868" s="3"/>
      <c r="D868" s="4"/>
      <c r="E868" s="4"/>
      <c r="F868" s="5"/>
      <c r="G868" s="6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2">
      <c r="A869" s="1"/>
      <c r="B869" s="7"/>
      <c r="C869" s="3"/>
      <c r="D869" s="4"/>
      <c r="E869" s="4"/>
      <c r="F869" s="5"/>
      <c r="G869" s="6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2">
      <c r="A870" s="1"/>
      <c r="B870" s="7"/>
      <c r="C870" s="3"/>
      <c r="D870" s="4"/>
      <c r="E870" s="4"/>
      <c r="F870" s="5"/>
      <c r="G870" s="6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2">
      <c r="A871" s="1"/>
      <c r="B871" s="7"/>
      <c r="C871" s="3"/>
      <c r="D871" s="4"/>
      <c r="E871" s="4"/>
      <c r="F871" s="5"/>
      <c r="G871" s="6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2">
      <c r="A872" s="1"/>
      <c r="B872" s="7"/>
      <c r="C872" s="3"/>
      <c r="D872" s="4"/>
      <c r="E872" s="4"/>
      <c r="F872" s="5"/>
      <c r="G872" s="6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2">
      <c r="A873" s="1"/>
      <c r="B873" s="7"/>
      <c r="C873" s="3"/>
      <c r="D873" s="4"/>
      <c r="E873" s="4"/>
      <c r="F873" s="5"/>
      <c r="G873" s="6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2">
      <c r="A874" s="1"/>
      <c r="B874" s="7"/>
      <c r="C874" s="3"/>
      <c r="D874" s="4"/>
      <c r="E874" s="4"/>
      <c r="F874" s="5"/>
      <c r="G874" s="6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2">
      <c r="A875" s="1"/>
      <c r="B875" s="7"/>
      <c r="C875" s="3"/>
      <c r="D875" s="4"/>
      <c r="E875" s="4"/>
      <c r="F875" s="5"/>
      <c r="G875" s="6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2">
      <c r="A876" s="1"/>
      <c r="B876" s="7"/>
      <c r="C876" s="3"/>
      <c r="D876" s="4"/>
      <c r="E876" s="4"/>
      <c r="F876" s="5"/>
      <c r="G876" s="6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2">
      <c r="A877" s="1"/>
      <c r="B877" s="7"/>
      <c r="C877" s="3"/>
      <c r="D877" s="4"/>
      <c r="E877" s="4"/>
      <c r="F877" s="5"/>
      <c r="G877" s="6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2">
      <c r="A878" s="1"/>
      <c r="B878" s="7"/>
      <c r="C878" s="3"/>
      <c r="D878" s="4"/>
      <c r="E878" s="4"/>
      <c r="F878" s="5"/>
      <c r="G878" s="6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2">
      <c r="A879" s="1"/>
      <c r="B879" s="7"/>
      <c r="C879" s="3"/>
      <c r="D879" s="4"/>
      <c r="E879" s="4"/>
      <c r="F879" s="5"/>
      <c r="G879" s="6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2">
      <c r="A880" s="1"/>
      <c r="B880" s="7"/>
      <c r="C880" s="3"/>
      <c r="D880" s="4"/>
      <c r="E880" s="4"/>
      <c r="F880" s="5"/>
      <c r="G880" s="6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2">
      <c r="A881" s="1"/>
      <c r="B881" s="7"/>
      <c r="C881" s="3"/>
      <c r="D881" s="4"/>
      <c r="E881" s="4"/>
      <c r="F881" s="5"/>
      <c r="G881" s="6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2">
      <c r="A882" s="1"/>
      <c r="B882" s="7"/>
      <c r="C882" s="3"/>
      <c r="D882" s="4"/>
      <c r="E882" s="4"/>
      <c r="F882" s="5"/>
      <c r="G882" s="6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2">
      <c r="A883" s="1"/>
      <c r="B883" s="7"/>
      <c r="C883" s="3"/>
      <c r="D883" s="4"/>
      <c r="E883" s="4"/>
      <c r="F883" s="5"/>
      <c r="G883" s="6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2">
      <c r="A884" s="1"/>
      <c r="B884" s="7"/>
      <c r="C884" s="3"/>
      <c r="D884" s="4"/>
      <c r="E884" s="4"/>
      <c r="F884" s="5"/>
      <c r="G884" s="6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2">
      <c r="A885" s="1"/>
      <c r="B885" s="7"/>
      <c r="C885" s="3"/>
      <c r="D885" s="4"/>
      <c r="E885" s="4"/>
      <c r="F885" s="5"/>
      <c r="G885" s="6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2">
      <c r="A886" s="1"/>
      <c r="B886" s="7"/>
      <c r="C886" s="3"/>
      <c r="D886" s="4"/>
      <c r="E886" s="4"/>
      <c r="F886" s="5"/>
      <c r="G886" s="6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2">
      <c r="A887" s="1"/>
      <c r="B887" s="7"/>
      <c r="C887" s="3"/>
      <c r="D887" s="4"/>
      <c r="E887" s="4"/>
      <c r="F887" s="5"/>
      <c r="G887" s="6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2">
      <c r="A888" s="1"/>
      <c r="B888" s="7"/>
      <c r="C888" s="3"/>
      <c r="D888" s="4"/>
      <c r="E888" s="4"/>
      <c r="F888" s="5"/>
      <c r="G888" s="6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2">
      <c r="A889" s="1"/>
      <c r="B889" s="7"/>
      <c r="C889" s="3"/>
      <c r="D889" s="4"/>
      <c r="E889" s="4"/>
      <c r="F889" s="5"/>
      <c r="G889" s="6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2">
      <c r="A890" s="1"/>
      <c r="B890" s="7"/>
      <c r="C890" s="3"/>
      <c r="D890" s="4"/>
      <c r="E890" s="4"/>
      <c r="F890" s="5"/>
      <c r="G890" s="6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2">
      <c r="A891" s="1"/>
      <c r="B891" s="7"/>
      <c r="C891" s="3"/>
      <c r="D891" s="4"/>
      <c r="E891" s="4"/>
      <c r="F891" s="5"/>
      <c r="G891" s="6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2">
      <c r="A892" s="1"/>
      <c r="B892" s="7"/>
      <c r="C892" s="3"/>
      <c r="D892" s="4"/>
      <c r="E892" s="4"/>
      <c r="F892" s="5"/>
      <c r="G892" s="6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2">
      <c r="A893" s="1"/>
      <c r="B893" s="7"/>
      <c r="C893" s="3"/>
      <c r="D893" s="4"/>
      <c r="E893" s="4"/>
      <c r="F893" s="5"/>
      <c r="G893" s="6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2">
      <c r="A894" s="1"/>
      <c r="B894" s="7"/>
      <c r="C894" s="3"/>
      <c r="D894" s="4"/>
      <c r="E894" s="4"/>
      <c r="F894" s="5"/>
      <c r="G894" s="6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2">
      <c r="A895" s="1"/>
      <c r="B895" s="7"/>
      <c r="C895" s="3"/>
      <c r="D895" s="4"/>
      <c r="E895" s="4"/>
      <c r="F895" s="5"/>
      <c r="G895" s="6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2">
      <c r="A896" s="1"/>
      <c r="B896" s="7"/>
      <c r="C896" s="3"/>
      <c r="D896" s="4"/>
      <c r="E896" s="4"/>
      <c r="F896" s="5"/>
      <c r="G896" s="6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2">
      <c r="A897" s="1"/>
      <c r="B897" s="7"/>
      <c r="C897" s="3"/>
      <c r="D897" s="4"/>
      <c r="E897" s="4"/>
      <c r="F897" s="5"/>
      <c r="G897" s="6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2">
      <c r="A898" s="1"/>
      <c r="B898" s="7"/>
      <c r="C898" s="3"/>
      <c r="D898" s="4"/>
      <c r="E898" s="4"/>
      <c r="F898" s="5"/>
      <c r="G898" s="6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2">
      <c r="A899" s="1"/>
      <c r="B899" s="7"/>
      <c r="C899" s="3"/>
      <c r="D899" s="4"/>
      <c r="E899" s="4"/>
      <c r="F899" s="5"/>
      <c r="G899" s="6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2">
      <c r="A900" s="1"/>
      <c r="B900" s="7"/>
      <c r="C900" s="3"/>
      <c r="D900" s="4"/>
      <c r="E900" s="4"/>
      <c r="F900" s="5"/>
      <c r="G900" s="6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2">
      <c r="A901" s="1"/>
      <c r="B901" s="7"/>
      <c r="C901" s="3"/>
      <c r="D901" s="4"/>
      <c r="E901" s="4"/>
      <c r="F901" s="5"/>
      <c r="G901" s="6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2">
      <c r="A902" s="1"/>
      <c r="B902" s="7"/>
      <c r="C902" s="3"/>
      <c r="D902" s="4"/>
      <c r="E902" s="4"/>
      <c r="F902" s="5"/>
      <c r="G902" s="6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2">
      <c r="A903" s="1"/>
      <c r="B903" s="7"/>
      <c r="C903" s="3"/>
      <c r="D903" s="4"/>
      <c r="E903" s="4"/>
      <c r="F903" s="5"/>
      <c r="G903" s="6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2">
      <c r="A904" s="1"/>
      <c r="B904" s="7"/>
      <c r="C904" s="3"/>
      <c r="D904" s="4"/>
      <c r="E904" s="4"/>
      <c r="F904" s="5"/>
      <c r="G904" s="6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2">
      <c r="A905" s="1"/>
      <c r="B905" s="7"/>
      <c r="C905" s="3"/>
      <c r="D905" s="4"/>
      <c r="E905" s="4"/>
      <c r="F905" s="5"/>
      <c r="G905" s="6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2">
      <c r="A906" s="1"/>
      <c r="B906" s="7"/>
      <c r="C906" s="3"/>
      <c r="D906" s="4"/>
      <c r="E906" s="4"/>
      <c r="F906" s="5"/>
      <c r="G906" s="6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2">
      <c r="A907" s="1"/>
      <c r="B907" s="7"/>
      <c r="C907" s="3"/>
      <c r="D907" s="4"/>
      <c r="E907" s="4"/>
      <c r="F907" s="5"/>
      <c r="G907" s="6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2">
      <c r="A908" s="1"/>
      <c r="B908" s="7"/>
      <c r="C908" s="3"/>
      <c r="D908" s="4"/>
      <c r="E908" s="4"/>
      <c r="F908" s="5"/>
      <c r="G908" s="6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2">
      <c r="A909" s="1"/>
      <c r="B909" s="7"/>
      <c r="C909" s="3"/>
      <c r="D909" s="4"/>
      <c r="E909" s="4"/>
      <c r="F909" s="5"/>
      <c r="G909" s="6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2">
      <c r="A910" s="1"/>
      <c r="B910" s="7"/>
      <c r="C910" s="3"/>
      <c r="D910" s="4"/>
      <c r="E910" s="4"/>
      <c r="F910" s="5"/>
      <c r="G910" s="6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2">
      <c r="A911" s="1"/>
      <c r="B911" s="7"/>
      <c r="C911" s="3"/>
      <c r="D911" s="4"/>
      <c r="E911" s="4"/>
      <c r="F911" s="5"/>
      <c r="G911" s="6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2">
      <c r="A912" s="1"/>
      <c r="B912" s="7"/>
      <c r="C912" s="3"/>
      <c r="D912" s="4"/>
      <c r="E912" s="4"/>
      <c r="F912" s="5"/>
      <c r="G912" s="6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2">
      <c r="A913" s="1"/>
      <c r="B913" s="7"/>
      <c r="C913" s="3"/>
      <c r="D913" s="4"/>
      <c r="E913" s="4"/>
      <c r="F913" s="5"/>
      <c r="G913" s="6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2">
      <c r="A914" s="1"/>
      <c r="B914" s="7"/>
      <c r="C914" s="3"/>
      <c r="D914" s="4"/>
      <c r="E914" s="4"/>
      <c r="F914" s="5"/>
      <c r="G914" s="6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2">
      <c r="A915" s="1"/>
      <c r="B915" s="7"/>
      <c r="C915" s="3"/>
      <c r="D915" s="4"/>
      <c r="E915" s="4"/>
      <c r="F915" s="5"/>
      <c r="G915" s="6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2">
      <c r="A916" s="1"/>
      <c r="B916" s="7"/>
      <c r="C916" s="3"/>
      <c r="D916" s="4"/>
      <c r="E916" s="4"/>
      <c r="F916" s="5"/>
      <c r="G916" s="6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2">
      <c r="A917" s="1"/>
      <c r="B917" s="7"/>
      <c r="C917" s="3"/>
      <c r="D917" s="4"/>
      <c r="E917" s="4"/>
      <c r="F917" s="5"/>
      <c r="G917" s="6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2">
      <c r="A918" s="1"/>
      <c r="B918" s="7"/>
      <c r="C918" s="3"/>
      <c r="D918" s="4"/>
      <c r="E918" s="4"/>
      <c r="F918" s="5"/>
      <c r="G918" s="6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2">
      <c r="A919" s="1"/>
      <c r="B919" s="7"/>
      <c r="C919" s="3"/>
      <c r="D919" s="4"/>
      <c r="E919" s="4"/>
      <c r="F919" s="5"/>
      <c r="G919" s="6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2">
      <c r="A920" s="1"/>
      <c r="B920" s="7"/>
      <c r="C920" s="3"/>
      <c r="D920" s="4"/>
      <c r="E920" s="4"/>
      <c r="F920" s="5"/>
      <c r="G920" s="6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2">
      <c r="A921" s="1"/>
      <c r="B921" s="7"/>
      <c r="C921" s="3"/>
      <c r="D921" s="4"/>
      <c r="E921" s="4"/>
      <c r="F921" s="5"/>
      <c r="G921" s="6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2">
      <c r="A922" s="1"/>
      <c r="B922" s="7"/>
      <c r="C922" s="3"/>
      <c r="D922" s="4"/>
      <c r="E922" s="4"/>
      <c r="F922" s="5"/>
      <c r="G922" s="6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2">
      <c r="A923" s="1"/>
      <c r="B923" s="7"/>
      <c r="C923" s="3"/>
      <c r="D923" s="4"/>
      <c r="E923" s="4"/>
      <c r="F923" s="5"/>
      <c r="G923" s="6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2">
      <c r="A924" s="1"/>
      <c r="B924" s="7"/>
      <c r="C924" s="3"/>
      <c r="D924" s="4"/>
      <c r="E924" s="4"/>
      <c r="F924" s="5"/>
      <c r="G924" s="6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2">
      <c r="A925" s="1"/>
      <c r="B925" s="7"/>
      <c r="C925" s="3"/>
      <c r="D925" s="4"/>
      <c r="E925" s="4"/>
      <c r="F925" s="5"/>
      <c r="G925" s="6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2">
      <c r="A926" s="1"/>
      <c r="B926" s="7"/>
      <c r="C926" s="3"/>
      <c r="D926" s="4"/>
      <c r="E926" s="4"/>
      <c r="F926" s="5"/>
      <c r="G926" s="6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2">
      <c r="A927" s="1"/>
      <c r="B927" s="7"/>
      <c r="C927" s="3"/>
      <c r="D927" s="4"/>
      <c r="E927" s="4"/>
      <c r="F927" s="5"/>
      <c r="G927" s="6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2">
      <c r="A928" s="1"/>
      <c r="B928" s="7"/>
      <c r="C928" s="3"/>
      <c r="D928" s="4"/>
      <c r="E928" s="4"/>
      <c r="F928" s="5"/>
      <c r="G928" s="6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2">
      <c r="A929" s="1"/>
      <c r="B929" s="7"/>
      <c r="C929" s="3"/>
      <c r="D929" s="4"/>
      <c r="E929" s="4"/>
      <c r="F929" s="5"/>
      <c r="G929" s="6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2">
      <c r="A930" s="1"/>
      <c r="B930" s="7"/>
      <c r="C930" s="3"/>
      <c r="D930" s="4"/>
      <c r="E930" s="4"/>
      <c r="F930" s="5"/>
      <c r="G930" s="6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2">
      <c r="A931" s="1"/>
      <c r="B931" s="7"/>
      <c r="C931" s="3"/>
      <c r="D931" s="4"/>
      <c r="E931" s="4"/>
      <c r="F931" s="5"/>
      <c r="G931" s="6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2">
      <c r="A932" s="1"/>
      <c r="B932" s="7"/>
      <c r="C932" s="3"/>
      <c r="D932" s="4"/>
      <c r="E932" s="4"/>
      <c r="F932" s="5"/>
      <c r="G932" s="6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2">
      <c r="A933" s="1"/>
      <c r="B933" s="7"/>
      <c r="C933" s="3"/>
      <c r="D933" s="4"/>
      <c r="E933" s="4"/>
      <c r="F933" s="5"/>
      <c r="G933" s="6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2">
      <c r="A934" s="1"/>
      <c r="B934" s="7"/>
      <c r="C934" s="3"/>
      <c r="D934" s="4"/>
      <c r="E934" s="4"/>
      <c r="F934" s="5"/>
      <c r="G934" s="6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2">
      <c r="A935" s="1"/>
      <c r="B935" s="7"/>
      <c r="C935" s="3"/>
      <c r="D935" s="4"/>
      <c r="E935" s="4"/>
      <c r="F935" s="5"/>
      <c r="G935" s="6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2">
      <c r="A936" s="1"/>
      <c r="B936" s="7"/>
      <c r="C936" s="3"/>
      <c r="D936" s="4"/>
      <c r="E936" s="4"/>
      <c r="F936" s="5"/>
      <c r="G936" s="6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2">
      <c r="A937" s="1"/>
      <c r="B937" s="7"/>
      <c r="C937" s="3"/>
      <c r="D937" s="4"/>
      <c r="E937" s="4"/>
      <c r="F937" s="5"/>
      <c r="G937" s="6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2">
      <c r="A938" s="1"/>
      <c r="B938" s="7"/>
      <c r="C938" s="3"/>
      <c r="D938" s="4"/>
      <c r="E938" s="4"/>
      <c r="F938" s="5"/>
      <c r="G938" s="6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2">
      <c r="A939" s="1"/>
      <c r="B939" s="7"/>
      <c r="C939" s="3"/>
      <c r="D939" s="4"/>
      <c r="E939" s="4"/>
      <c r="F939" s="5"/>
      <c r="G939" s="6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2">
      <c r="A940" s="1"/>
      <c r="B940" s="7"/>
      <c r="C940" s="3"/>
      <c r="D940" s="4"/>
      <c r="E940" s="4"/>
      <c r="F940" s="5"/>
      <c r="G940" s="6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2">
      <c r="A941" s="1"/>
      <c r="B941" s="7"/>
      <c r="C941" s="3"/>
      <c r="D941" s="4"/>
      <c r="E941" s="4"/>
      <c r="F941" s="5"/>
      <c r="G941" s="6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2">
      <c r="A942" s="1"/>
      <c r="B942" s="7"/>
      <c r="C942" s="3"/>
      <c r="D942" s="4"/>
      <c r="E942" s="4"/>
      <c r="F942" s="5"/>
      <c r="G942" s="6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2">
      <c r="A943" s="1"/>
      <c r="B943" s="7"/>
      <c r="C943" s="3"/>
      <c r="D943" s="4"/>
      <c r="E943" s="4"/>
      <c r="F943" s="5"/>
      <c r="G943" s="6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2">
      <c r="A944" s="1"/>
      <c r="B944" s="7"/>
      <c r="C944" s="3"/>
      <c r="D944" s="4"/>
      <c r="E944" s="4"/>
      <c r="F944" s="5"/>
      <c r="G944" s="6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2">
      <c r="A945" s="1"/>
      <c r="B945" s="7"/>
      <c r="C945" s="3"/>
      <c r="D945" s="4"/>
      <c r="E945" s="4"/>
      <c r="F945" s="5"/>
      <c r="G945" s="6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2">
      <c r="A946" s="1"/>
      <c r="B946" s="7"/>
      <c r="C946" s="3"/>
      <c r="D946" s="4"/>
      <c r="E946" s="4"/>
      <c r="F946" s="5"/>
      <c r="G946" s="6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2">
      <c r="A947" s="1"/>
      <c r="B947" s="7"/>
      <c r="C947" s="3"/>
      <c r="D947" s="4"/>
      <c r="E947" s="4"/>
      <c r="F947" s="5"/>
      <c r="G947" s="6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2">
      <c r="A948" s="1"/>
      <c r="B948" s="7"/>
      <c r="C948" s="3"/>
      <c r="D948" s="4"/>
      <c r="E948" s="4"/>
      <c r="F948" s="5"/>
      <c r="G948" s="6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2">
      <c r="A949" s="1"/>
      <c r="B949" s="7"/>
      <c r="C949" s="3"/>
      <c r="D949" s="4"/>
      <c r="E949" s="4"/>
      <c r="F949" s="5"/>
      <c r="G949" s="6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2">
      <c r="A950" s="1"/>
      <c r="B950" s="7"/>
      <c r="C950" s="3"/>
      <c r="D950" s="4"/>
      <c r="E950" s="4"/>
      <c r="F950" s="5"/>
      <c r="G950" s="6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2">
      <c r="A951" s="1"/>
      <c r="B951" s="7"/>
      <c r="C951" s="3"/>
      <c r="D951" s="4"/>
      <c r="E951" s="4"/>
      <c r="F951" s="5"/>
      <c r="G951" s="6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2">
      <c r="A952" s="1"/>
      <c r="B952" s="7"/>
      <c r="C952" s="3"/>
      <c r="D952" s="4"/>
      <c r="E952" s="4"/>
      <c r="F952" s="5"/>
      <c r="G952" s="6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2">
      <c r="A953" s="1"/>
      <c r="B953" s="7"/>
      <c r="C953" s="3"/>
      <c r="D953" s="4"/>
      <c r="E953" s="4"/>
      <c r="F953" s="5"/>
      <c r="G953" s="6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2">
      <c r="A954" s="1"/>
      <c r="B954" s="7"/>
      <c r="C954" s="3"/>
      <c r="D954" s="4"/>
      <c r="E954" s="4"/>
      <c r="F954" s="5"/>
      <c r="G954" s="6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2">
      <c r="A955" s="1"/>
      <c r="B955" s="7"/>
      <c r="C955" s="3"/>
      <c r="D955" s="4"/>
      <c r="E955" s="4"/>
      <c r="F955" s="5"/>
      <c r="G955" s="6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2">
      <c r="A956" s="1"/>
      <c r="B956" s="7"/>
      <c r="C956" s="3"/>
      <c r="D956" s="4"/>
      <c r="E956" s="4"/>
      <c r="F956" s="5"/>
      <c r="G956" s="6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2">
      <c r="A957" s="1"/>
      <c r="B957" s="7"/>
      <c r="C957" s="3"/>
      <c r="D957" s="4"/>
      <c r="E957" s="4"/>
      <c r="F957" s="5"/>
      <c r="G957" s="6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2">
      <c r="A958" s="1"/>
      <c r="B958" s="7"/>
      <c r="C958" s="3"/>
      <c r="D958" s="4"/>
      <c r="E958" s="4"/>
      <c r="F958" s="5"/>
      <c r="G958" s="6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2">
      <c r="A959" s="1"/>
      <c r="B959" s="7"/>
      <c r="C959" s="3"/>
      <c r="D959" s="4"/>
      <c r="E959" s="4"/>
      <c r="F959" s="5"/>
      <c r="G959" s="6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2">
      <c r="A960" s="1"/>
      <c r="B960" s="7"/>
      <c r="C960" s="3"/>
      <c r="D960" s="4"/>
      <c r="E960" s="4"/>
      <c r="F960" s="5"/>
      <c r="G960" s="6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2">
      <c r="A961" s="1"/>
      <c r="B961" s="7"/>
      <c r="C961" s="3"/>
      <c r="D961" s="4"/>
      <c r="E961" s="4"/>
      <c r="F961" s="5"/>
      <c r="G961" s="6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2">
      <c r="A962" s="1"/>
      <c r="B962" s="7"/>
      <c r="C962" s="3"/>
      <c r="D962" s="4"/>
      <c r="E962" s="4"/>
      <c r="F962" s="5"/>
      <c r="G962" s="6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2">
      <c r="A963" s="1"/>
      <c r="B963" s="7"/>
      <c r="C963" s="3"/>
      <c r="D963" s="4"/>
      <c r="E963" s="4"/>
      <c r="F963" s="5"/>
      <c r="G963" s="6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2">
      <c r="A964" s="1"/>
      <c r="B964" s="7"/>
      <c r="C964" s="3"/>
      <c r="D964" s="4"/>
      <c r="E964" s="4"/>
      <c r="F964" s="5"/>
      <c r="G964" s="6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2">
      <c r="A965" s="1"/>
      <c r="B965" s="7"/>
      <c r="C965" s="3"/>
      <c r="D965" s="4"/>
      <c r="E965" s="4"/>
      <c r="F965" s="5"/>
      <c r="G965" s="6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2">
      <c r="A966" s="1"/>
      <c r="B966" s="7"/>
      <c r="C966" s="3"/>
      <c r="D966" s="4"/>
      <c r="E966" s="4"/>
      <c r="F966" s="5"/>
      <c r="G966" s="6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2">
      <c r="A967" s="1"/>
      <c r="B967" s="7"/>
      <c r="C967" s="3"/>
      <c r="D967" s="4"/>
      <c r="E967" s="4"/>
      <c r="F967" s="5"/>
      <c r="G967" s="6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2">
      <c r="A968" s="1"/>
      <c r="B968" s="7"/>
      <c r="C968" s="3"/>
      <c r="D968" s="4"/>
      <c r="E968" s="4"/>
      <c r="F968" s="5"/>
      <c r="G968" s="6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2">
      <c r="A969" s="1"/>
      <c r="B969" s="7"/>
      <c r="C969" s="3"/>
      <c r="D969" s="4"/>
      <c r="E969" s="4"/>
      <c r="F969" s="5"/>
      <c r="G969" s="6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2">
      <c r="A970" s="1"/>
      <c r="B970" s="7"/>
      <c r="C970" s="3"/>
      <c r="D970" s="4"/>
      <c r="E970" s="4"/>
      <c r="F970" s="5"/>
      <c r="G970" s="6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2">
      <c r="A971" s="1"/>
      <c r="B971" s="7"/>
      <c r="C971" s="3"/>
      <c r="D971" s="4"/>
      <c r="E971" s="4"/>
      <c r="F971" s="5"/>
      <c r="G971" s="6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2">
      <c r="A972" s="1"/>
      <c r="B972" s="7"/>
      <c r="C972" s="3"/>
      <c r="D972" s="4"/>
      <c r="E972" s="4"/>
      <c r="F972" s="5"/>
      <c r="G972" s="6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2">
      <c r="A973" s="1"/>
      <c r="B973" s="7"/>
      <c r="C973" s="3"/>
      <c r="D973" s="4"/>
      <c r="E973" s="4"/>
      <c r="F973" s="5"/>
      <c r="G973" s="6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2">
      <c r="A974" s="1"/>
      <c r="B974" s="7"/>
      <c r="C974" s="3"/>
      <c r="D974" s="4"/>
      <c r="E974" s="4"/>
      <c r="F974" s="5"/>
      <c r="G974" s="6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2">
      <c r="A975" s="1"/>
      <c r="B975" s="7"/>
      <c r="C975" s="3"/>
      <c r="D975" s="4"/>
      <c r="E975" s="4"/>
      <c r="F975" s="5"/>
      <c r="G975" s="6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2">
      <c r="A976" s="1"/>
      <c r="B976" s="7"/>
      <c r="C976" s="3"/>
      <c r="D976" s="4"/>
      <c r="E976" s="4"/>
      <c r="F976" s="5"/>
      <c r="G976" s="6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2">
      <c r="A977" s="1"/>
      <c r="B977" s="7"/>
      <c r="C977" s="3"/>
      <c r="D977" s="4"/>
      <c r="E977" s="4"/>
      <c r="F977" s="5"/>
      <c r="G977" s="6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2">
      <c r="A978" s="1"/>
      <c r="B978" s="7"/>
      <c r="C978" s="3"/>
      <c r="D978" s="4"/>
      <c r="E978" s="4"/>
      <c r="F978" s="5"/>
      <c r="G978" s="6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2">
      <c r="A979" s="1"/>
      <c r="B979" s="7"/>
      <c r="C979" s="3"/>
      <c r="D979" s="4"/>
      <c r="E979" s="4"/>
      <c r="F979" s="5"/>
      <c r="G979" s="6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2">
      <c r="A980" s="1"/>
      <c r="B980" s="7"/>
      <c r="C980" s="3"/>
      <c r="D980" s="4"/>
      <c r="E980" s="4"/>
      <c r="F980" s="5"/>
      <c r="G980" s="6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2">
      <c r="A981" s="1"/>
      <c r="B981" s="7"/>
      <c r="C981" s="3"/>
      <c r="D981" s="4"/>
      <c r="E981" s="4"/>
      <c r="F981" s="5"/>
      <c r="G981" s="6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2">
      <c r="A982" s="1"/>
      <c r="B982" s="7"/>
      <c r="C982" s="3"/>
      <c r="D982" s="4"/>
      <c r="E982" s="4"/>
      <c r="F982" s="5"/>
      <c r="G982" s="6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2">
      <c r="A983" s="1"/>
      <c r="B983" s="7"/>
      <c r="C983" s="3"/>
      <c r="D983" s="4"/>
      <c r="E983" s="4"/>
      <c r="F983" s="5"/>
      <c r="G983" s="6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2">
      <c r="A984" s="1"/>
      <c r="B984" s="7"/>
      <c r="C984" s="3"/>
      <c r="D984" s="4"/>
      <c r="E984" s="4"/>
      <c r="F984" s="5"/>
      <c r="G984" s="6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2">
      <c r="A985" s="1"/>
      <c r="B985" s="7"/>
      <c r="C985" s="3"/>
      <c r="D985" s="4"/>
      <c r="E985" s="4"/>
      <c r="F985" s="5"/>
      <c r="G985" s="6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2">
      <c r="A986" s="1"/>
      <c r="B986" s="7"/>
      <c r="C986" s="3"/>
      <c r="D986" s="4"/>
      <c r="E986" s="4"/>
      <c r="F986" s="5"/>
      <c r="G986" s="6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2">
      <c r="A987" s="1"/>
      <c r="B987" s="7"/>
      <c r="C987" s="3"/>
      <c r="D987" s="4"/>
      <c r="E987" s="4"/>
      <c r="F987" s="5"/>
      <c r="G987" s="6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2">
      <c r="A988" s="1"/>
      <c r="B988" s="7"/>
      <c r="C988" s="3"/>
      <c r="D988" s="4"/>
      <c r="E988" s="4"/>
      <c r="F988" s="5"/>
      <c r="G988" s="6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2">
      <c r="A989" s="1"/>
      <c r="B989" s="7"/>
      <c r="C989" s="3"/>
      <c r="D989" s="4"/>
      <c r="E989" s="4"/>
      <c r="F989" s="5"/>
      <c r="G989" s="6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2">
      <c r="A990" s="1"/>
      <c r="B990" s="7"/>
      <c r="C990" s="3"/>
      <c r="D990" s="4"/>
      <c r="E990" s="4"/>
      <c r="F990" s="5"/>
      <c r="G990" s="6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2">
      <c r="A991" s="1"/>
      <c r="B991" s="7"/>
      <c r="C991" s="3"/>
      <c r="D991" s="4"/>
      <c r="E991" s="4"/>
      <c r="F991" s="5"/>
      <c r="G991" s="6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2">
      <c r="A992" s="1"/>
      <c r="B992" s="7"/>
      <c r="C992" s="3"/>
      <c r="D992" s="4"/>
      <c r="E992" s="4"/>
      <c r="F992" s="5"/>
      <c r="G992" s="6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2">
      <c r="A993" s="1"/>
      <c r="B993" s="7"/>
      <c r="C993" s="3"/>
      <c r="D993" s="4"/>
      <c r="E993" s="4"/>
      <c r="F993" s="5"/>
      <c r="G993" s="6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2">
      <c r="A994" s="1"/>
      <c r="B994" s="7"/>
      <c r="C994" s="3"/>
      <c r="D994" s="4"/>
      <c r="E994" s="4"/>
      <c r="F994" s="5"/>
      <c r="G994" s="6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2">
      <c r="A995" s="1"/>
      <c r="B995" s="7"/>
      <c r="C995" s="3"/>
      <c r="D995" s="4"/>
      <c r="E995" s="4"/>
      <c r="F995" s="5"/>
      <c r="G995" s="6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2">
      <c r="A996" s="1"/>
      <c r="B996" s="7"/>
      <c r="C996" s="3"/>
      <c r="D996" s="4"/>
      <c r="E996" s="4"/>
      <c r="F996" s="5"/>
      <c r="G996" s="6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2">
      <c r="A997" s="1"/>
      <c r="B997" s="7"/>
      <c r="C997" s="3"/>
      <c r="D997" s="4"/>
      <c r="E997" s="4"/>
      <c r="F997" s="5"/>
      <c r="G997" s="6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2">
      <c r="A998" s="1"/>
      <c r="B998" s="7"/>
      <c r="C998" s="3"/>
      <c r="D998" s="4"/>
      <c r="E998" s="4"/>
      <c r="F998" s="5"/>
      <c r="G998" s="6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2">
      <c r="A999" s="1"/>
      <c r="B999" s="7"/>
      <c r="C999" s="3"/>
      <c r="D999" s="4"/>
      <c r="E999" s="4"/>
      <c r="F999" s="5"/>
      <c r="G999" s="6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2">
      <c r="A1000" s="1"/>
      <c r="B1000" s="7"/>
      <c r="C1000" s="3"/>
      <c r="D1000" s="4"/>
      <c r="E1000" s="4"/>
      <c r="F1000" s="5"/>
      <c r="G1000" s="6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x14ac:dyDescent="0.2">
      <c r="A1001" s="1"/>
      <c r="B1001" s="7"/>
      <c r="C1001" s="3"/>
      <c r="D1001" s="4"/>
      <c r="E1001" s="4"/>
      <c r="F1001" s="5"/>
      <c r="G1001" s="6"/>
      <c r="H1001" s="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x14ac:dyDescent="0.2">
      <c r="A1002" s="1"/>
      <c r="B1002" s="7"/>
      <c r="C1002" s="3"/>
      <c r="D1002" s="4"/>
      <c r="E1002" s="4"/>
      <c r="F1002" s="5"/>
      <c r="G1002" s="6"/>
      <c r="H1002" s="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x14ac:dyDescent="0.2">
      <c r="A1003" s="1"/>
      <c r="B1003" s="7"/>
      <c r="C1003" s="3"/>
      <c r="D1003" s="4"/>
      <c r="E1003" s="4"/>
      <c r="F1003" s="5"/>
      <c r="G1003" s="6"/>
      <c r="H1003" s="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x14ac:dyDescent="0.2">
      <c r="A1004" s="1"/>
      <c r="B1004" s="7"/>
      <c r="C1004" s="3"/>
      <c r="D1004" s="4"/>
      <c r="E1004" s="4"/>
      <c r="F1004" s="5"/>
      <c r="G1004" s="6"/>
      <c r="H1004" s="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x14ac:dyDescent="0.2">
      <c r="A1005" s="1"/>
      <c r="B1005" s="7"/>
      <c r="C1005" s="3"/>
      <c r="D1005" s="4"/>
      <c r="E1005" s="4"/>
      <c r="F1005" s="5"/>
      <c r="G1005" s="6"/>
      <c r="H1005" s="6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x14ac:dyDescent="0.2">
      <c r="A1006" s="1"/>
      <c r="B1006" s="7"/>
      <c r="C1006" s="3"/>
      <c r="D1006" s="4"/>
      <c r="E1006" s="4"/>
      <c r="F1006" s="5"/>
      <c r="G1006" s="6"/>
      <c r="H1006" s="6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x14ac:dyDescent="0.2">
      <c r="A1007" s="1"/>
      <c r="B1007" s="7"/>
      <c r="C1007" s="3"/>
      <c r="D1007" s="4"/>
      <c r="E1007" s="4"/>
      <c r="F1007" s="5"/>
      <c r="G1007" s="6"/>
      <c r="H1007" s="6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x14ac:dyDescent="0.2">
      <c r="A1008" s="1"/>
      <c r="B1008" s="7"/>
      <c r="C1008" s="3"/>
      <c r="D1008" s="4"/>
      <c r="E1008" s="4"/>
      <c r="F1008" s="5"/>
      <c r="G1008" s="6"/>
      <c r="H1008" s="6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x14ac:dyDescent="0.2">
      <c r="A1009" s="1"/>
      <c r="B1009" s="7"/>
      <c r="C1009" s="3"/>
      <c r="D1009" s="4"/>
      <c r="E1009" s="4"/>
      <c r="F1009" s="5"/>
      <c r="G1009" s="6"/>
      <c r="H1009" s="6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x14ac:dyDescent="0.2">
      <c r="A1010" s="1"/>
      <c r="B1010" s="7"/>
      <c r="C1010" s="3"/>
      <c r="D1010" s="4"/>
      <c r="E1010" s="4"/>
      <c r="F1010" s="5"/>
      <c r="G1010" s="6"/>
      <c r="H1010" s="6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x14ac:dyDescent="0.2">
      <c r="A1011" s="1"/>
      <c r="B1011" s="7"/>
      <c r="C1011" s="3"/>
      <c r="D1011" s="4"/>
      <c r="E1011" s="4"/>
      <c r="F1011" s="5"/>
      <c r="G1011" s="6"/>
      <c r="H1011" s="6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x14ac:dyDescent="0.2">
      <c r="A1012" s="1"/>
      <c r="B1012" s="7"/>
      <c r="C1012" s="3"/>
      <c r="D1012" s="4"/>
      <c r="E1012" s="4"/>
      <c r="F1012" s="5"/>
      <c r="G1012" s="6"/>
      <c r="H1012" s="6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x14ac:dyDescent="0.2">
      <c r="A1013" s="1"/>
      <c r="B1013" s="7"/>
      <c r="C1013" s="3"/>
      <c r="D1013" s="4"/>
      <c r="E1013" s="4"/>
      <c r="F1013" s="5"/>
      <c r="G1013" s="6"/>
      <c r="H1013" s="6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x14ac:dyDescent="0.2">
      <c r="A1014" s="1"/>
      <c r="B1014" s="7"/>
      <c r="C1014" s="3"/>
      <c r="D1014" s="4"/>
      <c r="E1014" s="4"/>
      <c r="F1014" s="5"/>
      <c r="G1014" s="6"/>
      <c r="H1014" s="6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x14ac:dyDescent="0.2">
      <c r="A1015" s="1"/>
      <c r="B1015" s="7"/>
      <c r="C1015" s="3"/>
      <c r="D1015" s="4"/>
      <c r="E1015" s="4"/>
      <c r="F1015" s="5"/>
      <c r="G1015" s="6"/>
      <c r="H1015" s="6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x14ac:dyDescent="0.2">
      <c r="A1016" s="1"/>
      <c r="B1016" s="7"/>
      <c r="C1016" s="3"/>
      <c r="D1016" s="4"/>
      <c r="E1016" s="4"/>
      <c r="F1016" s="5"/>
      <c r="G1016" s="6"/>
      <c r="H1016" s="6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x14ac:dyDescent="0.2">
      <c r="A1017" s="1"/>
      <c r="B1017" s="7"/>
      <c r="C1017" s="3"/>
      <c r="D1017" s="4"/>
      <c r="E1017" s="4"/>
      <c r="F1017" s="5"/>
      <c r="G1017" s="6"/>
      <c r="H1017" s="6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x14ac:dyDescent="0.2">
      <c r="A1018" s="1"/>
      <c r="B1018" s="7"/>
      <c r="C1018" s="3"/>
      <c r="D1018" s="4"/>
      <c r="E1018" s="4"/>
      <c r="F1018" s="5"/>
      <c r="G1018" s="6"/>
      <c r="H1018" s="6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x14ac:dyDescent="0.2">
      <c r="A1019" s="1"/>
      <c r="B1019" s="7"/>
      <c r="C1019" s="3"/>
      <c r="D1019" s="4"/>
      <c r="E1019" s="4"/>
      <c r="F1019" s="5"/>
      <c r="G1019" s="6"/>
      <c r="H1019" s="6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x14ac:dyDescent="0.2">
      <c r="A1020" s="1"/>
      <c r="B1020" s="7"/>
      <c r="C1020" s="3"/>
      <c r="D1020" s="4"/>
      <c r="E1020" s="4"/>
      <c r="F1020" s="5"/>
      <c r="G1020" s="6"/>
      <c r="H1020" s="6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x14ac:dyDescent="0.2">
      <c r="A1021" s="1"/>
      <c r="B1021" s="7"/>
      <c r="C1021" s="3"/>
      <c r="D1021" s="4"/>
      <c r="E1021" s="4"/>
      <c r="F1021" s="5"/>
      <c r="G1021" s="6"/>
      <c r="H1021" s="6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x14ac:dyDescent="0.2">
      <c r="A1022" s="1"/>
      <c r="B1022" s="7"/>
      <c r="C1022" s="3"/>
      <c r="D1022" s="4"/>
      <c r="E1022" s="4"/>
      <c r="F1022" s="5"/>
      <c r="G1022" s="6"/>
      <c r="H1022" s="6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x14ac:dyDescent="0.2">
      <c r="A1023" s="1"/>
      <c r="B1023" s="7"/>
      <c r="C1023" s="3"/>
      <c r="D1023" s="4"/>
      <c r="E1023" s="4"/>
      <c r="F1023" s="5"/>
      <c r="G1023" s="6"/>
      <c r="H1023" s="6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x14ac:dyDescent="0.2">
      <c r="A1024" s="1"/>
      <c r="B1024" s="7"/>
      <c r="C1024" s="3"/>
      <c r="D1024" s="4"/>
      <c r="E1024" s="4"/>
      <c r="F1024" s="5"/>
      <c r="G1024" s="6"/>
      <c r="H1024" s="6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x14ac:dyDescent="0.2">
      <c r="A1025" s="1"/>
      <c r="B1025" s="7"/>
      <c r="C1025" s="3"/>
      <c r="D1025" s="4"/>
      <c r="E1025" s="4"/>
      <c r="F1025" s="5"/>
      <c r="G1025" s="6"/>
      <c r="H1025" s="6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x14ac:dyDescent="0.2">
      <c r="A1026" s="1"/>
      <c r="B1026" s="7"/>
      <c r="C1026" s="3"/>
      <c r="D1026" s="4"/>
      <c r="E1026" s="4"/>
      <c r="F1026" s="5"/>
      <c r="G1026" s="6"/>
      <c r="H1026" s="6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x14ac:dyDescent="0.2">
      <c r="A1027" s="1"/>
      <c r="B1027" s="7"/>
      <c r="C1027" s="3"/>
      <c r="D1027" s="4"/>
      <c r="E1027" s="4"/>
      <c r="F1027" s="5"/>
      <c r="G1027" s="6"/>
      <c r="H1027" s="6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x14ac:dyDescent="0.2">
      <c r="A1028" s="1"/>
      <c r="B1028" s="7"/>
      <c r="C1028" s="3"/>
      <c r="D1028" s="4"/>
      <c r="E1028" s="4"/>
      <c r="F1028" s="5"/>
      <c r="G1028" s="6"/>
      <c r="H1028" s="6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x14ac:dyDescent="0.2">
      <c r="A1029" s="1"/>
      <c r="B1029" s="7"/>
      <c r="C1029" s="3"/>
      <c r="D1029" s="4"/>
      <c r="E1029" s="4"/>
      <c r="F1029" s="5"/>
      <c r="G1029" s="6"/>
      <c r="H1029" s="6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x14ac:dyDescent="0.2">
      <c r="B1030" s="7"/>
      <c r="C1030" s="71"/>
      <c r="D1030" s="72"/>
      <c r="E1030" s="72"/>
      <c r="F1030" s="73"/>
    </row>
    <row r="1031" spans="1:26" ht="14.25" x14ac:dyDescent="0.2">
      <c r="B1031" s="7"/>
      <c r="C1031" s="71"/>
      <c r="D1031" s="72"/>
      <c r="E1031" s="72"/>
      <c r="F1031" s="73"/>
    </row>
    <row r="1032" spans="1:26" ht="14.25" x14ac:dyDescent="0.2">
      <c r="B1032" s="7"/>
      <c r="C1032" s="71"/>
      <c r="D1032" s="72"/>
      <c r="E1032" s="72"/>
      <c r="F1032" s="73"/>
    </row>
    <row r="1033" spans="1:26" ht="14.25" x14ac:dyDescent="0.2">
      <c r="B1033" s="7"/>
      <c r="C1033" s="71"/>
      <c r="D1033" s="72"/>
      <c r="E1033" s="72"/>
      <c r="F1033" s="73"/>
    </row>
    <row r="1034" spans="1:26" ht="14.25" x14ac:dyDescent="0.2">
      <c r="B1034" s="7"/>
      <c r="C1034" s="71"/>
      <c r="D1034" s="72"/>
      <c r="E1034" s="72"/>
      <c r="F1034" s="73"/>
    </row>
    <row r="1035" spans="1:26" ht="14.25" x14ac:dyDescent="0.2">
      <c r="B1035" s="7"/>
      <c r="C1035" s="71"/>
      <c r="D1035" s="72"/>
      <c r="E1035" s="72"/>
      <c r="F1035" s="73"/>
    </row>
  </sheetData>
  <mergeCells count="38">
    <mergeCell ref="H124:T124"/>
    <mergeCell ref="H125:T125"/>
    <mergeCell ref="I117:N117"/>
    <mergeCell ref="I118:N118"/>
    <mergeCell ref="A120:B120"/>
    <mergeCell ref="C120:E120"/>
    <mergeCell ref="I120:L120"/>
    <mergeCell ref="Q120:T120"/>
    <mergeCell ref="H121:T121"/>
    <mergeCell ref="A117:B117"/>
    <mergeCell ref="C117:F117"/>
    <mergeCell ref="Q117:T117"/>
    <mergeCell ref="V117:X117"/>
    <mergeCell ref="A118:B118"/>
    <mergeCell ref="C118:F118"/>
    <mergeCell ref="Q118:T118"/>
    <mergeCell ref="C114:E114"/>
    <mergeCell ref="I114:N114"/>
    <mergeCell ref="V114:W114"/>
    <mergeCell ref="A112:D112"/>
    <mergeCell ref="Q114:T114"/>
    <mergeCell ref="A114:B114"/>
    <mergeCell ref="E8:E9"/>
    <mergeCell ref="F8:F9"/>
    <mergeCell ref="G8:G9"/>
    <mergeCell ref="H8:V8"/>
    <mergeCell ref="B8:B9"/>
    <mergeCell ref="D8:D9"/>
    <mergeCell ref="B108:I108"/>
    <mergeCell ref="A110:B110"/>
    <mergeCell ref="J111:T111"/>
    <mergeCell ref="A7:B7"/>
    <mergeCell ref="A8:A9"/>
    <mergeCell ref="A1:V1"/>
    <mergeCell ref="A2:V2"/>
    <mergeCell ref="A3:V3"/>
    <mergeCell ref="A4:B4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78"/>
  <sheetViews>
    <sheetView workbookViewId="0">
      <pane ySplit="9" topLeftCell="A67" activePane="bottomLeft" state="frozen"/>
      <selection pane="bottomLeft" activeCell="A78" sqref="A78:XFD78"/>
    </sheetView>
  </sheetViews>
  <sheetFormatPr defaultColWidth="12.5703125" defaultRowHeight="15.75" customHeight="1" x14ac:dyDescent="0.2"/>
  <cols>
    <col min="2" max="2" width="57.7109375" customWidth="1"/>
    <col min="5" max="5" width="19.7109375" customWidth="1"/>
    <col min="6" max="6" width="26.140625" customWidth="1"/>
    <col min="7" max="7" width="16.28515625" customWidth="1"/>
    <col min="13" max="13" width="22.7109375" customWidth="1"/>
  </cols>
  <sheetData>
    <row r="1" spans="1:26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"/>
      <c r="X1" s="1"/>
      <c r="Y1" s="1"/>
      <c r="Z1" s="1"/>
    </row>
    <row r="2" spans="1:26" ht="14.25" x14ac:dyDescent="0.2">
      <c r="A2" s="169" t="s">
        <v>149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"/>
      <c r="X2" s="1"/>
      <c r="Y2" s="1"/>
      <c r="Z2" s="1"/>
    </row>
    <row r="3" spans="1:26" ht="12.75" x14ac:dyDescent="0.2">
      <c r="A3" s="170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"/>
      <c r="X3" s="1"/>
      <c r="Y3" s="1"/>
      <c r="Z3" s="1"/>
    </row>
    <row r="4" spans="1:26" ht="15" x14ac:dyDescent="0.2">
      <c r="A4" s="171" t="s">
        <v>2</v>
      </c>
      <c r="B4" s="168"/>
      <c r="C4" s="2"/>
      <c r="D4" s="74"/>
      <c r="E4" s="74"/>
      <c r="F4" s="5"/>
      <c r="G4" s="5"/>
      <c r="H4" s="5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/>
      <c r="B5" s="1"/>
      <c r="C5" s="2"/>
      <c r="D5" s="74"/>
      <c r="E5" s="74"/>
      <c r="F5" s="5"/>
      <c r="G5" s="5"/>
      <c r="H5" s="5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72" t="s">
        <v>3</v>
      </c>
      <c r="B6" s="168"/>
      <c r="C6" s="168"/>
      <c r="D6" s="168"/>
      <c r="E6" s="168"/>
      <c r="F6" s="168"/>
      <c r="G6" s="5"/>
      <c r="H6" s="5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">
      <c r="A7" s="163" t="s">
        <v>4</v>
      </c>
      <c r="B7" s="164"/>
      <c r="C7" s="75"/>
      <c r="D7" s="76"/>
      <c r="E7" s="76"/>
      <c r="F7" s="10"/>
      <c r="G7" s="10"/>
      <c r="H7" s="10"/>
      <c r="I7" s="75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"/>
      <c r="X7" s="1"/>
      <c r="Y7" s="1"/>
      <c r="Z7" s="1"/>
    </row>
    <row r="8" spans="1:26" ht="15" x14ac:dyDescent="0.2">
      <c r="A8" s="204" t="s">
        <v>5</v>
      </c>
      <c r="B8" s="198" t="s">
        <v>6</v>
      </c>
      <c r="C8" s="13" t="s">
        <v>7</v>
      </c>
      <c r="D8" s="175" t="s">
        <v>8</v>
      </c>
      <c r="E8" s="175" t="s">
        <v>9</v>
      </c>
      <c r="F8" s="198" t="s">
        <v>10</v>
      </c>
      <c r="G8" s="198" t="s">
        <v>11</v>
      </c>
      <c r="H8" s="201" t="s">
        <v>12</v>
      </c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76"/>
      <c r="W8" s="77"/>
      <c r="X8" s="77"/>
      <c r="Y8" s="77"/>
      <c r="Z8" s="77"/>
    </row>
    <row r="9" spans="1:26" ht="15" x14ac:dyDescent="0.2">
      <c r="A9" s="166"/>
      <c r="B9" s="176"/>
      <c r="C9" s="13" t="s">
        <v>13</v>
      </c>
      <c r="D9" s="176"/>
      <c r="E9" s="176"/>
      <c r="F9" s="176"/>
      <c r="G9" s="176"/>
      <c r="H9" s="13" t="s">
        <v>150</v>
      </c>
      <c r="I9" s="13" t="s">
        <v>151</v>
      </c>
      <c r="J9" s="13" t="s">
        <v>152</v>
      </c>
      <c r="K9" s="13" t="s">
        <v>17</v>
      </c>
      <c r="L9" s="13" t="s">
        <v>18</v>
      </c>
      <c r="M9" s="13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3" t="s">
        <v>27</v>
      </c>
      <c r="V9" s="13" t="s">
        <v>27</v>
      </c>
      <c r="W9" s="77"/>
      <c r="X9" s="77"/>
      <c r="Y9" s="77"/>
      <c r="Z9" s="77"/>
    </row>
    <row r="10" spans="1:26" ht="15" x14ac:dyDescent="0.25">
      <c r="A10" s="78"/>
      <c r="B10" s="79" t="s">
        <v>28</v>
      </c>
      <c r="C10" s="80"/>
      <c r="D10" s="81"/>
      <c r="E10" s="81"/>
      <c r="F10" s="82"/>
      <c r="G10" s="82"/>
      <c r="H10" s="82"/>
      <c r="I10" s="83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5"/>
      <c r="W10" s="7"/>
      <c r="X10" s="7"/>
      <c r="Y10" s="7"/>
      <c r="Z10" s="7"/>
    </row>
    <row r="11" spans="1:26" ht="12.75" x14ac:dyDescent="0.2">
      <c r="A11" s="16"/>
      <c r="B11" s="16" t="s">
        <v>153</v>
      </c>
      <c r="C11" s="86" t="s">
        <v>154</v>
      </c>
      <c r="D11" s="87">
        <v>2800</v>
      </c>
      <c r="E11" s="87">
        <f>D11*15</f>
        <v>42000</v>
      </c>
      <c r="F11" s="86" t="s">
        <v>31</v>
      </c>
      <c r="G11" s="88" t="s">
        <v>155</v>
      </c>
      <c r="H11" s="89"/>
      <c r="I11" s="90">
        <v>15</v>
      </c>
      <c r="J11" s="91"/>
      <c r="K11" s="91"/>
      <c r="L11" s="91"/>
      <c r="M11" s="30"/>
      <c r="N11" s="30"/>
      <c r="O11" s="30"/>
      <c r="P11" s="30"/>
      <c r="Q11" s="30"/>
      <c r="R11" s="30"/>
      <c r="S11" s="30"/>
      <c r="T11" s="30"/>
      <c r="U11" s="30"/>
      <c r="V11" s="25"/>
      <c r="W11" s="67"/>
      <c r="X11" s="67"/>
      <c r="Y11" s="1"/>
      <c r="Z11" s="1"/>
    </row>
    <row r="12" spans="1:26" ht="12.75" x14ac:dyDescent="0.2">
      <c r="A12" s="37"/>
      <c r="B12" s="16" t="s">
        <v>156</v>
      </c>
      <c r="C12" s="26" t="s">
        <v>154</v>
      </c>
      <c r="D12" s="27">
        <v>2000</v>
      </c>
      <c r="E12" s="27">
        <f>2000*15</f>
        <v>30000</v>
      </c>
      <c r="F12" s="27" t="s">
        <v>31</v>
      </c>
      <c r="G12" s="92" t="s">
        <v>155</v>
      </c>
      <c r="H12" s="93"/>
      <c r="I12" s="94">
        <v>15</v>
      </c>
      <c r="J12" s="95"/>
      <c r="K12" s="95"/>
      <c r="L12" s="95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8"/>
      <c r="Z12" s="38"/>
    </row>
    <row r="13" spans="1:26" ht="12.75" x14ac:dyDescent="0.2">
      <c r="A13" s="37"/>
      <c r="B13" s="16" t="s">
        <v>157</v>
      </c>
      <c r="C13" s="26" t="s">
        <v>158</v>
      </c>
      <c r="D13" s="27">
        <v>5500</v>
      </c>
      <c r="E13" s="27">
        <f>5500*5</f>
        <v>27500</v>
      </c>
      <c r="F13" s="26" t="s">
        <v>31</v>
      </c>
      <c r="G13" s="92" t="s">
        <v>155</v>
      </c>
      <c r="H13" s="93"/>
      <c r="I13" s="94">
        <v>5</v>
      </c>
      <c r="J13" s="95"/>
      <c r="K13" s="95"/>
      <c r="L13" s="95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8"/>
      <c r="Z13" s="38"/>
    </row>
    <row r="14" spans="1:26" ht="409.6" customHeight="1" x14ac:dyDescent="0.2">
      <c r="A14" s="37"/>
      <c r="B14" s="16" t="s">
        <v>159</v>
      </c>
      <c r="C14" s="96" t="s">
        <v>44</v>
      </c>
      <c r="D14" s="27">
        <v>35000</v>
      </c>
      <c r="E14" s="27">
        <v>35000</v>
      </c>
      <c r="F14" s="26" t="s">
        <v>31</v>
      </c>
      <c r="G14" s="92" t="s">
        <v>155</v>
      </c>
      <c r="H14" s="93"/>
      <c r="I14" s="94">
        <v>1</v>
      </c>
      <c r="J14" s="95"/>
      <c r="K14" s="95"/>
      <c r="L14" s="95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8"/>
      <c r="Z14" s="38"/>
    </row>
    <row r="15" spans="1:26" ht="87.75" customHeight="1" x14ac:dyDescent="0.2">
      <c r="A15" s="37"/>
      <c r="B15" s="16" t="s">
        <v>160</v>
      </c>
      <c r="C15" s="26" t="s">
        <v>161</v>
      </c>
      <c r="D15" s="27">
        <v>12000</v>
      </c>
      <c r="E15" s="27">
        <f>D15*2</f>
        <v>24000</v>
      </c>
      <c r="F15" s="26" t="s">
        <v>31</v>
      </c>
      <c r="G15" s="92"/>
      <c r="H15" s="93"/>
      <c r="I15" s="94"/>
      <c r="J15" s="95"/>
      <c r="K15" s="95"/>
      <c r="L15" s="95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8"/>
      <c r="Z15" s="38"/>
    </row>
    <row r="16" spans="1:26" ht="18" customHeight="1" x14ac:dyDescent="0.2">
      <c r="A16" s="37"/>
      <c r="B16" s="25" t="s">
        <v>162</v>
      </c>
      <c r="C16" s="26" t="s">
        <v>87</v>
      </c>
      <c r="D16" s="27">
        <v>2000</v>
      </c>
      <c r="E16" s="27">
        <v>2000</v>
      </c>
      <c r="F16" s="26" t="s">
        <v>31</v>
      </c>
      <c r="G16" s="92"/>
      <c r="H16" s="93"/>
      <c r="I16" s="94">
        <v>1</v>
      </c>
      <c r="J16" s="95"/>
      <c r="K16" s="95"/>
      <c r="L16" s="95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8"/>
      <c r="Z16" s="38"/>
    </row>
    <row r="17" spans="1:26" ht="12.75" x14ac:dyDescent="0.2">
      <c r="A17" s="37"/>
      <c r="B17" s="17" t="s">
        <v>72</v>
      </c>
      <c r="C17" s="34"/>
      <c r="D17" s="71"/>
      <c r="E17" s="39"/>
      <c r="F17" s="34"/>
      <c r="G17" s="34"/>
      <c r="H17" s="34"/>
      <c r="I17" s="34"/>
      <c r="J17" s="95"/>
      <c r="K17" s="95"/>
      <c r="L17" s="95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8"/>
      <c r="Z17" s="38"/>
    </row>
    <row r="18" spans="1:26" ht="121.5" customHeight="1" x14ac:dyDescent="0.2">
      <c r="A18" s="37"/>
      <c r="B18" s="37" t="s">
        <v>163</v>
      </c>
      <c r="C18" s="86" t="s">
        <v>44</v>
      </c>
      <c r="D18" s="87">
        <v>37490</v>
      </c>
      <c r="E18" s="87">
        <v>45000</v>
      </c>
      <c r="F18" s="88"/>
      <c r="G18" s="34"/>
      <c r="H18" s="34"/>
      <c r="I18" s="34">
        <v>1</v>
      </c>
      <c r="J18" s="95"/>
      <c r="K18" s="95"/>
      <c r="L18" s="95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8"/>
      <c r="Z18" s="38"/>
    </row>
    <row r="19" spans="1:26" ht="12.75" x14ac:dyDescent="0.2">
      <c r="A19" s="37"/>
      <c r="B19" s="16" t="s">
        <v>164</v>
      </c>
      <c r="C19" s="26" t="s">
        <v>44</v>
      </c>
      <c r="D19" s="27">
        <v>15900</v>
      </c>
      <c r="E19" s="27">
        <v>17000</v>
      </c>
      <c r="F19" s="92"/>
      <c r="G19" s="34"/>
      <c r="H19" s="34"/>
      <c r="I19" s="34">
        <v>1</v>
      </c>
      <c r="J19" s="95"/>
      <c r="K19" s="95"/>
      <c r="L19" s="95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8"/>
      <c r="Z19" s="38"/>
    </row>
    <row r="20" spans="1:26" ht="12.75" x14ac:dyDescent="0.2">
      <c r="A20" s="37"/>
      <c r="B20" s="16" t="s">
        <v>165</v>
      </c>
      <c r="C20" s="26" t="s">
        <v>44</v>
      </c>
      <c r="D20" s="27">
        <v>10800</v>
      </c>
      <c r="E20" s="27">
        <v>12000</v>
      </c>
      <c r="F20" s="92"/>
      <c r="G20" s="34"/>
      <c r="H20" s="34"/>
      <c r="I20" s="34">
        <v>1</v>
      </c>
      <c r="J20" s="95"/>
      <c r="K20" s="95"/>
      <c r="L20" s="95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8"/>
      <c r="Z20" s="38"/>
    </row>
    <row r="21" spans="1:26" ht="12.75" x14ac:dyDescent="0.2">
      <c r="A21" s="37"/>
      <c r="B21" s="16" t="s">
        <v>166</v>
      </c>
      <c r="C21" s="26" t="s">
        <v>44</v>
      </c>
      <c r="D21" s="27">
        <v>7400</v>
      </c>
      <c r="E21" s="27">
        <v>9000</v>
      </c>
      <c r="F21" s="92"/>
      <c r="G21" s="34"/>
      <c r="H21" s="34"/>
      <c r="I21" s="34">
        <v>1</v>
      </c>
      <c r="J21" s="95"/>
      <c r="K21" s="95"/>
      <c r="L21" s="95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8"/>
      <c r="Z21" s="38"/>
    </row>
    <row r="22" spans="1:26" ht="103.5" customHeight="1" x14ac:dyDescent="0.2">
      <c r="A22" s="37"/>
      <c r="B22" s="16" t="s">
        <v>167</v>
      </c>
      <c r="C22" s="26" t="s">
        <v>168</v>
      </c>
      <c r="D22" s="27">
        <v>1195</v>
      </c>
      <c r="E22" s="27">
        <f>1300*3</f>
        <v>3900</v>
      </c>
      <c r="F22" s="92"/>
      <c r="G22" s="34"/>
      <c r="H22" s="34"/>
      <c r="I22" s="34">
        <v>3</v>
      </c>
      <c r="J22" s="95"/>
      <c r="K22" s="95"/>
      <c r="L22" s="95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8"/>
      <c r="Z22" s="38"/>
    </row>
    <row r="23" spans="1:26" ht="12.75" x14ac:dyDescent="0.2">
      <c r="A23" s="37"/>
      <c r="B23" s="16" t="s">
        <v>169</v>
      </c>
      <c r="C23" s="26" t="s">
        <v>168</v>
      </c>
      <c r="D23" s="27">
        <v>1599.75</v>
      </c>
      <c r="E23" s="27">
        <f>1800*3</f>
        <v>5400</v>
      </c>
      <c r="F23" s="92"/>
      <c r="G23" s="34"/>
      <c r="H23" s="34"/>
      <c r="I23" s="34">
        <v>3</v>
      </c>
      <c r="J23" s="95"/>
      <c r="K23" s="95"/>
      <c r="L23" s="95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8"/>
      <c r="Z23" s="38"/>
    </row>
    <row r="24" spans="1:26" ht="12.75" x14ac:dyDescent="0.2">
      <c r="A24" s="37"/>
      <c r="B24" s="16" t="s">
        <v>170</v>
      </c>
      <c r="C24" s="26" t="s">
        <v>168</v>
      </c>
      <c r="D24" s="27">
        <v>1299.75</v>
      </c>
      <c r="E24" s="27">
        <f>1500*3</f>
        <v>4500</v>
      </c>
      <c r="F24" s="92"/>
      <c r="G24" s="34"/>
      <c r="H24" s="34"/>
      <c r="I24" s="34">
        <v>3</v>
      </c>
      <c r="J24" s="95"/>
      <c r="K24" s="95"/>
      <c r="L24" s="95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8"/>
      <c r="Z24" s="38"/>
    </row>
    <row r="25" spans="1:26" ht="15" customHeight="1" x14ac:dyDescent="0.2">
      <c r="A25" s="37"/>
      <c r="B25" s="38" t="s">
        <v>171</v>
      </c>
      <c r="C25" s="199" t="s">
        <v>44</v>
      </c>
      <c r="D25" s="97">
        <v>100</v>
      </c>
      <c r="E25" s="27">
        <v>3000</v>
      </c>
      <c r="F25" s="202" t="s">
        <v>31</v>
      </c>
      <c r="G25" s="189"/>
      <c r="H25" s="34"/>
      <c r="I25" s="189">
        <v>1</v>
      </c>
      <c r="J25" s="95"/>
      <c r="K25" s="95"/>
      <c r="L25" s="95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8"/>
      <c r="Z25" s="38"/>
    </row>
    <row r="26" spans="1:26" ht="15" customHeight="1" x14ac:dyDescent="0.2">
      <c r="A26" s="37"/>
      <c r="B26" s="98" t="s">
        <v>172</v>
      </c>
      <c r="C26" s="190"/>
      <c r="D26" s="99">
        <v>200</v>
      </c>
      <c r="E26" s="27">
        <v>2000</v>
      </c>
      <c r="F26" s="203"/>
      <c r="G26" s="190"/>
      <c r="H26" s="34"/>
      <c r="I26" s="190"/>
      <c r="J26" s="95"/>
      <c r="K26" s="95"/>
      <c r="L26" s="95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8"/>
      <c r="Z26" s="38"/>
    </row>
    <row r="27" spans="1:26" ht="12.75" x14ac:dyDescent="0.2">
      <c r="A27" s="37"/>
      <c r="B27" s="100" t="s">
        <v>173</v>
      </c>
      <c r="C27" s="190"/>
      <c r="D27" s="101">
        <v>35</v>
      </c>
      <c r="E27" s="39">
        <v>1750</v>
      </c>
      <c r="F27" s="203"/>
      <c r="G27" s="190"/>
      <c r="H27" s="34"/>
      <c r="I27" s="190"/>
      <c r="J27" s="95"/>
      <c r="K27" s="95"/>
      <c r="L27" s="95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8"/>
      <c r="Z27" s="38"/>
    </row>
    <row r="28" spans="1:26" ht="12.75" x14ac:dyDescent="0.2">
      <c r="A28" s="37"/>
      <c r="B28" s="100" t="s">
        <v>174</v>
      </c>
      <c r="C28" s="166"/>
      <c r="D28" s="101">
        <v>300</v>
      </c>
      <c r="E28" s="39">
        <f>300*4</f>
        <v>1200</v>
      </c>
      <c r="F28" s="176"/>
      <c r="G28" s="166"/>
      <c r="H28" s="34"/>
      <c r="I28" s="166"/>
      <c r="J28" s="95"/>
      <c r="K28" s="95"/>
      <c r="L28" s="95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8"/>
      <c r="Z28" s="38"/>
    </row>
    <row r="29" spans="1:26" ht="12.75" x14ac:dyDescent="0.2">
      <c r="A29" s="37"/>
      <c r="B29" s="102" t="s">
        <v>175</v>
      </c>
      <c r="C29" s="200" t="s">
        <v>44</v>
      </c>
      <c r="D29" s="101">
        <v>6000</v>
      </c>
      <c r="E29" s="39">
        <f t="shared" ref="E29:E32" si="0">6000*6</f>
        <v>36000</v>
      </c>
      <c r="F29" s="202" t="s">
        <v>31</v>
      </c>
      <c r="G29" s="189"/>
      <c r="H29" s="34"/>
      <c r="I29" s="189">
        <v>1</v>
      </c>
      <c r="J29" s="95"/>
      <c r="K29" s="95"/>
      <c r="L29" s="95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8"/>
      <c r="Z29" s="38"/>
    </row>
    <row r="30" spans="1:26" ht="12.75" x14ac:dyDescent="0.2">
      <c r="A30" s="37"/>
      <c r="B30" s="100" t="s">
        <v>176</v>
      </c>
      <c r="C30" s="190"/>
      <c r="D30" s="101">
        <v>6000</v>
      </c>
      <c r="E30" s="39">
        <f t="shared" si="0"/>
        <v>36000</v>
      </c>
      <c r="F30" s="203"/>
      <c r="G30" s="190"/>
      <c r="H30" s="34"/>
      <c r="I30" s="190"/>
      <c r="J30" s="95"/>
      <c r="K30" s="95"/>
      <c r="L30" s="95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8"/>
      <c r="Z30" s="38"/>
    </row>
    <row r="31" spans="1:26" ht="12.75" x14ac:dyDescent="0.2">
      <c r="A31" s="37"/>
      <c r="B31" s="100" t="s">
        <v>177</v>
      </c>
      <c r="C31" s="190"/>
      <c r="D31" s="101">
        <v>6000</v>
      </c>
      <c r="E31" s="39">
        <f t="shared" si="0"/>
        <v>36000</v>
      </c>
      <c r="F31" s="203"/>
      <c r="G31" s="190"/>
      <c r="H31" s="34"/>
      <c r="I31" s="190"/>
      <c r="J31" s="95"/>
      <c r="K31" s="95"/>
      <c r="L31" s="95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8"/>
      <c r="Z31" s="38"/>
    </row>
    <row r="32" spans="1:26" ht="12.75" x14ac:dyDescent="0.2">
      <c r="A32" s="37"/>
      <c r="B32" s="100" t="s">
        <v>178</v>
      </c>
      <c r="C32" s="190"/>
      <c r="D32" s="101">
        <v>6000</v>
      </c>
      <c r="E32" s="39">
        <f t="shared" si="0"/>
        <v>36000</v>
      </c>
      <c r="F32" s="203"/>
      <c r="G32" s="190"/>
      <c r="H32" s="34"/>
      <c r="I32" s="190"/>
      <c r="J32" s="95"/>
      <c r="K32" s="95"/>
      <c r="L32" s="95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8"/>
      <c r="Z32" s="38"/>
    </row>
    <row r="33" spans="1:26" ht="12.75" x14ac:dyDescent="0.2">
      <c r="A33" s="37"/>
      <c r="B33" s="100" t="s">
        <v>179</v>
      </c>
      <c r="C33" s="190"/>
      <c r="D33" s="101">
        <v>6000</v>
      </c>
      <c r="E33" s="39">
        <f t="shared" ref="E33:E36" si="1">6000*5</f>
        <v>30000</v>
      </c>
      <c r="F33" s="203"/>
      <c r="G33" s="190"/>
      <c r="H33" s="34"/>
      <c r="I33" s="190"/>
      <c r="J33" s="95"/>
      <c r="K33" s="95"/>
      <c r="L33" s="95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8"/>
      <c r="Z33" s="38"/>
    </row>
    <row r="34" spans="1:26" ht="12.75" x14ac:dyDescent="0.2">
      <c r="A34" s="37"/>
      <c r="B34" s="100" t="s">
        <v>180</v>
      </c>
      <c r="C34" s="190"/>
      <c r="D34" s="101">
        <v>6000</v>
      </c>
      <c r="E34" s="39">
        <f t="shared" si="1"/>
        <v>30000</v>
      </c>
      <c r="F34" s="203"/>
      <c r="G34" s="190"/>
      <c r="H34" s="34"/>
      <c r="I34" s="190"/>
      <c r="J34" s="95"/>
      <c r="K34" s="95"/>
      <c r="L34" s="95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8"/>
      <c r="Z34" s="38"/>
    </row>
    <row r="35" spans="1:26" ht="12.75" x14ac:dyDescent="0.2">
      <c r="A35" s="37"/>
      <c r="B35" s="100" t="s">
        <v>181</v>
      </c>
      <c r="C35" s="190"/>
      <c r="D35" s="101">
        <v>6000</v>
      </c>
      <c r="E35" s="39">
        <f t="shared" si="1"/>
        <v>30000</v>
      </c>
      <c r="F35" s="203"/>
      <c r="G35" s="190"/>
      <c r="H35" s="34"/>
      <c r="I35" s="190"/>
      <c r="J35" s="95"/>
      <c r="K35" s="95"/>
      <c r="L35" s="95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8"/>
      <c r="Z35" s="38"/>
    </row>
    <row r="36" spans="1:26" ht="12.75" x14ac:dyDescent="0.2">
      <c r="A36" s="37"/>
      <c r="B36" s="100" t="s">
        <v>182</v>
      </c>
      <c r="C36" s="190"/>
      <c r="D36" s="101">
        <v>6000</v>
      </c>
      <c r="E36" s="39">
        <f t="shared" si="1"/>
        <v>30000</v>
      </c>
      <c r="F36" s="203"/>
      <c r="G36" s="190"/>
      <c r="H36" s="34"/>
      <c r="I36" s="190"/>
      <c r="J36" s="95"/>
      <c r="K36" s="95"/>
      <c r="L36" s="95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8"/>
      <c r="Z36" s="38"/>
    </row>
    <row r="37" spans="1:26" ht="12.75" x14ac:dyDescent="0.2">
      <c r="A37" s="37"/>
      <c r="B37" s="100" t="s">
        <v>183</v>
      </c>
      <c r="C37" s="190"/>
      <c r="D37" s="101">
        <v>1000</v>
      </c>
      <c r="E37" s="39">
        <f>600*4</f>
        <v>2400</v>
      </c>
      <c r="F37" s="203"/>
      <c r="G37" s="190"/>
      <c r="H37" s="34"/>
      <c r="I37" s="190"/>
      <c r="J37" s="95"/>
      <c r="K37" s="95"/>
      <c r="L37" s="95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8"/>
      <c r="Z37" s="38"/>
    </row>
    <row r="38" spans="1:26" ht="12.75" x14ac:dyDescent="0.2">
      <c r="A38" s="37"/>
      <c r="B38" s="100" t="s">
        <v>184</v>
      </c>
      <c r="C38" s="190"/>
      <c r="D38" s="101">
        <v>1000</v>
      </c>
      <c r="E38" s="39">
        <f t="shared" ref="E38:E40" si="2">450*3</f>
        <v>1350</v>
      </c>
      <c r="F38" s="203"/>
      <c r="G38" s="190"/>
      <c r="H38" s="34"/>
      <c r="I38" s="190"/>
      <c r="J38" s="95"/>
      <c r="K38" s="95"/>
      <c r="L38" s="95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8"/>
      <c r="Z38" s="38"/>
    </row>
    <row r="39" spans="1:26" ht="12.75" x14ac:dyDescent="0.2">
      <c r="A39" s="37"/>
      <c r="B39" s="100" t="s">
        <v>185</v>
      </c>
      <c r="C39" s="190"/>
      <c r="D39" s="101">
        <v>1000</v>
      </c>
      <c r="E39" s="39">
        <f t="shared" si="2"/>
        <v>1350</v>
      </c>
      <c r="F39" s="203"/>
      <c r="G39" s="190"/>
      <c r="H39" s="34"/>
      <c r="I39" s="190"/>
      <c r="J39" s="95"/>
      <c r="K39" s="95"/>
      <c r="L39" s="95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38"/>
    </row>
    <row r="40" spans="1:26" ht="12.75" x14ac:dyDescent="0.2">
      <c r="A40" s="37"/>
      <c r="B40" s="100" t="s">
        <v>186</v>
      </c>
      <c r="C40" s="190"/>
      <c r="D40" s="101">
        <v>1000</v>
      </c>
      <c r="E40" s="39">
        <f t="shared" si="2"/>
        <v>1350</v>
      </c>
      <c r="F40" s="203"/>
      <c r="G40" s="190"/>
      <c r="H40" s="34"/>
      <c r="I40" s="190"/>
      <c r="J40" s="95"/>
      <c r="K40" s="95"/>
      <c r="L40" s="95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38"/>
    </row>
    <row r="41" spans="1:26" ht="12.75" x14ac:dyDescent="0.2">
      <c r="A41" s="37"/>
      <c r="B41" s="100" t="s">
        <v>187</v>
      </c>
      <c r="C41" s="166"/>
      <c r="D41" s="101">
        <v>800</v>
      </c>
      <c r="E41" s="39">
        <f>800*3</f>
        <v>2400</v>
      </c>
      <c r="F41" s="176"/>
      <c r="G41" s="166"/>
      <c r="H41" s="34"/>
      <c r="I41" s="166"/>
      <c r="J41" s="95"/>
      <c r="K41" s="95"/>
      <c r="L41" s="95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38"/>
    </row>
    <row r="42" spans="1:26" ht="12.75" x14ac:dyDescent="0.2">
      <c r="A42" s="37"/>
      <c r="B42" s="102" t="s">
        <v>188</v>
      </c>
      <c r="C42" s="200" t="s">
        <v>44</v>
      </c>
      <c r="D42" s="101">
        <v>5000</v>
      </c>
      <c r="E42" s="39">
        <f>5000*3</f>
        <v>15000</v>
      </c>
      <c r="F42" s="202" t="s">
        <v>31</v>
      </c>
      <c r="G42" s="189"/>
      <c r="H42" s="34"/>
      <c r="I42" s="189">
        <v>1</v>
      </c>
      <c r="J42" s="95"/>
      <c r="K42" s="95"/>
      <c r="L42" s="95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8"/>
      <c r="Z42" s="38"/>
    </row>
    <row r="43" spans="1:26" ht="12.75" x14ac:dyDescent="0.2">
      <c r="A43" s="37"/>
      <c r="B43" s="100" t="s">
        <v>189</v>
      </c>
      <c r="C43" s="190"/>
      <c r="D43" s="101">
        <v>3500</v>
      </c>
      <c r="E43" s="39">
        <f>3500*3</f>
        <v>10500</v>
      </c>
      <c r="F43" s="203"/>
      <c r="G43" s="190"/>
      <c r="H43" s="34"/>
      <c r="I43" s="190"/>
      <c r="J43" s="95"/>
      <c r="K43" s="95"/>
      <c r="L43" s="95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8"/>
      <c r="Z43" s="38"/>
    </row>
    <row r="44" spans="1:26" ht="12.75" x14ac:dyDescent="0.2">
      <c r="A44" s="37"/>
      <c r="B44" s="100" t="s">
        <v>190</v>
      </c>
      <c r="C44" s="190"/>
      <c r="D44" s="101">
        <v>600</v>
      </c>
      <c r="E44" s="39">
        <f>600*5</f>
        <v>3000</v>
      </c>
      <c r="F44" s="203"/>
      <c r="G44" s="190"/>
      <c r="H44" s="34"/>
      <c r="I44" s="190"/>
      <c r="J44" s="95"/>
      <c r="K44" s="95"/>
      <c r="L44" s="95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8"/>
      <c r="Z44" s="38"/>
    </row>
    <row r="45" spans="1:26" ht="12.75" x14ac:dyDescent="0.2">
      <c r="A45" s="37"/>
      <c r="B45" s="100" t="s">
        <v>191</v>
      </c>
      <c r="C45" s="190"/>
      <c r="D45" s="101">
        <v>2000</v>
      </c>
      <c r="E45" s="39">
        <f>2000*10</f>
        <v>20000</v>
      </c>
      <c r="F45" s="203"/>
      <c r="G45" s="190"/>
      <c r="H45" s="34"/>
      <c r="I45" s="190"/>
      <c r="J45" s="95"/>
      <c r="K45" s="95"/>
      <c r="L45" s="95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8"/>
      <c r="Z45" s="38"/>
    </row>
    <row r="46" spans="1:26" ht="25.5" x14ac:dyDescent="0.2">
      <c r="A46" s="37"/>
      <c r="B46" s="103" t="s">
        <v>192</v>
      </c>
      <c r="C46" s="190"/>
      <c r="D46" s="101">
        <v>1000</v>
      </c>
      <c r="E46" s="39">
        <f>1000*2</f>
        <v>2000</v>
      </c>
      <c r="F46" s="203"/>
      <c r="G46" s="190"/>
      <c r="H46" s="34"/>
      <c r="I46" s="190"/>
      <c r="J46" s="95"/>
      <c r="K46" s="95"/>
      <c r="L46" s="95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8"/>
      <c r="Z46" s="38"/>
    </row>
    <row r="47" spans="1:26" ht="25.5" x14ac:dyDescent="0.2">
      <c r="A47" s="37"/>
      <c r="B47" s="103" t="s">
        <v>193</v>
      </c>
      <c r="C47" s="166"/>
      <c r="D47" s="101">
        <v>1500</v>
      </c>
      <c r="E47" s="39">
        <f>1500*4</f>
        <v>6000</v>
      </c>
      <c r="F47" s="176"/>
      <c r="G47" s="166"/>
      <c r="H47" s="34"/>
      <c r="I47" s="166"/>
      <c r="J47" s="95"/>
      <c r="K47" s="95"/>
      <c r="L47" s="95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8"/>
      <c r="Z47" s="38"/>
    </row>
    <row r="48" spans="1:26" ht="12.75" x14ac:dyDescent="0.2">
      <c r="A48" s="37"/>
      <c r="B48" s="100" t="s">
        <v>194</v>
      </c>
      <c r="C48" s="200" t="s">
        <v>44</v>
      </c>
      <c r="D48" s="101">
        <v>1000</v>
      </c>
      <c r="E48" s="39">
        <f>1000*15</f>
        <v>15000</v>
      </c>
      <c r="F48" s="202" t="s">
        <v>31</v>
      </c>
      <c r="G48" s="189"/>
      <c r="H48" s="34"/>
      <c r="I48" s="189">
        <v>1</v>
      </c>
      <c r="J48" s="95"/>
      <c r="K48" s="95"/>
      <c r="L48" s="95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8"/>
      <c r="Z48" s="38"/>
    </row>
    <row r="49" spans="1:26" ht="12.75" x14ac:dyDescent="0.2">
      <c r="A49" s="37"/>
      <c r="B49" s="100" t="s">
        <v>195</v>
      </c>
      <c r="C49" s="190"/>
      <c r="D49" s="101">
        <v>1000</v>
      </c>
      <c r="E49" s="39">
        <f t="shared" ref="E49:E50" si="3">1000*10</f>
        <v>10000</v>
      </c>
      <c r="F49" s="203"/>
      <c r="G49" s="190"/>
      <c r="H49" s="34"/>
      <c r="I49" s="190"/>
      <c r="J49" s="95"/>
      <c r="K49" s="95"/>
      <c r="L49" s="95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8"/>
      <c r="Z49" s="38"/>
    </row>
    <row r="50" spans="1:26" ht="12.75" x14ac:dyDescent="0.2">
      <c r="A50" s="37"/>
      <c r="B50" s="100" t="s">
        <v>196</v>
      </c>
      <c r="C50" s="190"/>
      <c r="D50" s="101">
        <v>1000</v>
      </c>
      <c r="E50" s="39">
        <f t="shared" si="3"/>
        <v>10000</v>
      </c>
      <c r="F50" s="203"/>
      <c r="G50" s="190"/>
      <c r="H50" s="34"/>
      <c r="I50" s="190"/>
      <c r="J50" s="95"/>
      <c r="K50" s="95"/>
      <c r="L50" s="95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8"/>
      <c r="Z50" s="38"/>
    </row>
    <row r="51" spans="1:26" ht="12.75" x14ac:dyDescent="0.2">
      <c r="A51" s="37"/>
      <c r="B51" s="100" t="s">
        <v>197</v>
      </c>
      <c r="C51" s="190"/>
      <c r="D51" s="101">
        <v>1000</v>
      </c>
      <c r="E51" s="39">
        <f>1000*8</f>
        <v>8000</v>
      </c>
      <c r="F51" s="203"/>
      <c r="G51" s="190"/>
      <c r="H51" s="34"/>
      <c r="I51" s="190"/>
      <c r="J51" s="95"/>
      <c r="K51" s="95"/>
      <c r="L51" s="95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8"/>
      <c r="Z51" s="38"/>
    </row>
    <row r="52" spans="1:26" ht="12.75" x14ac:dyDescent="0.2">
      <c r="A52" s="37"/>
      <c r="B52" s="100" t="s">
        <v>198</v>
      </c>
      <c r="C52" s="190"/>
      <c r="D52" s="101">
        <v>1000</v>
      </c>
      <c r="E52" s="39">
        <f>1000*4</f>
        <v>4000</v>
      </c>
      <c r="F52" s="203"/>
      <c r="G52" s="190"/>
      <c r="H52" s="34"/>
      <c r="I52" s="190"/>
      <c r="J52" s="95"/>
      <c r="K52" s="95"/>
      <c r="L52" s="95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8"/>
      <c r="Z52" s="38"/>
    </row>
    <row r="53" spans="1:26" ht="12.75" x14ac:dyDescent="0.2">
      <c r="A53" s="37"/>
      <c r="B53" s="100" t="s">
        <v>199</v>
      </c>
      <c r="C53" s="190"/>
      <c r="D53" s="101">
        <v>100</v>
      </c>
      <c r="E53" s="39">
        <f t="shared" ref="E53:E54" si="4">100*3</f>
        <v>300</v>
      </c>
      <c r="F53" s="203"/>
      <c r="G53" s="190"/>
      <c r="H53" s="34"/>
      <c r="I53" s="190"/>
      <c r="J53" s="95"/>
      <c r="K53" s="95"/>
      <c r="L53" s="95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8"/>
      <c r="Z53" s="38"/>
    </row>
    <row r="54" spans="1:26" ht="12.75" x14ac:dyDescent="0.2">
      <c r="A54" s="37"/>
      <c r="B54" s="100" t="s">
        <v>200</v>
      </c>
      <c r="C54" s="190"/>
      <c r="D54" s="101">
        <v>100</v>
      </c>
      <c r="E54" s="39">
        <f t="shared" si="4"/>
        <v>300</v>
      </c>
      <c r="F54" s="203"/>
      <c r="G54" s="190"/>
      <c r="H54" s="34"/>
      <c r="I54" s="190"/>
      <c r="J54" s="95"/>
      <c r="K54" s="95"/>
      <c r="L54" s="95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8"/>
      <c r="Z54" s="38"/>
    </row>
    <row r="55" spans="1:26" ht="12.75" x14ac:dyDescent="0.2">
      <c r="A55" s="37"/>
      <c r="B55" s="100" t="s">
        <v>201</v>
      </c>
      <c r="C55" s="190"/>
      <c r="D55" s="101">
        <v>20</v>
      </c>
      <c r="E55" s="39">
        <f>20*10</f>
        <v>200</v>
      </c>
      <c r="F55" s="203"/>
      <c r="G55" s="190"/>
      <c r="H55" s="34"/>
      <c r="I55" s="190"/>
      <c r="J55" s="95"/>
      <c r="K55" s="95"/>
      <c r="L55" s="95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8"/>
      <c r="Z55" s="38"/>
    </row>
    <row r="56" spans="1:26" ht="12.75" x14ac:dyDescent="0.2">
      <c r="A56" s="37"/>
      <c r="B56" s="100" t="s">
        <v>202</v>
      </c>
      <c r="C56" s="190"/>
      <c r="D56" s="101">
        <v>30</v>
      </c>
      <c r="E56" s="39">
        <f>30*10</f>
        <v>300</v>
      </c>
      <c r="F56" s="203"/>
      <c r="G56" s="190"/>
      <c r="H56" s="34"/>
      <c r="I56" s="190"/>
      <c r="J56" s="95"/>
      <c r="K56" s="95"/>
      <c r="L56" s="95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8"/>
      <c r="Z56" s="38"/>
    </row>
    <row r="57" spans="1:26" ht="12.75" x14ac:dyDescent="0.2">
      <c r="A57" s="37"/>
      <c r="B57" s="102" t="s">
        <v>203</v>
      </c>
      <c r="C57" s="190"/>
      <c r="D57" s="101">
        <v>40</v>
      </c>
      <c r="E57" s="39">
        <f>40*10</f>
        <v>400</v>
      </c>
      <c r="F57" s="203"/>
      <c r="G57" s="190"/>
      <c r="H57" s="34"/>
      <c r="I57" s="190"/>
      <c r="J57" s="95"/>
      <c r="K57" s="95"/>
      <c r="L57" s="95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8"/>
      <c r="Z57" s="38"/>
    </row>
    <row r="58" spans="1:26" ht="12.75" x14ac:dyDescent="0.2">
      <c r="A58" s="37"/>
      <c r="B58" s="100" t="s">
        <v>204</v>
      </c>
      <c r="C58" s="190"/>
      <c r="D58" s="101">
        <v>100</v>
      </c>
      <c r="E58" s="39">
        <f>100*10</f>
        <v>1000</v>
      </c>
      <c r="F58" s="203"/>
      <c r="G58" s="190"/>
      <c r="H58" s="34"/>
      <c r="I58" s="190"/>
      <c r="J58" s="95"/>
      <c r="K58" s="95"/>
      <c r="L58" s="95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8"/>
      <c r="Z58" s="38"/>
    </row>
    <row r="59" spans="1:26" ht="12.75" x14ac:dyDescent="0.2">
      <c r="A59" s="37"/>
      <c r="B59" s="100" t="s">
        <v>205</v>
      </c>
      <c r="C59" s="190"/>
      <c r="D59" s="101">
        <v>200</v>
      </c>
      <c r="E59" s="39">
        <f>200*25</f>
        <v>5000</v>
      </c>
      <c r="F59" s="203"/>
      <c r="G59" s="190"/>
      <c r="H59" s="34"/>
      <c r="I59" s="190"/>
      <c r="J59" s="95"/>
      <c r="K59" s="95"/>
      <c r="L59" s="95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8"/>
      <c r="Z59" s="38"/>
    </row>
    <row r="60" spans="1:26" ht="12.75" x14ac:dyDescent="0.2">
      <c r="A60" s="37"/>
      <c r="B60" s="100" t="s">
        <v>206</v>
      </c>
      <c r="C60" s="190"/>
      <c r="D60" s="101">
        <v>150</v>
      </c>
      <c r="E60" s="39">
        <f>150*10</f>
        <v>1500</v>
      </c>
      <c r="F60" s="203"/>
      <c r="G60" s="190"/>
      <c r="H60" s="34"/>
      <c r="I60" s="190"/>
      <c r="J60" s="95"/>
      <c r="K60" s="95"/>
      <c r="L60" s="95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8"/>
      <c r="Z60" s="38"/>
    </row>
    <row r="61" spans="1:26" ht="12.75" x14ac:dyDescent="0.2">
      <c r="A61" s="37"/>
      <c r="B61" s="100" t="s">
        <v>207</v>
      </c>
      <c r="C61" s="190"/>
      <c r="D61" s="101">
        <v>50</v>
      </c>
      <c r="E61" s="39">
        <f>50*30</f>
        <v>1500</v>
      </c>
      <c r="F61" s="203"/>
      <c r="G61" s="190"/>
      <c r="H61" s="34"/>
      <c r="I61" s="190"/>
      <c r="J61" s="95"/>
      <c r="K61" s="95"/>
      <c r="L61" s="95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8"/>
      <c r="Z61" s="38"/>
    </row>
    <row r="62" spans="1:26" ht="12.75" x14ac:dyDescent="0.2">
      <c r="A62" s="37"/>
      <c r="B62" s="100" t="s">
        <v>208</v>
      </c>
      <c r="C62" s="190"/>
      <c r="D62" s="101">
        <v>100</v>
      </c>
      <c r="E62" s="39">
        <f>100*50</f>
        <v>5000</v>
      </c>
      <c r="F62" s="203"/>
      <c r="G62" s="190"/>
      <c r="H62" s="34"/>
      <c r="I62" s="190"/>
      <c r="J62" s="95"/>
      <c r="K62" s="95"/>
      <c r="L62" s="95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8"/>
      <c r="Z62" s="38"/>
    </row>
    <row r="63" spans="1:26" ht="12.75" x14ac:dyDescent="0.2">
      <c r="A63" s="37"/>
      <c r="B63" s="100" t="s">
        <v>209</v>
      </c>
      <c r="C63" s="190"/>
      <c r="D63" s="101">
        <v>50</v>
      </c>
      <c r="E63" s="39">
        <f>50*20</f>
        <v>1000</v>
      </c>
      <c r="F63" s="203"/>
      <c r="G63" s="190"/>
      <c r="H63" s="34"/>
      <c r="I63" s="190"/>
      <c r="J63" s="95"/>
      <c r="K63" s="95"/>
      <c r="L63" s="95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8"/>
      <c r="Z63" s="38"/>
    </row>
    <row r="64" spans="1:26" ht="12.75" x14ac:dyDescent="0.2">
      <c r="A64" s="37"/>
      <c r="B64" s="100" t="s">
        <v>210</v>
      </c>
      <c r="C64" s="190"/>
      <c r="D64" s="101">
        <v>100</v>
      </c>
      <c r="E64" s="39">
        <f>100*40</f>
        <v>4000</v>
      </c>
      <c r="F64" s="203"/>
      <c r="G64" s="190"/>
      <c r="H64" s="34"/>
      <c r="I64" s="190"/>
      <c r="J64" s="95"/>
      <c r="K64" s="95"/>
      <c r="L64" s="95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8"/>
      <c r="Z64" s="38"/>
    </row>
    <row r="65" spans="1:26" ht="12.75" x14ac:dyDescent="0.2">
      <c r="A65" s="37"/>
      <c r="B65" s="100" t="s">
        <v>211</v>
      </c>
      <c r="C65" s="190"/>
      <c r="D65" s="101">
        <v>45</v>
      </c>
      <c r="E65" s="39">
        <f>45*30</f>
        <v>1350</v>
      </c>
      <c r="F65" s="203"/>
      <c r="G65" s="190"/>
      <c r="H65" s="34"/>
      <c r="I65" s="190"/>
      <c r="J65" s="95"/>
      <c r="K65" s="95"/>
      <c r="L65" s="95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8"/>
    </row>
    <row r="66" spans="1:26" ht="12.75" x14ac:dyDescent="0.2">
      <c r="A66" s="37"/>
      <c r="B66" s="100" t="s">
        <v>212</v>
      </c>
      <c r="C66" s="190"/>
      <c r="D66" s="101">
        <v>50</v>
      </c>
      <c r="E66" s="39">
        <f>50*30</f>
        <v>1500</v>
      </c>
      <c r="F66" s="203"/>
      <c r="G66" s="190"/>
      <c r="H66" s="34"/>
      <c r="I66" s="190"/>
      <c r="J66" s="95"/>
      <c r="K66" s="95"/>
      <c r="L66" s="95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38"/>
    </row>
    <row r="67" spans="1:26" ht="12.75" x14ac:dyDescent="0.2">
      <c r="A67" s="37"/>
      <c r="B67" s="100" t="s">
        <v>213</v>
      </c>
      <c r="C67" s="190"/>
      <c r="D67" s="101">
        <v>80</v>
      </c>
      <c r="E67" s="39">
        <f>80*10</f>
        <v>800</v>
      </c>
      <c r="F67" s="203"/>
      <c r="G67" s="190"/>
      <c r="H67" s="34"/>
      <c r="I67" s="190"/>
      <c r="J67" s="95"/>
      <c r="K67" s="95"/>
      <c r="L67" s="95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8"/>
      <c r="Z67" s="38"/>
    </row>
    <row r="68" spans="1:26" ht="12.75" x14ac:dyDescent="0.2">
      <c r="A68" s="37"/>
      <c r="B68" s="100" t="s">
        <v>214</v>
      </c>
      <c r="C68" s="190"/>
      <c r="D68" s="101">
        <v>200</v>
      </c>
      <c r="E68" s="39">
        <f>200*2</f>
        <v>400</v>
      </c>
      <c r="F68" s="203"/>
      <c r="G68" s="190"/>
      <c r="H68" s="34"/>
      <c r="I68" s="190"/>
      <c r="J68" s="95"/>
      <c r="K68" s="95"/>
      <c r="L68" s="95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8"/>
    </row>
    <row r="69" spans="1:26" ht="17.25" customHeight="1" x14ac:dyDescent="0.2">
      <c r="A69" s="37"/>
      <c r="B69" s="100" t="s">
        <v>215</v>
      </c>
      <c r="C69" s="190"/>
      <c r="D69" s="101">
        <v>70</v>
      </c>
      <c r="E69" s="39">
        <f>70*20</f>
        <v>1400</v>
      </c>
      <c r="F69" s="203"/>
      <c r="G69" s="190"/>
      <c r="H69" s="34"/>
      <c r="I69" s="190"/>
      <c r="J69" s="95"/>
      <c r="K69" s="95"/>
      <c r="L69" s="95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8"/>
    </row>
    <row r="70" spans="1:26" ht="12.75" x14ac:dyDescent="0.2">
      <c r="A70" s="37"/>
      <c r="B70" s="100" t="s">
        <v>216</v>
      </c>
      <c r="C70" s="190"/>
      <c r="D70" s="101">
        <v>120</v>
      </c>
      <c r="E70" s="39">
        <f>120*5</f>
        <v>600</v>
      </c>
      <c r="F70" s="203"/>
      <c r="G70" s="190"/>
      <c r="H70" s="34"/>
      <c r="I70" s="190"/>
      <c r="J70" s="95"/>
      <c r="K70" s="95"/>
      <c r="L70" s="95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8"/>
    </row>
    <row r="71" spans="1:26" ht="12.75" x14ac:dyDescent="0.2">
      <c r="A71" s="37"/>
      <c r="B71" s="100" t="s">
        <v>217</v>
      </c>
      <c r="C71" s="190"/>
      <c r="D71" s="101">
        <v>70</v>
      </c>
      <c r="E71" s="39">
        <f>70*20</f>
        <v>1400</v>
      </c>
      <c r="F71" s="203"/>
      <c r="G71" s="190"/>
      <c r="H71" s="34"/>
      <c r="I71" s="190"/>
      <c r="J71" s="95"/>
      <c r="K71" s="95"/>
      <c r="L71" s="95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8"/>
    </row>
    <row r="72" spans="1:26" ht="12.75" x14ac:dyDescent="0.2">
      <c r="A72" s="37"/>
      <c r="B72" s="100" t="s">
        <v>218</v>
      </c>
      <c r="C72" s="166"/>
      <c r="D72" s="101">
        <v>50</v>
      </c>
      <c r="E72" s="39">
        <f>50*1</f>
        <v>50</v>
      </c>
      <c r="F72" s="176"/>
      <c r="G72" s="166"/>
      <c r="H72" s="34"/>
      <c r="I72" s="166"/>
      <c r="J72" s="95"/>
      <c r="K72" s="95"/>
      <c r="L72" s="95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8"/>
    </row>
    <row r="73" spans="1:26" ht="12.75" x14ac:dyDescent="0.2">
      <c r="A73" s="37"/>
      <c r="B73" s="100" t="s">
        <v>219</v>
      </c>
      <c r="C73" s="200" t="s">
        <v>44</v>
      </c>
      <c r="D73" s="101">
        <v>130</v>
      </c>
      <c r="E73" s="39">
        <f>130*10</f>
        <v>1300</v>
      </c>
      <c r="F73" s="202" t="s">
        <v>31</v>
      </c>
      <c r="G73" s="189"/>
      <c r="H73" s="34"/>
      <c r="I73" s="189">
        <v>1</v>
      </c>
      <c r="J73" s="95"/>
      <c r="K73" s="95"/>
      <c r="L73" s="95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8"/>
    </row>
    <row r="74" spans="1:26" ht="12.75" x14ac:dyDescent="0.2">
      <c r="A74" s="37"/>
      <c r="B74" s="100" t="s">
        <v>220</v>
      </c>
      <c r="C74" s="190"/>
      <c r="D74" s="101">
        <v>150</v>
      </c>
      <c r="E74" s="39">
        <f>150*10</f>
        <v>1500</v>
      </c>
      <c r="F74" s="203"/>
      <c r="G74" s="190"/>
      <c r="H74" s="34"/>
      <c r="I74" s="190"/>
      <c r="J74" s="95"/>
      <c r="K74" s="95"/>
      <c r="L74" s="95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8"/>
      <c r="Z74" s="38"/>
    </row>
    <row r="75" spans="1:26" ht="12.75" x14ac:dyDescent="0.2">
      <c r="A75" s="37"/>
      <c r="B75" s="100" t="s">
        <v>221</v>
      </c>
      <c r="C75" s="166"/>
      <c r="D75" s="101">
        <v>400</v>
      </c>
      <c r="E75" s="39">
        <f>400*20</f>
        <v>8000</v>
      </c>
      <c r="F75" s="176"/>
      <c r="G75" s="166"/>
      <c r="H75" s="34"/>
      <c r="I75" s="166"/>
      <c r="J75" s="95"/>
      <c r="K75" s="95"/>
      <c r="L75" s="95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8"/>
    </row>
    <row r="76" spans="1:26" ht="12.75" x14ac:dyDescent="0.2">
      <c r="A76" s="37"/>
      <c r="B76" s="104" t="s">
        <v>222</v>
      </c>
      <c r="C76" s="34" t="s">
        <v>223</v>
      </c>
      <c r="D76" s="39">
        <v>1000</v>
      </c>
      <c r="E76" s="39">
        <v>40000</v>
      </c>
      <c r="F76" s="105" t="s">
        <v>31</v>
      </c>
      <c r="G76" s="34"/>
      <c r="H76" s="34"/>
      <c r="I76" s="34">
        <v>40</v>
      </c>
      <c r="J76" s="95"/>
      <c r="K76" s="95"/>
      <c r="L76" s="95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8"/>
      <c r="Z76" s="38"/>
    </row>
    <row r="77" spans="1:26" ht="12.75" x14ac:dyDescent="0.2">
      <c r="A77" s="37"/>
      <c r="B77" s="104" t="s">
        <v>224</v>
      </c>
      <c r="C77" s="34" t="s">
        <v>225</v>
      </c>
      <c r="D77" s="106">
        <f t="shared" ref="D77:E77" si="5">6000*4</f>
        <v>24000</v>
      </c>
      <c r="E77" s="39">
        <f t="shared" si="5"/>
        <v>24000</v>
      </c>
      <c r="F77" s="105" t="s">
        <v>31</v>
      </c>
      <c r="G77" s="34"/>
      <c r="H77" s="34"/>
      <c r="I77" s="34">
        <v>3</v>
      </c>
      <c r="J77" s="95"/>
      <c r="K77" s="95"/>
      <c r="L77" s="95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8"/>
    </row>
    <row r="78" spans="1:26" ht="36.75" customHeight="1" x14ac:dyDescent="0.2">
      <c r="A78" s="107"/>
      <c r="B78" s="108" t="s">
        <v>226</v>
      </c>
      <c r="C78" s="34" t="s">
        <v>44</v>
      </c>
      <c r="D78" s="27">
        <v>6720</v>
      </c>
      <c r="E78" s="27">
        <v>6720</v>
      </c>
      <c r="F78" s="109" t="s">
        <v>31</v>
      </c>
      <c r="G78" s="34"/>
      <c r="H78" s="34"/>
      <c r="I78" s="34">
        <v>1</v>
      </c>
      <c r="J78" s="95"/>
      <c r="K78" s="95"/>
      <c r="L78" s="95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8"/>
      <c r="Z78" s="38"/>
    </row>
    <row r="79" spans="1:26" ht="159" customHeight="1" x14ac:dyDescent="0.25">
      <c r="A79" s="107"/>
      <c r="B79" s="110" t="s">
        <v>227</v>
      </c>
      <c r="C79" s="34" t="s">
        <v>44</v>
      </c>
      <c r="D79" s="27">
        <f t="shared" ref="D79:E79" si="6">5000*55</f>
        <v>275000</v>
      </c>
      <c r="E79" s="27">
        <f t="shared" si="6"/>
        <v>275000</v>
      </c>
      <c r="F79" s="34" t="s">
        <v>65</v>
      </c>
      <c r="G79" s="34"/>
      <c r="H79" s="34"/>
      <c r="I79" s="34"/>
      <c r="J79" s="95"/>
      <c r="K79" s="95"/>
      <c r="L79" s="95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8"/>
      <c r="Z79" s="38"/>
    </row>
    <row r="80" spans="1:26" ht="12.75" x14ac:dyDescent="0.2">
      <c r="A80" s="37"/>
      <c r="B80" s="111" t="s">
        <v>228</v>
      </c>
      <c r="C80" s="34"/>
      <c r="D80" s="39"/>
      <c r="E80" s="39"/>
      <c r="F80" s="34"/>
      <c r="G80" s="34"/>
      <c r="H80" s="34"/>
      <c r="I80" s="34"/>
      <c r="J80" s="95"/>
      <c r="K80" s="95"/>
      <c r="L80" s="95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8"/>
      <c r="Z80" s="38"/>
    </row>
    <row r="81" spans="1:26" ht="143.25" customHeight="1" x14ac:dyDescent="0.2">
      <c r="A81" s="37"/>
      <c r="B81" s="41" t="s">
        <v>229</v>
      </c>
      <c r="C81" s="86" t="s">
        <v>44</v>
      </c>
      <c r="D81" s="87">
        <v>45000</v>
      </c>
      <c r="E81" s="87">
        <f>45000*5</f>
        <v>225000</v>
      </c>
      <c r="F81" s="86" t="s">
        <v>31</v>
      </c>
      <c r="G81" s="88" t="s">
        <v>155</v>
      </c>
      <c r="H81" s="89"/>
      <c r="I81" s="90">
        <v>1</v>
      </c>
      <c r="J81" s="95"/>
      <c r="K81" s="95"/>
      <c r="L81" s="95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8"/>
      <c r="Z81" s="38"/>
    </row>
    <row r="82" spans="1:26" ht="12.75" x14ac:dyDescent="0.2">
      <c r="A82" s="37"/>
      <c r="B82" s="16" t="s">
        <v>230</v>
      </c>
      <c r="C82" s="26" t="s">
        <v>44</v>
      </c>
      <c r="D82" s="27">
        <v>49990</v>
      </c>
      <c r="E82" s="27">
        <f>49990*2</f>
        <v>99980</v>
      </c>
      <c r="F82" s="26" t="s">
        <v>31</v>
      </c>
      <c r="G82" s="92" t="s">
        <v>155</v>
      </c>
      <c r="H82" s="93"/>
      <c r="I82" s="94">
        <v>2</v>
      </c>
      <c r="J82" s="95"/>
      <c r="K82" s="95"/>
      <c r="L82" s="95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8"/>
      <c r="Z82" s="38"/>
    </row>
    <row r="83" spans="1:26" ht="14.25" x14ac:dyDescent="0.2">
      <c r="A83" s="98"/>
      <c r="B83" s="33"/>
      <c r="C83" s="26"/>
      <c r="D83" s="27"/>
      <c r="E83" s="27"/>
      <c r="F83" s="26"/>
      <c r="G83" s="26"/>
      <c r="H83" s="112"/>
      <c r="I83" s="112"/>
      <c r="J83" s="113"/>
      <c r="K83" s="113"/>
      <c r="L83" s="93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1"/>
      <c r="X83" s="1"/>
      <c r="Y83" s="1"/>
      <c r="Z83" s="1"/>
    </row>
    <row r="84" spans="1:26" ht="15" x14ac:dyDescent="0.25">
      <c r="A84" s="78"/>
      <c r="B84" s="79" t="s">
        <v>42</v>
      </c>
      <c r="C84" s="112"/>
      <c r="D84" s="114"/>
      <c r="E84" s="114"/>
      <c r="F84" s="112"/>
      <c r="G84" s="112"/>
      <c r="H84" s="112"/>
      <c r="I84" s="112"/>
      <c r="J84" s="113"/>
      <c r="K84" s="113"/>
      <c r="L84" s="113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7"/>
      <c r="X84" s="7"/>
      <c r="Y84" s="7"/>
      <c r="Z84" s="7"/>
    </row>
    <row r="85" spans="1:26" ht="12.75" x14ac:dyDescent="0.2">
      <c r="A85" s="116"/>
      <c r="B85" s="25" t="s">
        <v>43</v>
      </c>
      <c r="C85" s="26" t="s">
        <v>231</v>
      </c>
      <c r="D85" s="27">
        <v>2000</v>
      </c>
      <c r="E85" s="27">
        <v>10000</v>
      </c>
      <c r="F85" s="26" t="s">
        <v>31</v>
      </c>
      <c r="G85" s="26" t="s">
        <v>45</v>
      </c>
      <c r="H85" s="26"/>
      <c r="I85" s="26">
        <v>6</v>
      </c>
      <c r="J85" s="92">
        <v>4</v>
      </c>
      <c r="K85" s="92"/>
      <c r="L85" s="92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67"/>
      <c r="X85" s="67"/>
      <c r="Y85" s="67"/>
      <c r="Z85" s="67"/>
    </row>
    <row r="86" spans="1:26" ht="12.75" x14ac:dyDescent="0.2">
      <c r="A86" s="16"/>
      <c r="B86" s="25" t="s">
        <v>232</v>
      </c>
      <c r="C86" s="26" t="s">
        <v>233</v>
      </c>
      <c r="D86" s="27">
        <v>3000</v>
      </c>
      <c r="E86" s="27">
        <f>3000*30</f>
        <v>90000</v>
      </c>
      <c r="F86" s="26" t="s">
        <v>31</v>
      </c>
      <c r="G86" s="26" t="s">
        <v>45</v>
      </c>
      <c r="H86" s="117"/>
      <c r="I86" s="26">
        <v>10</v>
      </c>
      <c r="J86" s="92">
        <v>20</v>
      </c>
      <c r="K86" s="92"/>
      <c r="L86" s="92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67"/>
      <c r="X86" s="67"/>
      <c r="Y86" s="1"/>
      <c r="Z86" s="1"/>
    </row>
    <row r="87" spans="1:26" ht="12.75" x14ac:dyDescent="0.2">
      <c r="A87" s="16"/>
      <c r="B87" s="25" t="s">
        <v>234</v>
      </c>
      <c r="C87" s="26" t="s">
        <v>235</v>
      </c>
      <c r="D87" s="27">
        <v>3000</v>
      </c>
      <c r="E87" s="27">
        <f>30000*20</f>
        <v>600000</v>
      </c>
      <c r="F87" s="26" t="s">
        <v>31</v>
      </c>
      <c r="G87" s="26" t="s">
        <v>45</v>
      </c>
      <c r="H87" s="26"/>
      <c r="I87" s="26"/>
      <c r="J87" s="92"/>
      <c r="K87" s="92"/>
      <c r="L87" s="92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67"/>
      <c r="X87" s="67"/>
      <c r="Y87" s="1"/>
      <c r="Z87" s="1"/>
    </row>
    <row r="88" spans="1:26" ht="15" x14ac:dyDescent="0.25">
      <c r="A88" s="78"/>
      <c r="B88" s="118" t="s">
        <v>50</v>
      </c>
      <c r="C88" s="119"/>
      <c r="D88" s="120"/>
      <c r="E88" s="120"/>
      <c r="F88" s="119"/>
      <c r="G88" s="119"/>
      <c r="H88" s="119" t="s">
        <v>236</v>
      </c>
      <c r="I88" s="119"/>
      <c r="J88" s="121"/>
      <c r="K88" s="121"/>
      <c r="L88" s="121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7"/>
      <c r="X88" s="7"/>
      <c r="Y88" s="7"/>
      <c r="Z88" s="7"/>
    </row>
    <row r="89" spans="1:26" ht="15" customHeight="1" x14ac:dyDescent="0.2">
      <c r="A89" s="16"/>
      <c r="B89" s="54" t="s">
        <v>51</v>
      </c>
      <c r="C89" s="26" t="s">
        <v>52</v>
      </c>
      <c r="D89" s="27">
        <v>750</v>
      </c>
      <c r="E89" s="27">
        <f>40*750</f>
        <v>30000</v>
      </c>
      <c r="F89" s="26" t="s">
        <v>31</v>
      </c>
      <c r="G89" s="26" t="s">
        <v>53</v>
      </c>
      <c r="H89" s="26"/>
      <c r="I89" s="26">
        <v>40</v>
      </c>
      <c r="J89" s="92"/>
      <c r="K89" s="92"/>
      <c r="L89" s="92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67"/>
      <c r="X89" s="67"/>
      <c r="Y89" s="1"/>
      <c r="Z89" s="1"/>
    </row>
    <row r="90" spans="1:26" ht="12.75" x14ac:dyDescent="0.2">
      <c r="A90" s="16"/>
      <c r="B90" s="55" t="s">
        <v>54</v>
      </c>
      <c r="C90" s="26" t="s">
        <v>55</v>
      </c>
      <c r="D90" s="27">
        <v>1000</v>
      </c>
      <c r="E90" s="27">
        <f>50*1000</f>
        <v>50000</v>
      </c>
      <c r="F90" s="26" t="s">
        <v>31</v>
      </c>
      <c r="G90" s="26" t="s">
        <v>53</v>
      </c>
      <c r="H90" s="26"/>
      <c r="I90" s="26">
        <v>50</v>
      </c>
      <c r="J90" s="92"/>
      <c r="K90" s="92"/>
      <c r="L90" s="92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67"/>
      <c r="X90" s="67"/>
      <c r="Y90" s="1"/>
      <c r="Z90" s="1"/>
    </row>
    <row r="91" spans="1:26" ht="12.75" x14ac:dyDescent="0.2">
      <c r="A91" s="16"/>
      <c r="B91" s="55" t="s">
        <v>56</v>
      </c>
      <c r="C91" s="26" t="s">
        <v>52</v>
      </c>
      <c r="D91" s="27">
        <v>750</v>
      </c>
      <c r="E91" s="27">
        <f>40*750</f>
        <v>30000</v>
      </c>
      <c r="F91" s="26" t="s">
        <v>31</v>
      </c>
      <c r="G91" s="26" t="s">
        <v>53</v>
      </c>
      <c r="H91" s="26"/>
      <c r="I91" s="26">
        <v>40</v>
      </c>
      <c r="J91" s="92"/>
      <c r="K91" s="92"/>
      <c r="L91" s="92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67"/>
      <c r="X91" s="67"/>
      <c r="Y91" s="1"/>
      <c r="Z91" s="1"/>
    </row>
    <row r="92" spans="1:26" ht="12.75" x14ac:dyDescent="0.2">
      <c r="A92" s="16"/>
      <c r="B92" s="55" t="s">
        <v>57</v>
      </c>
      <c r="C92" s="26" t="s">
        <v>58</v>
      </c>
      <c r="D92" s="27">
        <v>750</v>
      </c>
      <c r="E92" s="27">
        <f t="shared" ref="E92:E93" si="7">30*750</f>
        <v>22500</v>
      </c>
      <c r="F92" s="26" t="s">
        <v>31</v>
      </c>
      <c r="G92" s="26" t="s">
        <v>53</v>
      </c>
      <c r="H92" s="26"/>
      <c r="I92" s="26">
        <v>30</v>
      </c>
      <c r="J92" s="92"/>
      <c r="K92" s="92"/>
      <c r="L92" s="92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67"/>
      <c r="X92" s="67"/>
      <c r="Y92" s="1"/>
      <c r="Z92" s="1"/>
    </row>
    <row r="93" spans="1:26" ht="25.5" x14ac:dyDescent="0.2">
      <c r="A93" s="16"/>
      <c r="B93" s="54" t="s">
        <v>59</v>
      </c>
      <c r="C93" s="26" t="s">
        <v>58</v>
      </c>
      <c r="D93" s="27">
        <v>750</v>
      </c>
      <c r="E93" s="27">
        <f t="shared" si="7"/>
        <v>22500</v>
      </c>
      <c r="F93" s="26" t="s">
        <v>31</v>
      </c>
      <c r="G93" s="26" t="s">
        <v>53</v>
      </c>
      <c r="H93" s="26"/>
      <c r="I93" s="26">
        <v>30</v>
      </c>
      <c r="J93" s="92"/>
      <c r="K93" s="92"/>
      <c r="L93" s="92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67"/>
      <c r="X93" s="67"/>
      <c r="Y93" s="1"/>
      <c r="Z93" s="1"/>
    </row>
    <row r="94" spans="1:26" ht="14.25" x14ac:dyDescent="0.2">
      <c r="A94" s="16"/>
      <c r="B94" s="25" t="s">
        <v>237</v>
      </c>
      <c r="C94" s="26" t="s">
        <v>238</v>
      </c>
      <c r="D94" s="27">
        <v>750</v>
      </c>
      <c r="E94" s="27">
        <f>750*50</f>
        <v>37500</v>
      </c>
      <c r="F94" s="26" t="s">
        <v>31</v>
      </c>
      <c r="G94" s="26"/>
      <c r="H94" s="26"/>
      <c r="I94" s="26"/>
      <c r="J94" s="92"/>
      <c r="K94" s="92"/>
      <c r="L94" s="92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67"/>
      <c r="X94" s="67"/>
      <c r="Y94" s="7"/>
      <c r="Z94" s="7"/>
    </row>
    <row r="95" spans="1:26" ht="12.75" x14ac:dyDescent="0.2">
      <c r="A95" s="123"/>
      <c r="B95" s="124" t="s">
        <v>239</v>
      </c>
      <c r="C95" s="125" t="s">
        <v>240</v>
      </c>
      <c r="D95" s="126">
        <v>750</v>
      </c>
      <c r="E95" s="126">
        <v>15000</v>
      </c>
      <c r="F95" s="125" t="s">
        <v>31</v>
      </c>
      <c r="G95" s="125"/>
      <c r="H95" s="125"/>
      <c r="I95" s="125"/>
      <c r="J95" s="127"/>
      <c r="K95" s="127"/>
      <c r="L95" s="127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8"/>
      <c r="X95" s="128"/>
      <c r="Y95" s="128"/>
      <c r="Z95" s="128"/>
    </row>
    <row r="96" spans="1:26" ht="15" x14ac:dyDescent="0.25">
      <c r="A96" s="78"/>
      <c r="B96" s="79"/>
      <c r="C96" s="80"/>
      <c r="D96" s="81"/>
      <c r="E96" s="81"/>
      <c r="F96" s="80"/>
      <c r="G96" s="80"/>
      <c r="H96" s="129"/>
      <c r="I96" s="80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7"/>
      <c r="X96" s="7"/>
      <c r="Y96" s="7"/>
      <c r="Z96" s="7"/>
    </row>
    <row r="97" spans="1:26" ht="15" x14ac:dyDescent="0.25">
      <c r="A97" s="78"/>
      <c r="B97" s="79" t="s">
        <v>72</v>
      </c>
      <c r="C97" s="80"/>
      <c r="D97" s="81"/>
      <c r="E97" s="81"/>
      <c r="F97" s="80"/>
      <c r="G97" s="80"/>
      <c r="H97" s="129"/>
      <c r="I97" s="80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7"/>
      <c r="X97" s="7"/>
      <c r="Y97" s="7"/>
      <c r="Z97" s="7"/>
    </row>
    <row r="98" spans="1:26" ht="12.75" x14ac:dyDescent="0.2">
      <c r="A98" s="16"/>
      <c r="B98" s="25"/>
      <c r="C98" s="62"/>
      <c r="D98" s="63"/>
      <c r="E98" s="63"/>
      <c r="F98" s="62"/>
      <c r="G98" s="62"/>
      <c r="H98" s="43"/>
      <c r="I98" s="62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67"/>
      <c r="X98" s="67"/>
      <c r="Y98" s="1"/>
      <c r="Z98" s="1"/>
    </row>
    <row r="99" spans="1:26" ht="12.75" x14ac:dyDescent="0.2">
      <c r="A99" s="45"/>
      <c r="B99" s="33" t="s">
        <v>241</v>
      </c>
      <c r="C99" s="62" t="s">
        <v>242</v>
      </c>
      <c r="D99" s="63">
        <v>40000</v>
      </c>
      <c r="E99" s="63">
        <v>40000</v>
      </c>
      <c r="F99" s="62" t="s">
        <v>65</v>
      </c>
      <c r="G99" s="62"/>
      <c r="H99" s="43">
        <v>1</v>
      </c>
      <c r="I99" s="62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67"/>
      <c r="X99" s="67"/>
      <c r="Y99" s="1"/>
      <c r="Z99" s="1"/>
    </row>
    <row r="100" spans="1:26" ht="12.75" x14ac:dyDescent="0.2">
      <c r="A100" s="16"/>
      <c r="B100" s="25" t="s">
        <v>91</v>
      </c>
      <c r="C100" s="62"/>
      <c r="D100" s="63"/>
      <c r="E100" s="63"/>
      <c r="F100" s="62"/>
      <c r="G100" s="62"/>
      <c r="H100" s="43"/>
      <c r="I100" s="62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67"/>
      <c r="X100" s="67"/>
      <c r="Y100" s="1"/>
      <c r="Z100" s="1"/>
    </row>
    <row r="101" spans="1:26" ht="12.75" x14ac:dyDescent="0.2">
      <c r="A101" s="16"/>
      <c r="B101" s="37" t="s">
        <v>243</v>
      </c>
      <c r="C101" s="62"/>
      <c r="D101" s="63"/>
      <c r="E101" s="63"/>
      <c r="F101" s="62"/>
      <c r="G101" s="62"/>
      <c r="H101" s="43"/>
      <c r="I101" s="62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67"/>
      <c r="X101" s="67"/>
      <c r="Y101" s="1"/>
      <c r="Z101" s="1"/>
    </row>
    <row r="102" spans="1:26" ht="12.75" x14ac:dyDescent="0.2">
      <c r="A102" s="16"/>
      <c r="B102" s="37" t="s">
        <v>244</v>
      </c>
      <c r="C102" s="62"/>
      <c r="D102" s="63"/>
      <c r="E102" s="63"/>
      <c r="F102" s="62"/>
      <c r="G102" s="62"/>
      <c r="H102" s="43"/>
      <c r="I102" s="62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67"/>
      <c r="X102" s="67"/>
      <c r="Y102" s="1"/>
      <c r="Z102" s="1"/>
    </row>
    <row r="103" spans="1:26" ht="12.75" x14ac:dyDescent="0.2">
      <c r="A103" s="16"/>
      <c r="B103" s="54"/>
      <c r="C103" s="62"/>
      <c r="D103" s="63"/>
      <c r="E103" s="63"/>
      <c r="F103" s="62"/>
      <c r="G103" s="62"/>
      <c r="H103" s="43"/>
      <c r="I103" s="62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67"/>
      <c r="X103" s="67"/>
      <c r="Y103" s="1"/>
      <c r="Z103" s="1"/>
    </row>
    <row r="104" spans="1:26" ht="38.25" x14ac:dyDescent="0.2">
      <c r="A104" s="16"/>
      <c r="B104" s="54" t="s">
        <v>94</v>
      </c>
      <c r="C104" s="62" t="s">
        <v>44</v>
      </c>
      <c r="D104" s="63">
        <v>30000</v>
      </c>
      <c r="E104" s="63">
        <v>30000</v>
      </c>
      <c r="F104" s="62" t="s">
        <v>65</v>
      </c>
      <c r="G104" s="62"/>
      <c r="H104" s="43">
        <v>1</v>
      </c>
      <c r="I104" s="62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67"/>
      <c r="X104" s="67"/>
      <c r="Y104" s="1"/>
      <c r="Z104" s="1"/>
    </row>
    <row r="105" spans="1:26" ht="12.75" x14ac:dyDescent="0.2">
      <c r="A105" s="16"/>
      <c r="B105" s="25"/>
      <c r="C105" s="62"/>
      <c r="D105" s="63"/>
      <c r="E105" s="63"/>
      <c r="F105" s="62"/>
      <c r="G105" s="62"/>
      <c r="H105" s="43"/>
      <c r="I105" s="62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67"/>
      <c r="X105" s="67"/>
      <c r="Y105" s="1"/>
      <c r="Z105" s="1"/>
    </row>
    <row r="106" spans="1:26" ht="27" customHeight="1" x14ac:dyDescent="0.2">
      <c r="A106" s="116"/>
      <c r="B106" s="130" t="s">
        <v>245</v>
      </c>
      <c r="C106" s="62" t="s">
        <v>131</v>
      </c>
      <c r="D106" s="63">
        <v>200000</v>
      </c>
      <c r="E106" s="63">
        <v>200000</v>
      </c>
      <c r="F106" s="62" t="s">
        <v>65</v>
      </c>
      <c r="G106" s="62"/>
      <c r="H106" s="43"/>
      <c r="I106" s="62">
        <v>1</v>
      </c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67"/>
      <c r="X106" s="67"/>
      <c r="Y106" s="1"/>
      <c r="Z106" s="1"/>
    </row>
    <row r="107" spans="1:26" ht="31.5" customHeight="1" x14ac:dyDescent="0.2">
      <c r="A107" s="116"/>
      <c r="B107" s="131" t="s">
        <v>246</v>
      </c>
      <c r="C107" s="62" t="s">
        <v>247</v>
      </c>
      <c r="D107" s="63">
        <v>200000</v>
      </c>
      <c r="E107" s="63">
        <v>200000</v>
      </c>
      <c r="F107" s="62" t="s">
        <v>65</v>
      </c>
      <c r="G107" s="62"/>
      <c r="H107" s="43"/>
      <c r="I107" s="62">
        <v>1</v>
      </c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67"/>
      <c r="X107" s="67"/>
      <c r="Y107" s="1"/>
      <c r="Z107" s="1"/>
    </row>
    <row r="108" spans="1:26" ht="41.25" customHeight="1" x14ac:dyDescent="0.2">
      <c r="A108" s="116"/>
      <c r="B108" s="132"/>
      <c r="C108" s="62"/>
      <c r="D108" s="133"/>
      <c r="E108" s="133"/>
      <c r="F108" s="134"/>
      <c r="G108" s="62"/>
      <c r="H108" s="43"/>
      <c r="I108" s="62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67"/>
      <c r="X108" s="67"/>
      <c r="Y108" s="1"/>
      <c r="Z108" s="1"/>
    </row>
    <row r="109" spans="1:26" ht="41.25" customHeight="1" x14ac:dyDescent="0.2">
      <c r="A109" s="116"/>
      <c r="B109" s="117" t="s">
        <v>248</v>
      </c>
      <c r="C109" s="62" t="s">
        <v>44</v>
      </c>
      <c r="D109" s="135">
        <v>5000</v>
      </c>
      <c r="E109" s="135">
        <v>5000</v>
      </c>
      <c r="F109" s="134" t="s">
        <v>31</v>
      </c>
      <c r="G109" s="62"/>
      <c r="H109" s="43"/>
      <c r="I109" s="62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67"/>
      <c r="X109" s="67"/>
      <c r="Y109" s="1"/>
      <c r="Z109" s="1"/>
    </row>
    <row r="110" spans="1:26" ht="15" x14ac:dyDescent="0.25">
      <c r="A110" s="78"/>
      <c r="B110" s="118" t="s">
        <v>95</v>
      </c>
      <c r="C110" s="136"/>
      <c r="D110" s="137"/>
      <c r="E110" s="137"/>
      <c r="F110" s="136"/>
      <c r="G110" s="136"/>
      <c r="H110" s="138"/>
      <c r="I110" s="136"/>
      <c r="J110" s="122"/>
      <c r="K110" s="122"/>
      <c r="L110" s="122"/>
      <c r="M110" s="122"/>
      <c r="N110" s="115"/>
      <c r="O110" s="115"/>
      <c r="P110" s="115"/>
      <c r="Q110" s="115"/>
      <c r="R110" s="115"/>
      <c r="S110" s="115"/>
      <c r="T110" s="115"/>
      <c r="U110" s="115"/>
      <c r="V110" s="115"/>
      <c r="W110" s="7"/>
      <c r="X110" s="7"/>
      <c r="Y110" s="7"/>
      <c r="Z110" s="7"/>
    </row>
    <row r="111" spans="1:26" ht="12.75" x14ac:dyDescent="0.2">
      <c r="A111" s="16"/>
      <c r="B111" s="25" t="s">
        <v>96</v>
      </c>
      <c r="C111" s="62" t="s">
        <v>97</v>
      </c>
      <c r="D111" s="63">
        <v>25000</v>
      </c>
      <c r="E111" s="63">
        <f>D111*30</f>
        <v>750000</v>
      </c>
      <c r="F111" s="62" t="s">
        <v>65</v>
      </c>
      <c r="G111" s="62"/>
      <c r="H111" s="43"/>
      <c r="I111" s="62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67"/>
      <c r="X111" s="67"/>
      <c r="Y111" s="1"/>
      <c r="Z111" s="1"/>
    </row>
    <row r="112" spans="1:26" ht="12.75" x14ac:dyDescent="0.2">
      <c r="A112" s="16"/>
      <c r="B112" s="25"/>
      <c r="C112" s="62"/>
      <c r="D112" s="63"/>
      <c r="E112" s="63"/>
      <c r="F112" s="62"/>
      <c r="G112" s="62"/>
      <c r="H112" s="43"/>
      <c r="I112" s="62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67"/>
      <c r="X112" s="67"/>
      <c r="Y112" s="1"/>
      <c r="Z112" s="1"/>
    </row>
    <row r="113" spans="1:26" ht="15" x14ac:dyDescent="0.25">
      <c r="A113" s="16"/>
      <c r="B113" s="139" t="s">
        <v>60</v>
      </c>
      <c r="C113" s="140"/>
      <c r="D113" s="141"/>
      <c r="E113" s="141"/>
      <c r="F113" s="140"/>
      <c r="G113" s="140"/>
      <c r="H113" s="142"/>
      <c r="I113" s="140"/>
      <c r="J113" s="143"/>
      <c r="K113" s="143"/>
      <c r="L113" s="143"/>
      <c r="M113" s="143"/>
      <c r="N113" s="25"/>
      <c r="O113" s="25"/>
      <c r="P113" s="25"/>
      <c r="Q113" s="25"/>
      <c r="R113" s="25"/>
      <c r="S113" s="25"/>
      <c r="T113" s="25"/>
      <c r="U113" s="25"/>
      <c r="V113" s="25"/>
      <c r="W113" s="67"/>
      <c r="X113" s="67"/>
      <c r="Y113" s="1"/>
      <c r="Z113" s="1"/>
    </row>
    <row r="114" spans="1:26" ht="12.75" x14ac:dyDescent="0.2">
      <c r="A114" s="16"/>
      <c r="B114" s="25" t="s">
        <v>249</v>
      </c>
      <c r="C114" s="62">
        <v>8</v>
      </c>
      <c r="D114" s="63">
        <v>2500</v>
      </c>
      <c r="E114" s="63">
        <f>D114*8</f>
        <v>20000</v>
      </c>
      <c r="F114" s="62"/>
      <c r="G114" s="62"/>
      <c r="H114" s="43"/>
      <c r="I114" s="62">
        <v>8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67"/>
      <c r="X114" s="67"/>
      <c r="Y114" s="1"/>
      <c r="Z114" s="1"/>
    </row>
    <row r="115" spans="1:26" ht="12.75" x14ac:dyDescent="0.2">
      <c r="A115" s="65"/>
      <c r="B115" s="65" t="s">
        <v>250</v>
      </c>
      <c r="C115" s="144">
        <v>5</v>
      </c>
      <c r="D115" s="135">
        <v>500</v>
      </c>
      <c r="E115" s="63">
        <f t="shared" ref="E115:E116" si="8">D115*5</f>
        <v>2500</v>
      </c>
      <c r="F115" s="65"/>
      <c r="G115" s="65"/>
      <c r="H115" s="65"/>
      <c r="I115" s="144">
        <v>5</v>
      </c>
      <c r="J115" s="65"/>
      <c r="K115" s="65"/>
      <c r="L115" s="65"/>
      <c r="M115" s="65"/>
      <c r="N115" s="65"/>
      <c r="O115" s="65"/>
      <c r="P115" s="65"/>
      <c r="Q115" s="65"/>
      <c r="R115" s="65"/>
    </row>
    <row r="116" spans="1:26" ht="12.75" x14ac:dyDescent="0.2">
      <c r="A116" s="65"/>
      <c r="B116" s="65" t="s">
        <v>251</v>
      </c>
      <c r="C116" s="144">
        <v>5</v>
      </c>
      <c r="D116" s="135">
        <v>500</v>
      </c>
      <c r="E116" s="63">
        <f t="shared" si="8"/>
        <v>2500</v>
      </c>
      <c r="F116" s="65"/>
      <c r="G116" s="65"/>
      <c r="H116" s="65"/>
      <c r="I116" s="144">
        <v>5</v>
      </c>
      <c r="J116" s="65"/>
      <c r="K116" s="65"/>
      <c r="L116" s="65"/>
      <c r="M116" s="65"/>
      <c r="N116" s="65"/>
      <c r="O116" s="65"/>
      <c r="P116" s="65"/>
      <c r="Q116" s="65"/>
      <c r="R116" s="65"/>
    </row>
    <row r="117" spans="1:26" ht="12.75" x14ac:dyDescent="0.2">
      <c r="A117" s="65"/>
      <c r="B117" s="65" t="s">
        <v>252</v>
      </c>
      <c r="C117" s="144">
        <v>8</v>
      </c>
      <c r="D117" s="135">
        <v>1000</v>
      </c>
      <c r="E117" s="63">
        <f t="shared" ref="E117:E118" si="9">D117*8</f>
        <v>8000</v>
      </c>
      <c r="F117" s="65"/>
      <c r="G117" s="65"/>
      <c r="H117" s="65"/>
      <c r="I117" s="144">
        <v>8</v>
      </c>
      <c r="J117" s="65"/>
      <c r="K117" s="65"/>
      <c r="L117" s="65"/>
      <c r="M117" s="65"/>
      <c r="N117" s="65"/>
      <c r="O117" s="65"/>
      <c r="P117" s="65"/>
      <c r="Q117" s="65"/>
      <c r="R117" s="65"/>
    </row>
    <row r="118" spans="1:26" ht="12.75" x14ac:dyDescent="0.2">
      <c r="A118" s="65"/>
      <c r="B118" s="65" t="s">
        <v>253</v>
      </c>
      <c r="C118" s="144">
        <v>8</v>
      </c>
      <c r="D118" s="135">
        <v>600</v>
      </c>
      <c r="E118" s="63">
        <f t="shared" si="9"/>
        <v>4800</v>
      </c>
      <c r="F118" s="65"/>
      <c r="G118" s="65"/>
      <c r="H118" s="65"/>
      <c r="I118" s="144">
        <v>8</v>
      </c>
      <c r="J118" s="65"/>
      <c r="K118" s="65"/>
      <c r="L118" s="65"/>
      <c r="M118" s="65"/>
      <c r="N118" s="65"/>
      <c r="O118" s="65"/>
      <c r="P118" s="65"/>
      <c r="Q118" s="65"/>
      <c r="R118" s="65"/>
    </row>
    <row r="119" spans="1:26" ht="12.75" x14ac:dyDescent="0.2">
      <c r="A119" s="65"/>
      <c r="B119" s="65" t="s">
        <v>254</v>
      </c>
      <c r="C119" s="144">
        <v>4</v>
      </c>
      <c r="D119" s="135">
        <v>5500</v>
      </c>
      <c r="E119" s="63">
        <f>D119*4</f>
        <v>22000</v>
      </c>
      <c r="F119" s="65"/>
      <c r="G119" s="65"/>
      <c r="H119" s="65"/>
      <c r="I119" s="144">
        <v>4</v>
      </c>
      <c r="J119" s="65"/>
      <c r="K119" s="65"/>
      <c r="L119" s="65"/>
      <c r="M119" s="65"/>
      <c r="N119" s="65"/>
      <c r="O119" s="65"/>
      <c r="P119" s="65"/>
      <c r="Q119" s="65"/>
      <c r="R119" s="65"/>
    </row>
    <row r="120" spans="1:26" ht="12.75" x14ac:dyDescent="0.2">
      <c r="A120" s="65"/>
      <c r="B120" s="65"/>
      <c r="C120" s="65"/>
      <c r="D120" s="144"/>
      <c r="E120" s="144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</row>
    <row r="121" spans="1:26" ht="15" x14ac:dyDescent="0.25">
      <c r="A121" s="78"/>
      <c r="B121" s="79" t="s">
        <v>98</v>
      </c>
      <c r="C121" s="80"/>
      <c r="D121" s="81"/>
      <c r="E121" s="81"/>
      <c r="F121" s="80"/>
      <c r="G121" s="80"/>
      <c r="H121" s="129"/>
      <c r="I121" s="80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7"/>
      <c r="X121" s="7"/>
      <c r="Y121" s="7"/>
      <c r="Z121" s="7"/>
    </row>
    <row r="122" spans="1:26" ht="12.75" x14ac:dyDescent="0.2">
      <c r="A122" s="16"/>
      <c r="B122" s="25"/>
      <c r="C122" s="62"/>
      <c r="D122" s="63"/>
      <c r="E122" s="63"/>
      <c r="F122" s="62"/>
      <c r="G122" s="62"/>
      <c r="H122" s="43"/>
      <c r="I122" s="62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67"/>
      <c r="X122" s="67"/>
      <c r="Y122" s="1"/>
      <c r="Z122" s="1"/>
    </row>
    <row r="123" spans="1:26" ht="12.75" x14ac:dyDescent="0.2">
      <c r="A123" s="16"/>
      <c r="B123" s="33" t="s">
        <v>255</v>
      </c>
      <c r="C123" s="62"/>
      <c r="D123" s="63"/>
      <c r="E123" s="63"/>
      <c r="F123" s="62"/>
      <c r="G123" s="62"/>
      <c r="H123" s="43"/>
      <c r="I123" s="62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67"/>
      <c r="X123" s="67"/>
      <c r="Y123" s="1"/>
      <c r="Z123" s="1"/>
    </row>
    <row r="124" spans="1:26" ht="12.75" x14ac:dyDescent="0.2">
      <c r="A124" s="16"/>
      <c r="B124" s="25" t="s">
        <v>256</v>
      </c>
      <c r="C124" s="62"/>
      <c r="D124" s="63"/>
      <c r="E124" s="63"/>
      <c r="F124" s="145"/>
      <c r="G124" s="62"/>
      <c r="H124" s="43"/>
      <c r="I124" s="62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67"/>
      <c r="X124" s="67"/>
      <c r="Y124" s="1"/>
      <c r="Z124" s="1"/>
    </row>
    <row r="125" spans="1:26" ht="12.75" x14ac:dyDescent="0.2">
      <c r="A125" s="16"/>
      <c r="B125" s="25" t="s">
        <v>257</v>
      </c>
      <c r="C125" s="62">
        <v>5</v>
      </c>
      <c r="D125" s="63">
        <v>6200</v>
      </c>
      <c r="E125" s="63">
        <f t="shared" ref="E125:E127" si="10">D125*C125</f>
        <v>31000</v>
      </c>
      <c r="F125" s="189" t="s">
        <v>65</v>
      </c>
      <c r="G125" s="62"/>
      <c r="H125" s="43"/>
      <c r="I125" s="62">
        <v>5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67"/>
      <c r="X125" s="67"/>
      <c r="Y125" s="1"/>
      <c r="Z125" s="1"/>
    </row>
    <row r="126" spans="1:26" ht="12.75" x14ac:dyDescent="0.2">
      <c r="A126" s="16"/>
      <c r="B126" s="25" t="s">
        <v>258</v>
      </c>
      <c r="C126" s="62">
        <v>1</v>
      </c>
      <c r="D126" s="63">
        <v>5150</v>
      </c>
      <c r="E126" s="63">
        <f t="shared" si="10"/>
        <v>5150</v>
      </c>
      <c r="F126" s="190"/>
      <c r="G126" s="62"/>
      <c r="H126" s="43"/>
      <c r="I126" s="62">
        <v>1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67"/>
      <c r="X126" s="67"/>
      <c r="Y126" s="1"/>
      <c r="Z126" s="1"/>
    </row>
    <row r="127" spans="1:26" ht="12.75" x14ac:dyDescent="0.2">
      <c r="A127" s="37"/>
      <c r="B127" s="37" t="s">
        <v>259</v>
      </c>
      <c r="C127" s="146">
        <v>2</v>
      </c>
      <c r="D127" s="147">
        <v>4000</v>
      </c>
      <c r="E127" s="147">
        <f t="shared" si="10"/>
        <v>8000</v>
      </c>
      <c r="F127" s="166"/>
      <c r="G127" s="146"/>
      <c r="H127" s="146"/>
      <c r="I127" s="146">
        <v>2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65"/>
      <c r="Z127" s="65"/>
    </row>
    <row r="128" spans="1:26" ht="12.75" x14ac:dyDescent="0.2">
      <c r="A128" s="148"/>
      <c r="B128" s="37"/>
      <c r="C128" s="146"/>
      <c r="D128" s="147"/>
      <c r="E128" s="147"/>
      <c r="F128" s="62"/>
      <c r="G128" s="62"/>
      <c r="H128" s="43"/>
      <c r="I128" s="146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65"/>
      <c r="Z128" s="65"/>
    </row>
    <row r="129" spans="1:26" ht="12.75" x14ac:dyDescent="0.2">
      <c r="A129" s="16"/>
      <c r="B129" s="25" t="s">
        <v>260</v>
      </c>
      <c r="C129" s="62" t="s">
        <v>261</v>
      </c>
      <c r="D129" s="63">
        <v>43000</v>
      </c>
      <c r="E129" s="63">
        <v>43000</v>
      </c>
      <c r="F129" s="62" t="s">
        <v>65</v>
      </c>
      <c r="G129" s="62" t="s">
        <v>77</v>
      </c>
      <c r="H129" s="43"/>
      <c r="I129" s="62">
        <v>12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67"/>
      <c r="X129" s="67"/>
      <c r="Y129" s="1"/>
      <c r="Z129" s="1"/>
    </row>
    <row r="130" spans="1:26" ht="12.75" x14ac:dyDescent="0.2">
      <c r="A130" s="45"/>
      <c r="B130" s="33"/>
      <c r="C130" s="62"/>
      <c r="D130" s="63"/>
      <c r="E130" s="63"/>
      <c r="F130" s="62"/>
      <c r="G130" s="62"/>
      <c r="H130" s="43"/>
      <c r="I130" s="62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67"/>
      <c r="X130" s="67"/>
    </row>
    <row r="131" spans="1:26" ht="12.75" x14ac:dyDescent="0.2">
      <c r="A131" s="148"/>
      <c r="B131" s="61" t="s">
        <v>127</v>
      </c>
      <c r="C131" s="146" t="s">
        <v>262</v>
      </c>
      <c r="D131" s="147">
        <v>7500</v>
      </c>
      <c r="E131" s="147">
        <f>7500*7</f>
        <v>52500</v>
      </c>
      <c r="F131" s="62" t="s">
        <v>65</v>
      </c>
      <c r="G131" s="62" t="s">
        <v>53</v>
      </c>
      <c r="H131" s="43">
        <v>1</v>
      </c>
      <c r="I131" s="146">
        <v>7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65"/>
      <c r="Z131" s="65"/>
    </row>
    <row r="132" spans="1:26" ht="12.75" x14ac:dyDescent="0.2">
      <c r="A132" s="37"/>
      <c r="B132" s="67"/>
      <c r="C132" s="146"/>
      <c r="D132" s="146"/>
      <c r="E132" s="146"/>
      <c r="F132" s="146"/>
      <c r="G132" s="146"/>
      <c r="H132" s="146"/>
      <c r="I132" s="146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65"/>
      <c r="Z132" s="65"/>
    </row>
    <row r="133" spans="1:26" ht="12.75" x14ac:dyDescent="0.2">
      <c r="A133" s="64"/>
      <c r="B133" s="61" t="s">
        <v>129</v>
      </c>
      <c r="C133" s="34">
        <v>560</v>
      </c>
      <c r="D133" s="34">
        <v>1500</v>
      </c>
      <c r="E133" s="39">
        <f>1500*C133</f>
        <v>840000</v>
      </c>
      <c r="F133" s="43" t="s">
        <v>65</v>
      </c>
      <c r="G133" s="44" t="s">
        <v>77</v>
      </c>
      <c r="H133" s="37"/>
      <c r="I133" s="37"/>
      <c r="J133" s="37"/>
      <c r="K133" s="37"/>
      <c r="L133" s="64"/>
      <c r="M133" s="64"/>
      <c r="N133" s="64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 x14ac:dyDescent="0.2">
      <c r="A134" s="37"/>
      <c r="B134" s="37"/>
      <c r="C134" s="146"/>
      <c r="D134" s="146"/>
      <c r="E134" s="146"/>
      <c r="F134" s="62"/>
      <c r="G134" s="62"/>
      <c r="H134" s="62"/>
      <c r="I134" s="146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65"/>
      <c r="Z134" s="65"/>
    </row>
    <row r="135" spans="1:26" ht="12.75" x14ac:dyDescent="0.2">
      <c r="A135" s="37"/>
      <c r="B135" s="61" t="s">
        <v>263</v>
      </c>
      <c r="C135" s="146" t="s">
        <v>131</v>
      </c>
      <c r="D135" s="146"/>
      <c r="E135" s="147">
        <v>6750</v>
      </c>
      <c r="F135" s="62" t="s">
        <v>65</v>
      </c>
      <c r="G135" s="62" t="s">
        <v>77</v>
      </c>
      <c r="H135" s="146">
        <v>1</v>
      </c>
      <c r="I135" s="146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65"/>
      <c r="Z135" s="65"/>
    </row>
    <row r="136" spans="1:26" ht="12.75" x14ac:dyDescent="0.2">
      <c r="A136" s="37"/>
      <c r="B136" s="37" t="s">
        <v>264</v>
      </c>
      <c r="C136" s="146"/>
      <c r="D136" s="146"/>
      <c r="E136" s="146"/>
      <c r="F136" s="146"/>
      <c r="G136" s="146"/>
      <c r="H136" s="146"/>
      <c r="I136" s="146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65"/>
      <c r="Z136" s="65"/>
    </row>
    <row r="137" spans="1:26" ht="12.75" x14ac:dyDescent="0.2">
      <c r="A137" s="37"/>
      <c r="B137" s="37" t="s">
        <v>265</v>
      </c>
      <c r="C137" s="146"/>
      <c r="D137" s="146"/>
      <c r="E137" s="146"/>
      <c r="F137" s="146"/>
      <c r="G137" s="146"/>
      <c r="H137" s="146"/>
      <c r="I137" s="146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65"/>
      <c r="Z137" s="65"/>
    </row>
    <row r="138" spans="1:26" ht="12.75" x14ac:dyDescent="0.2">
      <c r="A138" s="37"/>
      <c r="B138" s="37" t="s">
        <v>266</v>
      </c>
      <c r="C138" s="146"/>
      <c r="D138" s="146"/>
      <c r="E138" s="146"/>
      <c r="F138" s="146"/>
      <c r="G138" s="146"/>
      <c r="H138" s="146"/>
      <c r="I138" s="146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65"/>
      <c r="Z138" s="65"/>
    </row>
    <row r="139" spans="1:26" ht="12.75" x14ac:dyDescent="0.2">
      <c r="A139" s="37"/>
      <c r="B139" s="149" t="s">
        <v>267</v>
      </c>
      <c r="C139" s="146"/>
      <c r="D139" s="146"/>
      <c r="E139" s="146"/>
      <c r="F139" s="146"/>
      <c r="G139" s="146"/>
      <c r="H139" s="146"/>
      <c r="I139" s="146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65"/>
      <c r="Z139" s="65"/>
    </row>
    <row r="140" spans="1:26" ht="12.75" x14ac:dyDescent="0.2">
      <c r="A140" s="37"/>
      <c r="B140" s="37" t="s">
        <v>268</v>
      </c>
      <c r="C140" s="146"/>
      <c r="D140" s="146"/>
      <c r="E140" s="146"/>
      <c r="F140" s="146"/>
      <c r="G140" s="146"/>
      <c r="H140" s="146"/>
      <c r="I140" s="146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65"/>
      <c r="Z140" s="65"/>
    </row>
    <row r="141" spans="1:26" ht="12.75" x14ac:dyDescent="0.2">
      <c r="A141" s="37"/>
      <c r="B141" s="37" t="s">
        <v>269</v>
      </c>
      <c r="C141" s="146"/>
      <c r="D141" s="146"/>
      <c r="E141" s="146"/>
      <c r="F141" s="146"/>
      <c r="G141" s="146"/>
      <c r="H141" s="146"/>
      <c r="I141" s="146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65"/>
      <c r="Z141" s="65"/>
    </row>
    <row r="142" spans="1:26" ht="12.75" x14ac:dyDescent="0.2">
      <c r="A142" s="37"/>
      <c r="C142" s="146"/>
      <c r="D142" s="146"/>
      <c r="E142" s="146"/>
      <c r="F142" s="146"/>
      <c r="G142" s="146"/>
      <c r="H142" s="146"/>
      <c r="I142" s="146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65"/>
      <c r="Z142" s="65"/>
    </row>
    <row r="143" spans="1:26" ht="14.25" x14ac:dyDescent="0.2">
      <c r="A143" s="98"/>
      <c r="B143" s="37" t="s">
        <v>123</v>
      </c>
      <c r="C143" s="62" t="s">
        <v>44</v>
      </c>
      <c r="D143" s="63">
        <v>15500</v>
      </c>
      <c r="E143" s="63">
        <v>15500</v>
      </c>
      <c r="F143" s="150"/>
      <c r="G143" s="115"/>
      <c r="H143" s="151"/>
      <c r="I143" s="152"/>
      <c r="J143" s="115">
        <v>1</v>
      </c>
      <c r="K143" s="115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1"/>
      <c r="X143" s="1"/>
      <c r="Y143" s="1"/>
      <c r="Z143" s="1"/>
    </row>
    <row r="144" spans="1:26" ht="12.75" x14ac:dyDescent="0.2">
      <c r="A144" s="37"/>
      <c r="B144" s="37"/>
      <c r="C144" s="146"/>
      <c r="D144" s="146"/>
      <c r="E144" s="146"/>
      <c r="F144" s="146"/>
      <c r="G144" s="146"/>
      <c r="H144" s="146"/>
      <c r="I144" s="146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65"/>
      <c r="Z144" s="65"/>
    </row>
    <row r="145" spans="1:26" ht="12.75" x14ac:dyDescent="0.2">
      <c r="A145" s="16"/>
      <c r="B145" s="61" t="s">
        <v>270</v>
      </c>
      <c r="C145" s="146" t="s">
        <v>131</v>
      </c>
      <c r="D145" s="153">
        <v>230000</v>
      </c>
      <c r="E145" s="153">
        <v>230000</v>
      </c>
      <c r="F145" s="62"/>
      <c r="G145" s="62"/>
      <c r="H145" s="43"/>
      <c r="I145" s="62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67"/>
      <c r="X145" s="67"/>
      <c r="Y145" s="1"/>
      <c r="Z145" s="1"/>
    </row>
    <row r="146" spans="1:26" ht="12.75" x14ac:dyDescent="0.2">
      <c r="A146" s="16"/>
      <c r="B146" s="37" t="s">
        <v>234</v>
      </c>
      <c r="C146" s="154"/>
      <c r="D146" s="154"/>
      <c r="E146" s="154"/>
      <c r="F146" s="62"/>
      <c r="G146" s="62"/>
      <c r="H146" s="43"/>
      <c r="I146" s="62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67"/>
      <c r="X146" s="67"/>
      <c r="Y146" s="1"/>
      <c r="Z146" s="1"/>
    </row>
    <row r="147" spans="1:26" ht="25.5" x14ac:dyDescent="0.2">
      <c r="A147" s="16"/>
      <c r="B147" s="41" t="s">
        <v>271</v>
      </c>
      <c r="C147" s="154"/>
      <c r="D147" s="154"/>
      <c r="E147" s="154"/>
      <c r="F147" s="62"/>
      <c r="G147" s="62"/>
      <c r="H147" s="43"/>
      <c r="I147" s="62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67"/>
      <c r="X147" s="67"/>
      <c r="Y147" s="1"/>
      <c r="Z147" s="1"/>
    </row>
    <row r="148" spans="1:26" ht="12.75" x14ac:dyDescent="0.2">
      <c r="A148" s="16"/>
      <c r="B148" s="37" t="s">
        <v>272</v>
      </c>
      <c r="C148" s="154"/>
      <c r="D148" s="154"/>
      <c r="E148" s="154"/>
      <c r="F148" s="62"/>
      <c r="G148" s="62"/>
      <c r="H148" s="43"/>
      <c r="I148" s="62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67"/>
      <c r="X148" s="67"/>
      <c r="Y148" s="1"/>
      <c r="Z148" s="1"/>
    </row>
    <row r="149" spans="1:26" ht="12.75" x14ac:dyDescent="0.2">
      <c r="A149" s="16"/>
      <c r="B149" s="37" t="s">
        <v>273</v>
      </c>
      <c r="C149" s="154"/>
      <c r="D149" s="154"/>
      <c r="E149" s="154"/>
      <c r="F149" s="62"/>
      <c r="G149" s="62"/>
      <c r="H149" s="43"/>
      <c r="I149" s="62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67"/>
      <c r="X149" s="67"/>
      <c r="Y149" s="1"/>
      <c r="Z149" s="1"/>
    </row>
    <row r="150" spans="1:26" ht="12.75" x14ac:dyDescent="0.2">
      <c r="A150" s="16"/>
      <c r="B150" s="65"/>
      <c r="C150" s="144"/>
      <c r="D150" s="144"/>
      <c r="E150" s="144"/>
      <c r="F150" s="62"/>
      <c r="G150" s="62"/>
      <c r="H150" s="43"/>
      <c r="I150" s="62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67"/>
      <c r="X150" s="67"/>
      <c r="Y150" s="1"/>
      <c r="Z150" s="1"/>
    </row>
    <row r="151" spans="1:26" ht="12.75" x14ac:dyDescent="0.2">
      <c r="A151" s="16"/>
      <c r="B151" s="180" t="s">
        <v>133</v>
      </c>
      <c r="C151" s="164"/>
      <c r="D151" s="164"/>
      <c r="E151" s="164"/>
      <c r="F151" s="164"/>
      <c r="G151" s="164"/>
      <c r="H151" s="164"/>
      <c r="I151" s="176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67"/>
      <c r="X151" s="67"/>
      <c r="Y151" s="1"/>
      <c r="Z151" s="1"/>
    </row>
    <row r="152" spans="1:26" ht="12.75" x14ac:dyDescent="0.2">
      <c r="A152" s="67"/>
      <c r="B152" s="67"/>
      <c r="C152" s="155"/>
      <c r="D152" s="156"/>
      <c r="E152" s="157"/>
      <c r="F152" s="158"/>
      <c r="G152" s="158"/>
      <c r="H152" s="158"/>
      <c r="I152" s="155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1"/>
      <c r="Z152" s="1"/>
    </row>
    <row r="153" spans="1:26" ht="12.75" x14ac:dyDescent="0.2">
      <c r="A153" s="191" t="s">
        <v>134</v>
      </c>
      <c r="B153" s="168"/>
      <c r="C153" s="155"/>
      <c r="D153" s="156"/>
      <c r="E153" s="159">
        <v>19500000</v>
      </c>
      <c r="F153" s="158"/>
      <c r="G153" s="158"/>
      <c r="H153" s="158"/>
      <c r="I153" s="155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1"/>
      <c r="Z153" s="1"/>
    </row>
    <row r="154" spans="1:26" ht="12.75" x14ac:dyDescent="0.2">
      <c r="A154" s="67"/>
      <c r="B154" s="67"/>
      <c r="C154" s="155"/>
      <c r="D154" s="156"/>
      <c r="E154" s="156"/>
      <c r="F154" s="158"/>
      <c r="G154" s="158"/>
      <c r="H154" s="158"/>
      <c r="I154" s="155"/>
      <c r="J154" s="192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67"/>
      <c r="V154" s="67"/>
      <c r="W154" s="67"/>
      <c r="X154" s="67"/>
      <c r="Y154" s="1"/>
      <c r="Z154" s="1"/>
    </row>
    <row r="155" spans="1:26" ht="12.75" x14ac:dyDescent="0.2">
      <c r="A155" s="193" t="s">
        <v>135</v>
      </c>
      <c r="B155" s="168"/>
      <c r="C155" s="168"/>
      <c r="D155" s="168"/>
      <c r="E155" s="156"/>
      <c r="F155" s="158"/>
      <c r="G155" s="158"/>
      <c r="H155" s="158"/>
      <c r="I155" s="155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1"/>
      <c r="Z155" s="1"/>
    </row>
    <row r="156" spans="1:26" ht="12.75" x14ac:dyDescent="0.2">
      <c r="A156" s="67"/>
      <c r="B156" s="67"/>
      <c r="C156" s="155"/>
      <c r="D156" s="156"/>
      <c r="E156" s="156"/>
      <c r="F156" s="158"/>
      <c r="G156" s="158"/>
      <c r="H156" s="158"/>
      <c r="I156" s="155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1"/>
      <c r="Z156" s="1"/>
    </row>
    <row r="157" spans="1:26" ht="12.75" x14ac:dyDescent="0.2">
      <c r="A157" s="194" t="s">
        <v>136</v>
      </c>
      <c r="B157" s="168"/>
      <c r="C157" s="195" t="s">
        <v>137</v>
      </c>
      <c r="D157" s="168"/>
      <c r="E157" s="168"/>
      <c r="F157" s="158"/>
      <c r="G157" s="158"/>
      <c r="H157" s="158"/>
      <c r="I157" s="195" t="s">
        <v>138</v>
      </c>
      <c r="J157" s="168"/>
      <c r="K157" s="168"/>
      <c r="L157" s="168"/>
      <c r="M157" s="168"/>
      <c r="N157" s="168"/>
      <c r="O157" s="67"/>
      <c r="P157" s="67"/>
      <c r="Q157" s="194" t="s">
        <v>139</v>
      </c>
      <c r="R157" s="168"/>
      <c r="S157" s="168"/>
      <c r="T157" s="168"/>
      <c r="U157" s="67"/>
      <c r="V157" s="192"/>
      <c r="W157" s="168"/>
      <c r="X157" s="67"/>
      <c r="Y157" s="1"/>
      <c r="Z157" s="1"/>
    </row>
    <row r="158" spans="1:26" ht="12.75" x14ac:dyDescent="0.2">
      <c r="A158" s="67"/>
      <c r="B158" s="67"/>
      <c r="C158" s="155"/>
      <c r="D158" s="156"/>
      <c r="E158" s="156"/>
      <c r="F158" s="158"/>
      <c r="G158" s="158"/>
      <c r="H158" s="158"/>
      <c r="I158" s="155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1"/>
      <c r="Z158" s="1"/>
    </row>
    <row r="159" spans="1:26" ht="12.75" x14ac:dyDescent="0.2">
      <c r="A159" s="67"/>
      <c r="B159" s="67"/>
      <c r="C159" s="155"/>
      <c r="D159" s="156"/>
      <c r="E159" s="156"/>
      <c r="F159" s="158"/>
      <c r="G159" s="158"/>
      <c r="H159" s="158"/>
      <c r="I159" s="155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1"/>
      <c r="Z159" s="1"/>
    </row>
    <row r="160" spans="1:26" ht="12.75" x14ac:dyDescent="0.2">
      <c r="A160" s="191" t="s">
        <v>140</v>
      </c>
      <c r="B160" s="168"/>
      <c r="C160" s="195" t="s">
        <v>141</v>
      </c>
      <c r="D160" s="168"/>
      <c r="E160" s="168"/>
      <c r="F160" s="168"/>
      <c r="G160" s="158"/>
      <c r="H160" s="158"/>
      <c r="I160" s="195" t="s">
        <v>142</v>
      </c>
      <c r="J160" s="168"/>
      <c r="K160" s="168"/>
      <c r="L160" s="168"/>
      <c r="M160" s="168"/>
      <c r="N160" s="168"/>
      <c r="O160" s="67"/>
      <c r="P160" s="67"/>
      <c r="Q160" s="194" t="s">
        <v>143</v>
      </c>
      <c r="R160" s="168"/>
      <c r="S160" s="168"/>
      <c r="T160" s="168"/>
      <c r="U160" s="67"/>
      <c r="V160" s="192"/>
      <c r="W160" s="168"/>
      <c r="X160" s="168"/>
      <c r="Y160" s="1"/>
      <c r="Z160" s="1"/>
    </row>
    <row r="161" spans="1:26" ht="12.75" x14ac:dyDescent="0.2">
      <c r="A161" s="192" t="s">
        <v>144</v>
      </c>
      <c r="B161" s="168"/>
      <c r="C161" s="196" t="s">
        <v>145</v>
      </c>
      <c r="D161" s="168"/>
      <c r="E161" s="168"/>
      <c r="F161" s="168"/>
      <c r="G161" s="158"/>
      <c r="H161" s="158"/>
      <c r="I161" s="196" t="s">
        <v>146</v>
      </c>
      <c r="J161" s="168"/>
      <c r="K161" s="168"/>
      <c r="L161" s="168"/>
      <c r="M161" s="168"/>
      <c r="N161" s="168"/>
      <c r="O161" s="67"/>
      <c r="P161" s="67"/>
      <c r="Q161" s="192" t="s">
        <v>147</v>
      </c>
      <c r="R161" s="168"/>
      <c r="S161" s="168"/>
      <c r="T161" s="168"/>
      <c r="U161" s="67"/>
      <c r="V161" s="67"/>
      <c r="W161" s="67"/>
      <c r="X161" s="67"/>
      <c r="Y161" s="1"/>
      <c r="Z161" s="1"/>
    </row>
    <row r="162" spans="1:26" ht="12.75" x14ac:dyDescent="0.2">
      <c r="A162" s="67"/>
      <c r="B162" s="67"/>
      <c r="C162" s="155"/>
      <c r="D162" s="156"/>
      <c r="E162" s="156"/>
      <c r="F162" s="158"/>
      <c r="G162" s="158"/>
      <c r="H162" s="158"/>
      <c r="I162" s="155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1"/>
      <c r="Z162" s="1"/>
    </row>
    <row r="163" spans="1:26" ht="12.75" x14ac:dyDescent="0.2">
      <c r="A163" s="192" t="s">
        <v>148</v>
      </c>
      <c r="B163" s="168"/>
      <c r="C163" s="196" t="s">
        <v>148</v>
      </c>
      <c r="D163" s="168"/>
      <c r="E163" s="168"/>
      <c r="F163" s="158"/>
      <c r="G163" s="158"/>
      <c r="H163" s="158"/>
      <c r="I163" s="196" t="s">
        <v>148</v>
      </c>
      <c r="J163" s="168"/>
      <c r="K163" s="168"/>
      <c r="L163" s="168"/>
      <c r="M163" s="67"/>
      <c r="N163" s="67"/>
      <c r="O163" s="67"/>
      <c r="P163" s="67"/>
      <c r="Q163" s="192" t="s">
        <v>148</v>
      </c>
      <c r="R163" s="168"/>
      <c r="S163" s="168"/>
      <c r="T163" s="168"/>
      <c r="U163" s="67"/>
      <c r="V163" s="67"/>
      <c r="W163" s="67"/>
      <c r="X163" s="67"/>
      <c r="Y163" s="1"/>
      <c r="Z163" s="1"/>
    </row>
    <row r="164" spans="1:26" ht="12.75" x14ac:dyDescent="0.2">
      <c r="A164" s="1"/>
      <c r="B164" s="1"/>
      <c r="C164" s="2"/>
      <c r="D164" s="74"/>
      <c r="E164" s="74"/>
      <c r="F164" s="5"/>
      <c r="G164" s="5"/>
      <c r="H164" s="197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2"/>
      <c r="D165" s="74"/>
      <c r="E165" s="74"/>
      <c r="F165" s="5"/>
      <c r="G165" s="5"/>
      <c r="H165" s="5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2"/>
      <c r="D166" s="74"/>
      <c r="E166" s="74"/>
      <c r="F166" s="5"/>
      <c r="G166" s="5"/>
      <c r="H166" s="5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2"/>
      <c r="D167" s="74"/>
      <c r="E167" s="74"/>
      <c r="F167" s="5"/>
      <c r="G167" s="5"/>
      <c r="H167" s="197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2"/>
      <c r="D168" s="74"/>
      <c r="E168" s="74"/>
      <c r="F168" s="5"/>
      <c r="G168" s="5"/>
      <c r="H168" s="197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2"/>
      <c r="D169" s="74"/>
      <c r="E169" s="74"/>
      <c r="F169" s="5"/>
      <c r="G169" s="5"/>
      <c r="H169" s="5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2"/>
      <c r="D170" s="74"/>
      <c r="E170" s="74"/>
      <c r="F170" s="5"/>
      <c r="G170" s="5"/>
      <c r="H170" s="5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2"/>
      <c r="D171" s="74"/>
      <c r="E171" s="74"/>
      <c r="F171" s="5"/>
      <c r="G171" s="5"/>
      <c r="H171" s="5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2"/>
      <c r="D172" s="74"/>
      <c r="E172" s="74"/>
      <c r="F172" s="5"/>
      <c r="G172" s="5"/>
      <c r="H172" s="5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2"/>
      <c r="D173" s="74"/>
      <c r="E173" s="74"/>
      <c r="F173" s="5"/>
      <c r="G173" s="5"/>
      <c r="H173" s="5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2"/>
      <c r="D174" s="74"/>
      <c r="E174" s="74"/>
      <c r="F174" s="5"/>
      <c r="G174" s="5"/>
      <c r="H174" s="5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2"/>
      <c r="D175" s="74"/>
      <c r="E175" s="74"/>
      <c r="F175" s="5"/>
      <c r="G175" s="5"/>
      <c r="H175" s="5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2"/>
      <c r="D176" s="74"/>
      <c r="E176" s="74"/>
      <c r="F176" s="5"/>
      <c r="G176" s="5"/>
      <c r="H176" s="5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2"/>
      <c r="D177" s="74"/>
      <c r="E177" s="74"/>
      <c r="F177" s="5"/>
      <c r="G177" s="5"/>
      <c r="H177" s="5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2"/>
      <c r="D178" s="74"/>
      <c r="E178" s="74"/>
      <c r="F178" s="5"/>
      <c r="G178" s="5"/>
      <c r="H178" s="5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2"/>
      <c r="D179" s="74"/>
      <c r="E179" s="74"/>
      <c r="F179" s="5"/>
      <c r="G179" s="5"/>
      <c r="H179" s="5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2"/>
      <c r="D180" s="74"/>
      <c r="E180" s="74"/>
      <c r="F180" s="5"/>
      <c r="G180" s="5"/>
      <c r="H180" s="5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2"/>
      <c r="D181" s="74"/>
      <c r="E181" s="74"/>
      <c r="F181" s="5"/>
      <c r="G181" s="5"/>
      <c r="H181" s="5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2"/>
      <c r="D182" s="74"/>
      <c r="E182" s="74"/>
      <c r="F182" s="5"/>
      <c r="G182" s="5"/>
      <c r="H182" s="5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2"/>
      <c r="D183" s="74"/>
      <c r="E183" s="74"/>
      <c r="F183" s="5"/>
      <c r="G183" s="5"/>
      <c r="H183" s="5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2"/>
      <c r="D184" s="74"/>
      <c r="E184" s="74"/>
      <c r="F184" s="5"/>
      <c r="G184" s="5"/>
      <c r="H184" s="5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2"/>
      <c r="D185" s="74"/>
      <c r="E185" s="74"/>
      <c r="F185" s="5"/>
      <c r="G185" s="5"/>
      <c r="H185" s="5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2"/>
      <c r="D186" s="74"/>
      <c r="E186" s="74"/>
      <c r="F186" s="5"/>
      <c r="G186" s="5"/>
      <c r="H186" s="5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2"/>
      <c r="D187" s="74"/>
      <c r="E187" s="74"/>
      <c r="F187" s="5"/>
      <c r="G187" s="5"/>
      <c r="H187" s="5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2"/>
      <c r="D188" s="74"/>
      <c r="E188" s="74"/>
      <c r="F188" s="5"/>
      <c r="G188" s="5"/>
      <c r="H188" s="5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2"/>
      <c r="D189" s="74"/>
      <c r="E189" s="74"/>
      <c r="F189" s="5"/>
      <c r="G189" s="5"/>
      <c r="H189" s="5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2"/>
      <c r="D190" s="74"/>
      <c r="E190" s="74"/>
      <c r="F190" s="5"/>
      <c r="G190" s="5"/>
      <c r="H190" s="5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2"/>
      <c r="D191" s="74"/>
      <c r="E191" s="74"/>
      <c r="F191" s="5"/>
      <c r="G191" s="5"/>
      <c r="H191" s="5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2"/>
      <c r="D192" s="74"/>
      <c r="E192" s="74"/>
      <c r="F192" s="5"/>
      <c r="G192" s="5"/>
      <c r="H192" s="5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2"/>
      <c r="D193" s="74"/>
      <c r="E193" s="74"/>
      <c r="F193" s="5"/>
      <c r="G193" s="5"/>
      <c r="H193" s="5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2"/>
      <c r="D194" s="74"/>
      <c r="E194" s="74"/>
      <c r="F194" s="5"/>
      <c r="G194" s="5"/>
      <c r="H194" s="5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2"/>
      <c r="D195" s="74"/>
      <c r="E195" s="74"/>
      <c r="F195" s="5"/>
      <c r="G195" s="5"/>
      <c r="H195" s="5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2"/>
      <c r="D196" s="74"/>
      <c r="E196" s="74"/>
      <c r="F196" s="5"/>
      <c r="G196" s="5"/>
      <c r="H196" s="5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2"/>
      <c r="D197" s="74"/>
      <c r="E197" s="74"/>
      <c r="F197" s="5"/>
      <c r="G197" s="5"/>
      <c r="H197" s="5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2"/>
      <c r="D198" s="74"/>
      <c r="E198" s="74"/>
      <c r="F198" s="5"/>
      <c r="G198" s="5"/>
      <c r="H198" s="5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2"/>
      <c r="D199" s="74"/>
      <c r="E199" s="74"/>
      <c r="F199" s="5"/>
      <c r="G199" s="5"/>
      <c r="H199" s="5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2"/>
      <c r="D200" s="74"/>
      <c r="E200" s="74"/>
      <c r="F200" s="5"/>
      <c r="G200" s="5"/>
      <c r="H200" s="5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2"/>
      <c r="D201" s="74"/>
      <c r="E201" s="74"/>
      <c r="F201" s="5"/>
      <c r="G201" s="5"/>
      <c r="H201" s="5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2"/>
      <c r="D202" s="74"/>
      <c r="E202" s="74"/>
      <c r="F202" s="5"/>
      <c r="G202" s="5"/>
      <c r="H202" s="5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2"/>
      <c r="D203" s="74"/>
      <c r="E203" s="74"/>
      <c r="F203" s="5"/>
      <c r="G203" s="5"/>
      <c r="H203" s="5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2"/>
      <c r="D204" s="74"/>
      <c r="E204" s="74"/>
      <c r="F204" s="5"/>
      <c r="G204" s="5"/>
      <c r="H204" s="5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2"/>
      <c r="D205" s="74"/>
      <c r="E205" s="74"/>
      <c r="F205" s="5"/>
      <c r="G205" s="5"/>
      <c r="H205" s="5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2"/>
      <c r="D206" s="74"/>
      <c r="E206" s="74"/>
      <c r="F206" s="5"/>
      <c r="G206" s="5"/>
      <c r="H206" s="5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2"/>
      <c r="D207" s="74"/>
      <c r="E207" s="74"/>
      <c r="F207" s="5"/>
      <c r="G207" s="5"/>
      <c r="H207" s="5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2"/>
      <c r="D208" s="74"/>
      <c r="E208" s="74"/>
      <c r="F208" s="5"/>
      <c r="G208" s="5"/>
      <c r="H208" s="5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2"/>
      <c r="D209" s="74"/>
      <c r="E209" s="74"/>
      <c r="F209" s="5"/>
      <c r="G209" s="5"/>
      <c r="H209" s="5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2"/>
      <c r="D210" s="74"/>
      <c r="E210" s="74"/>
      <c r="F210" s="5"/>
      <c r="G210" s="5"/>
      <c r="H210" s="5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2"/>
      <c r="D211" s="74"/>
      <c r="E211" s="74"/>
      <c r="F211" s="5"/>
      <c r="G211" s="5"/>
      <c r="H211" s="5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2"/>
      <c r="D212" s="74"/>
      <c r="E212" s="74"/>
      <c r="F212" s="5"/>
      <c r="G212" s="5"/>
      <c r="H212" s="5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2"/>
      <c r="D213" s="74"/>
      <c r="E213" s="74"/>
      <c r="F213" s="5"/>
      <c r="G213" s="5"/>
      <c r="H213" s="5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2"/>
      <c r="D214" s="74"/>
      <c r="E214" s="74"/>
      <c r="F214" s="5"/>
      <c r="G214" s="5"/>
      <c r="H214" s="5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2"/>
      <c r="D215" s="74"/>
      <c r="E215" s="74"/>
      <c r="F215" s="5"/>
      <c r="G215" s="5"/>
      <c r="H215" s="5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2"/>
      <c r="D216" s="74"/>
      <c r="E216" s="74"/>
      <c r="F216" s="5"/>
      <c r="G216" s="5"/>
      <c r="H216" s="5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2"/>
      <c r="D217" s="74"/>
      <c r="E217" s="74"/>
      <c r="F217" s="5"/>
      <c r="G217" s="5"/>
      <c r="H217" s="5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2"/>
      <c r="D218" s="74"/>
      <c r="E218" s="74"/>
      <c r="F218" s="5"/>
      <c r="G218" s="5"/>
      <c r="H218" s="5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2"/>
      <c r="D219" s="74"/>
      <c r="E219" s="74"/>
      <c r="F219" s="5"/>
      <c r="G219" s="5"/>
      <c r="H219" s="5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2"/>
      <c r="D220" s="74"/>
      <c r="E220" s="74"/>
      <c r="F220" s="5"/>
      <c r="G220" s="5"/>
      <c r="H220" s="5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2"/>
      <c r="D221" s="74"/>
      <c r="E221" s="74"/>
      <c r="F221" s="5"/>
      <c r="G221" s="5"/>
      <c r="H221" s="5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2"/>
      <c r="D222" s="74"/>
      <c r="E222" s="74"/>
      <c r="F222" s="5"/>
      <c r="G222" s="5"/>
      <c r="H222" s="5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2"/>
      <c r="D223" s="74"/>
      <c r="E223" s="74"/>
      <c r="F223" s="5"/>
      <c r="G223" s="5"/>
      <c r="H223" s="5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2"/>
      <c r="D224" s="74"/>
      <c r="E224" s="74"/>
      <c r="F224" s="5"/>
      <c r="G224" s="5"/>
      <c r="H224" s="5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2"/>
      <c r="D225" s="74"/>
      <c r="E225" s="74"/>
      <c r="F225" s="5"/>
      <c r="G225" s="5"/>
      <c r="H225" s="5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2"/>
      <c r="D226" s="74"/>
      <c r="E226" s="74"/>
      <c r="F226" s="5"/>
      <c r="G226" s="5"/>
      <c r="H226" s="5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2"/>
      <c r="D227" s="74"/>
      <c r="E227" s="74"/>
      <c r="F227" s="5"/>
      <c r="G227" s="5"/>
      <c r="H227" s="5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2"/>
      <c r="D228" s="74"/>
      <c r="E228" s="74"/>
      <c r="F228" s="5"/>
      <c r="G228" s="5"/>
      <c r="H228" s="5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2"/>
      <c r="D229" s="74"/>
      <c r="E229" s="74"/>
      <c r="F229" s="5"/>
      <c r="G229" s="5"/>
      <c r="H229" s="5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2"/>
      <c r="D230" s="74"/>
      <c r="E230" s="74"/>
      <c r="F230" s="5"/>
      <c r="G230" s="5"/>
      <c r="H230" s="5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2"/>
      <c r="D231" s="74"/>
      <c r="E231" s="74"/>
      <c r="F231" s="5"/>
      <c r="G231" s="5"/>
      <c r="H231" s="5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2"/>
      <c r="D232" s="74"/>
      <c r="E232" s="74"/>
      <c r="F232" s="5"/>
      <c r="G232" s="5"/>
      <c r="H232" s="5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2"/>
      <c r="D233" s="74"/>
      <c r="E233" s="74"/>
      <c r="F233" s="5"/>
      <c r="G233" s="5"/>
      <c r="H233" s="5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2"/>
      <c r="D234" s="74"/>
      <c r="E234" s="74"/>
      <c r="F234" s="5"/>
      <c r="G234" s="5"/>
      <c r="H234" s="5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2"/>
      <c r="D235" s="74"/>
      <c r="E235" s="74"/>
      <c r="F235" s="5"/>
      <c r="G235" s="5"/>
      <c r="H235" s="5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2"/>
      <c r="D236" s="74"/>
      <c r="E236" s="74"/>
      <c r="F236" s="5"/>
      <c r="G236" s="5"/>
      <c r="H236" s="5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2"/>
      <c r="D237" s="74"/>
      <c r="E237" s="74"/>
      <c r="F237" s="5"/>
      <c r="G237" s="5"/>
      <c r="H237" s="5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2"/>
      <c r="D238" s="74"/>
      <c r="E238" s="74"/>
      <c r="F238" s="5"/>
      <c r="G238" s="5"/>
      <c r="H238" s="5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2"/>
      <c r="D239" s="74"/>
      <c r="E239" s="74"/>
      <c r="F239" s="5"/>
      <c r="G239" s="5"/>
      <c r="H239" s="5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2"/>
      <c r="D240" s="74"/>
      <c r="E240" s="74"/>
      <c r="F240" s="5"/>
      <c r="G240" s="5"/>
      <c r="H240" s="5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2"/>
      <c r="D241" s="74"/>
      <c r="E241" s="74"/>
      <c r="F241" s="5"/>
      <c r="G241" s="5"/>
      <c r="H241" s="5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2"/>
      <c r="D242" s="74"/>
      <c r="E242" s="74"/>
      <c r="F242" s="5"/>
      <c r="G242" s="5"/>
      <c r="H242" s="5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2"/>
      <c r="D243" s="74"/>
      <c r="E243" s="74"/>
      <c r="F243" s="5"/>
      <c r="G243" s="5"/>
      <c r="H243" s="5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2"/>
      <c r="D244" s="74"/>
      <c r="E244" s="74"/>
      <c r="F244" s="5"/>
      <c r="G244" s="5"/>
      <c r="H244" s="5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2"/>
      <c r="D245" s="74"/>
      <c r="E245" s="74"/>
      <c r="F245" s="5"/>
      <c r="G245" s="5"/>
      <c r="H245" s="5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2"/>
      <c r="D246" s="74"/>
      <c r="E246" s="74"/>
      <c r="F246" s="5"/>
      <c r="G246" s="5"/>
      <c r="H246" s="5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2"/>
      <c r="D247" s="74"/>
      <c r="E247" s="74"/>
      <c r="F247" s="5"/>
      <c r="G247" s="5"/>
      <c r="H247" s="5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2"/>
      <c r="D248" s="74"/>
      <c r="E248" s="74"/>
      <c r="F248" s="5"/>
      <c r="G248" s="5"/>
      <c r="H248" s="5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2"/>
      <c r="D249" s="74"/>
      <c r="E249" s="74"/>
      <c r="F249" s="5"/>
      <c r="G249" s="5"/>
      <c r="H249" s="5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2"/>
      <c r="D250" s="74"/>
      <c r="E250" s="74"/>
      <c r="F250" s="5"/>
      <c r="G250" s="5"/>
      <c r="H250" s="5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2"/>
      <c r="D251" s="74"/>
      <c r="E251" s="74"/>
      <c r="F251" s="5"/>
      <c r="G251" s="5"/>
      <c r="H251" s="5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2"/>
      <c r="D252" s="74"/>
      <c r="E252" s="74"/>
      <c r="F252" s="5"/>
      <c r="G252" s="5"/>
      <c r="H252" s="5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2"/>
      <c r="D253" s="74"/>
      <c r="E253" s="74"/>
      <c r="F253" s="5"/>
      <c r="G253" s="5"/>
      <c r="H253" s="5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2"/>
      <c r="D254" s="74"/>
      <c r="E254" s="74"/>
      <c r="F254" s="5"/>
      <c r="G254" s="5"/>
      <c r="H254" s="5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2"/>
      <c r="D255" s="74"/>
      <c r="E255" s="74"/>
      <c r="F255" s="5"/>
      <c r="G255" s="5"/>
      <c r="H255" s="5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2"/>
      <c r="D256" s="74"/>
      <c r="E256" s="74"/>
      <c r="F256" s="5"/>
      <c r="G256" s="5"/>
      <c r="H256" s="5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2"/>
      <c r="D257" s="74"/>
      <c r="E257" s="74"/>
      <c r="F257" s="5"/>
      <c r="G257" s="5"/>
      <c r="H257" s="5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2"/>
      <c r="D258" s="74"/>
      <c r="E258" s="74"/>
      <c r="F258" s="5"/>
      <c r="G258" s="5"/>
      <c r="H258" s="5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2"/>
      <c r="D259" s="74"/>
      <c r="E259" s="74"/>
      <c r="F259" s="5"/>
      <c r="G259" s="5"/>
      <c r="H259" s="5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2"/>
      <c r="D260" s="74"/>
      <c r="E260" s="74"/>
      <c r="F260" s="5"/>
      <c r="G260" s="5"/>
      <c r="H260" s="5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2"/>
      <c r="D261" s="74"/>
      <c r="E261" s="74"/>
      <c r="F261" s="5"/>
      <c r="G261" s="5"/>
      <c r="H261" s="5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2"/>
      <c r="D262" s="74"/>
      <c r="E262" s="74"/>
      <c r="F262" s="5"/>
      <c r="G262" s="5"/>
      <c r="H262" s="5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2"/>
      <c r="D263" s="74"/>
      <c r="E263" s="74"/>
      <c r="F263" s="5"/>
      <c r="G263" s="5"/>
      <c r="H263" s="5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2"/>
      <c r="D264" s="74"/>
      <c r="E264" s="74"/>
      <c r="F264" s="5"/>
      <c r="G264" s="5"/>
      <c r="H264" s="5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2"/>
      <c r="D265" s="74"/>
      <c r="E265" s="74"/>
      <c r="F265" s="5"/>
      <c r="G265" s="5"/>
      <c r="H265" s="5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2"/>
      <c r="D266" s="74"/>
      <c r="E266" s="74"/>
      <c r="F266" s="5"/>
      <c r="G266" s="5"/>
      <c r="H266" s="5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2"/>
      <c r="D267" s="74"/>
      <c r="E267" s="74"/>
      <c r="F267" s="5"/>
      <c r="G267" s="5"/>
      <c r="H267" s="5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2"/>
      <c r="D268" s="74"/>
      <c r="E268" s="74"/>
      <c r="F268" s="5"/>
      <c r="G268" s="5"/>
      <c r="H268" s="5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2"/>
      <c r="D269" s="74"/>
      <c r="E269" s="74"/>
      <c r="F269" s="5"/>
      <c r="G269" s="5"/>
      <c r="H269" s="5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2"/>
      <c r="D270" s="74"/>
      <c r="E270" s="74"/>
      <c r="F270" s="5"/>
      <c r="G270" s="5"/>
      <c r="H270" s="5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2"/>
      <c r="D271" s="74"/>
      <c r="E271" s="74"/>
      <c r="F271" s="5"/>
      <c r="G271" s="5"/>
      <c r="H271" s="5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2"/>
      <c r="D272" s="74"/>
      <c r="E272" s="74"/>
      <c r="F272" s="5"/>
      <c r="G272" s="5"/>
      <c r="H272" s="5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2"/>
      <c r="D273" s="74"/>
      <c r="E273" s="74"/>
      <c r="F273" s="5"/>
      <c r="G273" s="5"/>
      <c r="H273" s="5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2"/>
      <c r="D274" s="74"/>
      <c r="E274" s="74"/>
      <c r="F274" s="5"/>
      <c r="G274" s="5"/>
      <c r="H274" s="5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2"/>
      <c r="D275" s="74"/>
      <c r="E275" s="74"/>
      <c r="F275" s="5"/>
      <c r="G275" s="5"/>
      <c r="H275" s="5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2"/>
      <c r="D276" s="74"/>
      <c r="E276" s="74"/>
      <c r="F276" s="5"/>
      <c r="G276" s="5"/>
      <c r="H276" s="5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2"/>
      <c r="D277" s="74"/>
      <c r="E277" s="74"/>
      <c r="F277" s="5"/>
      <c r="G277" s="5"/>
      <c r="H277" s="5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2"/>
      <c r="D278" s="74"/>
      <c r="E278" s="74"/>
      <c r="F278" s="5"/>
      <c r="G278" s="5"/>
      <c r="H278" s="5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2"/>
      <c r="D279" s="74"/>
      <c r="E279" s="74"/>
      <c r="F279" s="5"/>
      <c r="G279" s="5"/>
      <c r="H279" s="5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2"/>
      <c r="D280" s="74"/>
      <c r="E280" s="74"/>
      <c r="F280" s="5"/>
      <c r="G280" s="5"/>
      <c r="H280" s="5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2"/>
      <c r="D281" s="74"/>
      <c r="E281" s="74"/>
      <c r="F281" s="5"/>
      <c r="G281" s="5"/>
      <c r="H281" s="5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2"/>
      <c r="D282" s="74"/>
      <c r="E282" s="74"/>
      <c r="F282" s="5"/>
      <c r="G282" s="5"/>
      <c r="H282" s="5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2"/>
      <c r="D283" s="74"/>
      <c r="E283" s="74"/>
      <c r="F283" s="5"/>
      <c r="G283" s="5"/>
      <c r="H283" s="5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2"/>
      <c r="D284" s="74"/>
      <c r="E284" s="74"/>
      <c r="F284" s="5"/>
      <c r="G284" s="5"/>
      <c r="H284" s="5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2"/>
      <c r="D285" s="74"/>
      <c r="E285" s="74"/>
      <c r="F285" s="5"/>
      <c r="G285" s="5"/>
      <c r="H285" s="5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2"/>
      <c r="D286" s="74"/>
      <c r="E286" s="74"/>
      <c r="F286" s="5"/>
      <c r="G286" s="5"/>
      <c r="H286" s="5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2"/>
      <c r="D287" s="74"/>
      <c r="E287" s="74"/>
      <c r="F287" s="5"/>
      <c r="G287" s="5"/>
      <c r="H287" s="5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2"/>
      <c r="D288" s="74"/>
      <c r="E288" s="74"/>
      <c r="F288" s="5"/>
      <c r="G288" s="5"/>
      <c r="H288" s="5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2"/>
      <c r="D289" s="74"/>
      <c r="E289" s="74"/>
      <c r="F289" s="5"/>
      <c r="G289" s="5"/>
      <c r="H289" s="5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2"/>
      <c r="D290" s="74"/>
      <c r="E290" s="74"/>
      <c r="F290" s="5"/>
      <c r="G290" s="5"/>
      <c r="H290" s="5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2"/>
      <c r="D291" s="74"/>
      <c r="E291" s="74"/>
      <c r="F291" s="5"/>
      <c r="G291" s="5"/>
      <c r="H291" s="5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2"/>
      <c r="D292" s="74"/>
      <c r="E292" s="74"/>
      <c r="F292" s="5"/>
      <c r="G292" s="5"/>
      <c r="H292" s="5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2"/>
      <c r="D293" s="74"/>
      <c r="E293" s="74"/>
      <c r="F293" s="5"/>
      <c r="G293" s="5"/>
      <c r="H293" s="5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2"/>
      <c r="D294" s="74"/>
      <c r="E294" s="74"/>
      <c r="F294" s="5"/>
      <c r="G294" s="5"/>
      <c r="H294" s="5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2"/>
      <c r="D295" s="74"/>
      <c r="E295" s="74"/>
      <c r="F295" s="5"/>
      <c r="G295" s="5"/>
      <c r="H295" s="5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2"/>
      <c r="D296" s="74"/>
      <c r="E296" s="74"/>
      <c r="F296" s="5"/>
      <c r="G296" s="5"/>
      <c r="H296" s="5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2"/>
      <c r="D297" s="74"/>
      <c r="E297" s="74"/>
      <c r="F297" s="5"/>
      <c r="G297" s="5"/>
      <c r="H297" s="5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2"/>
      <c r="D298" s="74"/>
      <c r="E298" s="74"/>
      <c r="F298" s="5"/>
      <c r="G298" s="5"/>
      <c r="H298" s="5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2"/>
      <c r="D299" s="74"/>
      <c r="E299" s="74"/>
      <c r="F299" s="5"/>
      <c r="G299" s="5"/>
      <c r="H299" s="5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2"/>
      <c r="D300" s="74"/>
      <c r="E300" s="74"/>
      <c r="F300" s="5"/>
      <c r="G300" s="5"/>
      <c r="H300" s="5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2"/>
      <c r="D301" s="74"/>
      <c r="E301" s="74"/>
      <c r="F301" s="5"/>
      <c r="G301" s="5"/>
      <c r="H301" s="5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2"/>
      <c r="D302" s="74"/>
      <c r="E302" s="74"/>
      <c r="F302" s="5"/>
      <c r="G302" s="5"/>
      <c r="H302" s="5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2"/>
      <c r="D303" s="74"/>
      <c r="E303" s="74"/>
      <c r="F303" s="5"/>
      <c r="G303" s="5"/>
      <c r="H303" s="5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2"/>
      <c r="D304" s="74"/>
      <c r="E304" s="74"/>
      <c r="F304" s="5"/>
      <c r="G304" s="5"/>
      <c r="H304" s="5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2"/>
      <c r="D305" s="74"/>
      <c r="E305" s="74"/>
      <c r="F305" s="5"/>
      <c r="G305" s="5"/>
      <c r="H305" s="5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2"/>
      <c r="D306" s="74"/>
      <c r="E306" s="74"/>
      <c r="F306" s="5"/>
      <c r="G306" s="5"/>
      <c r="H306" s="5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2"/>
      <c r="D307" s="74"/>
      <c r="E307" s="74"/>
      <c r="F307" s="5"/>
      <c r="G307" s="5"/>
      <c r="H307" s="5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2"/>
      <c r="D308" s="74"/>
      <c r="E308" s="74"/>
      <c r="F308" s="5"/>
      <c r="G308" s="5"/>
      <c r="H308" s="5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2"/>
      <c r="D309" s="74"/>
      <c r="E309" s="74"/>
      <c r="F309" s="5"/>
      <c r="G309" s="5"/>
      <c r="H309" s="5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2"/>
      <c r="D310" s="74"/>
      <c r="E310" s="74"/>
      <c r="F310" s="5"/>
      <c r="G310" s="5"/>
      <c r="H310" s="5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2"/>
      <c r="D311" s="74"/>
      <c r="E311" s="74"/>
      <c r="F311" s="5"/>
      <c r="G311" s="5"/>
      <c r="H311" s="5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2"/>
      <c r="D312" s="74"/>
      <c r="E312" s="74"/>
      <c r="F312" s="5"/>
      <c r="G312" s="5"/>
      <c r="H312" s="5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2"/>
      <c r="D313" s="74"/>
      <c r="E313" s="74"/>
      <c r="F313" s="5"/>
      <c r="G313" s="5"/>
      <c r="H313" s="5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2"/>
      <c r="D314" s="74"/>
      <c r="E314" s="74"/>
      <c r="F314" s="5"/>
      <c r="G314" s="5"/>
      <c r="H314" s="5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2"/>
      <c r="D315" s="74"/>
      <c r="E315" s="74"/>
      <c r="F315" s="5"/>
      <c r="G315" s="5"/>
      <c r="H315" s="5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2"/>
      <c r="D316" s="74"/>
      <c r="E316" s="74"/>
      <c r="F316" s="5"/>
      <c r="G316" s="5"/>
      <c r="H316" s="5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2"/>
      <c r="D317" s="74"/>
      <c r="E317" s="74"/>
      <c r="F317" s="5"/>
      <c r="G317" s="5"/>
      <c r="H317" s="5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2"/>
      <c r="D318" s="74"/>
      <c r="E318" s="74"/>
      <c r="F318" s="5"/>
      <c r="G318" s="5"/>
      <c r="H318" s="5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2"/>
      <c r="D319" s="74"/>
      <c r="E319" s="74"/>
      <c r="F319" s="5"/>
      <c r="G319" s="5"/>
      <c r="H319" s="5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2"/>
      <c r="D320" s="74"/>
      <c r="E320" s="74"/>
      <c r="F320" s="5"/>
      <c r="G320" s="5"/>
      <c r="H320" s="5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2"/>
      <c r="D321" s="74"/>
      <c r="E321" s="74"/>
      <c r="F321" s="5"/>
      <c r="G321" s="5"/>
      <c r="H321" s="5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2"/>
      <c r="D322" s="74"/>
      <c r="E322" s="74"/>
      <c r="F322" s="5"/>
      <c r="G322" s="5"/>
      <c r="H322" s="5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2"/>
      <c r="D323" s="74"/>
      <c r="E323" s="74"/>
      <c r="F323" s="5"/>
      <c r="G323" s="5"/>
      <c r="H323" s="5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2"/>
      <c r="D324" s="74"/>
      <c r="E324" s="74"/>
      <c r="F324" s="5"/>
      <c r="G324" s="5"/>
      <c r="H324" s="5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2"/>
      <c r="D325" s="74"/>
      <c r="E325" s="74"/>
      <c r="F325" s="5"/>
      <c r="G325" s="5"/>
      <c r="H325" s="5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2"/>
      <c r="D326" s="74"/>
      <c r="E326" s="74"/>
      <c r="F326" s="5"/>
      <c r="G326" s="5"/>
      <c r="H326" s="5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2"/>
      <c r="D327" s="74"/>
      <c r="E327" s="74"/>
      <c r="F327" s="5"/>
      <c r="G327" s="5"/>
      <c r="H327" s="5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2"/>
      <c r="D328" s="74"/>
      <c r="E328" s="74"/>
      <c r="F328" s="5"/>
      <c r="G328" s="5"/>
      <c r="H328" s="5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2"/>
      <c r="D329" s="74"/>
      <c r="E329" s="74"/>
      <c r="F329" s="5"/>
      <c r="G329" s="5"/>
      <c r="H329" s="5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2"/>
      <c r="D330" s="74"/>
      <c r="E330" s="74"/>
      <c r="F330" s="5"/>
      <c r="G330" s="5"/>
      <c r="H330" s="5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2"/>
      <c r="D331" s="74"/>
      <c r="E331" s="74"/>
      <c r="F331" s="5"/>
      <c r="G331" s="5"/>
      <c r="H331" s="5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2"/>
      <c r="D332" s="74"/>
      <c r="E332" s="74"/>
      <c r="F332" s="5"/>
      <c r="G332" s="5"/>
      <c r="H332" s="5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2"/>
      <c r="D333" s="74"/>
      <c r="E333" s="74"/>
      <c r="F333" s="5"/>
      <c r="G333" s="5"/>
      <c r="H333" s="5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2"/>
      <c r="D334" s="74"/>
      <c r="E334" s="74"/>
      <c r="F334" s="5"/>
      <c r="G334" s="5"/>
      <c r="H334" s="5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2"/>
      <c r="D335" s="74"/>
      <c r="E335" s="74"/>
      <c r="F335" s="5"/>
      <c r="G335" s="5"/>
      <c r="H335" s="5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2"/>
      <c r="D336" s="74"/>
      <c r="E336" s="74"/>
      <c r="F336" s="5"/>
      <c r="G336" s="5"/>
      <c r="H336" s="5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2"/>
      <c r="D337" s="74"/>
      <c r="E337" s="74"/>
      <c r="F337" s="5"/>
      <c r="G337" s="5"/>
      <c r="H337" s="5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2"/>
      <c r="D338" s="74"/>
      <c r="E338" s="74"/>
      <c r="F338" s="5"/>
      <c r="G338" s="5"/>
      <c r="H338" s="5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2"/>
      <c r="D339" s="74"/>
      <c r="E339" s="74"/>
      <c r="F339" s="5"/>
      <c r="G339" s="5"/>
      <c r="H339" s="5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2"/>
      <c r="D340" s="74"/>
      <c r="E340" s="74"/>
      <c r="F340" s="5"/>
      <c r="G340" s="5"/>
      <c r="H340" s="5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2"/>
      <c r="D341" s="74"/>
      <c r="E341" s="74"/>
      <c r="F341" s="5"/>
      <c r="G341" s="5"/>
      <c r="H341" s="5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2"/>
      <c r="D342" s="74"/>
      <c r="E342" s="74"/>
      <c r="F342" s="5"/>
      <c r="G342" s="5"/>
      <c r="H342" s="5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2"/>
      <c r="D343" s="74"/>
      <c r="E343" s="74"/>
      <c r="F343" s="5"/>
      <c r="G343" s="5"/>
      <c r="H343" s="5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2"/>
      <c r="D344" s="74"/>
      <c r="E344" s="74"/>
      <c r="F344" s="5"/>
      <c r="G344" s="5"/>
      <c r="H344" s="5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2"/>
      <c r="D345" s="74"/>
      <c r="E345" s="74"/>
      <c r="F345" s="5"/>
      <c r="G345" s="5"/>
      <c r="H345" s="5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2"/>
      <c r="D346" s="74"/>
      <c r="E346" s="74"/>
      <c r="F346" s="5"/>
      <c r="G346" s="5"/>
      <c r="H346" s="5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2"/>
      <c r="D347" s="74"/>
      <c r="E347" s="74"/>
      <c r="F347" s="5"/>
      <c r="G347" s="5"/>
      <c r="H347" s="5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2"/>
      <c r="D348" s="74"/>
      <c r="E348" s="74"/>
      <c r="F348" s="5"/>
      <c r="G348" s="5"/>
      <c r="H348" s="5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2"/>
      <c r="D349" s="74"/>
      <c r="E349" s="74"/>
      <c r="F349" s="5"/>
      <c r="G349" s="5"/>
      <c r="H349" s="5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2"/>
      <c r="D350" s="74"/>
      <c r="E350" s="74"/>
      <c r="F350" s="5"/>
      <c r="G350" s="5"/>
      <c r="H350" s="5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2"/>
      <c r="D351" s="74"/>
      <c r="E351" s="74"/>
      <c r="F351" s="5"/>
      <c r="G351" s="5"/>
      <c r="H351" s="5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2"/>
      <c r="D352" s="74"/>
      <c r="E352" s="74"/>
      <c r="F352" s="5"/>
      <c r="G352" s="5"/>
      <c r="H352" s="5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2"/>
      <c r="D353" s="74"/>
      <c r="E353" s="74"/>
      <c r="F353" s="5"/>
      <c r="G353" s="5"/>
      <c r="H353" s="5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2"/>
      <c r="D354" s="74"/>
      <c r="E354" s="74"/>
      <c r="F354" s="5"/>
      <c r="G354" s="5"/>
      <c r="H354" s="5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2"/>
      <c r="D355" s="74"/>
      <c r="E355" s="74"/>
      <c r="F355" s="5"/>
      <c r="G355" s="5"/>
      <c r="H355" s="5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2"/>
      <c r="D356" s="74"/>
      <c r="E356" s="74"/>
      <c r="F356" s="5"/>
      <c r="G356" s="5"/>
      <c r="H356" s="5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2"/>
      <c r="D357" s="74"/>
      <c r="E357" s="74"/>
      <c r="F357" s="5"/>
      <c r="G357" s="5"/>
      <c r="H357" s="5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2"/>
      <c r="D358" s="74"/>
      <c r="E358" s="74"/>
      <c r="F358" s="5"/>
      <c r="G358" s="5"/>
      <c r="H358" s="5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2"/>
      <c r="D359" s="74"/>
      <c r="E359" s="74"/>
      <c r="F359" s="5"/>
      <c r="G359" s="5"/>
      <c r="H359" s="5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2"/>
      <c r="D360" s="74"/>
      <c r="E360" s="74"/>
      <c r="F360" s="5"/>
      <c r="G360" s="5"/>
      <c r="H360" s="5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2"/>
      <c r="D361" s="74"/>
      <c r="E361" s="74"/>
      <c r="F361" s="5"/>
      <c r="G361" s="5"/>
      <c r="H361" s="5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2"/>
      <c r="D362" s="74"/>
      <c r="E362" s="74"/>
      <c r="F362" s="5"/>
      <c r="G362" s="5"/>
      <c r="H362" s="5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2"/>
      <c r="D363" s="74"/>
      <c r="E363" s="74"/>
      <c r="F363" s="5"/>
      <c r="G363" s="5"/>
      <c r="H363" s="5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2"/>
      <c r="D364" s="74"/>
      <c r="E364" s="74"/>
      <c r="F364" s="5"/>
      <c r="G364" s="5"/>
      <c r="H364" s="5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2"/>
      <c r="D365" s="74"/>
      <c r="E365" s="74"/>
      <c r="F365" s="5"/>
      <c r="G365" s="5"/>
      <c r="H365" s="5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2"/>
      <c r="D366" s="74"/>
      <c r="E366" s="74"/>
      <c r="F366" s="5"/>
      <c r="G366" s="5"/>
      <c r="H366" s="5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2"/>
      <c r="D367" s="74"/>
      <c r="E367" s="74"/>
      <c r="F367" s="5"/>
      <c r="G367" s="5"/>
      <c r="H367" s="5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2"/>
      <c r="D368" s="74"/>
      <c r="E368" s="74"/>
      <c r="F368" s="5"/>
      <c r="G368" s="5"/>
      <c r="H368" s="5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2"/>
      <c r="D369" s="74"/>
      <c r="E369" s="74"/>
      <c r="F369" s="5"/>
      <c r="G369" s="5"/>
      <c r="H369" s="5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2"/>
      <c r="D370" s="74"/>
      <c r="E370" s="74"/>
      <c r="F370" s="5"/>
      <c r="G370" s="5"/>
      <c r="H370" s="5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2"/>
      <c r="D371" s="74"/>
      <c r="E371" s="74"/>
      <c r="F371" s="5"/>
      <c r="G371" s="5"/>
      <c r="H371" s="5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2"/>
      <c r="D372" s="74"/>
      <c r="E372" s="74"/>
      <c r="F372" s="5"/>
      <c r="G372" s="5"/>
      <c r="H372" s="5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2"/>
      <c r="D373" s="74"/>
      <c r="E373" s="74"/>
      <c r="F373" s="5"/>
      <c r="G373" s="5"/>
      <c r="H373" s="5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2"/>
      <c r="D374" s="74"/>
      <c r="E374" s="74"/>
      <c r="F374" s="5"/>
      <c r="G374" s="5"/>
      <c r="H374" s="5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2"/>
      <c r="D375" s="74"/>
      <c r="E375" s="74"/>
      <c r="F375" s="5"/>
      <c r="G375" s="5"/>
      <c r="H375" s="5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2"/>
      <c r="D376" s="74"/>
      <c r="E376" s="74"/>
      <c r="F376" s="5"/>
      <c r="G376" s="5"/>
      <c r="H376" s="5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2"/>
      <c r="D377" s="74"/>
      <c r="E377" s="74"/>
      <c r="F377" s="5"/>
      <c r="G377" s="5"/>
      <c r="H377" s="5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2"/>
      <c r="D378" s="74"/>
      <c r="E378" s="74"/>
      <c r="F378" s="5"/>
      <c r="G378" s="5"/>
      <c r="H378" s="5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2"/>
      <c r="D379" s="74"/>
      <c r="E379" s="74"/>
      <c r="F379" s="5"/>
      <c r="G379" s="5"/>
      <c r="H379" s="5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2"/>
      <c r="D380" s="74"/>
      <c r="E380" s="74"/>
      <c r="F380" s="5"/>
      <c r="G380" s="5"/>
      <c r="H380" s="5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2"/>
      <c r="D381" s="74"/>
      <c r="E381" s="74"/>
      <c r="F381" s="5"/>
      <c r="G381" s="5"/>
      <c r="H381" s="5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2"/>
      <c r="D382" s="74"/>
      <c r="E382" s="74"/>
      <c r="F382" s="5"/>
      <c r="G382" s="5"/>
      <c r="H382" s="5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2"/>
      <c r="D383" s="74"/>
      <c r="E383" s="74"/>
      <c r="F383" s="5"/>
      <c r="G383" s="5"/>
      <c r="H383" s="5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2"/>
      <c r="D384" s="74"/>
      <c r="E384" s="74"/>
      <c r="F384" s="5"/>
      <c r="G384" s="5"/>
      <c r="H384" s="5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2"/>
      <c r="D385" s="74"/>
      <c r="E385" s="74"/>
      <c r="F385" s="5"/>
      <c r="G385" s="5"/>
      <c r="H385" s="5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2"/>
      <c r="D386" s="74"/>
      <c r="E386" s="74"/>
      <c r="F386" s="5"/>
      <c r="G386" s="5"/>
      <c r="H386" s="5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2"/>
      <c r="D387" s="74"/>
      <c r="E387" s="74"/>
      <c r="F387" s="5"/>
      <c r="G387" s="5"/>
      <c r="H387" s="5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2"/>
      <c r="D388" s="74"/>
      <c r="E388" s="74"/>
      <c r="F388" s="5"/>
      <c r="G388" s="5"/>
      <c r="H388" s="5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2"/>
      <c r="D389" s="74"/>
      <c r="E389" s="74"/>
      <c r="F389" s="5"/>
      <c r="G389" s="5"/>
      <c r="H389" s="5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2"/>
      <c r="D390" s="74"/>
      <c r="E390" s="74"/>
      <c r="F390" s="5"/>
      <c r="G390" s="5"/>
      <c r="H390" s="5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2"/>
      <c r="D391" s="74"/>
      <c r="E391" s="74"/>
      <c r="F391" s="5"/>
      <c r="G391" s="5"/>
      <c r="H391" s="5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2"/>
      <c r="D392" s="74"/>
      <c r="E392" s="74"/>
      <c r="F392" s="5"/>
      <c r="G392" s="5"/>
      <c r="H392" s="5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2"/>
      <c r="D393" s="74"/>
      <c r="E393" s="74"/>
      <c r="F393" s="5"/>
      <c r="G393" s="5"/>
      <c r="H393" s="5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2"/>
      <c r="D394" s="74"/>
      <c r="E394" s="74"/>
      <c r="F394" s="5"/>
      <c r="G394" s="5"/>
      <c r="H394" s="5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2"/>
      <c r="D395" s="74"/>
      <c r="E395" s="74"/>
      <c r="F395" s="5"/>
      <c r="G395" s="5"/>
      <c r="H395" s="5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2"/>
      <c r="D396" s="74"/>
      <c r="E396" s="74"/>
      <c r="F396" s="5"/>
      <c r="G396" s="5"/>
      <c r="H396" s="5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2"/>
      <c r="D397" s="74"/>
      <c r="E397" s="74"/>
      <c r="F397" s="5"/>
      <c r="G397" s="5"/>
      <c r="H397" s="5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2"/>
      <c r="D398" s="74"/>
      <c r="E398" s="74"/>
      <c r="F398" s="5"/>
      <c r="G398" s="5"/>
      <c r="H398" s="5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2"/>
      <c r="D399" s="74"/>
      <c r="E399" s="74"/>
      <c r="F399" s="5"/>
      <c r="G399" s="5"/>
      <c r="H399" s="5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2"/>
      <c r="D400" s="74"/>
      <c r="E400" s="74"/>
      <c r="F400" s="5"/>
      <c r="G400" s="5"/>
      <c r="H400" s="5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2"/>
      <c r="D401" s="74"/>
      <c r="E401" s="74"/>
      <c r="F401" s="5"/>
      <c r="G401" s="5"/>
      <c r="H401" s="5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2"/>
      <c r="D402" s="74"/>
      <c r="E402" s="74"/>
      <c r="F402" s="5"/>
      <c r="G402" s="5"/>
      <c r="H402" s="5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2"/>
      <c r="D403" s="74"/>
      <c r="E403" s="74"/>
      <c r="F403" s="5"/>
      <c r="G403" s="5"/>
      <c r="H403" s="5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2"/>
      <c r="D404" s="74"/>
      <c r="E404" s="74"/>
      <c r="F404" s="5"/>
      <c r="G404" s="5"/>
      <c r="H404" s="5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2"/>
      <c r="D405" s="74"/>
      <c r="E405" s="74"/>
      <c r="F405" s="5"/>
      <c r="G405" s="5"/>
      <c r="H405" s="5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2"/>
      <c r="D406" s="74"/>
      <c r="E406" s="74"/>
      <c r="F406" s="5"/>
      <c r="G406" s="5"/>
      <c r="H406" s="5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2"/>
      <c r="D407" s="74"/>
      <c r="E407" s="74"/>
      <c r="F407" s="5"/>
      <c r="G407" s="5"/>
      <c r="H407" s="5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2"/>
      <c r="D408" s="74"/>
      <c r="E408" s="74"/>
      <c r="F408" s="5"/>
      <c r="G408" s="5"/>
      <c r="H408" s="5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2"/>
      <c r="D409" s="74"/>
      <c r="E409" s="74"/>
      <c r="F409" s="5"/>
      <c r="G409" s="5"/>
      <c r="H409" s="5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2"/>
      <c r="D410" s="74"/>
      <c r="E410" s="74"/>
      <c r="F410" s="5"/>
      <c r="G410" s="5"/>
      <c r="H410" s="5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2"/>
      <c r="D411" s="74"/>
      <c r="E411" s="74"/>
      <c r="F411" s="5"/>
      <c r="G411" s="5"/>
      <c r="H411" s="5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2"/>
      <c r="D412" s="74"/>
      <c r="E412" s="74"/>
      <c r="F412" s="5"/>
      <c r="G412" s="5"/>
      <c r="H412" s="5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2"/>
      <c r="D413" s="74"/>
      <c r="E413" s="74"/>
      <c r="F413" s="5"/>
      <c r="G413" s="5"/>
      <c r="H413" s="5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2"/>
      <c r="D414" s="74"/>
      <c r="E414" s="74"/>
      <c r="F414" s="5"/>
      <c r="G414" s="5"/>
      <c r="H414" s="5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2"/>
      <c r="D415" s="74"/>
      <c r="E415" s="74"/>
      <c r="F415" s="5"/>
      <c r="G415" s="5"/>
      <c r="H415" s="5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2"/>
      <c r="D416" s="74"/>
      <c r="E416" s="74"/>
      <c r="F416" s="5"/>
      <c r="G416" s="5"/>
      <c r="H416" s="5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2"/>
      <c r="D417" s="74"/>
      <c r="E417" s="74"/>
      <c r="F417" s="5"/>
      <c r="G417" s="5"/>
      <c r="H417" s="5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2"/>
      <c r="D418" s="74"/>
      <c r="E418" s="74"/>
      <c r="F418" s="5"/>
      <c r="G418" s="5"/>
      <c r="H418" s="5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2"/>
      <c r="D419" s="74"/>
      <c r="E419" s="74"/>
      <c r="F419" s="5"/>
      <c r="G419" s="5"/>
      <c r="H419" s="5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2"/>
      <c r="D420" s="74"/>
      <c r="E420" s="74"/>
      <c r="F420" s="5"/>
      <c r="G420" s="5"/>
      <c r="H420" s="5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2"/>
      <c r="D421" s="74"/>
      <c r="E421" s="74"/>
      <c r="F421" s="5"/>
      <c r="G421" s="5"/>
      <c r="H421" s="5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2"/>
      <c r="D422" s="74"/>
      <c r="E422" s="74"/>
      <c r="F422" s="5"/>
      <c r="G422" s="5"/>
      <c r="H422" s="5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2"/>
      <c r="D423" s="74"/>
      <c r="E423" s="74"/>
      <c r="F423" s="5"/>
      <c r="G423" s="5"/>
      <c r="H423" s="5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2"/>
      <c r="D424" s="74"/>
      <c r="E424" s="74"/>
      <c r="F424" s="5"/>
      <c r="G424" s="5"/>
      <c r="H424" s="5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2"/>
      <c r="D425" s="74"/>
      <c r="E425" s="74"/>
      <c r="F425" s="5"/>
      <c r="G425" s="5"/>
      <c r="H425" s="5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2"/>
      <c r="D426" s="74"/>
      <c r="E426" s="74"/>
      <c r="F426" s="5"/>
      <c r="G426" s="5"/>
      <c r="H426" s="5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2"/>
      <c r="D427" s="74"/>
      <c r="E427" s="74"/>
      <c r="F427" s="5"/>
      <c r="G427" s="5"/>
      <c r="H427" s="5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2"/>
      <c r="D428" s="74"/>
      <c r="E428" s="74"/>
      <c r="F428" s="5"/>
      <c r="G428" s="5"/>
      <c r="H428" s="5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2"/>
      <c r="D429" s="74"/>
      <c r="E429" s="74"/>
      <c r="F429" s="5"/>
      <c r="G429" s="5"/>
      <c r="H429" s="5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2"/>
      <c r="D430" s="74"/>
      <c r="E430" s="74"/>
      <c r="F430" s="5"/>
      <c r="G430" s="5"/>
      <c r="H430" s="5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2"/>
      <c r="D431" s="74"/>
      <c r="E431" s="74"/>
      <c r="F431" s="5"/>
      <c r="G431" s="5"/>
      <c r="H431" s="5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2"/>
      <c r="D432" s="74"/>
      <c r="E432" s="74"/>
      <c r="F432" s="5"/>
      <c r="G432" s="5"/>
      <c r="H432" s="5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2"/>
      <c r="D433" s="74"/>
      <c r="E433" s="74"/>
      <c r="F433" s="5"/>
      <c r="G433" s="5"/>
      <c r="H433" s="5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2"/>
      <c r="D434" s="74"/>
      <c r="E434" s="74"/>
      <c r="F434" s="5"/>
      <c r="G434" s="5"/>
      <c r="H434" s="5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2"/>
      <c r="D435" s="74"/>
      <c r="E435" s="74"/>
      <c r="F435" s="5"/>
      <c r="G435" s="5"/>
      <c r="H435" s="5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2"/>
      <c r="D436" s="74"/>
      <c r="E436" s="74"/>
      <c r="F436" s="5"/>
      <c r="G436" s="5"/>
      <c r="H436" s="5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2"/>
      <c r="D437" s="74"/>
      <c r="E437" s="74"/>
      <c r="F437" s="5"/>
      <c r="G437" s="5"/>
      <c r="H437" s="5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2"/>
      <c r="D438" s="74"/>
      <c r="E438" s="74"/>
      <c r="F438" s="5"/>
      <c r="G438" s="5"/>
      <c r="H438" s="5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2"/>
      <c r="D439" s="74"/>
      <c r="E439" s="74"/>
      <c r="F439" s="5"/>
      <c r="G439" s="5"/>
      <c r="H439" s="5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2"/>
      <c r="D440" s="74"/>
      <c r="E440" s="74"/>
      <c r="F440" s="5"/>
      <c r="G440" s="5"/>
      <c r="H440" s="5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2"/>
      <c r="D441" s="74"/>
      <c r="E441" s="74"/>
      <c r="F441" s="5"/>
      <c r="G441" s="5"/>
      <c r="H441" s="5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2"/>
      <c r="D442" s="74"/>
      <c r="E442" s="74"/>
      <c r="F442" s="5"/>
      <c r="G442" s="5"/>
      <c r="H442" s="5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2"/>
      <c r="D443" s="74"/>
      <c r="E443" s="74"/>
      <c r="F443" s="5"/>
      <c r="G443" s="5"/>
      <c r="H443" s="5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2"/>
      <c r="D444" s="74"/>
      <c r="E444" s="74"/>
      <c r="F444" s="5"/>
      <c r="G444" s="5"/>
      <c r="H444" s="5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2"/>
      <c r="D445" s="74"/>
      <c r="E445" s="74"/>
      <c r="F445" s="5"/>
      <c r="G445" s="5"/>
      <c r="H445" s="5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2"/>
      <c r="D446" s="74"/>
      <c r="E446" s="74"/>
      <c r="F446" s="5"/>
      <c r="G446" s="5"/>
      <c r="H446" s="5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2"/>
      <c r="D447" s="74"/>
      <c r="E447" s="74"/>
      <c r="F447" s="5"/>
      <c r="G447" s="5"/>
      <c r="H447" s="5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2"/>
      <c r="D448" s="74"/>
      <c r="E448" s="74"/>
      <c r="F448" s="5"/>
      <c r="G448" s="5"/>
      <c r="H448" s="5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2"/>
      <c r="D449" s="74"/>
      <c r="E449" s="74"/>
      <c r="F449" s="5"/>
      <c r="G449" s="5"/>
      <c r="H449" s="5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2"/>
      <c r="D450" s="74"/>
      <c r="E450" s="74"/>
      <c r="F450" s="5"/>
      <c r="G450" s="5"/>
      <c r="H450" s="5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2"/>
      <c r="D451" s="74"/>
      <c r="E451" s="74"/>
      <c r="F451" s="5"/>
      <c r="G451" s="5"/>
      <c r="H451" s="5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2"/>
      <c r="D452" s="74"/>
      <c r="E452" s="74"/>
      <c r="F452" s="5"/>
      <c r="G452" s="5"/>
      <c r="H452" s="5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2"/>
      <c r="D453" s="74"/>
      <c r="E453" s="74"/>
      <c r="F453" s="5"/>
      <c r="G453" s="5"/>
      <c r="H453" s="5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2"/>
      <c r="D454" s="74"/>
      <c r="E454" s="74"/>
      <c r="F454" s="5"/>
      <c r="G454" s="5"/>
      <c r="H454" s="5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2"/>
      <c r="D455" s="74"/>
      <c r="E455" s="74"/>
      <c r="F455" s="5"/>
      <c r="G455" s="5"/>
      <c r="H455" s="5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2"/>
      <c r="D456" s="74"/>
      <c r="E456" s="74"/>
      <c r="F456" s="5"/>
      <c r="G456" s="5"/>
      <c r="H456" s="5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2"/>
      <c r="D457" s="74"/>
      <c r="E457" s="74"/>
      <c r="F457" s="5"/>
      <c r="G457" s="5"/>
      <c r="H457" s="5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2"/>
      <c r="D458" s="74"/>
      <c r="E458" s="74"/>
      <c r="F458" s="5"/>
      <c r="G458" s="5"/>
      <c r="H458" s="5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2"/>
      <c r="D459" s="74"/>
      <c r="E459" s="74"/>
      <c r="F459" s="5"/>
      <c r="G459" s="5"/>
      <c r="H459" s="5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2"/>
      <c r="D460" s="74"/>
      <c r="E460" s="74"/>
      <c r="F460" s="5"/>
      <c r="G460" s="5"/>
      <c r="H460" s="5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2"/>
      <c r="D461" s="74"/>
      <c r="E461" s="74"/>
      <c r="F461" s="5"/>
      <c r="G461" s="5"/>
      <c r="H461" s="5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2"/>
      <c r="D462" s="74"/>
      <c r="E462" s="74"/>
      <c r="F462" s="5"/>
      <c r="G462" s="5"/>
      <c r="H462" s="5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2"/>
      <c r="D463" s="74"/>
      <c r="E463" s="74"/>
      <c r="F463" s="5"/>
      <c r="G463" s="5"/>
      <c r="H463" s="5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2"/>
      <c r="D464" s="74"/>
      <c r="E464" s="74"/>
      <c r="F464" s="5"/>
      <c r="G464" s="5"/>
      <c r="H464" s="5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2"/>
      <c r="D465" s="74"/>
      <c r="E465" s="74"/>
      <c r="F465" s="5"/>
      <c r="G465" s="5"/>
      <c r="H465" s="5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2"/>
      <c r="D466" s="74"/>
      <c r="E466" s="74"/>
      <c r="F466" s="5"/>
      <c r="G466" s="5"/>
      <c r="H466" s="5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2"/>
      <c r="D467" s="74"/>
      <c r="E467" s="74"/>
      <c r="F467" s="5"/>
      <c r="G467" s="5"/>
      <c r="H467" s="5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2"/>
      <c r="D468" s="74"/>
      <c r="E468" s="74"/>
      <c r="F468" s="5"/>
      <c r="G468" s="5"/>
      <c r="H468" s="5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2"/>
      <c r="D469" s="74"/>
      <c r="E469" s="74"/>
      <c r="F469" s="5"/>
      <c r="G469" s="5"/>
      <c r="H469" s="5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2"/>
      <c r="D470" s="74"/>
      <c r="E470" s="74"/>
      <c r="F470" s="5"/>
      <c r="G470" s="5"/>
      <c r="H470" s="5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2"/>
      <c r="D471" s="74"/>
      <c r="E471" s="74"/>
      <c r="F471" s="5"/>
      <c r="G471" s="5"/>
      <c r="H471" s="5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2"/>
      <c r="D472" s="74"/>
      <c r="E472" s="74"/>
      <c r="F472" s="5"/>
      <c r="G472" s="5"/>
      <c r="H472" s="5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2"/>
      <c r="D473" s="74"/>
      <c r="E473" s="74"/>
      <c r="F473" s="5"/>
      <c r="G473" s="5"/>
      <c r="H473" s="5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2"/>
      <c r="D474" s="74"/>
      <c r="E474" s="74"/>
      <c r="F474" s="5"/>
      <c r="G474" s="5"/>
      <c r="H474" s="5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2"/>
      <c r="D475" s="74"/>
      <c r="E475" s="74"/>
      <c r="F475" s="5"/>
      <c r="G475" s="5"/>
      <c r="H475" s="5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2"/>
      <c r="D476" s="74"/>
      <c r="E476" s="74"/>
      <c r="F476" s="5"/>
      <c r="G476" s="5"/>
      <c r="H476" s="5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2"/>
      <c r="D477" s="74"/>
      <c r="E477" s="74"/>
      <c r="F477" s="5"/>
      <c r="G477" s="5"/>
      <c r="H477" s="5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2"/>
      <c r="D478" s="74"/>
      <c r="E478" s="74"/>
      <c r="F478" s="5"/>
      <c r="G478" s="5"/>
      <c r="H478" s="5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2"/>
      <c r="D479" s="74"/>
      <c r="E479" s="74"/>
      <c r="F479" s="5"/>
      <c r="G479" s="5"/>
      <c r="H479" s="5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2"/>
      <c r="D480" s="74"/>
      <c r="E480" s="74"/>
      <c r="F480" s="5"/>
      <c r="G480" s="5"/>
      <c r="H480" s="5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2"/>
      <c r="D481" s="74"/>
      <c r="E481" s="74"/>
      <c r="F481" s="5"/>
      <c r="G481" s="5"/>
      <c r="H481" s="5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2"/>
      <c r="D482" s="74"/>
      <c r="E482" s="74"/>
      <c r="F482" s="5"/>
      <c r="G482" s="5"/>
      <c r="H482" s="5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2"/>
      <c r="D483" s="74"/>
      <c r="E483" s="74"/>
      <c r="F483" s="5"/>
      <c r="G483" s="5"/>
      <c r="H483" s="5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2"/>
      <c r="D484" s="74"/>
      <c r="E484" s="74"/>
      <c r="F484" s="5"/>
      <c r="G484" s="5"/>
      <c r="H484" s="5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2"/>
      <c r="D485" s="74"/>
      <c r="E485" s="74"/>
      <c r="F485" s="5"/>
      <c r="G485" s="5"/>
      <c r="H485" s="5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2"/>
      <c r="D486" s="74"/>
      <c r="E486" s="74"/>
      <c r="F486" s="5"/>
      <c r="G486" s="5"/>
      <c r="H486" s="5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2"/>
      <c r="D487" s="74"/>
      <c r="E487" s="74"/>
      <c r="F487" s="5"/>
      <c r="G487" s="5"/>
      <c r="H487" s="5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2"/>
      <c r="D488" s="74"/>
      <c r="E488" s="74"/>
      <c r="F488" s="5"/>
      <c r="G488" s="5"/>
      <c r="H488" s="5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2"/>
      <c r="D489" s="74"/>
      <c r="E489" s="74"/>
      <c r="F489" s="5"/>
      <c r="G489" s="5"/>
      <c r="H489" s="5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2"/>
      <c r="D490" s="74"/>
      <c r="E490" s="74"/>
      <c r="F490" s="5"/>
      <c r="G490" s="5"/>
      <c r="H490" s="5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2"/>
      <c r="D491" s="74"/>
      <c r="E491" s="74"/>
      <c r="F491" s="5"/>
      <c r="G491" s="5"/>
      <c r="H491" s="5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2"/>
      <c r="D492" s="74"/>
      <c r="E492" s="74"/>
      <c r="F492" s="5"/>
      <c r="G492" s="5"/>
      <c r="H492" s="5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2"/>
      <c r="D493" s="74"/>
      <c r="E493" s="74"/>
      <c r="F493" s="5"/>
      <c r="G493" s="5"/>
      <c r="H493" s="5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2"/>
      <c r="D494" s="74"/>
      <c r="E494" s="74"/>
      <c r="F494" s="5"/>
      <c r="G494" s="5"/>
      <c r="H494" s="5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2"/>
      <c r="D495" s="74"/>
      <c r="E495" s="74"/>
      <c r="F495" s="5"/>
      <c r="G495" s="5"/>
      <c r="H495" s="5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2"/>
      <c r="D496" s="74"/>
      <c r="E496" s="74"/>
      <c r="F496" s="5"/>
      <c r="G496" s="5"/>
      <c r="H496" s="5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2"/>
      <c r="D497" s="74"/>
      <c r="E497" s="74"/>
      <c r="F497" s="5"/>
      <c r="G497" s="5"/>
      <c r="H497" s="5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2"/>
      <c r="D498" s="74"/>
      <c r="E498" s="74"/>
      <c r="F498" s="5"/>
      <c r="G498" s="5"/>
      <c r="H498" s="5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2"/>
      <c r="D499" s="74"/>
      <c r="E499" s="74"/>
      <c r="F499" s="5"/>
      <c r="G499" s="5"/>
      <c r="H499" s="5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2"/>
      <c r="D500" s="74"/>
      <c r="E500" s="74"/>
      <c r="F500" s="5"/>
      <c r="G500" s="5"/>
      <c r="H500" s="5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2"/>
      <c r="D501" s="74"/>
      <c r="E501" s="74"/>
      <c r="F501" s="5"/>
      <c r="G501" s="5"/>
      <c r="H501" s="5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2"/>
      <c r="D502" s="74"/>
      <c r="E502" s="74"/>
      <c r="F502" s="5"/>
      <c r="G502" s="5"/>
      <c r="H502" s="5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2"/>
      <c r="D503" s="74"/>
      <c r="E503" s="74"/>
      <c r="F503" s="5"/>
      <c r="G503" s="5"/>
      <c r="H503" s="5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2"/>
      <c r="D504" s="74"/>
      <c r="E504" s="74"/>
      <c r="F504" s="5"/>
      <c r="G504" s="5"/>
      <c r="H504" s="5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2"/>
      <c r="D505" s="74"/>
      <c r="E505" s="74"/>
      <c r="F505" s="5"/>
      <c r="G505" s="5"/>
      <c r="H505" s="5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2"/>
      <c r="D506" s="74"/>
      <c r="E506" s="74"/>
      <c r="F506" s="5"/>
      <c r="G506" s="5"/>
      <c r="H506" s="5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2"/>
      <c r="D507" s="74"/>
      <c r="E507" s="74"/>
      <c r="F507" s="5"/>
      <c r="G507" s="5"/>
      <c r="H507" s="5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2"/>
      <c r="D508" s="74"/>
      <c r="E508" s="74"/>
      <c r="F508" s="5"/>
      <c r="G508" s="5"/>
      <c r="H508" s="5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2"/>
      <c r="D509" s="74"/>
      <c r="E509" s="74"/>
      <c r="F509" s="5"/>
      <c r="G509" s="5"/>
      <c r="H509" s="5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2"/>
      <c r="D510" s="74"/>
      <c r="E510" s="74"/>
      <c r="F510" s="5"/>
      <c r="G510" s="5"/>
      <c r="H510" s="5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2"/>
      <c r="D511" s="74"/>
      <c r="E511" s="74"/>
      <c r="F511" s="5"/>
      <c r="G511" s="5"/>
      <c r="H511" s="5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2"/>
      <c r="D512" s="74"/>
      <c r="E512" s="74"/>
      <c r="F512" s="5"/>
      <c r="G512" s="5"/>
      <c r="H512" s="5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2"/>
      <c r="D513" s="74"/>
      <c r="E513" s="74"/>
      <c r="F513" s="5"/>
      <c r="G513" s="5"/>
      <c r="H513" s="5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2"/>
      <c r="D514" s="74"/>
      <c r="E514" s="74"/>
      <c r="F514" s="5"/>
      <c r="G514" s="5"/>
      <c r="H514" s="5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2"/>
      <c r="D515" s="74"/>
      <c r="E515" s="74"/>
      <c r="F515" s="5"/>
      <c r="G515" s="5"/>
      <c r="H515" s="5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2"/>
      <c r="D516" s="74"/>
      <c r="E516" s="74"/>
      <c r="F516" s="5"/>
      <c r="G516" s="5"/>
      <c r="H516" s="5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2"/>
      <c r="D517" s="74"/>
      <c r="E517" s="74"/>
      <c r="F517" s="5"/>
      <c r="G517" s="5"/>
      <c r="H517" s="5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2"/>
      <c r="D518" s="74"/>
      <c r="E518" s="74"/>
      <c r="F518" s="5"/>
      <c r="G518" s="5"/>
      <c r="H518" s="5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2"/>
      <c r="D519" s="74"/>
      <c r="E519" s="74"/>
      <c r="F519" s="5"/>
      <c r="G519" s="5"/>
      <c r="H519" s="5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2"/>
      <c r="D520" s="74"/>
      <c r="E520" s="74"/>
      <c r="F520" s="5"/>
      <c r="G520" s="5"/>
      <c r="H520" s="5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2"/>
      <c r="D521" s="74"/>
      <c r="E521" s="74"/>
      <c r="F521" s="5"/>
      <c r="G521" s="5"/>
      <c r="H521" s="5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2"/>
      <c r="D522" s="74"/>
      <c r="E522" s="74"/>
      <c r="F522" s="5"/>
      <c r="G522" s="5"/>
      <c r="H522" s="5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2"/>
      <c r="D523" s="74"/>
      <c r="E523" s="74"/>
      <c r="F523" s="5"/>
      <c r="G523" s="5"/>
      <c r="H523" s="5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2"/>
      <c r="D524" s="74"/>
      <c r="E524" s="74"/>
      <c r="F524" s="5"/>
      <c r="G524" s="5"/>
      <c r="H524" s="5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2"/>
      <c r="D525" s="74"/>
      <c r="E525" s="74"/>
      <c r="F525" s="5"/>
      <c r="G525" s="5"/>
      <c r="H525" s="5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2"/>
      <c r="D526" s="74"/>
      <c r="E526" s="74"/>
      <c r="F526" s="5"/>
      <c r="G526" s="5"/>
      <c r="H526" s="5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2"/>
      <c r="D527" s="74"/>
      <c r="E527" s="74"/>
      <c r="F527" s="5"/>
      <c r="G527" s="5"/>
      <c r="H527" s="5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2"/>
      <c r="D528" s="74"/>
      <c r="E528" s="74"/>
      <c r="F528" s="5"/>
      <c r="G528" s="5"/>
      <c r="H528" s="5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2"/>
      <c r="D529" s="74"/>
      <c r="E529" s="74"/>
      <c r="F529" s="5"/>
      <c r="G529" s="5"/>
      <c r="H529" s="5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2"/>
      <c r="D530" s="74"/>
      <c r="E530" s="74"/>
      <c r="F530" s="5"/>
      <c r="G530" s="5"/>
      <c r="H530" s="5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2"/>
      <c r="D531" s="74"/>
      <c r="E531" s="74"/>
      <c r="F531" s="5"/>
      <c r="G531" s="5"/>
      <c r="H531" s="5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2"/>
      <c r="D532" s="74"/>
      <c r="E532" s="74"/>
      <c r="F532" s="5"/>
      <c r="G532" s="5"/>
      <c r="H532" s="5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2"/>
      <c r="D533" s="74"/>
      <c r="E533" s="74"/>
      <c r="F533" s="5"/>
      <c r="G533" s="5"/>
      <c r="H533" s="5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2"/>
      <c r="D534" s="74"/>
      <c r="E534" s="74"/>
      <c r="F534" s="5"/>
      <c r="G534" s="5"/>
      <c r="H534" s="5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2"/>
      <c r="D535" s="74"/>
      <c r="E535" s="74"/>
      <c r="F535" s="5"/>
      <c r="G535" s="5"/>
      <c r="H535" s="5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2"/>
      <c r="D536" s="74"/>
      <c r="E536" s="74"/>
      <c r="F536" s="5"/>
      <c r="G536" s="5"/>
      <c r="H536" s="5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2"/>
      <c r="D537" s="74"/>
      <c r="E537" s="74"/>
      <c r="F537" s="5"/>
      <c r="G537" s="5"/>
      <c r="H537" s="5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2"/>
      <c r="D538" s="74"/>
      <c r="E538" s="74"/>
      <c r="F538" s="5"/>
      <c r="G538" s="5"/>
      <c r="H538" s="5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2"/>
      <c r="D539" s="74"/>
      <c r="E539" s="74"/>
      <c r="F539" s="5"/>
      <c r="G539" s="5"/>
      <c r="H539" s="5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2"/>
      <c r="D540" s="74"/>
      <c r="E540" s="74"/>
      <c r="F540" s="5"/>
      <c r="G540" s="5"/>
      <c r="H540" s="5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2"/>
      <c r="D541" s="74"/>
      <c r="E541" s="74"/>
      <c r="F541" s="5"/>
      <c r="G541" s="5"/>
      <c r="H541" s="5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2"/>
      <c r="D542" s="74"/>
      <c r="E542" s="74"/>
      <c r="F542" s="5"/>
      <c r="G542" s="5"/>
      <c r="H542" s="5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2"/>
      <c r="D543" s="74"/>
      <c r="E543" s="74"/>
      <c r="F543" s="5"/>
      <c r="G543" s="5"/>
      <c r="H543" s="5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2"/>
      <c r="D544" s="74"/>
      <c r="E544" s="74"/>
      <c r="F544" s="5"/>
      <c r="G544" s="5"/>
      <c r="H544" s="5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2"/>
      <c r="D545" s="74"/>
      <c r="E545" s="74"/>
      <c r="F545" s="5"/>
      <c r="G545" s="5"/>
      <c r="H545" s="5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2"/>
      <c r="D546" s="74"/>
      <c r="E546" s="74"/>
      <c r="F546" s="5"/>
      <c r="G546" s="5"/>
      <c r="H546" s="5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2"/>
      <c r="D547" s="74"/>
      <c r="E547" s="74"/>
      <c r="F547" s="5"/>
      <c r="G547" s="5"/>
      <c r="H547" s="5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2"/>
      <c r="D548" s="74"/>
      <c r="E548" s="74"/>
      <c r="F548" s="5"/>
      <c r="G548" s="5"/>
      <c r="H548" s="5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2"/>
      <c r="D549" s="74"/>
      <c r="E549" s="74"/>
      <c r="F549" s="5"/>
      <c r="G549" s="5"/>
      <c r="H549" s="5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2"/>
      <c r="D550" s="74"/>
      <c r="E550" s="74"/>
      <c r="F550" s="5"/>
      <c r="G550" s="5"/>
      <c r="H550" s="5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2"/>
      <c r="D551" s="74"/>
      <c r="E551" s="74"/>
      <c r="F551" s="5"/>
      <c r="G551" s="5"/>
      <c r="H551" s="5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2"/>
      <c r="D552" s="74"/>
      <c r="E552" s="74"/>
      <c r="F552" s="5"/>
      <c r="G552" s="5"/>
      <c r="H552" s="5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2"/>
      <c r="D553" s="74"/>
      <c r="E553" s="74"/>
      <c r="F553" s="5"/>
      <c r="G553" s="5"/>
      <c r="H553" s="5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2"/>
      <c r="D554" s="74"/>
      <c r="E554" s="74"/>
      <c r="F554" s="5"/>
      <c r="G554" s="5"/>
      <c r="H554" s="5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2"/>
      <c r="D555" s="74"/>
      <c r="E555" s="74"/>
      <c r="F555" s="5"/>
      <c r="G555" s="5"/>
      <c r="H555" s="5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2"/>
      <c r="D556" s="74"/>
      <c r="E556" s="74"/>
      <c r="F556" s="5"/>
      <c r="G556" s="5"/>
      <c r="H556" s="5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2"/>
      <c r="D557" s="74"/>
      <c r="E557" s="74"/>
      <c r="F557" s="5"/>
      <c r="G557" s="5"/>
      <c r="H557" s="5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2"/>
      <c r="D558" s="74"/>
      <c r="E558" s="74"/>
      <c r="F558" s="5"/>
      <c r="G558" s="5"/>
      <c r="H558" s="5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2"/>
      <c r="D559" s="74"/>
      <c r="E559" s="74"/>
      <c r="F559" s="5"/>
      <c r="G559" s="5"/>
      <c r="H559" s="5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2"/>
      <c r="D560" s="74"/>
      <c r="E560" s="74"/>
      <c r="F560" s="5"/>
      <c r="G560" s="5"/>
      <c r="H560" s="5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2"/>
      <c r="D561" s="74"/>
      <c r="E561" s="74"/>
      <c r="F561" s="5"/>
      <c r="G561" s="5"/>
      <c r="H561" s="5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2"/>
      <c r="D562" s="74"/>
      <c r="E562" s="74"/>
      <c r="F562" s="5"/>
      <c r="G562" s="5"/>
      <c r="H562" s="5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2"/>
      <c r="D563" s="74"/>
      <c r="E563" s="74"/>
      <c r="F563" s="5"/>
      <c r="G563" s="5"/>
      <c r="H563" s="5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2"/>
      <c r="D564" s="74"/>
      <c r="E564" s="74"/>
      <c r="F564" s="5"/>
      <c r="G564" s="5"/>
      <c r="H564" s="5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2"/>
      <c r="D565" s="74"/>
      <c r="E565" s="74"/>
      <c r="F565" s="5"/>
      <c r="G565" s="5"/>
      <c r="H565" s="5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2"/>
      <c r="D566" s="74"/>
      <c r="E566" s="74"/>
      <c r="F566" s="5"/>
      <c r="G566" s="5"/>
      <c r="H566" s="5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2"/>
      <c r="D567" s="74"/>
      <c r="E567" s="74"/>
      <c r="F567" s="5"/>
      <c r="G567" s="5"/>
      <c r="H567" s="5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2"/>
      <c r="D568" s="74"/>
      <c r="E568" s="74"/>
      <c r="F568" s="5"/>
      <c r="G568" s="5"/>
      <c r="H568" s="5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2"/>
      <c r="D569" s="74"/>
      <c r="E569" s="74"/>
      <c r="F569" s="5"/>
      <c r="G569" s="5"/>
      <c r="H569" s="5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2"/>
      <c r="D570" s="74"/>
      <c r="E570" s="74"/>
      <c r="F570" s="5"/>
      <c r="G570" s="5"/>
      <c r="H570" s="5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2"/>
      <c r="D571" s="74"/>
      <c r="E571" s="74"/>
      <c r="F571" s="5"/>
      <c r="G571" s="5"/>
      <c r="H571" s="5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2"/>
      <c r="D572" s="74"/>
      <c r="E572" s="74"/>
      <c r="F572" s="5"/>
      <c r="G572" s="5"/>
      <c r="H572" s="5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2"/>
      <c r="D573" s="74"/>
      <c r="E573" s="74"/>
      <c r="F573" s="5"/>
      <c r="G573" s="5"/>
      <c r="H573" s="5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2"/>
      <c r="D574" s="74"/>
      <c r="E574" s="74"/>
      <c r="F574" s="5"/>
      <c r="G574" s="5"/>
      <c r="H574" s="5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2"/>
      <c r="D575" s="74"/>
      <c r="E575" s="74"/>
      <c r="F575" s="5"/>
      <c r="G575" s="5"/>
      <c r="H575" s="5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2"/>
      <c r="D576" s="74"/>
      <c r="E576" s="74"/>
      <c r="F576" s="5"/>
      <c r="G576" s="5"/>
      <c r="H576" s="5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2"/>
      <c r="D577" s="74"/>
      <c r="E577" s="74"/>
      <c r="F577" s="5"/>
      <c r="G577" s="5"/>
      <c r="H577" s="5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2"/>
      <c r="D578" s="74"/>
      <c r="E578" s="74"/>
      <c r="F578" s="5"/>
      <c r="G578" s="5"/>
      <c r="H578" s="5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2"/>
      <c r="D579" s="74"/>
      <c r="E579" s="74"/>
      <c r="F579" s="5"/>
      <c r="G579" s="5"/>
      <c r="H579" s="5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2"/>
      <c r="D580" s="74"/>
      <c r="E580" s="74"/>
      <c r="F580" s="5"/>
      <c r="G580" s="5"/>
      <c r="H580" s="5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2"/>
      <c r="D581" s="74"/>
      <c r="E581" s="74"/>
      <c r="F581" s="5"/>
      <c r="G581" s="5"/>
      <c r="H581" s="5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2"/>
      <c r="D582" s="74"/>
      <c r="E582" s="74"/>
      <c r="F582" s="5"/>
      <c r="G582" s="5"/>
      <c r="H582" s="5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2"/>
      <c r="D583" s="74"/>
      <c r="E583" s="74"/>
      <c r="F583" s="5"/>
      <c r="G583" s="5"/>
      <c r="H583" s="5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2"/>
      <c r="D584" s="74"/>
      <c r="E584" s="74"/>
      <c r="F584" s="5"/>
      <c r="G584" s="5"/>
      <c r="H584" s="5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2"/>
      <c r="D585" s="74"/>
      <c r="E585" s="74"/>
      <c r="F585" s="5"/>
      <c r="G585" s="5"/>
      <c r="H585" s="5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2"/>
      <c r="D586" s="74"/>
      <c r="E586" s="74"/>
      <c r="F586" s="5"/>
      <c r="G586" s="5"/>
      <c r="H586" s="5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2"/>
      <c r="D587" s="74"/>
      <c r="E587" s="74"/>
      <c r="F587" s="5"/>
      <c r="G587" s="5"/>
      <c r="H587" s="5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2"/>
      <c r="D588" s="74"/>
      <c r="E588" s="74"/>
      <c r="F588" s="5"/>
      <c r="G588" s="5"/>
      <c r="H588" s="5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2"/>
      <c r="D589" s="74"/>
      <c r="E589" s="74"/>
      <c r="F589" s="5"/>
      <c r="G589" s="5"/>
      <c r="H589" s="5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2"/>
      <c r="D590" s="74"/>
      <c r="E590" s="74"/>
      <c r="F590" s="5"/>
      <c r="G590" s="5"/>
      <c r="H590" s="5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2"/>
      <c r="D591" s="74"/>
      <c r="E591" s="74"/>
      <c r="F591" s="5"/>
      <c r="G591" s="5"/>
      <c r="H591" s="5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2"/>
      <c r="D592" s="74"/>
      <c r="E592" s="74"/>
      <c r="F592" s="5"/>
      <c r="G592" s="5"/>
      <c r="H592" s="5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2"/>
      <c r="D593" s="74"/>
      <c r="E593" s="74"/>
      <c r="F593" s="5"/>
      <c r="G593" s="5"/>
      <c r="H593" s="5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2"/>
      <c r="D594" s="74"/>
      <c r="E594" s="74"/>
      <c r="F594" s="5"/>
      <c r="G594" s="5"/>
      <c r="H594" s="5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2"/>
      <c r="D595" s="74"/>
      <c r="E595" s="74"/>
      <c r="F595" s="5"/>
      <c r="G595" s="5"/>
      <c r="H595" s="5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2"/>
      <c r="D596" s="74"/>
      <c r="E596" s="74"/>
      <c r="F596" s="5"/>
      <c r="G596" s="5"/>
      <c r="H596" s="5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2"/>
      <c r="D597" s="74"/>
      <c r="E597" s="74"/>
      <c r="F597" s="5"/>
      <c r="G597" s="5"/>
      <c r="H597" s="5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2"/>
      <c r="D598" s="74"/>
      <c r="E598" s="74"/>
      <c r="F598" s="5"/>
      <c r="G598" s="5"/>
      <c r="H598" s="5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2"/>
      <c r="D599" s="74"/>
      <c r="E599" s="74"/>
      <c r="F599" s="5"/>
      <c r="G599" s="5"/>
      <c r="H599" s="5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2"/>
      <c r="D600" s="74"/>
      <c r="E600" s="74"/>
      <c r="F600" s="5"/>
      <c r="G600" s="5"/>
      <c r="H600" s="5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2"/>
      <c r="D601" s="74"/>
      <c r="E601" s="74"/>
      <c r="F601" s="5"/>
      <c r="G601" s="5"/>
      <c r="H601" s="5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2"/>
      <c r="D602" s="74"/>
      <c r="E602" s="74"/>
      <c r="F602" s="5"/>
      <c r="G602" s="5"/>
      <c r="H602" s="5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2"/>
      <c r="D603" s="74"/>
      <c r="E603" s="74"/>
      <c r="F603" s="5"/>
      <c r="G603" s="5"/>
      <c r="H603" s="5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2"/>
      <c r="D604" s="74"/>
      <c r="E604" s="74"/>
      <c r="F604" s="5"/>
      <c r="G604" s="5"/>
      <c r="H604" s="5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2"/>
      <c r="D605" s="74"/>
      <c r="E605" s="74"/>
      <c r="F605" s="5"/>
      <c r="G605" s="5"/>
      <c r="H605" s="5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2"/>
      <c r="D606" s="74"/>
      <c r="E606" s="74"/>
      <c r="F606" s="5"/>
      <c r="G606" s="5"/>
      <c r="H606" s="5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2"/>
      <c r="D607" s="74"/>
      <c r="E607" s="74"/>
      <c r="F607" s="5"/>
      <c r="G607" s="5"/>
      <c r="H607" s="5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2"/>
      <c r="D608" s="74"/>
      <c r="E608" s="74"/>
      <c r="F608" s="5"/>
      <c r="G608" s="5"/>
      <c r="H608" s="5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2"/>
      <c r="D609" s="74"/>
      <c r="E609" s="74"/>
      <c r="F609" s="5"/>
      <c r="G609" s="5"/>
      <c r="H609" s="5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2"/>
      <c r="D610" s="74"/>
      <c r="E610" s="74"/>
      <c r="F610" s="5"/>
      <c r="G610" s="5"/>
      <c r="H610" s="5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2"/>
      <c r="D611" s="74"/>
      <c r="E611" s="74"/>
      <c r="F611" s="5"/>
      <c r="G611" s="5"/>
      <c r="H611" s="5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2"/>
      <c r="D612" s="74"/>
      <c r="E612" s="74"/>
      <c r="F612" s="5"/>
      <c r="G612" s="5"/>
      <c r="H612" s="5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2"/>
      <c r="D613" s="74"/>
      <c r="E613" s="74"/>
      <c r="F613" s="5"/>
      <c r="G613" s="5"/>
      <c r="H613" s="5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2"/>
      <c r="D614" s="74"/>
      <c r="E614" s="74"/>
      <c r="F614" s="5"/>
      <c r="G614" s="5"/>
      <c r="H614" s="5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2"/>
      <c r="D615" s="74"/>
      <c r="E615" s="74"/>
      <c r="F615" s="5"/>
      <c r="G615" s="5"/>
      <c r="H615" s="5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2"/>
      <c r="D616" s="74"/>
      <c r="E616" s="74"/>
      <c r="F616" s="5"/>
      <c r="G616" s="5"/>
      <c r="H616" s="5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2"/>
      <c r="D617" s="74"/>
      <c r="E617" s="74"/>
      <c r="F617" s="5"/>
      <c r="G617" s="5"/>
      <c r="H617" s="5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2"/>
      <c r="D618" s="74"/>
      <c r="E618" s="74"/>
      <c r="F618" s="5"/>
      <c r="G618" s="5"/>
      <c r="H618" s="5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2"/>
      <c r="D619" s="74"/>
      <c r="E619" s="74"/>
      <c r="F619" s="5"/>
      <c r="G619" s="5"/>
      <c r="H619" s="5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2"/>
      <c r="D620" s="74"/>
      <c r="E620" s="74"/>
      <c r="F620" s="5"/>
      <c r="G620" s="5"/>
      <c r="H620" s="5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2"/>
      <c r="D621" s="74"/>
      <c r="E621" s="74"/>
      <c r="F621" s="5"/>
      <c r="G621" s="5"/>
      <c r="H621" s="5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2"/>
      <c r="D622" s="74"/>
      <c r="E622" s="74"/>
      <c r="F622" s="5"/>
      <c r="G622" s="5"/>
      <c r="H622" s="5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2"/>
      <c r="D623" s="74"/>
      <c r="E623" s="74"/>
      <c r="F623" s="5"/>
      <c r="G623" s="5"/>
      <c r="H623" s="5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2"/>
      <c r="D624" s="74"/>
      <c r="E624" s="74"/>
      <c r="F624" s="5"/>
      <c r="G624" s="5"/>
      <c r="H624" s="5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2"/>
      <c r="D625" s="74"/>
      <c r="E625" s="74"/>
      <c r="F625" s="5"/>
      <c r="G625" s="5"/>
      <c r="H625" s="5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2"/>
      <c r="D626" s="74"/>
      <c r="E626" s="74"/>
      <c r="F626" s="5"/>
      <c r="G626" s="5"/>
      <c r="H626" s="5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2"/>
      <c r="D627" s="74"/>
      <c r="E627" s="74"/>
      <c r="F627" s="5"/>
      <c r="G627" s="5"/>
      <c r="H627" s="5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2"/>
      <c r="D628" s="74"/>
      <c r="E628" s="74"/>
      <c r="F628" s="5"/>
      <c r="G628" s="5"/>
      <c r="H628" s="5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2"/>
      <c r="D629" s="74"/>
      <c r="E629" s="74"/>
      <c r="F629" s="5"/>
      <c r="G629" s="5"/>
      <c r="H629" s="5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2"/>
      <c r="D630" s="74"/>
      <c r="E630" s="74"/>
      <c r="F630" s="5"/>
      <c r="G630" s="5"/>
      <c r="H630" s="5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2"/>
      <c r="D631" s="74"/>
      <c r="E631" s="74"/>
      <c r="F631" s="5"/>
      <c r="G631" s="5"/>
      <c r="H631" s="5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2"/>
      <c r="D632" s="74"/>
      <c r="E632" s="74"/>
      <c r="F632" s="5"/>
      <c r="G632" s="5"/>
      <c r="H632" s="5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2"/>
      <c r="D633" s="74"/>
      <c r="E633" s="74"/>
      <c r="F633" s="5"/>
      <c r="G633" s="5"/>
      <c r="H633" s="5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2"/>
      <c r="D634" s="74"/>
      <c r="E634" s="74"/>
      <c r="F634" s="5"/>
      <c r="G634" s="5"/>
      <c r="H634" s="5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2"/>
      <c r="D635" s="74"/>
      <c r="E635" s="74"/>
      <c r="F635" s="5"/>
      <c r="G635" s="5"/>
      <c r="H635" s="5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2"/>
      <c r="D636" s="74"/>
      <c r="E636" s="74"/>
      <c r="F636" s="5"/>
      <c r="G636" s="5"/>
      <c r="H636" s="5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2"/>
      <c r="D637" s="74"/>
      <c r="E637" s="74"/>
      <c r="F637" s="5"/>
      <c r="G637" s="5"/>
      <c r="H637" s="5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2"/>
      <c r="D638" s="74"/>
      <c r="E638" s="74"/>
      <c r="F638" s="5"/>
      <c r="G638" s="5"/>
      <c r="H638" s="5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2"/>
      <c r="D639" s="74"/>
      <c r="E639" s="74"/>
      <c r="F639" s="5"/>
      <c r="G639" s="5"/>
      <c r="H639" s="5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2"/>
      <c r="D640" s="74"/>
      <c r="E640" s="74"/>
      <c r="F640" s="5"/>
      <c r="G640" s="5"/>
      <c r="H640" s="5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2"/>
      <c r="D641" s="74"/>
      <c r="E641" s="74"/>
      <c r="F641" s="5"/>
      <c r="G641" s="5"/>
      <c r="H641" s="5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2"/>
      <c r="D642" s="74"/>
      <c r="E642" s="74"/>
      <c r="F642" s="5"/>
      <c r="G642" s="5"/>
      <c r="H642" s="5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2"/>
      <c r="D643" s="74"/>
      <c r="E643" s="74"/>
      <c r="F643" s="5"/>
      <c r="G643" s="5"/>
      <c r="H643" s="5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2"/>
      <c r="D644" s="74"/>
      <c r="E644" s="74"/>
      <c r="F644" s="5"/>
      <c r="G644" s="5"/>
      <c r="H644" s="5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2"/>
      <c r="D645" s="74"/>
      <c r="E645" s="74"/>
      <c r="F645" s="5"/>
      <c r="G645" s="5"/>
      <c r="H645" s="5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2"/>
      <c r="D646" s="74"/>
      <c r="E646" s="74"/>
      <c r="F646" s="5"/>
      <c r="G646" s="5"/>
      <c r="H646" s="5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2"/>
      <c r="D647" s="74"/>
      <c r="E647" s="74"/>
      <c r="F647" s="5"/>
      <c r="G647" s="5"/>
      <c r="H647" s="5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2"/>
      <c r="D648" s="74"/>
      <c r="E648" s="74"/>
      <c r="F648" s="5"/>
      <c r="G648" s="5"/>
      <c r="H648" s="5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2"/>
      <c r="D649" s="74"/>
      <c r="E649" s="74"/>
      <c r="F649" s="5"/>
      <c r="G649" s="5"/>
      <c r="H649" s="5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2"/>
      <c r="D650" s="74"/>
      <c r="E650" s="74"/>
      <c r="F650" s="5"/>
      <c r="G650" s="5"/>
      <c r="H650" s="5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2"/>
      <c r="D651" s="74"/>
      <c r="E651" s="74"/>
      <c r="F651" s="5"/>
      <c r="G651" s="5"/>
      <c r="H651" s="5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2"/>
      <c r="D652" s="74"/>
      <c r="E652" s="74"/>
      <c r="F652" s="5"/>
      <c r="G652" s="5"/>
      <c r="H652" s="5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2"/>
      <c r="D653" s="74"/>
      <c r="E653" s="74"/>
      <c r="F653" s="5"/>
      <c r="G653" s="5"/>
      <c r="H653" s="5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2"/>
      <c r="D654" s="74"/>
      <c r="E654" s="74"/>
      <c r="F654" s="5"/>
      <c r="G654" s="5"/>
      <c r="H654" s="5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2"/>
      <c r="D655" s="74"/>
      <c r="E655" s="74"/>
      <c r="F655" s="5"/>
      <c r="G655" s="5"/>
      <c r="H655" s="5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2"/>
      <c r="D656" s="74"/>
      <c r="E656" s="74"/>
      <c r="F656" s="5"/>
      <c r="G656" s="5"/>
      <c r="H656" s="5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2"/>
      <c r="D657" s="74"/>
      <c r="E657" s="74"/>
      <c r="F657" s="5"/>
      <c r="G657" s="5"/>
      <c r="H657" s="5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2"/>
      <c r="D658" s="74"/>
      <c r="E658" s="74"/>
      <c r="F658" s="5"/>
      <c r="G658" s="5"/>
      <c r="H658" s="5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2"/>
      <c r="D659" s="74"/>
      <c r="E659" s="74"/>
      <c r="F659" s="5"/>
      <c r="G659" s="5"/>
      <c r="H659" s="5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2"/>
      <c r="D660" s="74"/>
      <c r="E660" s="74"/>
      <c r="F660" s="5"/>
      <c r="G660" s="5"/>
      <c r="H660" s="5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2"/>
      <c r="D661" s="74"/>
      <c r="E661" s="74"/>
      <c r="F661" s="5"/>
      <c r="G661" s="5"/>
      <c r="H661" s="5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2"/>
      <c r="D662" s="74"/>
      <c r="E662" s="74"/>
      <c r="F662" s="5"/>
      <c r="G662" s="5"/>
      <c r="H662" s="5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2"/>
      <c r="D663" s="74"/>
      <c r="E663" s="74"/>
      <c r="F663" s="5"/>
      <c r="G663" s="5"/>
      <c r="H663" s="5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2"/>
      <c r="D664" s="74"/>
      <c r="E664" s="74"/>
      <c r="F664" s="5"/>
      <c r="G664" s="5"/>
      <c r="H664" s="5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2"/>
      <c r="D665" s="74"/>
      <c r="E665" s="74"/>
      <c r="F665" s="5"/>
      <c r="G665" s="5"/>
      <c r="H665" s="5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2"/>
      <c r="D666" s="74"/>
      <c r="E666" s="74"/>
      <c r="F666" s="5"/>
      <c r="G666" s="5"/>
      <c r="H666" s="5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2"/>
      <c r="D667" s="74"/>
      <c r="E667" s="74"/>
      <c r="F667" s="5"/>
      <c r="G667" s="5"/>
      <c r="H667" s="5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2"/>
      <c r="D668" s="74"/>
      <c r="E668" s="74"/>
      <c r="F668" s="5"/>
      <c r="G668" s="5"/>
      <c r="H668" s="5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2"/>
      <c r="D669" s="74"/>
      <c r="E669" s="74"/>
      <c r="F669" s="5"/>
      <c r="G669" s="5"/>
      <c r="H669" s="5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2"/>
      <c r="D670" s="74"/>
      <c r="E670" s="74"/>
      <c r="F670" s="5"/>
      <c r="G670" s="5"/>
      <c r="H670" s="5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2"/>
      <c r="D671" s="74"/>
      <c r="E671" s="74"/>
      <c r="F671" s="5"/>
      <c r="G671" s="5"/>
      <c r="H671" s="5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2"/>
      <c r="D672" s="74"/>
      <c r="E672" s="74"/>
      <c r="F672" s="5"/>
      <c r="G672" s="5"/>
      <c r="H672" s="5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2"/>
      <c r="D673" s="74"/>
      <c r="E673" s="74"/>
      <c r="F673" s="5"/>
      <c r="G673" s="5"/>
      <c r="H673" s="5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2"/>
      <c r="D674" s="74"/>
      <c r="E674" s="74"/>
      <c r="F674" s="5"/>
      <c r="G674" s="5"/>
      <c r="H674" s="5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2"/>
      <c r="D675" s="74"/>
      <c r="E675" s="74"/>
      <c r="F675" s="5"/>
      <c r="G675" s="5"/>
      <c r="H675" s="5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2"/>
      <c r="D676" s="74"/>
      <c r="E676" s="74"/>
      <c r="F676" s="5"/>
      <c r="G676" s="5"/>
      <c r="H676" s="5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2"/>
      <c r="D677" s="74"/>
      <c r="E677" s="74"/>
      <c r="F677" s="5"/>
      <c r="G677" s="5"/>
      <c r="H677" s="5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2"/>
      <c r="D678" s="74"/>
      <c r="E678" s="74"/>
      <c r="F678" s="5"/>
      <c r="G678" s="5"/>
      <c r="H678" s="5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2"/>
      <c r="D679" s="74"/>
      <c r="E679" s="74"/>
      <c r="F679" s="5"/>
      <c r="G679" s="5"/>
      <c r="H679" s="5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2"/>
      <c r="D680" s="74"/>
      <c r="E680" s="74"/>
      <c r="F680" s="5"/>
      <c r="G680" s="5"/>
      <c r="H680" s="5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2"/>
      <c r="D681" s="74"/>
      <c r="E681" s="74"/>
      <c r="F681" s="5"/>
      <c r="G681" s="5"/>
      <c r="H681" s="5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2"/>
      <c r="D682" s="74"/>
      <c r="E682" s="74"/>
      <c r="F682" s="5"/>
      <c r="G682" s="5"/>
      <c r="H682" s="5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2"/>
      <c r="D683" s="74"/>
      <c r="E683" s="74"/>
      <c r="F683" s="5"/>
      <c r="G683" s="5"/>
      <c r="H683" s="5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2"/>
      <c r="D684" s="74"/>
      <c r="E684" s="74"/>
      <c r="F684" s="5"/>
      <c r="G684" s="5"/>
      <c r="H684" s="5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2"/>
      <c r="D685" s="74"/>
      <c r="E685" s="74"/>
      <c r="F685" s="5"/>
      <c r="G685" s="5"/>
      <c r="H685" s="5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2"/>
      <c r="D686" s="74"/>
      <c r="E686" s="74"/>
      <c r="F686" s="5"/>
      <c r="G686" s="5"/>
      <c r="H686" s="5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2"/>
      <c r="D687" s="74"/>
      <c r="E687" s="74"/>
      <c r="F687" s="5"/>
      <c r="G687" s="5"/>
      <c r="H687" s="5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2"/>
      <c r="D688" s="74"/>
      <c r="E688" s="74"/>
      <c r="F688" s="5"/>
      <c r="G688" s="5"/>
      <c r="H688" s="5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2"/>
      <c r="D689" s="74"/>
      <c r="E689" s="74"/>
      <c r="F689" s="5"/>
      <c r="G689" s="5"/>
      <c r="H689" s="5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2"/>
      <c r="D690" s="74"/>
      <c r="E690" s="74"/>
      <c r="F690" s="5"/>
      <c r="G690" s="5"/>
      <c r="H690" s="5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2"/>
      <c r="D691" s="74"/>
      <c r="E691" s="74"/>
      <c r="F691" s="5"/>
      <c r="G691" s="5"/>
      <c r="H691" s="5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2"/>
      <c r="D692" s="74"/>
      <c r="E692" s="74"/>
      <c r="F692" s="5"/>
      <c r="G692" s="5"/>
      <c r="H692" s="5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2"/>
      <c r="D693" s="74"/>
      <c r="E693" s="74"/>
      <c r="F693" s="5"/>
      <c r="G693" s="5"/>
      <c r="H693" s="5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2"/>
      <c r="D694" s="74"/>
      <c r="E694" s="74"/>
      <c r="F694" s="5"/>
      <c r="G694" s="5"/>
      <c r="H694" s="5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2"/>
      <c r="D695" s="74"/>
      <c r="E695" s="74"/>
      <c r="F695" s="5"/>
      <c r="G695" s="5"/>
      <c r="H695" s="5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2"/>
      <c r="D696" s="74"/>
      <c r="E696" s="74"/>
      <c r="F696" s="5"/>
      <c r="G696" s="5"/>
      <c r="H696" s="5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2"/>
      <c r="D697" s="74"/>
      <c r="E697" s="74"/>
      <c r="F697" s="5"/>
      <c r="G697" s="5"/>
      <c r="H697" s="5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2"/>
      <c r="D698" s="74"/>
      <c r="E698" s="74"/>
      <c r="F698" s="5"/>
      <c r="G698" s="5"/>
      <c r="H698" s="5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2"/>
      <c r="D699" s="74"/>
      <c r="E699" s="74"/>
      <c r="F699" s="5"/>
      <c r="G699" s="5"/>
      <c r="H699" s="5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2"/>
      <c r="D700" s="74"/>
      <c r="E700" s="74"/>
      <c r="F700" s="5"/>
      <c r="G700" s="5"/>
      <c r="H700" s="5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2"/>
      <c r="D701" s="74"/>
      <c r="E701" s="74"/>
      <c r="F701" s="5"/>
      <c r="G701" s="5"/>
      <c r="H701" s="5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2"/>
      <c r="D702" s="74"/>
      <c r="E702" s="74"/>
      <c r="F702" s="5"/>
      <c r="G702" s="5"/>
      <c r="H702" s="5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2"/>
      <c r="D703" s="74"/>
      <c r="E703" s="74"/>
      <c r="F703" s="5"/>
      <c r="G703" s="5"/>
      <c r="H703" s="5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2"/>
      <c r="D704" s="74"/>
      <c r="E704" s="74"/>
      <c r="F704" s="5"/>
      <c r="G704" s="5"/>
      <c r="H704" s="5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2"/>
      <c r="D705" s="74"/>
      <c r="E705" s="74"/>
      <c r="F705" s="5"/>
      <c r="G705" s="5"/>
      <c r="H705" s="5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2"/>
      <c r="D706" s="74"/>
      <c r="E706" s="74"/>
      <c r="F706" s="5"/>
      <c r="G706" s="5"/>
      <c r="H706" s="5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2"/>
      <c r="D707" s="74"/>
      <c r="E707" s="74"/>
      <c r="F707" s="5"/>
      <c r="G707" s="5"/>
      <c r="H707" s="5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2"/>
      <c r="D708" s="74"/>
      <c r="E708" s="74"/>
      <c r="F708" s="5"/>
      <c r="G708" s="5"/>
      <c r="H708" s="5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2"/>
      <c r="D709" s="74"/>
      <c r="E709" s="74"/>
      <c r="F709" s="5"/>
      <c r="G709" s="5"/>
      <c r="H709" s="5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2"/>
      <c r="D710" s="74"/>
      <c r="E710" s="74"/>
      <c r="F710" s="5"/>
      <c r="G710" s="5"/>
      <c r="H710" s="5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2"/>
      <c r="D711" s="74"/>
      <c r="E711" s="74"/>
      <c r="F711" s="5"/>
      <c r="G711" s="5"/>
      <c r="H711" s="5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2"/>
      <c r="D712" s="74"/>
      <c r="E712" s="74"/>
      <c r="F712" s="5"/>
      <c r="G712" s="5"/>
      <c r="H712" s="5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2"/>
      <c r="D713" s="74"/>
      <c r="E713" s="74"/>
      <c r="F713" s="5"/>
      <c r="G713" s="5"/>
      <c r="H713" s="5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2"/>
      <c r="D714" s="74"/>
      <c r="E714" s="74"/>
      <c r="F714" s="5"/>
      <c r="G714" s="5"/>
      <c r="H714" s="5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2"/>
      <c r="D715" s="74"/>
      <c r="E715" s="74"/>
      <c r="F715" s="5"/>
      <c r="G715" s="5"/>
      <c r="H715" s="5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2"/>
      <c r="D716" s="74"/>
      <c r="E716" s="74"/>
      <c r="F716" s="5"/>
      <c r="G716" s="5"/>
      <c r="H716" s="5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2"/>
      <c r="D717" s="74"/>
      <c r="E717" s="74"/>
      <c r="F717" s="5"/>
      <c r="G717" s="5"/>
      <c r="H717" s="5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2"/>
      <c r="D718" s="74"/>
      <c r="E718" s="74"/>
      <c r="F718" s="5"/>
      <c r="G718" s="5"/>
      <c r="H718" s="5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2"/>
      <c r="D719" s="74"/>
      <c r="E719" s="74"/>
      <c r="F719" s="5"/>
      <c r="G719" s="5"/>
      <c r="H719" s="5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2"/>
      <c r="D720" s="74"/>
      <c r="E720" s="74"/>
      <c r="F720" s="5"/>
      <c r="G720" s="5"/>
      <c r="H720" s="5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2"/>
      <c r="D721" s="74"/>
      <c r="E721" s="74"/>
      <c r="F721" s="5"/>
      <c r="G721" s="5"/>
      <c r="H721" s="5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2"/>
      <c r="D722" s="74"/>
      <c r="E722" s="74"/>
      <c r="F722" s="5"/>
      <c r="G722" s="5"/>
      <c r="H722" s="5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2"/>
      <c r="D723" s="74"/>
      <c r="E723" s="74"/>
      <c r="F723" s="5"/>
      <c r="G723" s="5"/>
      <c r="H723" s="5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2"/>
      <c r="D724" s="74"/>
      <c r="E724" s="74"/>
      <c r="F724" s="5"/>
      <c r="G724" s="5"/>
      <c r="H724" s="5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2"/>
      <c r="D725" s="74"/>
      <c r="E725" s="74"/>
      <c r="F725" s="5"/>
      <c r="G725" s="5"/>
      <c r="H725" s="5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2"/>
      <c r="D726" s="74"/>
      <c r="E726" s="74"/>
      <c r="F726" s="5"/>
      <c r="G726" s="5"/>
      <c r="H726" s="5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2"/>
      <c r="D727" s="74"/>
      <c r="E727" s="74"/>
      <c r="F727" s="5"/>
      <c r="G727" s="5"/>
      <c r="H727" s="5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2"/>
      <c r="D728" s="74"/>
      <c r="E728" s="74"/>
      <c r="F728" s="5"/>
      <c r="G728" s="5"/>
      <c r="H728" s="5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2"/>
      <c r="D729" s="74"/>
      <c r="E729" s="74"/>
      <c r="F729" s="5"/>
      <c r="G729" s="5"/>
      <c r="H729" s="5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2"/>
      <c r="D730" s="74"/>
      <c r="E730" s="74"/>
      <c r="F730" s="5"/>
      <c r="G730" s="5"/>
      <c r="H730" s="5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2"/>
      <c r="D731" s="74"/>
      <c r="E731" s="74"/>
      <c r="F731" s="5"/>
      <c r="G731" s="5"/>
      <c r="H731" s="5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2"/>
      <c r="D732" s="74"/>
      <c r="E732" s="74"/>
      <c r="F732" s="5"/>
      <c r="G732" s="5"/>
      <c r="H732" s="5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2"/>
      <c r="D733" s="74"/>
      <c r="E733" s="74"/>
      <c r="F733" s="5"/>
      <c r="G733" s="5"/>
      <c r="H733" s="5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2"/>
      <c r="D734" s="74"/>
      <c r="E734" s="74"/>
      <c r="F734" s="5"/>
      <c r="G734" s="5"/>
      <c r="H734" s="5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2"/>
      <c r="D735" s="74"/>
      <c r="E735" s="74"/>
      <c r="F735" s="5"/>
      <c r="G735" s="5"/>
      <c r="H735" s="5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2"/>
      <c r="D736" s="74"/>
      <c r="E736" s="74"/>
      <c r="F736" s="5"/>
      <c r="G736" s="5"/>
      <c r="H736" s="5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2"/>
      <c r="D737" s="74"/>
      <c r="E737" s="74"/>
      <c r="F737" s="5"/>
      <c r="G737" s="5"/>
      <c r="H737" s="5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2"/>
      <c r="D738" s="74"/>
      <c r="E738" s="74"/>
      <c r="F738" s="5"/>
      <c r="G738" s="5"/>
      <c r="H738" s="5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2"/>
      <c r="D739" s="74"/>
      <c r="E739" s="74"/>
      <c r="F739" s="5"/>
      <c r="G739" s="5"/>
      <c r="H739" s="5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2"/>
      <c r="D740" s="74"/>
      <c r="E740" s="74"/>
      <c r="F740" s="5"/>
      <c r="G740" s="5"/>
      <c r="H740" s="5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2"/>
      <c r="D741" s="74"/>
      <c r="E741" s="74"/>
      <c r="F741" s="5"/>
      <c r="G741" s="5"/>
      <c r="H741" s="5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2"/>
      <c r="D742" s="74"/>
      <c r="E742" s="74"/>
      <c r="F742" s="5"/>
      <c r="G742" s="5"/>
      <c r="H742" s="5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2"/>
      <c r="D743" s="74"/>
      <c r="E743" s="74"/>
      <c r="F743" s="5"/>
      <c r="G743" s="5"/>
      <c r="H743" s="5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2"/>
      <c r="D744" s="74"/>
      <c r="E744" s="74"/>
      <c r="F744" s="5"/>
      <c r="G744" s="5"/>
      <c r="H744" s="5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2"/>
      <c r="D745" s="74"/>
      <c r="E745" s="74"/>
      <c r="F745" s="5"/>
      <c r="G745" s="5"/>
      <c r="H745" s="5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2"/>
      <c r="D746" s="74"/>
      <c r="E746" s="74"/>
      <c r="F746" s="5"/>
      <c r="G746" s="5"/>
      <c r="H746" s="5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2"/>
      <c r="D747" s="74"/>
      <c r="E747" s="74"/>
      <c r="F747" s="5"/>
      <c r="G747" s="5"/>
      <c r="H747" s="5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2"/>
      <c r="D748" s="74"/>
      <c r="E748" s="74"/>
      <c r="F748" s="5"/>
      <c r="G748" s="5"/>
      <c r="H748" s="5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2"/>
      <c r="D749" s="74"/>
      <c r="E749" s="74"/>
      <c r="F749" s="5"/>
      <c r="G749" s="5"/>
      <c r="H749" s="5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2"/>
      <c r="D750" s="74"/>
      <c r="E750" s="74"/>
      <c r="F750" s="5"/>
      <c r="G750" s="5"/>
      <c r="H750" s="5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2"/>
      <c r="D751" s="74"/>
      <c r="E751" s="74"/>
      <c r="F751" s="5"/>
      <c r="G751" s="5"/>
      <c r="H751" s="5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2"/>
      <c r="D752" s="74"/>
      <c r="E752" s="74"/>
      <c r="F752" s="5"/>
      <c r="G752" s="5"/>
      <c r="H752" s="5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2"/>
      <c r="D753" s="74"/>
      <c r="E753" s="74"/>
      <c r="F753" s="5"/>
      <c r="G753" s="5"/>
      <c r="H753" s="5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2"/>
      <c r="D754" s="74"/>
      <c r="E754" s="74"/>
      <c r="F754" s="5"/>
      <c r="G754" s="5"/>
      <c r="H754" s="5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2"/>
      <c r="D755" s="74"/>
      <c r="E755" s="74"/>
      <c r="F755" s="5"/>
      <c r="G755" s="5"/>
      <c r="H755" s="5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2"/>
      <c r="D756" s="74"/>
      <c r="E756" s="74"/>
      <c r="F756" s="5"/>
      <c r="G756" s="5"/>
      <c r="H756" s="5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2"/>
      <c r="D757" s="74"/>
      <c r="E757" s="74"/>
      <c r="F757" s="5"/>
      <c r="G757" s="5"/>
      <c r="H757" s="5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2"/>
      <c r="D758" s="74"/>
      <c r="E758" s="74"/>
      <c r="F758" s="5"/>
      <c r="G758" s="5"/>
      <c r="H758" s="5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2"/>
      <c r="D759" s="74"/>
      <c r="E759" s="74"/>
      <c r="F759" s="5"/>
      <c r="G759" s="5"/>
      <c r="H759" s="5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2"/>
      <c r="D760" s="74"/>
      <c r="E760" s="74"/>
      <c r="F760" s="5"/>
      <c r="G760" s="5"/>
      <c r="H760" s="5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2"/>
      <c r="D761" s="74"/>
      <c r="E761" s="74"/>
      <c r="F761" s="5"/>
      <c r="G761" s="5"/>
      <c r="H761" s="5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2"/>
      <c r="D762" s="74"/>
      <c r="E762" s="74"/>
      <c r="F762" s="5"/>
      <c r="G762" s="5"/>
      <c r="H762" s="5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2"/>
      <c r="D763" s="74"/>
      <c r="E763" s="74"/>
      <c r="F763" s="5"/>
      <c r="G763" s="5"/>
      <c r="H763" s="5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2"/>
      <c r="D764" s="74"/>
      <c r="E764" s="74"/>
      <c r="F764" s="5"/>
      <c r="G764" s="5"/>
      <c r="H764" s="5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2"/>
      <c r="D765" s="74"/>
      <c r="E765" s="74"/>
      <c r="F765" s="5"/>
      <c r="G765" s="5"/>
      <c r="H765" s="5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2"/>
      <c r="D766" s="74"/>
      <c r="E766" s="74"/>
      <c r="F766" s="5"/>
      <c r="G766" s="5"/>
      <c r="H766" s="5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2"/>
      <c r="D767" s="74"/>
      <c r="E767" s="74"/>
      <c r="F767" s="5"/>
      <c r="G767" s="5"/>
      <c r="H767" s="5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2"/>
      <c r="D768" s="74"/>
      <c r="E768" s="74"/>
      <c r="F768" s="5"/>
      <c r="G768" s="5"/>
      <c r="H768" s="5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2"/>
      <c r="D769" s="74"/>
      <c r="E769" s="74"/>
      <c r="F769" s="5"/>
      <c r="G769" s="5"/>
      <c r="H769" s="5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2"/>
      <c r="D770" s="74"/>
      <c r="E770" s="74"/>
      <c r="F770" s="5"/>
      <c r="G770" s="5"/>
      <c r="H770" s="5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2"/>
      <c r="D771" s="74"/>
      <c r="E771" s="74"/>
      <c r="F771" s="5"/>
      <c r="G771" s="5"/>
      <c r="H771" s="5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2"/>
      <c r="D772" s="74"/>
      <c r="E772" s="74"/>
      <c r="F772" s="5"/>
      <c r="G772" s="5"/>
      <c r="H772" s="5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2"/>
      <c r="D773" s="74"/>
      <c r="E773" s="74"/>
      <c r="F773" s="5"/>
      <c r="G773" s="5"/>
      <c r="H773" s="5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2"/>
      <c r="D774" s="74"/>
      <c r="E774" s="74"/>
      <c r="F774" s="5"/>
      <c r="G774" s="5"/>
      <c r="H774" s="5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2"/>
      <c r="D775" s="74"/>
      <c r="E775" s="74"/>
      <c r="F775" s="5"/>
      <c r="G775" s="5"/>
      <c r="H775" s="5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2"/>
      <c r="D776" s="74"/>
      <c r="E776" s="74"/>
      <c r="F776" s="5"/>
      <c r="G776" s="5"/>
      <c r="H776" s="5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2"/>
      <c r="D777" s="74"/>
      <c r="E777" s="74"/>
      <c r="F777" s="5"/>
      <c r="G777" s="5"/>
      <c r="H777" s="5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2"/>
      <c r="D778" s="74"/>
      <c r="E778" s="74"/>
      <c r="F778" s="5"/>
      <c r="G778" s="5"/>
      <c r="H778" s="5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2"/>
      <c r="D779" s="74"/>
      <c r="E779" s="74"/>
      <c r="F779" s="5"/>
      <c r="G779" s="5"/>
      <c r="H779" s="5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2"/>
      <c r="D780" s="74"/>
      <c r="E780" s="74"/>
      <c r="F780" s="5"/>
      <c r="G780" s="5"/>
      <c r="H780" s="5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2"/>
      <c r="D781" s="74"/>
      <c r="E781" s="74"/>
      <c r="F781" s="5"/>
      <c r="G781" s="5"/>
      <c r="H781" s="5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2"/>
      <c r="D782" s="74"/>
      <c r="E782" s="74"/>
      <c r="F782" s="5"/>
      <c r="G782" s="5"/>
      <c r="H782" s="5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2"/>
      <c r="D783" s="74"/>
      <c r="E783" s="74"/>
      <c r="F783" s="5"/>
      <c r="G783" s="5"/>
      <c r="H783" s="5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2"/>
      <c r="D784" s="74"/>
      <c r="E784" s="74"/>
      <c r="F784" s="5"/>
      <c r="G784" s="5"/>
      <c r="H784" s="5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2"/>
      <c r="D785" s="74"/>
      <c r="E785" s="74"/>
      <c r="F785" s="5"/>
      <c r="G785" s="5"/>
      <c r="H785" s="5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2"/>
      <c r="D786" s="74"/>
      <c r="E786" s="74"/>
      <c r="F786" s="5"/>
      <c r="G786" s="5"/>
      <c r="H786" s="5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2"/>
      <c r="D787" s="74"/>
      <c r="E787" s="74"/>
      <c r="F787" s="5"/>
      <c r="G787" s="5"/>
      <c r="H787" s="5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2"/>
      <c r="D788" s="74"/>
      <c r="E788" s="74"/>
      <c r="F788" s="5"/>
      <c r="G788" s="5"/>
      <c r="H788" s="5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2"/>
      <c r="D789" s="74"/>
      <c r="E789" s="74"/>
      <c r="F789" s="5"/>
      <c r="G789" s="5"/>
      <c r="H789" s="5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2"/>
      <c r="D790" s="74"/>
      <c r="E790" s="74"/>
      <c r="F790" s="5"/>
      <c r="G790" s="5"/>
      <c r="H790" s="5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2"/>
      <c r="D791" s="74"/>
      <c r="E791" s="74"/>
      <c r="F791" s="5"/>
      <c r="G791" s="5"/>
      <c r="H791" s="5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2"/>
      <c r="D792" s="74"/>
      <c r="E792" s="74"/>
      <c r="F792" s="5"/>
      <c r="G792" s="5"/>
      <c r="H792" s="5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2"/>
      <c r="D793" s="74"/>
      <c r="E793" s="74"/>
      <c r="F793" s="5"/>
      <c r="G793" s="5"/>
      <c r="H793" s="5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2"/>
      <c r="D794" s="74"/>
      <c r="E794" s="74"/>
      <c r="F794" s="5"/>
      <c r="G794" s="5"/>
      <c r="H794" s="5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2"/>
      <c r="D795" s="74"/>
      <c r="E795" s="74"/>
      <c r="F795" s="5"/>
      <c r="G795" s="5"/>
      <c r="H795" s="5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2"/>
      <c r="D796" s="74"/>
      <c r="E796" s="74"/>
      <c r="F796" s="5"/>
      <c r="G796" s="5"/>
      <c r="H796" s="5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2"/>
      <c r="D797" s="74"/>
      <c r="E797" s="74"/>
      <c r="F797" s="5"/>
      <c r="G797" s="5"/>
      <c r="H797" s="5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2"/>
      <c r="D798" s="74"/>
      <c r="E798" s="74"/>
      <c r="F798" s="5"/>
      <c r="G798" s="5"/>
      <c r="H798" s="5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2"/>
      <c r="D799" s="74"/>
      <c r="E799" s="74"/>
      <c r="F799" s="5"/>
      <c r="G799" s="5"/>
      <c r="H799" s="5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2"/>
      <c r="D800" s="74"/>
      <c r="E800" s="74"/>
      <c r="F800" s="5"/>
      <c r="G800" s="5"/>
      <c r="H800" s="5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2"/>
      <c r="D801" s="74"/>
      <c r="E801" s="74"/>
      <c r="F801" s="5"/>
      <c r="G801" s="5"/>
      <c r="H801" s="5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2"/>
      <c r="D802" s="74"/>
      <c r="E802" s="74"/>
      <c r="F802" s="5"/>
      <c r="G802" s="5"/>
      <c r="H802" s="5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2"/>
      <c r="D803" s="74"/>
      <c r="E803" s="74"/>
      <c r="F803" s="5"/>
      <c r="G803" s="5"/>
      <c r="H803" s="5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2"/>
      <c r="D804" s="74"/>
      <c r="E804" s="74"/>
      <c r="F804" s="5"/>
      <c r="G804" s="5"/>
      <c r="H804" s="5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2"/>
      <c r="D805" s="74"/>
      <c r="E805" s="74"/>
      <c r="F805" s="5"/>
      <c r="G805" s="5"/>
      <c r="H805" s="5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2"/>
      <c r="D806" s="74"/>
      <c r="E806" s="74"/>
      <c r="F806" s="5"/>
      <c r="G806" s="5"/>
      <c r="H806" s="5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2"/>
      <c r="D807" s="74"/>
      <c r="E807" s="74"/>
      <c r="F807" s="5"/>
      <c r="G807" s="5"/>
      <c r="H807" s="5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2"/>
      <c r="D808" s="74"/>
      <c r="E808" s="74"/>
      <c r="F808" s="5"/>
      <c r="G808" s="5"/>
      <c r="H808" s="5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2"/>
      <c r="D809" s="74"/>
      <c r="E809" s="74"/>
      <c r="F809" s="5"/>
      <c r="G809" s="5"/>
      <c r="H809" s="5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2"/>
      <c r="D810" s="74"/>
      <c r="E810" s="74"/>
      <c r="F810" s="5"/>
      <c r="G810" s="5"/>
      <c r="H810" s="5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2"/>
      <c r="D811" s="74"/>
      <c r="E811" s="74"/>
      <c r="F811" s="5"/>
      <c r="G811" s="5"/>
      <c r="H811" s="5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2"/>
      <c r="D812" s="74"/>
      <c r="E812" s="74"/>
      <c r="F812" s="5"/>
      <c r="G812" s="5"/>
      <c r="H812" s="5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2"/>
      <c r="D813" s="74"/>
      <c r="E813" s="74"/>
      <c r="F813" s="5"/>
      <c r="G813" s="5"/>
      <c r="H813" s="5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2"/>
      <c r="D814" s="74"/>
      <c r="E814" s="74"/>
      <c r="F814" s="5"/>
      <c r="G814" s="5"/>
      <c r="H814" s="5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2"/>
      <c r="D815" s="74"/>
      <c r="E815" s="74"/>
      <c r="F815" s="5"/>
      <c r="G815" s="5"/>
      <c r="H815" s="5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2"/>
      <c r="D816" s="74"/>
      <c r="E816" s="74"/>
      <c r="F816" s="5"/>
      <c r="G816" s="5"/>
      <c r="H816" s="5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2"/>
      <c r="D817" s="74"/>
      <c r="E817" s="74"/>
      <c r="F817" s="5"/>
      <c r="G817" s="5"/>
      <c r="H817" s="5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2"/>
      <c r="D818" s="74"/>
      <c r="E818" s="74"/>
      <c r="F818" s="5"/>
      <c r="G818" s="5"/>
      <c r="H818" s="5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2"/>
      <c r="D819" s="74"/>
      <c r="E819" s="74"/>
      <c r="F819" s="5"/>
      <c r="G819" s="5"/>
      <c r="H819" s="5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2"/>
      <c r="D820" s="74"/>
      <c r="E820" s="74"/>
      <c r="F820" s="5"/>
      <c r="G820" s="5"/>
      <c r="H820" s="5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2"/>
      <c r="D821" s="74"/>
      <c r="E821" s="74"/>
      <c r="F821" s="5"/>
      <c r="G821" s="5"/>
      <c r="H821" s="5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2"/>
      <c r="D822" s="74"/>
      <c r="E822" s="74"/>
      <c r="F822" s="5"/>
      <c r="G822" s="5"/>
      <c r="H822" s="5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2"/>
      <c r="D823" s="74"/>
      <c r="E823" s="74"/>
      <c r="F823" s="5"/>
      <c r="G823" s="5"/>
      <c r="H823" s="5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2"/>
      <c r="D824" s="74"/>
      <c r="E824" s="74"/>
      <c r="F824" s="5"/>
      <c r="G824" s="5"/>
      <c r="H824" s="5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2"/>
      <c r="D825" s="74"/>
      <c r="E825" s="74"/>
      <c r="F825" s="5"/>
      <c r="G825" s="5"/>
      <c r="H825" s="5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2"/>
      <c r="D826" s="74"/>
      <c r="E826" s="74"/>
      <c r="F826" s="5"/>
      <c r="G826" s="5"/>
      <c r="H826" s="5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2"/>
      <c r="D827" s="74"/>
      <c r="E827" s="74"/>
      <c r="F827" s="5"/>
      <c r="G827" s="5"/>
      <c r="H827" s="5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2"/>
      <c r="D828" s="74"/>
      <c r="E828" s="74"/>
      <c r="F828" s="5"/>
      <c r="G828" s="5"/>
      <c r="H828" s="5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2"/>
      <c r="D829" s="74"/>
      <c r="E829" s="74"/>
      <c r="F829" s="5"/>
      <c r="G829" s="5"/>
      <c r="H829" s="5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2"/>
      <c r="D830" s="74"/>
      <c r="E830" s="74"/>
      <c r="F830" s="5"/>
      <c r="G830" s="5"/>
      <c r="H830" s="5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2"/>
      <c r="D831" s="74"/>
      <c r="E831" s="74"/>
      <c r="F831" s="5"/>
      <c r="G831" s="5"/>
      <c r="H831" s="5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2"/>
      <c r="D832" s="74"/>
      <c r="E832" s="74"/>
      <c r="F832" s="5"/>
      <c r="G832" s="5"/>
      <c r="H832" s="5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2"/>
      <c r="D833" s="74"/>
      <c r="E833" s="74"/>
      <c r="F833" s="5"/>
      <c r="G833" s="5"/>
      <c r="H833" s="5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2"/>
      <c r="D834" s="74"/>
      <c r="E834" s="74"/>
      <c r="F834" s="5"/>
      <c r="G834" s="5"/>
      <c r="H834" s="5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2"/>
      <c r="D835" s="74"/>
      <c r="E835" s="74"/>
      <c r="F835" s="5"/>
      <c r="G835" s="5"/>
      <c r="H835" s="5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2"/>
      <c r="D836" s="74"/>
      <c r="E836" s="74"/>
      <c r="F836" s="5"/>
      <c r="G836" s="5"/>
      <c r="H836" s="5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2"/>
      <c r="D837" s="74"/>
      <c r="E837" s="74"/>
      <c r="F837" s="5"/>
      <c r="G837" s="5"/>
      <c r="H837" s="5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2"/>
      <c r="D838" s="74"/>
      <c r="E838" s="74"/>
      <c r="F838" s="5"/>
      <c r="G838" s="5"/>
      <c r="H838" s="5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2"/>
      <c r="D839" s="74"/>
      <c r="E839" s="74"/>
      <c r="F839" s="5"/>
      <c r="G839" s="5"/>
      <c r="H839" s="5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2"/>
      <c r="D840" s="74"/>
      <c r="E840" s="74"/>
      <c r="F840" s="5"/>
      <c r="G840" s="5"/>
      <c r="H840" s="5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2"/>
      <c r="D841" s="74"/>
      <c r="E841" s="74"/>
      <c r="F841" s="5"/>
      <c r="G841" s="5"/>
      <c r="H841" s="5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2"/>
      <c r="D842" s="74"/>
      <c r="E842" s="74"/>
      <c r="F842" s="5"/>
      <c r="G842" s="5"/>
      <c r="H842" s="5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2"/>
      <c r="D843" s="74"/>
      <c r="E843" s="74"/>
      <c r="F843" s="5"/>
      <c r="G843" s="5"/>
      <c r="H843" s="5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2"/>
      <c r="D844" s="74"/>
      <c r="E844" s="74"/>
      <c r="F844" s="5"/>
      <c r="G844" s="5"/>
      <c r="H844" s="5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2"/>
      <c r="D845" s="74"/>
      <c r="E845" s="74"/>
      <c r="F845" s="5"/>
      <c r="G845" s="5"/>
      <c r="H845" s="5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2"/>
      <c r="D846" s="74"/>
      <c r="E846" s="74"/>
      <c r="F846" s="5"/>
      <c r="G846" s="5"/>
      <c r="H846" s="5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2"/>
      <c r="D847" s="74"/>
      <c r="E847" s="74"/>
      <c r="F847" s="5"/>
      <c r="G847" s="5"/>
      <c r="H847" s="5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2"/>
      <c r="D848" s="74"/>
      <c r="E848" s="74"/>
      <c r="F848" s="5"/>
      <c r="G848" s="5"/>
      <c r="H848" s="5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2"/>
      <c r="D849" s="74"/>
      <c r="E849" s="74"/>
      <c r="F849" s="5"/>
      <c r="G849" s="5"/>
      <c r="H849" s="5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2"/>
      <c r="D850" s="74"/>
      <c r="E850" s="74"/>
      <c r="F850" s="5"/>
      <c r="G850" s="5"/>
      <c r="H850" s="5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2"/>
      <c r="D851" s="74"/>
      <c r="E851" s="74"/>
      <c r="F851" s="5"/>
      <c r="G851" s="5"/>
      <c r="H851" s="5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2"/>
      <c r="D852" s="74"/>
      <c r="E852" s="74"/>
      <c r="F852" s="5"/>
      <c r="G852" s="5"/>
      <c r="H852" s="5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2"/>
      <c r="D853" s="74"/>
      <c r="E853" s="74"/>
      <c r="F853" s="5"/>
      <c r="G853" s="5"/>
      <c r="H853" s="5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2"/>
      <c r="D854" s="74"/>
      <c r="E854" s="74"/>
      <c r="F854" s="5"/>
      <c r="G854" s="5"/>
      <c r="H854" s="5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2"/>
      <c r="D855" s="74"/>
      <c r="E855" s="74"/>
      <c r="F855" s="5"/>
      <c r="G855" s="5"/>
      <c r="H855" s="5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2"/>
      <c r="D856" s="74"/>
      <c r="E856" s="74"/>
      <c r="F856" s="5"/>
      <c r="G856" s="5"/>
      <c r="H856" s="5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2"/>
      <c r="D857" s="74"/>
      <c r="E857" s="74"/>
      <c r="F857" s="5"/>
      <c r="G857" s="5"/>
      <c r="H857" s="5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2"/>
      <c r="D858" s="74"/>
      <c r="E858" s="74"/>
      <c r="F858" s="5"/>
      <c r="G858" s="5"/>
      <c r="H858" s="5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2"/>
      <c r="D859" s="74"/>
      <c r="E859" s="74"/>
      <c r="F859" s="5"/>
      <c r="G859" s="5"/>
      <c r="H859" s="5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2"/>
      <c r="D860" s="74"/>
      <c r="E860" s="74"/>
      <c r="F860" s="5"/>
      <c r="G860" s="5"/>
      <c r="H860" s="5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2"/>
      <c r="D861" s="74"/>
      <c r="E861" s="74"/>
      <c r="F861" s="5"/>
      <c r="G861" s="5"/>
      <c r="H861" s="5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2"/>
      <c r="D862" s="74"/>
      <c r="E862" s="74"/>
      <c r="F862" s="5"/>
      <c r="G862" s="5"/>
      <c r="H862" s="5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2"/>
      <c r="D863" s="74"/>
      <c r="E863" s="74"/>
      <c r="F863" s="5"/>
      <c r="G863" s="5"/>
      <c r="H863" s="5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2"/>
      <c r="D864" s="74"/>
      <c r="E864" s="74"/>
      <c r="F864" s="5"/>
      <c r="G864" s="5"/>
      <c r="H864" s="5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2"/>
      <c r="D865" s="74"/>
      <c r="E865" s="74"/>
      <c r="F865" s="5"/>
      <c r="G865" s="5"/>
      <c r="H865" s="5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2"/>
      <c r="D866" s="74"/>
      <c r="E866" s="74"/>
      <c r="F866" s="5"/>
      <c r="G866" s="5"/>
      <c r="H866" s="5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2"/>
      <c r="D867" s="74"/>
      <c r="E867" s="74"/>
      <c r="F867" s="5"/>
      <c r="G867" s="5"/>
      <c r="H867" s="5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2"/>
      <c r="D868" s="74"/>
      <c r="E868" s="74"/>
      <c r="F868" s="5"/>
      <c r="G868" s="5"/>
      <c r="H868" s="5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2"/>
      <c r="D869" s="74"/>
      <c r="E869" s="74"/>
      <c r="F869" s="5"/>
      <c r="G869" s="5"/>
      <c r="H869" s="5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2"/>
      <c r="D870" s="74"/>
      <c r="E870" s="74"/>
      <c r="F870" s="5"/>
      <c r="G870" s="5"/>
      <c r="H870" s="5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2"/>
      <c r="D871" s="74"/>
      <c r="E871" s="74"/>
      <c r="F871" s="5"/>
      <c r="G871" s="5"/>
      <c r="H871" s="5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2"/>
      <c r="D872" s="74"/>
      <c r="E872" s="74"/>
      <c r="F872" s="5"/>
      <c r="G872" s="5"/>
      <c r="H872" s="5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2"/>
      <c r="D873" s="74"/>
      <c r="E873" s="74"/>
      <c r="F873" s="5"/>
      <c r="G873" s="5"/>
      <c r="H873" s="5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2"/>
      <c r="D874" s="74"/>
      <c r="E874" s="74"/>
      <c r="F874" s="5"/>
      <c r="G874" s="5"/>
      <c r="H874" s="5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2"/>
      <c r="D875" s="74"/>
      <c r="E875" s="74"/>
      <c r="F875" s="5"/>
      <c r="G875" s="5"/>
      <c r="H875" s="5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2"/>
      <c r="D876" s="74"/>
      <c r="E876" s="74"/>
      <c r="F876" s="5"/>
      <c r="G876" s="5"/>
      <c r="H876" s="5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2"/>
      <c r="D877" s="74"/>
      <c r="E877" s="74"/>
      <c r="F877" s="5"/>
      <c r="G877" s="5"/>
      <c r="H877" s="5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2"/>
      <c r="D878" s="74"/>
      <c r="E878" s="74"/>
      <c r="F878" s="5"/>
      <c r="G878" s="5"/>
      <c r="H878" s="5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2"/>
      <c r="D879" s="74"/>
      <c r="E879" s="74"/>
      <c r="F879" s="5"/>
      <c r="G879" s="5"/>
      <c r="H879" s="5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2"/>
      <c r="D880" s="74"/>
      <c r="E880" s="74"/>
      <c r="F880" s="5"/>
      <c r="G880" s="5"/>
      <c r="H880" s="5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2"/>
      <c r="D881" s="74"/>
      <c r="E881" s="74"/>
      <c r="F881" s="5"/>
      <c r="G881" s="5"/>
      <c r="H881" s="5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2"/>
      <c r="D882" s="74"/>
      <c r="E882" s="74"/>
      <c r="F882" s="5"/>
      <c r="G882" s="5"/>
      <c r="H882" s="5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2"/>
      <c r="D883" s="74"/>
      <c r="E883" s="74"/>
      <c r="F883" s="5"/>
      <c r="G883" s="5"/>
      <c r="H883" s="5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2"/>
      <c r="D884" s="74"/>
      <c r="E884" s="74"/>
      <c r="F884" s="5"/>
      <c r="G884" s="5"/>
      <c r="H884" s="5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2"/>
      <c r="D885" s="74"/>
      <c r="E885" s="74"/>
      <c r="F885" s="5"/>
      <c r="G885" s="5"/>
      <c r="H885" s="5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2"/>
      <c r="D886" s="74"/>
      <c r="E886" s="74"/>
      <c r="F886" s="5"/>
      <c r="G886" s="5"/>
      <c r="H886" s="5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2"/>
      <c r="D887" s="74"/>
      <c r="E887" s="74"/>
      <c r="F887" s="5"/>
      <c r="G887" s="5"/>
      <c r="H887" s="5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2"/>
      <c r="D888" s="74"/>
      <c r="E888" s="74"/>
      <c r="F888" s="5"/>
      <c r="G888" s="5"/>
      <c r="H888" s="5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2"/>
      <c r="D889" s="74"/>
      <c r="E889" s="74"/>
      <c r="F889" s="5"/>
      <c r="G889" s="5"/>
      <c r="H889" s="5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2"/>
      <c r="D890" s="74"/>
      <c r="E890" s="74"/>
      <c r="F890" s="5"/>
      <c r="G890" s="5"/>
      <c r="H890" s="5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2"/>
      <c r="D891" s="74"/>
      <c r="E891" s="74"/>
      <c r="F891" s="5"/>
      <c r="G891" s="5"/>
      <c r="H891" s="5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2"/>
      <c r="D892" s="74"/>
      <c r="E892" s="74"/>
      <c r="F892" s="5"/>
      <c r="G892" s="5"/>
      <c r="H892" s="5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2"/>
      <c r="D893" s="74"/>
      <c r="E893" s="74"/>
      <c r="F893" s="5"/>
      <c r="G893" s="5"/>
      <c r="H893" s="5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2"/>
      <c r="D894" s="74"/>
      <c r="E894" s="74"/>
      <c r="F894" s="5"/>
      <c r="G894" s="5"/>
      <c r="H894" s="5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2"/>
      <c r="D895" s="74"/>
      <c r="E895" s="74"/>
      <c r="F895" s="5"/>
      <c r="G895" s="5"/>
      <c r="H895" s="5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2"/>
      <c r="D896" s="74"/>
      <c r="E896" s="74"/>
      <c r="F896" s="5"/>
      <c r="G896" s="5"/>
      <c r="H896" s="5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2"/>
      <c r="D897" s="74"/>
      <c r="E897" s="74"/>
      <c r="F897" s="5"/>
      <c r="G897" s="5"/>
      <c r="H897" s="5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2"/>
      <c r="D898" s="74"/>
      <c r="E898" s="74"/>
      <c r="F898" s="5"/>
      <c r="G898" s="5"/>
      <c r="H898" s="5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2"/>
      <c r="D899" s="74"/>
      <c r="E899" s="74"/>
      <c r="F899" s="5"/>
      <c r="G899" s="5"/>
      <c r="H899" s="5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2"/>
      <c r="D900" s="74"/>
      <c r="E900" s="74"/>
      <c r="F900" s="5"/>
      <c r="G900" s="5"/>
      <c r="H900" s="5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2"/>
      <c r="D901" s="74"/>
      <c r="E901" s="74"/>
      <c r="F901" s="5"/>
      <c r="G901" s="5"/>
      <c r="H901" s="5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2"/>
      <c r="D902" s="74"/>
      <c r="E902" s="74"/>
      <c r="F902" s="5"/>
      <c r="G902" s="5"/>
      <c r="H902" s="5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2"/>
      <c r="D903" s="74"/>
      <c r="E903" s="74"/>
      <c r="F903" s="5"/>
      <c r="G903" s="5"/>
      <c r="H903" s="5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2"/>
      <c r="D904" s="74"/>
      <c r="E904" s="74"/>
      <c r="F904" s="5"/>
      <c r="G904" s="5"/>
      <c r="H904" s="5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2"/>
      <c r="D905" s="74"/>
      <c r="E905" s="74"/>
      <c r="F905" s="5"/>
      <c r="G905" s="5"/>
      <c r="H905" s="5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2"/>
      <c r="D906" s="74"/>
      <c r="E906" s="74"/>
      <c r="F906" s="5"/>
      <c r="G906" s="5"/>
      <c r="H906" s="5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2"/>
      <c r="D907" s="74"/>
      <c r="E907" s="74"/>
      <c r="F907" s="5"/>
      <c r="G907" s="5"/>
      <c r="H907" s="5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2"/>
      <c r="D908" s="74"/>
      <c r="E908" s="74"/>
      <c r="F908" s="5"/>
      <c r="G908" s="5"/>
      <c r="H908" s="5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2"/>
      <c r="D909" s="74"/>
      <c r="E909" s="74"/>
      <c r="F909" s="5"/>
      <c r="G909" s="5"/>
      <c r="H909" s="5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2"/>
      <c r="D910" s="74"/>
      <c r="E910" s="74"/>
      <c r="F910" s="5"/>
      <c r="G910" s="5"/>
      <c r="H910" s="5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2"/>
      <c r="D911" s="74"/>
      <c r="E911" s="74"/>
      <c r="F911" s="5"/>
      <c r="G911" s="5"/>
      <c r="H911" s="5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2"/>
      <c r="D912" s="74"/>
      <c r="E912" s="74"/>
      <c r="F912" s="5"/>
      <c r="G912" s="5"/>
      <c r="H912" s="5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2"/>
      <c r="D913" s="74"/>
      <c r="E913" s="74"/>
      <c r="F913" s="5"/>
      <c r="G913" s="5"/>
      <c r="H913" s="5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2"/>
      <c r="D914" s="74"/>
      <c r="E914" s="74"/>
      <c r="F914" s="5"/>
      <c r="G914" s="5"/>
      <c r="H914" s="5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2"/>
      <c r="D915" s="74"/>
      <c r="E915" s="74"/>
      <c r="F915" s="5"/>
      <c r="G915" s="5"/>
      <c r="H915" s="5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2"/>
      <c r="D916" s="74"/>
      <c r="E916" s="74"/>
      <c r="F916" s="5"/>
      <c r="G916" s="5"/>
      <c r="H916" s="5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2"/>
      <c r="D917" s="74"/>
      <c r="E917" s="74"/>
      <c r="F917" s="5"/>
      <c r="G917" s="5"/>
      <c r="H917" s="5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2"/>
      <c r="D918" s="74"/>
      <c r="E918" s="74"/>
      <c r="F918" s="5"/>
      <c r="G918" s="5"/>
      <c r="H918" s="5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2"/>
      <c r="D919" s="74"/>
      <c r="E919" s="74"/>
      <c r="F919" s="5"/>
      <c r="G919" s="5"/>
      <c r="H919" s="5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2"/>
      <c r="D920" s="74"/>
      <c r="E920" s="74"/>
      <c r="F920" s="5"/>
      <c r="G920" s="5"/>
      <c r="H920" s="5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2"/>
      <c r="D921" s="74"/>
      <c r="E921" s="74"/>
      <c r="F921" s="5"/>
      <c r="G921" s="5"/>
      <c r="H921" s="5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2"/>
      <c r="D922" s="74"/>
      <c r="E922" s="74"/>
      <c r="F922" s="5"/>
      <c r="G922" s="5"/>
      <c r="H922" s="5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2"/>
      <c r="D923" s="74"/>
      <c r="E923" s="74"/>
      <c r="F923" s="5"/>
      <c r="G923" s="5"/>
      <c r="H923" s="5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2"/>
      <c r="D924" s="74"/>
      <c r="E924" s="74"/>
      <c r="F924" s="5"/>
      <c r="G924" s="5"/>
      <c r="H924" s="5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2"/>
      <c r="D925" s="74"/>
      <c r="E925" s="74"/>
      <c r="F925" s="5"/>
      <c r="G925" s="5"/>
      <c r="H925" s="5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2"/>
      <c r="D926" s="74"/>
      <c r="E926" s="74"/>
      <c r="F926" s="5"/>
      <c r="G926" s="5"/>
      <c r="H926" s="5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2"/>
      <c r="D927" s="74"/>
      <c r="E927" s="74"/>
      <c r="F927" s="5"/>
      <c r="G927" s="5"/>
      <c r="H927" s="5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2"/>
      <c r="D928" s="74"/>
      <c r="E928" s="74"/>
      <c r="F928" s="5"/>
      <c r="G928" s="5"/>
      <c r="H928" s="5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2"/>
      <c r="D929" s="74"/>
      <c r="E929" s="74"/>
      <c r="F929" s="5"/>
      <c r="G929" s="5"/>
      <c r="H929" s="5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2"/>
      <c r="D930" s="74"/>
      <c r="E930" s="74"/>
      <c r="F930" s="5"/>
      <c r="G930" s="5"/>
      <c r="H930" s="5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2"/>
      <c r="D931" s="74"/>
      <c r="E931" s="74"/>
      <c r="F931" s="5"/>
      <c r="G931" s="5"/>
      <c r="H931" s="5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2"/>
      <c r="D932" s="74"/>
      <c r="E932" s="74"/>
      <c r="F932" s="5"/>
      <c r="G932" s="5"/>
      <c r="H932" s="5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2"/>
      <c r="D933" s="74"/>
      <c r="E933" s="74"/>
      <c r="F933" s="5"/>
      <c r="G933" s="5"/>
      <c r="H933" s="5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2"/>
      <c r="D934" s="74"/>
      <c r="E934" s="74"/>
      <c r="F934" s="5"/>
      <c r="G934" s="5"/>
      <c r="H934" s="5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2"/>
      <c r="D935" s="74"/>
      <c r="E935" s="74"/>
      <c r="F935" s="5"/>
      <c r="G935" s="5"/>
      <c r="H935" s="5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2"/>
      <c r="D936" s="74"/>
      <c r="E936" s="74"/>
      <c r="F936" s="5"/>
      <c r="G936" s="5"/>
      <c r="H936" s="5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2"/>
      <c r="D937" s="74"/>
      <c r="E937" s="74"/>
      <c r="F937" s="5"/>
      <c r="G937" s="5"/>
      <c r="H937" s="5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2"/>
      <c r="D938" s="74"/>
      <c r="E938" s="74"/>
      <c r="F938" s="5"/>
      <c r="G938" s="5"/>
      <c r="H938" s="5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2"/>
      <c r="D939" s="74"/>
      <c r="E939" s="74"/>
      <c r="F939" s="5"/>
      <c r="G939" s="5"/>
      <c r="H939" s="5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2"/>
      <c r="D940" s="74"/>
      <c r="E940" s="74"/>
      <c r="F940" s="5"/>
      <c r="G940" s="5"/>
      <c r="H940" s="5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2"/>
      <c r="D941" s="74"/>
      <c r="E941" s="74"/>
      <c r="F941" s="5"/>
      <c r="G941" s="5"/>
      <c r="H941" s="5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2"/>
      <c r="D942" s="74"/>
      <c r="E942" s="74"/>
      <c r="F942" s="5"/>
      <c r="G942" s="5"/>
      <c r="H942" s="5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2"/>
      <c r="D943" s="74"/>
      <c r="E943" s="74"/>
      <c r="F943" s="5"/>
      <c r="G943" s="5"/>
      <c r="H943" s="5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2"/>
      <c r="D944" s="74"/>
      <c r="E944" s="74"/>
      <c r="F944" s="5"/>
      <c r="G944" s="5"/>
      <c r="H944" s="5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2"/>
      <c r="D945" s="74"/>
      <c r="E945" s="74"/>
      <c r="F945" s="5"/>
      <c r="G945" s="5"/>
      <c r="H945" s="5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2"/>
      <c r="D946" s="74"/>
      <c r="E946" s="74"/>
      <c r="F946" s="5"/>
      <c r="G946" s="5"/>
      <c r="H946" s="5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2"/>
      <c r="D947" s="74"/>
      <c r="E947" s="74"/>
      <c r="F947" s="5"/>
      <c r="G947" s="5"/>
      <c r="H947" s="5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2"/>
      <c r="D948" s="74"/>
      <c r="E948" s="74"/>
      <c r="F948" s="5"/>
      <c r="G948" s="5"/>
      <c r="H948" s="5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2"/>
      <c r="D949" s="74"/>
      <c r="E949" s="74"/>
      <c r="F949" s="5"/>
      <c r="G949" s="5"/>
      <c r="H949" s="5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2"/>
      <c r="D950" s="74"/>
      <c r="E950" s="74"/>
      <c r="F950" s="5"/>
      <c r="G950" s="5"/>
      <c r="H950" s="5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2"/>
      <c r="D951" s="74"/>
      <c r="E951" s="74"/>
      <c r="F951" s="5"/>
      <c r="G951" s="5"/>
      <c r="H951" s="5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2"/>
      <c r="D952" s="74"/>
      <c r="E952" s="74"/>
      <c r="F952" s="5"/>
      <c r="G952" s="5"/>
      <c r="H952" s="5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2"/>
      <c r="D953" s="74"/>
      <c r="E953" s="74"/>
      <c r="F953" s="5"/>
      <c r="G953" s="5"/>
      <c r="H953" s="5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2"/>
      <c r="D954" s="74"/>
      <c r="E954" s="74"/>
      <c r="F954" s="5"/>
      <c r="G954" s="5"/>
      <c r="H954" s="5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2"/>
      <c r="D955" s="74"/>
      <c r="E955" s="74"/>
      <c r="F955" s="5"/>
      <c r="G955" s="5"/>
      <c r="H955" s="5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2"/>
      <c r="D956" s="74"/>
      <c r="E956" s="74"/>
      <c r="F956" s="5"/>
      <c r="G956" s="5"/>
      <c r="H956" s="5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2"/>
      <c r="D957" s="74"/>
      <c r="E957" s="74"/>
      <c r="F957" s="5"/>
      <c r="G957" s="5"/>
      <c r="H957" s="5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2"/>
      <c r="D958" s="74"/>
      <c r="E958" s="74"/>
      <c r="F958" s="5"/>
      <c r="G958" s="5"/>
      <c r="H958" s="5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2"/>
      <c r="D959" s="74"/>
      <c r="E959" s="74"/>
      <c r="F959" s="5"/>
      <c r="G959" s="5"/>
      <c r="H959" s="5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2"/>
      <c r="D960" s="74"/>
      <c r="E960" s="74"/>
      <c r="F960" s="5"/>
      <c r="G960" s="5"/>
      <c r="H960" s="5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2"/>
      <c r="D961" s="74"/>
      <c r="E961" s="74"/>
      <c r="F961" s="5"/>
      <c r="G961" s="5"/>
      <c r="H961" s="5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2"/>
      <c r="D962" s="74"/>
      <c r="E962" s="74"/>
      <c r="F962" s="5"/>
      <c r="G962" s="5"/>
      <c r="H962" s="5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2"/>
      <c r="D963" s="74"/>
      <c r="E963" s="74"/>
      <c r="F963" s="5"/>
      <c r="G963" s="5"/>
      <c r="H963" s="5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2"/>
      <c r="D964" s="74"/>
      <c r="E964" s="74"/>
      <c r="F964" s="5"/>
      <c r="G964" s="5"/>
      <c r="H964" s="5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2"/>
      <c r="D965" s="74"/>
      <c r="E965" s="74"/>
      <c r="F965" s="5"/>
      <c r="G965" s="5"/>
      <c r="H965" s="5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2"/>
      <c r="D966" s="74"/>
      <c r="E966" s="74"/>
      <c r="F966" s="5"/>
      <c r="G966" s="5"/>
      <c r="H966" s="5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2"/>
      <c r="D967" s="74"/>
      <c r="E967" s="74"/>
      <c r="F967" s="5"/>
      <c r="G967" s="5"/>
      <c r="H967" s="5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2"/>
      <c r="D968" s="74"/>
      <c r="E968" s="74"/>
      <c r="F968" s="5"/>
      <c r="G968" s="5"/>
      <c r="H968" s="5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2"/>
      <c r="D969" s="74"/>
      <c r="E969" s="74"/>
      <c r="F969" s="5"/>
      <c r="G969" s="5"/>
      <c r="H969" s="5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2"/>
      <c r="D970" s="74"/>
      <c r="E970" s="74"/>
      <c r="F970" s="5"/>
      <c r="G970" s="5"/>
      <c r="H970" s="5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2"/>
      <c r="D971" s="74"/>
      <c r="E971" s="74"/>
      <c r="F971" s="5"/>
      <c r="G971" s="5"/>
      <c r="H971" s="5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2"/>
      <c r="D972" s="74"/>
      <c r="E972" s="74"/>
      <c r="F972" s="5"/>
      <c r="G972" s="5"/>
      <c r="H972" s="5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2"/>
      <c r="D973" s="74"/>
      <c r="E973" s="74"/>
      <c r="F973" s="5"/>
      <c r="G973" s="5"/>
      <c r="H973" s="5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2"/>
      <c r="D974" s="74"/>
      <c r="E974" s="74"/>
      <c r="F974" s="5"/>
      <c r="G974" s="5"/>
      <c r="H974" s="5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2"/>
      <c r="D975" s="74"/>
      <c r="E975" s="74"/>
      <c r="F975" s="5"/>
      <c r="G975" s="5"/>
      <c r="H975" s="5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2"/>
      <c r="D976" s="74"/>
      <c r="E976" s="74"/>
      <c r="F976" s="5"/>
      <c r="G976" s="5"/>
      <c r="H976" s="5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2"/>
      <c r="D977" s="74"/>
      <c r="E977" s="74"/>
      <c r="F977" s="5"/>
      <c r="G977" s="5"/>
      <c r="H977" s="5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2"/>
      <c r="D978" s="74"/>
      <c r="E978" s="74"/>
      <c r="F978" s="5"/>
      <c r="G978" s="5"/>
      <c r="H978" s="5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2"/>
      <c r="D979" s="74"/>
      <c r="E979" s="74"/>
      <c r="F979" s="5"/>
      <c r="G979" s="5"/>
      <c r="H979" s="5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2"/>
      <c r="D980" s="74"/>
      <c r="E980" s="74"/>
      <c r="F980" s="5"/>
      <c r="G980" s="5"/>
      <c r="H980" s="5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2"/>
      <c r="D981" s="74"/>
      <c r="E981" s="74"/>
      <c r="F981" s="5"/>
      <c r="G981" s="5"/>
      <c r="H981" s="5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2"/>
      <c r="D982" s="74"/>
      <c r="E982" s="74"/>
      <c r="F982" s="5"/>
      <c r="G982" s="5"/>
      <c r="H982" s="5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2"/>
      <c r="D983" s="74"/>
      <c r="E983" s="74"/>
      <c r="F983" s="5"/>
      <c r="G983" s="5"/>
      <c r="H983" s="5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2"/>
      <c r="D984" s="74"/>
      <c r="E984" s="74"/>
      <c r="F984" s="5"/>
      <c r="G984" s="5"/>
      <c r="H984" s="5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2"/>
      <c r="D985" s="74"/>
      <c r="E985" s="74"/>
      <c r="F985" s="5"/>
      <c r="G985" s="5"/>
      <c r="H985" s="5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2"/>
      <c r="D986" s="74"/>
      <c r="E986" s="74"/>
      <c r="F986" s="5"/>
      <c r="G986" s="5"/>
      <c r="H986" s="5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2"/>
      <c r="D987" s="74"/>
      <c r="E987" s="74"/>
      <c r="F987" s="5"/>
      <c r="G987" s="5"/>
      <c r="H987" s="5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2"/>
      <c r="D988" s="74"/>
      <c r="E988" s="74"/>
      <c r="F988" s="5"/>
      <c r="G988" s="5"/>
      <c r="H988" s="5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2"/>
      <c r="D989" s="74"/>
      <c r="E989" s="74"/>
      <c r="F989" s="5"/>
      <c r="G989" s="5"/>
      <c r="H989" s="5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2"/>
      <c r="D990" s="74"/>
      <c r="E990" s="74"/>
      <c r="F990" s="5"/>
      <c r="G990" s="5"/>
      <c r="H990" s="5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2"/>
      <c r="D991" s="74"/>
      <c r="E991" s="74"/>
      <c r="F991" s="5"/>
      <c r="G991" s="5"/>
      <c r="H991" s="5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2"/>
      <c r="D992" s="74"/>
      <c r="E992" s="74"/>
      <c r="F992" s="5"/>
      <c r="G992" s="5"/>
      <c r="H992" s="5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2"/>
      <c r="D993" s="74"/>
      <c r="E993" s="74"/>
      <c r="F993" s="5"/>
      <c r="G993" s="5"/>
      <c r="H993" s="5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2"/>
      <c r="D994" s="74"/>
      <c r="E994" s="74"/>
      <c r="F994" s="5"/>
      <c r="G994" s="5"/>
      <c r="H994" s="5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2"/>
      <c r="D995" s="74"/>
      <c r="E995" s="74"/>
      <c r="F995" s="5"/>
      <c r="G995" s="5"/>
      <c r="H995" s="5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2"/>
      <c r="D996" s="74"/>
      <c r="E996" s="74"/>
      <c r="F996" s="5"/>
      <c r="G996" s="5"/>
      <c r="H996" s="5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2"/>
      <c r="D997" s="74"/>
      <c r="E997" s="74"/>
      <c r="F997" s="5"/>
      <c r="G997" s="5"/>
      <c r="H997" s="5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2"/>
      <c r="D998" s="74"/>
      <c r="E998" s="74"/>
      <c r="F998" s="5"/>
      <c r="G998" s="5"/>
      <c r="H998" s="5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2"/>
      <c r="D999" s="74"/>
      <c r="E999" s="74"/>
      <c r="F999" s="5"/>
      <c r="G999" s="5"/>
      <c r="H999" s="5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2"/>
      <c r="D1000" s="74"/>
      <c r="E1000" s="74"/>
      <c r="F1000" s="5"/>
      <c r="G1000" s="5"/>
      <c r="H1000" s="5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2"/>
      <c r="D1001" s="74"/>
      <c r="E1001" s="74"/>
      <c r="F1001" s="5"/>
      <c r="G1001" s="5"/>
      <c r="H1001" s="5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1"/>
      <c r="B1002" s="1"/>
      <c r="C1002" s="2"/>
      <c r="D1002" s="74"/>
      <c r="E1002" s="74"/>
      <c r="F1002" s="5"/>
      <c r="G1002" s="5"/>
      <c r="H1002" s="5"/>
      <c r="I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1"/>
      <c r="B1003" s="1"/>
      <c r="C1003" s="2"/>
      <c r="D1003" s="74"/>
      <c r="E1003" s="74"/>
      <c r="F1003" s="5"/>
      <c r="G1003" s="5"/>
      <c r="H1003" s="5"/>
      <c r="I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1"/>
      <c r="B1004" s="1"/>
      <c r="C1004" s="2"/>
      <c r="D1004" s="74"/>
      <c r="E1004" s="74"/>
      <c r="F1004" s="5"/>
      <c r="G1004" s="5"/>
      <c r="H1004" s="5"/>
      <c r="I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1"/>
      <c r="B1005" s="1"/>
      <c r="C1005" s="2"/>
      <c r="D1005" s="74"/>
      <c r="E1005" s="74"/>
      <c r="F1005" s="5"/>
      <c r="G1005" s="5"/>
      <c r="H1005" s="5"/>
      <c r="I1005" s="2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x14ac:dyDescent="0.2">
      <c r="A1006" s="1"/>
      <c r="B1006" s="1"/>
      <c r="C1006" s="2"/>
      <c r="D1006" s="74"/>
      <c r="E1006" s="74"/>
      <c r="F1006" s="5"/>
      <c r="G1006" s="5"/>
      <c r="H1006" s="5"/>
      <c r="I1006" s="2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x14ac:dyDescent="0.2">
      <c r="A1007" s="1"/>
      <c r="B1007" s="1"/>
      <c r="C1007" s="2"/>
      <c r="D1007" s="74"/>
      <c r="E1007" s="74"/>
      <c r="F1007" s="5"/>
      <c r="G1007" s="5"/>
      <c r="H1007" s="5"/>
      <c r="I1007" s="2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x14ac:dyDescent="0.2">
      <c r="A1008" s="1"/>
      <c r="B1008" s="1"/>
      <c r="C1008" s="2"/>
      <c r="D1008" s="74"/>
      <c r="E1008" s="74"/>
      <c r="F1008" s="5"/>
      <c r="G1008" s="5"/>
      <c r="H1008" s="5"/>
      <c r="I1008" s="2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x14ac:dyDescent="0.2">
      <c r="A1009" s="1"/>
      <c r="B1009" s="1"/>
      <c r="C1009" s="2"/>
      <c r="D1009" s="74"/>
      <c r="E1009" s="74"/>
      <c r="F1009" s="5"/>
      <c r="G1009" s="5"/>
      <c r="H1009" s="5"/>
      <c r="I1009" s="2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x14ac:dyDescent="0.2">
      <c r="A1010" s="1"/>
      <c r="B1010" s="1"/>
      <c r="C1010" s="2"/>
      <c r="D1010" s="74"/>
      <c r="E1010" s="74"/>
      <c r="F1010" s="5"/>
      <c r="G1010" s="5"/>
      <c r="H1010" s="5"/>
      <c r="I1010" s="2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x14ac:dyDescent="0.2">
      <c r="A1011" s="1"/>
      <c r="B1011" s="1"/>
      <c r="C1011" s="2"/>
      <c r="D1011" s="74"/>
      <c r="E1011" s="74"/>
      <c r="F1011" s="5"/>
      <c r="G1011" s="5"/>
      <c r="H1011" s="5"/>
      <c r="I1011" s="2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x14ac:dyDescent="0.2">
      <c r="A1012" s="1"/>
      <c r="B1012" s="1"/>
      <c r="C1012" s="2"/>
      <c r="D1012" s="74"/>
      <c r="E1012" s="74"/>
      <c r="F1012" s="5"/>
      <c r="G1012" s="5"/>
      <c r="H1012" s="5"/>
      <c r="I1012" s="2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x14ac:dyDescent="0.2">
      <c r="A1013" s="1"/>
      <c r="B1013" s="1"/>
      <c r="C1013" s="2"/>
      <c r="D1013" s="74"/>
      <c r="E1013" s="74"/>
      <c r="F1013" s="5"/>
      <c r="G1013" s="5"/>
      <c r="H1013" s="5"/>
      <c r="I1013" s="2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x14ac:dyDescent="0.2">
      <c r="A1014" s="1"/>
      <c r="B1014" s="1"/>
      <c r="C1014" s="2"/>
      <c r="D1014" s="74"/>
      <c r="E1014" s="74"/>
      <c r="F1014" s="5"/>
      <c r="G1014" s="5"/>
      <c r="H1014" s="5"/>
      <c r="I1014" s="2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x14ac:dyDescent="0.2">
      <c r="A1015" s="1"/>
      <c r="B1015" s="1"/>
      <c r="C1015" s="2"/>
      <c r="D1015" s="74"/>
      <c r="E1015" s="74"/>
      <c r="F1015" s="5"/>
      <c r="G1015" s="5"/>
      <c r="H1015" s="5"/>
      <c r="I1015" s="2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x14ac:dyDescent="0.2">
      <c r="A1016" s="1"/>
      <c r="B1016" s="1"/>
      <c r="C1016" s="2"/>
      <c r="D1016" s="74"/>
      <c r="E1016" s="74"/>
      <c r="F1016" s="5"/>
      <c r="G1016" s="5"/>
      <c r="H1016" s="5"/>
      <c r="I1016" s="2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x14ac:dyDescent="0.2">
      <c r="A1017" s="1"/>
      <c r="B1017" s="1"/>
      <c r="C1017" s="2"/>
      <c r="D1017" s="74"/>
      <c r="E1017" s="74"/>
      <c r="F1017" s="5"/>
      <c r="G1017" s="5"/>
      <c r="H1017" s="5"/>
      <c r="I1017" s="2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x14ac:dyDescent="0.2">
      <c r="A1018" s="1"/>
      <c r="B1018" s="1"/>
      <c r="C1018" s="2"/>
      <c r="D1018" s="74"/>
      <c r="E1018" s="74"/>
      <c r="F1018" s="5"/>
      <c r="G1018" s="5"/>
      <c r="H1018" s="5"/>
      <c r="I1018" s="2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 x14ac:dyDescent="0.2">
      <c r="A1019" s="1"/>
      <c r="B1019" s="1"/>
      <c r="C1019" s="2"/>
      <c r="D1019" s="74"/>
      <c r="E1019" s="74"/>
      <c r="F1019" s="5"/>
      <c r="G1019" s="5"/>
      <c r="H1019" s="5"/>
      <c r="I1019" s="2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75" x14ac:dyDescent="0.2">
      <c r="A1020" s="1"/>
      <c r="B1020" s="1"/>
      <c r="C1020" s="2"/>
      <c r="D1020" s="74"/>
      <c r="E1020" s="74"/>
      <c r="F1020" s="5"/>
      <c r="G1020" s="5"/>
      <c r="H1020" s="5"/>
      <c r="I1020" s="2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75" x14ac:dyDescent="0.2">
      <c r="A1021" s="1"/>
      <c r="B1021" s="1"/>
      <c r="C1021" s="2"/>
      <c r="D1021" s="74"/>
      <c r="E1021" s="74"/>
      <c r="F1021" s="5"/>
      <c r="G1021" s="5"/>
      <c r="H1021" s="5"/>
      <c r="I1021" s="2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75" x14ac:dyDescent="0.2">
      <c r="A1022" s="1"/>
      <c r="B1022" s="1"/>
      <c r="C1022" s="2"/>
      <c r="D1022" s="74"/>
      <c r="E1022" s="74"/>
      <c r="F1022" s="5"/>
      <c r="G1022" s="5"/>
      <c r="H1022" s="5"/>
      <c r="I1022" s="2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75" x14ac:dyDescent="0.2">
      <c r="A1023" s="1"/>
      <c r="B1023" s="1"/>
      <c r="C1023" s="2"/>
      <c r="D1023" s="74"/>
      <c r="E1023" s="74"/>
      <c r="F1023" s="5"/>
      <c r="G1023" s="5"/>
      <c r="H1023" s="5"/>
      <c r="I1023" s="2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75" x14ac:dyDescent="0.2">
      <c r="A1024" s="1"/>
      <c r="B1024" s="1"/>
      <c r="C1024" s="2"/>
      <c r="D1024" s="74"/>
      <c r="E1024" s="74"/>
      <c r="F1024" s="5"/>
      <c r="G1024" s="5"/>
      <c r="H1024" s="5"/>
      <c r="I1024" s="2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75" x14ac:dyDescent="0.2">
      <c r="A1025" s="1"/>
      <c r="B1025" s="1"/>
      <c r="C1025" s="2"/>
      <c r="D1025" s="74"/>
      <c r="E1025" s="74"/>
      <c r="F1025" s="5"/>
      <c r="G1025" s="5"/>
      <c r="H1025" s="5"/>
      <c r="I1025" s="2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75" x14ac:dyDescent="0.2">
      <c r="A1026" s="1"/>
      <c r="B1026" s="1"/>
      <c r="C1026" s="2"/>
      <c r="D1026" s="74"/>
      <c r="E1026" s="74"/>
      <c r="F1026" s="5"/>
      <c r="G1026" s="5"/>
      <c r="H1026" s="5"/>
      <c r="I1026" s="2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75" x14ac:dyDescent="0.2">
      <c r="A1027" s="1"/>
      <c r="B1027" s="1"/>
      <c r="C1027" s="2"/>
      <c r="D1027" s="74"/>
      <c r="E1027" s="74"/>
      <c r="F1027" s="5"/>
      <c r="G1027" s="5"/>
      <c r="H1027" s="5"/>
      <c r="I1027" s="2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75" x14ac:dyDescent="0.2">
      <c r="A1028" s="1"/>
      <c r="B1028" s="1"/>
      <c r="C1028" s="2"/>
      <c r="D1028" s="74"/>
      <c r="E1028" s="74"/>
      <c r="F1028" s="5"/>
      <c r="G1028" s="5"/>
      <c r="H1028" s="5"/>
      <c r="I1028" s="2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75" x14ac:dyDescent="0.2">
      <c r="A1029" s="1"/>
      <c r="B1029" s="1"/>
      <c r="C1029" s="2"/>
      <c r="D1029" s="74"/>
      <c r="E1029" s="74"/>
      <c r="F1029" s="5"/>
      <c r="G1029" s="5"/>
      <c r="H1029" s="5"/>
      <c r="I1029" s="2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75" x14ac:dyDescent="0.2">
      <c r="A1030" s="1"/>
      <c r="B1030" s="1"/>
      <c r="C1030" s="2"/>
      <c r="D1030" s="74"/>
      <c r="E1030" s="74"/>
      <c r="F1030" s="5"/>
      <c r="G1030" s="5"/>
      <c r="H1030" s="5"/>
      <c r="I1030" s="2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75" x14ac:dyDescent="0.2">
      <c r="A1031" s="1"/>
      <c r="B1031" s="1"/>
      <c r="C1031" s="2"/>
      <c r="D1031" s="74"/>
      <c r="E1031" s="74"/>
      <c r="F1031" s="5"/>
      <c r="G1031" s="5"/>
      <c r="H1031" s="5"/>
      <c r="I1031" s="2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75" x14ac:dyDescent="0.2">
      <c r="A1032" s="1"/>
      <c r="B1032" s="1"/>
      <c r="C1032" s="2"/>
      <c r="D1032" s="74"/>
      <c r="E1032" s="74"/>
      <c r="F1032" s="5"/>
      <c r="G1032" s="5"/>
      <c r="H1032" s="5"/>
      <c r="I1032" s="2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75" x14ac:dyDescent="0.2">
      <c r="A1033" s="1"/>
      <c r="B1033" s="1"/>
      <c r="C1033" s="2"/>
      <c r="D1033" s="74"/>
      <c r="E1033" s="74"/>
      <c r="F1033" s="5"/>
      <c r="G1033" s="5"/>
      <c r="H1033" s="5"/>
      <c r="I1033" s="2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75" x14ac:dyDescent="0.2">
      <c r="A1034" s="1"/>
      <c r="B1034" s="1"/>
      <c r="C1034" s="2"/>
      <c r="D1034" s="74"/>
      <c r="E1034" s="74"/>
      <c r="F1034" s="5"/>
      <c r="G1034" s="5"/>
      <c r="H1034" s="5"/>
      <c r="I1034" s="2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75" x14ac:dyDescent="0.2">
      <c r="A1035" s="1"/>
      <c r="B1035" s="1"/>
      <c r="C1035" s="2"/>
      <c r="D1035" s="74"/>
      <c r="E1035" s="74"/>
      <c r="F1035" s="5"/>
      <c r="G1035" s="5"/>
      <c r="H1035" s="5"/>
      <c r="I1035" s="2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75" x14ac:dyDescent="0.2">
      <c r="A1036" s="1"/>
      <c r="B1036" s="1"/>
      <c r="C1036" s="2"/>
      <c r="D1036" s="74"/>
      <c r="E1036" s="74"/>
      <c r="F1036" s="5"/>
      <c r="G1036" s="5"/>
      <c r="H1036" s="5"/>
      <c r="I1036" s="2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75" x14ac:dyDescent="0.2">
      <c r="A1037" s="1"/>
      <c r="B1037" s="1"/>
      <c r="C1037" s="2"/>
      <c r="D1037" s="74"/>
      <c r="E1037" s="74"/>
      <c r="F1037" s="5"/>
      <c r="G1037" s="5"/>
      <c r="H1037" s="5"/>
      <c r="I1037" s="2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75" x14ac:dyDescent="0.2">
      <c r="A1038" s="1"/>
      <c r="B1038" s="1"/>
      <c r="C1038" s="2"/>
      <c r="D1038" s="74"/>
      <c r="E1038" s="74"/>
      <c r="F1038" s="5"/>
      <c r="G1038" s="5"/>
      <c r="H1038" s="5"/>
      <c r="I1038" s="2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75" x14ac:dyDescent="0.2">
      <c r="A1039" s="1"/>
      <c r="B1039" s="1"/>
      <c r="C1039" s="2"/>
      <c r="D1039" s="74"/>
      <c r="E1039" s="74"/>
      <c r="F1039" s="5"/>
      <c r="G1039" s="5"/>
      <c r="H1039" s="5"/>
      <c r="I1039" s="2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75" x14ac:dyDescent="0.2">
      <c r="A1040" s="1"/>
      <c r="B1040" s="1"/>
      <c r="C1040" s="2"/>
      <c r="D1040" s="74"/>
      <c r="E1040" s="74"/>
      <c r="F1040" s="5"/>
      <c r="G1040" s="5"/>
      <c r="H1040" s="5"/>
      <c r="I1040" s="2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75" x14ac:dyDescent="0.2">
      <c r="A1041" s="1"/>
      <c r="B1041" s="1"/>
      <c r="C1041" s="2"/>
      <c r="D1041" s="74"/>
      <c r="E1041" s="74"/>
      <c r="F1041" s="5"/>
      <c r="G1041" s="5"/>
      <c r="H1041" s="5"/>
      <c r="I1041" s="2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75" x14ac:dyDescent="0.2">
      <c r="A1042" s="1"/>
      <c r="B1042" s="1"/>
      <c r="C1042" s="2"/>
      <c r="D1042" s="74"/>
      <c r="E1042" s="74"/>
      <c r="F1042" s="5"/>
      <c r="G1042" s="5"/>
      <c r="H1042" s="5"/>
      <c r="I1042" s="2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75" x14ac:dyDescent="0.2">
      <c r="A1043" s="1"/>
      <c r="B1043" s="1"/>
      <c r="C1043" s="2"/>
      <c r="D1043" s="74"/>
      <c r="E1043" s="74"/>
      <c r="F1043" s="5"/>
      <c r="G1043" s="5"/>
      <c r="H1043" s="5"/>
      <c r="I1043" s="2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75" x14ac:dyDescent="0.2">
      <c r="A1044" s="1"/>
      <c r="B1044" s="1"/>
      <c r="C1044" s="2"/>
      <c r="D1044" s="74"/>
      <c r="E1044" s="74"/>
      <c r="F1044" s="5"/>
      <c r="G1044" s="5"/>
      <c r="H1044" s="5"/>
      <c r="I1044" s="2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75" x14ac:dyDescent="0.2">
      <c r="A1045" s="1"/>
      <c r="B1045" s="1"/>
      <c r="C1045" s="2"/>
      <c r="D1045" s="74"/>
      <c r="E1045" s="74"/>
      <c r="F1045" s="5"/>
      <c r="G1045" s="5"/>
      <c r="H1045" s="5"/>
      <c r="I1045" s="2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75" x14ac:dyDescent="0.2">
      <c r="A1046" s="1"/>
      <c r="B1046" s="1"/>
      <c r="C1046" s="2"/>
      <c r="D1046" s="74"/>
      <c r="E1046" s="74"/>
      <c r="F1046" s="5"/>
      <c r="G1046" s="5"/>
      <c r="H1046" s="5"/>
      <c r="I1046" s="2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75" x14ac:dyDescent="0.2">
      <c r="A1047" s="1"/>
      <c r="B1047" s="1"/>
      <c r="C1047" s="2"/>
      <c r="D1047" s="74"/>
      <c r="E1047" s="74"/>
      <c r="F1047" s="5"/>
      <c r="G1047" s="5"/>
      <c r="H1047" s="5"/>
      <c r="I1047" s="2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75" x14ac:dyDescent="0.2">
      <c r="A1048" s="1"/>
      <c r="B1048" s="1"/>
      <c r="C1048" s="2"/>
      <c r="D1048" s="74"/>
      <c r="E1048" s="74"/>
      <c r="F1048" s="5"/>
      <c r="G1048" s="5"/>
      <c r="H1048" s="5"/>
      <c r="I1048" s="2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75" x14ac:dyDescent="0.2">
      <c r="A1049" s="1"/>
      <c r="B1049" s="1"/>
      <c r="C1049" s="2"/>
      <c r="D1049" s="74"/>
      <c r="E1049" s="74"/>
      <c r="F1049" s="5"/>
      <c r="G1049" s="5"/>
      <c r="H1049" s="5"/>
      <c r="I1049" s="2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75" x14ac:dyDescent="0.2">
      <c r="A1050" s="1"/>
      <c r="B1050" s="1"/>
      <c r="C1050" s="2"/>
      <c r="D1050" s="74"/>
      <c r="E1050" s="74"/>
      <c r="F1050" s="5"/>
      <c r="G1050" s="5"/>
      <c r="H1050" s="5"/>
      <c r="I1050" s="2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75" x14ac:dyDescent="0.2">
      <c r="A1051" s="1"/>
      <c r="B1051" s="1"/>
      <c r="C1051" s="2"/>
      <c r="D1051" s="74"/>
      <c r="E1051" s="74"/>
      <c r="F1051" s="5"/>
      <c r="G1051" s="5"/>
      <c r="H1051" s="5"/>
      <c r="I1051" s="2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75" x14ac:dyDescent="0.2">
      <c r="A1052" s="1"/>
      <c r="B1052" s="1"/>
      <c r="C1052" s="2"/>
      <c r="D1052" s="74"/>
      <c r="E1052" s="74"/>
      <c r="F1052" s="5"/>
      <c r="G1052" s="5"/>
      <c r="H1052" s="5"/>
      <c r="I1052" s="2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75" x14ac:dyDescent="0.2">
      <c r="A1053" s="1"/>
      <c r="B1053" s="1"/>
      <c r="C1053" s="2"/>
      <c r="D1053" s="74"/>
      <c r="E1053" s="74"/>
      <c r="F1053" s="5"/>
      <c r="G1053" s="5"/>
      <c r="H1053" s="5"/>
      <c r="I1053" s="2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75" x14ac:dyDescent="0.2">
      <c r="A1054" s="1"/>
      <c r="B1054" s="1"/>
      <c r="C1054" s="2"/>
      <c r="D1054" s="74"/>
      <c r="E1054" s="74"/>
      <c r="F1054" s="5"/>
      <c r="G1054" s="5"/>
      <c r="H1054" s="5"/>
      <c r="I1054" s="2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75" x14ac:dyDescent="0.2">
      <c r="A1055" s="1"/>
      <c r="B1055" s="1"/>
      <c r="C1055" s="2"/>
      <c r="D1055" s="74"/>
      <c r="E1055" s="74"/>
      <c r="F1055" s="5"/>
      <c r="G1055" s="5"/>
      <c r="H1055" s="5"/>
      <c r="I1055" s="2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75" x14ac:dyDescent="0.2">
      <c r="A1056" s="1"/>
      <c r="B1056" s="1"/>
      <c r="C1056" s="2"/>
      <c r="D1056" s="74"/>
      <c r="E1056" s="74"/>
      <c r="F1056" s="5"/>
      <c r="G1056" s="5"/>
      <c r="H1056" s="5"/>
      <c r="I1056" s="2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75" x14ac:dyDescent="0.2">
      <c r="A1057" s="1"/>
      <c r="B1057" s="1"/>
      <c r="C1057" s="2"/>
      <c r="D1057" s="74"/>
      <c r="E1057" s="74"/>
      <c r="F1057" s="5"/>
      <c r="G1057" s="5"/>
      <c r="H1057" s="5"/>
      <c r="I1057" s="2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75" x14ac:dyDescent="0.2">
      <c r="A1058" s="1"/>
      <c r="B1058" s="1"/>
      <c r="C1058" s="2"/>
      <c r="D1058" s="74"/>
      <c r="E1058" s="74"/>
      <c r="F1058" s="5"/>
      <c r="G1058" s="5"/>
      <c r="H1058" s="5"/>
      <c r="I1058" s="2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75" x14ac:dyDescent="0.2">
      <c r="A1059" s="1"/>
      <c r="B1059" s="1"/>
      <c r="C1059" s="2"/>
      <c r="D1059" s="74"/>
      <c r="E1059" s="74"/>
      <c r="F1059" s="5"/>
      <c r="G1059" s="5"/>
      <c r="H1059" s="5"/>
      <c r="I1059" s="2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75" x14ac:dyDescent="0.2">
      <c r="A1060" s="1"/>
      <c r="B1060" s="1"/>
      <c r="C1060" s="2"/>
      <c r="D1060" s="74"/>
      <c r="E1060" s="74"/>
      <c r="F1060" s="5"/>
      <c r="G1060" s="5"/>
      <c r="H1060" s="5"/>
      <c r="I1060" s="2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75" x14ac:dyDescent="0.2">
      <c r="A1061" s="1"/>
      <c r="B1061" s="1"/>
      <c r="C1061" s="2"/>
      <c r="D1061" s="74"/>
      <c r="E1061" s="74"/>
      <c r="F1061" s="5"/>
      <c r="G1061" s="5"/>
      <c r="H1061" s="5"/>
      <c r="I1061" s="2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75" x14ac:dyDescent="0.2">
      <c r="A1062" s="1"/>
      <c r="B1062" s="1"/>
      <c r="C1062" s="2"/>
      <c r="D1062" s="74"/>
      <c r="E1062" s="74"/>
      <c r="F1062" s="5"/>
      <c r="G1062" s="5"/>
      <c r="H1062" s="5"/>
      <c r="I1062" s="2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75" x14ac:dyDescent="0.2">
      <c r="A1063" s="1"/>
      <c r="B1063" s="1"/>
      <c r="C1063" s="2"/>
      <c r="D1063" s="74"/>
      <c r="E1063" s="74"/>
      <c r="F1063" s="5"/>
      <c r="G1063" s="5"/>
      <c r="H1063" s="5"/>
      <c r="I1063" s="2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75" x14ac:dyDescent="0.2">
      <c r="A1064" s="1"/>
      <c r="B1064" s="1"/>
      <c r="C1064" s="2"/>
      <c r="D1064" s="74"/>
      <c r="E1064" s="74"/>
      <c r="F1064" s="5"/>
      <c r="G1064" s="5"/>
      <c r="H1064" s="5"/>
      <c r="I1064" s="2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75" x14ac:dyDescent="0.2">
      <c r="A1065" s="1"/>
      <c r="B1065" s="1"/>
      <c r="C1065" s="2"/>
      <c r="D1065" s="74"/>
      <c r="E1065" s="74"/>
      <c r="F1065" s="5"/>
      <c r="G1065" s="5"/>
      <c r="H1065" s="5"/>
      <c r="I1065" s="2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75" x14ac:dyDescent="0.2">
      <c r="A1066" s="1"/>
      <c r="B1066" s="1"/>
      <c r="C1066" s="2"/>
      <c r="D1066" s="74"/>
      <c r="E1066" s="74"/>
      <c r="F1066" s="5"/>
      <c r="G1066" s="5"/>
      <c r="H1066" s="5"/>
      <c r="I1066" s="2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75" x14ac:dyDescent="0.2">
      <c r="A1067" s="1"/>
      <c r="B1067" s="1"/>
      <c r="C1067" s="2"/>
      <c r="D1067" s="74"/>
      <c r="E1067" s="74"/>
      <c r="F1067" s="5"/>
      <c r="G1067" s="5"/>
      <c r="H1067" s="5"/>
      <c r="I1067" s="2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75" x14ac:dyDescent="0.2">
      <c r="A1068" s="1"/>
      <c r="B1068" s="1"/>
      <c r="C1068" s="2"/>
      <c r="D1068" s="74"/>
      <c r="E1068" s="74"/>
      <c r="F1068" s="5"/>
      <c r="G1068" s="5"/>
      <c r="H1068" s="5"/>
      <c r="I1068" s="2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75" x14ac:dyDescent="0.2">
      <c r="A1069" s="1"/>
      <c r="B1069" s="1"/>
      <c r="C1069" s="2"/>
      <c r="D1069" s="74"/>
      <c r="E1069" s="74"/>
      <c r="F1069" s="5"/>
      <c r="G1069" s="5"/>
      <c r="H1069" s="5"/>
      <c r="I1069" s="2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75" x14ac:dyDescent="0.2">
      <c r="A1070" s="1"/>
      <c r="B1070" s="1"/>
      <c r="C1070" s="2"/>
      <c r="D1070" s="74"/>
      <c r="E1070" s="74"/>
      <c r="F1070" s="5"/>
      <c r="G1070" s="5"/>
      <c r="H1070" s="5"/>
      <c r="I1070" s="2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75" x14ac:dyDescent="0.2">
      <c r="A1071" s="1"/>
      <c r="B1071" s="1"/>
      <c r="C1071" s="2"/>
      <c r="D1071" s="74"/>
      <c r="E1071" s="74"/>
      <c r="F1071" s="5"/>
      <c r="G1071" s="5"/>
      <c r="H1071" s="5"/>
      <c r="I1071" s="2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75" x14ac:dyDescent="0.2">
      <c r="A1072" s="1"/>
      <c r="B1072" s="1"/>
      <c r="C1072" s="2"/>
      <c r="D1072" s="74"/>
      <c r="E1072" s="74"/>
      <c r="F1072" s="5"/>
      <c r="G1072" s="5"/>
      <c r="H1072" s="5"/>
      <c r="I1072" s="2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3:9" ht="12.75" x14ac:dyDescent="0.2">
      <c r="C1073" s="73"/>
      <c r="D1073" s="160"/>
      <c r="E1073" s="160"/>
      <c r="F1073" s="73"/>
      <c r="G1073" s="73"/>
      <c r="H1073" s="73"/>
      <c r="I1073" s="73"/>
    </row>
    <row r="1074" spans="3:9" ht="12.75" x14ac:dyDescent="0.2">
      <c r="C1074" s="73"/>
      <c r="D1074" s="160"/>
      <c r="E1074" s="160"/>
      <c r="F1074" s="73"/>
      <c r="G1074" s="73"/>
      <c r="H1074" s="73"/>
      <c r="I1074" s="73"/>
    </row>
    <row r="1075" spans="3:9" ht="12.75" x14ac:dyDescent="0.2">
      <c r="C1075" s="73"/>
      <c r="D1075" s="160"/>
      <c r="E1075" s="160"/>
      <c r="F1075" s="73"/>
      <c r="G1075" s="73"/>
      <c r="H1075" s="73"/>
      <c r="I1075" s="73"/>
    </row>
    <row r="1076" spans="3:9" ht="12.75" x14ac:dyDescent="0.2">
      <c r="C1076" s="73"/>
      <c r="D1076" s="160"/>
      <c r="E1076" s="160"/>
      <c r="F1076" s="73"/>
      <c r="G1076" s="73"/>
      <c r="H1076" s="73"/>
      <c r="I1076" s="73"/>
    </row>
    <row r="1077" spans="3:9" ht="12.75" x14ac:dyDescent="0.2">
      <c r="C1077" s="73"/>
      <c r="D1077" s="160"/>
      <c r="E1077" s="160"/>
      <c r="F1077" s="73"/>
      <c r="G1077" s="73"/>
      <c r="H1077" s="73"/>
      <c r="I1077" s="73"/>
    </row>
    <row r="1078" spans="3:9" ht="12.75" x14ac:dyDescent="0.2">
      <c r="C1078" s="73"/>
      <c r="D1078" s="160"/>
      <c r="E1078" s="160"/>
      <c r="F1078" s="73"/>
      <c r="G1078" s="73"/>
      <c r="H1078" s="73"/>
      <c r="I1078" s="73"/>
    </row>
  </sheetData>
  <mergeCells count="59">
    <mergeCell ref="V157:W157"/>
    <mergeCell ref="I29:I41"/>
    <mergeCell ref="I42:I47"/>
    <mergeCell ref="I48:I72"/>
    <mergeCell ref="I73:I75"/>
    <mergeCell ref="F73:F75"/>
    <mergeCell ref="G73:G75"/>
    <mergeCell ref="A7:B7"/>
    <mergeCell ref="A8:A9"/>
    <mergeCell ref="E8:E9"/>
    <mergeCell ref="F8:F9"/>
    <mergeCell ref="F25:F28"/>
    <mergeCell ref="F29:F41"/>
    <mergeCell ref="F42:F47"/>
    <mergeCell ref="G42:G47"/>
    <mergeCell ref="F48:F72"/>
    <mergeCell ref="G48:G72"/>
    <mergeCell ref="A1:V1"/>
    <mergeCell ref="A2:V2"/>
    <mergeCell ref="A3:V3"/>
    <mergeCell ref="A4:B4"/>
    <mergeCell ref="A6:F6"/>
    <mergeCell ref="V160:X160"/>
    <mergeCell ref="A161:B161"/>
    <mergeCell ref="C161:F161"/>
    <mergeCell ref="I161:N161"/>
    <mergeCell ref="B8:B9"/>
    <mergeCell ref="D8:D9"/>
    <mergeCell ref="C25:C28"/>
    <mergeCell ref="C29:C41"/>
    <mergeCell ref="C42:C47"/>
    <mergeCell ref="C48:C72"/>
    <mergeCell ref="C73:C75"/>
    <mergeCell ref="G8:G9"/>
    <mergeCell ref="H8:V8"/>
    <mergeCell ref="G25:G28"/>
    <mergeCell ref="I25:I28"/>
    <mergeCell ref="G29:G41"/>
    <mergeCell ref="H164:T164"/>
    <mergeCell ref="H167:T167"/>
    <mergeCell ref="H168:T168"/>
    <mergeCell ref="A160:B160"/>
    <mergeCell ref="C160:F160"/>
    <mergeCell ref="I160:N160"/>
    <mergeCell ref="A157:B157"/>
    <mergeCell ref="C157:E157"/>
    <mergeCell ref="Q160:T160"/>
    <mergeCell ref="Q161:T161"/>
    <mergeCell ref="A163:B163"/>
    <mergeCell ref="C163:E163"/>
    <mergeCell ref="I163:L163"/>
    <mergeCell ref="Q163:T163"/>
    <mergeCell ref="I157:N157"/>
    <mergeCell ref="Q157:T157"/>
    <mergeCell ref="F125:F127"/>
    <mergeCell ref="B151:I151"/>
    <mergeCell ref="A153:B153"/>
    <mergeCell ref="J154:T154"/>
    <mergeCell ref="A155:D1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79"/>
  <sheetViews>
    <sheetView tabSelected="1" workbookViewId="0">
      <pane ySplit="9" topLeftCell="A103" activePane="bottomLeft" state="frozen"/>
      <selection pane="bottomLeft" activeCell="E110" sqref="E110"/>
    </sheetView>
  </sheetViews>
  <sheetFormatPr defaultColWidth="12.5703125" defaultRowHeight="15.75" customHeight="1" x14ac:dyDescent="0.2"/>
  <cols>
    <col min="2" max="2" width="57.7109375" customWidth="1"/>
    <col min="5" max="5" width="19.7109375" customWidth="1"/>
    <col min="6" max="6" width="26.140625" customWidth="1"/>
    <col min="7" max="7" width="20.42578125" customWidth="1"/>
    <col min="13" max="13" width="22.7109375" customWidth="1"/>
  </cols>
  <sheetData>
    <row r="1" spans="1:26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"/>
      <c r="X1" s="1"/>
      <c r="Y1" s="1"/>
      <c r="Z1" s="1"/>
    </row>
    <row r="2" spans="1:26" ht="14.25" x14ac:dyDescent="0.2">
      <c r="A2" s="169" t="s">
        <v>149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"/>
      <c r="X2" s="1"/>
      <c r="Y2" s="1"/>
      <c r="Z2" s="1"/>
    </row>
    <row r="3" spans="1:26" ht="12.75" x14ac:dyDescent="0.2">
      <c r="A3" s="170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"/>
      <c r="X3" s="1"/>
      <c r="Y3" s="1"/>
      <c r="Z3" s="1"/>
    </row>
    <row r="4" spans="1:26" ht="15" x14ac:dyDescent="0.2">
      <c r="A4" s="171" t="s">
        <v>2</v>
      </c>
      <c r="B4" s="168"/>
      <c r="C4" s="2"/>
      <c r="D4" s="74"/>
      <c r="E4" s="74"/>
      <c r="F4" s="5"/>
      <c r="G4" s="5"/>
      <c r="H4" s="5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/>
      <c r="B5" s="1"/>
      <c r="C5" s="2"/>
      <c r="D5" s="74"/>
      <c r="E5" s="74"/>
      <c r="F5" s="5"/>
      <c r="G5" s="5"/>
      <c r="H5" s="5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72" t="s">
        <v>3</v>
      </c>
      <c r="B6" s="168"/>
      <c r="C6" s="168"/>
      <c r="D6" s="168"/>
      <c r="E6" s="168"/>
      <c r="F6" s="168"/>
      <c r="G6" s="5"/>
      <c r="H6" s="5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">
      <c r="A7" s="163" t="s">
        <v>4</v>
      </c>
      <c r="B7" s="164"/>
      <c r="C7" s="75"/>
      <c r="D7" s="76"/>
      <c r="E7" s="76"/>
      <c r="F7" s="10"/>
      <c r="G7" s="10"/>
      <c r="H7" s="10"/>
      <c r="I7" s="75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"/>
      <c r="X7" s="1"/>
      <c r="Y7" s="1"/>
      <c r="Z7" s="1"/>
    </row>
    <row r="8" spans="1:26" ht="15" x14ac:dyDescent="0.2">
      <c r="A8" s="204" t="s">
        <v>5</v>
      </c>
      <c r="B8" s="198" t="s">
        <v>6</v>
      </c>
      <c r="C8" s="13" t="s">
        <v>7</v>
      </c>
      <c r="D8" s="175" t="s">
        <v>8</v>
      </c>
      <c r="E8" s="175" t="s">
        <v>9</v>
      </c>
      <c r="F8" s="198" t="s">
        <v>10</v>
      </c>
      <c r="G8" s="198" t="s">
        <v>11</v>
      </c>
      <c r="H8" s="201" t="s">
        <v>12</v>
      </c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76"/>
      <c r="W8" s="77"/>
      <c r="X8" s="77"/>
      <c r="Y8" s="77"/>
      <c r="Z8" s="77"/>
    </row>
    <row r="9" spans="1:26" ht="15" x14ac:dyDescent="0.2">
      <c r="A9" s="166"/>
      <c r="B9" s="176"/>
      <c r="C9" s="13" t="s">
        <v>13</v>
      </c>
      <c r="D9" s="176"/>
      <c r="E9" s="176"/>
      <c r="F9" s="176"/>
      <c r="G9" s="176"/>
      <c r="H9" s="13" t="s">
        <v>150</v>
      </c>
      <c r="I9" s="13" t="s">
        <v>151</v>
      </c>
      <c r="J9" s="13" t="s">
        <v>152</v>
      </c>
      <c r="K9" s="13" t="s">
        <v>17</v>
      </c>
      <c r="L9" s="13" t="s">
        <v>18</v>
      </c>
      <c r="M9" s="13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3" t="s">
        <v>27</v>
      </c>
      <c r="V9" s="13" t="s">
        <v>27</v>
      </c>
      <c r="W9" s="77"/>
      <c r="X9" s="77"/>
      <c r="Y9" s="77"/>
      <c r="Z9" s="77"/>
    </row>
    <row r="10" spans="1:26" ht="15" x14ac:dyDescent="0.25">
      <c r="A10" s="78"/>
      <c r="B10" s="79" t="s">
        <v>28</v>
      </c>
      <c r="C10" s="80"/>
      <c r="D10" s="81"/>
      <c r="E10" s="81"/>
      <c r="F10" s="82"/>
      <c r="G10" s="82"/>
      <c r="H10" s="82"/>
      <c r="I10" s="83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5"/>
      <c r="W10" s="7"/>
      <c r="X10" s="7"/>
      <c r="Y10" s="7"/>
      <c r="Z10" s="7"/>
    </row>
    <row r="11" spans="1:26" ht="12.75" x14ac:dyDescent="0.2">
      <c r="A11" s="16"/>
      <c r="B11" s="16" t="s">
        <v>153</v>
      </c>
      <c r="C11" s="86" t="s">
        <v>154</v>
      </c>
      <c r="D11" s="87">
        <v>2800</v>
      </c>
      <c r="E11" s="87">
        <f>D11*15</f>
        <v>42000</v>
      </c>
      <c r="F11" s="86" t="s">
        <v>31</v>
      </c>
      <c r="G11" s="88" t="s">
        <v>155</v>
      </c>
      <c r="H11" s="89"/>
      <c r="I11" s="90">
        <v>15</v>
      </c>
      <c r="J11" s="91"/>
      <c r="K11" s="91"/>
      <c r="L11" s="91"/>
      <c r="M11" s="30"/>
      <c r="N11" s="30"/>
      <c r="O11" s="30"/>
      <c r="P11" s="30"/>
      <c r="Q11" s="30"/>
      <c r="R11" s="30"/>
      <c r="S11" s="30"/>
      <c r="T11" s="30"/>
      <c r="U11" s="30"/>
      <c r="V11" s="25"/>
      <c r="W11" s="67"/>
      <c r="X11" s="67"/>
      <c r="Y11" s="1"/>
      <c r="Z11" s="1"/>
    </row>
    <row r="12" spans="1:26" ht="12.75" x14ac:dyDescent="0.2">
      <c r="A12" s="37"/>
      <c r="B12" s="16" t="s">
        <v>156</v>
      </c>
      <c r="C12" s="26" t="s">
        <v>154</v>
      </c>
      <c r="D12" s="27">
        <v>2000</v>
      </c>
      <c r="E12" s="27">
        <f>2000*15</f>
        <v>30000</v>
      </c>
      <c r="F12" s="27" t="s">
        <v>31</v>
      </c>
      <c r="G12" s="92" t="s">
        <v>155</v>
      </c>
      <c r="H12" s="93"/>
      <c r="I12" s="94">
        <v>15</v>
      </c>
      <c r="J12" s="95"/>
      <c r="K12" s="95"/>
      <c r="L12" s="95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8"/>
      <c r="Z12" s="38"/>
    </row>
    <row r="13" spans="1:26" ht="12.75" x14ac:dyDescent="0.2">
      <c r="A13" s="37"/>
      <c r="B13" s="16" t="s">
        <v>157</v>
      </c>
      <c r="C13" s="26" t="s">
        <v>158</v>
      </c>
      <c r="D13" s="27">
        <v>5500</v>
      </c>
      <c r="E13" s="27">
        <f>5500*5</f>
        <v>27500</v>
      </c>
      <c r="F13" s="26" t="s">
        <v>31</v>
      </c>
      <c r="G13" s="92" t="s">
        <v>155</v>
      </c>
      <c r="H13" s="93"/>
      <c r="I13" s="94">
        <v>5</v>
      </c>
      <c r="J13" s="95"/>
      <c r="K13" s="95"/>
      <c r="L13" s="95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8"/>
      <c r="Z13" s="38"/>
    </row>
    <row r="14" spans="1:26" ht="409.6" customHeight="1" x14ac:dyDescent="0.2">
      <c r="A14" s="37"/>
      <c r="B14" s="16" t="s">
        <v>159</v>
      </c>
      <c r="C14" s="96"/>
      <c r="D14" s="27">
        <v>35000</v>
      </c>
      <c r="E14" s="27">
        <v>35000</v>
      </c>
      <c r="F14" s="26" t="s">
        <v>31</v>
      </c>
      <c r="G14" s="92" t="s">
        <v>155</v>
      </c>
      <c r="H14" s="93"/>
      <c r="I14" s="94">
        <v>1</v>
      </c>
      <c r="J14" s="95"/>
      <c r="K14" s="95"/>
      <c r="L14" s="95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8"/>
      <c r="Z14" s="38"/>
    </row>
    <row r="15" spans="1:26" ht="87.75" customHeight="1" x14ac:dyDescent="0.2">
      <c r="A15" s="37"/>
      <c r="B15" s="16" t="s">
        <v>160</v>
      </c>
      <c r="C15" s="26" t="s">
        <v>161</v>
      </c>
      <c r="D15" s="27">
        <v>12000</v>
      </c>
      <c r="E15" s="27">
        <f>D15*2</f>
        <v>24000</v>
      </c>
      <c r="F15" s="26" t="s">
        <v>31</v>
      </c>
      <c r="G15" s="92"/>
      <c r="H15" s="93"/>
      <c r="I15" s="94"/>
      <c r="J15" s="95"/>
      <c r="K15" s="95"/>
      <c r="L15" s="95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8"/>
      <c r="Z15" s="38"/>
    </row>
    <row r="16" spans="1:26" ht="18" customHeight="1" x14ac:dyDescent="0.2">
      <c r="A16" s="37"/>
      <c r="B16" s="25" t="s">
        <v>162</v>
      </c>
      <c r="C16" s="26" t="s">
        <v>87</v>
      </c>
      <c r="D16" s="27">
        <v>2000</v>
      </c>
      <c r="E16" s="27">
        <v>2000</v>
      </c>
      <c r="F16" s="26" t="s">
        <v>31</v>
      </c>
      <c r="G16" s="92"/>
      <c r="H16" s="93"/>
      <c r="I16" s="94">
        <v>1</v>
      </c>
      <c r="J16" s="95"/>
      <c r="K16" s="95"/>
      <c r="L16" s="95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8"/>
      <c r="Z16" s="38"/>
    </row>
    <row r="17" spans="1:26" ht="12.75" x14ac:dyDescent="0.2">
      <c r="A17" s="37"/>
      <c r="B17" s="17" t="s">
        <v>72</v>
      </c>
      <c r="C17" s="34"/>
      <c r="D17" s="71"/>
      <c r="E17" s="39"/>
      <c r="F17" s="34"/>
      <c r="G17" s="34"/>
      <c r="H17" s="34"/>
      <c r="I17" s="34"/>
      <c r="J17" s="95"/>
      <c r="K17" s="95"/>
      <c r="L17" s="95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8"/>
      <c r="Z17" s="38"/>
    </row>
    <row r="18" spans="1:26" ht="121.5" customHeight="1" x14ac:dyDescent="0.2">
      <c r="A18" s="37"/>
      <c r="B18" s="37" t="s">
        <v>163</v>
      </c>
      <c r="C18" s="86" t="s">
        <v>44</v>
      </c>
      <c r="D18" s="87">
        <v>37490</v>
      </c>
      <c r="E18" s="87">
        <v>45000</v>
      </c>
      <c r="F18" s="88"/>
      <c r="G18" s="34"/>
      <c r="H18" s="34"/>
      <c r="I18" s="34">
        <v>1</v>
      </c>
      <c r="J18" s="95"/>
      <c r="K18" s="95"/>
      <c r="L18" s="95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8"/>
      <c r="Z18" s="38"/>
    </row>
    <row r="19" spans="1:26" ht="12.75" x14ac:dyDescent="0.2">
      <c r="A19" s="37"/>
      <c r="B19" s="16" t="s">
        <v>164</v>
      </c>
      <c r="C19" s="26" t="s">
        <v>44</v>
      </c>
      <c r="D19" s="27">
        <v>15900</v>
      </c>
      <c r="E19" s="27">
        <v>17000</v>
      </c>
      <c r="F19" s="92"/>
      <c r="G19" s="34"/>
      <c r="H19" s="34"/>
      <c r="I19" s="34">
        <v>1</v>
      </c>
      <c r="J19" s="95"/>
      <c r="K19" s="95"/>
      <c r="L19" s="95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8"/>
      <c r="Z19" s="38"/>
    </row>
    <row r="20" spans="1:26" ht="12.75" x14ac:dyDescent="0.2">
      <c r="A20" s="37"/>
      <c r="B20" s="16" t="s">
        <v>165</v>
      </c>
      <c r="C20" s="26" t="s">
        <v>44</v>
      </c>
      <c r="D20" s="27">
        <v>10800</v>
      </c>
      <c r="E20" s="27">
        <v>12000</v>
      </c>
      <c r="F20" s="92"/>
      <c r="G20" s="34"/>
      <c r="H20" s="34"/>
      <c r="I20" s="34">
        <v>1</v>
      </c>
      <c r="J20" s="95"/>
      <c r="K20" s="95"/>
      <c r="L20" s="95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8"/>
      <c r="Z20" s="38"/>
    </row>
    <row r="21" spans="1:26" ht="12.75" x14ac:dyDescent="0.2">
      <c r="A21" s="37"/>
      <c r="B21" s="16" t="s">
        <v>166</v>
      </c>
      <c r="C21" s="26" t="s">
        <v>44</v>
      </c>
      <c r="D21" s="27">
        <v>7400</v>
      </c>
      <c r="E21" s="27">
        <v>9000</v>
      </c>
      <c r="F21" s="92"/>
      <c r="G21" s="34"/>
      <c r="H21" s="34"/>
      <c r="I21" s="34">
        <v>1</v>
      </c>
      <c r="J21" s="95"/>
      <c r="K21" s="95"/>
      <c r="L21" s="95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8"/>
      <c r="Z21" s="38"/>
    </row>
    <row r="22" spans="1:26" ht="103.5" customHeight="1" x14ac:dyDescent="0.2">
      <c r="A22" s="37"/>
      <c r="B22" s="16" t="s">
        <v>167</v>
      </c>
      <c r="C22" s="26" t="s">
        <v>168</v>
      </c>
      <c r="D22" s="27">
        <v>1195</v>
      </c>
      <c r="E22" s="27">
        <f>1300*3</f>
        <v>3900</v>
      </c>
      <c r="F22" s="92"/>
      <c r="G22" s="34"/>
      <c r="H22" s="34"/>
      <c r="I22" s="34">
        <v>3</v>
      </c>
      <c r="J22" s="95"/>
      <c r="K22" s="95"/>
      <c r="L22" s="95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8"/>
      <c r="Z22" s="38"/>
    </row>
    <row r="23" spans="1:26" ht="12.75" x14ac:dyDescent="0.2">
      <c r="A23" s="37"/>
      <c r="B23" s="16" t="s">
        <v>169</v>
      </c>
      <c r="C23" s="26" t="s">
        <v>168</v>
      </c>
      <c r="D23" s="27">
        <v>1599.75</v>
      </c>
      <c r="E23" s="27">
        <f>1800*3</f>
        <v>5400</v>
      </c>
      <c r="F23" s="92"/>
      <c r="G23" s="34"/>
      <c r="H23" s="34"/>
      <c r="I23" s="34">
        <v>3</v>
      </c>
      <c r="J23" s="95"/>
      <c r="K23" s="95"/>
      <c r="L23" s="95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8"/>
      <c r="Z23" s="38"/>
    </row>
    <row r="24" spans="1:26" ht="12.75" x14ac:dyDescent="0.2">
      <c r="A24" s="37"/>
      <c r="B24" s="16" t="s">
        <v>170</v>
      </c>
      <c r="C24" s="26" t="s">
        <v>168</v>
      </c>
      <c r="D24" s="27">
        <v>1299.75</v>
      </c>
      <c r="E24" s="27">
        <f>1500*3</f>
        <v>4500</v>
      </c>
      <c r="F24" s="92"/>
      <c r="G24" s="34"/>
      <c r="H24" s="34"/>
      <c r="I24" s="34">
        <v>3</v>
      </c>
      <c r="J24" s="95"/>
      <c r="K24" s="95"/>
      <c r="L24" s="95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8"/>
      <c r="Z24" s="38"/>
    </row>
    <row r="25" spans="1:26" ht="15" customHeight="1" x14ac:dyDescent="0.2">
      <c r="A25" s="37"/>
      <c r="B25" s="38" t="s">
        <v>171</v>
      </c>
      <c r="C25" s="199" t="s">
        <v>44</v>
      </c>
      <c r="D25" s="97">
        <v>100</v>
      </c>
      <c r="E25" s="27">
        <v>3000</v>
      </c>
      <c r="F25" s="202" t="s">
        <v>31</v>
      </c>
      <c r="G25" s="189"/>
      <c r="H25" s="34"/>
      <c r="I25" s="189">
        <v>1</v>
      </c>
      <c r="J25" s="95"/>
      <c r="K25" s="95"/>
      <c r="L25" s="95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8"/>
      <c r="Z25" s="38"/>
    </row>
    <row r="26" spans="1:26" ht="15" customHeight="1" x14ac:dyDescent="0.2">
      <c r="A26" s="37"/>
      <c r="B26" s="98" t="s">
        <v>172</v>
      </c>
      <c r="C26" s="190"/>
      <c r="D26" s="99">
        <v>200</v>
      </c>
      <c r="E26" s="27">
        <v>2000</v>
      </c>
      <c r="F26" s="203"/>
      <c r="G26" s="190"/>
      <c r="H26" s="34"/>
      <c r="I26" s="190"/>
      <c r="J26" s="95"/>
      <c r="K26" s="95"/>
      <c r="L26" s="95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8"/>
      <c r="Z26" s="38"/>
    </row>
    <row r="27" spans="1:26" ht="12.75" x14ac:dyDescent="0.2">
      <c r="A27" s="37"/>
      <c r="B27" s="100" t="s">
        <v>173</v>
      </c>
      <c r="C27" s="190"/>
      <c r="D27" s="101">
        <v>35</v>
      </c>
      <c r="E27" s="39">
        <v>1750</v>
      </c>
      <c r="F27" s="203"/>
      <c r="G27" s="190"/>
      <c r="H27" s="34"/>
      <c r="I27" s="190"/>
      <c r="J27" s="95"/>
      <c r="K27" s="95"/>
      <c r="L27" s="95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8"/>
      <c r="Z27" s="38"/>
    </row>
    <row r="28" spans="1:26" ht="12.75" x14ac:dyDescent="0.2">
      <c r="A28" s="37"/>
      <c r="B28" s="100" t="s">
        <v>174</v>
      </c>
      <c r="C28" s="166"/>
      <c r="D28" s="101">
        <v>300</v>
      </c>
      <c r="E28" s="39">
        <f>300*4</f>
        <v>1200</v>
      </c>
      <c r="F28" s="176"/>
      <c r="G28" s="166"/>
      <c r="H28" s="34"/>
      <c r="I28" s="166"/>
      <c r="J28" s="95"/>
      <c r="K28" s="95"/>
      <c r="L28" s="95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8"/>
      <c r="Z28" s="38"/>
    </row>
    <row r="29" spans="1:26" ht="12.75" x14ac:dyDescent="0.2">
      <c r="A29" s="37"/>
      <c r="B29" s="102" t="s">
        <v>175</v>
      </c>
      <c r="C29" s="200" t="s">
        <v>44</v>
      </c>
      <c r="D29" s="101">
        <v>6000</v>
      </c>
      <c r="E29" s="39">
        <f t="shared" ref="E29:E32" si="0">6000*6</f>
        <v>36000</v>
      </c>
      <c r="F29" s="202" t="s">
        <v>31</v>
      </c>
      <c r="G29" s="189"/>
      <c r="H29" s="34"/>
      <c r="I29" s="189">
        <v>1</v>
      </c>
      <c r="J29" s="95"/>
      <c r="K29" s="95"/>
      <c r="L29" s="95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8"/>
      <c r="Z29" s="38"/>
    </row>
    <row r="30" spans="1:26" ht="12.75" x14ac:dyDescent="0.2">
      <c r="A30" s="37"/>
      <c r="B30" s="100" t="s">
        <v>176</v>
      </c>
      <c r="C30" s="190"/>
      <c r="D30" s="101">
        <v>6000</v>
      </c>
      <c r="E30" s="39">
        <f t="shared" si="0"/>
        <v>36000</v>
      </c>
      <c r="F30" s="203"/>
      <c r="G30" s="190"/>
      <c r="H30" s="34"/>
      <c r="I30" s="190"/>
      <c r="J30" s="95"/>
      <c r="K30" s="95"/>
      <c r="L30" s="95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8"/>
      <c r="Z30" s="38"/>
    </row>
    <row r="31" spans="1:26" ht="12.75" x14ac:dyDescent="0.2">
      <c r="A31" s="37"/>
      <c r="B31" s="100" t="s">
        <v>177</v>
      </c>
      <c r="C31" s="190"/>
      <c r="D31" s="101">
        <v>6000</v>
      </c>
      <c r="E31" s="39">
        <f t="shared" si="0"/>
        <v>36000</v>
      </c>
      <c r="F31" s="203"/>
      <c r="G31" s="190"/>
      <c r="H31" s="34"/>
      <c r="I31" s="190"/>
      <c r="J31" s="95"/>
      <c r="K31" s="95"/>
      <c r="L31" s="95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8"/>
      <c r="Z31" s="38"/>
    </row>
    <row r="32" spans="1:26" ht="12.75" x14ac:dyDescent="0.2">
      <c r="A32" s="37"/>
      <c r="B32" s="100" t="s">
        <v>178</v>
      </c>
      <c r="C32" s="190"/>
      <c r="D32" s="101">
        <v>6000</v>
      </c>
      <c r="E32" s="39">
        <f t="shared" si="0"/>
        <v>36000</v>
      </c>
      <c r="F32" s="203"/>
      <c r="G32" s="190"/>
      <c r="H32" s="34"/>
      <c r="I32" s="190"/>
      <c r="J32" s="95"/>
      <c r="K32" s="95"/>
      <c r="L32" s="95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8"/>
      <c r="Z32" s="38"/>
    </row>
    <row r="33" spans="1:26" ht="12.75" x14ac:dyDescent="0.2">
      <c r="A33" s="37"/>
      <c r="B33" s="100" t="s">
        <v>179</v>
      </c>
      <c r="C33" s="190"/>
      <c r="D33" s="101">
        <v>6000</v>
      </c>
      <c r="E33" s="39">
        <f t="shared" ref="E33:E36" si="1">6000*5</f>
        <v>30000</v>
      </c>
      <c r="F33" s="203"/>
      <c r="G33" s="190"/>
      <c r="H33" s="34"/>
      <c r="I33" s="190"/>
      <c r="J33" s="95"/>
      <c r="K33" s="95"/>
      <c r="L33" s="95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8"/>
      <c r="Z33" s="38"/>
    </row>
    <row r="34" spans="1:26" ht="12.75" x14ac:dyDescent="0.2">
      <c r="A34" s="37"/>
      <c r="B34" s="100" t="s">
        <v>180</v>
      </c>
      <c r="C34" s="190"/>
      <c r="D34" s="101">
        <v>6000</v>
      </c>
      <c r="E34" s="39">
        <f t="shared" si="1"/>
        <v>30000</v>
      </c>
      <c r="F34" s="203"/>
      <c r="G34" s="190"/>
      <c r="H34" s="34"/>
      <c r="I34" s="190"/>
      <c r="J34" s="95"/>
      <c r="K34" s="95"/>
      <c r="L34" s="95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8"/>
      <c r="Z34" s="38"/>
    </row>
    <row r="35" spans="1:26" ht="12.75" x14ac:dyDescent="0.2">
      <c r="A35" s="37"/>
      <c r="B35" s="100" t="s">
        <v>181</v>
      </c>
      <c r="C35" s="190"/>
      <c r="D35" s="101">
        <v>6000</v>
      </c>
      <c r="E35" s="39">
        <f t="shared" si="1"/>
        <v>30000</v>
      </c>
      <c r="F35" s="203"/>
      <c r="G35" s="190"/>
      <c r="H35" s="34"/>
      <c r="I35" s="190"/>
      <c r="J35" s="95"/>
      <c r="K35" s="95"/>
      <c r="L35" s="95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8"/>
      <c r="Z35" s="38"/>
    </row>
    <row r="36" spans="1:26" ht="12.75" x14ac:dyDescent="0.2">
      <c r="A36" s="37"/>
      <c r="B36" s="100" t="s">
        <v>182</v>
      </c>
      <c r="C36" s="190"/>
      <c r="D36" s="101">
        <v>6000</v>
      </c>
      <c r="E36" s="39">
        <f t="shared" si="1"/>
        <v>30000</v>
      </c>
      <c r="F36" s="203"/>
      <c r="G36" s="190"/>
      <c r="H36" s="34"/>
      <c r="I36" s="190"/>
      <c r="J36" s="95"/>
      <c r="K36" s="95"/>
      <c r="L36" s="95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8"/>
      <c r="Z36" s="38"/>
    </row>
    <row r="37" spans="1:26" ht="12.75" x14ac:dyDescent="0.2">
      <c r="A37" s="37"/>
      <c r="B37" s="100" t="s">
        <v>183</v>
      </c>
      <c r="C37" s="190"/>
      <c r="D37" s="101">
        <v>1000</v>
      </c>
      <c r="E37" s="39">
        <f>600*4</f>
        <v>2400</v>
      </c>
      <c r="F37" s="203"/>
      <c r="G37" s="190"/>
      <c r="H37" s="34"/>
      <c r="I37" s="190"/>
      <c r="J37" s="95"/>
      <c r="K37" s="95"/>
      <c r="L37" s="95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8"/>
      <c r="Z37" s="38"/>
    </row>
    <row r="38" spans="1:26" ht="12.75" x14ac:dyDescent="0.2">
      <c r="A38" s="37"/>
      <c r="B38" s="100" t="s">
        <v>184</v>
      </c>
      <c r="C38" s="190"/>
      <c r="D38" s="101">
        <v>1000</v>
      </c>
      <c r="E38" s="39">
        <f t="shared" ref="E38:E40" si="2">450*3</f>
        <v>1350</v>
      </c>
      <c r="F38" s="203"/>
      <c r="G38" s="190"/>
      <c r="H38" s="34"/>
      <c r="I38" s="190"/>
      <c r="J38" s="95"/>
      <c r="K38" s="95"/>
      <c r="L38" s="95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8"/>
      <c r="Z38" s="38"/>
    </row>
    <row r="39" spans="1:26" ht="12.75" x14ac:dyDescent="0.2">
      <c r="A39" s="37"/>
      <c r="B39" s="100" t="s">
        <v>185</v>
      </c>
      <c r="C39" s="190"/>
      <c r="D39" s="101">
        <v>1000</v>
      </c>
      <c r="E39" s="39">
        <f t="shared" si="2"/>
        <v>1350</v>
      </c>
      <c r="F39" s="203"/>
      <c r="G39" s="190"/>
      <c r="H39" s="34"/>
      <c r="I39" s="190"/>
      <c r="J39" s="95"/>
      <c r="K39" s="95"/>
      <c r="L39" s="95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38"/>
    </row>
    <row r="40" spans="1:26" ht="12.75" x14ac:dyDescent="0.2">
      <c r="A40" s="37"/>
      <c r="B40" s="100" t="s">
        <v>186</v>
      </c>
      <c r="C40" s="190"/>
      <c r="D40" s="101">
        <v>1000</v>
      </c>
      <c r="E40" s="39">
        <f t="shared" si="2"/>
        <v>1350</v>
      </c>
      <c r="F40" s="203"/>
      <c r="G40" s="190"/>
      <c r="H40" s="34"/>
      <c r="I40" s="190"/>
      <c r="J40" s="95"/>
      <c r="K40" s="95"/>
      <c r="L40" s="95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38"/>
    </row>
    <row r="41" spans="1:26" ht="12.75" x14ac:dyDescent="0.2">
      <c r="A41" s="37"/>
      <c r="B41" s="100" t="s">
        <v>187</v>
      </c>
      <c r="C41" s="166"/>
      <c r="D41" s="101">
        <v>800</v>
      </c>
      <c r="E41" s="39">
        <f>800*3</f>
        <v>2400</v>
      </c>
      <c r="F41" s="176"/>
      <c r="G41" s="166"/>
      <c r="H41" s="34"/>
      <c r="I41" s="166"/>
      <c r="J41" s="95"/>
      <c r="K41" s="95"/>
      <c r="L41" s="95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38"/>
    </row>
    <row r="42" spans="1:26" ht="12.75" x14ac:dyDescent="0.2">
      <c r="A42" s="37"/>
      <c r="B42" s="102" t="s">
        <v>188</v>
      </c>
      <c r="C42" s="200" t="s">
        <v>44</v>
      </c>
      <c r="D42" s="101">
        <v>5000</v>
      </c>
      <c r="E42" s="39">
        <f>5000*3</f>
        <v>15000</v>
      </c>
      <c r="F42" s="202" t="s">
        <v>31</v>
      </c>
      <c r="G42" s="189"/>
      <c r="H42" s="34"/>
      <c r="I42" s="189">
        <v>1</v>
      </c>
      <c r="J42" s="95"/>
      <c r="K42" s="95"/>
      <c r="L42" s="95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8"/>
      <c r="Z42" s="38"/>
    </row>
    <row r="43" spans="1:26" ht="12.75" x14ac:dyDescent="0.2">
      <c r="A43" s="37"/>
      <c r="B43" s="100" t="s">
        <v>189</v>
      </c>
      <c r="C43" s="190"/>
      <c r="D43" s="101">
        <v>3500</v>
      </c>
      <c r="E43" s="39">
        <f>3500*3</f>
        <v>10500</v>
      </c>
      <c r="F43" s="203"/>
      <c r="G43" s="190"/>
      <c r="H43" s="34"/>
      <c r="I43" s="190"/>
      <c r="J43" s="95"/>
      <c r="K43" s="95"/>
      <c r="L43" s="95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8"/>
      <c r="Z43" s="38"/>
    </row>
    <row r="44" spans="1:26" ht="12.75" x14ac:dyDescent="0.2">
      <c r="A44" s="37"/>
      <c r="B44" s="100" t="s">
        <v>190</v>
      </c>
      <c r="C44" s="190"/>
      <c r="D44" s="101">
        <v>600</v>
      </c>
      <c r="E44" s="39">
        <f>600*5</f>
        <v>3000</v>
      </c>
      <c r="F44" s="203"/>
      <c r="G44" s="190"/>
      <c r="H44" s="34"/>
      <c r="I44" s="190"/>
      <c r="J44" s="95"/>
      <c r="K44" s="95"/>
      <c r="L44" s="95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8"/>
      <c r="Z44" s="38"/>
    </row>
    <row r="45" spans="1:26" ht="12.75" x14ac:dyDescent="0.2">
      <c r="A45" s="37"/>
      <c r="B45" s="100" t="s">
        <v>191</v>
      </c>
      <c r="C45" s="190"/>
      <c r="D45" s="101">
        <v>2000</v>
      </c>
      <c r="E45" s="39">
        <f>2000*10</f>
        <v>20000</v>
      </c>
      <c r="F45" s="203"/>
      <c r="G45" s="190"/>
      <c r="H45" s="34"/>
      <c r="I45" s="190"/>
      <c r="J45" s="95"/>
      <c r="K45" s="95"/>
      <c r="L45" s="95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8"/>
      <c r="Z45" s="38"/>
    </row>
    <row r="46" spans="1:26" ht="25.5" x14ac:dyDescent="0.2">
      <c r="A46" s="37"/>
      <c r="B46" s="103" t="s">
        <v>192</v>
      </c>
      <c r="C46" s="190"/>
      <c r="D46" s="101">
        <v>1000</v>
      </c>
      <c r="E46" s="39">
        <f>1000*2</f>
        <v>2000</v>
      </c>
      <c r="F46" s="203"/>
      <c r="G46" s="190"/>
      <c r="H46" s="34"/>
      <c r="I46" s="190"/>
      <c r="J46" s="95"/>
      <c r="K46" s="95"/>
      <c r="L46" s="95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8"/>
      <c r="Z46" s="38"/>
    </row>
    <row r="47" spans="1:26" ht="25.5" x14ac:dyDescent="0.2">
      <c r="A47" s="37"/>
      <c r="B47" s="103" t="s">
        <v>193</v>
      </c>
      <c r="C47" s="166"/>
      <c r="D47" s="101">
        <v>1500</v>
      </c>
      <c r="E47" s="39">
        <f>1500*4</f>
        <v>6000</v>
      </c>
      <c r="F47" s="176"/>
      <c r="G47" s="166"/>
      <c r="H47" s="34"/>
      <c r="I47" s="166"/>
      <c r="J47" s="95"/>
      <c r="K47" s="95"/>
      <c r="L47" s="95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8"/>
      <c r="Z47" s="38"/>
    </row>
    <row r="48" spans="1:26" ht="12.75" x14ac:dyDescent="0.2">
      <c r="A48" s="37"/>
      <c r="B48" s="100" t="s">
        <v>194</v>
      </c>
      <c r="C48" s="200" t="s">
        <v>44</v>
      </c>
      <c r="D48" s="101">
        <v>1000</v>
      </c>
      <c r="E48" s="39">
        <f>1000*15</f>
        <v>15000</v>
      </c>
      <c r="F48" s="202" t="s">
        <v>31</v>
      </c>
      <c r="G48" s="189"/>
      <c r="H48" s="34"/>
      <c r="I48" s="189">
        <v>1</v>
      </c>
      <c r="J48" s="95"/>
      <c r="K48" s="95"/>
      <c r="L48" s="95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8"/>
      <c r="Z48" s="38"/>
    </row>
    <row r="49" spans="1:26" ht="12.75" x14ac:dyDescent="0.2">
      <c r="A49" s="37"/>
      <c r="B49" s="100" t="s">
        <v>195</v>
      </c>
      <c r="C49" s="190"/>
      <c r="D49" s="101">
        <v>1000</v>
      </c>
      <c r="E49" s="39">
        <f t="shared" ref="E49:E50" si="3">1000*10</f>
        <v>10000</v>
      </c>
      <c r="F49" s="203"/>
      <c r="G49" s="190"/>
      <c r="H49" s="34"/>
      <c r="I49" s="190"/>
      <c r="J49" s="95"/>
      <c r="K49" s="95"/>
      <c r="L49" s="95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8"/>
      <c r="Z49" s="38"/>
    </row>
    <row r="50" spans="1:26" ht="12.75" x14ac:dyDescent="0.2">
      <c r="A50" s="37"/>
      <c r="B50" s="100" t="s">
        <v>196</v>
      </c>
      <c r="C50" s="190"/>
      <c r="D50" s="101">
        <v>1000</v>
      </c>
      <c r="E50" s="39">
        <f t="shared" si="3"/>
        <v>10000</v>
      </c>
      <c r="F50" s="203"/>
      <c r="G50" s="190"/>
      <c r="H50" s="34"/>
      <c r="I50" s="190"/>
      <c r="J50" s="95"/>
      <c r="K50" s="95"/>
      <c r="L50" s="95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8"/>
      <c r="Z50" s="38"/>
    </row>
    <row r="51" spans="1:26" ht="12.75" x14ac:dyDescent="0.2">
      <c r="A51" s="37"/>
      <c r="B51" s="100" t="s">
        <v>197</v>
      </c>
      <c r="C51" s="190"/>
      <c r="D51" s="101">
        <v>1000</v>
      </c>
      <c r="E51" s="39">
        <f>1000*8</f>
        <v>8000</v>
      </c>
      <c r="F51" s="203"/>
      <c r="G51" s="190"/>
      <c r="H51" s="34"/>
      <c r="I51" s="190"/>
      <c r="J51" s="95"/>
      <c r="K51" s="95"/>
      <c r="L51" s="95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8"/>
      <c r="Z51" s="38"/>
    </row>
    <row r="52" spans="1:26" ht="12.75" x14ac:dyDescent="0.2">
      <c r="A52" s="37"/>
      <c r="B52" s="100" t="s">
        <v>198</v>
      </c>
      <c r="C52" s="190"/>
      <c r="D52" s="101">
        <v>1000</v>
      </c>
      <c r="E52" s="39">
        <f>1000*4</f>
        <v>4000</v>
      </c>
      <c r="F52" s="203"/>
      <c r="G52" s="190"/>
      <c r="H52" s="34"/>
      <c r="I52" s="190"/>
      <c r="J52" s="95"/>
      <c r="K52" s="95"/>
      <c r="L52" s="95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8"/>
      <c r="Z52" s="38"/>
    </row>
    <row r="53" spans="1:26" ht="12.75" x14ac:dyDescent="0.2">
      <c r="A53" s="37"/>
      <c r="B53" s="100" t="s">
        <v>199</v>
      </c>
      <c r="C53" s="190"/>
      <c r="D53" s="101">
        <v>100</v>
      </c>
      <c r="E53" s="39">
        <f t="shared" ref="E53:E54" si="4">100*3</f>
        <v>300</v>
      </c>
      <c r="F53" s="203"/>
      <c r="G53" s="190"/>
      <c r="H53" s="34"/>
      <c r="I53" s="190"/>
      <c r="J53" s="95"/>
      <c r="K53" s="95"/>
      <c r="L53" s="95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8"/>
      <c r="Z53" s="38"/>
    </row>
    <row r="54" spans="1:26" ht="12.75" x14ac:dyDescent="0.2">
      <c r="A54" s="37"/>
      <c r="B54" s="100" t="s">
        <v>200</v>
      </c>
      <c r="C54" s="190"/>
      <c r="D54" s="101">
        <v>100</v>
      </c>
      <c r="E54" s="39">
        <f t="shared" si="4"/>
        <v>300</v>
      </c>
      <c r="F54" s="203"/>
      <c r="G54" s="190"/>
      <c r="H54" s="34"/>
      <c r="I54" s="190"/>
      <c r="J54" s="95"/>
      <c r="K54" s="95"/>
      <c r="L54" s="95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8"/>
      <c r="Z54" s="38"/>
    </row>
    <row r="55" spans="1:26" ht="12.75" x14ac:dyDescent="0.2">
      <c r="A55" s="37"/>
      <c r="B55" s="100" t="s">
        <v>201</v>
      </c>
      <c r="C55" s="190"/>
      <c r="D55" s="101">
        <v>20</v>
      </c>
      <c r="E55" s="39">
        <f>20*10</f>
        <v>200</v>
      </c>
      <c r="F55" s="203"/>
      <c r="G55" s="190"/>
      <c r="H55" s="34"/>
      <c r="I55" s="190"/>
      <c r="J55" s="95"/>
      <c r="K55" s="95"/>
      <c r="L55" s="95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8"/>
      <c r="Z55" s="38"/>
    </row>
    <row r="56" spans="1:26" ht="12.75" x14ac:dyDescent="0.2">
      <c r="A56" s="37"/>
      <c r="B56" s="100" t="s">
        <v>202</v>
      </c>
      <c r="C56" s="190"/>
      <c r="D56" s="101">
        <v>30</v>
      </c>
      <c r="E56" s="39">
        <f>30*10</f>
        <v>300</v>
      </c>
      <c r="F56" s="203"/>
      <c r="G56" s="190"/>
      <c r="H56" s="34"/>
      <c r="I56" s="190"/>
      <c r="J56" s="95"/>
      <c r="K56" s="95"/>
      <c r="L56" s="95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8"/>
      <c r="Z56" s="38"/>
    </row>
    <row r="57" spans="1:26" ht="12.75" x14ac:dyDescent="0.2">
      <c r="A57" s="37"/>
      <c r="B57" s="102" t="s">
        <v>203</v>
      </c>
      <c r="C57" s="190"/>
      <c r="D57" s="101">
        <v>40</v>
      </c>
      <c r="E57" s="39">
        <f>40*10</f>
        <v>400</v>
      </c>
      <c r="F57" s="203"/>
      <c r="G57" s="190"/>
      <c r="H57" s="34"/>
      <c r="I57" s="190"/>
      <c r="J57" s="95"/>
      <c r="K57" s="95"/>
      <c r="L57" s="95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8"/>
      <c r="Z57" s="38"/>
    </row>
    <row r="58" spans="1:26" ht="12.75" x14ac:dyDescent="0.2">
      <c r="A58" s="37"/>
      <c r="B58" s="100" t="s">
        <v>204</v>
      </c>
      <c r="C58" s="190"/>
      <c r="D58" s="101">
        <v>100</v>
      </c>
      <c r="E58" s="39">
        <f>100*10</f>
        <v>1000</v>
      </c>
      <c r="F58" s="203"/>
      <c r="G58" s="190"/>
      <c r="H58" s="34"/>
      <c r="I58" s="190"/>
      <c r="J58" s="95"/>
      <c r="K58" s="95"/>
      <c r="L58" s="95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8"/>
      <c r="Z58" s="38"/>
    </row>
    <row r="59" spans="1:26" ht="12.75" x14ac:dyDescent="0.2">
      <c r="A59" s="37"/>
      <c r="B59" s="100" t="s">
        <v>205</v>
      </c>
      <c r="C59" s="190"/>
      <c r="D59" s="101">
        <v>200</v>
      </c>
      <c r="E59" s="39">
        <f>200*25</f>
        <v>5000</v>
      </c>
      <c r="F59" s="203"/>
      <c r="G59" s="190"/>
      <c r="H59" s="34"/>
      <c r="I59" s="190"/>
      <c r="J59" s="95"/>
      <c r="K59" s="95"/>
      <c r="L59" s="95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8"/>
      <c r="Z59" s="38"/>
    </row>
    <row r="60" spans="1:26" ht="12.75" x14ac:dyDescent="0.2">
      <c r="A60" s="37"/>
      <c r="B60" s="100" t="s">
        <v>206</v>
      </c>
      <c r="C60" s="190"/>
      <c r="D60" s="101">
        <v>150</v>
      </c>
      <c r="E60" s="39">
        <f>150*10</f>
        <v>1500</v>
      </c>
      <c r="F60" s="203"/>
      <c r="G60" s="190"/>
      <c r="H60" s="34"/>
      <c r="I60" s="190"/>
      <c r="J60" s="95"/>
      <c r="K60" s="95"/>
      <c r="L60" s="95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8"/>
      <c r="Z60" s="38"/>
    </row>
    <row r="61" spans="1:26" ht="12.75" x14ac:dyDescent="0.2">
      <c r="A61" s="37"/>
      <c r="B61" s="100" t="s">
        <v>207</v>
      </c>
      <c r="C61" s="190"/>
      <c r="D61" s="101">
        <v>50</v>
      </c>
      <c r="E61" s="39">
        <f>50*30</f>
        <v>1500</v>
      </c>
      <c r="F61" s="203"/>
      <c r="G61" s="190"/>
      <c r="H61" s="34"/>
      <c r="I61" s="190"/>
      <c r="J61" s="95"/>
      <c r="K61" s="95"/>
      <c r="L61" s="95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8"/>
      <c r="Z61" s="38"/>
    </row>
    <row r="62" spans="1:26" ht="12.75" x14ac:dyDescent="0.2">
      <c r="A62" s="37"/>
      <c r="B62" s="100" t="s">
        <v>208</v>
      </c>
      <c r="C62" s="190"/>
      <c r="D62" s="101">
        <v>100</v>
      </c>
      <c r="E62" s="39">
        <f>100*50</f>
        <v>5000</v>
      </c>
      <c r="F62" s="203"/>
      <c r="G62" s="190"/>
      <c r="H62" s="34"/>
      <c r="I62" s="190"/>
      <c r="J62" s="95"/>
      <c r="K62" s="95"/>
      <c r="L62" s="95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8"/>
      <c r="Z62" s="38"/>
    </row>
    <row r="63" spans="1:26" ht="12.75" x14ac:dyDescent="0.2">
      <c r="A63" s="37"/>
      <c r="B63" s="100" t="s">
        <v>209</v>
      </c>
      <c r="C63" s="190"/>
      <c r="D63" s="101">
        <v>50</v>
      </c>
      <c r="E63" s="39">
        <f>50*20</f>
        <v>1000</v>
      </c>
      <c r="F63" s="203"/>
      <c r="G63" s="190"/>
      <c r="H63" s="34"/>
      <c r="I63" s="190"/>
      <c r="J63" s="95"/>
      <c r="K63" s="95"/>
      <c r="L63" s="95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8"/>
      <c r="Z63" s="38"/>
    </row>
    <row r="64" spans="1:26" ht="12.75" x14ac:dyDescent="0.2">
      <c r="A64" s="37"/>
      <c r="B64" s="100" t="s">
        <v>210</v>
      </c>
      <c r="C64" s="190"/>
      <c r="D64" s="101">
        <v>100</v>
      </c>
      <c r="E64" s="39">
        <f>100*40</f>
        <v>4000</v>
      </c>
      <c r="F64" s="203"/>
      <c r="G64" s="190"/>
      <c r="H64" s="34"/>
      <c r="I64" s="190"/>
      <c r="J64" s="95"/>
      <c r="K64" s="95"/>
      <c r="L64" s="95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8"/>
      <c r="Z64" s="38"/>
    </row>
    <row r="65" spans="1:26" ht="12.75" x14ac:dyDescent="0.2">
      <c r="A65" s="37"/>
      <c r="B65" s="100" t="s">
        <v>211</v>
      </c>
      <c r="C65" s="190"/>
      <c r="D65" s="101">
        <v>45</v>
      </c>
      <c r="E65" s="39">
        <f>45*30</f>
        <v>1350</v>
      </c>
      <c r="F65" s="203"/>
      <c r="G65" s="190"/>
      <c r="H65" s="34"/>
      <c r="I65" s="190"/>
      <c r="J65" s="95"/>
      <c r="K65" s="95"/>
      <c r="L65" s="95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8"/>
    </row>
    <row r="66" spans="1:26" ht="12.75" x14ac:dyDescent="0.2">
      <c r="A66" s="37"/>
      <c r="B66" s="100" t="s">
        <v>212</v>
      </c>
      <c r="C66" s="190"/>
      <c r="D66" s="101">
        <v>50</v>
      </c>
      <c r="E66" s="39">
        <f>50*30</f>
        <v>1500</v>
      </c>
      <c r="F66" s="203"/>
      <c r="G66" s="190"/>
      <c r="H66" s="34"/>
      <c r="I66" s="190"/>
      <c r="J66" s="95"/>
      <c r="K66" s="95"/>
      <c r="L66" s="95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38"/>
    </row>
    <row r="67" spans="1:26" ht="12.75" x14ac:dyDescent="0.2">
      <c r="A67" s="37"/>
      <c r="B67" s="100" t="s">
        <v>213</v>
      </c>
      <c r="C67" s="190"/>
      <c r="D67" s="101">
        <v>80</v>
      </c>
      <c r="E67" s="39">
        <f>80*10</f>
        <v>800</v>
      </c>
      <c r="F67" s="203"/>
      <c r="G67" s="190"/>
      <c r="H67" s="34"/>
      <c r="I67" s="190"/>
      <c r="J67" s="95"/>
      <c r="K67" s="95"/>
      <c r="L67" s="95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8"/>
      <c r="Z67" s="38"/>
    </row>
    <row r="68" spans="1:26" ht="12.75" x14ac:dyDescent="0.2">
      <c r="A68" s="37"/>
      <c r="B68" s="100" t="s">
        <v>214</v>
      </c>
      <c r="C68" s="190"/>
      <c r="D68" s="101">
        <v>200</v>
      </c>
      <c r="E68" s="39">
        <f>200*2</f>
        <v>400</v>
      </c>
      <c r="F68" s="203"/>
      <c r="G68" s="190"/>
      <c r="H68" s="34"/>
      <c r="I68" s="190"/>
      <c r="J68" s="95"/>
      <c r="K68" s="95"/>
      <c r="L68" s="95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8"/>
    </row>
    <row r="69" spans="1:26" ht="17.25" customHeight="1" x14ac:dyDescent="0.2">
      <c r="A69" s="37"/>
      <c r="B69" s="100" t="s">
        <v>215</v>
      </c>
      <c r="C69" s="190"/>
      <c r="D69" s="101">
        <v>70</v>
      </c>
      <c r="E69" s="39">
        <f>70*20</f>
        <v>1400</v>
      </c>
      <c r="F69" s="203"/>
      <c r="G69" s="190"/>
      <c r="H69" s="34"/>
      <c r="I69" s="190"/>
      <c r="J69" s="95"/>
      <c r="K69" s="95"/>
      <c r="L69" s="95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8"/>
    </row>
    <row r="70" spans="1:26" ht="12.75" x14ac:dyDescent="0.2">
      <c r="A70" s="37"/>
      <c r="B70" s="100" t="s">
        <v>216</v>
      </c>
      <c r="C70" s="190"/>
      <c r="D70" s="101">
        <v>120</v>
      </c>
      <c r="E70" s="39">
        <f>120*5</f>
        <v>600</v>
      </c>
      <c r="F70" s="203"/>
      <c r="G70" s="190"/>
      <c r="H70" s="34"/>
      <c r="I70" s="190"/>
      <c r="J70" s="95"/>
      <c r="K70" s="95"/>
      <c r="L70" s="95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8"/>
    </row>
    <row r="71" spans="1:26" ht="12.75" x14ac:dyDescent="0.2">
      <c r="A71" s="37"/>
      <c r="B71" s="100" t="s">
        <v>217</v>
      </c>
      <c r="C71" s="190"/>
      <c r="D71" s="101">
        <v>70</v>
      </c>
      <c r="E71" s="39">
        <f>70*20</f>
        <v>1400</v>
      </c>
      <c r="F71" s="203"/>
      <c r="G71" s="190"/>
      <c r="H71" s="34"/>
      <c r="I71" s="190"/>
      <c r="J71" s="95"/>
      <c r="K71" s="95"/>
      <c r="L71" s="95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8"/>
    </row>
    <row r="72" spans="1:26" ht="12.75" x14ac:dyDescent="0.2">
      <c r="A72" s="37"/>
      <c r="B72" s="100" t="s">
        <v>218</v>
      </c>
      <c r="C72" s="166"/>
      <c r="D72" s="101">
        <v>50</v>
      </c>
      <c r="E72" s="39">
        <f>50*1</f>
        <v>50</v>
      </c>
      <c r="F72" s="176"/>
      <c r="G72" s="166"/>
      <c r="H72" s="34"/>
      <c r="I72" s="166"/>
      <c r="J72" s="95"/>
      <c r="K72" s="95"/>
      <c r="L72" s="95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8"/>
    </row>
    <row r="73" spans="1:26" ht="12.75" x14ac:dyDescent="0.2">
      <c r="A73" s="37"/>
      <c r="B73" s="100" t="s">
        <v>219</v>
      </c>
      <c r="C73" s="200" t="s">
        <v>44</v>
      </c>
      <c r="D73" s="101">
        <v>130</v>
      </c>
      <c r="E73" s="39">
        <f>130*10</f>
        <v>1300</v>
      </c>
      <c r="F73" s="202" t="s">
        <v>31</v>
      </c>
      <c r="G73" s="189"/>
      <c r="H73" s="34"/>
      <c r="I73" s="189">
        <v>1</v>
      </c>
      <c r="J73" s="95"/>
      <c r="K73" s="95"/>
      <c r="L73" s="95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8"/>
    </row>
    <row r="74" spans="1:26" ht="12.75" x14ac:dyDescent="0.2">
      <c r="A74" s="37"/>
      <c r="B74" s="100" t="s">
        <v>220</v>
      </c>
      <c r="C74" s="190"/>
      <c r="D74" s="101">
        <v>150</v>
      </c>
      <c r="E74" s="39">
        <f>150*10</f>
        <v>1500</v>
      </c>
      <c r="F74" s="203"/>
      <c r="G74" s="190"/>
      <c r="H74" s="34"/>
      <c r="I74" s="190"/>
      <c r="J74" s="95"/>
      <c r="K74" s="95"/>
      <c r="L74" s="95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8"/>
      <c r="Z74" s="38"/>
    </row>
    <row r="75" spans="1:26" ht="12.75" x14ac:dyDescent="0.2">
      <c r="A75" s="37"/>
      <c r="B75" s="100" t="s">
        <v>221</v>
      </c>
      <c r="C75" s="166"/>
      <c r="D75" s="101">
        <v>400</v>
      </c>
      <c r="E75" s="39">
        <f>400*20</f>
        <v>8000</v>
      </c>
      <c r="F75" s="176"/>
      <c r="G75" s="166"/>
      <c r="H75" s="34"/>
      <c r="I75" s="166"/>
      <c r="J75" s="95"/>
      <c r="K75" s="95"/>
      <c r="L75" s="95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8"/>
    </row>
    <row r="76" spans="1:26" ht="12.75" x14ac:dyDescent="0.2">
      <c r="A76" s="37"/>
      <c r="B76" s="104" t="s">
        <v>222</v>
      </c>
      <c r="C76" s="34" t="s">
        <v>223</v>
      </c>
      <c r="D76" s="39">
        <v>1000</v>
      </c>
      <c r="E76" s="39">
        <v>40000</v>
      </c>
      <c r="F76" s="105" t="s">
        <v>31</v>
      </c>
      <c r="G76" s="34"/>
      <c r="H76" s="34"/>
      <c r="I76" s="34">
        <v>40</v>
      </c>
      <c r="J76" s="95"/>
      <c r="K76" s="95"/>
      <c r="L76" s="95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8"/>
      <c r="Z76" s="38"/>
    </row>
    <row r="77" spans="1:26" ht="12.75" x14ac:dyDescent="0.2">
      <c r="A77" s="37"/>
      <c r="B77" s="104" t="s">
        <v>224</v>
      </c>
      <c r="C77" s="34" t="s">
        <v>225</v>
      </c>
      <c r="D77" s="106">
        <f t="shared" ref="D77:E77" si="5">6000*4</f>
        <v>24000</v>
      </c>
      <c r="E77" s="39">
        <f t="shared" si="5"/>
        <v>24000</v>
      </c>
      <c r="F77" s="105" t="s">
        <v>31</v>
      </c>
      <c r="G77" s="34"/>
      <c r="H77" s="34"/>
      <c r="I77" s="34">
        <v>3</v>
      </c>
      <c r="J77" s="95"/>
      <c r="K77" s="95"/>
      <c r="L77" s="95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8"/>
    </row>
    <row r="78" spans="1:26" ht="36.75" customHeight="1" x14ac:dyDescent="0.2">
      <c r="A78" s="107"/>
      <c r="B78" s="108" t="s">
        <v>226</v>
      </c>
      <c r="C78" s="34" t="s">
        <v>44</v>
      </c>
      <c r="D78" s="27">
        <v>6720</v>
      </c>
      <c r="E78" s="27">
        <v>6720</v>
      </c>
      <c r="F78" s="109" t="s">
        <v>31</v>
      </c>
      <c r="G78" s="34"/>
      <c r="H78" s="34"/>
      <c r="I78" s="34">
        <v>1</v>
      </c>
      <c r="J78" s="95"/>
      <c r="K78" s="95"/>
      <c r="L78" s="95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8"/>
      <c r="Z78" s="38"/>
    </row>
    <row r="79" spans="1:26" ht="159" customHeight="1" x14ac:dyDescent="0.25">
      <c r="A79" s="107"/>
      <c r="B79" s="110" t="s">
        <v>274</v>
      </c>
      <c r="C79" s="34" t="s">
        <v>44</v>
      </c>
      <c r="D79" s="27">
        <f t="shared" ref="D79:E79" si="6">5000*55</f>
        <v>275000</v>
      </c>
      <c r="E79" s="27">
        <f t="shared" si="6"/>
        <v>275000</v>
      </c>
      <c r="F79" s="34" t="s">
        <v>65</v>
      </c>
      <c r="G79" s="34"/>
      <c r="H79" s="34"/>
      <c r="I79" s="34"/>
      <c r="J79" s="95"/>
      <c r="K79" s="95"/>
      <c r="L79" s="95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8"/>
      <c r="Z79" s="38"/>
    </row>
    <row r="80" spans="1:26" ht="12.75" x14ac:dyDescent="0.2">
      <c r="A80" s="37"/>
      <c r="B80" s="111" t="s">
        <v>228</v>
      </c>
      <c r="C80" s="34"/>
      <c r="D80" s="39"/>
      <c r="E80" s="39"/>
      <c r="F80" s="34"/>
      <c r="G80" s="34"/>
      <c r="H80" s="34"/>
      <c r="I80" s="34"/>
      <c r="J80" s="95"/>
      <c r="K80" s="95"/>
      <c r="L80" s="95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8"/>
      <c r="Z80" s="38"/>
    </row>
    <row r="81" spans="1:26" ht="143.25" customHeight="1" x14ac:dyDescent="0.2">
      <c r="A81" s="37"/>
      <c r="B81" s="41" t="s">
        <v>229</v>
      </c>
      <c r="C81" s="86" t="s">
        <v>44</v>
      </c>
      <c r="D81" s="87">
        <v>45000</v>
      </c>
      <c r="E81" s="87">
        <f>45000*5</f>
        <v>225000</v>
      </c>
      <c r="F81" s="86" t="s">
        <v>31</v>
      </c>
      <c r="G81" s="88" t="s">
        <v>155</v>
      </c>
      <c r="H81" s="89"/>
      <c r="I81" s="90">
        <v>1</v>
      </c>
      <c r="J81" s="95"/>
      <c r="K81" s="95"/>
      <c r="L81" s="95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8"/>
      <c r="Z81" s="38"/>
    </row>
    <row r="82" spans="1:26" ht="12.75" x14ac:dyDescent="0.2">
      <c r="A82" s="37"/>
      <c r="B82" s="16" t="s">
        <v>230</v>
      </c>
      <c r="C82" s="26" t="s">
        <v>44</v>
      </c>
      <c r="D82" s="27">
        <v>49990</v>
      </c>
      <c r="E82" s="27">
        <f>49990*2</f>
        <v>99980</v>
      </c>
      <c r="F82" s="26" t="s">
        <v>31</v>
      </c>
      <c r="G82" s="92" t="s">
        <v>155</v>
      </c>
      <c r="H82" s="93"/>
      <c r="I82" s="94">
        <v>2</v>
      </c>
      <c r="J82" s="95"/>
      <c r="K82" s="95"/>
      <c r="L82" s="95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8"/>
      <c r="Z82" s="38"/>
    </row>
    <row r="83" spans="1:26" ht="14.25" x14ac:dyDescent="0.2">
      <c r="A83" s="98"/>
      <c r="B83" s="33"/>
      <c r="C83" s="26"/>
      <c r="D83" s="27"/>
      <c r="E83" s="27"/>
      <c r="F83" s="26"/>
      <c r="G83" s="26"/>
      <c r="H83" s="112"/>
      <c r="I83" s="112"/>
      <c r="J83" s="113"/>
      <c r="K83" s="113"/>
      <c r="L83" s="93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1"/>
      <c r="X83" s="1"/>
      <c r="Y83" s="1"/>
      <c r="Z83" s="1"/>
    </row>
    <row r="84" spans="1:26" ht="15" x14ac:dyDescent="0.25">
      <c r="A84" s="78"/>
      <c r="B84" s="79" t="s">
        <v>42</v>
      </c>
      <c r="C84" s="112"/>
      <c r="D84" s="114"/>
      <c r="E84" s="114"/>
      <c r="F84" s="112"/>
      <c r="G84" s="112"/>
      <c r="H84" s="112"/>
      <c r="I84" s="112"/>
      <c r="J84" s="113"/>
      <c r="K84" s="113"/>
      <c r="L84" s="113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7"/>
      <c r="X84" s="7"/>
      <c r="Y84" s="7"/>
      <c r="Z84" s="7"/>
    </row>
    <row r="85" spans="1:26" ht="12.75" x14ac:dyDescent="0.2">
      <c r="A85" s="116"/>
      <c r="B85" s="25" t="s">
        <v>43</v>
      </c>
      <c r="C85" s="26" t="s">
        <v>231</v>
      </c>
      <c r="D85" s="27">
        <v>2000</v>
      </c>
      <c r="E85" s="27">
        <v>10000</v>
      </c>
      <c r="F85" s="26" t="s">
        <v>31</v>
      </c>
      <c r="G85" s="26" t="s">
        <v>45</v>
      </c>
      <c r="H85" s="26"/>
      <c r="I85" s="26">
        <v>6</v>
      </c>
      <c r="J85" s="92">
        <v>4</v>
      </c>
      <c r="K85" s="92"/>
      <c r="L85" s="92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67"/>
      <c r="X85" s="67"/>
      <c r="Y85" s="67"/>
      <c r="Z85" s="67"/>
    </row>
    <row r="86" spans="1:26" ht="12.75" x14ac:dyDescent="0.2">
      <c r="A86" s="16"/>
      <c r="B86" s="25" t="s">
        <v>232</v>
      </c>
      <c r="C86" s="26" t="s">
        <v>233</v>
      </c>
      <c r="D86" s="27">
        <v>3000</v>
      </c>
      <c r="E86" s="27">
        <f>3000*30</f>
        <v>90000</v>
      </c>
      <c r="F86" s="26" t="s">
        <v>31</v>
      </c>
      <c r="G86" s="26" t="s">
        <v>45</v>
      </c>
      <c r="H86" s="117"/>
      <c r="I86" s="26">
        <v>10</v>
      </c>
      <c r="J86" s="92">
        <v>20</v>
      </c>
      <c r="K86" s="92"/>
      <c r="L86" s="92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67"/>
      <c r="X86" s="67"/>
      <c r="Y86" s="1"/>
      <c r="Z86" s="1"/>
    </row>
    <row r="87" spans="1:26" ht="12.75" x14ac:dyDescent="0.2">
      <c r="A87" s="16"/>
      <c r="B87" s="25" t="s">
        <v>234</v>
      </c>
      <c r="C87" s="26" t="s">
        <v>235</v>
      </c>
      <c r="D87" s="27">
        <v>3000</v>
      </c>
      <c r="E87" s="27">
        <f>30000*20</f>
        <v>600000</v>
      </c>
      <c r="F87" s="26" t="s">
        <v>31</v>
      </c>
      <c r="G87" s="26" t="s">
        <v>45</v>
      </c>
      <c r="H87" s="26"/>
      <c r="I87" s="26"/>
      <c r="J87" s="92"/>
      <c r="K87" s="92"/>
      <c r="L87" s="92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67"/>
      <c r="X87" s="67"/>
      <c r="Y87" s="1"/>
      <c r="Z87" s="1"/>
    </row>
    <row r="88" spans="1:26" ht="15" x14ac:dyDescent="0.25">
      <c r="A88" s="78"/>
      <c r="B88" s="118" t="s">
        <v>50</v>
      </c>
      <c r="C88" s="119"/>
      <c r="D88" s="120"/>
      <c r="E88" s="120"/>
      <c r="F88" s="119"/>
      <c r="G88" s="119"/>
      <c r="H88" s="119" t="s">
        <v>236</v>
      </c>
      <c r="I88" s="119"/>
      <c r="J88" s="121"/>
      <c r="K88" s="121"/>
      <c r="L88" s="121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7"/>
      <c r="X88" s="7"/>
      <c r="Y88" s="7"/>
      <c r="Z88" s="7"/>
    </row>
    <row r="89" spans="1:26" ht="15" customHeight="1" x14ac:dyDescent="0.2">
      <c r="A89" s="16"/>
      <c r="B89" s="54" t="s">
        <v>51</v>
      </c>
      <c r="C89" s="26" t="s">
        <v>52</v>
      </c>
      <c r="D89" s="27">
        <v>750</v>
      </c>
      <c r="E89" s="27">
        <f>40*750</f>
        <v>30000</v>
      </c>
      <c r="F89" s="26" t="s">
        <v>31</v>
      </c>
      <c r="G89" s="26" t="s">
        <v>53</v>
      </c>
      <c r="H89" s="26"/>
      <c r="I89" s="26">
        <v>40</v>
      </c>
      <c r="J89" s="92"/>
      <c r="K89" s="92"/>
      <c r="L89" s="92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67"/>
      <c r="X89" s="67"/>
      <c r="Y89" s="1"/>
      <c r="Z89" s="1"/>
    </row>
    <row r="90" spans="1:26" ht="12.75" x14ac:dyDescent="0.2">
      <c r="A90" s="16"/>
      <c r="B90" s="55" t="s">
        <v>54</v>
      </c>
      <c r="C90" s="26" t="s">
        <v>55</v>
      </c>
      <c r="D90" s="27">
        <v>1000</v>
      </c>
      <c r="E90" s="27">
        <f>50*1000</f>
        <v>50000</v>
      </c>
      <c r="F90" s="26" t="s">
        <v>31</v>
      </c>
      <c r="G90" s="26" t="s">
        <v>53</v>
      </c>
      <c r="H90" s="26"/>
      <c r="I90" s="26">
        <v>50</v>
      </c>
      <c r="J90" s="92"/>
      <c r="K90" s="92"/>
      <c r="L90" s="92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67"/>
      <c r="X90" s="67"/>
      <c r="Y90" s="1"/>
      <c r="Z90" s="1"/>
    </row>
    <row r="91" spans="1:26" ht="12.75" x14ac:dyDescent="0.2">
      <c r="A91" s="16"/>
      <c r="B91" s="55" t="s">
        <v>56</v>
      </c>
      <c r="C91" s="26" t="s">
        <v>52</v>
      </c>
      <c r="D91" s="27">
        <v>750</v>
      </c>
      <c r="E91" s="27">
        <f>40*750</f>
        <v>30000</v>
      </c>
      <c r="F91" s="26" t="s">
        <v>31</v>
      </c>
      <c r="G91" s="26" t="s">
        <v>53</v>
      </c>
      <c r="H91" s="26"/>
      <c r="I91" s="26">
        <v>40</v>
      </c>
      <c r="J91" s="92"/>
      <c r="K91" s="92"/>
      <c r="L91" s="92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67"/>
      <c r="X91" s="67"/>
      <c r="Y91" s="1"/>
      <c r="Z91" s="1"/>
    </row>
    <row r="92" spans="1:26" ht="12.75" x14ac:dyDescent="0.2">
      <c r="A92" s="161"/>
      <c r="B92" s="55" t="s">
        <v>57</v>
      </c>
      <c r="C92" s="26" t="s">
        <v>58</v>
      </c>
      <c r="D92" s="27">
        <v>750</v>
      </c>
      <c r="E92" s="27">
        <f t="shared" ref="E92:E93" si="7">30*750</f>
        <v>22500</v>
      </c>
      <c r="F92" s="26" t="s">
        <v>31</v>
      </c>
      <c r="G92" s="26" t="s">
        <v>53</v>
      </c>
      <c r="H92" s="26"/>
      <c r="I92" s="26">
        <v>30</v>
      </c>
      <c r="J92" s="92">
        <v>30</v>
      </c>
      <c r="K92" s="92"/>
      <c r="L92" s="92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67"/>
      <c r="X92" s="67"/>
      <c r="Y92" s="1"/>
      <c r="Z92" s="1"/>
    </row>
    <row r="93" spans="1:26" ht="25.5" x14ac:dyDescent="0.2">
      <c r="A93" s="16"/>
      <c r="B93" s="54" t="s">
        <v>59</v>
      </c>
      <c r="C93" s="26" t="s">
        <v>58</v>
      </c>
      <c r="D93" s="27">
        <v>750</v>
      </c>
      <c r="E93" s="27">
        <f t="shared" si="7"/>
        <v>22500</v>
      </c>
      <c r="F93" s="26" t="s">
        <v>31</v>
      </c>
      <c r="G93" s="26" t="s">
        <v>53</v>
      </c>
      <c r="H93" s="26"/>
      <c r="I93" s="26">
        <v>30</v>
      </c>
      <c r="J93" s="92"/>
      <c r="K93" s="92"/>
      <c r="L93" s="92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67"/>
      <c r="X93" s="67"/>
      <c r="Y93" s="1"/>
      <c r="Z93" s="1"/>
    </row>
    <row r="94" spans="1:26" ht="14.25" x14ac:dyDescent="0.2">
      <c r="A94" s="16"/>
      <c r="B94" s="25" t="s">
        <v>237</v>
      </c>
      <c r="C94" s="26" t="s">
        <v>238</v>
      </c>
      <c r="D94" s="27">
        <v>750</v>
      </c>
      <c r="E94" s="27">
        <f>750*50</f>
        <v>37500</v>
      </c>
      <c r="F94" s="26" t="s">
        <v>31</v>
      </c>
      <c r="G94" s="26"/>
      <c r="H94" s="26"/>
      <c r="I94" s="26"/>
      <c r="J94" s="92"/>
      <c r="K94" s="92"/>
      <c r="L94" s="92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67"/>
      <c r="X94" s="67"/>
      <c r="Y94" s="7"/>
      <c r="Z94" s="7"/>
    </row>
    <row r="95" spans="1:26" ht="12.75" x14ac:dyDescent="0.2">
      <c r="A95" s="123"/>
      <c r="B95" s="124" t="s">
        <v>239</v>
      </c>
      <c r="C95" s="125" t="s">
        <v>240</v>
      </c>
      <c r="D95" s="126">
        <v>750</v>
      </c>
      <c r="E95" s="126">
        <v>15000</v>
      </c>
      <c r="F95" s="125" t="s">
        <v>31</v>
      </c>
      <c r="G95" s="125"/>
      <c r="H95" s="125"/>
      <c r="I95" s="125"/>
      <c r="J95" s="127"/>
      <c r="K95" s="127"/>
      <c r="L95" s="127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8"/>
      <c r="X95" s="128"/>
      <c r="Y95" s="128"/>
      <c r="Z95" s="128"/>
    </row>
    <row r="96" spans="1:26" ht="15" x14ac:dyDescent="0.25">
      <c r="A96" s="78"/>
      <c r="B96" s="79"/>
      <c r="C96" s="80"/>
      <c r="D96" s="81"/>
      <c r="E96" s="81"/>
      <c r="F96" s="80"/>
      <c r="G96" s="80"/>
      <c r="H96" s="129"/>
      <c r="I96" s="80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7"/>
      <c r="X96" s="7"/>
      <c r="Y96" s="7"/>
      <c r="Z96" s="7"/>
    </row>
    <row r="97" spans="1:26" ht="15" x14ac:dyDescent="0.25">
      <c r="A97" s="78"/>
      <c r="B97" s="79" t="s">
        <v>72</v>
      </c>
      <c r="C97" s="80"/>
      <c r="D97" s="81"/>
      <c r="E97" s="81"/>
      <c r="F97" s="80"/>
      <c r="G97" s="80"/>
      <c r="H97" s="129"/>
      <c r="I97" s="80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7"/>
      <c r="X97" s="7"/>
      <c r="Y97" s="7"/>
      <c r="Z97" s="7"/>
    </row>
    <row r="98" spans="1:26" ht="12.75" x14ac:dyDescent="0.2">
      <c r="A98" s="16"/>
      <c r="B98" s="25"/>
      <c r="C98" s="62"/>
      <c r="D98" s="63"/>
      <c r="E98" s="63"/>
      <c r="F98" s="62"/>
      <c r="G98" s="62"/>
      <c r="H98" s="43"/>
      <c r="I98" s="62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67"/>
      <c r="X98" s="67"/>
      <c r="Y98" s="1"/>
      <c r="Z98" s="1"/>
    </row>
    <row r="99" spans="1:26" ht="12.75" x14ac:dyDescent="0.2">
      <c r="A99" s="45"/>
      <c r="B99" s="33" t="s">
        <v>241</v>
      </c>
      <c r="C99" s="62" t="s">
        <v>242</v>
      </c>
      <c r="D99" s="63">
        <v>40000</v>
      </c>
      <c r="E99" s="63">
        <v>40000</v>
      </c>
      <c r="F99" s="62" t="s">
        <v>65</v>
      </c>
      <c r="G99" s="62"/>
      <c r="H99" s="43">
        <v>1</v>
      </c>
      <c r="I99" s="62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67"/>
      <c r="X99" s="67"/>
      <c r="Y99" s="1"/>
      <c r="Z99" s="1"/>
    </row>
    <row r="100" spans="1:26" ht="12.75" x14ac:dyDescent="0.2">
      <c r="A100" s="16"/>
      <c r="B100" s="25" t="s">
        <v>91</v>
      </c>
      <c r="C100" s="62"/>
      <c r="D100" s="63"/>
      <c r="E100" s="63"/>
      <c r="F100" s="62"/>
      <c r="G100" s="62"/>
      <c r="H100" s="43"/>
      <c r="I100" s="62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67"/>
      <c r="X100" s="67"/>
      <c r="Y100" s="1"/>
      <c r="Z100" s="1"/>
    </row>
    <row r="101" spans="1:26" ht="12.75" x14ac:dyDescent="0.2">
      <c r="A101" s="16"/>
      <c r="B101" s="37" t="s">
        <v>243</v>
      </c>
      <c r="C101" s="62"/>
      <c r="D101" s="63"/>
      <c r="E101" s="63"/>
      <c r="F101" s="62"/>
      <c r="G101" s="62"/>
      <c r="H101" s="43"/>
      <c r="I101" s="62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67"/>
      <c r="X101" s="67"/>
      <c r="Y101" s="1"/>
      <c r="Z101" s="1"/>
    </row>
    <row r="102" spans="1:26" ht="12.75" x14ac:dyDescent="0.2">
      <c r="A102" s="16"/>
      <c r="B102" s="37" t="s">
        <v>244</v>
      </c>
      <c r="C102" s="62"/>
      <c r="D102" s="63"/>
      <c r="E102" s="63"/>
      <c r="F102" s="62"/>
      <c r="G102" s="62"/>
      <c r="H102" s="43"/>
      <c r="I102" s="62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67"/>
      <c r="X102" s="67"/>
      <c r="Y102" s="1"/>
      <c r="Z102" s="1"/>
    </row>
    <row r="103" spans="1:26" ht="12.75" x14ac:dyDescent="0.2">
      <c r="A103" s="16"/>
      <c r="B103" s="54"/>
      <c r="C103" s="62"/>
      <c r="D103" s="63"/>
      <c r="E103" s="63"/>
      <c r="F103" s="62"/>
      <c r="G103" s="62"/>
      <c r="H103" s="43"/>
      <c r="I103" s="62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67"/>
      <c r="X103" s="67"/>
      <c r="Y103" s="1"/>
      <c r="Z103" s="1"/>
    </row>
    <row r="104" spans="1:26" ht="38.25" x14ac:dyDescent="0.2">
      <c r="A104" s="16"/>
      <c r="B104" s="54" t="s">
        <v>94</v>
      </c>
      <c r="C104" s="62" t="s">
        <v>44</v>
      </c>
      <c r="D104" s="63">
        <v>30000</v>
      </c>
      <c r="E104" s="63">
        <v>30000</v>
      </c>
      <c r="F104" s="62" t="s">
        <v>65</v>
      </c>
      <c r="G104" s="62"/>
      <c r="H104" s="43">
        <v>1</v>
      </c>
      <c r="I104" s="62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67"/>
      <c r="X104" s="67"/>
      <c r="Y104" s="1"/>
      <c r="Z104" s="1"/>
    </row>
    <row r="105" spans="1:26" ht="12.75" x14ac:dyDescent="0.2">
      <c r="A105" s="16"/>
      <c r="B105" s="25"/>
      <c r="C105" s="62"/>
      <c r="D105" s="63"/>
      <c r="E105" s="63"/>
      <c r="F105" s="62"/>
      <c r="G105" s="62"/>
      <c r="H105" s="43"/>
      <c r="I105" s="62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67"/>
      <c r="X105" s="67"/>
      <c r="Y105" s="1"/>
      <c r="Z105" s="1"/>
    </row>
    <row r="106" spans="1:26" ht="39.75" customHeight="1" x14ac:dyDescent="0.2">
      <c r="A106" s="116"/>
      <c r="B106" s="162" t="s">
        <v>275</v>
      </c>
      <c r="C106" s="62" t="s">
        <v>131</v>
      </c>
      <c r="D106" s="63">
        <v>200000</v>
      </c>
      <c r="E106" s="63">
        <v>200000</v>
      </c>
      <c r="F106" s="62" t="s">
        <v>65</v>
      </c>
      <c r="G106" s="62"/>
      <c r="H106" s="43"/>
      <c r="I106" s="62"/>
      <c r="J106" s="62">
        <v>1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67"/>
      <c r="X106" s="67"/>
      <c r="Y106" s="1"/>
      <c r="Z106" s="1"/>
    </row>
    <row r="107" spans="1:26" ht="45" customHeight="1" x14ac:dyDescent="0.2">
      <c r="A107" s="116"/>
      <c r="B107" s="131" t="s">
        <v>276</v>
      </c>
      <c r="C107" s="62" t="s">
        <v>247</v>
      </c>
      <c r="D107" s="63">
        <v>250000</v>
      </c>
      <c r="E107" s="63">
        <v>250000</v>
      </c>
      <c r="F107" s="62" t="s">
        <v>65</v>
      </c>
      <c r="G107" s="62"/>
      <c r="H107" s="43"/>
      <c r="I107" s="62"/>
      <c r="J107" s="62">
        <v>1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67"/>
      <c r="X107" s="67"/>
      <c r="Y107" s="1"/>
      <c r="Z107" s="1"/>
    </row>
    <row r="108" spans="1:26" ht="12.75" x14ac:dyDescent="0.2">
      <c r="A108" s="64"/>
      <c r="B108" s="61" t="s">
        <v>129</v>
      </c>
      <c r="C108" s="34">
        <v>560</v>
      </c>
      <c r="D108" s="34">
        <v>1500</v>
      </c>
      <c r="E108" s="39">
        <f>1500*C108</f>
        <v>840000</v>
      </c>
      <c r="F108" s="43" t="s">
        <v>65</v>
      </c>
      <c r="G108" s="44" t="s">
        <v>77</v>
      </c>
      <c r="H108" s="37"/>
      <c r="I108" s="37"/>
      <c r="J108" s="62">
        <v>1</v>
      </c>
      <c r="K108" s="37"/>
      <c r="L108" s="64"/>
      <c r="M108" s="64"/>
      <c r="N108" s="64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41.25" customHeight="1" x14ac:dyDescent="0.2">
      <c r="A109" s="116"/>
      <c r="B109" s="117" t="s">
        <v>277</v>
      </c>
      <c r="C109" s="62" t="s">
        <v>44</v>
      </c>
      <c r="D109" s="135">
        <v>5000</v>
      </c>
      <c r="E109" s="135">
        <v>5000</v>
      </c>
      <c r="F109" s="134" t="s">
        <v>31</v>
      </c>
      <c r="G109" s="62"/>
      <c r="H109" s="43"/>
      <c r="I109" s="62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67"/>
      <c r="X109" s="67"/>
      <c r="Y109" s="1"/>
      <c r="Z109" s="1"/>
    </row>
    <row r="110" spans="1:26" ht="15" x14ac:dyDescent="0.25">
      <c r="A110" s="78"/>
      <c r="B110" s="118" t="s">
        <v>95</v>
      </c>
      <c r="C110" s="136"/>
      <c r="D110" s="137"/>
      <c r="E110" s="137"/>
      <c r="F110" s="136"/>
      <c r="G110" s="136"/>
      <c r="H110" s="138"/>
      <c r="I110" s="136"/>
      <c r="J110" s="122"/>
      <c r="K110" s="122"/>
      <c r="L110" s="122"/>
      <c r="M110" s="122"/>
      <c r="N110" s="115"/>
      <c r="O110" s="115"/>
      <c r="P110" s="115"/>
      <c r="Q110" s="115"/>
      <c r="R110" s="115"/>
      <c r="S110" s="115"/>
      <c r="T110" s="115"/>
      <c r="U110" s="115"/>
      <c r="V110" s="115"/>
      <c r="W110" s="7"/>
      <c r="X110" s="7"/>
      <c r="Y110" s="7"/>
      <c r="Z110" s="7"/>
    </row>
    <row r="111" spans="1:26" ht="12.75" x14ac:dyDescent="0.2">
      <c r="A111" s="16"/>
      <c r="B111" s="25" t="s">
        <v>96</v>
      </c>
      <c r="C111" s="62" t="s">
        <v>97</v>
      </c>
      <c r="D111" s="63">
        <v>25000</v>
      </c>
      <c r="E111" s="63">
        <f>D111*30</f>
        <v>750000</v>
      </c>
      <c r="F111" s="62" t="s">
        <v>65</v>
      </c>
      <c r="G111" s="62"/>
      <c r="H111" s="43"/>
      <c r="I111" s="62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67"/>
      <c r="X111" s="67"/>
      <c r="Y111" s="1"/>
      <c r="Z111" s="1"/>
    </row>
    <row r="112" spans="1:26" ht="12.75" x14ac:dyDescent="0.2">
      <c r="A112" s="16"/>
      <c r="B112" s="25"/>
      <c r="C112" s="62"/>
      <c r="D112" s="63"/>
      <c r="E112" s="63"/>
      <c r="F112" s="62"/>
      <c r="G112" s="62"/>
      <c r="H112" s="43"/>
      <c r="I112" s="62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67"/>
      <c r="X112" s="67"/>
      <c r="Y112" s="1"/>
      <c r="Z112" s="1"/>
    </row>
    <row r="113" spans="1:26" ht="15" x14ac:dyDescent="0.25">
      <c r="A113" s="16"/>
      <c r="B113" s="139" t="s">
        <v>60</v>
      </c>
      <c r="C113" s="140"/>
      <c r="D113" s="141"/>
      <c r="E113" s="141"/>
      <c r="F113" s="140"/>
      <c r="G113" s="140"/>
      <c r="H113" s="142"/>
      <c r="I113" s="140"/>
      <c r="J113" s="143"/>
      <c r="K113" s="143"/>
      <c r="L113" s="143"/>
      <c r="M113" s="143"/>
      <c r="N113" s="25"/>
      <c r="O113" s="25"/>
      <c r="P113" s="25"/>
      <c r="Q113" s="25"/>
      <c r="R113" s="25"/>
      <c r="S113" s="25"/>
      <c r="T113" s="25"/>
      <c r="U113" s="25"/>
      <c r="V113" s="25"/>
      <c r="W113" s="67"/>
      <c r="X113" s="67"/>
      <c r="Y113" s="1"/>
      <c r="Z113" s="1"/>
    </row>
    <row r="114" spans="1:26" ht="12.75" x14ac:dyDescent="0.2">
      <c r="A114" s="16"/>
      <c r="B114" s="25" t="s">
        <v>249</v>
      </c>
      <c r="C114" s="62">
        <v>8</v>
      </c>
      <c r="D114" s="63">
        <v>2500</v>
      </c>
      <c r="E114" s="63">
        <f>D114*8</f>
        <v>20000</v>
      </c>
      <c r="F114" s="62"/>
      <c r="G114" s="62"/>
      <c r="H114" s="43"/>
      <c r="I114" s="62">
        <v>8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67"/>
      <c r="X114" s="67"/>
      <c r="Y114" s="1"/>
      <c r="Z114" s="1"/>
    </row>
    <row r="115" spans="1:26" ht="12.75" x14ac:dyDescent="0.2">
      <c r="A115" s="65"/>
      <c r="B115" s="65" t="s">
        <v>250</v>
      </c>
      <c r="C115" s="144">
        <v>5</v>
      </c>
      <c r="D115" s="135">
        <v>500</v>
      </c>
      <c r="E115" s="63">
        <f t="shared" ref="E115:E116" si="8">D115*5</f>
        <v>2500</v>
      </c>
      <c r="F115" s="65"/>
      <c r="G115" s="65"/>
      <c r="H115" s="65"/>
      <c r="I115" s="144">
        <v>5</v>
      </c>
      <c r="J115" s="65"/>
      <c r="K115" s="65"/>
      <c r="L115" s="65"/>
      <c r="M115" s="65"/>
      <c r="N115" s="65"/>
      <c r="O115" s="65"/>
      <c r="P115" s="65"/>
      <c r="Q115" s="65"/>
      <c r="R115" s="65"/>
    </row>
    <row r="116" spans="1:26" ht="12.75" x14ac:dyDescent="0.2">
      <c r="A116" s="65"/>
      <c r="B116" s="65" t="s">
        <v>251</v>
      </c>
      <c r="C116" s="144">
        <v>5</v>
      </c>
      <c r="D116" s="135">
        <v>500</v>
      </c>
      <c r="E116" s="63">
        <f t="shared" si="8"/>
        <v>2500</v>
      </c>
      <c r="F116" s="65"/>
      <c r="G116" s="65"/>
      <c r="H116" s="65"/>
      <c r="I116" s="144">
        <v>5</v>
      </c>
      <c r="J116" s="65"/>
      <c r="K116" s="65"/>
      <c r="L116" s="65"/>
      <c r="M116" s="65"/>
      <c r="N116" s="65"/>
      <c r="O116" s="65"/>
      <c r="P116" s="65"/>
      <c r="Q116" s="65"/>
      <c r="R116" s="65"/>
    </row>
    <row r="117" spans="1:26" ht="12.75" x14ac:dyDescent="0.2">
      <c r="A117" s="65"/>
      <c r="B117" s="65" t="s">
        <v>252</v>
      </c>
      <c r="C117" s="144">
        <v>8</v>
      </c>
      <c r="D117" s="135">
        <v>1000</v>
      </c>
      <c r="E117" s="63">
        <f t="shared" ref="E117:E118" si="9">D117*8</f>
        <v>8000</v>
      </c>
      <c r="F117" s="65"/>
      <c r="G117" s="65"/>
      <c r="H117" s="65"/>
      <c r="I117" s="144">
        <v>8</v>
      </c>
      <c r="J117" s="65"/>
      <c r="K117" s="65"/>
      <c r="L117" s="65"/>
      <c r="M117" s="65"/>
      <c r="N117" s="65"/>
      <c r="O117" s="65"/>
      <c r="P117" s="65"/>
      <c r="Q117" s="65"/>
      <c r="R117" s="65"/>
    </row>
    <row r="118" spans="1:26" ht="12.75" x14ac:dyDescent="0.2">
      <c r="A118" s="65"/>
      <c r="B118" s="65" t="s">
        <v>253</v>
      </c>
      <c r="C118" s="144">
        <v>8</v>
      </c>
      <c r="D118" s="135">
        <v>600</v>
      </c>
      <c r="E118" s="63">
        <f t="shared" si="9"/>
        <v>4800</v>
      </c>
      <c r="F118" s="65"/>
      <c r="G118" s="65"/>
      <c r="H118" s="65"/>
      <c r="I118" s="144">
        <v>8</v>
      </c>
      <c r="J118" s="65"/>
      <c r="K118" s="65"/>
      <c r="L118" s="65"/>
      <c r="M118" s="65"/>
      <c r="N118" s="65"/>
      <c r="O118" s="65"/>
      <c r="P118" s="65"/>
      <c r="Q118" s="65"/>
      <c r="R118" s="65"/>
    </row>
    <row r="119" spans="1:26" ht="12.75" x14ac:dyDescent="0.2">
      <c r="A119" s="65"/>
      <c r="B119" s="65" t="s">
        <v>254</v>
      </c>
      <c r="C119" s="144">
        <v>4</v>
      </c>
      <c r="D119" s="135">
        <v>5500</v>
      </c>
      <c r="E119" s="63">
        <f>D119*4</f>
        <v>22000</v>
      </c>
      <c r="F119" s="65"/>
      <c r="G119" s="65"/>
      <c r="H119" s="65"/>
      <c r="I119" s="144">
        <v>4</v>
      </c>
      <c r="J119" s="65"/>
      <c r="K119" s="65"/>
      <c r="L119" s="65"/>
      <c r="M119" s="65"/>
      <c r="N119" s="65"/>
      <c r="O119" s="65"/>
      <c r="P119" s="65"/>
      <c r="Q119" s="65"/>
      <c r="R119" s="65"/>
    </row>
    <row r="120" spans="1:26" ht="12.75" x14ac:dyDescent="0.2">
      <c r="A120" s="65"/>
      <c r="B120" s="65"/>
      <c r="C120" s="65"/>
      <c r="D120" s="144"/>
      <c r="E120" s="144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</row>
    <row r="121" spans="1:26" ht="15" x14ac:dyDescent="0.25">
      <c r="A121" s="78"/>
      <c r="B121" s="79" t="s">
        <v>98</v>
      </c>
      <c r="C121" s="80"/>
      <c r="D121" s="81"/>
      <c r="E121" s="81"/>
      <c r="F121" s="80"/>
      <c r="G121" s="80"/>
      <c r="H121" s="129"/>
      <c r="I121" s="80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7"/>
      <c r="X121" s="7"/>
      <c r="Y121" s="7"/>
      <c r="Z121" s="7"/>
    </row>
    <row r="122" spans="1:26" ht="12.75" x14ac:dyDescent="0.2">
      <c r="A122" s="16"/>
      <c r="B122" s="25"/>
      <c r="C122" s="62"/>
      <c r="D122" s="63"/>
      <c r="E122" s="63"/>
      <c r="F122" s="62"/>
      <c r="G122" s="62"/>
      <c r="H122" s="43"/>
      <c r="I122" s="62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67"/>
      <c r="X122" s="67"/>
      <c r="Y122" s="1"/>
      <c r="Z122" s="1"/>
    </row>
    <row r="123" spans="1:26" ht="12.75" x14ac:dyDescent="0.2">
      <c r="A123" s="16"/>
      <c r="B123" s="33" t="s">
        <v>255</v>
      </c>
      <c r="C123" s="62"/>
      <c r="D123" s="63"/>
      <c r="E123" s="63"/>
      <c r="F123" s="62"/>
      <c r="G123" s="62"/>
      <c r="H123" s="43"/>
      <c r="I123" s="62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67"/>
      <c r="X123" s="67"/>
      <c r="Y123" s="1"/>
      <c r="Z123" s="1"/>
    </row>
    <row r="124" spans="1:26" ht="12.75" x14ac:dyDescent="0.2">
      <c r="A124" s="16"/>
      <c r="B124" s="25" t="s">
        <v>256</v>
      </c>
      <c r="C124" s="62"/>
      <c r="D124" s="63"/>
      <c r="E124" s="63"/>
      <c r="F124" s="145"/>
      <c r="G124" s="62"/>
      <c r="H124" s="43"/>
      <c r="I124" s="62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67"/>
      <c r="X124" s="67"/>
      <c r="Y124" s="1"/>
      <c r="Z124" s="1"/>
    </row>
    <row r="125" spans="1:26" ht="12.75" x14ac:dyDescent="0.2">
      <c r="A125" s="16"/>
      <c r="B125" s="25" t="s">
        <v>257</v>
      </c>
      <c r="C125" s="62">
        <v>5</v>
      </c>
      <c r="D125" s="63">
        <v>6200</v>
      </c>
      <c r="E125" s="63">
        <f t="shared" ref="E125:E127" si="10">D125*C125</f>
        <v>31000</v>
      </c>
      <c r="F125" s="189" t="s">
        <v>65</v>
      </c>
      <c r="G125" s="62"/>
      <c r="H125" s="43"/>
      <c r="I125" s="62">
        <v>5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67"/>
      <c r="X125" s="67"/>
      <c r="Y125" s="1"/>
      <c r="Z125" s="1"/>
    </row>
    <row r="126" spans="1:26" ht="12.75" x14ac:dyDescent="0.2">
      <c r="A126" s="16"/>
      <c r="B126" s="25" t="s">
        <v>258</v>
      </c>
      <c r="C126" s="62">
        <v>1</v>
      </c>
      <c r="D126" s="63">
        <v>5150</v>
      </c>
      <c r="E126" s="63">
        <f t="shared" si="10"/>
        <v>5150</v>
      </c>
      <c r="F126" s="190"/>
      <c r="G126" s="62"/>
      <c r="H126" s="43"/>
      <c r="I126" s="62">
        <v>1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67"/>
      <c r="X126" s="67"/>
      <c r="Y126" s="1"/>
      <c r="Z126" s="1"/>
    </row>
    <row r="127" spans="1:26" ht="12.75" x14ac:dyDescent="0.2">
      <c r="A127" s="37"/>
      <c r="B127" s="37" t="s">
        <v>259</v>
      </c>
      <c r="C127" s="146">
        <v>2</v>
      </c>
      <c r="D127" s="147">
        <v>4000</v>
      </c>
      <c r="E127" s="147">
        <f t="shared" si="10"/>
        <v>8000</v>
      </c>
      <c r="F127" s="166"/>
      <c r="G127" s="146"/>
      <c r="H127" s="146"/>
      <c r="I127" s="146">
        <v>2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65"/>
      <c r="Z127" s="65"/>
    </row>
    <row r="128" spans="1:26" ht="12.75" x14ac:dyDescent="0.2">
      <c r="A128" s="148"/>
      <c r="B128" s="37"/>
      <c r="C128" s="146"/>
      <c r="D128" s="147"/>
      <c r="E128" s="147"/>
      <c r="F128" s="62"/>
      <c r="G128" s="62"/>
      <c r="H128" s="43"/>
      <c r="I128" s="146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65"/>
      <c r="Z128" s="65"/>
    </row>
    <row r="129" spans="1:26" ht="12.75" x14ac:dyDescent="0.2">
      <c r="A129" s="16"/>
      <c r="B129" s="25" t="s">
        <v>260</v>
      </c>
      <c r="C129" s="62" t="s">
        <v>261</v>
      </c>
      <c r="D129" s="63">
        <v>43000</v>
      </c>
      <c r="E129" s="63">
        <v>43000</v>
      </c>
      <c r="F129" s="62" t="s">
        <v>65</v>
      </c>
      <c r="G129" s="62" t="s">
        <v>77</v>
      </c>
      <c r="H129" s="43"/>
      <c r="I129" s="62">
        <v>12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67"/>
      <c r="X129" s="67"/>
      <c r="Y129" s="1"/>
      <c r="Z129" s="1"/>
    </row>
    <row r="130" spans="1:26" ht="12.75" x14ac:dyDescent="0.2">
      <c r="A130" s="45"/>
      <c r="B130" s="33"/>
      <c r="C130" s="62"/>
      <c r="D130" s="63"/>
      <c r="E130" s="63"/>
      <c r="F130" s="62"/>
      <c r="G130" s="62"/>
      <c r="H130" s="43"/>
      <c r="I130" s="62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67"/>
      <c r="X130" s="67"/>
    </row>
    <row r="131" spans="1:26" ht="12.75" x14ac:dyDescent="0.2">
      <c r="A131" s="148"/>
      <c r="B131" s="61" t="s">
        <v>127</v>
      </c>
      <c r="C131" s="146" t="s">
        <v>262</v>
      </c>
      <c r="D131" s="147">
        <v>7500</v>
      </c>
      <c r="E131" s="147">
        <f>7500*7</f>
        <v>52500</v>
      </c>
      <c r="F131" s="62" t="s">
        <v>65</v>
      </c>
      <c r="G131" s="62" t="s">
        <v>53</v>
      </c>
      <c r="H131" s="43">
        <v>1</v>
      </c>
      <c r="I131" s="146">
        <v>7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65"/>
      <c r="Z131" s="65"/>
    </row>
    <row r="132" spans="1:26" ht="12.75" x14ac:dyDescent="0.2">
      <c r="A132" s="37"/>
      <c r="B132" s="67"/>
      <c r="C132" s="146"/>
      <c r="D132" s="146"/>
      <c r="E132" s="146"/>
      <c r="F132" s="146"/>
      <c r="G132" s="146"/>
      <c r="H132" s="146"/>
      <c r="I132" s="146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65"/>
      <c r="Z132" s="65"/>
    </row>
    <row r="134" spans="1:26" ht="12.75" x14ac:dyDescent="0.2">
      <c r="A134" s="37"/>
      <c r="B134" s="37"/>
      <c r="C134" s="146"/>
      <c r="D134" s="146"/>
      <c r="E134" s="146"/>
      <c r="F134" s="62"/>
      <c r="G134" s="62"/>
      <c r="H134" s="62"/>
      <c r="I134" s="146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65"/>
      <c r="Z134" s="65"/>
    </row>
    <row r="135" spans="1:26" ht="12.75" x14ac:dyDescent="0.2">
      <c r="A135" s="37"/>
      <c r="B135" s="61" t="s">
        <v>263</v>
      </c>
      <c r="C135" s="146" t="s">
        <v>131</v>
      </c>
      <c r="D135" s="146"/>
      <c r="E135" s="147">
        <v>6750</v>
      </c>
      <c r="F135" s="62" t="s">
        <v>65</v>
      </c>
      <c r="G135" s="62" t="s">
        <v>77</v>
      </c>
      <c r="H135" s="146">
        <v>1</v>
      </c>
      <c r="I135" s="146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65"/>
      <c r="Z135" s="65"/>
    </row>
    <row r="136" spans="1:26" ht="12.75" x14ac:dyDescent="0.2">
      <c r="A136" s="37"/>
      <c r="B136" s="37" t="s">
        <v>264</v>
      </c>
      <c r="C136" s="146"/>
      <c r="D136" s="146"/>
      <c r="E136" s="146"/>
      <c r="F136" s="146"/>
      <c r="G136" s="146"/>
      <c r="H136" s="146"/>
      <c r="I136" s="146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65"/>
      <c r="Z136" s="65"/>
    </row>
    <row r="137" spans="1:26" ht="12.75" x14ac:dyDescent="0.2">
      <c r="A137" s="37"/>
      <c r="B137" s="37" t="s">
        <v>265</v>
      </c>
      <c r="C137" s="146"/>
      <c r="D137" s="146"/>
      <c r="E137" s="146"/>
      <c r="F137" s="146"/>
      <c r="G137" s="146"/>
      <c r="H137" s="146"/>
      <c r="I137" s="146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65"/>
      <c r="Z137" s="65"/>
    </row>
    <row r="138" spans="1:26" ht="12.75" x14ac:dyDescent="0.2">
      <c r="A138" s="37"/>
      <c r="B138" s="37" t="s">
        <v>266</v>
      </c>
      <c r="C138" s="146"/>
      <c r="D138" s="146"/>
      <c r="E138" s="146"/>
      <c r="F138" s="146"/>
      <c r="G138" s="146"/>
      <c r="H138" s="146"/>
      <c r="I138" s="146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65"/>
      <c r="Z138" s="65"/>
    </row>
    <row r="139" spans="1:26" ht="12.75" x14ac:dyDescent="0.2">
      <c r="A139" s="37"/>
      <c r="B139" s="149" t="s">
        <v>267</v>
      </c>
      <c r="C139" s="146"/>
      <c r="D139" s="146"/>
      <c r="E139" s="146"/>
      <c r="F139" s="146"/>
      <c r="G139" s="146"/>
      <c r="H139" s="146"/>
      <c r="I139" s="146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65"/>
      <c r="Z139" s="65"/>
    </row>
    <row r="140" spans="1:26" ht="12.75" x14ac:dyDescent="0.2">
      <c r="A140" s="37"/>
      <c r="B140" s="37" t="s">
        <v>268</v>
      </c>
      <c r="C140" s="146"/>
      <c r="D140" s="146"/>
      <c r="E140" s="146"/>
      <c r="F140" s="146"/>
      <c r="G140" s="146"/>
      <c r="H140" s="146"/>
      <c r="I140" s="146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65"/>
      <c r="Z140" s="65"/>
    </row>
    <row r="141" spans="1:26" ht="12.75" x14ac:dyDescent="0.2">
      <c r="A141" s="37"/>
      <c r="B141" s="37" t="s">
        <v>269</v>
      </c>
      <c r="C141" s="146"/>
      <c r="D141" s="146"/>
      <c r="E141" s="146"/>
      <c r="F141" s="146"/>
      <c r="G141" s="146"/>
      <c r="H141" s="146"/>
      <c r="I141" s="146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65"/>
      <c r="Z141" s="65"/>
    </row>
    <row r="142" spans="1:26" ht="36.75" customHeight="1" x14ac:dyDescent="0.2">
      <c r="A142" s="107"/>
      <c r="B142" s="108" t="s">
        <v>226</v>
      </c>
      <c r="C142" s="34" t="s">
        <v>44</v>
      </c>
      <c r="D142" s="27">
        <v>6720</v>
      </c>
      <c r="E142" s="27">
        <v>6720</v>
      </c>
      <c r="F142" s="109" t="s">
        <v>31</v>
      </c>
      <c r="G142" s="34"/>
      <c r="H142" s="34"/>
      <c r="J142" s="34">
        <v>1</v>
      </c>
      <c r="K142" s="95"/>
      <c r="L142" s="95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8"/>
      <c r="Z142" s="38"/>
    </row>
    <row r="143" spans="1:26" ht="12.75" x14ac:dyDescent="0.2">
      <c r="A143" s="37"/>
      <c r="C143" s="146"/>
      <c r="D143" s="146"/>
      <c r="E143" s="146"/>
      <c r="F143" s="146"/>
      <c r="G143" s="146"/>
      <c r="H143" s="146"/>
      <c r="I143" s="146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65"/>
      <c r="Z143" s="65"/>
    </row>
    <row r="144" spans="1:26" ht="14.25" x14ac:dyDescent="0.2">
      <c r="A144" s="98"/>
      <c r="B144" s="37" t="s">
        <v>123</v>
      </c>
      <c r="C144" s="62" t="s">
        <v>44</v>
      </c>
      <c r="D144" s="63">
        <v>15500</v>
      </c>
      <c r="E144" s="63">
        <v>15500</v>
      </c>
      <c r="F144" s="150"/>
      <c r="G144" s="115"/>
      <c r="H144" s="151"/>
      <c r="I144" s="152"/>
      <c r="J144" s="115">
        <v>1</v>
      </c>
      <c r="K144" s="115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1"/>
      <c r="X144" s="1"/>
      <c r="Y144" s="1"/>
      <c r="Z144" s="1"/>
    </row>
    <row r="145" spans="1:26" ht="12.75" x14ac:dyDescent="0.2">
      <c r="A145" s="37"/>
      <c r="B145" s="37"/>
      <c r="C145" s="146"/>
      <c r="D145" s="146"/>
      <c r="E145" s="146"/>
      <c r="F145" s="146"/>
      <c r="G145" s="146"/>
      <c r="H145" s="146"/>
      <c r="I145" s="146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65"/>
      <c r="Z145" s="65"/>
    </row>
    <row r="146" spans="1:26" ht="12.75" x14ac:dyDescent="0.2">
      <c r="A146" s="16"/>
      <c r="B146" s="61" t="s">
        <v>270</v>
      </c>
      <c r="C146" s="146" t="s">
        <v>131</v>
      </c>
      <c r="D146" s="153">
        <v>230000</v>
      </c>
      <c r="E146" s="153">
        <v>230000</v>
      </c>
      <c r="F146" s="62"/>
      <c r="G146" s="62"/>
      <c r="H146" s="43"/>
      <c r="I146" s="62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67"/>
      <c r="X146" s="67"/>
      <c r="Y146" s="1"/>
      <c r="Z146" s="1"/>
    </row>
    <row r="147" spans="1:26" ht="12.75" x14ac:dyDescent="0.2">
      <c r="A147" s="16"/>
      <c r="B147" s="37" t="s">
        <v>234</v>
      </c>
      <c r="C147" s="154"/>
      <c r="D147" s="154"/>
      <c r="E147" s="154"/>
      <c r="F147" s="62"/>
      <c r="G147" s="62"/>
      <c r="H147" s="43"/>
      <c r="I147" s="62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67"/>
      <c r="X147" s="67"/>
      <c r="Y147" s="1"/>
      <c r="Z147" s="1"/>
    </row>
    <row r="148" spans="1:26" ht="25.5" x14ac:dyDescent="0.2">
      <c r="A148" s="16"/>
      <c r="B148" s="41" t="s">
        <v>271</v>
      </c>
      <c r="C148" s="154"/>
      <c r="D148" s="154"/>
      <c r="E148" s="154"/>
      <c r="F148" s="62"/>
      <c r="G148" s="62"/>
      <c r="H148" s="43"/>
      <c r="I148" s="62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67"/>
      <c r="X148" s="67"/>
      <c r="Y148" s="1"/>
      <c r="Z148" s="1"/>
    </row>
    <row r="149" spans="1:26" ht="12.75" x14ac:dyDescent="0.2">
      <c r="A149" s="16"/>
      <c r="B149" s="37" t="s">
        <v>272</v>
      </c>
      <c r="C149" s="154"/>
      <c r="D149" s="154"/>
      <c r="E149" s="154"/>
      <c r="F149" s="62"/>
      <c r="G149" s="62"/>
      <c r="H149" s="43"/>
      <c r="I149" s="62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67"/>
      <c r="X149" s="67"/>
      <c r="Y149" s="1"/>
      <c r="Z149" s="1"/>
    </row>
    <row r="150" spans="1:26" ht="12.75" x14ac:dyDescent="0.2">
      <c r="A150" s="16"/>
      <c r="B150" s="37" t="s">
        <v>273</v>
      </c>
      <c r="C150" s="154"/>
      <c r="D150" s="154"/>
      <c r="E150" s="154"/>
      <c r="F150" s="62"/>
      <c r="G150" s="62"/>
      <c r="H150" s="43"/>
      <c r="I150" s="62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67"/>
      <c r="X150" s="67"/>
      <c r="Y150" s="1"/>
      <c r="Z150" s="1"/>
    </row>
    <row r="151" spans="1:26" ht="12.75" x14ac:dyDescent="0.2">
      <c r="A151" s="16"/>
      <c r="B151" s="65"/>
      <c r="C151" s="144"/>
      <c r="D151" s="144"/>
      <c r="E151" s="144"/>
      <c r="F151" s="62"/>
      <c r="G151" s="62"/>
      <c r="H151" s="43"/>
      <c r="I151" s="62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67"/>
      <c r="X151" s="67"/>
      <c r="Y151" s="1"/>
      <c r="Z151" s="1"/>
    </row>
    <row r="152" spans="1:26" ht="12.75" x14ac:dyDescent="0.2">
      <c r="A152" s="16"/>
      <c r="B152" s="180" t="s">
        <v>133</v>
      </c>
      <c r="C152" s="164"/>
      <c r="D152" s="164"/>
      <c r="E152" s="164"/>
      <c r="F152" s="164"/>
      <c r="G152" s="164"/>
      <c r="H152" s="164"/>
      <c r="I152" s="176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67"/>
      <c r="X152" s="67"/>
      <c r="Y152" s="1"/>
      <c r="Z152" s="1"/>
    </row>
    <row r="153" spans="1:26" ht="12.75" x14ac:dyDescent="0.2">
      <c r="A153" s="67"/>
      <c r="B153" s="67"/>
      <c r="C153" s="155"/>
      <c r="D153" s="156"/>
      <c r="E153" s="157"/>
      <c r="F153" s="158"/>
      <c r="G153" s="158"/>
      <c r="H153" s="158"/>
      <c r="I153" s="155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1"/>
      <c r="Z153" s="1"/>
    </row>
    <row r="154" spans="1:26" ht="12.75" x14ac:dyDescent="0.2">
      <c r="A154" s="191" t="s">
        <v>134</v>
      </c>
      <c r="B154" s="168"/>
      <c r="C154" s="155"/>
      <c r="D154" s="156"/>
      <c r="E154" s="159">
        <v>19500000</v>
      </c>
      <c r="F154" s="158"/>
      <c r="G154" s="158"/>
      <c r="H154" s="158"/>
      <c r="I154" s="155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1"/>
      <c r="Z154" s="1"/>
    </row>
    <row r="155" spans="1:26" ht="12.75" x14ac:dyDescent="0.2">
      <c r="A155" s="67"/>
      <c r="B155" s="67"/>
      <c r="C155" s="155"/>
      <c r="D155" s="156"/>
      <c r="E155" s="156"/>
      <c r="F155" s="158"/>
      <c r="G155" s="158"/>
      <c r="H155" s="158"/>
      <c r="I155" s="155"/>
      <c r="J155" s="192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67"/>
      <c r="V155" s="67"/>
      <c r="W155" s="67"/>
      <c r="X155" s="67"/>
      <c r="Y155" s="1"/>
      <c r="Z155" s="1"/>
    </row>
    <row r="156" spans="1:26" ht="12.75" x14ac:dyDescent="0.2">
      <c r="A156" s="193" t="s">
        <v>135</v>
      </c>
      <c r="B156" s="168"/>
      <c r="C156" s="168"/>
      <c r="D156" s="168"/>
      <c r="E156" s="156"/>
      <c r="F156" s="158"/>
      <c r="G156" s="158"/>
      <c r="H156" s="158"/>
      <c r="I156" s="155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1"/>
      <c r="Z156" s="1"/>
    </row>
    <row r="157" spans="1:26" ht="12.75" x14ac:dyDescent="0.2">
      <c r="A157" s="67"/>
      <c r="B157" s="67"/>
      <c r="C157" s="155"/>
      <c r="D157" s="156"/>
      <c r="E157" s="156"/>
      <c r="F157" s="158"/>
      <c r="G157" s="158"/>
      <c r="H157" s="158"/>
      <c r="I157" s="155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1"/>
      <c r="Z157" s="1"/>
    </row>
    <row r="158" spans="1:26" ht="12.75" x14ac:dyDescent="0.2">
      <c r="A158" s="194" t="s">
        <v>136</v>
      </c>
      <c r="B158" s="168"/>
      <c r="C158" s="195" t="s">
        <v>137</v>
      </c>
      <c r="D158" s="168"/>
      <c r="E158" s="168"/>
      <c r="F158" s="158"/>
      <c r="G158" s="158"/>
      <c r="H158" s="158"/>
      <c r="I158" s="195" t="s">
        <v>138</v>
      </c>
      <c r="J158" s="168"/>
      <c r="K158" s="168"/>
      <c r="L158" s="168"/>
      <c r="M158" s="168"/>
      <c r="N158" s="168"/>
      <c r="O158" s="67"/>
      <c r="P158" s="67"/>
      <c r="Q158" s="194" t="s">
        <v>139</v>
      </c>
      <c r="R158" s="168"/>
      <c r="S158" s="168"/>
      <c r="T158" s="168"/>
      <c r="U158" s="67"/>
      <c r="V158" s="192"/>
      <c r="W158" s="168"/>
      <c r="X158" s="67"/>
      <c r="Y158" s="1"/>
      <c r="Z158" s="1"/>
    </row>
    <row r="159" spans="1:26" ht="12.75" x14ac:dyDescent="0.2">
      <c r="A159" s="67"/>
      <c r="B159" s="67"/>
      <c r="C159" s="155"/>
      <c r="D159" s="156"/>
      <c r="E159" s="156"/>
      <c r="F159" s="158"/>
      <c r="G159" s="158"/>
      <c r="H159" s="158"/>
      <c r="I159" s="155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1"/>
      <c r="Z159" s="1"/>
    </row>
    <row r="160" spans="1:26" ht="12.75" x14ac:dyDescent="0.2">
      <c r="A160" s="67"/>
      <c r="B160" s="67"/>
      <c r="C160" s="155"/>
      <c r="D160" s="156"/>
      <c r="E160" s="156"/>
      <c r="F160" s="158"/>
      <c r="G160" s="158"/>
      <c r="H160" s="158"/>
      <c r="I160" s="155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1"/>
      <c r="Z160" s="1"/>
    </row>
    <row r="161" spans="1:26" ht="12.75" x14ac:dyDescent="0.2">
      <c r="A161" s="191" t="s">
        <v>140</v>
      </c>
      <c r="B161" s="168"/>
      <c r="C161" s="195" t="s">
        <v>141</v>
      </c>
      <c r="D161" s="168"/>
      <c r="E161" s="168"/>
      <c r="F161" s="168"/>
      <c r="G161" s="158"/>
      <c r="H161" s="158"/>
      <c r="I161" s="195" t="s">
        <v>142</v>
      </c>
      <c r="J161" s="168"/>
      <c r="K161" s="168"/>
      <c r="L161" s="168"/>
      <c r="M161" s="168"/>
      <c r="N161" s="168"/>
      <c r="O161" s="67"/>
      <c r="P161" s="67"/>
      <c r="Q161" s="194" t="s">
        <v>143</v>
      </c>
      <c r="R161" s="168"/>
      <c r="S161" s="168"/>
      <c r="T161" s="168"/>
      <c r="U161" s="67"/>
      <c r="V161" s="192"/>
      <c r="W161" s="168"/>
      <c r="X161" s="168"/>
      <c r="Y161" s="1"/>
      <c r="Z161" s="1"/>
    </row>
    <row r="162" spans="1:26" ht="12.75" x14ac:dyDescent="0.2">
      <c r="A162" s="192" t="s">
        <v>144</v>
      </c>
      <c r="B162" s="168"/>
      <c r="C162" s="196" t="s">
        <v>145</v>
      </c>
      <c r="D162" s="168"/>
      <c r="E162" s="168"/>
      <c r="F162" s="168"/>
      <c r="G162" s="158"/>
      <c r="H162" s="158"/>
      <c r="I162" s="196" t="s">
        <v>146</v>
      </c>
      <c r="J162" s="168"/>
      <c r="K162" s="168"/>
      <c r="L162" s="168"/>
      <c r="M162" s="168"/>
      <c r="N162" s="168"/>
      <c r="O162" s="67"/>
      <c r="P162" s="67"/>
      <c r="Q162" s="192" t="s">
        <v>147</v>
      </c>
      <c r="R162" s="168"/>
      <c r="S162" s="168"/>
      <c r="T162" s="168"/>
      <c r="U162" s="67"/>
      <c r="V162" s="67"/>
      <c r="W162" s="67"/>
      <c r="X162" s="67"/>
      <c r="Y162" s="1"/>
      <c r="Z162" s="1"/>
    </row>
    <row r="163" spans="1:26" ht="12.75" x14ac:dyDescent="0.2">
      <c r="A163" s="67"/>
      <c r="B163" s="67"/>
      <c r="C163" s="155"/>
      <c r="D163" s="156"/>
      <c r="E163" s="156"/>
      <c r="F163" s="158"/>
      <c r="G163" s="158"/>
      <c r="H163" s="158"/>
      <c r="I163" s="155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1"/>
      <c r="Z163" s="1"/>
    </row>
    <row r="164" spans="1:26" ht="12.75" x14ac:dyDescent="0.2">
      <c r="A164" s="192" t="s">
        <v>148</v>
      </c>
      <c r="B164" s="168"/>
      <c r="C164" s="196" t="s">
        <v>148</v>
      </c>
      <c r="D164" s="168"/>
      <c r="E164" s="168"/>
      <c r="F164" s="158"/>
      <c r="G164" s="158"/>
      <c r="H164" s="158"/>
      <c r="I164" s="196" t="s">
        <v>148</v>
      </c>
      <c r="J164" s="168"/>
      <c r="K164" s="168"/>
      <c r="L164" s="168"/>
      <c r="M164" s="67"/>
      <c r="N164" s="67"/>
      <c r="O164" s="67"/>
      <c r="P164" s="67"/>
      <c r="Q164" s="192" t="s">
        <v>148</v>
      </c>
      <c r="R164" s="168"/>
      <c r="S164" s="168"/>
      <c r="T164" s="168"/>
      <c r="U164" s="67"/>
      <c r="V164" s="67"/>
      <c r="W164" s="67"/>
      <c r="X164" s="67"/>
      <c r="Y164" s="1"/>
      <c r="Z164" s="1"/>
    </row>
    <row r="165" spans="1:26" ht="12.75" x14ac:dyDescent="0.2">
      <c r="A165" s="1"/>
      <c r="B165" s="1"/>
      <c r="C165" s="2"/>
      <c r="D165" s="74"/>
      <c r="E165" s="74"/>
      <c r="F165" s="5"/>
      <c r="G165" s="5"/>
      <c r="H165" s="197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2"/>
      <c r="D166" s="74"/>
      <c r="E166" s="74"/>
      <c r="F166" s="5"/>
      <c r="G166" s="5"/>
      <c r="H166" s="5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2"/>
      <c r="D167" s="74"/>
      <c r="E167" s="74"/>
      <c r="F167" s="5"/>
      <c r="G167" s="5"/>
      <c r="H167" s="5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2"/>
      <c r="D168" s="74"/>
      <c r="E168" s="74"/>
      <c r="F168" s="5"/>
      <c r="G168" s="5"/>
      <c r="H168" s="197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2"/>
      <c r="D169" s="74"/>
      <c r="E169" s="74"/>
      <c r="F169" s="5"/>
      <c r="G169" s="5"/>
      <c r="H169" s="197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2"/>
      <c r="D170" s="74"/>
      <c r="E170" s="74"/>
      <c r="F170" s="5"/>
      <c r="G170" s="5"/>
      <c r="H170" s="5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2"/>
      <c r="D171" s="74"/>
      <c r="E171" s="74"/>
      <c r="F171" s="5"/>
      <c r="G171" s="5"/>
      <c r="H171" s="5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2"/>
      <c r="D172" s="74"/>
      <c r="E172" s="74"/>
      <c r="F172" s="5"/>
      <c r="G172" s="5"/>
      <c r="H172" s="5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2"/>
      <c r="D173" s="74"/>
      <c r="E173" s="74"/>
      <c r="F173" s="5"/>
      <c r="G173" s="5"/>
      <c r="H173" s="5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2"/>
      <c r="D174" s="74"/>
      <c r="E174" s="74"/>
      <c r="F174" s="5"/>
      <c r="G174" s="5"/>
      <c r="H174" s="5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2"/>
      <c r="D175" s="74"/>
      <c r="E175" s="74"/>
      <c r="F175" s="5"/>
      <c r="G175" s="5"/>
      <c r="H175" s="5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2"/>
      <c r="D176" s="74"/>
      <c r="E176" s="74"/>
      <c r="F176" s="5"/>
      <c r="G176" s="5"/>
      <c r="H176" s="5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2"/>
      <c r="D177" s="74"/>
      <c r="E177" s="74"/>
      <c r="F177" s="5"/>
      <c r="G177" s="5"/>
      <c r="H177" s="5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2"/>
      <c r="D178" s="74"/>
      <c r="E178" s="74"/>
      <c r="F178" s="5"/>
      <c r="G178" s="5"/>
      <c r="H178" s="5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2"/>
      <c r="D179" s="74"/>
      <c r="E179" s="74"/>
      <c r="F179" s="5"/>
      <c r="G179" s="5"/>
      <c r="H179" s="5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2"/>
      <c r="D180" s="74"/>
      <c r="E180" s="74"/>
      <c r="F180" s="5"/>
      <c r="G180" s="5"/>
      <c r="H180" s="5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2"/>
      <c r="D181" s="74"/>
      <c r="E181" s="74"/>
      <c r="F181" s="5"/>
      <c r="G181" s="5"/>
      <c r="H181" s="5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2"/>
      <c r="D182" s="74"/>
      <c r="E182" s="74"/>
      <c r="F182" s="5"/>
      <c r="G182" s="5"/>
      <c r="H182" s="5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2"/>
      <c r="D183" s="74"/>
      <c r="E183" s="74"/>
      <c r="F183" s="5"/>
      <c r="G183" s="5"/>
      <c r="H183" s="5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2"/>
      <c r="D184" s="74"/>
      <c r="E184" s="74"/>
      <c r="F184" s="5"/>
      <c r="G184" s="5"/>
      <c r="H184" s="5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2"/>
      <c r="D185" s="74"/>
      <c r="E185" s="74"/>
      <c r="F185" s="5"/>
      <c r="G185" s="5"/>
      <c r="H185" s="5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2"/>
      <c r="D186" s="74"/>
      <c r="E186" s="74"/>
      <c r="F186" s="5"/>
      <c r="G186" s="5"/>
      <c r="H186" s="5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2"/>
      <c r="D187" s="74"/>
      <c r="E187" s="74"/>
      <c r="F187" s="5"/>
      <c r="G187" s="5"/>
      <c r="H187" s="5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2"/>
      <c r="D188" s="74"/>
      <c r="E188" s="74"/>
      <c r="F188" s="5"/>
      <c r="G188" s="5"/>
      <c r="H188" s="5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2"/>
      <c r="D189" s="74"/>
      <c r="E189" s="74"/>
      <c r="F189" s="5"/>
      <c r="G189" s="5"/>
      <c r="H189" s="5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2"/>
      <c r="D190" s="74"/>
      <c r="E190" s="74"/>
      <c r="F190" s="5"/>
      <c r="G190" s="5"/>
      <c r="H190" s="5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2"/>
      <c r="D191" s="74"/>
      <c r="E191" s="74"/>
      <c r="F191" s="5"/>
      <c r="G191" s="5"/>
      <c r="H191" s="5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2"/>
      <c r="D192" s="74"/>
      <c r="E192" s="74"/>
      <c r="F192" s="5"/>
      <c r="G192" s="5"/>
      <c r="H192" s="5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2"/>
      <c r="D193" s="74"/>
      <c r="E193" s="74"/>
      <c r="F193" s="5"/>
      <c r="G193" s="5"/>
      <c r="H193" s="5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2"/>
      <c r="D194" s="74"/>
      <c r="E194" s="74"/>
      <c r="F194" s="5"/>
      <c r="G194" s="5"/>
      <c r="H194" s="5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2"/>
      <c r="D195" s="74"/>
      <c r="E195" s="74"/>
      <c r="F195" s="5"/>
      <c r="G195" s="5"/>
      <c r="H195" s="5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2"/>
      <c r="D196" s="74"/>
      <c r="E196" s="74"/>
      <c r="F196" s="5"/>
      <c r="G196" s="5"/>
      <c r="H196" s="5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2"/>
      <c r="D197" s="74"/>
      <c r="E197" s="74"/>
      <c r="F197" s="5"/>
      <c r="G197" s="5"/>
      <c r="H197" s="5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2"/>
      <c r="D198" s="74"/>
      <c r="E198" s="74"/>
      <c r="F198" s="5"/>
      <c r="G198" s="5"/>
      <c r="H198" s="5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2"/>
      <c r="D199" s="74"/>
      <c r="E199" s="74"/>
      <c r="F199" s="5"/>
      <c r="G199" s="5"/>
      <c r="H199" s="5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2"/>
      <c r="D200" s="74"/>
      <c r="E200" s="74"/>
      <c r="F200" s="5"/>
      <c r="G200" s="5"/>
      <c r="H200" s="5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2"/>
      <c r="D201" s="74"/>
      <c r="E201" s="74"/>
      <c r="F201" s="5"/>
      <c r="G201" s="5"/>
      <c r="H201" s="5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2"/>
      <c r="D202" s="74"/>
      <c r="E202" s="74"/>
      <c r="F202" s="5"/>
      <c r="G202" s="5"/>
      <c r="H202" s="5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2"/>
      <c r="D203" s="74"/>
      <c r="E203" s="74"/>
      <c r="F203" s="5"/>
      <c r="G203" s="5"/>
      <c r="H203" s="5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2"/>
      <c r="D204" s="74"/>
      <c r="E204" s="74"/>
      <c r="F204" s="5"/>
      <c r="G204" s="5"/>
      <c r="H204" s="5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2"/>
      <c r="D205" s="74"/>
      <c r="E205" s="74"/>
      <c r="F205" s="5"/>
      <c r="G205" s="5"/>
      <c r="H205" s="5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2"/>
      <c r="D206" s="74"/>
      <c r="E206" s="74"/>
      <c r="F206" s="5"/>
      <c r="G206" s="5"/>
      <c r="H206" s="5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2"/>
      <c r="D207" s="74"/>
      <c r="E207" s="74"/>
      <c r="F207" s="5"/>
      <c r="G207" s="5"/>
      <c r="H207" s="5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2"/>
      <c r="D208" s="74"/>
      <c r="E208" s="74"/>
      <c r="F208" s="5"/>
      <c r="G208" s="5"/>
      <c r="H208" s="5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2"/>
      <c r="D209" s="74"/>
      <c r="E209" s="74"/>
      <c r="F209" s="5"/>
      <c r="G209" s="5"/>
      <c r="H209" s="5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2"/>
      <c r="D210" s="74"/>
      <c r="E210" s="74"/>
      <c r="F210" s="5"/>
      <c r="G210" s="5"/>
      <c r="H210" s="5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2"/>
      <c r="D211" s="74"/>
      <c r="E211" s="74"/>
      <c r="F211" s="5"/>
      <c r="G211" s="5"/>
      <c r="H211" s="5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2"/>
      <c r="D212" s="74"/>
      <c r="E212" s="74"/>
      <c r="F212" s="5"/>
      <c r="G212" s="5"/>
      <c r="H212" s="5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2"/>
      <c r="D213" s="74"/>
      <c r="E213" s="74"/>
      <c r="F213" s="5"/>
      <c r="G213" s="5"/>
      <c r="H213" s="5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2"/>
      <c r="D214" s="74"/>
      <c r="E214" s="74"/>
      <c r="F214" s="5"/>
      <c r="G214" s="5"/>
      <c r="H214" s="5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2"/>
      <c r="D215" s="74"/>
      <c r="E215" s="74"/>
      <c r="F215" s="5"/>
      <c r="G215" s="5"/>
      <c r="H215" s="5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2"/>
      <c r="D216" s="74"/>
      <c r="E216" s="74"/>
      <c r="F216" s="5"/>
      <c r="G216" s="5"/>
      <c r="H216" s="5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2"/>
      <c r="D217" s="74"/>
      <c r="E217" s="74"/>
      <c r="F217" s="5"/>
      <c r="G217" s="5"/>
      <c r="H217" s="5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2"/>
      <c r="D218" s="74"/>
      <c r="E218" s="74"/>
      <c r="F218" s="5"/>
      <c r="G218" s="5"/>
      <c r="H218" s="5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2"/>
      <c r="D219" s="74"/>
      <c r="E219" s="74"/>
      <c r="F219" s="5"/>
      <c r="G219" s="5"/>
      <c r="H219" s="5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2"/>
      <c r="D220" s="74"/>
      <c r="E220" s="74"/>
      <c r="F220" s="5"/>
      <c r="G220" s="5"/>
      <c r="H220" s="5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2"/>
      <c r="D221" s="74"/>
      <c r="E221" s="74"/>
      <c r="F221" s="5"/>
      <c r="G221" s="5"/>
      <c r="H221" s="5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2"/>
      <c r="D222" s="74"/>
      <c r="E222" s="74"/>
      <c r="F222" s="5"/>
      <c r="G222" s="5"/>
      <c r="H222" s="5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2"/>
      <c r="D223" s="74"/>
      <c r="E223" s="74"/>
      <c r="F223" s="5"/>
      <c r="G223" s="5"/>
      <c r="H223" s="5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2"/>
      <c r="D224" s="74"/>
      <c r="E224" s="74"/>
      <c r="F224" s="5"/>
      <c r="G224" s="5"/>
      <c r="H224" s="5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2"/>
      <c r="D225" s="74"/>
      <c r="E225" s="74"/>
      <c r="F225" s="5"/>
      <c r="G225" s="5"/>
      <c r="H225" s="5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2"/>
      <c r="D226" s="74"/>
      <c r="E226" s="74"/>
      <c r="F226" s="5"/>
      <c r="G226" s="5"/>
      <c r="H226" s="5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2"/>
      <c r="D227" s="74"/>
      <c r="E227" s="74"/>
      <c r="F227" s="5"/>
      <c r="G227" s="5"/>
      <c r="H227" s="5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2"/>
      <c r="D228" s="74"/>
      <c r="E228" s="74"/>
      <c r="F228" s="5"/>
      <c r="G228" s="5"/>
      <c r="H228" s="5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2"/>
      <c r="D229" s="74"/>
      <c r="E229" s="74"/>
      <c r="F229" s="5"/>
      <c r="G229" s="5"/>
      <c r="H229" s="5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2"/>
      <c r="D230" s="74"/>
      <c r="E230" s="74"/>
      <c r="F230" s="5"/>
      <c r="G230" s="5"/>
      <c r="H230" s="5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2"/>
      <c r="D231" s="74"/>
      <c r="E231" s="74"/>
      <c r="F231" s="5"/>
      <c r="G231" s="5"/>
      <c r="H231" s="5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2"/>
      <c r="D232" s="74"/>
      <c r="E232" s="74"/>
      <c r="F232" s="5"/>
      <c r="G232" s="5"/>
      <c r="H232" s="5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2"/>
      <c r="D233" s="74"/>
      <c r="E233" s="74"/>
      <c r="F233" s="5"/>
      <c r="G233" s="5"/>
      <c r="H233" s="5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2"/>
      <c r="D234" s="74"/>
      <c r="E234" s="74"/>
      <c r="F234" s="5"/>
      <c r="G234" s="5"/>
      <c r="H234" s="5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2"/>
      <c r="D235" s="74"/>
      <c r="E235" s="74"/>
      <c r="F235" s="5"/>
      <c r="G235" s="5"/>
      <c r="H235" s="5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2"/>
      <c r="D236" s="74"/>
      <c r="E236" s="74"/>
      <c r="F236" s="5"/>
      <c r="G236" s="5"/>
      <c r="H236" s="5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2"/>
      <c r="D237" s="74"/>
      <c r="E237" s="74"/>
      <c r="F237" s="5"/>
      <c r="G237" s="5"/>
      <c r="H237" s="5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2"/>
      <c r="D238" s="74"/>
      <c r="E238" s="74"/>
      <c r="F238" s="5"/>
      <c r="G238" s="5"/>
      <c r="H238" s="5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2"/>
      <c r="D239" s="74"/>
      <c r="E239" s="74"/>
      <c r="F239" s="5"/>
      <c r="G239" s="5"/>
      <c r="H239" s="5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2"/>
      <c r="D240" s="74"/>
      <c r="E240" s="74"/>
      <c r="F240" s="5"/>
      <c r="G240" s="5"/>
      <c r="H240" s="5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2"/>
      <c r="D241" s="74"/>
      <c r="E241" s="74"/>
      <c r="F241" s="5"/>
      <c r="G241" s="5"/>
      <c r="H241" s="5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2"/>
      <c r="D242" s="74"/>
      <c r="E242" s="74"/>
      <c r="F242" s="5"/>
      <c r="G242" s="5"/>
      <c r="H242" s="5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2"/>
      <c r="D243" s="74"/>
      <c r="E243" s="74"/>
      <c r="F243" s="5"/>
      <c r="G243" s="5"/>
      <c r="H243" s="5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2"/>
      <c r="D244" s="74"/>
      <c r="E244" s="74"/>
      <c r="F244" s="5"/>
      <c r="G244" s="5"/>
      <c r="H244" s="5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2"/>
      <c r="D245" s="74"/>
      <c r="E245" s="74"/>
      <c r="F245" s="5"/>
      <c r="G245" s="5"/>
      <c r="H245" s="5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2"/>
      <c r="D246" s="74"/>
      <c r="E246" s="74"/>
      <c r="F246" s="5"/>
      <c r="G246" s="5"/>
      <c r="H246" s="5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2"/>
      <c r="D247" s="74"/>
      <c r="E247" s="74"/>
      <c r="F247" s="5"/>
      <c r="G247" s="5"/>
      <c r="H247" s="5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2"/>
      <c r="D248" s="74"/>
      <c r="E248" s="74"/>
      <c r="F248" s="5"/>
      <c r="G248" s="5"/>
      <c r="H248" s="5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2"/>
      <c r="D249" s="74"/>
      <c r="E249" s="74"/>
      <c r="F249" s="5"/>
      <c r="G249" s="5"/>
      <c r="H249" s="5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2"/>
      <c r="D250" s="74"/>
      <c r="E250" s="74"/>
      <c r="F250" s="5"/>
      <c r="G250" s="5"/>
      <c r="H250" s="5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2"/>
      <c r="D251" s="74"/>
      <c r="E251" s="74"/>
      <c r="F251" s="5"/>
      <c r="G251" s="5"/>
      <c r="H251" s="5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2"/>
      <c r="D252" s="74"/>
      <c r="E252" s="74"/>
      <c r="F252" s="5"/>
      <c r="G252" s="5"/>
      <c r="H252" s="5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2"/>
      <c r="D253" s="74"/>
      <c r="E253" s="74"/>
      <c r="F253" s="5"/>
      <c r="G253" s="5"/>
      <c r="H253" s="5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2"/>
      <c r="D254" s="74"/>
      <c r="E254" s="74"/>
      <c r="F254" s="5"/>
      <c r="G254" s="5"/>
      <c r="H254" s="5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2"/>
      <c r="D255" s="74"/>
      <c r="E255" s="74"/>
      <c r="F255" s="5"/>
      <c r="G255" s="5"/>
      <c r="H255" s="5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2"/>
      <c r="D256" s="74"/>
      <c r="E256" s="74"/>
      <c r="F256" s="5"/>
      <c r="G256" s="5"/>
      <c r="H256" s="5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2"/>
      <c r="D257" s="74"/>
      <c r="E257" s="74"/>
      <c r="F257" s="5"/>
      <c r="G257" s="5"/>
      <c r="H257" s="5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2"/>
      <c r="D258" s="74"/>
      <c r="E258" s="74"/>
      <c r="F258" s="5"/>
      <c r="G258" s="5"/>
      <c r="H258" s="5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2"/>
      <c r="D259" s="74"/>
      <c r="E259" s="74"/>
      <c r="F259" s="5"/>
      <c r="G259" s="5"/>
      <c r="H259" s="5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2"/>
      <c r="D260" s="74"/>
      <c r="E260" s="74"/>
      <c r="F260" s="5"/>
      <c r="G260" s="5"/>
      <c r="H260" s="5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2"/>
      <c r="D261" s="74"/>
      <c r="E261" s="74"/>
      <c r="F261" s="5"/>
      <c r="G261" s="5"/>
      <c r="H261" s="5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2"/>
      <c r="D262" s="74"/>
      <c r="E262" s="74"/>
      <c r="F262" s="5"/>
      <c r="G262" s="5"/>
      <c r="H262" s="5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2"/>
      <c r="D263" s="74"/>
      <c r="E263" s="74"/>
      <c r="F263" s="5"/>
      <c r="G263" s="5"/>
      <c r="H263" s="5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2"/>
      <c r="D264" s="74"/>
      <c r="E264" s="74"/>
      <c r="F264" s="5"/>
      <c r="G264" s="5"/>
      <c r="H264" s="5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2"/>
      <c r="D265" s="74"/>
      <c r="E265" s="74"/>
      <c r="F265" s="5"/>
      <c r="G265" s="5"/>
      <c r="H265" s="5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2"/>
      <c r="D266" s="74"/>
      <c r="E266" s="74"/>
      <c r="F266" s="5"/>
      <c r="G266" s="5"/>
      <c r="H266" s="5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2"/>
      <c r="D267" s="74"/>
      <c r="E267" s="74"/>
      <c r="F267" s="5"/>
      <c r="G267" s="5"/>
      <c r="H267" s="5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2"/>
      <c r="D268" s="74"/>
      <c r="E268" s="74"/>
      <c r="F268" s="5"/>
      <c r="G268" s="5"/>
      <c r="H268" s="5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2"/>
      <c r="D269" s="74"/>
      <c r="E269" s="74"/>
      <c r="F269" s="5"/>
      <c r="G269" s="5"/>
      <c r="H269" s="5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2"/>
      <c r="D270" s="74"/>
      <c r="E270" s="74"/>
      <c r="F270" s="5"/>
      <c r="G270" s="5"/>
      <c r="H270" s="5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2"/>
      <c r="D271" s="74"/>
      <c r="E271" s="74"/>
      <c r="F271" s="5"/>
      <c r="G271" s="5"/>
      <c r="H271" s="5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2"/>
      <c r="D272" s="74"/>
      <c r="E272" s="74"/>
      <c r="F272" s="5"/>
      <c r="G272" s="5"/>
      <c r="H272" s="5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2"/>
      <c r="D273" s="74"/>
      <c r="E273" s="74"/>
      <c r="F273" s="5"/>
      <c r="G273" s="5"/>
      <c r="H273" s="5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2"/>
      <c r="D274" s="74"/>
      <c r="E274" s="74"/>
      <c r="F274" s="5"/>
      <c r="G274" s="5"/>
      <c r="H274" s="5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2"/>
      <c r="D275" s="74"/>
      <c r="E275" s="74"/>
      <c r="F275" s="5"/>
      <c r="G275" s="5"/>
      <c r="H275" s="5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2"/>
      <c r="D276" s="74"/>
      <c r="E276" s="74"/>
      <c r="F276" s="5"/>
      <c r="G276" s="5"/>
      <c r="H276" s="5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2"/>
      <c r="D277" s="74"/>
      <c r="E277" s="74"/>
      <c r="F277" s="5"/>
      <c r="G277" s="5"/>
      <c r="H277" s="5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2"/>
      <c r="D278" s="74"/>
      <c r="E278" s="74"/>
      <c r="F278" s="5"/>
      <c r="G278" s="5"/>
      <c r="H278" s="5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2"/>
      <c r="D279" s="74"/>
      <c r="E279" s="74"/>
      <c r="F279" s="5"/>
      <c r="G279" s="5"/>
      <c r="H279" s="5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2"/>
      <c r="D280" s="74"/>
      <c r="E280" s="74"/>
      <c r="F280" s="5"/>
      <c r="G280" s="5"/>
      <c r="H280" s="5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2"/>
      <c r="D281" s="74"/>
      <c r="E281" s="74"/>
      <c r="F281" s="5"/>
      <c r="G281" s="5"/>
      <c r="H281" s="5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2"/>
      <c r="D282" s="74"/>
      <c r="E282" s="74"/>
      <c r="F282" s="5"/>
      <c r="G282" s="5"/>
      <c r="H282" s="5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2"/>
      <c r="D283" s="74"/>
      <c r="E283" s="74"/>
      <c r="F283" s="5"/>
      <c r="G283" s="5"/>
      <c r="H283" s="5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2"/>
      <c r="D284" s="74"/>
      <c r="E284" s="74"/>
      <c r="F284" s="5"/>
      <c r="G284" s="5"/>
      <c r="H284" s="5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2"/>
      <c r="D285" s="74"/>
      <c r="E285" s="74"/>
      <c r="F285" s="5"/>
      <c r="G285" s="5"/>
      <c r="H285" s="5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2"/>
      <c r="D286" s="74"/>
      <c r="E286" s="74"/>
      <c r="F286" s="5"/>
      <c r="G286" s="5"/>
      <c r="H286" s="5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2"/>
      <c r="D287" s="74"/>
      <c r="E287" s="74"/>
      <c r="F287" s="5"/>
      <c r="G287" s="5"/>
      <c r="H287" s="5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2"/>
      <c r="D288" s="74"/>
      <c r="E288" s="74"/>
      <c r="F288" s="5"/>
      <c r="G288" s="5"/>
      <c r="H288" s="5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2"/>
      <c r="D289" s="74"/>
      <c r="E289" s="74"/>
      <c r="F289" s="5"/>
      <c r="G289" s="5"/>
      <c r="H289" s="5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2"/>
      <c r="D290" s="74"/>
      <c r="E290" s="74"/>
      <c r="F290" s="5"/>
      <c r="G290" s="5"/>
      <c r="H290" s="5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2"/>
      <c r="D291" s="74"/>
      <c r="E291" s="74"/>
      <c r="F291" s="5"/>
      <c r="G291" s="5"/>
      <c r="H291" s="5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2"/>
      <c r="D292" s="74"/>
      <c r="E292" s="74"/>
      <c r="F292" s="5"/>
      <c r="G292" s="5"/>
      <c r="H292" s="5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2"/>
      <c r="D293" s="74"/>
      <c r="E293" s="74"/>
      <c r="F293" s="5"/>
      <c r="G293" s="5"/>
      <c r="H293" s="5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2"/>
      <c r="D294" s="74"/>
      <c r="E294" s="74"/>
      <c r="F294" s="5"/>
      <c r="G294" s="5"/>
      <c r="H294" s="5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2"/>
      <c r="D295" s="74"/>
      <c r="E295" s="74"/>
      <c r="F295" s="5"/>
      <c r="G295" s="5"/>
      <c r="H295" s="5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2"/>
      <c r="D296" s="74"/>
      <c r="E296" s="74"/>
      <c r="F296" s="5"/>
      <c r="G296" s="5"/>
      <c r="H296" s="5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2"/>
      <c r="D297" s="74"/>
      <c r="E297" s="74"/>
      <c r="F297" s="5"/>
      <c r="G297" s="5"/>
      <c r="H297" s="5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2"/>
      <c r="D298" s="74"/>
      <c r="E298" s="74"/>
      <c r="F298" s="5"/>
      <c r="G298" s="5"/>
      <c r="H298" s="5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2"/>
      <c r="D299" s="74"/>
      <c r="E299" s="74"/>
      <c r="F299" s="5"/>
      <c r="G299" s="5"/>
      <c r="H299" s="5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2"/>
      <c r="D300" s="74"/>
      <c r="E300" s="74"/>
      <c r="F300" s="5"/>
      <c r="G300" s="5"/>
      <c r="H300" s="5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2"/>
      <c r="D301" s="74"/>
      <c r="E301" s="74"/>
      <c r="F301" s="5"/>
      <c r="G301" s="5"/>
      <c r="H301" s="5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2"/>
      <c r="D302" s="74"/>
      <c r="E302" s="74"/>
      <c r="F302" s="5"/>
      <c r="G302" s="5"/>
      <c r="H302" s="5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2"/>
      <c r="D303" s="74"/>
      <c r="E303" s="74"/>
      <c r="F303" s="5"/>
      <c r="G303" s="5"/>
      <c r="H303" s="5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2"/>
      <c r="D304" s="74"/>
      <c r="E304" s="74"/>
      <c r="F304" s="5"/>
      <c r="G304" s="5"/>
      <c r="H304" s="5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2"/>
      <c r="D305" s="74"/>
      <c r="E305" s="74"/>
      <c r="F305" s="5"/>
      <c r="G305" s="5"/>
      <c r="H305" s="5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2"/>
      <c r="D306" s="74"/>
      <c r="E306" s="74"/>
      <c r="F306" s="5"/>
      <c r="G306" s="5"/>
      <c r="H306" s="5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2"/>
      <c r="D307" s="74"/>
      <c r="E307" s="74"/>
      <c r="F307" s="5"/>
      <c r="G307" s="5"/>
      <c r="H307" s="5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2"/>
      <c r="D308" s="74"/>
      <c r="E308" s="74"/>
      <c r="F308" s="5"/>
      <c r="G308" s="5"/>
      <c r="H308" s="5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2"/>
      <c r="D309" s="74"/>
      <c r="E309" s="74"/>
      <c r="F309" s="5"/>
      <c r="G309" s="5"/>
      <c r="H309" s="5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2"/>
      <c r="D310" s="74"/>
      <c r="E310" s="74"/>
      <c r="F310" s="5"/>
      <c r="G310" s="5"/>
      <c r="H310" s="5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2"/>
      <c r="D311" s="74"/>
      <c r="E311" s="74"/>
      <c r="F311" s="5"/>
      <c r="G311" s="5"/>
      <c r="H311" s="5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2"/>
      <c r="D312" s="74"/>
      <c r="E312" s="74"/>
      <c r="F312" s="5"/>
      <c r="G312" s="5"/>
      <c r="H312" s="5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2"/>
      <c r="D313" s="74"/>
      <c r="E313" s="74"/>
      <c r="F313" s="5"/>
      <c r="G313" s="5"/>
      <c r="H313" s="5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2"/>
      <c r="D314" s="74"/>
      <c r="E314" s="74"/>
      <c r="F314" s="5"/>
      <c r="G314" s="5"/>
      <c r="H314" s="5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2"/>
      <c r="D315" s="74"/>
      <c r="E315" s="74"/>
      <c r="F315" s="5"/>
      <c r="G315" s="5"/>
      <c r="H315" s="5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2"/>
      <c r="D316" s="74"/>
      <c r="E316" s="74"/>
      <c r="F316" s="5"/>
      <c r="G316" s="5"/>
      <c r="H316" s="5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2"/>
      <c r="D317" s="74"/>
      <c r="E317" s="74"/>
      <c r="F317" s="5"/>
      <c r="G317" s="5"/>
      <c r="H317" s="5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2"/>
      <c r="D318" s="74"/>
      <c r="E318" s="74"/>
      <c r="F318" s="5"/>
      <c r="G318" s="5"/>
      <c r="H318" s="5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2"/>
      <c r="D319" s="74"/>
      <c r="E319" s="74"/>
      <c r="F319" s="5"/>
      <c r="G319" s="5"/>
      <c r="H319" s="5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2"/>
      <c r="D320" s="74"/>
      <c r="E320" s="74"/>
      <c r="F320" s="5"/>
      <c r="G320" s="5"/>
      <c r="H320" s="5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2"/>
      <c r="D321" s="74"/>
      <c r="E321" s="74"/>
      <c r="F321" s="5"/>
      <c r="G321" s="5"/>
      <c r="H321" s="5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2"/>
      <c r="D322" s="74"/>
      <c r="E322" s="74"/>
      <c r="F322" s="5"/>
      <c r="G322" s="5"/>
      <c r="H322" s="5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2"/>
      <c r="D323" s="74"/>
      <c r="E323" s="74"/>
      <c r="F323" s="5"/>
      <c r="G323" s="5"/>
      <c r="H323" s="5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2"/>
      <c r="D324" s="74"/>
      <c r="E324" s="74"/>
      <c r="F324" s="5"/>
      <c r="G324" s="5"/>
      <c r="H324" s="5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2"/>
      <c r="D325" s="74"/>
      <c r="E325" s="74"/>
      <c r="F325" s="5"/>
      <c r="G325" s="5"/>
      <c r="H325" s="5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2"/>
      <c r="D326" s="74"/>
      <c r="E326" s="74"/>
      <c r="F326" s="5"/>
      <c r="G326" s="5"/>
      <c r="H326" s="5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2"/>
      <c r="D327" s="74"/>
      <c r="E327" s="74"/>
      <c r="F327" s="5"/>
      <c r="G327" s="5"/>
      <c r="H327" s="5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2"/>
      <c r="D328" s="74"/>
      <c r="E328" s="74"/>
      <c r="F328" s="5"/>
      <c r="G328" s="5"/>
      <c r="H328" s="5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2"/>
      <c r="D329" s="74"/>
      <c r="E329" s="74"/>
      <c r="F329" s="5"/>
      <c r="G329" s="5"/>
      <c r="H329" s="5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2"/>
      <c r="D330" s="74"/>
      <c r="E330" s="74"/>
      <c r="F330" s="5"/>
      <c r="G330" s="5"/>
      <c r="H330" s="5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2"/>
      <c r="D331" s="74"/>
      <c r="E331" s="74"/>
      <c r="F331" s="5"/>
      <c r="G331" s="5"/>
      <c r="H331" s="5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2"/>
      <c r="D332" s="74"/>
      <c r="E332" s="74"/>
      <c r="F332" s="5"/>
      <c r="G332" s="5"/>
      <c r="H332" s="5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2"/>
      <c r="D333" s="74"/>
      <c r="E333" s="74"/>
      <c r="F333" s="5"/>
      <c r="G333" s="5"/>
      <c r="H333" s="5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2"/>
      <c r="D334" s="74"/>
      <c r="E334" s="74"/>
      <c r="F334" s="5"/>
      <c r="G334" s="5"/>
      <c r="H334" s="5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2"/>
      <c r="D335" s="74"/>
      <c r="E335" s="74"/>
      <c r="F335" s="5"/>
      <c r="G335" s="5"/>
      <c r="H335" s="5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2"/>
      <c r="D336" s="74"/>
      <c r="E336" s="74"/>
      <c r="F336" s="5"/>
      <c r="G336" s="5"/>
      <c r="H336" s="5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2"/>
      <c r="D337" s="74"/>
      <c r="E337" s="74"/>
      <c r="F337" s="5"/>
      <c r="G337" s="5"/>
      <c r="H337" s="5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2"/>
      <c r="D338" s="74"/>
      <c r="E338" s="74"/>
      <c r="F338" s="5"/>
      <c r="G338" s="5"/>
      <c r="H338" s="5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2"/>
      <c r="D339" s="74"/>
      <c r="E339" s="74"/>
      <c r="F339" s="5"/>
      <c r="G339" s="5"/>
      <c r="H339" s="5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2"/>
      <c r="D340" s="74"/>
      <c r="E340" s="74"/>
      <c r="F340" s="5"/>
      <c r="G340" s="5"/>
      <c r="H340" s="5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2"/>
      <c r="D341" s="74"/>
      <c r="E341" s="74"/>
      <c r="F341" s="5"/>
      <c r="G341" s="5"/>
      <c r="H341" s="5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2"/>
      <c r="D342" s="74"/>
      <c r="E342" s="74"/>
      <c r="F342" s="5"/>
      <c r="G342" s="5"/>
      <c r="H342" s="5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2"/>
      <c r="D343" s="74"/>
      <c r="E343" s="74"/>
      <c r="F343" s="5"/>
      <c r="G343" s="5"/>
      <c r="H343" s="5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2"/>
      <c r="D344" s="74"/>
      <c r="E344" s="74"/>
      <c r="F344" s="5"/>
      <c r="G344" s="5"/>
      <c r="H344" s="5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2"/>
      <c r="D345" s="74"/>
      <c r="E345" s="74"/>
      <c r="F345" s="5"/>
      <c r="G345" s="5"/>
      <c r="H345" s="5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2"/>
      <c r="D346" s="74"/>
      <c r="E346" s="74"/>
      <c r="F346" s="5"/>
      <c r="G346" s="5"/>
      <c r="H346" s="5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2"/>
      <c r="D347" s="74"/>
      <c r="E347" s="74"/>
      <c r="F347" s="5"/>
      <c r="G347" s="5"/>
      <c r="H347" s="5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2"/>
      <c r="D348" s="74"/>
      <c r="E348" s="74"/>
      <c r="F348" s="5"/>
      <c r="G348" s="5"/>
      <c r="H348" s="5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2"/>
      <c r="D349" s="74"/>
      <c r="E349" s="74"/>
      <c r="F349" s="5"/>
      <c r="G349" s="5"/>
      <c r="H349" s="5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2"/>
      <c r="D350" s="74"/>
      <c r="E350" s="74"/>
      <c r="F350" s="5"/>
      <c r="G350" s="5"/>
      <c r="H350" s="5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2"/>
      <c r="D351" s="74"/>
      <c r="E351" s="74"/>
      <c r="F351" s="5"/>
      <c r="G351" s="5"/>
      <c r="H351" s="5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2"/>
      <c r="D352" s="74"/>
      <c r="E352" s="74"/>
      <c r="F352" s="5"/>
      <c r="G352" s="5"/>
      <c r="H352" s="5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2"/>
      <c r="D353" s="74"/>
      <c r="E353" s="74"/>
      <c r="F353" s="5"/>
      <c r="G353" s="5"/>
      <c r="H353" s="5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2"/>
      <c r="D354" s="74"/>
      <c r="E354" s="74"/>
      <c r="F354" s="5"/>
      <c r="G354" s="5"/>
      <c r="H354" s="5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2"/>
      <c r="D355" s="74"/>
      <c r="E355" s="74"/>
      <c r="F355" s="5"/>
      <c r="G355" s="5"/>
      <c r="H355" s="5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2"/>
      <c r="D356" s="74"/>
      <c r="E356" s="74"/>
      <c r="F356" s="5"/>
      <c r="G356" s="5"/>
      <c r="H356" s="5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2"/>
      <c r="D357" s="74"/>
      <c r="E357" s="74"/>
      <c r="F357" s="5"/>
      <c r="G357" s="5"/>
      <c r="H357" s="5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2"/>
      <c r="D358" s="74"/>
      <c r="E358" s="74"/>
      <c r="F358" s="5"/>
      <c r="G358" s="5"/>
      <c r="H358" s="5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2"/>
      <c r="D359" s="74"/>
      <c r="E359" s="74"/>
      <c r="F359" s="5"/>
      <c r="G359" s="5"/>
      <c r="H359" s="5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2"/>
      <c r="D360" s="74"/>
      <c r="E360" s="74"/>
      <c r="F360" s="5"/>
      <c r="G360" s="5"/>
      <c r="H360" s="5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2"/>
      <c r="D361" s="74"/>
      <c r="E361" s="74"/>
      <c r="F361" s="5"/>
      <c r="G361" s="5"/>
      <c r="H361" s="5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2"/>
      <c r="D362" s="74"/>
      <c r="E362" s="74"/>
      <c r="F362" s="5"/>
      <c r="G362" s="5"/>
      <c r="H362" s="5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2"/>
      <c r="D363" s="74"/>
      <c r="E363" s="74"/>
      <c r="F363" s="5"/>
      <c r="G363" s="5"/>
      <c r="H363" s="5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2"/>
      <c r="D364" s="74"/>
      <c r="E364" s="74"/>
      <c r="F364" s="5"/>
      <c r="G364" s="5"/>
      <c r="H364" s="5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2"/>
      <c r="D365" s="74"/>
      <c r="E365" s="74"/>
      <c r="F365" s="5"/>
      <c r="G365" s="5"/>
      <c r="H365" s="5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2"/>
      <c r="D366" s="74"/>
      <c r="E366" s="74"/>
      <c r="F366" s="5"/>
      <c r="G366" s="5"/>
      <c r="H366" s="5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2"/>
      <c r="D367" s="74"/>
      <c r="E367" s="74"/>
      <c r="F367" s="5"/>
      <c r="G367" s="5"/>
      <c r="H367" s="5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2"/>
      <c r="D368" s="74"/>
      <c r="E368" s="74"/>
      <c r="F368" s="5"/>
      <c r="G368" s="5"/>
      <c r="H368" s="5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2"/>
      <c r="D369" s="74"/>
      <c r="E369" s="74"/>
      <c r="F369" s="5"/>
      <c r="G369" s="5"/>
      <c r="H369" s="5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2"/>
      <c r="D370" s="74"/>
      <c r="E370" s="74"/>
      <c r="F370" s="5"/>
      <c r="G370" s="5"/>
      <c r="H370" s="5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2"/>
      <c r="D371" s="74"/>
      <c r="E371" s="74"/>
      <c r="F371" s="5"/>
      <c r="G371" s="5"/>
      <c r="H371" s="5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2"/>
      <c r="D372" s="74"/>
      <c r="E372" s="74"/>
      <c r="F372" s="5"/>
      <c r="G372" s="5"/>
      <c r="H372" s="5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2"/>
      <c r="D373" s="74"/>
      <c r="E373" s="74"/>
      <c r="F373" s="5"/>
      <c r="G373" s="5"/>
      <c r="H373" s="5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2"/>
      <c r="D374" s="74"/>
      <c r="E374" s="74"/>
      <c r="F374" s="5"/>
      <c r="G374" s="5"/>
      <c r="H374" s="5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2"/>
      <c r="D375" s="74"/>
      <c r="E375" s="74"/>
      <c r="F375" s="5"/>
      <c r="G375" s="5"/>
      <c r="H375" s="5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2"/>
      <c r="D376" s="74"/>
      <c r="E376" s="74"/>
      <c r="F376" s="5"/>
      <c r="G376" s="5"/>
      <c r="H376" s="5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2"/>
      <c r="D377" s="74"/>
      <c r="E377" s="74"/>
      <c r="F377" s="5"/>
      <c r="G377" s="5"/>
      <c r="H377" s="5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2"/>
      <c r="D378" s="74"/>
      <c r="E378" s="74"/>
      <c r="F378" s="5"/>
      <c r="G378" s="5"/>
      <c r="H378" s="5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2"/>
      <c r="D379" s="74"/>
      <c r="E379" s="74"/>
      <c r="F379" s="5"/>
      <c r="G379" s="5"/>
      <c r="H379" s="5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2"/>
      <c r="D380" s="74"/>
      <c r="E380" s="74"/>
      <c r="F380" s="5"/>
      <c r="G380" s="5"/>
      <c r="H380" s="5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2"/>
      <c r="D381" s="74"/>
      <c r="E381" s="74"/>
      <c r="F381" s="5"/>
      <c r="G381" s="5"/>
      <c r="H381" s="5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2"/>
      <c r="D382" s="74"/>
      <c r="E382" s="74"/>
      <c r="F382" s="5"/>
      <c r="G382" s="5"/>
      <c r="H382" s="5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2"/>
      <c r="D383" s="74"/>
      <c r="E383" s="74"/>
      <c r="F383" s="5"/>
      <c r="G383" s="5"/>
      <c r="H383" s="5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2"/>
      <c r="D384" s="74"/>
      <c r="E384" s="74"/>
      <c r="F384" s="5"/>
      <c r="G384" s="5"/>
      <c r="H384" s="5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2"/>
      <c r="D385" s="74"/>
      <c r="E385" s="74"/>
      <c r="F385" s="5"/>
      <c r="G385" s="5"/>
      <c r="H385" s="5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2"/>
      <c r="D386" s="74"/>
      <c r="E386" s="74"/>
      <c r="F386" s="5"/>
      <c r="G386" s="5"/>
      <c r="H386" s="5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2"/>
      <c r="D387" s="74"/>
      <c r="E387" s="74"/>
      <c r="F387" s="5"/>
      <c r="G387" s="5"/>
      <c r="H387" s="5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2"/>
      <c r="D388" s="74"/>
      <c r="E388" s="74"/>
      <c r="F388" s="5"/>
      <c r="G388" s="5"/>
      <c r="H388" s="5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2"/>
      <c r="D389" s="74"/>
      <c r="E389" s="74"/>
      <c r="F389" s="5"/>
      <c r="G389" s="5"/>
      <c r="H389" s="5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2"/>
      <c r="D390" s="74"/>
      <c r="E390" s="74"/>
      <c r="F390" s="5"/>
      <c r="G390" s="5"/>
      <c r="H390" s="5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2"/>
      <c r="D391" s="74"/>
      <c r="E391" s="74"/>
      <c r="F391" s="5"/>
      <c r="G391" s="5"/>
      <c r="H391" s="5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2"/>
      <c r="D392" s="74"/>
      <c r="E392" s="74"/>
      <c r="F392" s="5"/>
      <c r="G392" s="5"/>
      <c r="H392" s="5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2"/>
      <c r="D393" s="74"/>
      <c r="E393" s="74"/>
      <c r="F393" s="5"/>
      <c r="G393" s="5"/>
      <c r="H393" s="5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2"/>
      <c r="D394" s="74"/>
      <c r="E394" s="74"/>
      <c r="F394" s="5"/>
      <c r="G394" s="5"/>
      <c r="H394" s="5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2"/>
      <c r="D395" s="74"/>
      <c r="E395" s="74"/>
      <c r="F395" s="5"/>
      <c r="G395" s="5"/>
      <c r="H395" s="5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2"/>
      <c r="D396" s="74"/>
      <c r="E396" s="74"/>
      <c r="F396" s="5"/>
      <c r="G396" s="5"/>
      <c r="H396" s="5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2"/>
      <c r="D397" s="74"/>
      <c r="E397" s="74"/>
      <c r="F397" s="5"/>
      <c r="G397" s="5"/>
      <c r="H397" s="5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2"/>
      <c r="D398" s="74"/>
      <c r="E398" s="74"/>
      <c r="F398" s="5"/>
      <c r="G398" s="5"/>
      <c r="H398" s="5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2"/>
      <c r="D399" s="74"/>
      <c r="E399" s="74"/>
      <c r="F399" s="5"/>
      <c r="G399" s="5"/>
      <c r="H399" s="5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2"/>
      <c r="D400" s="74"/>
      <c r="E400" s="74"/>
      <c r="F400" s="5"/>
      <c r="G400" s="5"/>
      <c r="H400" s="5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2"/>
      <c r="D401" s="74"/>
      <c r="E401" s="74"/>
      <c r="F401" s="5"/>
      <c r="G401" s="5"/>
      <c r="H401" s="5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2"/>
      <c r="D402" s="74"/>
      <c r="E402" s="74"/>
      <c r="F402" s="5"/>
      <c r="G402" s="5"/>
      <c r="H402" s="5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2"/>
      <c r="D403" s="74"/>
      <c r="E403" s="74"/>
      <c r="F403" s="5"/>
      <c r="G403" s="5"/>
      <c r="H403" s="5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2"/>
      <c r="D404" s="74"/>
      <c r="E404" s="74"/>
      <c r="F404" s="5"/>
      <c r="G404" s="5"/>
      <c r="H404" s="5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2"/>
      <c r="D405" s="74"/>
      <c r="E405" s="74"/>
      <c r="F405" s="5"/>
      <c r="G405" s="5"/>
      <c r="H405" s="5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2"/>
      <c r="D406" s="74"/>
      <c r="E406" s="74"/>
      <c r="F406" s="5"/>
      <c r="G406" s="5"/>
      <c r="H406" s="5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2"/>
      <c r="D407" s="74"/>
      <c r="E407" s="74"/>
      <c r="F407" s="5"/>
      <c r="G407" s="5"/>
      <c r="H407" s="5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2"/>
      <c r="D408" s="74"/>
      <c r="E408" s="74"/>
      <c r="F408" s="5"/>
      <c r="G408" s="5"/>
      <c r="H408" s="5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2"/>
      <c r="D409" s="74"/>
      <c r="E409" s="74"/>
      <c r="F409" s="5"/>
      <c r="G409" s="5"/>
      <c r="H409" s="5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2"/>
      <c r="D410" s="74"/>
      <c r="E410" s="74"/>
      <c r="F410" s="5"/>
      <c r="G410" s="5"/>
      <c r="H410" s="5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2"/>
      <c r="D411" s="74"/>
      <c r="E411" s="74"/>
      <c r="F411" s="5"/>
      <c r="G411" s="5"/>
      <c r="H411" s="5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2"/>
      <c r="D412" s="74"/>
      <c r="E412" s="74"/>
      <c r="F412" s="5"/>
      <c r="G412" s="5"/>
      <c r="H412" s="5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2"/>
      <c r="D413" s="74"/>
      <c r="E413" s="74"/>
      <c r="F413" s="5"/>
      <c r="G413" s="5"/>
      <c r="H413" s="5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2"/>
      <c r="D414" s="74"/>
      <c r="E414" s="74"/>
      <c r="F414" s="5"/>
      <c r="G414" s="5"/>
      <c r="H414" s="5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2"/>
      <c r="D415" s="74"/>
      <c r="E415" s="74"/>
      <c r="F415" s="5"/>
      <c r="G415" s="5"/>
      <c r="H415" s="5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2"/>
      <c r="D416" s="74"/>
      <c r="E416" s="74"/>
      <c r="F416" s="5"/>
      <c r="G416" s="5"/>
      <c r="H416" s="5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2"/>
      <c r="D417" s="74"/>
      <c r="E417" s="74"/>
      <c r="F417" s="5"/>
      <c r="G417" s="5"/>
      <c r="H417" s="5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2"/>
      <c r="D418" s="74"/>
      <c r="E418" s="74"/>
      <c r="F418" s="5"/>
      <c r="G418" s="5"/>
      <c r="H418" s="5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2"/>
      <c r="D419" s="74"/>
      <c r="E419" s="74"/>
      <c r="F419" s="5"/>
      <c r="G419" s="5"/>
      <c r="H419" s="5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2"/>
      <c r="D420" s="74"/>
      <c r="E420" s="74"/>
      <c r="F420" s="5"/>
      <c r="G420" s="5"/>
      <c r="H420" s="5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2"/>
      <c r="D421" s="74"/>
      <c r="E421" s="74"/>
      <c r="F421" s="5"/>
      <c r="G421" s="5"/>
      <c r="H421" s="5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2"/>
      <c r="D422" s="74"/>
      <c r="E422" s="74"/>
      <c r="F422" s="5"/>
      <c r="G422" s="5"/>
      <c r="H422" s="5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2"/>
      <c r="D423" s="74"/>
      <c r="E423" s="74"/>
      <c r="F423" s="5"/>
      <c r="G423" s="5"/>
      <c r="H423" s="5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2"/>
      <c r="D424" s="74"/>
      <c r="E424" s="74"/>
      <c r="F424" s="5"/>
      <c r="G424" s="5"/>
      <c r="H424" s="5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2"/>
      <c r="D425" s="74"/>
      <c r="E425" s="74"/>
      <c r="F425" s="5"/>
      <c r="G425" s="5"/>
      <c r="H425" s="5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2"/>
      <c r="D426" s="74"/>
      <c r="E426" s="74"/>
      <c r="F426" s="5"/>
      <c r="G426" s="5"/>
      <c r="H426" s="5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2"/>
      <c r="D427" s="74"/>
      <c r="E427" s="74"/>
      <c r="F427" s="5"/>
      <c r="G427" s="5"/>
      <c r="H427" s="5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2"/>
      <c r="D428" s="74"/>
      <c r="E428" s="74"/>
      <c r="F428" s="5"/>
      <c r="G428" s="5"/>
      <c r="H428" s="5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2"/>
      <c r="D429" s="74"/>
      <c r="E429" s="74"/>
      <c r="F429" s="5"/>
      <c r="G429" s="5"/>
      <c r="H429" s="5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2"/>
      <c r="D430" s="74"/>
      <c r="E430" s="74"/>
      <c r="F430" s="5"/>
      <c r="G430" s="5"/>
      <c r="H430" s="5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2"/>
      <c r="D431" s="74"/>
      <c r="E431" s="74"/>
      <c r="F431" s="5"/>
      <c r="G431" s="5"/>
      <c r="H431" s="5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2"/>
      <c r="D432" s="74"/>
      <c r="E432" s="74"/>
      <c r="F432" s="5"/>
      <c r="G432" s="5"/>
      <c r="H432" s="5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2"/>
      <c r="D433" s="74"/>
      <c r="E433" s="74"/>
      <c r="F433" s="5"/>
      <c r="G433" s="5"/>
      <c r="H433" s="5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2"/>
      <c r="D434" s="74"/>
      <c r="E434" s="74"/>
      <c r="F434" s="5"/>
      <c r="G434" s="5"/>
      <c r="H434" s="5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2"/>
      <c r="D435" s="74"/>
      <c r="E435" s="74"/>
      <c r="F435" s="5"/>
      <c r="G435" s="5"/>
      <c r="H435" s="5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2"/>
      <c r="D436" s="74"/>
      <c r="E436" s="74"/>
      <c r="F436" s="5"/>
      <c r="G436" s="5"/>
      <c r="H436" s="5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2"/>
      <c r="D437" s="74"/>
      <c r="E437" s="74"/>
      <c r="F437" s="5"/>
      <c r="G437" s="5"/>
      <c r="H437" s="5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2"/>
      <c r="D438" s="74"/>
      <c r="E438" s="74"/>
      <c r="F438" s="5"/>
      <c r="G438" s="5"/>
      <c r="H438" s="5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2"/>
      <c r="D439" s="74"/>
      <c r="E439" s="74"/>
      <c r="F439" s="5"/>
      <c r="G439" s="5"/>
      <c r="H439" s="5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2"/>
      <c r="D440" s="74"/>
      <c r="E440" s="74"/>
      <c r="F440" s="5"/>
      <c r="G440" s="5"/>
      <c r="H440" s="5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2"/>
      <c r="D441" s="74"/>
      <c r="E441" s="74"/>
      <c r="F441" s="5"/>
      <c r="G441" s="5"/>
      <c r="H441" s="5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2"/>
      <c r="D442" s="74"/>
      <c r="E442" s="74"/>
      <c r="F442" s="5"/>
      <c r="G442" s="5"/>
      <c r="H442" s="5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2"/>
      <c r="D443" s="74"/>
      <c r="E443" s="74"/>
      <c r="F443" s="5"/>
      <c r="G443" s="5"/>
      <c r="H443" s="5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2"/>
      <c r="D444" s="74"/>
      <c r="E444" s="74"/>
      <c r="F444" s="5"/>
      <c r="G444" s="5"/>
      <c r="H444" s="5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2"/>
      <c r="D445" s="74"/>
      <c r="E445" s="74"/>
      <c r="F445" s="5"/>
      <c r="G445" s="5"/>
      <c r="H445" s="5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2"/>
      <c r="D446" s="74"/>
      <c r="E446" s="74"/>
      <c r="F446" s="5"/>
      <c r="G446" s="5"/>
      <c r="H446" s="5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2"/>
      <c r="D447" s="74"/>
      <c r="E447" s="74"/>
      <c r="F447" s="5"/>
      <c r="G447" s="5"/>
      <c r="H447" s="5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2"/>
      <c r="D448" s="74"/>
      <c r="E448" s="74"/>
      <c r="F448" s="5"/>
      <c r="G448" s="5"/>
      <c r="H448" s="5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2"/>
      <c r="D449" s="74"/>
      <c r="E449" s="74"/>
      <c r="F449" s="5"/>
      <c r="G449" s="5"/>
      <c r="H449" s="5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2"/>
      <c r="D450" s="74"/>
      <c r="E450" s="74"/>
      <c r="F450" s="5"/>
      <c r="G450" s="5"/>
      <c r="H450" s="5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2"/>
      <c r="D451" s="74"/>
      <c r="E451" s="74"/>
      <c r="F451" s="5"/>
      <c r="G451" s="5"/>
      <c r="H451" s="5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2"/>
      <c r="D452" s="74"/>
      <c r="E452" s="74"/>
      <c r="F452" s="5"/>
      <c r="G452" s="5"/>
      <c r="H452" s="5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2"/>
      <c r="D453" s="74"/>
      <c r="E453" s="74"/>
      <c r="F453" s="5"/>
      <c r="G453" s="5"/>
      <c r="H453" s="5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2"/>
      <c r="D454" s="74"/>
      <c r="E454" s="74"/>
      <c r="F454" s="5"/>
      <c r="G454" s="5"/>
      <c r="H454" s="5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2"/>
      <c r="D455" s="74"/>
      <c r="E455" s="74"/>
      <c r="F455" s="5"/>
      <c r="G455" s="5"/>
      <c r="H455" s="5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2"/>
      <c r="D456" s="74"/>
      <c r="E456" s="74"/>
      <c r="F456" s="5"/>
      <c r="G456" s="5"/>
      <c r="H456" s="5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2"/>
      <c r="D457" s="74"/>
      <c r="E457" s="74"/>
      <c r="F457" s="5"/>
      <c r="G457" s="5"/>
      <c r="H457" s="5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2"/>
      <c r="D458" s="74"/>
      <c r="E458" s="74"/>
      <c r="F458" s="5"/>
      <c r="G458" s="5"/>
      <c r="H458" s="5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2"/>
      <c r="D459" s="74"/>
      <c r="E459" s="74"/>
      <c r="F459" s="5"/>
      <c r="G459" s="5"/>
      <c r="H459" s="5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2"/>
      <c r="D460" s="74"/>
      <c r="E460" s="74"/>
      <c r="F460" s="5"/>
      <c r="G460" s="5"/>
      <c r="H460" s="5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2"/>
      <c r="D461" s="74"/>
      <c r="E461" s="74"/>
      <c r="F461" s="5"/>
      <c r="G461" s="5"/>
      <c r="H461" s="5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2"/>
      <c r="D462" s="74"/>
      <c r="E462" s="74"/>
      <c r="F462" s="5"/>
      <c r="G462" s="5"/>
      <c r="H462" s="5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2"/>
      <c r="D463" s="74"/>
      <c r="E463" s="74"/>
      <c r="F463" s="5"/>
      <c r="G463" s="5"/>
      <c r="H463" s="5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2"/>
      <c r="D464" s="74"/>
      <c r="E464" s="74"/>
      <c r="F464" s="5"/>
      <c r="G464" s="5"/>
      <c r="H464" s="5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2"/>
      <c r="D465" s="74"/>
      <c r="E465" s="74"/>
      <c r="F465" s="5"/>
      <c r="G465" s="5"/>
      <c r="H465" s="5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2"/>
      <c r="D466" s="74"/>
      <c r="E466" s="74"/>
      <c r="F466" s="5"/>
      <c r="G466" s="5"/>
      <c r="H466" s="5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2"/>
      <c r="D467" s="74"/>
      <c r="E467" s="74"/>
      <c r="F467" s="5"/>
      <c r="G467" s="5"/>
      <c r="H467" s="5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2"/>
      <c r="D468" s="74"/>
      <c r="E468" s="74"/>
      <c r="F468" s="5"/>
      <c r="G468" s="5"/>
      <c r="H468" s="5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2"/>
      <c r="D469" s="74"/>
      <c r="E469" s="74"/>
      <c r="F469" s="5"/>
      <c r="G469" s="5"/>
      <c r="H469" s="5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2"/>
      <c r="D470" s="74"/>
      <c r="E470" s="74"/>
      <c r="F470" s="5"/>
      <c r="G470" s="5"/>
      <c r="H470" s="5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2"/>
      <c r="D471" s="74"/>
      <c r="E471" s="74"/>
      <c r="F471" s="5"/>
      <c r="G471" s="5"/>
      <c r="H471" s="5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2"/>
      <c r="D472" s="74"/>
      <c r="E472" s="74"/>
      <c r="F472" s="5"/>
      <c r="G472" s="5"/>
      <c r="H472" s="5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2"/>
      <c r="D473" s="74"/>
      <c r="E473" s="74"/>
      <c r="F473" s="5"/>
      <c r="G473" s="5"/>
      <c r="H473" s="5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2"/>
      <c r="D474" s="74"/>
      <c r="E474" s="74"/>
      <c r="F474" s="5"/>
      <c r="G474" s="5"/>
      <c r="H474" s="5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2"/>
      <c r="D475" s="74"/>
      <c r="E475" s="74"/>
      <c r="F475" s="5"/>
      <c r="G475" s="5"/>
      <c r="H475" s="5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2"/>
      <c r="D476" s="74"/>
      <c r="E476" s="74"/>
      <c r="F476" s="5"/>
      <c r="G476" s="5"/>
      <c r="H476" s="5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2"/>
      <c r="D477" s="74"/>
      <c r="E477" s="74"/>
      <c r="F477" s="5"/>
      <c r="G477" s="5"/>
      <c r="H477" s="5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2"/>
      <c r="D478" s="74"/>
      <c r="E478" s="74"/>
      <c r="F478" s="5"/>
      <c r="G478" s="5"/>
      <c r="H478" s="5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2"/>
      <c r="D479" s="74"/>
      <c r="E479" s="74"/>
      <c r="F479" s="5"/>
      <c r="G479" s="5"/>
      <c r="H479" s="5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2"/>
      <c r="D480" s="74"/>
      <c r="E480" s="74"/>
      <c r="F480" s="5"/>
      <c r="G480" s="5"/>
      <c r="H480" s="5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2"/>
      <c r="D481" s="74"/>
      <c r="E481" s="74"/>
      <c r="F481" s="5"/>
      <c r="G481" s="5"/>
      <c r="H481" s="5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2"/>
      <c r="D482" s="74"/>
      <c r="E482" s="74"/>
      <c r="F482" s="5"/>
      <c r="G482" s="5"/>
      <c r="H482" s="5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2"/>
      <c r="D483" s="74"/>
      <c r="E483" s="74"/>
      <c r="F483" s="5"/>
      <c r="G483" s="5"/>
      <c r="H483" s="5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2"/>
      <c r="D484" s="74"/>
      <c r="E484" s="74"/>
      <c r="F484" s="5"/>
      <c r="G484" s="5"/>
      <c r="H484" s="5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2"/>
      <c r="D485" s="74"/>
      <c r="E485" s="74"/>
      <c r="F485" s="5"/>
      <c r="G485" s="5"/>
      <c r="H485" s="5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2"/>
      <c r="D486" s="74"/>
      <c r="E486" s="74"/>
      <c r="F486" s="5"/>
      <c r="G486" s="5"/>
      <c r="H486" s="5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2"/>
      <c r="D487" s="74"/>
      <c r="E487" s="74"/>
      <c r="F487" s="5"/>
      <c r="G487" s="5"/>
      <c r="H487" s="5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2"/>
      <c r="D488" s="74"/>
      <c r="E488" s="74"/>
      <c r="F488" s="5"/>
      <c r="G488" s="5"/>
      <c r="H488" s="5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2"/>
      <c r="D489" s="74"/>
      <c r="E489" s="74"/>
      <c r="F489" s="5"/>
      <c r="G489" s="5"/>
      <c r="H489" s="5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2"/>
      <c r="D490" s="74"/>
      <c r="E490" s="74"/>
      <c r="F490" s="5"/>
      <c r="G490" s="5"/>
      <c r="H490" s="5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2"/>
      <c r="D491" s="74"/>
      <c r="E491" s="74"/>
      <c r="F491" s="5"/>
      <c r="G491" s="5"/>
      <c r="H491" s="5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2"/>
      <c r="D492" s="74"/>
      <c r="E492" s="74"/>
      <c r="F492" s="5"/>
      <c r="G492" s="5"/>
      <c r="H492" s="5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2"/>
      <c r="D493" s="74"/>
      <c r="E493" s="74"/>
      <c r="F493" s="5"/>
      <c r="G493" s="5"/>
      <c r="H493" s="5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2"/>
      <c r="D494" s="74"/>
      <c r="E494" s="74"/>
      <c r="F494" s="5"/>
      <c r="G494" s="5"/>
      <c r="H494" s="5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2"/>
      <c r="D495" s="74"/>
      <c r="E495" s="74"/>
      <c r="F495" s="5"/>
      <c r="G495" s="5"/>
      <c r="H495" s="5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2"/>
      <c r="D496" s="74"/>
      <c r="E496" s="74"/>
      <c r="F496" s="5"/>
      <c r="G496" s="5"/>
      <c r="H496" s="5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2"/>
      <c r="D497" s="74"/>
      <c r="E497" s="74"/>
      <c r="F497" s="5"/>
      <c r="G497" s="5"/>
      <c r="H497" s="5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2"/>
      <c r="D498" s="74"/>
      <c r="E498" s="74"/>
      <c r="F498" s="5"/>
      <c r="G498" s="5"/>
      <c r="H498" s="5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2"/>
      <c r="D499" s="74"/>
      <c r="E499" s="74"/>
      <c r="F499" s="5"/>
      <c r="G499" s="5"/>
      <c r="H499" s="5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2"/>
      <c r="D500" s="74"/>
      <c r="E500" s="74"/>
      <c r="F500" s="5"/>
      <c r="G500" s="5"/>
      <c r="H500" s="5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2"/>
      <c r="D501" s="74"/>
      <c r="E501" s="74"/>
      <c r="F501" s="5"/>
      <c r="G501" s="5"/>
      <c r="H501" s="5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2"/>
      <c r="D502" s="74"/>
      <c r="E502" s="74"/>
      <c r="F502" s="5"/>
      <c r="G502" s="5"/>
      <c r="H502" s="5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2"/>
      <c r="D503" s="74"/>
      <c r="E503" s="74"/>
      <c r="F503" s="5"/>
      <c r="G503" s="5"/>
      <c r="H503" s="5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2"/>
      <c r="D504" s="74"/>
      <c r="E504" s="74"/>
      <c r="F504" s="5"/>
      <c r="G504" s="5"/>
      <c r="H504" s="5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2"/>
      <c r="D505" s="74"/>
      <c r="E505" s="74"/>
      <c r="F505" s="5"/>
      <c r="G505" s="5"/>
      <c r="H505" s="5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2"/>
      <c r="D506" s="74"/>
      <c r="E506" s="74"/>
      <c r="F506" s="5"/>
      <c r="G506" s="5"/>
      <c r="H506" s="5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2"/>
      <c r="D507" s="74"/>
      <c r="E507" s="74"/>
      <c r="F507" s="5"/>
      <c r="G507" s="5"/>
      <c r="H507" s="5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2"/>
      <c r="D508" s="74"/>
      <c r="E508" s="74"/>
      <c r="F508" s="5"/>
      <c r="G508" s="5"/>
      <c r="H508" s="5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2"/>
      <c r="D509" s="74"/>
      <c r="E509" s="74"/>
      <c r="F509" s="5"/>
      <c r="G509" s="5"/>
      <c r="H509" s="5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2"/>
      <c r="D510" s="74"/>
      <c r="E510" s="74"/>
      <c r="F510" s="5"/>
      <c r="G510" s="5"/>
      <c r="H510" s="5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2"/>
      <c r="D511" s="74"/>
      <c r="E511" s="74"/>
      <c r="F511" s="5"/>
      <c r="G511" s="5"/>
      <c r="H511" s="5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2"/>
      <c r="D512" s="74"/>
      <c r="E512" s="74"/>
      <c r="F512" s="5"/>
      <c r="G512" s="5"/>
      <c r="H512" s="5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2"/>
      <c r="D513" s="74"/>
      <c r="E513" s="74"/>
      <c r="F513" s="5"/>
      <c r="G513" s="5"/>
      <c r="H513" s="5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2"/>
      <c r="D514" s="74"/>
      <c r="E514" s="74"/>
      <c r="F514" s="5"/>
      <c r="G514" s="5"/>
      <c r="H514" s="5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2"/>
      <c r="D515" s="74"/>
      <c r="E515" s="74"/>
      <c r="F515" s="5"/>
      <c r="G515" s="5"/>
      <c r="H515" s="5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2"/>
      <c r="D516" s="74"/>
      <c r="E516" s="74"/>
      <c r="F516" s="5"/>
      <c r="G516" s="5"/>
      <c r="H516" s="5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2"/>
      <c r="D517" s="74"/>
      <c r="E517" s="74"/>
      <c r="F517" s="5"/>
      <c r="G517" s="5"/>
      <c r="H517" s="5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2"/>
      <c r="D518" s="74"/>
      <c r="E518" s="74"/>
      <c r="F518" s="5"/>
      <c r="G518" s="5"/>
      <c r="H518" s="5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2"/>
      <c r="D519" s="74"/>
      <c r="E519" s="74"/>
      <c r="F519" s="5"/>
      <c r="G519" s="5"/>
      <c r="H519" s="5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2"/>
      <c r="D520" s="74"/>
      <c r="E520" s="74"/>
      <c r="F520" s="5"/>
      <c r="G520" s="5"/>
      <c r="H520" s="5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2"/>
      <c r="D521" s="74"/>
      <c r="E521" s="74"/>
      <c r="F521" s="5"/>
      <c r="G521" s="5"/>
      <c r="H521" s="5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2"/>
      <c r="D522" s="74"/>
      <c r="E522" s="74"/>
      <c r="F522" s="5"/>
      <c r="G522" s="5"/>
      <c r="H522" s="5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2"/>
      <c r="D523" s="74"/>
      <c r="E523" s="74"/>
      <c r="F523" s="5"/>
      <c r="G523" s="5"/>
      <c r="H523" s="5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2"/>
      <c r="D524" s="74"/>
      <c r="E524" s="74"/>
      <c r="F524" s="5"/>
      <c r="G524" s="5"/>
      <c r="H524" s="5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2"/>
      <c r="D525" s="74"/>
      <c r="E525" s="74"/>
      <c r="F525" s="5"/>
      <c r="G525" s="5"/>
      <c r="H525" s="5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2"/>
      <c r="D526" s="74"/>
      <c r="E526" s="74"/>
      <c r="F526" s="5"/>
      <c r="G526" s="5"/>
      <c r="H526" s="5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2"/>
      <c r="D527" s="74"/>
      <c r="E527" s="74"/>
      <c r="F527" s="5"/>
      <c r="G527" s="5"/>
      <c r="H527" s="5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2"/>
      <c r="D528" s="74"/>
      <c r="E528" s="74"/>
      <c r="F528" s="5"/>
      <c r="G528" s="5"/>
      <c r="H528" s="5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2"/>
      <c r="D529" s="74"/>
      <c r="E529" s="74"/>
      <c r="F529" s="5"/>
      <c r="G529" s="5"/>
      <c r="H529" s="5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2"/>
      <c r="D530" s="74"/>
      <c r="E530" s="74"/>
      <c r="F530" s="5"/>
      <c r="G530" s="5"/>
      <c r="H530" s="5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2"/>
      <c r="D531" s="74"/>
      <c r="E531" s="74"/>
      <c r="F531" s="5"/>
      <c r="G531" s="5"/>
      <c r="H531" s="5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2"/>
      <c r="D532" s="74"/>
      <c r="E532" s="74"/>
      <c r="F532" s="5"/>
      <c r="G532" s="5"/>
      <c r="H532" s="5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2"/>
      <c r="D533" s="74"/>
      <c r="E533" s="74"/>
      <c r="F533" s="5"/>
      <c r="G533" s="5"/>
      <c r="H533" s="5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2"/>
      <c r="D534" s="74"/>
      <c r="E534" s="74"/>
      <c r="F534" s="5"/>
      <c r="G534" s="5"/>
      <c r="H534" s="5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2"/>
      <c r="D535" s="74"/>
      <c r="E535" s="74"/>
      <c r="F535" s="5"/>
      <c r="G535" s="5"/>
      <c r="H535" s="5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2"/>
      <c r="D536" s="74"/>
      <c r="E536" s="74"/>
      <c r="F536" s="5"/>
      <c r="G536" s="5"/>
      <c r="H536" s="5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2"/>
      <c r="D537" s="74"/>
      <c r="E537" s="74"/>
      <c r="F537" s="5"/>
      <c r="G537" s="5"/>
      <c r="H537" s="5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2"/>
      <c r="D538" s="74"/>
      <c r="E538" s="74"/>
      <c r="F538" s="5"/>
      <c r="G538" s="5"/>
      <c r="H538" s="5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2"/>
      <c r="D539" s="74"/>
      <c r="E539" s="74"/>
      <c r="F539" s="5"/>
      <c r="G539" s="5"/>
      <c r="H539" s="5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2"/>
      <c r="D540" s="74"/>
      <c r="E540" s="74"/>
      <c r="F540" s="5"/>
      <c r="G540" s="5"/>
      <c r="H540" s="5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2"/>
      <c r="D541" s="74"/>
      <c r="E541" s="74"/>
      <c r="F541" s="5"/>
      <c r="G541" s="5"/>
      <c r="H541" s="5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2"/>
      <c r="D542" s="74"/>
      <c r="E542" s="74"/>
      <c r="F542" s="5"/>
      <c r="G542" s="5"/>
      <c r="H542" s="5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2"/>
      <c r="D543" s="74"/>
      <c r="E543" s="74"/>
      <c r="F543" s="5"/>
      <c r="G543" s="5"/>
      <c r="H543" s="5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2"/>
      <c r="D544" s="74"/>
      <c r="E544" s="74"/>
      <c r="F544" s="5"/>
      <c r="G544" s="5"/>
      <c r="H544" s="5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2"/>
      <c r="D545" s="74"/>
      <c r="E545" s="74"/>
      <c r="F545" s="5"/>
      <c r="G545" s="5"/>
      <c r="H545" s="5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2"/>
      <c r="D546" s="74"/>
      <c r="E546" s="74"/>
      <c r="F546" s="5"/>
      <c r="G546" s="5"/>
      <c r="H546" s="5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2"/>
      <c r="D547" s="74"/>
      <c r="E547" s="74"/>
      <c r="F547" s="5"/>
      <c r="G547" s="5"/>
      <c r="H547" s="5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2"/>
      <c r="D548" s="74"/>
      <c r="E548" s="74"/>
      <c r="F548" s="5"/>
      <c r="G548" s="5"/>
      <c r="H548" s="5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2"/>
      <c r="D549" s="74"/>
      <c r="E549" s="74"/>
      <c r="F549" s="5"/>
      <c r="G549" s="5"/>
      <c r="H549" s="5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2"/>
      <c r="D550" s="74"/>
      <c r="E550" s="74"/>
      <c r="F550" s="5"/>
      <c r="G550" s="5"/>
      <c r="H550" s="5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2"/>
      <c r="D551" s="74"/>
      <c r="E551" s="74"/>
      <c r="F551" s="5"/>
      <c r="G551" s="5"/>
      <c r="H551" s="5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2"/>
      <c r="D552" s="74"/>
      <c r="E552" s="74"/>
      <c r="F552" s="5"/>
      <c r="G552" s="5"/>
      <c r="H552" s="5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2"/>
      <c r="D553" s="74"/>
      <c r="E553" s="74"/>
      <c r="F553" s="5"/>
      <c r="G553" s="5"/>
      <c r="H553" s="5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2"/>
      <c r="D554" s="74"/>
      <c r="E554" s="74"/>
      <c r="F554" s="5"/>
      <c r="G554" s="5"/>
      <c r="H554" s="5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2"/>
      <c r="D555" s="74"/>
      <c r="E555" s="74"/>
      <c r="F555" s="5"/>
      <c r="G555" s="5"/>
      <c r="H555" s="5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2"/>
      <c r="D556" s="74"/>
      <c r="E556" s="74"/>
      <c r="F556" s="5"/>
      <c r="G556" s="5"/>
      <c r="H556" s="5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2"/>
      <c r="D557" s="74"/>
      <c r="E557" s="74"/>
      <c r="F557" s="5"/>
      <c r="G557" s="5"/>
      <c r="H557" s="5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2"/>
      <c r="D558" s="74"/>
      <c r="E558" s="74"/>
      <c r="F558" s="5"/>
      <c r="G558" s="5"/>
      <c r="H558" s="5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2"/>
      <c r="D559" s="74"/>
      <c r="E559" s="74"/>
      <c r="F559" s="5"/>
      <c r="G559" s="5"/>
      <c r="H559" s="5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2"/>
      <c r="D560" s="74"/>
      <c r="E560" s="74"/>
      <c r="F560" s="5"/>
      <c r="G560" s="5"/>
      <c r="H560" s="5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2"/>
      <c r="D561" s="74"/>
      <c r="E561" s="74"/>
      <c r="F561" s="5"/>
      <c r="G561" s="5"/>
      <c r="H561" s="5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2"/>
      <c r="D562" s="74"/>
      <c r="E562" s="74"/>
      <c r="F562" s="5"/>
      <c r="G562" s="5"/>
      <c r="H562" s="5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2"/>
      <c r="D563" s="74"/>
      <c r="E563" s="74"/>
      <c r="F563" s="5"/>
      <c r="G563" s="5"/>
      <c r="H563" s="5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2"/>
      <c r="D564" s="74"/>
      <c r="E564" s="74"/>
      <c r="F564" s="5"/>
      <c r="G564" s="5"/>
      <c r="H564" s="5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2"/>
      <c r="D565" s="74"/>
      <c r="E565" s="74"/>
      <c r="F565" s="5"/>
      <c r="G565" s="5"/>
      <c r="H565" s="5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2"/>
      <c r="D566" s="74"/>
      <c r="E566" s="74"/>
      <c r="F566" s="5"/>
      <c r="G566" s="5"/>
      <c r="H566" s="5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2"/>
      <c r="D567" s="74"/>
      <c r="E567" s="74"/>
      <c r="F567" s="5"/>
      <c r="G567" s="5"/>
      <c r="H567" s="5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2"/>
      <c r="D568" s="74"/>
      <c r="E568" s="74"/>
      <c r="F568" s="5"/>
      <c r="G568" s="5"/>
      <c r="H568" s="5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2"/>
      <c r="D569" s="74"/>
      <c r="E569" s="74"/>
      <c r="F569" s="5"/>
      <c r="G569" s="5"/>
      <c r="H569" s="5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2"/>
      <c r="D570" s="74"/>
      <c r="E570" s="74"/>
      <c r="F570" s="5"/>
      <c r="G570" s="5"/>
      <c r="H570" s="5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2"/>
      <c r="D571" s="74"/>
      <c r="E571" s="74"/>
      <c r="F571" s="5"/>
      <c r="G571" s="5"/>
      <c r="H571" s="5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2"/>
      <c r="D572" s="74"/>
      <c r="E572" s="74"/>
      <c r="F572" s="5"/>
      <c r="G572" s="5"/>
      <c r="H572" s="5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2"/>
      <c r="D573" s="74"/>
      <c r="E573" s="74"/>
      <c r="F573" s="5"/>
      <c r="G573" s="5"/>
      <c r="H573" s="5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2"/>
      <c r="D574" s="74"/>
      <c r="E574" s="74"/>
      <c r="F574" s="5"/>
      <c r="G574" s="5"/>
      <c r="H574" s="5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2"/>
      <c r="D575" s="74"/>
      <c r="E575" s="74"/>
      <c r="F575" s="5"/>
      <c r="G575" s="5"/>
      <c r="H575" s="5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2"/>
      <c r="D576" s="74"/>
      <c r="E576" s="74"/>
      <c r="F576" s="5"/>
      <c r="G576" s="5"/>
      <c r="H576" s="5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2"/>
      <c r="D577" s="74"/>
      <c r="E577" s="74"/>
      <c r="F577" s="5"/>
      <c r="G577" s="5"/>
      <c r="H577" s="5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2"/>
      <c r="D578" s="74"/>
      <c r="E578" s="74"/>
      <c r="F578" s="5"/>
      <c r="G578" s="5"/>
      <c r="H578" s="5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2"/>
      <c r="D579" s="74"/>
      <c r="E579" s="74"/>
      <c r="F579" s="5"/>
      <c r="G579" s="5"/>
      <c r="H579" s="5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2"/>
      <c r="D580" s="74"/>
      <c r="E580" s="74"/>
      <c r="F580" s="5"/>
      <c r="G580" s="5"/>
      <c r="H580" s="5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2"/>
      <c r="D581" s="74"/>
      <c r="E581" s="74"/>
      <c r="F581" s="5"/>
      <c r="G581" s="5"/>
      <c r="H581" s="5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2"/>
      <c r="D582" s="74"/>
      <c r="E582" s="74"/>
      <c r="F582" s="5"/>
      <c r="G582" s="5"/>
      <c r="H582" s="5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2"/>
      <c r="D583" s="74"/>
      <c r="E583" s="74"/>
      <c r="F583" s="5"/>
      <c r="G583" s="5"/>
      <c r="H583" s="5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2"/>
      <c r="D584" s="74"/>
      <c r="E584" s="74"/>
      <c r="F584" s="5"/>
      <c r="G584" s="5"/>
      <c r="H584" s="5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2"/>
      <c r="D585" s="74"/>
      <c r="E585" s="74"/>
      <c r="F585" s="5"/>
      <c r="G585" s="5"/>
      <c r="H585" s="5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2"/>
      <c r="D586" s="74"/>
      <c r="E586" s="74"/>
      <c r="F586" s="5"/>
      <c r="G586" s="5"/>
      <c r="H586" s="5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2"/>
      <c r="D587" s="74"/>
      <c r="E587" s="74"/>
      <c r="F587" s="5"/>
      <c r="G587" s="5"/>
      <c r="H587" s="5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2"/>
      <c r="D588" s="74"/>
      <c r="E588" s="74"/>
      <c r="F588" s="5"/>
      <c r="G588" s="5"/>
      <c r="H588" s="5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2"/>
      <c r="D589" s="74"/>
      <c r="E589" s="74"/>
      <c r="F589" s="5"/>
      <c r="G589" s="5"/>
      <c r="H589" s="5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2"/>
      <c r="D590" s="74"/>
      <c r="E590" s="74"/>
      <c r="F590" s="5"/>
      <c r="G590" s="5"/>
      <c r="H590" s="5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2"/>
      <c r="D591" s="74"/>
      <c r="E591" s="74"/>
      <c r="F591" s="5"/>
      <c r="G591" s="5"/>
      <c r="H591" s="5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2"/>
      <c r="D592" s="74"/>
      <c r="E592" s="74"/>
      <c r="F592" s="5"/>
      <c r="G592" s="5"/>
      <c r="H592" s="5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2"/>
      <c r="D593" s="74"/>
      <c r="E593" s="74"/>
      <c r="F593" s="5"/>
      <c r="G593" s="5"/>
      <c r="H593" s="5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2"/>
      <c r="D594" s="74"/>
      <c r="E594" s="74"/>
      <c r="F594" s="5"/>
      <c r="G594" s="5"/>
      <c r="H594" s="5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2"/>
      <c r="D595" s="74"/>
      <c r="E595" s="74"/>
      <c r="F595" s="5"/>
      <c r="G595" s="5"/>
      <c r="H595" s="5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2"/>
      <c r="D596" s="74"/>
      <c r="E596" s="74"/>
      <c r="F596" s="5"/>
      <c r="G596" s="5"/>
      <c r="H596" s="5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2"/>
      <c r="D597" s="74"/>
      <c r="E597" s="74"/>
      <c r="F597" s="5"/>
      <c r="G597" s="5"/>
      <c r="H597" s="5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2"/>
      <c r="D598" s="74"/>
      <c r="E598" s="74"/>
      <c r="F598" s="5"/>
      <c r="G598" s="5"/>
      <c r="H598" s="5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2"/>
      <c r="D599" s="74"/>
      <c r="E599" s="74"/>
      <c r="F599" s="5"/>
      <c r="G599" s="5"/>
      <c r="H599" s="5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2"/>
      <c r="D600" s="74"/>
      <c r="E600" s="74"/>
      <c r="F600" s="5"/>
      <c r="G600" s="5"/>
      <c r="H600" s="5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2"/>
      <c r="D601" s="74"/>
      <c r="E601" s="74"/>
      <c r="F601" s="5"/>
      <c r="G601" s="5"/>
      <c r="H601" s="5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2"/>
      <c r="D602" s="74"/>
      <c r="E602" s="74"/>
      <c r="F602" s="5"/>
      <c r="G602" s="5"/>
      <c r="H602" s="5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2"/>
      <c r="D603" s="74"/>
      <c r="E603" s="74"/>
      <c r="F603" s="5"/>
      <c r="G603" s="5"/>
      <c r="H603" s="5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2"/>
      <c r="D604" s="74"/>
      <c r="E604" s="74"/>
      <c r="F604" s="5"/>
      <c r="G604" s="5"/>
      <c r="H604" s="5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2"/>
      <c r="D605" s="74"/>
      <c r="E605" s="74"/>
      <c r="F605" s="5"/>
      <c r="G605" s="5"/>
      <c r="H605" s="5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2"/>
      <c r="D606" s="74"/>
      <c r="E606" s="74"/>
      <c r="F606" s="5"/>
      <c r="G606" s="5"/>
      <c r="H606" s="5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2"/>
      <c r="D607" s="74"/>
      <c r="E607" s="74"/>
      <c r="F607" s="5"/>
      <c r="G607" s="5"/>
      <c r="H607" s="5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2"/>
      <c r="D608" s="74"/>
      <c r="E608" s="74"/>
      <c r="F608" s="5"/>
      <c r="G608" s="5"/>
      <c r="H608" s="5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2"/>
      <c r="D609" s="74"/>
      <c r="E609" s="74"/>
      <c r="F609" s="5"/>
      <c r="G609" s="5"/>
      <c r="H609" s="5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2"/>
      <c r="D610" s="74"/>
      <c r="E610" s="74"/>
      <c r="F610" s="5"/>
      <c r="G610" s="5"/>
      <c r="H610" s="5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2"/>
      <c r="D611" s="74"/>
      <c r="E611" s="74"/>
      <c r="F611" s="5"/>
      <c r="G611" s="5"/>
      <c r="H611" s="5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2"/>
      <c r="D612" s="74"/>
      <c r="E612" s="74"/>
      <c r="F612" s="5"/>
      <c r="G612" s="5"/>
      <c r="H612" s="5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2"/>
      <c r="D613" s="74"/>
      <c r="E613" s="74"/>
      <c r="F613" s="5"/>
      <c r="G613" s="5"/>
      <c r="H613" s="5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2"/>
      <c r="D614" s="74"/>
      <c r="E614" s="74"/>
      <c r="F614" s="5"/>
      <c r="G614" s="5"/>
      <c r="H614" s="5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2"/>
      <c r="D615" s="74"/>
      <c r="E615" s="74"/>
      <c r="F615" s="5"/>
      <c r="G615" s="5"/>
      <c r="H615" s="5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2"/>
      <c r="D616" s="74"/>
      <c r="E616" s="74"/>
      <c r="F616" s="5"/>
      <c r="G616" s="5"/>
      <c r="H616" s="5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2"/>
      <c r="D617" s="74"/>
      <c r="E617" s="74"/>
      <c r="F617" s="5"/>
      <c r="G617" s="5"/>
      <c r="H617" s="5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2"/>
      <c r="D618" s="74"/>
      <c r="E618" s="74"/>
      <c r="F618" s="5"/>
      <c r="G618" s="5"/>
      <c r="H618" s="5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2"/>
      <c r="D619" s="74"/>
      <c r="E619" s="74"/>
      <c r="F619" s="5"/>
      <c r="G619" s="5"/>
      <c r="H619" s="5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2"/>
      <c r="D620" s="74"/>
      <c r="E620" s="74"/>
      <c r="F620" s="5"/>
      <c r="G620" s="5"/>
      <c r="H620" s="5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2"/>
      <c r="D621" s="74"/>
      <c r="E621" s="74"/>
      <c r="F621" s="5"/>
      <c r="G621" s="5"/>
      <c r="H621" s="5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2"/>
      <c r="D622" s="74"/>
      <c r="E622" s="74"/>
      <c r="F622" s="5"/>
      <c r="G622" s="5"/>
      <c r="H622" s="5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2"/>
      <c r="D623" s="74"/>
      <c r="E623" s="74"/>
      <c r="F623" s="5"/>
      <c r="G623" s="5"/>
      <c r="H623" s="5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2"/>
      <c r="D624" s="74"/>
      <c r="E624" s="74"/>
      <c r="F624" s="5"/>
      <c r="G624" s="5"/>
      <c r="H624" s="5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2"/>
      <c r="D625" s="74"/>
      <c r="E625" s="74"/>
      <c r="F625" s="5"/>
      <c r="G625" s="5"/>
      <c r="H625" s="5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2"/>
      <c r="D626" s="74"/>
      <c r="E626" s="74"/>
      <c r="F626" s="5"/>
      <c r="G626" s="5"/>
      <c r="H626" s="5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2"/>
      <c r="D627" s="74"/>
      <c r="E627" s="74"/>
      <c r="F627" s="5"/>
      <c r="G627" s="5"/>
      <c r="H627" s="5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2"/>
      <c r="D628" s="74"/>
      <c r="E628" s="74"/>
      <c r="F628" s="5"/>
      <c r="G628" s="5"/>
      <c r="H628" s="5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2"/>
      <c r="D629" s="74"/>
      <c r="E629" s="74"/>
      <c r="F629" s="5"/>
      <c r="G629" s="5"/>
      <c r="H629" s="5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2"/>
      <c r="D630" s="74"/>
      <c r="E630" s="74"/>
      <c r="F630" s="5"/>
      <c r="G630" s="5"/>
      <c r="H630" s="5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2"/>
      <c r="D631" s="74"/>
      <c r="E631" s="74"/>
      <c r="F631" s="5"/>
      <c r="G631" s="5"/>
      <c r="H631" s="5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2"/>
      <c r="D632" s="74"/>
      <c r="E632" s="74"/>
      <c r="F632" s="5"/>
      <c r="G632" s="5"/>
      <c r="H632" s="5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2"/>
      <c r="D633" s="74"/>
      <c r="E633" s="74"/>
      <c r="F633" s="5"/>
      <c r="G633" s="5"/>
      <c r="H633" s="5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2"/>
      <c r="D634" s="74"/>
      <c r="E634" s="74"/>
      <c r="F634" s="5"/>
      <c r="G634" s="5"/>
      <c r="H634" s="5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2"/>
      <c r="D635" s="74"/>
      <c r="E635" s="74"/>
      <c r="F635" s="5"/>
      <c r="G635" s="5"/>
      <c r="H635" s="5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2"/>
      <c r="D636" s="74"/>
      <c r="E636" s="74"/>
      <c r="F636" s="5"/>
      <c r="G636" s="5"/>
      <c r="H636" s="5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2"/>
      <c r="D637" s="74"/>
      <c r="E637" s="74"/>
      <c r="F637" s="5"/>
      <c r="G637" s="5"/>
      <c r="H637" s="5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2"/>
      <c r="D638" s="74"/>
      <c r="E638" s="74"/>
      <c r="F638" s="5"/>
      <c r="G638" s="5"/>
      <c r="H638" s="5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2"/>
      <c r="D639" s="74"/>
      <c r="E639" s="74"/>
      <c r="F639" s="5"/>
      <c r="G639" s="5"/>
      <c r="H639" s="5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2"/>
      <c r="D640" s="74"/>
      <c r="E640" s="74"/>
      <c r="F640" s="5"/>
      <c r="G640" s="5"/>
      <c r="H640" s="5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2"/>
      <c r="D641" s="74"/>
      <c r="E641" s="74"/>
      <c r="F641" s="5"/>
      <c r="G641" s="5"/>
      <c r="H641" s="5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2"/>
      <c r="D642" s="74"/>
      <c r="E642" s="74"/>
      <c r="F642" s="5"/>
      <c r="G642" s="5"/>
      <c r="H642" s="5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2"/>
      <c r="D643" s="74"/>
      <c r="E643" s="74"/>
      <c r="F643" s="5"/>
      <c r="G643" s="5"/>
      <c r="H643" s="5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2"/>
      <c r="D644" s="74"/>
      <c r="E644" s="74"/>
      <c r="F644" s="5"/>
      <c r="G644" s="5"/>
      <c r="H644" s="5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2"/>
      <c r="D645" s="74"/>
      <c r="E645" s="74"/>
      <c r="F645" s="5"/>
      <c r="G645" s="5"/>
      <c r="H645" s="5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2"/>
      <c r="D646" s="74"/>
      <c r="E646" s="74"/>
      <c r="F646" s="5"/>
      <c r="G646" s="5"/>
      <c r="H646" s="5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2"/>
      <c r="D647" s="74"/>
      <c r="E647" s="74"/>
      <c r="F647" s="5"/>
      <c r="G647" s="5"/>
      <c r="H647" s="5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2"/>
      <c r="D648" s="74"/>
      <c r="E648" s="74"/>
      <c r="F648" s="5"/>
      <c r="G648" s="5"/>
      <c r="H648" s="5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2"/>
      <c r="D649" s="74"/>
      <c r="E649" s="74"/>
      <c r="F649" s="5"/>
      <c r="G649" s="5"/>
      <c r="H649" s="5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2"/>
      <c r="D650" s="74"/>
      <c r="E650" s="74"/>
      <c r="F650" s="5"/>
      <c r="G650" s="5"/>
      <c r="H650" s="5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2"/>
      <c r="D651" s="74"/>
      <c r="E651" s="74"/>
      <c r="F651" s="5"/>
      <c r="G651" s="5"/>
      <c r="H651" s="5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2"/>
      <c r="D652" s="74"/>
      <c r="E652" s="74"/>
      <c r="F652" s="5"/>
      <c r="G652" s="5"/>
      <c r="H652" s="5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2"/>
      <c r="D653" s="74"/>
      <c r="E653" s="74"/>
      <c r="F653" s="5"/>
      <c r="G653" s="5"/>
      <c r="H653" s="5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2"/>
      <c r="D654" s="74"/>
      <c r="E654" s="74"/>
      <c r="F654" s="5"/>
      <c r="G654" s="5"/>
      <c r="H654" s="5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2"/>
      <c r="D655" s="74"/>
      <c r="E655" s="74"/>
      <c r="F655" s="5"/>
      <c r="G655" s="5"/>
      <c r="H655" s="5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2"/>
      <c r="D656" s="74"/>
      <c r="E656" s="74"/>
      <c r="F656" s="5"/>
      <c r="G656" s="5"/>
      <c r="H656" s="5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2"/>
      <c r="D657" s="74"/>
      <c r="E657" s="74"/>
      <c r="F657" s="5"/>
      <c r="G657" s="5"/>
      <c r="H657" s="5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2"/>
      <c r="D658" s="74"/>
      <c r="E658" s="74"/>
      <c r="F658" s="5"/>
      <c r="G658" s="5"/>
      <c r="H658" s="5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2"/>
      <c r="D659" s="74"/>
      <c r="E659" s="74"/>
      <c r="F659" s="5"/>
      <c r="G659" s="5"/>
      <c r="H659" s="5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2"/>
      <c r="D660" s="74"/>
      <c r="E660" s="74"/>
      <c r="F660" s="5"/>
      <c r="G660" s="5"/>
      <c r="H660" s="5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2"/>
      <c r="D661" s="74"/>
      <c r="E661" s="74"/>
      <c r="F661" s="5"/>
      <c r="G661" s="5"/>
      <c r="H661" s="5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2"/>
      <c r="D662" s="74"/>
      <c r="E662" s="74"/>
      <c r="F662" s="5"/>
      <c r="G662" s="5"/>
      <c r="H662" s="5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2"/>
      <c r="D663" s="74"/>
      <c r="E663" s="74"/>
      <c r="F663" s="5"/>
      <c r="G663" s="5"/>
      <c r="H663" s="5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2"/>
      <c r="D664" s="74"/>
      <c r="E664" s="74"/>
      <c r="F664" s="5"/>
      <c r="G664" s="5"/>
      <c r="H664" s="5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2"/>
      <c r="D665" s="74"/>
      <c r="E665" s="74"/>
      <c r="F665" s="5"/>
      <c r="G665" s="5"/>
      <c r="H665" s="5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2"/>
      <c r="D666" s="74"/>
      <c r="E666" s="74"/>
      <c r="F666" s="5"/>
      <c r="G666" s="5"/>
      <c r="H666" s="5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2"/>
      <c r="D667" s="74"/>
      <c r="E667" s="74"/>
      <c r="F667" s="5"/>
      <c r="G667" s="5"/>
      <c r="H667" s="5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2"/>
      <c r="D668" s="74"/>
      <c r="E668" s="74"/>
      <c r="F668" s="5"/>
      <c r="G668" s="5"/>
      <c r="H668" s="5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2"/>
      <c r="D669" s="74"/>
      <c r="E669" s="74"/>
      <c r="F669" s="5"/>
      <c r="G669" s="5"/>
      <c r="H669" s="5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2"/>
      <c r="D670" s="74"/>
      <c r="E670" s="74"/>
      <c r="F670" s="5"/>
      <c r="G670" s="5"/>
      <c r="H670" s="5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2"/>
      <c r="D671" s="74"/>
      <c r="E671" s="74"/>
      <c r="F671" s="5"/>
      <c r="G671" s="5"/>
      <c r="H671" s="5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2"/>
      <c r="D672" s="74"/>
      <c r="E672" s="74"/>
      <c r="F672" s="5"/>
      <c r="G672" s="5"/>
      <c r="H672" s="5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2"/>
      <c r="D673" s="74"/>
      <c r="E673" s="74"/>
      <c r="F673" s="5"/>
      <c r="G673" s="5"/>
      <c r="H673" s="5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2"/>
      <c r="D674" s="74"/>
      <c r="E674" s="74"/>
      <c r="F674" s="5"/>
      <c r="G674" s="5"/>
      <c r="H674" s="5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2"/>
      <c r="D675" s="74"/>
      <c r="E675" s="74"/>
      <c r="F675" s="5"/>
      <c r="G675" s="5"/>
      <c r="H675" s="5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2"/>
      <c r="D676" s="74"/>
      <c r="E676" s="74"/>
      <c r="F676" s="5"/>
      <c r="G676" s="5"/>
      <c r="H676" s="5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2"/>
      <c r="D677" s="74"/>
      <c r="E677" s="74"/>
      <c r="F677" s="5"/>
      <c r="G677" s="5"/>
      <c r="H677" s="5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2"/>
      <c r="D678" s="74"/>
      <c r="E678" s="74"/>
      <c r="F678" s="5"/>
      <c r="G678" s="5"/>
      <c r="H678" s="5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2"/>
      <c r="D679" s="74"/>
      <c r="E679" s="74"/>
      <c r="F679" s="5"/>
      <c r="G679" s="5"/>
      <c r="H679" s="5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2"/>
      <c r="D680" s="74"/>
      <c r="E680" s="74"/>
      <c r="F680" s="5"/>
      <c r="G680" s="5"/>
      <c r="H680" s="5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2"/>
      <c r="D681" s="74"/>
      <c r="E681" s="74"/>
      <c r="F681" s="5"/>
      <c r="G681" s="5"/>
      <c r="H681" s="5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2"/>
      <c r="D682" s="74"/>
      <c r="E682" s="74"/>
      <c r="F682" s="5"/>
      <c r="G682" s="5"/>
      <c r="H682" s="5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2"/>
      <c r="D683" s="74"/>
      <c r="E683" s="74"/>
      <c r="F683" s="5"/>
      <c r="G683" s="5"/>
      <c r="H683" s="5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2"/>
      <c r="D684" s="74"/>
      <c r="E684" s="74"/>
      <c r="F684" s="5"/>
      <c r="G684" s="5"/>
      <c r="H684" s="5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2"/>
      <c r="D685" s="74"/>
      <c r="E685" s="74"/>
      <c r="F685" s="5"/>
      <c r="G685" s="5"/>
      <c r="H685" s="5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2"/>
      <c r="D686" s="74"/>
      <c r="E686" s="74"/>
      <c r="F686" s="5"/>
      <c r="G686" s="5"/>
      <c r="H686" s="5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2"/>
      <c r="D687" s="74"/>
      <c r="E687" s="74"/>
      <c r="F687" s="5"/>
      <c r="G687" s="5"/>
      <c r="H687" s="5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2"/>
      <c r="D688" s="74"/>
      <c r="E688" s="74"/>
      <c r="F688" s="5"/>
      <c r="G688" s="5"/>
      <c r="H688" s="5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2"/>
      <c r="D689" s="74"/>
      <c r="E689" s="74"/>
      <c r="F689" s="5"/>
      <c r="G689" s="5"/>
      <c r="H689" s="5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2"/>
      <c r="D690" s="74"/>
      <c r="E690" s="74"/>
      <c r="F690" s="5"/>
      <c r="G690" s="5"/>
      <c r="H690" s="5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2"/>
      <c r="D691" s="74"/>
      <c r="E691" s="74"/>
      <c r="F691" s="5"/>
      <c r="G691" s="5"/>
      <c r="H691" s="5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2"/>
      <c r="D692" s="74"/>
      <c r="E692" s="74"/>
      <c r="F692" s="5"/>
      <c r="G692" s="5"/>
      <c r="H692" s="5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2"/>
      <c r="D693" s="74"/>
      <c r="E693" s="74"/>
      <c r="F693" s="5"/>
      <c r="G693" s="5"/>
      <c r="H693" s="5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2"/>
      <c r="D694" s="74"/>
      <c r="E694" s="74"/>
      <c r="F694" s="5"/>
      <c r="G694" s="5"/>
      <c r="H694" s="5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2"/>
      <c r="D695" s="74"/>
      <c r="E695" s="74"/>
      <c r="F695" s="5"/>
      <c r="G695" s="5"/>
      <c r="H695" s="5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2"/>
      <c r="D696" s="74"/>
      <c r="E696" s="74"/>
      <c r="F696" s="5"/>
      <c r="G696" s="5"/>
      <c r="H696" s="5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2"/>
      <c r="D697" s="74"/>
      <c r="E697" s="74"/>
      <c r="F697" s="5"/>
      <c r="G697" s="5"/>
      <c r="H697" s="5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2"/>
      <c r="D698" s="74"/>
      <c r="E698" s="74"/>
      <c r="F698" s="5"/>
      <c r="G698" s="5"/>
      <c r="H698" s="5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2"/>
      <c r="D699" s="74"/>
      <c r="E699" s="74"/>
      <c r="F699" s="5"/>
      <c r="G699" s="5"/>
      <c r="H699" s="5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2"/>
      <c r="D700" s="74"/>
      <c r="E700" s="74"/>
      <c r="F700" s="5"/>
      <c r="G700" s="5"/>
      <c r="H700" s="5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2"/>
      <c r="D701" s="74"/>
      <c r="E701" s="74"/>
      <c r="F701" s="5"/>
      <c r="G701" s="5"/>
      <c r="H701" s="5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2"/>
      <c r="D702" s="74"/>
      <c r="E702" s="74"/>
      <c r="F702" s="5"/>
      <c r="G702" s="5"/>
      <c r="H702" s="5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2"/>
      <c r="D703" s="74"/>
      <c r="E703" s="74"/>
      <c r="F703" s="5"/>
      <c r="G703" s="5"/>
      <c r="H703" s="5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2"/>
      <c r="D704" s="74"/>
      <c r="E704" s="74"/>
      <c r="F704" s="5"/>
      <c r="G704" s="5"/>
      <c r="H704" s="5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2"/>
      <c r="D705" s="74"/>
      <c r="E705" s="74"/>
      <c r="F705" s="5"/>
      <c r="G705" s="5"/>
      <c r="H705" s="5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2"/>
      <c r="D706" s="74"/>
      <c r="E706" s="74"/>
      <c r="F706" s="5"/>
      <c r="G706" s="5"/>
      <c r="H706" s="5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2"/>
      <c r="D707" s="74"/>
      <c r="E707" s="74"/>
      <c r="F707" s="5"/>
      <c r="G707" s="5"/>
      <c r="H707" s="5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2"/>
      <c r="D708" s="74"/>
      <c r="E708" s="74"/>
      <c r="F708" s="5"/>
      <c r="G708" s="5"/>
      <c r="H708" s="5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2"/>
      <c r="D709" s="74"/>
      <c r="E709" s="74"/>
      <c r="F709" s="5"/>
      <c r="G709" s="5"/>
      <c r="H709" s="5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2"/>
      <c r="D710" s="74"/>
      <c r="E710" s="74"/>
      <c r="F710" s="5"/>
      <c r="G710" s="5"/>
      <c r="H710" s="5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2"/>
      <c r="D711" s="74"/>
      <c r="E711" s="74"/>
      <c r="F711" s="5"/>
      <c r="G711" s="5"/>
      <c r="H711" s="5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2"/>
      <c r="D712" s="74"/>
      <c r="E712" s="74"/>
      <c r="F712" s="5"/>
      <c r="G712" s="5"/>
      <c r="H712" s="5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2"/>
      <c r="D713" s="74"/>
      <c r="E713" s="74"/>
      <c r="F713" s="5"/>
      <c r="G713" s="5"/>
      <c r="H713" s="5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2"/>
      <c r="D714" s="74"/>
      <c r="E714" s="74"/>
      <c r="F714" s="5"/>
      <c r="G714" s="5"/>
      <c r="H714" s="5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2"/>
      <c r="D715" s="74"/>
      <c r="E715" s="74"/>
      <c r="F715" s="5"/>
      <c r="G715" s="5"/>
      <c r="H715" s="5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2"/>
      <c r="D716" s="74"/>
      <c r="E716" s="74"/>
      <c r="F716" s="5"/>
      <c r="G716" s="5"/>
      <c r="H716" s="5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2"/>
      <c r="D717" s="74"/>
      <c r="E717" s="74"/>
      <c r="F717" s="5"/>
      <c r="G717" s="5"/>
      <c r="H717" s="5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2"/>
      <c r="D718" s="74"/>
      <c r="E718" s="74"/>
      <c r="F718" s="5"/>
      <c r="G718" s="5"/>
      <c r="H718" s="5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2"/>
      <c r="D719" s="74"/>
      <c r="E719" s="74"/>
      <c r="F719" s="5"/>
      <c r="G719" s="5"/>
      <c r="H719" s="5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2"/>
      <c r="D720" s="74"/>
      <c r="E720" s="74"/>
      <c r="F720" s="5"/>
      <c r="G720" s="5"/>
      <c r="H720" s="5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2"/>
      <c r="D721" s="74"/>
      <c r="E721" s="74"/>
      <c r="F721" s="5"/>
      <c r="G721" s="5"/>
      <c r="H721" s="5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2"/>
      <c r="D722" s="74"/>
      <c r="E722" s="74"/>
      <c r="F722" s="5"/>
      <c r="G722" s="5"/>
      <c r="H722" s="5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2"/>
      <c r="D723" s="74"/>
      <c r="E723" s="74"/>
      <c r="F723" s="5"/>
      <c r="G723" s="5"/>
      <c r="H723" s="5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2"/>
      <c r="D724" s="74"/>
      <c r="E724" s="74"/>
      <c r="F724" s="5"/>
      <c r="G724" s="5"/>
      <c r="H724" s="5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2"/>
      <c r="D725" s="74"/>
      <c r="E725" s="74"/>
      <c r="F725" s="5"/>
      <c r="G725" s="5"/>
      <c r="H725" s="5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2"/>
      <c r="D726" s="74"/>
      <c r="E726" s="74"/>
      <c r="F726" s="5"/>
      <c r="G726" s="5"/>
      <c r="H726" s="5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2"/>
      <c r="D727" s="74"/>
      <c r="E727" s="74"/>
      <c r="F727" s="5"/>
      <c r="G727" s="5"/>
      <c r="H727" s="5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2"/>
      <c r="D728" s="74"/>
      <c r="E728" s="74"/>
      <c r="F728" s="5"/>
      <c r="G728" s="5"/>
      <c r="H728" s="5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2"/>
      <c r="D729" s="74"/>
      <c r="E729" s="74"/>
      <c r="F729" s="5"/>
      <c r="G729" s="5"/>
      <c r="H729" s="5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2"/>
      <c r="D730" s="74"/>
      <c r="E730" s="74"/>
      <c r="F730" s="5"/>
      <c r="G730" s="5"/>
      <c r="H730" s="5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2"/>
      <c r="D731" s="74"/>
      <c r="E731" s="74"/>
      <c r="F731" s="5"/>
      <c r="G731" s="5"/>
      <c r="H731" s="5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2"/>
      <c r="D732" s="74"/>
      <c r="E732" s="74"/>
      <c r="F732" s="5"/>
      <c r="G732" s="5"/>
      <c r="H732" s="5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2"/>
      <c r="D733" s="74"/>
      <c r="E733" s="74"/>
      <c r="F733" s="5"/>
      <c r="G733" s="5"/>
      <c r="H733" s="5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2"/>
      <c r="D734" s="74"/>
      <c r="E734" s="74"/>
      <c r="F734" s="5"/>
      <c r="G734" s="5"/>
      <c r="H734" s="5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2"/>
      <c r="D735" s="74"/>
      <c r="E735" s="74"/>
      <c r="F735" s="5"/>
      <c r="G735" s="5"/>
      <c r="H735" s="5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2"/>
      <c r="D736" s="74"/>
      <c r="E736" s="74"/>
      <c r="F736" s="5"/>
      <c r="G736" s="5"/>
      <c r="H736" s="5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2"/>
      <c r="D737" s="74"/>
      <c r="E737" s="74"/>
      <c r="F737" s="5"/>
      <c r="G737" s="5"/>
      <c r="H737" s="5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2"/>
      <c r="D738" s="74"/>
      <c r="E738" s="74"/>
      <c r="F738" s="5"/>
      <c r="G738" s="5"/>
      <c r="H738" s="5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2"/>
      <c r="D739" s="74"/>
      <c r="E739" s="74"/>
      <c r="F739" s="5"/>
      <c r="G739" s="5"/>
      <c r="H739" s="5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2"/>
      <c r="D740" s="74"/>
      <c r="E740" s="74"/>
      <c r="F740" s="5"/>
      <c r="G740" s="5"/>
      <c r="H740" s="5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2"/>
      <c r="D741" s="74"/>
      <c r="E741" s="74"/>
      <c r="F741" s="5"/>
      <c r="G741" s="5"/>
      <c r="H741" s="5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2"/>
      <c r="D742" s="74"/>
      <c r="E742" s="74"/>
      <c r="F742" s="5"/>
      <c r="G742" s="5"/>
      <c r="H742" s="5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2"/>
      <c r="D743" s="74"/>
      <c r="E743" s="74"/>
      <c r="F743" s="5"/>
      <c r="G743" s="5"/>
      <c r="H743" s="5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2"/>
      <c r="D744" s="74"/>
      <c r="E744" s="74"/>
      <c r="F744" s="5"/>
      <c r="G744" s="5"/>
      <c r="H744" s="5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2"/>
      <c r="D745" s="74"/>
      <c r="E745" s="74"/>
      <c r="F745" s="5"/>
      <c r="G745" s="5"/>
      <c r="H745" s="5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2"/>
      <c r="D746" s="74"/>
      <c r="E746" s="74"/>
      <c r="F746" s="5"/>
      <c r="G746" s="5"/>
      <c r="H746" s="5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2"/>
      <c r="D747" s="74"/>
      <c r="E747" s="74"/>
      <c r="F747" s="5"/>
      <c r="G747" s="5"/>
      <c r="H747" s="5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2"/>
      <c r="D748" s="74"/>
      <c r="E748" s="74"/>
      <c r="F748" s="5"/>
      <c r="G748" s="5"/>
      <c r="H748" s="5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2"/>
      <c r="D749" s="74"/>
      <c r="E749" s="74"/>
      <c r="F749" s="5"/>
      <c r="G749" s="5"/>
      <c r="H749" s="5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2"/>
      <c r="D750" s="74"/>
      <c r="E750" s="74"/>
      <c r="F750" s="5"/>
      <c r="G750" s="5"/>
      <c r="H750" s="5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2"/>
      <c r="D751" s="74"/>
      <c r="E751" s="74"/>
      <c r="F751" s="5"/>
      <c r="G751" s="5"/>
      <c r="H751" s="5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2"/>
      <c r="D752" s="74"/>
      <c r="E752" s="74"/>
      <c r="F752" s="5"/>
      <c r="G752" s="5"/>
      <c r="H752" s="5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2"/>
      <c r="D753" s="74"/>
      <c r="E753" s="74"/>
      <c r="F753" s="5"/>
      <c r="G753" s="5"/>
      <c r="H753" s="5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2"/>
      <c r="D754" s="74"/>
      <c r="E754" s="74"/>
      <c r="F754" s="5"/>
      <c r="G754" s="5"/>
      <c r="H754" s="5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2"/>
      <c r="D755" s="74"/>
      <c r="E755" s="74"/>
      <c r="F755" s="5"/>
      <c r="G755" s="5"/>
      <c r="H755" s="5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2"/>
      <c r="D756" s="74"/>
      <c r="E756" s="74"/>
      <c r="F756" s="5"/>
      <c r="G756" s="5"/>
      <c r="H756" s="5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2"/>
      <c r="D757" s="74"/>
      <c r="E757" s="74"/>
      <c r="F757" s="5"/>
      <c r="G757" s="5"/>
      <c r="H757" s="5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2"/>
      <c r="D758" s="74"/>
      <c r="E758" s="74"/>
      <c r="F758" s="5"/>
      <c r="G758" s="5"/>
      <c r="H758" s="5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2"/>
      <c r="D759" s="74"/>
      <c r="E759" s="74"/>
      <c r="F759" s="5"/>
      <c r="G759" s="5"/>
      <c r="H759" s="5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2"/>
      <c r="D760" s="74"/>
      <c r="E760" s="74"/>
      <c r="F760" s="5"/>
      <c r="G760" s="5"/>
      <c r="H760" s="5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2"/>
      <c r="D761" s="74"/>
      <c r="E761" s="74"/>
      <c r="F761" s="5"/>
      <c r="G761" s="5"/>
      <c r="H761" s="5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2"/>
      <c r="D762" s="74"/>
      <c r="E762" s="74"/>
      <c r="F762" s="5"/>
      <c r="G762" s="5"/>
      <c r="H762" s="5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2"/>
      <c r="D763" s="74"/>
      <c r="E763" s="74"/>
      <c r="F763" s="5"/>
      <c r="G763" s="5"/>
      <c r="H763" s="5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2"/>
      <c r="D764" s="74"/>
      <c r="E764" s="74"/>
      <c r="F764" s="5"/>
      <c r="G764" s="5"/>
      <c r="H764" s="5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2"/>
      <c r="D765" s="74"/>
      <c r="E765" s="74"/>
      <c r="F765" s="5"/>
      <c r="G765" s="5"/>
      <c r="H765" s="5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2"/>
      <c r="D766" s="74"/>
      <c r="E766" s="74"/>
      <c r="F766" s="5"/>
      <c r="G766" s="5"/>
      <c r="H766" s="5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2"/>
      <c r="D767" s="74"/>
      <c r="E767" s="74"/>
      <c r="F767" s="5"/>
      <c r="G767" s="5"/>
      <c r="H767" s="5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2"/>
      <c r="D768" s="74"/>
      <c r="E768" s="74"/>
      <c r="F768" s="5"/>
      <c r="G768" s="5"/>
      <c r="H768" s="5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2"/>
      <c r="D769" s="74"/>
      <c r="E769" s="74"/>
      <c r="F769" s="5"/>
      <c r="G769" s="5"/>
      <c r="H769" s="5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2"/>
      <c r="D770" s="74"/>
      <c r="E770" s="74"/>
      <c r="F770" s="5"/>
      <c r="G770" s="5"/>
      <c r="H770" s="5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2"/>
      <c r="D771" s="74"/>
      <c r="E771" s="74"/>
      <c r="F771" s="5"/>
      <c r="G771" s="5"/>
      <c r="H771" s="5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2"/>
      <c r="D772" s="74"/>
      <c r="E772" s="74"/>
      <c r="F772" s="5"/>
      <c r="G772" s="5"/>
      <c r="H772" s="5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2"/>
      <c r="D773" s="74"/>
      <c r="E773" s="74"/>
      <c r="F773" s="5"/>
      <c r="G773" s="5"/>
      <c r="H773" s="5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2"/>
      <c r="D774" s="74"/>
      <c r="E774" s="74"/>
      <c r="F774" s="5"/>
      <c r="G774" s="5"/>
      <c r="H774" s="5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2"/>
      <c r="D775" s="74"/>
      <c r="E775" s="74"/>
      <c r="F775" s="5"/>
      <c r="G775" s="5"/>
      <c r="H775" s="5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2"/>
      <c r="D776" s="74"/>
      <c r="E776" s="74"/>
      <c r="F776" s="5"/>
      <c r="G776" s="5"/>
      <c r="H776" s="5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2"/>
      <c r="D777" s="74"/>
      <c r="E777" s="74"/>
      <c r="F777" s="5"/>
      <c r="G777" s="5"/>
      <c r="H777" s="5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2"/>
      <c r="D778" s="74"/>
      <c r="E778" s="74"/>
      <c r="F778" s="5"/>
      <c r="G778" s="5"/>
      <c r="H778" s="5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2"/>
      <c r="D779" s="74"/>
      <c r="E779" s="74"/>
      <c r="F779" s="5"/>
      <c r="G779" s="5"/>
      <c r="H779" s="5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2"/>
      <c r="D780" s="74"/>
      <c r="E780" s="74"/>
      <c r="F780" s="5"/>
      <c r="G780" s="5"/>
      <c r="H780" s="5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2"/>
      <c r="D781" s="74"/>
      <c r="E781" s="74"/>
      <c r="F781" s="5"/>
      <c r="G781" s="5"/>
      <c r="H781" s="5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2"/>
      <c r="D782" s="74"/>
      <c r="E782" s="74"/>
      <c r="F782" s="5"/>
      <c r="G782" s="5"/>
      <c r="H782" s="5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2"/>
      <c r="D783" s="74"/>
      <c r="E783" s="74"/>
      <c r="F783" s="5"/>
      <c r="G783" s="5"/>
      <c r="H783" s="5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2"/>
      <c r="D784" s="74"/>
      <c r="E784" s="74"/>
      <c r="F784" s="5"/>
      <c r="G784" s="5"/>
      <c r="H784" s="5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2"/>
      <c r="D785" s="74"/>
      <c r="E785" s="74"/>
      <c r="F785" s="5"/>
      <c r="G785" s="5"/>
      <c r="H785" s="5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2"/>
      <c r="D786" s="74"/>
      <c r="E786" s="74"/>
      <c r="F786" s="5"/>
      <c r="G786" s="5"/>
      <c r="H786" s="5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2"/>
      <c r="D787" s="74"/>
      <c r="E787" s="74"/>
      <c r="F787" s="5"/>
      <c r="G787" s="5"/>
      <c r="H787" s="5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2"/>
      <c r="D788" s="74"/>
      <c r="E788" s="74"/>
      <c r="F788" s="5"/>
      <c r="G788" s="5"/>
      <c r="H788" s="5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2"/>
      <c r="D789" s="74"/>
      <c r="E789" s="74"/>
      <c r="F789" s="5"/>
      <c r="G789" s="5"/>
      <c r="H789" s="5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2"/>
      <c r="D790" s="74"/>
      <c r="E790" s="74"/>
      <c r="F790" s="5"/>
      <c r="G790" s="5"/>
      <c r="H790" s="5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2"/>
      <c r="D791" s="74"/>
      <c r="E791" s="74"/>
      <c r="F791" s="5"/>
      <c r="G791" s="5"/>
      <c r="H791" s="5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2"/>
      <c r="D792" s="74"/>
      <c r="E792" s="74"/>
      <c r="F792" s="5"/>
      <c r="G792" s="5"/>
      <c r="H792" s="5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2"/>
      <c r="D793" s="74"/>
      <c r="E793" s="74"/>
      <c r="F793" s="5"/>
      <c r="G793" s="5"/>
      <c r="H793" s="5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2"/>
      <c r="D794" s="74"/>
      <c r="E794" s="74"/>
      <c r="F794" s="5"/>
      <c r="G794" s="5"/>
      <c r="H794" s="5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2"/>
      <c r="D795" s="74"/>
      <c r="E795" s="74"/>
      <c r="F795" s="5"/>
      <c r="G795" s="5"/>
      <c r="H795" s="5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2"/>
      <c r="D796" s="74"/>
      <c r="E796" s="74"/>
      <c r="F796" s="5"/>
      <c r="G796" s="5"/>
      <c r="H796" s="5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2"/>
      <c r="D797" s="74"/>
      <c r="E797" s="74"/>
      <c r="F797" s="5"/>
      <c r="G797" s="5"/>
      <c r="H797" s="5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2"/>
      <c r="D798" s="74"/>
      <c r="E798" s="74"/>
      <c r="F798" s="5"/>
      <c r="G798" s="5"/>
      <c r="H798" s="5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2"/>
      <c r="D799" s="74"/>
      <c r="E799" s="74"/>
      <c r="F799" s="5"/>
      <c r="G799" s="5"/>
      <c r="H799" s="5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2"/>
      <c r="D800" s="74"/>
      <c r="E800" s="74"/>
      <c r="F800" s="5"/>
      <c r="G800" s="5"/>
      <c r="H800" s="5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2"/>
      <c r="D801" s="74"/>
      <c r="E801" s="74"/>
      <c r="F801" s="5"/>
      <c r="G801" s="5"/>
      <c r="H801" s="5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2"/>
      <c r="D802" s="74"/>
      <c r="E802" s="74"/>
      <c r="F802" s="5"/>
      <c r="G802" s="5"/>
      <c r="H802" s="5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2"/>
      <c r="D803" s="74"/>
      <c r="E803" s="74"/>
      <c r="F803" s="5"/>
      <c r="G803" s="5"/>
      <c r="H803" s="5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2"/>
      <c r="D804" s="74"/>
      <c r="E804" s="74"/>
      <c r="F804" s="5"/>
      <c r="G804" s="5"/>
      <c r="H804" s="5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2"/>
      <c r="D805" s="74"/>
      <c r="E805" s="74"/>
      <c r="F805" s="5"/>
      <c r="G805" s="5"/>
      <c r="H805" s="5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2"/>
      <c r="D806" s="74"/>
      <c r="E806" s="74"/>
      <c r="F806" s="5"/>
      <c r="G806" s="5"/>
      <c r="H806" s="5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2"/>
      <c r="D807" s="74"/>
      <c r="E807" s="74"/>
      <c r="F807" s="5"/>
      <c r="G807" s="5"/>
      <c r="H807" s="5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2"/>
      <c r="D808" s="74"/>
      <c r="E808" s="74"/>
      <c r="F808" s="5"/>
      <c r="G808" s="5"/>
      <c r="H808" s="5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2"/>
      <c r="D809" s="74"/>
      <c r="E809" s="74"/>
      <c r="F809" s="5"/>
      <c r="G809" s="5"/>
      <c r="H809" s="5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2"/>
      <c r="D810" s="74"/>
      <c r="E810" s="74"/>
      <c r="F810" s="5"/>
      <c r="G810" s="5"/>
      <c r="H810" s="5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2"/>
      <c r="D811" s="74"/>
      <c r="E811" s="74"/>
      <c r="F811" s="5"/>
      <c r="G811" s="5"/>
      <c r="H811" s="5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2"/>
      <c r="D812" s="74"/>
      <c r="E812" s="74"/>
      <c r="F812" s="5"/>
      <c r="G812" s="5"/>
      <c r="H812" s="5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2"/>
      <c r="D813" s="74"/>
      <c r="E813" s="74"/>
      <c r="F813" s="5"/>
      <c r="G813" s="5"/>
      <c r="H813" s="5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2"/>
      <c r="D814" s="74"/>
      <c r="E814" s="74"/>
      <c r="F814" s="5"/>
      <c r="G814" s="5"/>
      <c r="H814" s="5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2"/>
      <c r="D815" s="74"/>
      <c r="E815" s="74"/>
      <c r="F815" s="5"/>
      <c r="G815" s="5"/>
      <c r="H815" s="5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2"/>
      <c r="D816" s="74"/>
      <c r="E816" s="74"/>
      <c r="F816" s="5"/>
      <c r="G816" s="5"/>
      <c r="H816" s="5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2"/>
      <c r="D817" s="74"/>
      <c r="E817" s="74"/>
      <c r="F817" s="5"/>
      <c r="G817" s="5"/>
      <c r="H817" s="5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2"/>
      <c r="D818" s="74"/>
      <c r="E818" s="74"/>
      <c r="F818" s="5"/>
      <c r="G818" s="5"/>
      <c r="H818" s="5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2"/>
      <c r="D819" s="74"/>
      <c r="E819" s="74"/>
      <c r="F819" s="5"/>
      <c r="G819" s="5"/>
      <c r="H819" s="5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2"/>
      <c r="D820" s="74"/>
      <c r="E820" s="74"/>
      <c r="F820" s="5"/>
      <c r="G820" s="5"/>
      <c r="H820" s="5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2"/>
      <c r="D821" s="74"/>
      <c r="E821" s="74"/>
      <c r="F821" s="5"/>
      <c r="G821" s="5"/>
      <c r="H821" s="5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2"/>
      <c r="D822" s="74"/>
      <c r="E822" s="74"/>
      <c r="F822" s="5"/>
      <c r="G822" s="5"/>
      <c r="H822" s="5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2"/>
      <c r="D823" s="74"/>
      <c r="E823" s="74"/>
      <c r="F823" s="5"/>
      <c r="G823" s="5"/>
      <c r="H823" s="5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2"/>
      <c r="D824" s="74"/>
      <c r="E824" s="74"/>
      <c r="F824" s="5"/>
      <c r="G824" s="5"/>
      <c r="H824" s="5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2"/>
      <c r="D825" s="74"/>
      <c r="E825" s="74"/>
      <c r="F825" s="5"/>
      <c r="G825" s="5"/>
      <c r="H825" s="5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2"/>
      <c r="D826" s="74"/>
      <c r="E826" s="74"/>
      <c r="F826" s="5"/>
      <c r="G826" s="5"/>
      <c r="H826" s="5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2"/>
      <c r="D827" s="74"/>
      <c r="E827" s="74"/>
      <c r="F827" s="5"/>
      <c r="G827" s="5"/>
      <c r="H827" s="5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2"/>
      <c r="D828" s="74"/>
      <c r="E828" s="74"/>
      <c r="F828" s="5"/>
      <c r="G828" s="5"/>
      <c r="H828" s="5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2"/>
      <c r="D829" s="74"/>
      <c r="E829" s="74"/>
      <c r="F829" s="5"/>
      <c r="G829" s="5"/>
      <c r="H829" s="5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2"/>
      <c r="D830" s="74"/>
      <c r="E830" s="74"/>
      <c r="F830" s="5"/>
      <c r="G830" s="5"/>
      <c r="H830" s="5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2"/>
      <c r="D831" s="74"/>
      <c r="E831" s="74"/>
      <c r="F831" s="5"/>
      <c r="G831" s="5"/>
      <c r="H831" s="5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2"/>
      <c r="D832" s="74"/>
      <c r="E832" s="74"/>
      <c r="F832" s="5"/>
      <c r="G832" s="5"/>
      <c r="H832" s="5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2"/>
      <c r="D833" s="74"/>
      <c r="E833" s="74"/>
      <c r="F833" s="5"/>
      <c r="G833" s="5"/>
      <c r="H833" s="5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2"/>
      <c r="D834" s="74"/>
      <c r="E834" s="74"/>
      <c r="F834" s="5"/>
      <c r="G834" s="5"/>
      <c r="H834" s="5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2"/>
      <c r="D835" s="74"/>
      <c r="E835" s="74"/>
      <c r="F835" s="5"/>
      <c r="G835" s="5"/>
      <c r="H835" s="5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2"/>
      <c r="D836" s="74"/>
      <c r="E836" s="74"/>
      <c r="F836" s="5"/>
      <c r="G836" s="5"/>
      <c r="H836" s="5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2"/>
      <c r="D837" s="74"/>
      <c r="E837" s="74"/>
      <c r="F837" s="5"/>
      <c r="G837" s="5"/>
      <c r="H837" s="5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2"/>
      <c r="D838" s="74"/>
      <c r="E838" s="74"/>
      <c r="F838" s="5"/>
      <c r="G838" s="5"/>
      <c r="H838" s="5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2"/>
      <c r="D839" s="74"/>
      <c r="E839" s="74"/>
      <c r="F839" s="5"/>
      <c r="G839" s="5"/>
      <c r="H839" s="5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2"/>
      <c r="D840" s="74"/>
      <c r="E840" s="74"/>
      <c r="F840" s="5"/>
      <c r="G840" s="5"/>
      <c r="H840" s="5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2"/>
      <c r="D841" s="74"/>
      <c r="E841" s="74"/>
      <c r="F841" s="5"/>
      <c r="G841" s="5"/>
      <c r="H841" s="5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2"/>
      <c r="D842" s="74"/>
      <c r="E842" s="74"/>
      <c r="F842" s="5"/>
      <c r="G842" s="5"/>
      <c r="H842" s="5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2"/>
      <c r="D843" s="74"/>
      <c r="E843" s="74"/>
      <c r="F843" s="5"/>
      <c r="G843" s="5"/>
      <c r="H843" s="5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2"/>
      <c r="D844" s="74"/>
      <c r="E844" s="74"/>
      <c r="F844" s="5"/>
      <c r="G844" s="5"/>
      <c r="H844" s="5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2"/>
      <c r="D845" s="74"/>
      <c r="E845" s="74"/>
      <c r="F845" s="5"/>
      <c r="G845" s="5"/>
      <c r="H845" s="5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2"/>
      <c r="D846" s="74"/>
      <c r="E846" s="74"/>
      <c r="F846" s="5"/>
      <c r="G846" s="5"/>
      <c r="H846" s="5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2"/>
      <c r="D847" s="74"/>
      <c r="E847" s="74"/>
      <c r="F847" s="5"/>
      <c r="G847" s="5"/>
      <c r="H847" s="5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2"/>
      <c r="D848" s="74"/>
      <c r="E848" s="74"/>
      <c r="F848" s="5"/>
      <c r="G848" s="5"/>
      <c r="H848" s="5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2"/>
      <c r="D849" s="74"/>
      <c r="E849" s="74"/>
      <c r="F849" s="5"/>
      <c r="G849" s="5"/>
      <c r="H849" s="5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2"/>
      <c r="D850" s="74"/>
      <c r="E850" s="74"/>
      <c r="F850" s="5"/>
      <c r="G850" s="5"/>
      <c r="H850" s="5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2"/>
      <c r="D851" s="74"/>
      <c r="E851" s="74"/>
      <c r="F851" s="5"/>
      <c r="G851" s="5"/>
      <c r="H851" s="5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2"/>
      <c r="D852" s="74"/>
      <c r="E852" s="74"/>
      <c r="F852" s="5"/>
      <c r="G852" s="5"/>
      <c r="H852" s="5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2"/>
      <c r="D853" s="74"/>
      <c r="E853" s="74"/>
      <c r="F853" s="5"/>
      <c r="G853" s="5"/>
      <c r="H853" s="5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2"/>
      <c r="D854" s="74"/>
      <c r="E854" s="74"/>
      <c r="F854" s="5"/>
      <c r="G854" s="5"/>
      <c r="H854" s="5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2"/>
      <c r="D855" s="74"/>
      <c r="E855" s="74"/>
      <c r="F855" s="5"/>
      <c r="G855" s="5"/>
      <c r="H855" s="5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2"/>
      <c r="D856" s="74"/>
      <c r="E856" s="74"/>
      <c r="F856" s="5"/>
      <c r="G856" s="5"/>
      <c r="H856" s="5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2"/>
      <c r="D857" s="74"/>
      <c r="E857" s="74"/>
      <c r="F857" s="5"/>
      <c r="G857" s="5"/>
      <c r="H857" s="5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2"/>
      <c r="D858" s="74"/>
      <c r="E858" s="74"/>
      <c r="F858" s="5"/>
      <c r="G858" s="5"/>
      <c r="H858" s="5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2"/>
      <c r="D859" s="74"/>
      <c r="E859" s="74"/>
      <c r="F859" s="5"/>
      <c r="G859" s="5"/>
      <c r="H859" s="5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2"/>
      <c r="D860" s="74"/>
      <c r="E860" s="74"/>
      <c r="F860" s="5"/>
      <c r="G860" s="5"/>
      <c r="H860" s="5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2"/>
      <c r="D861" s="74"/>
      <c r="E861" s="74"/>
      <c r="F861" s="5"/>
      <c r="G861" s="5"/>
      <c r="H861" s="5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2"/>
      <c r="D862" s="74"/>
      <c r="E862" s="74"/>
      <c r="F862" s="5"/>
      <c r="G862" s="5"/>
      <c r="H862" s="5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2"/>
      <c r="D863" s="74"/>
      <c r="E863" s="74"/>
      <c r="F863" s="5"/>
      <c r="G863" s="5"/>
      <c r="H863" s="5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2"/>
      <c r="D864" s="74"/>
      <c r="E864" s="74"/>
      <c r="F864" s="5"/>
      <c r="G864" s="5"/>
      <c r="H864" s="5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2"/>
      <c r="D865" s="74"/>
      <c r="E865" s="74"/>
      <c r="F865" s="5"/>
      <c r="G865" s="5"/>
      <c r="H865" s="5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2"/>
      <c r="D866" s="74"/>
      <c r="E866" s="74"/>
      <c r="F866" s="5"/>
      <c r="G866" s="5"/>
      <c r="H866" s="5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2"/>
      <c r="D867" s="74"/>
      <c r="E867" s="74"/>
      <c r="F867" s="5"/>
      <c r="G867" s="5"/>
      <c r="H867" s="5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2"/>
      <c r="D868" s="74"/>
      <c r="E868" s="74"/>
      <c r="F868" s="5"/>
      <c r="G868" s="5"/>
      <c r="H868" s="5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2"/>
      <c r="D869" s="74"/>
      <c r="E869" s="74"/>
      <c r="F869" s="5"/>
      <c r="G869" s="5"/>
      <c r="H869" s="5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2"/>
      <c r="D870" s="74"/>
      <c r="E870" s="74"/>
      <c r="F870" s="5"/>
      <c r="G870" s="5"/>
      <c r="H870" s="5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2"/>
      <c r="D871" s="74"/>
      <c r="E871" s="74"/>
      <c r="F871" s="5"/>
      <c r="G871" s="5"/>
      <c r="H871" s="5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2"/>
      <c r="D872" s="74"/>
      <c r="E872" s="74"/>
      <c r="F872" s="5"/>
      <c r="G872" s="5"/>
      <c r="H872" s="5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2"/>
      <c r="D873" s="74"/>
      <c r="E873" s="74"/>
      <c r="F873" s="5"/>
      <c r="G873" s="5"/>
      <c r="H873" s="5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2"/>
      <c r="D874" s="74"/>
      <c r="E874" s="74"/>
      <c r="F874" s="5"/>
      <c r="G874" s="5"/>
      <c r="H874" s="5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2"/>
      <c r="D875" s="74"/>
      <c r="E875" s="74"/>
      <c r="F875" s="5"/>
      <c r="G875" s="5"/>
      <c r="H875" s="5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2"/>
      <c r="D876" s="74"/>
      <c r="E876" s="74"/>
      <c r="F876" s="5"/>
      <c r="G876" s="5"/>
      <c r="H876" s="5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2"/>
      <c r="D877" s="74"/>
      <c r="E877" s="74"/>
      <c r="F877" s="5"/>
      <c r="G877" s="5"/>
      <c r="H877" s="5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2"/>
      <c r="D878" s="74"/>
      <c r="E878" s="74"/>
      <c r="F878" s="5"/>
      <c r="G878" s="5"/>
      <c r="H878" s="5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2"/>
      <c r="D879" s="74"/>
      <c r="E879" s="74"/>
      <c r="F879" s="5"/>
      <c r="G879" s="5"/>
      <c r="H879" s="5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2"/>
      <c r="D880" s="74"/>
      <c r="E880" s="74"/>
      <c r="F880" s="5"/>
      <c r="G880" s="5"/>
      <c r="H880" s="5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2"/>
      <c r="D881" s="74"/>
      <c r="E881" s="74"/>
      <c r="F881" s="5"/>
      <c r="G881" s="5"/>
      <c r="H881" s="5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2"/>
      <c r="D882" s="74"/>
      <c r="E882" s="74"/>
      <c r="F882" s="5"/>
      <c r="G882" s="5"/>
      <c r="H882" s="5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2"/>
      <c r="D883" s="74"/>
      <c r="E883" s="74"/>
      <c r="F883" s="5"/>
      <c r="G883" s="5"/>
      <c r="H883" s="5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2"/>
      <c r="D884" s="74"/>
      <c r="E884" s="74"/>
      <c r="F884" s="5"/>
      <c r="G884" s="5"/>
      <c r="H884" s="5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2"/>
      <c r="D885" s="74"/>
      <c r="E885" s="74"/>
      <c r="F885" s="5"/>
      <c r="G885" s="5"/>
      <c r="H885" s="5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2"/>
      <c r="D886" s="74"/>
      <c r="E886" s="74"/>
      <c r="F886" s="5"/>
      <c r="G886" s="5"/>
      <c r="H886" s="5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2"/>
      <c r="D887" s="74"/>
      <c r="E887" s="74"/>
      <c r="F887" s="5"/>
      <c r="G887" s="5"/>
      <c r="H887" s="5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2"/>
      <c r="D888" s="74"/>
      <c r="E888" s="74"/>
      <c r="F888" s="5"/>
      <c r="G888" s="5"/>
      <c r="H888" s="5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2"/>
      <c r="D889" s="74"/>
      <c r="E889" s="74"/>
      <c r="F889" s="5"/>
      <c r="G889" s="5"/>
      <c r="H889" s="5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2"/>
      <c r="D890" s="74"/>
      <c r="E890" s="74"/>
      <c r="F890" s="5"/>
      <c r="G890" s="5"/>
      <c r="H890" s="5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2"/>
      <c r="D891" s="74"/>
      <c r="E891" s="74"/>
      <c r="F891" s="5"/>
      <c r="G891" s="5"/>
      <c r="H891" s="5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2"/>
      <c r="D892" s="74"/>
      <c r="E892" s="74"/>
      <c r="F892" s="5"/>
      <c r="G892" s="5"/>
      <c r="H892" s="5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2"/>
      <c r="D893" s="74"/>
      <c r="E893" s="74"/>
      <c r="F893" s="5"/>
      <c r="G893" s="5"/>
      <c r="H893" s="5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2"/>
      <c r="D894" s="74"/>
      <c r="E894" s="74"/>
      <c r="F894" s="5"/>
      <c r="G894" s="5"/>
      <c r="H894" s="5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2"/>
      <c r="D895" s="74"/>
      <c r="E895" s="74"/>
      <c r="F895" s="5"/>
      <c r="G895" s="5"/>
      <c r="H895" s="5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2"/>
      <c r="D896" s="74"/>
      <c r="E896" s="74"/>
      <c r="F896" s="5"/>
      <c r="G896" s="5"/>
      <c r="H896" s="5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2"/>
      <c r="D897" s="74"/>
      <c r="E897" s="74"/>
      <c r="F897" s="5"/>
      <c r="G897" s="5"/>
      <c r="H897" s="5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2"/>
      <c r="D898" s="74"/>
      <c r="E898" s="74"/>
      <c r="F898" s="5"/>
      <c r="G898" s="5"/>
      <c r="H898" s="5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2"/>
      <c r="D899" s="74"/>
      <c r="E899" s="74"/>
      <c r="F899" s="5"/>
      <c r="G899" s="5"/>
      <c r="H899" s="5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2"/>
      <c r="D900" s="74"/>
      <c r="E900" s="74"/>
      <c r="F900" s="5"/>
      <c r="G900" s="5"/>
      <c r="H900" s="5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2"/>
      <c r="D901" s="74"/>
      <c r="E901" s="74"/>
      <c r="F901" s="5"/>
      <c r="G901" s="5"/>
      <c r="H901" s="5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2"/>
      <c r="D902" s="74"/>
      <c r="E902" s="74"/>
      <c r="F902" s="5"/>
      <c r="G902" s="5"/>
      <c r="H902" s="5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2"/>
      <c r="D903" s="74"/>
      <c r="E903" s="74"/>
      <c r="F903" s="5"/>
      <c r="G903" s="5"/>
      <c r="H903" s="5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2"/>
      <c r="D904" s="74"/>
      <c r="E904" s="74"/>
      <c r="F904" s="5"/>
      <c r="G904" s="5"/>
      <c r="H904" s="5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2"/>
      <c r="D905" s="74"/>
      <c r="E905" s="74"/>
      <c r="F905" s="5"/>
      <c r="G905" s="5"/>
      <c r="H905" s="5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2"/>
      <c r="D906" s="74"/>
      <c r="E906" s="74"/>
      <c r="F906" s="5"/>
      <c r="G906" s="5"/>
      <c r="H906" s="5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2"/>
      <c r="D907" s="74"/>
      <c r="E907" s="74"/>
      <c r="F907" s="5"/>
      <c r="G907" s="5"/>
      <c r="H907" s="5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2"/>
      <c r="D908" s="74"/>
      <c r="E908" s="74"/>
      <c r="F908" s="5"/>
      <c r="G908" s="5"/>
      <c r="H908" s="5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2"/>
      <c r="D909" s="74"/>
      <c r="E909" s="74"/>
      <c r="F909" s="5"/>
      <c r="G909" s="5"/>
      <c r="H909" s="5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2"/>
      <c r="D910" s="74"/>
      <c r="E910" s="74"/>
      <c r="F910" s="5"/>
      <c r="G910" s="5"/>
      <c r="H910" s="5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2"/>
      <c r="D911" s="74"/>
      <c r="E911" s="74"/>
      <c r="F911" s="5"/>
      <c r="G911" s="5"/>
      <c r="H911" s="5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2"/>
      <c r="D912" s="74"/>
      <c r="E912" s="74"/>
      <c r="F912" s="5"/>
      <c r="G912" s="5"/>
      <c r="H912" s="5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2"/>
      <c r="D913" s="74"/>
      <c r="E913" s="74"/>
      <c r="F913" s="5"/>
      <c r="G913" s="5"/>
      <c r="H913" s="5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2"/>
      <c r="D914" s="74"/>
      <c r="E914" s="74"/>
      <c r="F914" s="5"/>
      <c r="G914" s="5"/>
      <c r="H914" s="5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2"/>
      <c r="D915" s="74"/>
      <c r="E915" s="74"/>
      <c r="F915" s="5"/>
      <c r="G915" s="5"/>
      <c r="H915" s="5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2"/>
      <c r="D916" s="74"/>
      <c r="E916" s="74"/>
      <c r="F916" s="5"/>
      <c r="G916" s="5"/>
      <c r="H916" s="5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2"/>
      <c r="D917" s="74"/>
      <c r="E917" s="74"/>
      <c r="F917" s="5"/>
      <c r="G917" s="5"/>
      <c r="H917" s="5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2"/>
      <c r="D918" s="74"/>
      <c r="E918" s="74"/>
      <c r="F918" s="5"/>
      <c r="G918" s="5"/>
      <c r="H918" s="5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2"/>
      <c r="D919" s="74"/>
      <c r="E919" s="74"/>
      <c r="F919" s="5"/>
      <c r="G919" s="5"/>
      <c r="H919" s="5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2"/>
      <c r="D920" s="74"/>
      <c r="E920" s="74"/>
      <c r="F920" s="5"/>
      <c r="G920" s="5"/>
      <c r="H920" s="5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2"/>
      <c r="D921" s="74"/>
      <c r="E921" s="74"/>
      <c r="F921" s="5"/>
      <c r="G921" s="5"/>
      <c r="H921" s="5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2"/>
      <c r="D922" s="74"/>
      <c r="E922" s="74"/>
      <c r="F922" s="5"/>
      <c r="G922" s="5"/>
      <c r="H922" s="5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2"/>
      <c r="D923" s="74"/>
      <c r="E923" s="74"/>
      <c r="F923" s="5"/>
      <c r="G923" s="5"/>
      <c r="H923" s="5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2"/>
      <c r="D924" s="74"/>
      <c r="E924" s="74"/>
      <c r="F924" s="5"/>
      <c r="G924" s="5"/>
      <c r="H924" s="5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2"/>
      <c r="D925" s="74"/>
      <c r="E925" s="74"/>
      <c r="F925" s="5"/>
      <c r="G925" s="5"/>
      <c r="H925" s="5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2"/>
      <c r="D926" s="74"/>
      <c r="E926" s="74"/>
      <c r="F926" s="5"/>
      <c r="G926" s="5"/>
      <c r="H926" s="5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2"/>
      <c r="D927" s="74"/>
      <c r="E927" s="74"/>
      <c r="F927" s="5"/>
      <c r="G927" s="5"/>
      <c r="H927" s="5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2"/>
      <c r="D928" s="74"/>
      <c r="E928" s="74"/>
      <c r="F928" s="5"/>
      <c r="G928" s="5"/>
      <c r="H928" s="5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2"/>
      <c r="D929" s="74"/>
      <c r="E929" s="74"/>
      <c r="F929" s="5"/>
      <c r="G929" s="5"/>
      <c r="H929" s="5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2"/>
      <c r="D930" s="74"/>
      <c r="E930" s="74"/>
      <c r="F930" s="5"/>
      <c r="G930" s="5"/>
      <c r="H930" s="5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2"/>
      <c r="D931" s="74"/>
      <c r="E931" s="74"/>
      <c r="F931" s="5"/>
      <c r="G931" s="5"/>
      <c r="H931" s="5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2"/>
      <c r="D932" s="74"/>
      <c r="E932" s="74"/>
      <c r="F932" s="5"/>
      <c r="G932" s="5"/>
      <c r="H932" s="5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2"/>
      <c r="D933" s="74"/>
      <c r="E933" s="74"/>
      <c r="F933" s="5"/>
      <c r="G933" s="5"/>
      <c r="H933" s="5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2"/>
      <c r="D934" s="74"/>
      <c r="E934" s="74"/>
      <c r="F934" s="5"/>
      <c r="G934" s="5"/>
      <c r="H934" s="5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2"/>
      <c r="D935" s="74"/>
      <c r="E935" s="74"/>
      <c r="F935" s="5"/>
      <c r="G935" s="5"/>
      <c r="H935" s="5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2"/>
      <c r="D936" s="74"/>
      <c r="E936" s="74"/>
      <c r="F936" s="5"/>
      <c r="G936" s="5"/>
      <c r="H936" s="5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2"/>
      <c r="D937" s="74"/>
      <c r="E937" s="74"/>
      <c r="F937" s="5"/>
      <c r="G937" s="5"/>
      <c r="H937" s="5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2"/>
      <c r="D938" s="74"/>
      <c r="E938" s="74"/>
      <c r="F938" s="5"/>
      <c r="G938" s="5"/>
      <c r="H938" s="5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2"/>
      <c r="D939" s="74"/>
      <c r="E939" s="74"/>
      <c r="F939" s="5"/>
      <c r="G939" s="5"/>
      <c r="H939" s="5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2"/>
      <c r="D940" s="74"/>
      <c r="E940" s="74"/>
      <c r="F940" s="5"/>
      <c r="G940" s="5"/>
      <c r="H940" s="5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2"/>
      <c r="D941" s="74"/>
      <c r="E941" s="74"/>
      <c r="F941" s="5"/>
      <c r="G941" s="5"/>
      <c r="H941" s="5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2"/>
      <c r="D942" s="74"/>
      <c r="E942" s="74"/>
      <c r="F942" s="5"/>
      <c r="G942" s="5"/>
      <c r="H942" s="5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2"/>
      <c r="D943" s="74"/>
      <c r="E943" s="74"/>
      <c r="F943" s="5"/>
      <c r="G943" s="5"/>
      <c r="H943" s="5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2"/>
      <c r="D944" s="74"/>
      <c r="E944" s="74"/>
      <c r="F944" s="5"/>
      <c r="G944" s="5"/>
      <c r="H944" s="5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2"/>
      <c r="D945" s="74"/>
      <c r="E945" s="74"/>
      <c r="F945" s="5"/>
      <c r="G945" s="5"/>
      <c r="H945" s="5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2"/>
      <c r="D946" s="74"/>
      <c r="E946" s="74"/>
      <c r="F946" s="5"/>
      <c r="G946" s="5"/>
      <c r="H946" s="5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2"/>
      <c r="D947" s="74"/>
      <c r="E947" s="74"/>
      <c r="F947" s="5"/>
      <c r="G947" s="5"/>
      <c r="H947" s="5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2"/>
      <c r="D948" s="74"/>
      <c r="E948" s="74"/>
      <c r="F948" s="5"/>
      <c r="G948" s="5"/>
      <c r="H948" s="5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2"/>
      <c r="D949" s="74"/>
      <c r="E949" s="74"/>
      <c r="F949" s="5"/>
      <c r="G949" s="5"/>
      <c r="H949" s="5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2"/>
      <c r="D950" s="74"/>
      <c r="E950" s="74"/>
      <c r="F950" s="5"/>
      <c r="G950" s="5"/>
      <c r="H950" s="5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2"/>
      <c r="D951" s="74"/>
      <c r="E951" s="74"/>
      <c r="F951" s="5"/>
      <c r="G951" s="5"/>
      <c r="H951" s="5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2"/>
      <c r="D952" s="74"/>
      <c r="E952" s="74"/>
      <c r="F952" s="5"/>
      <c r="G952" s="5"/>
      <c r="H952" s="5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2"/>
      <c r="D953" s="74"/>
      <c r="E953" s="74"/>
      <c r="F953" s="5"/>
      <c r="G953" s="5"/>
      <c r="H953" s="5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2"/>
      <c r="D954" s="74"/>
      <c r="E954" s="74"/>
      <c r="F954" s="5"/>
      <c r="G954" s="5"/>
      <c r="H954" s="5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2"/>
      <c r="D955" s="74"/>
      <c r="E955" s="74"/>
      <c r="F955" s="5"/>
      <c r="G955" s="5"/>
      <c r="H955" s="5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2"/>
      <c r="D956" s="74"/>
      <c r="E956" s="74"/>
      <c r="F956" s="5"/>
      <c r="G956" s="5"/>
      <c r="H956" s="5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2"/>
      <c r="D957" s="74"/>
      <c r="E957" s="74"/>
      <c r="F957" s="5"/>
      <c r="G957" s="5"/>
      <c r="H957" s="5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2"/>
      <c r="D958" s="74"/>
      <c r="E958" s="74"/>
      <c r="F958" s="5"/>
      <c r="G958" s="5"/>
      <c r="H958" s="5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2"/>
      <c r="D959" s="74"/>
      <c r="E959" s="74"/>
      <c r="F959" s="5"/>
      <c r="G959" s="5"/>
      <c r="H959" s="5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2"/>
      <c r="D960" s="74"/>
      <c r="E960" s="74"/>
      <c r="F960" s="5"/>
      <c r="G960" s="5"/>
      <c r="H960" s="5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2"/>
      <c r="D961" s="74"/>
      <c r="E961" s="74"/>
      <c r="F961" s="5"/>
      <c r="G961" s="5"/>
      <c r="H961" s="5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2"/>
      <c r="D962" s="74"/>
      <c r="E962" s="74"/>
      <c r="F962" s="5"/>
      <c r="G962" s="5"/>
      <c r="H962" s="5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2"/>
      <c r="D963" s="74"/>
      <c r="E963" s="74"/>
      <c r="F963" s="5"/>
      <c r="G963" s="5"/>
      <c r="H963" s="5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2"/>
      <c r="D964" s="74"/>
      <c r="E964" s="74"/>
      <c r="F964" s="5"/>
      <c r="G964" s="5"/>
      <c r="H964" s="5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2"/>
      <c r="D965" s="74"/>
      <c r="E965" s="74"/>
      <c r="F965" s="5"/>
      <c r="G965" s="5"/>
      <c r="H965" s="5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2"/>
      <c r="D966" s="74"/>
      <c r="E966" s="74"/>
      <c r="F966" s="5"/>
      <c r="G966" s="5"/>
      <c r="H966" s="5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2"/>
      <c r="D967" s="74"/>
      <c r="E967" s="74"/>
      <c r="F967" s="5"/>
      <c r="G967" s="5"/>
      <c r="H967" s="5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2"/>
      <c r="D968" s="74"/>
      <c r="E968" s="74"/>
      <c r="F968" s="5"/>
      <c r="G968" s="5"/>
      <c r="H968" s="5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2"/>
      <c r="D969" s="74"/>
      <c r="E969" s="74"/>
      <c r="F969" s="5"/>
      <c r="G969" s="5"/>
      <c r="H969" s="5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2"/>
      <c r="D970" s="74"/>
      <c r="E970" s="74"/>
      <c r="F970" s="5"/>
      <c r="G970" s="5"/>
      <c r="H970" s="5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2"/>
      <c r="D971" s="74"/>
      <c r="E971" s="74"/>
      <c r="F971" s="5"/>
      <c r="G971" s="5"/>
      <c r="H971" s="5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2"/>
      <c r="D972" s="74"/>
      <c r="E972" s="74"/>
      <c r="F972" s="5"/>
      <c r="G972" s="5"/>
      <c r="H972" s="5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2"/>
      <c r="D973" s="74"/>
      <c r="E973" s="74"/>
      <c r="F973" s="5"/>
      <c r="G973" s="5"/>
      <c r="H973" s="5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2"/>
      <c r="D974" s="74"/>
      <c r="E974" s="74"/>
      <c r="F974" s="5"/>
      <c r="G974" s="5"/>
      <c r="H974" s="5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2"/>
      <c r="D975" s="74"/>
      <c r="E975" s="74"/>
      <c r="F975" s="5"/>
      <c r="G975" s="5"/>
      <c r="H975" s="5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2"/>
      <c r="D976" s="74"/>
      <c r="E976" s="74"/>
      <c r="F976" s="5"/>
      <c r="G976" s="5"/>
      <c r="H976" s="5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2"/>
      <c r="D977" s="74"/>
      <c r="E977" s="74"/>
      <c r="F977" s="5"/>
      <c r="G977" s="5"/>
      <c r="H977" s="5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2"/>
      <c r="D978" s="74"/>
      <c r="E978" s="74"/>
      <c r="F978" s="5"/>
      <c r="G978" s="5"/>
      <c r="H978" s="5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2"/>
      <c r="D979" s="74"/>
      <c r="E979" s="74"/>
      <c r="F979" s="5"/>
      <c r="G979" s="5"/>
      <c r="H979" s="5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2"/>
      <c r="D980" s="74"/>
      <c r="E980" s="74"/>
      <c r="F980" s="5"/>
      <c r="G980" s="5"/>
      <c r="H980" s="5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2"/>
      <c r="D981" s="74"/>
      <c r="E981" s="74"/>
      <c r="F981" s="5"/>
      <c r="G981" s="5"/>
      <c r="H981" s="5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2"/>
      <c r="D982" s="74"/>
      <c r="E982" s="74"/>
      <c r="F982" s="5"/>
      <c r="G982" s="5"/>
      <c r="H982" s="5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2"/>
      <c r="D983" s="74"/>
      <c r="E983" s="74"/>
      <c r="F983" s="5"/>
      <c r="G983" s="5"/>
      <c r="H983" s="5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2"/>
      <c r="D984" s="74"/>
      <c r="E984" s="74"/>
      <c r="F984" s="5"/>
      <c r="G984" s="5"/>
      <c r="H984" s="5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2"/>
      <c r="D985" s="74"/>
      <c r="E985" s="74"/>
      <c r="F985" s="5"/>
      <c r="G985" s="5"/>
      <c r="H985" s="5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2"/>
      <c r="D986" s="74"/>
      <c r="E986" s="74"/>
      <c r="F986" s="5"/>
      <c r="G986" s="5"/>
      <c r="H986" s="5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2"/>
      <c r="D987" s="74"/>
      <c r="E987" s="74"/>
      <c r="F987" s="5"/>
      <c r="G987" s="5"/>
      <c r="H987" s="5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2"/>
      <c r="D988" s="74"/>
      <c r="E988" s="74"/>
      <c r="F988" s="5"/>
      <c r="G988" s="5"/>
      <c r="H988" s="5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2"/>
      <c r="D989" s="74"/>
      <c r="E989" s="74"/>
      <c r="F989" s="5"/>
      <c r="G989" s="5"/>
      <c r="H989" s="5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2"/>
      <c r="D990" s="74"/>
      <c r="E990" s="74"/>
      <c r="F990" s="5"/>
      <c r="G990" s="5"/>
      <c r="H990" s="5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2"/>
      <c r="D991" s="74"/>
      <c r="E991" s="74"/>
      <c r="F991" s="5"/>
      <c r="G991" s="5"/>
      <c r="H991" s="5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2"/>
      <c r="D992" s="74"/>
      <c r="E992" s="74"/>
      <c r="F992" s="5"/>
      <c r="G992" s="5"/>
      <c r="H992" s="5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2"/>
      <c r="D993" s="74"/>
      <c r="E993" s="74"/>
      <c r="F993" s="5"/>
      <c r="G993" s="5"/>
      <c r="H993" s="5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2"/>
      <c r="D994" s="74"/>
      <c r="E994" s="74"/>
      <c r="F994" s="5"/>
      <c r="G994" s="5"/>
      <c r="H994" s="5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2"/>
      <c r="D995" s="74"/>
      <c r="E995" s="74"/>
      <c r="F995" s="5"/>
      <c r="G995" s="5"/>
      <c r="H995" s="5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2"/>
      <c r="D996" s="74"/>
      <c r="E996" s="74"/>
      <c r="F996" s="5"/>
      <c r="G996" s="5"/>
      <c r="H996" s="5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2"/>
      <c r="D997" s="74"/>
      <c r="E997" s="74"/>
      <c r="F997" s="5"/>
      <c r="G997" s="5"/>
      <c r="H997" s="5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2"/>
      <c r="D998" s="74"/>
      <c r="E998" s="74"/>
      <c r="F998" s="5"/>
      <c r="G998" s="5"/>
      <c r="H998" s="5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2"/>
      <c r="D999" s="74"/>
      <c r="E999" s="74"/>
      <c r="F999" s="5"/>
      <c r="G999" s="5"/>
      <c r="H999" s="5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2"/>
      <c r="D1000" s="74"/>
      <c r="E1000" s="74"/>
      <c r="F1000" s="5"/>
      <c r="G1000" s="5"/>
      <c r="H1000" s="5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2"/>
      <c r="D1001" s="74"/>
      <c r="E1001" s="74"/>
      <c r="F1001" s="5"/>
      <c r="G1001" s="5"/>
      <c r="H1001" s="5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1"/>
      <c r="B1002" s="1"/>
      <c r="C1002" s="2"/>
      <c r="D1002" s="74"/>
      <c r="E1002" s="74"/>
      <c r="F1002" s="5"/>
      <c r="G1002" s="5"/>
      <c r="H1002" s="5"/>
      <c r="I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1"/>
      <c r="B1003" s="1"/>
      <c r="C1003" s="2"/>
      <c r="D1003" s="74"/>
      <c r="E1003" s="74"/>
      <c r="F1003" s="5"/>
      <c r="G1003" s="5"/>
      <c r="H1003" s="5"/>
      <c r="I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1"/>
      <c r="B1004" s="1"/>
      <c r="C1004" s="2"/>
      <c r="D1004" s="74"/>
      <c r="E1004" s="74"/>
      <c r="F1004" s="5"/>
      <c r="G1004" s="5"/>
      <c r="H1004" s="5"/>
      <c r="I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1"/>
      <c r="B1005" s="1"/>
      <c r="C1005" s="2"/>
      <c r="D1005" s="74"/>
      <c r="E1005" s="74"/>
      <c r="F1005" s="5"/>
      <c r="G1005" s="5"/>
      <c r="H1005" s="5"/>
      <c r="I1005" s="2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x14ac:dyDescent="0.2">
      <c r="A1006" s="1"/>
      <c r="B1006" s="1"/>
      <c r="C1006" s="2"/>
      <c r="D1006" s="74"/>
      <c r="E1006" s="74"/>
      <c r="F1006" s="5"/>
      <c r="G1006" s="5"/>
      <c r="H1006" s="5"/>
      <c r="I1006" s="2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x14ac:dyDescent="0.2">
      <c r="A1007" s="1"/>
      <c r="B1007" s="1"/>
      <c r="C1007" s="2"/>
      <c r="D1007" s="74"/>
      <c r="E1007" s="74"/>
      <c r="F1007" s="5"/>
      <c r="G1007" s="5"/>
      <c r="H1007" s="5"/>
      <c r="I1007" s="2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x14ac:dyDescent="0.2">
      <c r="A1008" s="1"/>
      <c r="B1008" s="1"/>
      <c r="C1008" s="2"/>
      <c r="D1008" s="74"/>
      <c r="E1008" s="74"/>
      <c r="F1008" s="5"/>
      <c r="G1008" s="5"/>
      <c r="H1008" s="5"/>
      <c r="I1008" s="2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x14ac:dyDescent="0.2">
      <c r="A1009" s="1"/>
      <c r="B1009" s="1"/>
      <c r="C1009" s="2"/>
      <c r="D1009" s="74"/>
      <c r="E1009" s="74"/>
      <c r="F1009" s="5"/>
      <c r="G1009" s="5"/>
      <c r="H1009" s="5"/>
      <c r="I1009" s="2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x14ac:dyDescent="0.2">
      <c r="A1010" s="1"/>
      <c r="B1010" s="1"/>
      <c r="C1010" s="2"/>
      <c r="D1010" s="74"/>
      <c r="E1010" s="74"/>
      <c r="F1010" s="5"/>
      <c r="G1010" s="5"/>
      <c r="H1010" s="5"/>
      <c r="I1010" s="2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x14ac:dyDescent="0.2">
      <c r="A1011" s="1"/>
      <c r="B1011" s="1"/>
      <c r="C1011" s="2"/>
      <c r="D1011" s="74"/>
      <c r="E1011" s="74"/>
      <c r="F1011" s="5"/>
      <c r="G1011" s="5"/>
      <c r="H1011" s="5"/>
      <c r="I1011" s="2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x14ac:dyDescent="0.2">
      <c r="A1012" s="1"/>
      <c r="B1012" s="1"/>
      <c r="C1012" s="2"/>
      <c r="D1012" s="74"/>
      <c r="E1012" s="74"/>
      <c r="F1012" s="5"/>
      <c r="G1012" s="5"/>
      <c r="H1012" s="5"/>
      <c r="I1012" s="2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x14ac:dyDescent="0.2">
      <c r="A1013" s="1"/>
      <c r="B1013" s="1"/>
      <c r="C1013" s="2"/>
      <c r="D1013" s="74"/>
      <c r="E1013" s="74"/>
      <c r="F1013" s="5"/>
      <c r="G1013" s="5"/>
      <c r="H1013" s="5"/>
      <c r="I1013" s="2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x14ac:dyDescent="0.2">
      <c r="A1014" s="1"/>
      <c r="B1014" s="1"/>
      <c r="C1014" s="2"/>
      <c r="D1014" s="74"/>
      <c r="E1014" s="74"/>
      <c r="F1014" s="5"/>
      <c r="G1014" s="5"/>
      <c r="H1014" s="5"/>
      <c r="I1014" s="2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x14ac:dyDescent="0.2">
      <c r="A1015" s="1"/>
      <c r="B1015" s="1"/>
      <c r="C1015" s="2"/>
      <c r="D1015" s="74"/>
      <c r="E1015" s="74"/>
      <c r="F1015" s="5"/>
      <c r="G1015" s="5"/>
      <c r="H1015" s="5"/>
      <c r="I1015" s="2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x14ac:dyDescent="0.2">
      <c r="A1016" s="1"/>
      <c r="B1016" s="1"/>
      <c r="C1016" s="2"/>
      <c r="D1016" s="74"/>
      <c r="E1016" s="74"/>
      <c r="F1016" s="5"/>
      <c r="G1016" s="5"/>
      <c r="H1016" s="5"/>
      <c r="I1016" s="2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x14ac:dyDescent="0.2">
      <c r="A1017" s="1"/>
      <c r="B1017" s="1"/>
      <c r="C1017" s="2"/>
      <c r="D1017" s="74"/>
      <c r="E1017" s="74"/>
      <c r="F1017" s="5"/>
      <c r="G1017" s="5"/>
      <c r="H1017" s="5"/>
      <c r="I1017" s="2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x14ac:dyDescent="0.2">
      <c r="A1018" s="1"/>
      <c r="B1018" s="1"/>
      <c r="C1018" s="2"/>
      <c r="D1018" s="74"/>
      <c r="E1018" s="74"/>
      <c r="F1018" s="5"/>
      <c r="G1018" s="5"/>
      <c r="H1018" s="5"/>
      <c r="I1018" s="2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 x14ac:dyDescent="0.2">
      <c r="A1019" s="1"/>
      <c r="B1019" s="1"/>
      <c r="C1019" s="2"/>
      <c r="D1019" s="74"/>
      <c r="E1019" s="74"/>
      <c r="F1019" s="5"/>
      <c r="G1019" s="5"/>
      <c r="H1019" s="5"/>
      <c r="I1019" s="2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75" x14ac:dyDescent="0.2">
      <c r="A1020" s="1"/>
      <c r="B1020" s="1"/>
      <c r="C1020" s="2"/>
      <c r="D1020" s="74"/>
      <c r="E1020" s="74"/>
      <c r="F1020" s="5"/>
      <c r="G1020" s="5"/>
      <c r="H1020" s="5"/>
      <c r="I1020" s="2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75" x14ac:dyDescent="0.2">
      <c r="A1021" s="1"/>
      <c r="B1021" s="1"/>
      <c r="C1021" s="2"/>
      <c r="D1021" s="74"/>
      <c r="E1021" s="74"/>
      <c r="F1021" s="5"/>
      <c r="G1021" s="5"/>
      <c r="H1021" s="5"/>
      <c r="I1021" s="2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75" x14ac:dyDescent="0.2">
      <c r="A1022" s="1"/>
      <c r="B1022" s="1"/>
      <c r="C1022" s="2"/>
      <c r="D1022" s="74"/>
      <c r="E1022" s="74"/>
      <c r="F1022" s="5"/>
      <c r="G1022" s="5"/>
      <c r="H1022" s="5"/>
      <c r="I1022" s="2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75" x14ac:dyDescent="0.2">
      <c r="A1023" s="1"/>
      <c r="B1023" s="1"/>
      <c r="C1023" s="2"/>
      <c r="D1023" s="74"/>
      <c r="E1023" s="74"/>
      <c r="F1023" s="5"/>
      <c r="G1023" s="5"/>
      <c r="H1023" s="5"/>
      <c r="I1023" s="2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75" x14ac:dyDescent="0.2">
      <c r="A1024" s="1"/>
      <c r="B1024" s="1"/>
      <c r="C1024" s="2"/>
      <c r="D1024" s="74"/>
      <c r="E1024" s="74"/>
      <c r="F1024" s="5"/>
      <c r="G1024" s="5"/>
      <c r="H1024" s="5"/>
      <c r="I1024" s="2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75" x14ac:dyDescent="0.2">
      <c r="A1025" s="1"/>
      <c r="B1025" s="1"/>
      <c r="C1025" s="2"/>
      <c r="D1025" s="74"/>
      <c r="E1025" s="74"/>
      <c r="F1025" s="5"/>
      <c r="G1025" s="5"/>
      <c r="H1025" s="5"/>
      <c r="I1025" s="2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75" x14ac:dyDescent="0.2">
      <c r="A1026" s="1"/>
      <c r="B1026" s="1"/>
      <c r="C1026" s="2"/>
      <c r="D1026" s="74"/>
      <c r="E1026" s="74"/>
      <c r="F1026" s="5"/>
      <c r="G1026" s="5"/>
      <c r="H1026" s="5"/>
      <c r="I1026" s="2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75" x14ac:dyDescent="0.2">
      <c r="A1027" s="1"/>
      <c r="B1027" s="1"/>
      <c r="C1027" s="2"/>
      <c r="D1027" s="74"/>
      <c r="E1027" s="74"/>
      <c r="F1027" s="5"/>
      <c r="G1027" s="5"/>
      <c r="H1027" s="5"/>
      <c r="I1027" s="2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75" x14ac:dyDescent="0.2">
      <c r="A1028" s="1"/>
      <c r="B1028" s="1"/>
      <c r="C1028" s="2"/>
      <c r="D1028" s="74"/>
      <c r="E1028" s="74"/>
      <c r="F1028" s="5"/>
      <c r="G1028" s="5"/>
      <c r="H1028" s="5"/>
      <c r="I1028" s="2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75" x14ac:dyDescent="0.2">
      <c r="A1029" s="1"/>
      <c r="B1029" s="1"/>
      <c r="C1029" s="2"/>
      <c r="D1029" s="74"/>
      <c r="E1029" s="74"/>
      <c r="F1029" s="5"/>
      <c r="G1029" s="5"/>
      <c r="H1029" s="5"/>
      <c r="I1029" s="2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75" x14ac:dyDescent="0.2">
      <c r="A1030" s="1"/>
      <c r="B1030" s="1"/>
      <c r="C1030" s="2"/>
      <c r="D1030" s="74"/>
      <c r="E1030" s="74"/>
      <c r="F1030" s="5"/>
      <c r="G1030" s="5"/>
      <c r="H1030" s="5"/>
      <c r="I1030" s="2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75" x14ac:dyDescent="0.2">
      <c r="A1031" s="1"/>
      <c r="B1031" s="1"/>
      <c r="C1031" s="2"/>
      <c r="D1031" s="74"/>
      <c r="E1031" s="74"/>
      <c r="F1031" s="5"/>
      <c r="G1031" s="5"/>
      <c r="H1031" s="5"/>
      <c r="I1031" s="2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75" x14ac:dyDescent="0.2">
      <c r="A1032" s="1"/>
      <c r="B1032" s="1"/>
      <c r="C1032" s="2"/>
      <c r="D1032" s="74"/>
      <c r="E1032" s="74"/>
      <c r="F1032" s="5"/>
      <c r="G1032" s="5"/>
      <c r="H1032" s="5"/>
      <c r="I1032" s="2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75" x14ac:dyDescent="0.2">
      <c r="A1033" s="1"/>
      <c r="B1033" s="1"/>
      <c r="C1033" s="2"/>
      <c r="D1033" s="74"/>
      <c r="E1033" s="74"/>
      <c r="F1033" s="5"/>
      <c r="G1033" s="5"/>
      <c r="H1033" s="5"/>
      <c r="I1033" s="2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75" x14ac:dyDescent="0.2">
      <c r="A1034" s="1"/>
      <c r="B1034" s="1"/>
      <c r="C1034" s="2"/>
      <c r="D1034" s="74"/>
      <c r="E1034" s="74"/>
      <c r="F1034" s="5"/>
      <c r="G1034" s="5"/>
      <c r="H1034" s="5"/>
      <c r="I1034" s="2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75" x14ac:dyDescent="0.2">
      <c r="A1035" s="1"/>
      <c r="B1035" s="1"/>
      <c r="C1035" s="2"/>
      <c r="D1035" s="74"/>
      <c r="E1035" s="74"/>
      <c r="F1035" s="5"/>
      <c r="G1035" s="5"/>
      <c r="H1035" s="5"/>
      <c r="I1035" s="2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75" x14ac:dyDescent="0.2">
      <c r="A1036" s="1"/>
      <c r="B1036" s="1"/>
      <c r="C1036" s="2"/>
      <c r="D1036" s="74"/>
      <c r="E1036" s="74"/>
      <c r="F1036" s="5"/>
      <c r="G1036" s="5"/>
      <c r="H1036" s="5"/>
      <c r="I1036" s="2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75" x14ac:dyDescent="0.2">
      <c r="A1037" s="1"/>
      <c r="B1037" s="1"/>
      <c r="C1037" s="2"/>
      <c r="D1037" s="74"/>
      <c r="E1037" s="74"/>
      <c r="F1037" s="5"/>
      <c r="G1037" s="5"/>
      <c r="H1037" s="5"/>
      <c r="I1037" s="2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75" x14ac:dyDescent="0.2">
      <c r="A1038" s="1"/>
      <c r="B1038" s="1"/>
      <c r="C1038" s="2"/>
      <c r="D1038" s="74"/>
      <c r="E1038" s="74"/>
      <c r="F1038" s="5"/>
      <c r="G1038" s="5"/>
      <c r="H1038" s="5"/>
      <c r="I1038" s="2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75" x14ac:dyDescent="0.2">
      <c r="A1039" s="1"/>
      <c r="B1039" s="1"/>
      <c r="C1039" s="2"/>
      <c r="D1039" s="74"/>
      <c r="E1039" s="74"/>
      <c r="F1039" s="5"/>
      <c r="G1039" s="5"/>
      <c r="H1039" s="5"/>
      <c r="I1039" s="2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75" x14ac:dyDescent="0.2">
      <c r="A1040" s="1"/>
      <c r="B1040" s="1"/>
      <c r="C1040" s="2"/>
      <c r="D1040" s="74"/>
      <c r="E1040" s="74"/>
      <c r="F1040" s="5"/>
      <c r="G1040" s="5"/>
      <c r="H1040" s="5"/>
      <c r="I1040" s="2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75" x14ac:dyDescent="0.2">
      <c r="A1041" s="1"/>
      <c r="B1041" s="1"/>
      <c r="C1041" s="2"/>
      <c r="D1041" s="74"/>
      <c r="E1041" s="74"/>
      <c r="F1041" s="5"/>
      <c r="G1041" s="5"/>
      <c r="H1041" s="5"/>
      <c r="I1041" s="2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75" x14ac:dyDescent="0.2">
      <c r="A1042" s="1"/>
      <c r="B1042" s="1"/>
      <c r="C1042" s="2"/>
      <c r="D1042" s="74"/>
      <c r="E1042" s="74"/>
      <c r="F1042" s="5"/>
      <c r="G1042" s="5"/>
      <c r="H1042" s="5"/>
      <c r="I1042" s="2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75" x14ac:dyDescent="0.2">
      <c r="A1043" s="1"/>
      <c r="B1043" s="1"/>
      <c r="C1043" s="2"/>
      <c r="D1043" s="74"/>
      <c r="E1043" s="74"/>
      <c r="F1043" s="5"/>
      <c r="G1043" s="5"/>
      <c r="H1043" s="5"/>
      <c r="I1043" s="2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75" x14ac:dyDescent="0.2">
      <c r="A1044" s="1"/>
      <c r="B1044" s="1"/>
      <c r="C1044" s="2"/>
      <c r="D1044" s="74"/>
      <c r="E1044" s="74"/>
      <c r="F1044" s="5"/>
      <c r="G1044" s="5"/>
      <c r="H1044" s="5"/>
      <c r="I1044" s="2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75" x14ac:dyDescent="0.2">
      <c r="A1045" s="1"/>
      <c r="B1045" s="1"/>
      <c r="C1045" s="2"/>
      <c r="D1045" s="74"/>
      <c r="E1045" s="74"/>
      <c r="F1045" s="5"/>
      <c r="G1045" s="5"/>
      <c r="H1045" s="5"/>
      <c r="I1045" s="2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75" x14ac:dyDescent="0.2">
      <c r="A1046" s="1"/>
      <c r="B1046" s="1"/>
      <c r="C1046" s="2"/>
      <c r="D1046" s="74"/>
      <c r="E1046" s="74"/>
      <c r="F1046" s="5"/>
      <c r="G1046" s="5"/>
      <c r="H1046" s="5"/>
      <c r="I1046" s="2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75" x14ac:dyDescent="0.2">
      <c r="A1047" s="1"/>
      <c r="B1047" s="1"/>
      <c r="C1047" s="2"/>
      <c r="D1047" s="74"/>
      <c r="E1047" s="74"/>
      <c r="F1047" s="5"/>
      <c r="G1047" s="5"/>
      <c r="H1047" s="5"/>
      <c r="I1047" s="2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75" x14ac:dyDescent="0.2">
      <c r="A1048" s="1"/>
      <c r="B1048" s="1"/>
      <c r="C1048" s="2"/>
      <c r="D1048" s="74"/>
      <c r="E1048" s="74"/>
      <c r="F1048" s="5"/>
      <c r="G1048" s="5"/>
      <c r="H1048" s="5"/>
      <c r="I1048" s="2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75" x14ac:dyDescent="0.2">
      <c r="A1049" s="1"/>
      <c r="B1049" s="1"/>
      <c r="C1049" s="2"/>
      <c r="D1049" s="74"/>
      <c r="E1049" s="74"/>
      <c r="F1049" s="5"/>
      <c r="G1049" s="5"/>
      <c r="H1049" s="5"/>
      <c r="I1049" s="2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75" x14ac:dyDescent="0.2">
      <c r="A1050" s="1"/>
      <c r="B1050" s="1"/>
      <c r="C1050" s="2"/>
      <c r="D1050" s="74"/>
      <c r="E1050" s="74"/>
      <c r="F1050" s="5"/>
      <c r="G1050" s="5"/>
      <c r="H1050" s="5"/>
      <c r="I1050" s="2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75" x14ac:dyDescent="0.2">
      <c r="A1051" s="1"/>
      <c r="B1051" s="1"/>
      <c r="C1051" s="2"/>
      <c r="D1051" s="74"/>
      <c r="E1051" s="74"/>
      <c r="F1051" s="5"/>
      <c r="G1051" s="5"/>
      <c r="H1051" s="5"/>
      <c r="I1051" s="2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75" x14ac:dyDescent="0.2">
      <c r="A1052" s="1"/>
      <c r="B1052" s="1"/>
      <c r="C1052" s="2"/>
      <c r="D1052" s="74"/>
      <c r="E1052" s="74"/>
      <c r="F1052" s="5"/>
      <c r="G1052" s="5"/>
      <c r="H1052" s="5"/>
      <c r="I1052" s="2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75" x14ac:dyDescent="0.2">
      <c r="A1053" s="1"/>
      <c r="B1053" s="1"/>
      <c r="C1053" s="2"/>
      <c r="D1053" s="74"/>
      <c r="E1053" s="74"/>
      <c r="F1053" s="5"/>
      <c r="G1053" s="5"/>
      <c r="H1053" s="5"/>
      <c r="I1053" s="2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75" x14ac:dyDescent="0.2">
      <c r="A1054" s="1"/>
      <c r="B1054" s="1"/>
      <c r="C1054" s="2"/>
      <c r="D1054" s="74"/>
      <c r="E1054" s="74"/>
      <c r="F1054" s="5"/>
      <c r="G1054" s="5"/>
      <c r="H1054" s="5"/>
      <c r="I1054" s="2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75" x14ac:dyDescent="0.2">
      <c r="A1055" s="1"/>
      <c r="B1055" s="1"/>
      <c r="C1055" s="2"/>
      <c r="D1055" s="74"/>
      <c r="E1055" s="74"/>
      <c r="F1055" s="5"/>
      <c r="G1055" s="5"/>
      <c r="H1055" s="5"/>
      <c r="I1055" s="2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75" x14ac:dyDescent="0.2">
      <c r="A1056" s="1"/>
      <c r="B1056" s="1"/>
      <c r="C1056" s="2"/>
      <c r="D1056" s="74"/>
      <c r="E1056" s="74"/>
      <c r="F1056" s="5"/>
      <c r="G1056" s="5"/>
      <c r="H1056" s="5"/>
      <c r="I1056" s="2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75" x14ac:dyDescent="0.2">
      <c r="A1057" s="1"/>
      <c r="B1057" s="1"/>
      <c r="C1057" s="2"/>
      <c r="D1057" s="74"/>
      <c r="E1057" s="74"/>
      <c r="F1057" s="5"/>
      <c r="G1057" s="5"/>
      <c r="H1057" s="5"/>
      <c r="I1057" s="2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75" x14ac:dyDescent="0.2">
      <c r="A1058" s="1"/>
      <c r="B1058" s="1"/>
      <c r="C1058" s="2"/>
      <c r="D1058" s="74"/>
      <c r="E1058" s="74"/>
      <c r="F1058" s="5"/>
      <c r="G1058" s="5"/>
      <c r="H1058" s="5"/>
      <c r="I1058" s="2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75" x14ac:dyDescent="0.2">
      <c r="A1059" s="1"/>
      <c r="B1059" s="1"/>
      <c r="C1059" s="2"/>
      <c r="D1059" s="74"/>
      <c r="E1059" s="74"/>
      <c r="F1059" s="5"/>
      <c r="G1059" s="5"/>
      <c r="H1059" s="5"/>
      <c r="I1059" s="2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75" x14ac:dyDescent="0.2">
      <c r="A1060" s="1"/>
      <c r="B1060" s="1"/>
      <c r="C1060" s="2"/>
      <c r="D1060" s="74"/>
      <c r="E1060" s="74"/>
      <c r="F1060" s="5"/>
      <c r="G1060" s="5"/>
      <c r="H1060" s="5"/>
      <c r="I1060" s="2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75" x14ac:dyDescent="0.2">
      <c r="A1061" s="1"/>
      <c r="B1061" s="1"/>
      <c r="C1061" s="2"/>
      <c r="D1061" s="74"/>
      <c r="E1061" s="74"/>
      <c r="F1061" s="5"/>
      <c r="G1061" s="5"/>
      <c r="H1061" s="5"/>
      <c r="I1061" s="2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75" x14ac:dyDescent="0.2">
      <c r="A1062" s="1"/>
      <c r="B1062" s="1"/>
      <c r="C1062" s="2"/>
      <c r="D1062" s="74"/>
      <c r="E1062" s="74"/>
      <c r="F1062" s="5"/>
      <c r="G1062" s="5"/>
      <c r="H1062" s="5"/>
      <c r="I1062" s="2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75" x14ac:dyDescent="0.2">
      <c r="A1063" s="1"/>
      <c r="B1063" s="1"/>
      <c r="C1063" s="2"/>
      <c r="D1063" s="74"/>
      <c r="E1063" s="74"/>
      <c r="F1063" s="5"/>
      <c r="G1063" s="5"/>
      <c r="H1063" s="5"/>
      <c r="I1063" s="2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75" x14ac:dyDescent="0.2">
      <c r="A1064" s="1"/>
      <c r="B1064" s="1"/>
      <c r="C1064" s="2"/>
      <c r="D1064" s="74"/>
      <c r="E1064" s="74"/>
      <c r="F1064" s="5"/>
      <c r="G1064" s="5"/>
      <c r="H1064" s="5"/>
      <c r="I1064" s="2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75" x14ac:dyDescent="0.2">
      <c r="A1065" s="1"/>
      <c r="B1065" s="1"/>
      <c r="C1065" s="2"/>
      <c r="D1065" s="74"/>
      <c r="E1065" s="74"/>
      <c r="F1065" s="5"/>
      <c r="G1065" s="5"/>
      <c r="H1065" s="5"/>
      <c r="I1065" s="2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75" x14ac:dyDescent="0.2">
      <c r="A1066" s="1"/>
      <c r="B1066" s="1"/>
      <c r="C1066" s="2"/>
      <c r="D1066" s="74"/>
      <c r="E1066" s="74"/>
      <c r="F1066" s="5"/>
      <c r="G1066" s="5"/>
      <c r="H1066" s="5"/>
      <c r="I1066" s="2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75" x14ac:dyDescent="0.2">
      <c r="A1067" s="1"/>
      <c r="B1067" s="1"/>
      <c r="C1067" s="2"/>
      <c r="D1067" s="74"/>
      <c r="E1067" s="74"/>
      <c r="F1067" s="5"/>
      <c r="G1067" s="5"/>
      <c r="H1067" s="5"/>
      <c r="I1067" s="2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75" x14ac:dyDescent="0.2">
      <c r="A1068" s="1"/>
      <c r="B1068" s="1"/>
      <c r="C1068" s="2"/>
      <c r="D1068" s="74"/>
      <c r="E1068" s="74"/>
      <c r="F1068" s="5"/>
      <c r="G1068" s="5"/>
      <c r="H1068" s="5"/>
      <c r="I1068" s="2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75" x14ac:dyDescent="0.2">
      <c r="A1069" s="1"/>
      <c r="B1069" s="1"/>
      <c r="C1069" s="2"/>
      <c r="D1069" s="74"/>
      <c r="E1069" s="74"/>
      <c r="F1069" s="5"/>
      <c r="G1069" s="5"/>
      <c r="H1069" s="5"/>
      <c r="I1069" s="2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75" x14ac:dyDescent="0.2">
      <c r="A1070" s="1"/>
      <c r="B1070" s="1"/>
      <c r="C1070" s="2"/>
      <c r="D1070" s="74"/>
      <c r="E1070" s="74"/>
      <c r="F1070" s="5"/>
      <c r="G1070" s="5"/>
      <c r="H1070" s="5"/>
      <c r="I1070" s="2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75" x14ac:dyDescent="0.2">
      <c r="A1071" s="1"/>
      <c r="B1071" s="1"/>
      <c r="C1071" s="2"/>
      <c r="D1071" s="74"/>
      <c r="E1071" s="74"/>
      <c r="F1071" s="5"/>
      <c r="G1071" s="5"/>
      <c r="H1071" s="5"/>
      <c r="I1071" s="2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75" x14ac:dyDescent="0.2">
      <c r="A1072" s="1"/>
      <c r="B1072" s="1"/>
      <c r="C1072" s="2"/>
      <c r="D1072" s="74"/>
      <c r="E1072" s="74"/>
      <c r="F1072" s="5"/>
      <c r="G1072" s="5"/>
      <c r="H1072" s="5"/>
      <c r="I1072" s="2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2.75" x14ac:dyDescent="0.2">
      <c r="A1073" s="1"/>
      <c r="B1073" s="1"/>
      <c r="C1073" s="2"/>
      <c r="D1073" s="74"/>
      <c r="E1073" s="74"/>
      <c r="F1073" s="5"/>
      <c r="G1073" s="5"/>
      <c r="H1073" s="5"/>
      <c r="I1073" s="2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2.75" x14ac:dyDescent="0.2">
      <c r="C1074" s="73"/>
      <c r="D1074" s="160"/>
      <c r="E1074" s="160"/>
      <c r="F1074" s="73"/>
      <c r="G1074" s="73"/>
      <c r="H1074" s="73"/>
      <c r="I1074" s="73"/>
    </row>
    <row r="1075" spans="1:26" ht="12.75" x14ac:dyDescent="0.2">
      <c r="C1075" s="73"/>
      <c r="D1075" s="160"/>
      <c r="E1075" s="160"/>
      <c r="F1075" s="73"/>
      <c r="G1075" s="73"/>
      <c r="H1075" s="73"/>
      <c r="I1075" s="73"/>
    </row>
    <row r="1076" spans="1:26" ht="12.75" x14ac:dyDescent="0.2">
      <c r="C1076" s="73"/>
      <c r="D1076" s="160"/>
      <c r="E1076" s="160"/>
      <c r="F1076" s="73"/>
      <c r="G1076" s="73"/>
      <c r="H1076" s="73"/>
      <c r="I1076" s="73"/>
    </row>
    <row r="1077" spans="1:26" ht="12.75" x14ac:dyDescent="0.2">
      <c r="C1077" s="73"/>
      <c r="D1077" s="160"/>
      <c r="E1077" s="160"/>
      <c r="F1077" s="73"/>
      <c r="G1077" s="73"/>
      <c r="H1077" s="73"/>
      <c r="I1077" s="73"/>
    </row>
    <row r="1078" spans="1:26" ht="12.75" x14ac:dyDescent="0.2">
      <c r="C1078" s="73"/>
      <c r="D1078" s="160"/>
      <c r="E1078" s="160"/>
      <c r="F1078" s="73"/>
      <c r="G1078" s="73"/>
      <c r="H1078" s="73"/>
      <c r="I1078" s="73"/>
    </row>
    <row r="1079" spans="1:26" ht="12.75" x14ac:dyDescent="0.2">
      <c r="C1079" s="73"/>
      <c r="D1079" s="160"/>
      <c r="E1079" s="160"/>
      <c r="F1079" s="73"/>
      <c r="G1079" s="73"/>
      <c r="H1079" s="73"/>
      <c r="I1079" s="73"/>
    </row>
  </sheetData>
  <mergeCells count="59">
    <mergeCell ref="A1:V1"/>
    <mergeCell ref="A2:V2"/>
    <mergeCell ref="A3:V3"/>
    <mergeCell ref="A7:B7"/>
    <mergeCell ref="I73:I75"/>
    <mergeCell ref="A4:B4"/>
    <mergeCell ref="A6:F6"/>
    <mergeCell ref="F8:F9"/>
    <mergeCell ref="F25:F28"/>
    <mergeCell ref="G25:G28"/>
    <mergeCell ref="I25:I28"/>
    <mergeCell ref="G29:G41"/>
    <mergeCell ref="I29:I41"/>
    <mergeCell ref="I42:I47"/>
    <mergeCell ref="I48:I72"/>
    <mergeCell ref="G42:G47"/>
    <mergeCell ref="V158:W158"/>
    <mergeCell ref="F125:F127"/>
    <mergeCell ref="B152:I152"/>
    <mergeCell ref="A154:B154"/>
    <mergeCell ref="J155:T155"/>
    <mergeCell ref="A156:D156"/>
    <mergeCell ref="A158:B158"/>
    <mergeCell ref="C158:E158"/>
    <mergeCell ref="A8:A9"/>
    <mergeCell ref="G8:G9"/>
    <mergeCell ref="E8:E9"/>
    <mergeCell ref="I158:N158"/>
    <mergeCell ref="Q158:T158"/>
    <mergeCell ref="C48:C72"/>
    <mergeCell ref="F29:F41"/>
    <mergeCell ref="F42:F47"/>
    <mergeCell ref="F48:F72"/>
    <mergeCell ref="C73:C75"/>
    <mergeCell ref="H8:V8"/>
    <mergeCell ref="G48:G72"/>
    <mergeCell ref="F73:F75"/>
    <mergeCell ref="G73:G75"/>
    <mergeCell ref="B8:B9"/>
    <mergeCell ref="D8:D9"/>
    <mergeCell ref="C25:C28"/>
    <mergeCell ref="C29:C41"/>
    <mergeCell ref="C42:C47"/>
    <mergeCell ref="H168:T168"/>
    <mergeCell ref="H169:T169"/>
    <mergeCell ref="C164:E164"/>
    <mergeCell ref="I164:L164"/>
    <mergeCell ref="Q164:T164"/>
    <mergeCell ref="H165:T165"/>
    <mergeCell ref="A164:B164"/>
    <mergeCell ref="A162:B162"/>
    <mergeCell ref="A161:B161"/>
    <mergeCell ref="C161:F161"/>
    <mergeCell ref="V161:X161"/>
    <mergeCell ref="I161:N161"/>
    <mergeCell ref="I162:N162"/>
    <mergeCell ref="Q161:T161"/>
    <mergeCell ref="Q162:T162"/>
    <mergeCell ref="C162:F1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1rst Quarter</vt:lpstr>
      <vt:lpstr>2nd Quarter</vt:lpstr>
      <vt:lpstr>Revised 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PTRI</cp:lastModifiedBy>
  <dcterms:modified xsi:type="dcterms:W3CDTF">2024-06-18T06:43:23Z</dcterms:modified>
</cp:coreProperties>
</file>