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a10cb453c88dd481/Desktop/2024 PROJECT FILES/PPMP/Revised PPMP/"/>
    </mc:Choice>
  </mc:AlternateContent>
  <xr:revisionPtr revIDLastSave="8" documentId="11_3F0DBF10A1CF0C37F4558AE1783A8FB2EA5EB177" xr6:coauthVersionLast="47" xr6:coauthVersionMax="47" xr10:uidLastSave="{C76C3250-4B13-48F5-BCAC-0803FA7120F2}"/>
  <bookViews>
    <workbookView xWindow="-120" yWindow="-120" windowWidth="29040" windowHeight="15720" activeTab="1" xr2:uid="{00000000-000D-0000-FFFF-FFFF00000000}"/>
  </bookViews>
  <sheets>
    <sheet name="Knowledge Transfer" sheetId="1" r:id="rId1"/>
    <sheet name="Revised Knowledge Transf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BiCHwa/HtHRxyY6qKjXc17xr2zmLNsY0/TYnRJnQ8Mw="/>
    </ext>
  </extLst>
</workbook>
</file>

<file path=xl/calcChain.xml><?xml version="1.0" encoding="utf-8"?>
<calcChain xmlns="http://schemas.openxmlformats.org/spreadsheetml/2006/main">
  <c r="C87" i="2" l="1"/>
  <c r="C86" i="2"/>
  <c r="C88" i="2" s="1"/>
  <c r="E76" i="2"/>
  <c r="E74" i="2"/>
  <c r="E70" i="2"/>
  <c r="E68" i="2"/>
  <c r="E66" i="2"/>
  <c r="E63" i="2"/>
  <c r="F61" i="2"/>
  <c r="F60" i="2"/>
  <c r="E59" i="2" s="1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E39" i="2" s="1"/>
  <c r="F38" i="2"/>
  <c r="F37" i="2"/>
  <c r="F36" i="2"/>
  <c r="F35" i="2"/>
  <c r="F34" i="2"/>
  <c r="E34" i="2"/>
  <c r="F33" i="2"/>
  <c r="F32" i="2"/>
  <c r="F31" i="2"/>
  <c r="E28" i="2" s="1"/>
  <c r="F30" i="2"/>
  <c r="F29" i="2"/>
  <c r="F28" i="2"/>
  <c r="F27" i="2"/>
  <c r="F26" i="2"/>
  <c r="F25" i="2"/>
  <c r="F24" i="2"/>
  <c r="F23" i="2"/>
  <c r="E23" i="2" s="1"/>
  <c r="F22" i="2"/>
  <c r="F21" i="2"/>
  <c r="F20" i="2"/>
  <c r="F19" i="2"/>
  <c r="F18" i="2"/>
  <c r="F17" i="2"/>
  <c r="F16" i="2"/>
  <c r="F15" i="2"/>
  <c r="E15" i="2" s="1"/>
  <c r="F14" i="2"/>
  <c r="F13" i="2"/>
  <c r="F12" i="2"/>
  <c r="F11" i="2"/>
  <c r="F83" i="2" s="1"/>
  <c r="E11" i="2"/>
  <c r="V9" i="2"/>
  <c r="C87" i="1"/>
  <c r="C86" i="1"/>
  <c r="C88" i="1" s="1"/>
  <c r="E76" i="1"/>
  <c r="E74" i="1"/>
  <c r="E70" i="1"/>
  <c r="E68" i="1"/>
  <c r="E66" i="1"/>
  <c r="E63" i="1"/>
  <c r="F61" i="1"/>
  <c r="F60" i="1"/>
  <c r="F59" i="1"/>
  <c r="E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E39" i="1" s="1"/>
  <c r="F41" i="1"/>
  <c r="F40" i="1"/>
  <c r="F39" i="1"/>
  <c r="F38" i="1"/>
  <c r="F37" i="1"/>
  <c r="F36" i="1"/>
  <c r="E34" i="1" s="1"/>
  <c r="F35" i="1"/>
  <c r="F34" i="1"/>
  <c r="F33" i="1"/>
  <c r="F32" i="1"/>
  <c r="F31" i="1"/>
  <c r="F30" i="1"/>
  <c r="F29" i="1"/>
  <c r="F28" i="1"/>
  <c r="E28" i="1" s="1"/>
  <c r="F27" i="1"/>
  <c r="F26" i="1"/>
  <c r="F25" i="1"/>
  <c r="F24" i="1"/>
  <c r="F23" i="1"/>
  <c r="E23" i="1"/>
  <c r="E83" i="1" s="1"/>
  <c r="F22" i="1"/>
  <c r="F21" i="1"/>
  <c r="F20" i="1"/>
  <c r="F19" i="1"/>
  <c r="F18" i="1"/>
  <c r="F17" i="1"/>
  <c r="F16" i="1"/>
  <c r="F15" i="1"/>
  <c r="E15" i="1"/>
  <c r="F14" i="1"/>
  <c r="F13" i="1"/>
  <c r="F12" i="1"/>
  <c r="F11" i="1"/>
  <c r="F83" i="1" s="1"/>
  <c r="E11" i="1"/>
  <c r="V9" i="1"/>
  <c r="E83" i="2" l="1"/>
</calcChain>
</file>

<file path=xl/sharedStrings.xml><?xml version="1.0" encoding="utf-8"?>
<sst xmlns="http://schemas.openxmlformats.org/spreadsheetml/2006/main" count="339" uniqueCount="135">
  <si>
    <t xml:space="preserve">  PROJECT PROCUREMENT MANAGEMENT PLAN (PPMP) 2024</t>
  </si>
  <si>
    <t>For 1st Quarter of CY 2024</t>
  </si>
  <si>
    <t>END-USER/UNIT: OD - TIPS</t>
  </si>
  <si>
    <t>Charged to: Knowledge Transfer and Commercialization of PTRI Technologies</t>
  </si>
  <si>
    <t>(Projects, Programs and Activities (PAPs)</t>
  </si>
  <si>
    <t>CODE</t>
  </si>
  <si>
    <t>GENERAL DESCRIPTION</t>
  </si>
  <si>
    <t>QUANTITY/</t>
  </si>
  <si>
    <t>UNIT PRICE</t>
  </si>
  <si>
    <t>ESTIMATED BUDGET</t>
  </si>
  <si>
    <t>(for checking only)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</si>
  <si>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</si>
  <si>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</si>
  <si>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</si>
  <si>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</si>
  <si>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</si>
  <si>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</si>
  <si>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</si>
  <si>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</si>
  <si>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</si>
  <si>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</si>
  <si>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</si>
  <si>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</si>
  <si>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</si>
  <si>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</si>
  <si>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</si>
  <si>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</si>
  <si>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</si>
  <si>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</si>
  <si>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50203010 02</t>
  </si>
  <si>
    <t>Office Supplies</t>
  </si>
  <si>
    <t>30 packs AA Batteries / 4s</t>
  </si>
  <si>
    <t>1 lot</t>
  </si>
  <si>
    <t>Shopping</t>
  </si>
  <si>
    <t>per schedule</t>
  </si>
  <si>
    <t>10 packs AAA Batteries / 4s</t>
  </si>
  <si>
    <t>50 packs Vellum Board / A4 / 10s</t>
  </si>
  <si>
    <t>2 packs Parchment Paper / A4 / 10s</t>
  </si>
  <si>
    <t>6 pcs toner Original Hp 206A W2110A (Black)</t>
  </si>
  <si>
    <t>15 working days</t>
  </si>
  <si>
    <t>6 pcs toner Original Hp 206A W2110A (Cyan)</t>
  </si>
  <si>
    <t>6 pcs toner Original Hp 206A W2110A (Magenta)</t>
  </si>
  <si>
    <t>6 pcs toner Original Hp 206A W2110A (Yellow)</t>
  </si>
  <si>
    <t>5 pcs toner Original Color LaserJet Pro M252n (201A) black</t>
  </si>
  <si>
    <t>5 pcs toner Original Color LaserJet Pro M252n (201A) cyan</t>
  </si>
  <si>
    <t>5 pcs toner Original Color LaserJet Pro M252n (201A) Magenta</t>
  </si>
  <si>
    <t>5 pcs toner Original Color LaserJet Pro M252n (201A) Yellow</t>
  </si>
  <si>
    <t>4 bottles Original Epson L6490, (008) Black</t>
  </si>
  <si>
    <t>3 bottles Original Epson L6490, (008) Cyan</t>
  </si>
  <si>
    <t>3 bottles Original Epson L6490, (008) Magenta</t>
  </si>
  <si>
    <t>3 bottles Original Epson L6490, (008) Yellow</t>
  </si>
  <si>
    <t>3 pcs toner Original  Hp 103A, (W1103A) Black</t>
  </si>
  <si>
    <t>3 pcs Portable SSD, 1 TB</t>
  </si>
  <si>
    <t>3 powerbank, 20000 mAh, 2 x USB-A (output), Type-C (input/output)</t>
  </si>
  <si>
    <t>5 pcs USB 3.0 Flash drive, USB-A, Up to 150MB/s read perf.</t>
  </si>
  <si>
    <t>10 pcs headset, with microphone, noise cancellation,</t>
  </si>
  <si>
    <t>2 pcs card reader, Type-C 3-in-1 Multi-Card Reader, USB 3.0 with Docking Station</t>
  </si>
  <si>
    <t>4 pcs Wireless mouse, 1000 DPI, Bluetooth, USB receiver, High Precision Optical Tracking</t>
  </si>
  <si>
    <t>15 boxes Bond Paper, A4, Sub-20, 5 reams/box</t>
  </si>
  <si>
    <t>10 boxes Bond paper Letter size, Sub-20, 5 reams/box</t>
  </si>
  <si>
    <t>10 boxes Bond Paper, Long, Sub-20, 5 reams/box</t>
  </si>
  <si>
    <t>8 boxes Sign pen, black, gel, 0.5 mm, 12 pcs/box</t>
  </si>
  <si>
    <t>4 boxes Ballpoint, ballpen, black, 12 pcs/box</t>
  </si>
  <si>
    <t>F</t>
  </si>
  <si>
    <t>3 pcs single hole puncher</t>
  </si>
  <si>
    <t>3 roll Abaca twine</t>
  </si>
  <si>
    <t>10 packs Safety pin #2</t>
  </si>
  <si>
    <t>10 packs Safety pin #3</t>
  </si>
  <si>
    <t>10 packs Safety pin #4</t>
  </si>
  <si>
    <t>10 packs Colored Multi-Purpose paper, Rose,  A4, 25 sheets/pack</t>
  </si>
  <si>
    <t>25 rolls Double-sided Tape, 24 mm</t>
  </si>
  <si>
    <t>10 rolls Bubble wrap, 1x5m</t>
  </si>
  <si>
    <t>30 rolls Masking Tape, 24 mm</t>
  </si>
  <si>
    <t>50 rolls Masking Tape, 48 mm</t>
  </si>
  <si>
    <t>20 rolls Transparent Tape, 24 mm</t>
  </si>
  <si>
    <t>40 rolls Transparent Tape, 48 mm</t>
  </si>
  <si>
    <t>30 boxes Vinyl Paper Clip, 33 mm</t>
  </si>
  <si>
    <t>30 boxes Vinyl Paper Clip, 50 mm</t>
  </si>
  <si>
    <t>10 boxes Stainless Steel Paper Clip, 50 mm</t>
  </si>
  <si>
    <t>2 boxes Paper Fastener, Plastic, 50 sets/box</t>
  </si>
  <si>
    <t xml:space="preserve">20 packs "SIGN HERE" Page Markers, 5 colors, 150 sheets/pack
</t>
  </si>
  <si>
    <t>5 packs Reusable multi-purpose tack</t>
  </si>
  <si>
    <t>20 pcs Permanent Marker (Ultra Fine Point - Black)</t>
  </si>
  <si>
    <t xml:space="preserve">1 pcs Kneaded Eraser </t>
  </si>
  <si>
    <t>10 boxes interfolded paper towel, 150 pulls per pack, 30 packs/box</t>
  </si>
  <si>
    <t>10 packs Bathroom Tissue, 2 ply, 12 rolls/pack</t>
  </si>
  <si>
    <t>20 gallons Ethyl Alcohol, 70%, FDA product notification</t>
  </si>
  <si>
    <t>50203990 00</t>
  </si>
  <si>
    <t>Other Supplies and Materials Expenses</t>
  </si>
  <si>
    <t>1 lot Other Supplies, Piña Seda Barong and Dress, 60% Pina; 40% Silk, Calado embroidery</t>
  </si>
  <si>
    <t>50299000 00</t>
  </si>
  <si>
    <t>Other Maintenance and Operating Expenses</t>
  </si>
  <si>
    <t>1 lot Printing of PTF Banner</t>
  </si>
  <si>
    <t>Shopping (Cash advance)</t>
  </si>
  <si>
    <t>50299030 00</t>
  </si>
  <si>
    <t>Representation Expenses</t>
  </si>
  <si>
    <t>Snacks and Meals</t>
  </si>
  <si>
    <t>50299040 00</t>
  </si>
  <si>
    <t>Transportation and Delivery Expenses</t>
  </si>
  <si>
    <t>Trucking fee</t>
  </si>
  <si>
    <t>TNVS Fare</t>
  </si>
  <si>
    <t>Courier Fee</t>
  </si>
  <si>
    <t>Office Equipment</t>
  </si>
  <si>
    <t>Heavy Duty Laser Printer, Print, Scan, Copy, A4, Letter, A5, A5(Long Edge), A6, Executive, Legal, Folio, 600 x 600 dpi, 2,400 dpi (600 x 2400) quality, Up to 24/25 ppm (A4/LTR)</t>
  </si>
  <si>
    <t>1 unit</t>
  </si>
  <si>
    <t>15-30 working days</t>
  </si>
  <si>
    <t>50215000 00</t>
  </si>
  <si>
    <t>Taxes, Insurance Premium and Other Expenses</t>
  </si>
  <si>
    <t>1 lot Utility Model Filing Fee</t>
  </si>
  <si>
    <t>Direct Contracting</t>
  </si>
  <si>
    <t>1 lot Registrability Report Fee</t>
  </si>
  <si>
    <t>1 lot Notary Fee</t>
  </si>
  <si>
    <t>1 IP Application Fee</t>
  </si>
  <si>
    <r>
      <rPr>
        <b/>
        <sz val="10"/>
        <color theme="1"/>
        <rFont val="Arial"/>
      </rPr>
      <t>Preventive Maintenance of Airconditioning Units:</t>
    </r>
    <r>
      <rPr>
        <sz val="10"/>
        <color theme="1"/>
        <rFont val="Arial"/>
      </rPr>
      <t xml:space="preserve">
Panasonic Wall Mounted Aircon-General Cleaning (TIPS) for Adding freon</t>
    </r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</si>
  <si>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</si>
  <si>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</si>
  <si>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</si>
  <si>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</si>
  <si>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</si>
  <si>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</si>
  <si>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</si>
  <si>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</si>
  <si>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</si>
  <si>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EVANGELINE FLOR P. MANALANG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</si>
  <si>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</si>
  <si>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</si>
  <si>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</si>
  <si>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</si>
  <si>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</si>
  <si>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</si>
  <si>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</si>
  <si>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</si>
  <si>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Other Professional Services
Sewing of Prototype PTF Uniform design for the
following agency
-Government Procurement Policy Board
-University of the Philippines
-Department of Science &amp; Technology</t>
  </si>
  <si>
    <t>30 Working days</t>
  </si>
  <si>
    <r>
      <rPr>
        <b/>
        <sz val="10"/>
        <color theme="1"/>
        <rFont val="Arial"/>
      </rPr>
      <t>Preventive Maintenance of Airconditioning Units:</t>
    </r>
    <r>
      <rPr>
        <sz val="10"/>
        <color theme="1"/>
        <rFont val="Arial"/>
      </rPr>
      <t xml:space="preserve">
Panasonic Wall Mounted Aircon-General Cleaning (TIPS) for Adding freon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</si>
</sst>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b/>
      <i/>
      <sz val="9"/>
      <color theme="1"/>
      <name val="Arial"/>
    </font>
    <font>
      <b/>
      <sz val="10"/>
      <color theme="1"/>
      <name val="Arial"/>
    </font>
    <font>
      <sz val="11"/>
      <name val="Arial"/>
    </font>
    <font>
      <sz val="9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43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0" xfId="0" applyFont="1"/>
    <xf numFmtId="0" fontId="6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0" fillId="0" borderId="11" xfId="0" applyFont="1" applyBorder="1"/>
    <xf numFmtId="0" fontId="6" fillId="0" borderId="12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center" vertical="center" wrapText="1"/>
    </xf>
    <xf numFmtId="4" fontId="6" fillId="2" borderId="13" xfId="0" applyNumberFormat="1" applyFont="1" applyFill="1" applyBorder="1" applyAlignment="1">
      <alignment horizontal="right" vertical="center" wrapText="1"/>
    </xf>
    <xf numFmtId="43" fontId="6" fillId="2" borderId="13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horizontal="center" vertical="center"/>
    </xf>
    <xf numFmtId="4" fontId="12" fillId="0" borderId="17" xfId="0" applyNumberFormat="1" applyFont="1" applyBorder="1" applyAlignment="1">
      <alignment horizontal="right"/>
    </xf>
    <xf numFmtId="4" fontId="12" fillId="0" borderId="17" xfId="0" applyNumberFormat="1" applyFont="1" applyBorder="1" applyAlignment="1">
      <alignment horizontal="center" vertical="center"/>
    </xf>
    <xf numFmtId="0" fontId="12" fillId="0" borderId="17" xfId="0" applyFont="1" applyBorder="1"/>
    <xf numFmtId="0" fontId="12" fillId="0" borderId="17" xfId="0" applyFont="1" applyBorder="1" applyAlignment="1">
      <alignment horizontal="center"/>
    </xf>
    <xf numFmtId="0" fontId="2" fillId="0" borderId="17" xfId="0" applyFont="1" applyBorder="1"/>
    <xf numFmtId="4" fontId="12" fillId="0" borderId="16" xfId="0" applyNumberFormat="1" applyFont="1" applyBorder="1" applyAlignment="1">
      <alignment horizontal="right"/>
    </xf>
    <xf numFmtId="49" fontId="12" fillId="0" borderId="15" xfId="0" applyNumberFormat="1" applyFont="1" applyBorder="1"/>
    <xf numFmtId="4" fontId="12" fillId="0" borderId="16" xfId="0" applyNumberFormat="1" applyFont="1" applyBorder="1" applyAlignment="1">
      <alignment horizontal="right" vertical="center" wrapText="1"/>
    </xf>
    <xf numFmtId="49" fontId="12" fillId="0" borderId="15" xfId="0" applyNumberFormat="1" applyFont="1" applyBorder="1" applyAlignment="1">
      <alignment horizontal="left" vertical="center"/>
    </xf>
    <xf numFmtId="0" fontId="12" fillId="0" borderId="16" xfId="0" applyFont="1" applyBorder="1" applyAlignment="1">
      <alignment horizontal="center" vertical="center" wrapText="1"/>
    </xf>
    <xf numFmtId="43" fontId="12" fillId="0" borderId="16" xfId="0" applyNumberFormat="1" applyFont="1" applyBorder="1" applyAlignment="1">
      <alignment horizontal="center" vertical="center" wrapText="1"/>
    </xf>
    <xf numFmtId="43" fontId="12" fillId="0" borderId="17" xfId="0" applyNumberFormat="1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wrapText="1"/>
    </xf>
    <xf numFmtId="43" fontId="12" fillId="0" borderId="15" xfId="0" applyNumberFormat="1" applyFont="1" applyBorder="1" applyAlignment="1">
      <alignment horizontal="center" vertical="center" wrapText="1"/>
    </xf>
    <xf numFmtId="4" fontId="12" fillId="0" borderId="17" xfId="0" applyNumberFormat="1" applyFont="1" applyBorder="1" applyAlignment="1">
      <alignment horizontal="right" vertical="center" wrapText="1"/>
    </xf>
    <xf numFmtId="4" fontId="12" fillId="0" borderId="19" xfId="0" applyNumberFormat="1" applyFont="1" applyBorder="1" applyAlignment="1">
      <alignment horizontal="right" wrapText="1"/>
    </xf>
    <xf numFmtId="0" fontId="12" fillId="0" borderId="1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left" vertical="center"/>
    </xf>
    <xf numFmtId="0" fontId="2" fillId="2" borderId="16" xfId="0" applyFont="1" applyFill="1" applyBorder="1"/>
    <xf numFmtId="4" fontId="2" fillId="2" borderId="16" xfId="0" applyNumberFormat="1" applyFont="1" applyFill="1" applyBorder="1" applyAlignment="1">
      <alignment horizontal="right"/>
    </xf>
    <xf numFmtId="0" fontId="2" fillId="2" borderId="17" xfId="0" applyFont="1" applyFill="1" applyBorder="1"/>
    <xf numFmtId="0" fontId="2" fillId="2" borderId="15" xfId="0" applyFont="1" applyFill="1" applyBorder="1"/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center"/>
    </xf>
    <xf numFmtId="43" fontId="12" fillId="0" borderId="16" xfId="0" applyNumberFormat="1" applyFont="1" applyBorder="1" applyAlignment="1">
      <alignment horizontal="center" wrapText="1"/>
    </xf>
    <xf numFmtId="43" fontId="12" fillId="0" borderId="17" xfId="0" applyNumberFormat="1" applyFont="1" applyBorder="1" applyAlignment="1">
      <alignment horizontal="center" wrapText="1"/>
    </xf>
    <xf numFmtId="0" fontId="12" fillId="0" borderId="15" xfId="0" applyFont="1" applyBorder="1" applyAlignment="1">
      <alignment horizontal="center"/>
    </xf>
    <xf numFmtId="0" fontId="12" fillId="0" borderId="17" xfId="0" applyFont="1" applyBorder="1" applyAlignment="1">
      <alignment horizontal="center" wrapText="1"/>
    </xf>
    <xf numFmtId="0" fontId="8" fillId="0" borderId="15" xfId="0" applyFont="1" applyBorder="1" applyAlignment="1">
      <alignment horizontal="left" vertical="center"/>
    </xf>
    <xf numFmtId="0" fontId="2" fillId="0" borderId="16" xfId="0" applyFont="1" applyBorder="1"/>
    <xf numFmtId="4" fontId="2" fillId="0" borderId="16" xfId="0" applyNumberFormat="1" applyFont="1" applyBorder="1" applyAlignment="1">
      <alignment horizontal="right"/>
    </xf>
    <xf numFmtId="0" fontId="2" fillId="0" borderId="15" xfId="0" applyFont="1" applyBorder="1"/>
    <xf numFmtId="0" fontId="8" fillId="2" borderId="20" xfId="0" applyFont="1" applyFill="1" applyBorder="1" applyAlignment="1">
      <alignment horizontal="left" vertical="center"/>
    </xf>
    <xf numFmtId="4" fontId="2" fillId="2" borderId="17" xfId="0" applyNumberFormat="1" applyFont="1" applyFill="1" applyBorder="1" applyAlignment="1">
      <alignment horizontal="right"/>
    </xf>
    <xf numFmtId="0" fontId="12" fillId="2" borderId="17" xfId="0" applyFont="1" applyFill="1" applyBorder="1"/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10" fillId="0" borderId="1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/>
    </xf>
    <xf numFmtId="0" fontId="6" fillId="2" borderId="20" xfId="0" applyFont="1" applyFill="1" applyBorder="1" applyAlignment="1">
      <alignment horizontal="left" vertical="center"/>
    </xf>
    <xf numFmtId="49" fontId="12" fillId="0" borderId="17" xfId="0" applyNumberFormat="1" applyFont="1" applyBorder="1"/>
    <xf numFmtId="0" fontId="12" fillId="0" borderId="21" xfId="0" applyFont="1" applyBorder="1" applyAlignment="1">
      <alignment horizontal="center" wrapText="1"/>
    </xf>
    <xf numFmtId="4" fontId="12" fillId="0" borderId="21" xfId="0" applyNumberFormat="1" applyFont="1" applyBorder="1" applyAlignment="1">
      <alignment horizontal="right" wrapText="1"/>
    </xf>
    <xf numFmtId="43" fontId="12" fillId="0" borderId="21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wrapText="1"/>
    </xf>
    <xf numFmtId="0" fontId="11" fillId="0" borderId="22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4" fontId="12" fillId="0" borderId="19" xfId="0" applyNumberFormat="1" applyFont="1" applyBorder="1" applyAlignment="1">
      <alignment horizontal="right" vertical="center" wrapText="1"/>
    </xf>
    <xf numFmtId="0" fontId="11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wrapText="1"/>
    </xf>
    <xf numFmtId="4" fontId="2" fillId="0" borderId="17" xfId="0" applyNumberFormat="1" applyFont="1" applyBorder="1" applyAlignment="1">
      <alignment horizontal="right"/>
    </xf>
    <xf numFmtId="43" fontId="11" fillId="0" borderId="17" xfId="0" applyNumberFormat="1" applyFont="1" applyBorder="1"/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3" fontId="11" fillId="0" borderId="0" xfId="0" applyNumberFormat="1" applyFont="1"/>
    <xf numFmtId="43" fontId="11" fillId="0" borderId="24" xfId="0" applyNumberFormat="1" applyFont="1" applyBorder="1"/>
    <xf numFmtId="0" fontId="13" fillId="0" borderId="0" xfId="0" applyFont="1" applyAlignment="1">
      <alignment vertical="center"/>
    </xf>
    <xf numFmtId="43" fontId="1" fillId="0" borderId="0" xfId="0" applyNumberFormat="1" applyFont="1" applyAlignment="1">
      <alignment horizontal="center"/>
    </xf>
    <xf numFmtId="0" fontId="6" fillId="0" borderId="15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10" fillId="0" borderId="0" xfId="0" applyFont="1" applyAlignment="1">
      <alignment horizontal="left"/>
    </xf>
    <xf numFmtId="0" fontId="2" fillId="0" borderId="17" xfId="0" applyFont="1" applyBorder="1" applyAlignment="1">
      <alignment vertical="center"/>
    </xf>
    <xf numFmtId="0" fontId="12" fillId="0" borderId="0" xfId="0" applyFont="1"/>
    <xf numFmtId="43" fontId="12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4" fontId="8" fillId="0" borderId="0" xfId="0" applyNumberFormat="1" applyFont="1" applyAlignment="1">
      <alignment horizontal="right" vertical="center" wrapText="1"/>
    </xf>
    <xf numFmtId="4" fontId="12" fillId="0" borderId="0" xfId="0" applyNumberFormat="1" applyFont="1" applyAlignment="1">
      <alignment horizontal="right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left"/>
    </xf>
    <xf numFmtId="4" fontId="16" fillId="0" borderId="0" xfId="0" applyNumberFormat="1" applyFont="1" applyAlignment="1">
      <alignment horizontal="right"/>
    </xf>
    <xf numFmtId="0" fontId="17" fillId="0" borderId="0" xfId="0" applyFont="1" applyAlignment="1">
      <alignment horizontal="left" vertical="center" wrapText="1"/>
    </xf>
    <xf numFmtId="0" fontId="18" fillId="0" borderId="0" xfId="0" applyFont="1"/>
    <xf numFmtId="0" fontId="17" fillId="0" borderId="0" xfId="0" applyFont="1" applyAlignment="1">
      <alignment wrapText="1"/>
    </xf>
    <xf numFmtId="0" fontId="19" fillId="0" borderId="0" xfId="0" applyFont="1"/>
    <xf numFmtId="43" fontId="1" fillId="0" borderId="25" xfId="0" applyNumberFormat="1" applyFont="1" applyBorder="1" applyAlignment="1">
      <alignment horizontal="center"/>
    </xf>
    <xf numFmtId="0" fontId="9" fillId="0" borderId="26" xfId="0" applyFont="1" applyBorder="1"/>
    <xf numFmtId="0" fontId="9" fillId="0" borderId="19" xfId="0" applyFont="1" applyBorder="1"/>
    <xf numFmtId="43" fontId="1" fillId="0" borderId="27" xfId="0" applyNumberFormat="1" applyFont="1" applyBorder="1" applyAlignment="1">
      <alignment horizontal="center"/>
    </xf>
    <xf numFmtId="0" fontId="9" fillId="0" borderId="28" xfId="0" applyFont="1" applyBorder="1"/>
    <xf numFmtId="0" fontId="9" fillId="0" borderId="2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2" fillId="0" borderId="16" xfId="0" applyFont="1" applyBorder="1" applyAlignment="1">
      <alignment horizontal="center" vertical="center" wrapText="1"/>
    </xf>
    <xf numFmtId="0" fontId="9" fillId="0" borderId="18" xfId="0" applyFont="1" applyBorder="1"/>
    <xf numFmtId="43" fontId="12" fillId="0" borderId="16" xfId="0" applyNumberFormat="1" applyFont="1" applyBorder="1" applyAlignment="1">
      <alignment horizontal="center" vertical="center" wrapText="1"/>
    </xf>
    <xf numFmtId="43" fontId="12" fillId="0" borderId="22" xfId="0" applyNumberFormat="1" applyFont="1" applyBorder="1" applyAlignment="1">
      <alignment horizontal="center" vertical="center" wrapText="1"/>
    </xf>
    <xf numFmtId="0" fontId="9" fillId="0" borderId="23" xfId="0" applyFont="1" applyBorder="1"/>
    <xf numFmtId="43" fontId="1" fillId="0" borderId="0" xfId="0" applyNumberFormat="1" applyFont="1" applyAlignment="1">
      <alignment horizontal="center"/>
    </xf>
    <xf numFmtId="0" fontId="9" fillId="0" borderId="15" xfId="0" applyFont="1" applyBorder="1"/>
    <xf numFmtId="43" fontId="12" fillId="0" borderId="18" xfId="0" applyNumberFormat="1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6" xfId="0" applyFont="1" applyBorder="1" applyAlignment="1">
      <alignment vertical="center"/>
    </xf>
    <xf numFmtId="43" fontId="7" fillId="0" borderId="2" xfId="0" applyNumberFormat="1" applyFont="1" applyBorder="1" applyAlignment="1">
      <alignment horizontal="center" vertical="center" wrapText="1"/>
    </xf>
    <xf numFmtId="0" fontId="9" fillId="0" borderId="8" xfId="0" applyFont="1" applyBorder="1"/>
    <xf numFmtId="0" fontId="8" fillId="0" borderId="2" xfId="0" applyFont="1" applyBorder="1" applyAlignment="1">
      <alignment horizontal="center" vertical="center" wrapText="1"/>
    </xf>
    <xf numFmtId="4" fontId="12" fillId="0" borderId="16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9" fillId="0" borderId="5" xfId="0" applyFont="1" applyBorder="1"/>
    <xf numFmtId="0" fontId="9" fillId="0" borderId="6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7" xfId="0" applyFont="1" applyBorder="1"/>
    <xf numFmtId="4" fontId="6" fillId="0" borderId="2" xfId="0" applyNumberFormat="1" applyFont="1" applyBorder="1" applyAlignment="1">
      <alignment horizontal="center" vertical="center" wrapText="1"/>
    </xf>
    <xf numFmtId="43" fontId="6" fillId="0" borderId="2" xfId="0" applyNumberFormat="1" applyFont="1" applyBorder="1" applyAlignment="1">
      <alignment horizontal="center" vertical="center" wrapText="1"/>
    </xf>
    <xf numFmtId="43" fontId="19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43" fontId="12" fillId="0" borderId="0" xfId="0" applyNumberFormat="1" applyFont="1" applyAlignment="1">
      <alignment horizontal="center"/>
    </xf>
    <xf numFmtId="0" fontId="12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2" fillId="0" borderId="0" xfId="0" applyFont="1"/>
    <xf numFmtId="0" fontId="12" fillId="0" borderId="25" xfId="0" applyFont="1" applyBorder="1" applyAlignment="1">
      <alignment horizontal="left" vertical="center" wrapText="1"/>
    </xf>
    <xf numFmtId="0" fontId="12" fillId="0" borderId="21" xfId="0" applyFont="1" applyBorder="1" applyAlignment="1">
      <alignment wrapText="1"/>
    </xf>
    <xf numFmtId="0" fontId="12" fillId="0" borderId="18" xfId="0" applyFont="1" applyBorder="1" applyAlignment="1">
      <alignment horizontal="center"/>
    </xf>
    <xf numFmtId="0" fontId="2" fillId="2" borderId="18" xfId="0" applyFont="1" applyFill="1" applyBorder="1"/>
    <xf numFmtId="4" fontId="2" fillId="2" borderId="18" xfId="0" applyNumberFormat="1" applyFont="1" applyFill="1" applyBorder="1" applyAlignment="1">
      <alignment horizontal="right"/>
    </xf>
    <xf numFmtId="0" fontId="2" fillId="2" borderId="20" xfId="0" applyFont="1" applyFill="1" applyBorder="1"/>
    <xf numFmtId="0" fontId="12" fillId="0" borderId="29" xfId="0" applyFont="1" applyBorder="1" applyAlignment="1">
      <alignment horizontal="center"/>
    </xf>
    <xf numFmtId="4" fontId="20" fillId="0" borderId="29" xfId="0" applyNumberFormat="1" applyFont="1" applyBorder="1"/>
    <xf numFmtId="0" fontId="2" fillId="0" borderId="2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02"/>
  <sheetViews>
    <sheetView workbookViewId="0">
      <pane ySplit="9" topLeftCell="A70" activePane="bottomLeft" state="frozen"/>
      <selection pane="bottomLeft" activeCell="B11" sqref="B11"/>
    </sheetView>
  </sheetViews>
  <sheetFormatPr defaultColWidth="12.625" defaultRowHeight="15" customHeight="1" x14ac:dyDescent="0.2"/>
  <cols>
    <col min="1" max="1" width="13.75" customWidth="1"/>
    <col min="2" max="2" width="57.125" customWidth="1"/>
    <col min="3" max="3" width="15" customWidth="1"/>
    <col min="4" max="4" width="10.125" customWidth="1"/>
    <col min="5" max="6" width="11.25" customWidth="1"/>
    <col min="7" max="7" width="26.125" customWidth="1"/>
    <col min="8" max="8" width="11.625" customWidth="1"/>
    <col min="9" max="13" width="7.625" customWidth="1"/>
    <col min="14" max="22" width="0.375" customWidth="1"/>
    <col min="23" max="23" width="22.625" customWidth="1"/>
    <col min="24" max="25" width="7.625" customWidth="1"/>
  </cols>
  <sheetData>
    <row r="1" spans="1:25" ht="15.75" x14ac:dyDescent="0.2">
      <c r="A1" s="13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"/>
      <c r="Y1" s="1"/>
    </row>
    <row r="2" spans="1:25" ht="14.25" x14ac:dyDescent="0.2">
      <c r="A2" s="138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"/>
      <c r="Y2" s="1"/>
    </row>
    <row r="3" spans="1:25" x14ac:dyDescent="0.25">
      <c r="A3" s="139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"/>
      <c r="Y3" s="1"/>
    </row>
    <row r="4" spans="1:25" x14ac:dyDescent="0.2">
      <c r="A4" s="2" t="s">
        <v>2</v>
      </c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"/>
      <c r="X4" s="1"/>
      <c r="Y4" s="1"/>
    </row>
    <row r="5" spans="1:25" x14ac:dyDescent="0.2">
      <c r="A5" s="5"/>
      <c r="B5" s="3"/>
      <c r="C5" s="1"/>
      <c r="D5" s="6"/>
      <c r="E5" s="7"/>
      <c r="F5" s="7"/>
      <c r="G5" s="8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">
      <c r="A6" s="2" t="s">
        <v>3</v>
      </c>
      <c r="B6" s="3"/>
      <c r="C6" s="1"/>
      <c r="D6" s="6"/>
      <c r="E6" s="7"/>
      <c r="F6" s="7"/>
      <c r="G6" s="8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">
      <c r="A7" s="5" t="s">
        <v>4</v>
      </c>
      <c r="B7" s="3"/>
      <c r="C7" s="1"/>
      <c r="D7" s="6"/>
      <c r="E7" s="7"/>
      <c r="F7" s="7"/>
      <c r="G7" s="8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2.5" customHeight="1" x14ac:dyDescent="0.2">
      <c r="A8" s="140" t="s">
        <v>5</v>
      </c>
      <c r="B8" s="133" t="s">
        <v>6</v>
      </c>
      <c r="C8" s="9" t="s">
        <v>7</v>
      </c>
      <c r="D8" s="142" t="s">
        <v>8</v>
      </c>
      <c r="E8" s="143" t="s">
        <v>9</v>
      </c>
      <c r="F8" s="129" t="s">
        <v>10</v>
      </c>
      <c r="G8" s="131" t="s">
        <v>11</v>
      </c>
      <c r="H8" s="133" t="s">
        <v>12</v>
      </c>
      <c r="I8" s="134" t="s">
        <v>13</v>
      </c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6"/>
      <c r="X8" s="10"/>
      <c r="Y8" s="10"/>
    </row>
    <row r="9" spans="1:25" ht="48.75" customHeight="1" x14ac:dyDescent="0.2">
      <c r="A9" s="141"/>
      <c r="B9" s="130"/>
      <c r="C9" s="11" t="s">
        <v>14</v>
      </c>
      <c r="D9" s="130"/>
      <c r="E9" s="130"/>
      <c r="F9" s="130"/>
      <c r="G9" s="130"/>
      <c r="H9" s="130"/>
      <c r="I9" s="12" t="s">
        <v>15</v>
      </c>
      <c r="J9" s="12" t="s">
        <v>16</v>
      </c>
      <c r="K9" s="12" t="s">
        <v>17</v>
      </c>
      <c r="L9" s="12" t="s">
        <v>18</v>
      </c>
      <c r="M9" s="12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12" t="s">
        <v>25</v>
      </c>
      <c r="T9" s="12" t="s">
        <v>26</v>
      </c>
      <c r="U9" s="12" t="s">
        <v>27</v>
      </c>
      <c r="V9" s="13" t="str">
        <f>$W$9</f>
        <v>REMARKS</v>
      </c>
      <c r="W9" s="13" t="s">
        <v>28</v>
      </c>
      <c r="X9" s="14"/>
      <c r="Y9" s="10"/>
    </row>
    <row r="10" spans="1:25" ht="14.25" x14ac:dyDescent="0.2">
      <c r="A10" s="15" t="s">
        <v>29</v>
      </c>
      <c r="B10" s="16" t="s">
        <v>30</v>
      </c>
      <c r="C10" s="17"/>
      <c r="D10" s="18"/>
      <c r="E10" s="19"/>
      <c r="F10" s="19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1"/>
      <c r="W10" s="22"/>
      <c r="X10" s="10"/>
      <c r="Y10" s="10"/>
    </row>
    <row r="11" spans="1:25" x14ac:dyDescent="0.2">
      <c r="A11" s="23"/>
      <c r="B11" s="24" t="s">
        <v>31</v>
      </c>
      <c r="C11" s="126" t="s">
        <v>32</v>
      </c>
      <c r="D11" s="26">
        <v>100</v>
      </c>
      <c r="E11" s="132">
        <f>SUM(F11:F14)</f>
        <v>7350</v>
      </c>
      <c r="F11" s="27">
        <f>30*100</f>
        <v>3000</v>
      </c>
      <c r="G11" s="126" t="s">
        <v>33</v>
      </c>
      <c r="H11" s="128" t="s">
        <v>34</v>
      </c>
      <c r="I11" s="28"/>
      <c r="J11" s="28"/>
      <c r="K11" s="29">
        <v>30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10"/>
      <c r="Y11" s="10"/>
    </row>
    <row r="12" spans="1:25" x14ac:dyDescent="0.2">
      <c r="A12" s="23"/>
      <c r="B12" s="24" t="s">
        <v>35</v>
      </c>
      <c r="C12" s="119"/>
      <c r="D12" s="31">
        <v>200</v>
      </c>
      <c r="E12" s="119"/>
      <c r="F12" s="27">
        <f>200*10</f>
        <v>2000</v>
      </c>
      <c r="G12" s="119"/>
      <c r="H12" s="119"/>
      <c r="I12" s="28"/>
      <c r="J12" s="28"/>
      <c r="K12" s="29">
        <v>10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10"/>
      <c r="Y12" s="10"/>
    </row>
    <row r="13" spans="1:25" x14ac:dyDescent="0.2">
      <c r="A13" s="23"/>
      <c r="B13" s="32" t="s">
        <v>36</v>
      </c>
      <c r="C13" s="119"/>
      <c r="D13" s="33">
        <v>35</v>
      </c>
      <c r="E13" s="119"/>
      <c r="F13" s="27">
        <f>35*50</f>
        <v>1750</v>
      </c>
      <c r="G13" s="119"/>
      <c r="H13" s="119"/>
      <c r="I13" s="28"/>
      <c r="J13" s="28"/>
      <c r="K13" s="29">
        <v>50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10"/>
      <c r="Y13" s="10"/>
    </row>
    <row r="14" spans="1:25" x14ac:dyDescent="0.2">
      <c r="A14" s="23"/>
      <c r="B14" s="34" t="s">
        <v>37</v>
      </c>
      <c r="C14" s="124"/>
      <c r="D14" s="33">
        <v>300</v>
      </c>
      <c r="E14" s="124"/>
      <c r="F14" s="27">
        <f>300*2</f>
        <v>600</v>
      </c>
      <c r="G14" s="124"/>
      <c r="H14" s="124"/>
      <c r="I14" s="28"/>
      <c r="J14" s="28"/>
      <c r="K14" s="29">
        <v>2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10"/>
      <c r="Y14" s="10"/>
    </row>
    <row r="15" spans="1:25" x14ac:dyDescent="0.2">
      <c r="A15" s="23"/>
      <c r="B15" s="34" t="s">
        <v>38</v>
      </c>
      <c r="C15" s="118" t="s">
        <v>32</v>
      </c>
      <c r="D15" s="33">
        <v>6000</v>
      </c>
      <c r="E15" s="120">
        <f>SUM(F15:F22)</f>
        <v>264000</v>
      </c>
      <c r="F15" s="37">
        <f t="shared" ref="F15:F18" si="0">6000*6</f>
        <v>36000</v>
      </c>
      <c r="G15" s="118" t="s">
        <v>33</v>
      </c>
      <c r="H15" s="118" t="s">
        <v>39</v>
      </c>
      <c r="I15" s="28"/>
      <c r="J15" s="28"/>
      <c r="K15" s="29">
        <v>6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10"/>
      <c r="Y15" s="10"/>
    </row>
    <row r="16" spans="1:25" x14ac:dyDescent="0.2">
      <c r="A16" s="23"/>
      <c r="B16" s="34" t="s">
        <v>40</v>
      </c>
      <c r="C16" s="119"/>
      <c r="D16" s="33">
        <v>6000</v>
      </c>
      <c r="E16" s="119"/>
      <c r="F16" s="37">
        <f t="shared" si="0"/>
        <v>36000</v>
      </c>
      <c r="G16" s="119"/>
      <c r="H16" s="119"/>
      <c r="I16" s="28"/>
      <c r="J16" s="28"/>
      <c r="K16" s="29">
        <v>6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10"/>
      <c r="Y16" s="10"/>
    </row>
    <row r="17" spans="1:25" x14ac:dyDescent="0.2">
      <c r="A17" s="23"/>
      <c r="B17" s="34" t="s">
        <v>41</v>
      </c>
      <c r="C17" s="119"/>
      <c r="D17" s="33">
        <v>6000</v>
      </c>
      <c r="E17" s="119"/>
      <c r="F17" s="37">
        <f t="shared" si="0"/>
        <v>36000</v>
      </c>
      <c r="G17" s="119"/>
      <c r="H17" s="119"/>
      <c r="I17" s="28"/>
      <c r="J17" s="28"/>
      <c r="K17" s="29">
        <v>6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10"/>
      <c r="Y17" s="10"/>
    </row>
    <row r="18" spans="1:25" x14ac:dyDescent="0.2">
      <c r="A18" s="23"/>
      <c r="B18" s="34" t="s">
        <v>42</v>
      </c>
      <c r="C18" s="119"/>
      <c r="D18" s="33">
        <v>6000</v>
      </c>
      <c r="E18" s="119"/>
      <c r="F18" s="37">
        <f t="shared" si="0"/>
        <v>36000</v>
      </c>
      <c r="G18" s="119"/>
      <c r="H18" s="119"/>
      <c r="I18" s="28"/>
      <c r="J18" s="28"/>
      <c r="K18" s="29">
        <v>6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10"/>
      <c r="Y18" s="10"/>
    </row>
    <row r="19" spans="1:25" x14ac:dyDescent="0.2">
      <c r="A19" s="23"/>
      <c r="B19" s="32" t="s">
        <v>43</v>
      </c>
      <c r="C19" s="119"/>
      <c r="D19" s="33">
        <v>6000</v>
      </c>
      <c r="E19" s="119"/>
      <c r="F19" s="37">
        <f t="shared" ref="F19:F22" si="1">6000*5</f>
        <v>30000</v>
      </c>
      <c r="G19" s="119"/>
      <c r="H19" s="119"/>
      <c r="I19" s="28"/>
      <c r="J19" s="28"/>
      <c r="K19" s="29">
        <v>5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10"/>
      <c r="Y19" s="10"/>
    </row>
    <row r="20" spans="1:25" x14ac:dyDescent="0.2">
      <c r="A20" s="23"/>
      <c r="B20" s="32" t="s">
        <v>44</v>
      </c>
      <c r="C20" s="119"/>
      <c r="D20" s="33">
        <v>6000</v>
      </c>
      <c r="E20" s="119"/>
      <c r="F20" s="37">
        <f t="shared" si="1"/>
        <v>30000</v>
      </c>
      <c r="G20" s="119"/>
      <c r="H20" s="119"/>
      <c r="I20" s="28"/>
      <c r="J20" s="28"/>
      <c r="K20" s="29">
        <v>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10"/>
      <c r="Y20" s="10"/>
    </row>
    <row r="21" spans="1:25" x14ac:dyDescent="0.2">
      <c r="A21" s="23"/>
      <c r="B21" s="32" t="s">
        <v>45</v>
      </c>
      <c r="C21" s="119"/>
      <c r="D21" s="33">
        <v>6000</v>
      </c>
      <c r="E21" s="119"/>
      <c r="F21" s="37">
        <f t="shared" si="1"/>
        <v>30000</v>
      </c>
      <c r="G21" s="119"/>
      <c r="H21" s="119"/>
      <c r="I21" s="28"/>
      <c r="J21" s="28"/>
      <c r="K21" s="29">
        <v>5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10"/>
      <c r="Y21" s="10"/>
    </row>
    <row r="22" spans="1:25" x14ac:dyDescent="0.2">
      <c r="A22" s="23"/>
      <c r="B22" s="32" t="s">
        <v>46</v>
      </c>
      <c r="C22" s="119"/>
      <c r="D22" s="33">
        <v>6000</v>
      </c>
      <c r="E22" s="124"/>
      <c r="F22" s="37">
        <f t="shared" si="1"/>
        <v>30000</v>
      </c>
      <c r="G22" s="119"/>
      <c r="H22" s="119"/>
      <c r="I22" s="28"/>
      <c r="J22" s="28"/>
      <c r="K22" s="29">
        <v>5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10"/>
      <c r="Y22" s="10"/>
    </row>
    <row r="23" spans="1:25" x14ac:dyDescent="0.2">
      <c r="A23" s="23"/>
      <c r="B23" s="32" t="s">
        <v>47</v>
      </c>
      <c r="C23" s="119"/>
      <c r="D23" s="33">
        <v>600</v>
      </c>
      <c r="E23" s="125">
        <f>SUM(F23:F27)</f>
        <v>6300</v>
      </c>
      <c r="F23" s="37">
        <f>600*2</f>
        <v>1200</v>
      </c>
      <c r="G23" s="119"/>
      <c r="H23" s="119"/>
      <c r="I23" s="28"/>
      <c r="J23" s="28"/>
      <c r="K23" s="29">
        <v>2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10"/>
      <c r="Y23" s="10"/>
    </row>
    <row r="24" spans="1:25" x14ac:dyDescent="0.2">
      <c r="A24" s="23"/>
      <c r="B24" s="32" t="s">
        <v>48</v>
      </c>
      <c r="C24" s="119"/>
      <c r="D24" s="33">
        <v>450</v>
      </c>
      <c r="E24" s="119"/>
      <c r="F24" s="37">
        <f t="shared" ref="F24:F26" si="2">450*2</f>
        <v>900</v>
      </c>
      <c r="G24" s="119"/>
      <c r="H24" s="119"/>
      <c r="I24" s="28"/>
      <c r="J24" s="28"/>
      <c r="K24" s="29">
        <v>2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0"/>
      <c r="Y24" s="10"/>
    </row>
    <row r="25" spans="1:25" x14ac:dyDescent="0.2">
      <c r="A25" s="23"/>
      <c r="B25" s="32" t="s">
        <v>49</v>
      </c>
      <c r="C25" s="119"/>
      <c r="D25" s="33">
        <v>450</v>
      </c>
      <c r="E25" s="119"/>
      <c r="F25" s="37">
        <f t="shared" si="2"/>
        <v>900</v>
      </c>
      <c r="G25" s="119"/>
      <c r="H25" s="119"/>
      <c r="I25" s="28"/>
      <c r="J25" s="28"/>
      <c r="K25" s="29">
        <v>2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10"/>
      <c r="Y25" s="10"/>
    </row>
    <row r="26" spans="1:25" x14ac:dyDescent="0.2">
      <c r="A26" s="23"/>
      <c r="B26" s="32" t="s">
        <v>50</v>
      </c>
      <c r="C26" s="119"/>
      <c r="D26" s="33">
        <v>450</v>
      </c>
      <c r="E26" s="119"/>
      <c r="F26" s="37">
        <f t="shared" si="2"/>
        <v>900</v>
      </c>
      <c r="G26" s="119"/>
      <c r="H26" s="119"/>
      <c r="I26" s="28"/>
      <c r="J26" s="28"/>
      <c r="K26" s="29">
        <v>2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10"/>
      <c r="Y26" s="10"/>
    </row>
    <row r="27" spans="1:25" x14ac:dyDescent="0.2">
      <c r="A27" s="23"/>
      <c r="B27" s="32" t="s">
        <v>51</v>
      </c>
      <c r="C27" s="119"/>
      <c r="D27" s="33">
        <v>800</v>
      </c>
      <c r="E27" s="119"/>
      <c r="F27" s="37">
        <f>800*3</f>
        <v>2400</v>
      </c>
      <c r="G27" s="124"/>
      <c r="H27" s="124"/>
      <c r="I27" s="28"/>
      <c r="J27" s="28"/>
      <c r="K27" s="29">
        <v>3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10"/>
      <c r="Y27" s="10"/>
    </row>
    <row r="28" spans="1:25" x14ac:dyDescent="0.2">
      <c r="A28" s="23"/>
      <c r="B28" s="32" t="s">
        <v>52</v>
      </c>
      <c r="C28" s="118" t="s">
        <v>32</v>
      </c>
      <c r="D28" s="33">
        <v>5000</v>
      </c>
      <c r="E28" s="120">
        <f>SUM(F28:F33)</f>
        <v>56500</v>
      </c>
      <c r="F28" s="36">
        <f>5000*3</f>
        <v>15000</v>
      </c>
      <c r="G28" s="126" t="s">
        <v>33</v>
      </c>
      <c r="H28" s="118" t="s">
        <v>39</v>
      </c>
      <c r="I28" s="28"/>
      <c r="J28" s="28"/>
      <c r="K28" s="29">
        <v>3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10"/>
      <c r="Y28" s="10"/>
    </row>
    <row r="29" spans="1:25" x14ac:dyDescent="0.2">
      <c r="A29" s="23"/>
      <c r="B29" s="32" t="s">
        <v>53</v>
      </c>
      <c r="C29" s="119"/>
      <c r="D29" s="33">
        <v>3500</v>
      </c>
      <c r="E29" s="119"/>
      <c r="F29" s="36">
        <f>3500*3</f>
        <v>10500</v>
      </c>
      <c r="G29" s="119"/>
      <c r="H29" s="119"/>
      <c r="I29" s="28"/>
      <c r="J29" s="28"/>
      <c r="K29" s="29">
        <v>3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10"/>
      <c r="Y29" s="10"/>
    </row>
    <row r="30" spans="1:25" x14ac:dyDescent="0.2">
      <c r="A30" s="23"/>
      <c r="B30" s="32" t="s">
        <v>54</v>
      </c>
      <c r="C30" s="119"/>
      <c r="D30" s="33">
        <v>600</v>
      </c>
      <c r="E30" s="119"/>
      <c r="F30" s="36">
        <f>600*5</f>
        <v>3000</v>
      </c>
      <c r="G30" s="119"/>
      <c r="H30" s="119"/>
      <c r="I30" s="28"/>
      <c r="J30" s="28"/>
      <c r="K30" s="29">
        <v>5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10"/>
      <c r="Y30" s="10"/>
    </row>
    <row r="31" spans="1:25" x14ac:dyDescent="0.2">
      <c r="A31" s="23"/>
      <c r="B31" s="32" t="s">
        <v>55</v>
      </c>
      <c r="C31" s="119"/>
      <c r="D31" s="33">
        <v>2000</v>
      </c>
      <c r="E31" s="119"/>
      <c r="F31" s="36">
        <f>2000*10</f>
        <v>20000</v>
      </c>
      <c r="G31" s="119"/>
      <c r="H31" s="119"/>
      <c r="I31" s="28"/>
      <c r="J31" s="28"/>
      <c r="K31" s="29">
        <v>10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10"/>
      <c r="Y31" s="10"/>
    </row>
    <row r="32" spans="1:25" ht="25.5" x14ac:dyDescent="0.2">
      <c r="A32" s="23"/>
      <c r="B32" s="38" t="s">
        <v>56</v>
      </c>
      <c r="C32" s="119"/>
      <c r="D32" s="33">
        <v>1000</v>
      </c>
      <c r="E32" s="119"/>
      <c r="F32" s="36">
        <f>1000*2</f>
        <v>2000</v>
      </c>
      <c r="G32" s="119"/>
      <c r="H32" s="119"/>
      <c r="I32" s="28"/>
      <c r="J32" s="28"/>
      <c r="K32" s="29">
        <v>2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10"/>
      <c r="Y32" s="10"/>
    </row>
    <row r="33" spans="1:25" ht="25.5" x14ac:dyDescent="0.2">
      <c r="A33" s="23"/>
      <c r="B33" s="38" t="s">
        <v>57</v>
      </c>
      <c r="C33" s="119"/>
      <c r="D33" s="33">
        <v>1500</v>
      </c>
      <c r="E33" s="119"/>
      <c r="F33" s="36">
        <f>1500*4</f>
        <v>6000</v>
      </c>
      <c r="G33" s="119"/>
      <c r="H33" s="119"/>
      <c r="I33" s="28"/>
      <c r="J33" s="28"/>
      <c r="K33" s="29">
        <v>4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10"/>
      <c r="Y33" s="10"/>
    </row>
    <row r="34" spans="1:25" x14ac:dyDescent="0.2">
      <c r="A34" s="23"/>
      <c r="B34" s="32" t="s">
        <v>58</v>
      </c>
      <c r="C34" s="118" t="s">
        <v>32</v>
      </c>
      <c r="D34" s="33">
        <v>1000</v>
      </c>
      <c r="E34" s="120">
        <f>SUM(F34:F38)</f>
        <v>47000</v>
      </c>
      <c r="F34" s="37">
        <f>1000*15</f>
        <v>15000</v>
      </c>
      <c r="G34" s="126" t="s">
        <v>33</v>
      </c>
      <c r="H34" s="119"/>
      <c r="I34" s="28"/>
      <c r="J34" s="28"/>
      <c r="K34" s="29">
        <v>15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10"/>
      <c r="Y34" s="10"/>
    </row>
    <row r="35" spans="1:25" x14ac:dyDescent="0.2">
      <c r="A35" s="23"/>
      <c r="B35" s="32" t="s">
        <v>59</v>
      </c>
      <c r="C35" s="119"/>
      <c r="D35" s="33">
        <v>1000</v>
      </c>
      <c r="E35" s="119"/>
      <c r="F35" s="37">
        <f>1000*10</f>
        <v>10000</v>
      </c>
      <c r="G35" s="119"/>
      <c r="H35" s="119"/>
      <c r="I35" s="28"/>
      <c r="J35" s="28"/>
      <c r="K35" s="29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10"/>
      <c r="Y35" s="10"/>
    </row>
    <row r="36" spans="1:25" x14ac:dyDescent="0.2">
      <c r="A36" s="23"/>
      <c r="B36" s="32" t="s">
        <v>60</v>
      </c>
      <c r="C36" s="119"/>
      <c r="D36" s="33">
        <v>1000</v>
      </c>
      <c r="E36" s="119"/>
      <c r="F36" s="37">
        <f>1000*10</f>
        <v>10000</v>
      </c>
      <c r="G36" s="119"/>
      <c r="H36" s="119"/>
      <c r="I36" s="28"/>
      <c r="J36" s="28"/>
      <c r="K36" s="29">
        <v>10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10"/>
      <c r="Y36" s="10"/>
    </row>
    <row r="37" spans="1:25" x14ac:dyDescent="0.2">
      <c r="A37" s="23"/>
      <c r="B37" s="32" t="s">
        <v>61</v>
      </c>
      <c r="C37" s="119"/>
      <c r="D37" s="33">
        <v>1000</v>
      </c>
      <c r="E37" s="119"/>
      <c r="F37" s="37">
        <f>1000*8</f>
        <v>8000</v>
      </c>
      <c r="G37" s="119"/>
      <c r="H37" s="119"/>
      <c r="I37" s="28"/>
      <c r="J37" s="28"/>
      <c r="K37" s="29">
        <v>8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10"/>
      <c r="Y37" s="10"/>
    </row>
    <row r="38" spans="1:25" x14ac:dyDescent="0.2">
      <c r="A38" s="23"/>
      <c r="B38" s="32" t="s">
        <v>62</v>
      </c>
      <c r="C38" s="119"/>
      <c r="D38" s="33">
        <v>1000</v>
      </c>
      <c r="E38" s="124"/>
      <c r="F38" s="37">
        <f>1000*4</f>
        <v>4000</v>
      </c>
      <c r="G38" s="124"/>
      <c r="H38" s="119"/>
      <c r="I38" s="28"/>
      <c r="J38" s="28"/>
      <c r="K38" s="29">
        <v>4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10"/>
      <c r="Y38" s="10" t="s">
        <v>63</v>
      </c>
    </row>
    <row r="39" spans="1:25" x14ac:dyDescent="0.2">
      <c r="A39" s="23"/>
      <c r="B39" s="32" t="s">
        <v>64</v>
      </c>
      <c r="C39" s="119"/>
      <c r="D39" s="33">
        <v>100</v>
      </c>
      <c r="E39" s="125">
        <f>SUM(F39:F58)</f>
        <v>28000</v>
      </c>
      <c r="F39" s="39">
        <f t="shared" ref="F39:F40" si="3">100*3</f>
        <v>300</v>
      </c>
      <c r="G39" s="126" t="s">
        <v>33</v>
      </c>
      <c r="H39" s="119"/>
      <c r="I39" s="28"/>
      <c r="J39" s="28"/>
      <c r="K39" s="29">
        <v>3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10"/>
      <c r="Y39" s="10"/>
    </row>
    <row r="40" spans="1:25" x14ac:dyDescent="0.2">
      <c r="A40" s="23"/>
      <c r="B40" s="32" t="s">
        <v>65</v>
      </c>
      <c r="C40" s="119"/>
      <c r="D40" s="40">
        <v>100</v>
      </c>
      <c r="E40" s="119"/>
      <c r="F40" s="39">
        <f t="shared" si="3"/>
        <v>300</v>
      </c>
      <c r="G40" s="119"/>
      <c r="H40" s="119"/>
      <c r="I40" s="28"/>
      <c r="J40" s="28"/>
      <c r="K40" s="29">
        <v>3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10"/>
      <c r="Y40" s="10"/>
    </row>
    <row r="41" spans="1:25" x14ac:dyDescent="0.2">
      <c r="A41" s="23"/>
      <c r="B41" s="32" t="s">
        <v>66</v>
      </c>
      <c r="C41" s="119"/>
      <c r="D41" s="41">
        <v>20</v>
      </c>
      <c r="E41" s="119"/>
      <c r="F41" s="39">
        <f>20*10</f>
        <v>200</v>
      </c>
      <c r="G41" s="119"/>
      <c r="H41" s="119"/>
      <c r="I41" s="28"/>
      <c r="J41" s="28"/>
      <c r="K41" s="29">
        <v>10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10"/>
      <c r="Y41" s="10"/>
    </row>
    <row r="42" spans="1:25" x14ac:dyDescent="0.2">
      <c r="A42" s="23"/>
      <c r="B42" s="32" t="s">
        <v>67</v>
      </c>
      <c r="C42" s="119"/>
      <c r="D42" s="41">
        <v>30</v>
      </c>
      <c r="E42" s="119"/>
      <c r="F42" s="39">
        <f>30*10</f>
        <v>300</v>
      </c>
      <c r="G42" s="119"/>
      <c r="H42" s="119"/>
      <c r="I42" s="28"/>
      <c r="J42" s="28"/>
      <c r="K42" s="29">
        <v>10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10"/>
      <c r="Y42" s="10"/>
    </row>
    <row r="43" spans="1:25" x14ac:dyDescent="0.2">
      <c r="A43" s="23"/>
      <c r="B43" s="32" t="s">
        <v>68</v>
      </c>
      <c r="C43" s="119"/>
      <c r="D43" s="41">
        <v>40</v>
      </c>
      <c r="E43" s="119"/>
      <c r="F43" s="39">
        <f>40*10</f>
        <v>400</v>
      </c>
      <c r="G43" s="119"/>
      <c r="H43" s="119"/>
      <c r="I43" s="28"/>
      <c r="J43" s="28"/>
      <c r="K43" s="29">
        <v>10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10"/>
      <c r="Y43" s="10"/>
    </row>
    <row r="44" spans="1:25" x14ac:dyDescent="0.2">
      <c r="A44" s="23"/>
      <c r="B44" s="32" t="s">
        <v>69</v>
      </c>
      <c r="C44" s="119"/>
      <c r="D44" s="41">
        <v>100</v>
      </c>
      <c r="E44" s="119"/>
      <c r="F44" s="39">
        <f>100*10</f>
        <v>1000</v>
      </c>
      <c r="G44" s="119"/>
      <c r="H44" s="119"/>
      <c r="I44" s="28"/>
      <c r="J44" s="28"/>
      <c r="K44" s="29">
        <v>10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10"/>
      <c r="Y44" s="10"/>
    </row>
    <row r="45" spans="1:25" x14ac:dyDescent="0.2">
      <c r="A45" s="23"/>
      <c r="B45" s="32" t="s">
        <v>70</v>
      </c>
      <c r="C45" s="119"/>
      <c r="D45" s="41">
        <v>200</v>
      </c>
      <c r="E45" s="119"/>
      <c r="F45" s="39">
        <f>200*25</f>
        <v>5000</v>
      </c>
      <c r="G45" s="119"/>
      <c r="H45" s="119"/>
      <c r="I45" s="28"/>
      <c r="J45" s="28"/>
      <c r="K45" s="29">
        <v>25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10"/>
      <c r="Y45" s="10"/>
    </row>
    <row r="46" spans="1:25" x14ac:dyDescent="0.2">
      <c r="A46" s="23"/>
      <c r="B46" s="32" t="s">
        <v>71</v>
      </c>
      <c r="C46" s="119"/>
      <c r="D46" s="41">
        <v>150</v>
      </c>
      <c r="E46" s="119"/>
      <c r="F46" s="39">
        <f>150*10</f>
        <v>1500</v>
      </c>
      <c r="G46" s="119"/>
      <c r="H46" s="119"/>
      <c r="I46" s="28"/>
      <c r="J46" s="28"/>
      <c r="K46" s="29">
        <v>10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10"/>
      <c r="Y46" s="10"/>
    </row>
    <row r="47" spans="1:25" x14ac:dyDescent="0.2">
      <c r="A47" s="23"/>
      <c r="B47" s="32" t="s">
        <v>72</v>
      </c>
      <c r="C47" s="119"/>
      <c r="D47" s="41">
        <v>50</v>
      </c>
      <c r="E47" s="119"/>
      <c r="F47" s="39">
        <f>50*30</f>
        <v>1500</v>
      </c>
      <c r="G47" s="119"/>
      <c r="H47" s="119"/>
      <c r="I47" s="28"/>
      <c r="J47" s="28"/>
      <c r="K47" s="29">
        <v>30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10"/>
      <c r="Y47" s="10"/>
    </row>
    <row r="48" spans="1:25" x14ac:dyDescent="0.2">
      <c r="A48" s="23"/>
      <c r="B48" s="32" t="s">
        <v>73</v>
      </c>
      <c r="C48" s="119"/>
      <c r="D48" s="41">
        <v>100</v>
      </c>
      <c r="E48" s="119"/>
      <c r="F48" s="39">
        <f>100*50</f>
        <v>5000</v>
      </c>
      <c r="G48" s="119"/>
      <c r="H48" s="119"/>
      <c r="I48" s="28"/>
      <c r="J48" s="28"/>
      <c r="K48" s="29">
        <v>50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10"/>
      <c r="Y48" s="10"/>
    </row>
    <row r="49" spans="1:25" x14ac:dyDescent="0.2">
      <c r="A49" s="23"/>
      <c r="B49" s="32" t="s">
        <v>74</v>
      </c>
      <c r="C49" s="119"/>
      <c r="D49" s="41">
        <v>50</v>
      </c>
      <c r="E49" s="119"/>
      <c r="F49" s="39">
        <f>50*20</f>
        <v>1000</v>
      </c>
      <c r="G49" s="119"/>
      <c r="H49" s="119"/>
      <c r="I49" s="28"/>
      <c r="J49" s="28"/>
      <c r="K49" s="29">
        <v>20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10"/>
      <c r="Y49" s="10"/>
    </row>
    <row r="50" spans="1:25" x14ac:dyDescent="0.2">
      <c r="A50" s="23"/>
      <c r="B50" s="32" t="s">
        <v>75</v>
      </c>
      <c r="C50" s="119"/>
      <c r="D50" s="41">
        <v>100</v>
      </c>
      <c r="E50" s="119"/>
      <c r="F50" s="39">
        <f>100*40</f>
        <v>4000</v>
      </c>
      <c r="G50" s="119"/>
      <c r="H50" s="119"/>
      <c r="I50" s="28"/>
      <c r="J50" s="28"/>
      <c r="K50" s="29">
        <v>40</v>
      </c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10"/>
      <c r="Y50" s="10"/>
    </row>
    <row r="51" spans="1:25" x14ac:dyDescent="0.2">
      <c r="A51" s="23"/>
      <c r="B51" s="32" t="s">
        <v>76</v>
      </c>
      <c r="C51" s="119"/>
      <c r="D51" s="41">
        <v>45</v>
      </c>
      <c r="E51" s="119"/>
      <c r="F51" s="39">
        <f>45*30</f>
        <v>1350</v>
      </c>
      <c r="G51" s="119"/>
      <c r="H51" s="119"/>
      <c r="I51" s="28"/>
      <c r="J51" s="28"/>
      <c r="K51" s="29">
        <v>30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10"/>
      <c r="Y51" s="10"/>
    </row>
    <row r="52" spans="1:25" x14ac:dyDescent="0.2">
      <c r="A52" s="23"/>
      <c r="B52" s="32" t="s">
        <v>77</v>
      </c>
      <c r="C52" s="119"/>
      <c r="D52" s="41">
        <v>50</v>
      </c>
      <c r="E52" s="119"/>
      <c r="F52" s="39">
        <f>50*30</f>
        <v>1500</v>
      </c>
      <c r="G52" s="119"/>
      <c r="H52" s="119"/>
      <c r="I52" s="28"/>
      <c r="J52" s="28"/>
      <c r="K52" s="29">
        <v>30</v>
      </c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10"/>
      <c r="Y52" s="10"/>
    </row>
    <row r="53" spans="1:25" x14ac:dyDescent="0.2">
      <c r="A53" s="23"/>
      <c r="B53" s="32" t="s">
        <v>78</v>
      </c>
      <c r="C53" s="119"/>
      <c r="D53" s="41">
        <v>80</v>
      </c>
      <c r="E53" s="119"/>
      <c r="F53" s="39">
        <f>80*10</f>
        <v>800</v>
      </c>
      <c r="G53" s="119"/>
      <c r="H53" s="119"/>
      <c r="I53" s="28"/>
      <c r="J53" s="28"/>
      <c r="K53" s="29">
        <v>10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10"/>
      <c r="Y53" s="10"/>
    </row>
    <row r="54" spans="1:25" x14ac:dyDescent="0.2">
      <c r="A54" s="23"/>
      <c r="B54" s="32" t="s">
        <v>79</v>
      </c>
      <c r="C54" s="119"/>
      <c r="D54" s="41">
        <v>200</v>
      </c>
      <c r="E54" s="119"/>
      <c r="F54" s="39">
        <f>200*2</f>
        <v>400</v>
      </c>
      <c r="G54" s="119"/>
      <c r="H54" s="119"/>
      <c r="I54" s="28"/>
      <c r="J54" s="28"/>
      <c r="K54" s="29">
        <v>2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10"/>
      <c r="Y54" s="10"/>
    </row>
    <row r="55" spans="1:25" ht="12.75" customHeight="1" x14ac:dyDescent="0.2">
      <c r="A55" s="23"/>
      <c r="B55" s="32" t="s">
        <v>80</v>
      </c>
      <c r="C55" s="119"/>
      <c r="D55" s="41">
        <v>70</v>
      </c>
      <c r="E55" s="119"/>
      <c r="F55" s="39">
        <f>70*20</f>
        <v>1400</v>
      </c>
      <c r="G55" s="119"/>
      <c r="H55" s="119"/>
      <c r="I55" s="28"/>
      <c r="J55" s="28"/>
      <c r="K55" s="29">
        <v>20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10"/>
      <c r="Y55" s="10"/>
    </row>
    <row r="56" spans="1:25" x14ac:dyDescent="0.2">
      <c r="A56" s="23"/>
      <c r="B56" s="32" t="s">
        <v>81</v>
      </c>
      <c r="C56" s="119"/>
      <c r="D56" s="41">
        <v>120</v>
      </c>
      <c r="E56" s="119"/>
      <c r="F56" s="39">
        <f>120*5</f>
        <v>600</v>
      </c>
      <c r="G56" s="119"/>
      <c r="H56" s="119"/>
      <c r="I56" s="28"/>
      <c r="J56" s="28"/>
      <c r="K56" s="29">
        <v>5</v>
      </c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10"/>
      <c r="Y56" s="10"/>
    </row>
    <row r="57" spans="1:25" x14ac:dyDescent="0.2">
      <c r="A57" s="23"/>
      <c r="B57" s="32" t="s">
        <v>82</v>
      </c>
      <c r="C57" s="119"/>
      <c r="D57" s="41">
        <v>70</v>
      </c>
      <c r="E57" s="119"/>
      <c r="F57" s="39">
        <f>70*20</f>
        <v>1400</v>
      </c>
      <c r="G57" s="119"/>
      <c r="H57" s="119"/>
      <c r="I57" s="28"/>
      <c r="J57" s="28"/>
      <c r="K57" s="29">
        <v>20</v>
      </c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10"/>
      <c r="Y57" s="10"/>
    </row>
    <row r="58" spans="1:25" x14ac:dyDescent="0.2">
      <c r="A58" s="23"/>
      <c r="B58" s="32" t="s">
        <v>83</v>
      </c>
      <c r="C58" s="124"/>
      <c r="D58" s="41">
        <v>50</v>
      </c>
      <c r="E58" s="124"/>
      <c r="F58" s="39">
        <f>50*1</f>
        <v>50</v>
      </c>
      <c r="G58" s="124"/>
      <c r="H58" s="119"/>
      <c r="I58" s="28"/>
      <c r="J58" s="28"/>
      <c r="K58" s="29">
        <v>1</v>
      </c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10"/>
      <c r="Y58" s="10"/>
    </row>
    <row r="59" spans="1:25" x14ac:dyDescent="0.2">
      <c r="A59" s="23"/>
      <c r="B59" s="32" t="s">
        <v>84</v>
      </c>
      <c r="C59" s="118" t="s">
        <v>32</v>
      </c>
      <c r="D59" s="33">
        <v>130</v>
      </c>
      <c r="E59" s="120">
        <f>SUM(F59:F61)</f>
        <v>10800</v>
      </c>
      <c r="F59" s="37">
        <f>130*10</f>
        <v>1300</v>
      </c>
      <c r="G59" s="127" t="s">
        <v>33</v>
      </c>
      <c r="H59" s="119"/>
      <c r="I59" s="28"/>
      <c r="J59" s="28"/>
      <c r="K59" s="29">
        <v>10</v>
      </c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10"/>
      <c r="Y59" s="10"/>
    </row>
    <row r="60" spans="1:25" x14ac:dyDescent="0.2">
      <c r="A60" s="23"/>
      <c r="B60" s="32" t="s">
        <v>85</v>
      </c>
      <c r="C60" s="119"/>
      <c r="D60" s="33">
        <v>150</v>
      </c>
      <c r="E60" s="119"/>
      <c r="F60" s="37">
        <f>150*10</f>
        <v>1500</v>
      </c>
      <c r="G60" s="119"/>
      <c r="H60" s="119"/>
      <c r="I60" s="28"/>
      <c r="J60" s="28"/>
      <c r="K60" s="29">
        <v>10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10"/>
      <c r="Y60" s="10"/>
    </row>
    <row r="61" spans="1:25" x14ac:dyDescent="0.2">
      <c r="A61" s="23"/>
      <c r="B61" s="32" t="s">
        <v>86</v>
      </c>
      <c r="C61" s="119"/>
      <c r="D61" s="33">
        <v>400</v>
      </c>
      <c r="E61" s="119"/>
      <c r="F61" s="37">
        <f>400*20</f>
        <v>8000</v>
      </c>
      <c r="G61" s="124"/>
      <c r="H61" s="124"/>
      <c r="I61" s="28"/>
      <c r="J61" s="28"/>
      <c r="K61" s="29">
        <v>20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10"/>
      <c r="Y61" s="10"/>
    </row>
    <row r="62" spans="1:25" ht="15.75" customHeight="1" x14ac:dyDescent="0.2">
      <c r="A62" s="43" t="s">
        <v>87</v>
      </c>
      <c r="B62" s="44" t="s">
        <v>88</v>
      </c>
      <c r="C62" s="45"/>
      <c r="D62" s="46"/>
      <c r="E62" s="45"/>
      <c r="F62" s="47"/>
      <c r="G62" s="48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10"/>
      <c r="Y62" s="10"/>
    </row>
    <row r="63" spans="1:25" ht="25.5" customHeight="1" x14ac:dyDescent="0.2">
      <c r="A63" s="43"/>
      <c r="B63" s="49" t="s">
        <v>89</v>
      </c>
      <c r="C63" s="50" t="s">
        <v>32</v>
      </c>
      <c r="D63" s="31">
        <v>40000</v>
      </c>
      <c r="E63" s="51">
        <f>F63</f>
        <v>40000</v>
      </c>
      <c r="F63" s="52">
        <v>40000</v>
      </c>
      <c r="G63" s="53" t="s">
        <v>33</v>
      </c>
      <c r="H63" s="54" t="s">
        <v>39</v>
      </c>
      <c r="I63" s="30">
        <v>1</v>
      </c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10"/>
      <c r="Y63" s="10"/>
    </row>
    <row r="64" spans="1:25" ht="15.75" customHeight="1" x14ac:dyDescent="0.2">
      <c r="A64" s="43"/>
      <c r="B64" s="55"/>
      <c r="C64" s="56"/>
      <c r="D64" s="57"/>
      <c r="E64" s="56"/>
      <c r="F64" s="30"/>
      <c r="G64" s="58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10"/>
      <c r="Y64" s="10"/>
    </row>
    <row r="65" spans="1:25" ht="15.75" customHeight="1" x14ac:dyDescent="0.2">
      <c r="A65" s="43" t="s">
        <v>90</v>
      </c>
      <c r="B65" s="59" t="s">
        <v>91</v>
      </c>
      <c r="C65" s="45"/>
      <c r="D65" s="46"/>
      <c r="E65" s="45"/>
      <c r="F65" s="47"/>
      <c r="G65" s="48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10"/>
      <c r="Y65" s="10"/>
    </row>
    <row r="66" spans="1:25" ht="15.75" customHeight="1" x14ac:dyDescent="0.2">
      <c r="A66" s="43"/>
      <c r="B66" s="24" t="s">
        <v>92</v>
      </c>
      <c r="C66" s="50" t="s">
        <v>32</v>
      </c>
      <c r="D66" s="31">
        <v>10000</v>
      </c>
      <c r="E66" s="36">
        <f>F66</f>
        <v>10000</v>
      </c>
      <c r="F66" s="37">
        <v>10000</v>
      </c>
      <c r="G66" s="29" t="s">
        <v>93</v>
      </c>
      <c r="H66" s="28" t="s">
        <v>34</v>
      </c>
      <c r="I66" s="30">
        <v>1</v>
      </c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10"/>
      <c r="Y66" s="10"/>
    </row>
    <row r="67" spans="1:25" ht="15.75" customHeight="1" x14ac:dyDescent="0.2">
      <c r="A67" s="43" t="s">
        <v>94</v>
      </c>
      <c r="B67" s="59" t="s">
        <v>95</v>
      </c>
      <c r="C67" s="47"/>
      <c r="D67" s="60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10"/>
      <c r="Y67" s="10"/>
    </row>
    <row r="68" spans="1:25" ht="15.75" customHeight="1" x14ac:dyDescent="0.2">
      <c r="A68" s="23"/>
      <c r="B68" s="24" t="s">
        <v>96</v>
      </c>
      <c r="C68" s="35" t="s">
        <v>32</v>
      </c>
      <c r="D68" s="33">
        <v>70000</v>
      </c>
      <c r="E68" s="36">
        <f>F68</f>
        <v>70000</v>
      </c>
      <c r="F68" s="36">
        <v>70000</v>
      </c>
      <c r="G68" s="29" t="s">
        <v>93</v>
      </c>
      <c r="H68" s="28" t="s">
        <v>34</v>
      </c>
      <c r="I68" s="28"/>
      <c r="J68" s="28"/>
      <c r="K68" s="29">
        <v>1</v>
      </c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10"/>
      <c r="Y68" s="10"/>
    </row>
    <row r="69" spans="1:25" ht="15.75" customHeight="1" x14ac:dyDescent="0.2">
      <c r="A69" s="43" t="s">
        <v>97</v>
      </c>
      <c r="B69" s="59" t="s">
        <v>98</v>
      </c>
      <c r="C69" s="47"/>
      <c r="D69" s="60"/>
      <c r="E69" s="47"/>
      <c r="F69" s="47"/>
      <c r="G69" s="47"/>
      <c r="H69" s="47"/>
      <c r="I69" s="47"/>
      <c r="J69" s="47"/>
      <c r="K69" s="61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10"/>
      <c r="Y69" s="10"/>
    </row>
    <row r="70" spans="1:25" ht="15.75" customHeight="1" x14ac:dyDescent="0.2">
      <c r="A70" s="23"/>
      <c r="B70" s="24" t="s">
        <v>99</v>
      </c>
      <c r="C70" s="35" t="s">
        <v>32</v>
      </c>
      <c r="D70" s="33">
        <v>50000</v>
      </c>
      <c r="E70" s="120">
        <f>SUM(F70:F72)</f>
        <v>90000</v>
      </c>
      <c r="F70" s="36">
        <v>50000</v>
      </c>
      <c r="G70" s="126" t="s">
        <v>93</v>
      </c>
      <c r="H70" s="126" t="s">
        <v>34</v>
      </c>
      <c r="I70" s="30"/>
      <c r="J70" s="30"/>
      <c r="K70" s="29">
        <v>1</v>
      </c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10"/>
      <c r="Y70" s="10"/>
    </row>
    <row r="71" spans="1:25" ht="15.75" customHeight="1" x14ac:dyDescent="0.2">
      <c r="A71" s="23"/>
      <c r="B71" s="24" t="s">
        <v>100</v>
      </c>
      <c r="C71" s="62" t="s">
        <v>32</v>
      </c>
      <c r="D71" s="33">
        <v>20000</v>
      </c>
      <c r="E71" s="119"/>
      <c r="F71" s="36">
        <v>20000</v>
      </c>
      <c r="G71" s="119"/>
      <c r="H71" s="119"/>
      <c r="I71" s="30"/>
      <c r="J71" s="30"/>
      <c r="K71" s="29">
        <v>1</v>
      </c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10"/>
      <c r="Y71" s="10"/>
    </row>
    <row r="72" spans="1:25" ht="15.75" customHeight="1" x14ac:dyDescent="0.2">
      <c r="A72" s="23"/>
      <c r="B72" s="24" t="s">
        <v>101</v>
      </c>
      <c r="C72" s="63" t="s">
        <v>32</v>
      </c>
      <c r="D72" s="31">
        <v>20000</v>
      </c>
      <c r="E72" s="119"/>
      <c r="F72" s="36">
        <v>20000</v>
      </c>
      <c r="G72" s="124"/>
      <c r="H72" s="124"/>
      <c r="I72" s="30"/>
      <c r="J72" s="30"/>
      <c r="K72" s="29">
        <v>1</v>
      </c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10"/>
      <c r="Y72" s="10"/>
    </row>
    <row r="73" spans="1:25" ht="15.75" customHeight="1" x14ac:dyDescent="0.2">
      <c r="A73" s="23"/>
      <c r="B73" s="59" t="s">
        <v>102</v>
      </c>
      <c r="C73" s="47"/>
      <c r="D73" s="60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10"/>
      <c r="Y73" s="10"/>
    </row>
    <row r="74" spans="1:25" ht="38.25" customHeight="1" x14ac:dyDescent="0.2">
      <c r="A74" s="23"/>
      <c r="B74" s="64" t="s">
        <v>103</v>
      </c>
      <c r="C74" s="35" t="s">
        <v>104</v>
      </c>
      <c r="D74" s="33">
        <v>30000</v>
      </c>
      <c r="E74" s="36">
        <f>F74</f>
        <v>30000</v>
      </c>
      <c r="F74" s="36">
        <v>30000</v>
      </c>
      <c r="G74" s="65" t="s">
        <v>33</v>
      </c>
      <c r="H74" s="66" t="s">
        <v>105</v>
      </c>
      <c r="I74" s="30"/>
      <c r="J74" s="30"/>
      <c r="K74" s="67">
        <v>1</v>
      </c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10"/>
      <c r="Y74" s="10"/>
    </row>
    <row r="75" spans="1:25" ht="15.75" customHeight="1" x14ac:dyDescent="0.2">
      <c r="A75" s="43" t="s">
        <v>106</v>
      </c>
      <c r="B75" s="68" t="s">
        <v>107</v>
      </c>
      <c r="C75" s="47"/>
      <c r="D75" s="60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10"/>
      <c r="Y75" s="10"/>
    </row>
    <row r="76" spans="1:25" ht="15.75" customHeight="1" x14ac:dyDescent="0.2">
      <c r="A76" s="23"/>
      <c r="B76" s="69" t="s">
        <v>108</v>
      </c>
      <c r="C76" s="70" t="s">
        <v>32</v>
      </c>
      <c r="D76" s="71">
        <v>1500</v>
      </c>
      <c r="E76" s="121">
        <f>SUM(F76:F79)</f>
        <v>58500</v>
      </c>
      <c r="F76" s="72">
        <v>1500</v>
      </c>
      <c r="G76" s="25" t="s">
        <v>109</v>
      </c>
      <c r="H76" s="118" t="s">
        <v>105</v>
      </c>
      <c r="I76" s="29">
        <v>1</v>
      </c>
      <c r="J76" s="28"/>
      <c r="K76" s="28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10"/>
      <c r="Y76" s="10"/>
    </row>
    <row r="77" spans="1:25" ht="15.75" customHeight="1" x14ac:dyDescent="0.2">
      <c r="A77" s="23"/>
      <c r="B77" s="32" t="s">
        <v>110</v>
      </c>
      <c r="C77" s="73" t="s">
        <v>32</v>
      </c>
      <c r="D77" s="41">
        <v>2000</v>
      </c>
      <c r="E77" s="122"/>
      <c r="F77" s="72">
        <v>2000</v>
      </c>
      <c r="G77" s="65" t="s">
        <v>109</v>
      </c>
      <c r="H77" s="119"/>
      <c r="I77" s="28"/>
      <c r="J77" s="29">
        <v>1</v>
      </c>
      <c r="K77" s="28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10"/>
      <c r="Y77" s="10"/>
    </row>
    <row r="78" spans="1:25" ht="15.75" customHeight="1" x14ac:dyDescent="0.2">
      <c r="A78" s="74"/>
      <c r="B78" s="24" t="s">
        <v>111</v>
      </c>
      <c r="C78" s="75" t="s">
        <v>32</v>
      </c>
      <c r="D78" s="76">
        <v>5000</v>
      </c>
      <c r="E78" s="122"/>
      <c r="F78" s="72">
        <v>5000</v>
      </c>
      <c r="G78" s="42" t="s">
        <v>93</v>
      </c>
      <c r="H78" s="119"/>
      <c r="I78" s="28"/>
      <c r="J78" s="28"/>
      <c r="K78" s="29">
        <v>1</v>
      </c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10"/>
      <c r="Y78" s="10"/>
    </row>
    <row r="79" spans="1:25" ht="15.75" customHeight="1" x14ac:dyDescent="0.2">
      <c r="A79" s="77"/>
      <c r="B79" s="78" t="s">
        <v>112</v>
      </c>
      <c r="C79" s="66" t="s">
        <v>32</v>
      </c>
      <c r="D79" s="40">
        <v>50000</v>
      </c>
      <c r="E79" s="112"/>
      <c r="F79" s="72">
        <v>50000</v>
      </c>
      <c r="G79" s="65" t="s">
        <v>109</v>
      </c>
      <c r="H79" s="124"/>
      <c r="I79" s="28"/>
      <c r="J79" s="28"/>
      <c r="K79" s="29">
        <v>10</v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10"/>
      <c r="Y79" s="10"/>
    </row>
    <row r="80" spans="1:25" ht="29.25" customHeight="1" x14ac:dyDescent="0.2">
      <c r="A80" s="79"/>
      <c r="B80" s="80" t="s">
        <v>113</v>
      </c>
      <c r="C80" s="66" t="s">
        <v>32</v>
      </c>
      <c r="D80" s="76">
        <v>5000</v>
      </c>
      <c r="E80" s="76">
        <v>5000</v>
      </c>
      <c r="F80" s="76">
        <v>5000</v>
      </c>
      <c r="G80" s="81"/>
      <c r="H80" s="81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1"/>
      <c r="Y80" s="1"/>
    </row>
    <row r="81" spans="1:25" ht="15.75" customHeight="1" x14ac:dyDescent="0.25">
      <c r="A81" s="79"/>
      <c r="B81" s="80"/>
      <c r="C81" s="30"/>
      <c r="D81" s="82"/>
      <c r="E81" s="83"/>
      <c r="F81" s="83"/>
      <c r="G81" s="81"/>
      <c r="H81" s="81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1"/>
      <c r="Y81" s="1"/>
    </row>
    <row r="82" spans="1:25" ht="15.75" customHeight="1" x14ac:dyDescent="0.25">
      <c r="A82" s="84"/>
      <c r="B82" s="85"/>
      <c r="C82" s="1"/>
      <c r="D82" s="6"/>
      <c r="E82" s="86"/>
      <c r="F82" s="86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84"/>
      <c r="B83" s="85"/>
      <c r="C83" s="1"/>
      <c r="D83" s="6"/>
      <c r="E83" s="87">
        <f>SUM(E10:E79)</f>
        <v>718450</v>
      </c>
      <c r="F83" s="86">
        <f>SUM(F7:F79)</f>
        <v>718450</v>
      </c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88"/>
      <c r="B84" s="3"/>
      <c r="C84" s="89"/>
      <c r="D84" s="89"/>
      <c r="E84" s="89"/>
      <c r="F84" s="89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88" t="s">
        <v>114</v>
      </c>
      <c r="B85" s="3"/>
      <c r="C85" s="123"/>
      <c r="D85" s="117"/>
      <c r="E85" s="117"/>
      <c r="F85" s="89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hidden="1" customHeight="1" x14ac:dyDescent="0.25">
      <c r="A86" s="90" t="s">
        <v>115</v>
      </c>
      <c r="B86" s="91"/>
      <c r="C86" s="110">
        <f>PRODUCT(C85,0.1)</f>
        <v>0.1</v>
      </c>
      <c r="D86" s="111"/>
      <c r="E86" s="112"/>
      <c r="F86" s="89"/>
      <c r="G86" s="8"/>
      <c r="H86" s="8"/>
      <c r="I86" s="153"/>
      <c r="J86" s="117"/>
      <c r="K86" s="153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92"/>
      <c r="W86" s="1"/>
      <c r="X86" s="1"/>
      <c r="Y86" s="1"/>
    </row>
    <row r="87" spans="1:25" ht="15.75" hidden="1" customHeight="1" x14ac:dyDescent="0.25">
      <c r="A87" s="79" t="s">
        <v>116</v>
      </c>
      <c r="B87" s="93"/>
      <c r="C87" s="113">
        <f>PRODUCT(C85,0.1)</f>
        <v>0.1</v>
      </c>
      <c r="D87" s="114"/>
      <c r="E87" s="115"/>
      <c r="F87" s="89"/>
      <c r="G87" s="8"/>
      <c r="H87" s="8"/>
      <c r="I87" s="94"/>
      <c r="J87" s="94"/>
      <c r="K87" s="149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95"/>
      <c r="W87" s="1"/>
      <c r="X87" s="1"/>
      <c r="Y87" s="1"/>
    </row>
    <row r="88" spans="1:25" ht="15.75" hidden="1" customHeight="1" x14ac:dyDescent="0.25">
      <c r="A88" s="79" t="s">
        <v>117</v>
      </c>
      <c r="B88" s="93"/>
      <c r="C88" s="113">
        <f>SUM(C85:E87)</f>
        <v>0.2</v>
      </c>
      <c r="D88" s="114"/>
      <c r="E88" s="115"/>
      <c r="F88" s="89"/>
      <c r="G88" s="8"/>
      <c r="H88" s="8"/>
      <c r="I88" s="94"/>
      <c r="J88" s="94"/>
      <c r="K88" s="149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95"/>
      <c r="W88" s="1"/>
      <c r="X88" s="1"/>
      <c r="Y88" s="1"/>
    </row>
    <row r="89" spans="1:25" ht="15.75" customHeight="1" x14ac:dyDescent="0.2">
      <c r="A89" s="96"/>
      <c r="B89" s="3"/>
      <c r="C89" s="1"/>
      <c r="D89" s="6"/>
      <c r="E89" s="7"/>
      <c r="F89" s="7"/>
      <c r="G89" s="8"/>
      <c r="H89" s="8"/>
      <c r="I89" s="94"/>
      <c r="J89" s="94"/>
      <c r="K89" s="149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95"/>
      <c r="W89" s="1"/>
      <c r="X89" s="1"/>
      <c r="Y89" s="1"/>
    </row>
    <row r="90" spans="1:25" ht="15.75" customHeight="1" x14ac:dyDescent="0.2">
      <c r="A90" s="97" t="s">
        <v>118</v>
      </c>
      <c r="B90" s="3"/>
      <c r="C90" s="1"/>
      <c r="D90" s="6"/>
      <c r="E90" s="7"/>
      <c r="F90" s="7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">
      <c r="A91" s="98"/>
      <c r="B91" s="3"/>
      <c r="C91" s="1"/>
      <c r="D91" s="6"/>
      <c r="E91" s="7"/>
      <c r="F91" s="7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">
      <c r="A92" s="99" t="s">
        <v>119</v>
      </c>
      <c r="B92" s="85"/>
      <c r="C92" s="116" t="s">
        <v>120</v>
      </c>
      <c r="D92" s="117"/>
      <c r="E92" s="117"/>
      <c r="F92" s="100"/>
      <c r="G92" s="94"/>
      <c r="H92" s="94"/>
      <c r="I92" s="1"/>
      <c r="J92" s="116" t="s">
        <v>121</v>
      </c>
      <c r="K92" s="117"/>
      <c r="L92" s="117"/>
      <c r="M92" s="117"/>
      <c r="N92" s="117"/>
      <c r="O92" s="117"/>
      <c r="P92" s="1"/>
      <c r="Q92" s="1"/>
      <c r="R92" s="116" t="s">
        <v>122</v>
      </c>
      <c r="S92" s="117"/>
      <c r="T92" s="117"/>
      <c r="U92" s="117"/>
      <c r="V92" s="1"/>
      <c r="W92" s="154"/>
      <c r="X92" s="117"/>
      <c r="Y92" s="94"/>
    </row>
    <row r="93" spans="1:25" ht="15.75" customHeight="1" x14ac:dyDescent="0.2">
      <c r="A93" s="99"/>
      <c r="B93" s="85"/>
      <c r="C93" s="100"/>
      <c r="D93" s="101"/>
      <c r="E93" s="100"/>
      <c r="F93" s="100"/>
      <c r="G93" s="94"/>
      <c r="H93" s="94"/>
      <c r="I93" s="1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94"/>
      <c r="Y93" s="94"/>
    </row>
    <row r="94" spans="1:25" ht="15.75" customHeight="1" x14ac:dyDescent="0.2">
      <c r="A94" s="85"/>
      <c r="B94" s="85"/>
      <c r="C94" s="94"/>
      <c r="D94" s="102"/>
      <c r="E94" s="103"/>
      <c r="F94" s="103"/>
      <c r="G94" s="94"/>
      <c r="H94" s="94"/>
      <c r="I94" s="1"/>
      <c r="J94" s="94"/>
      <c r="K94" s="103"/>
      <c r="L94" s="103"/>
      <c r="M94" s="103"/>
      <c r="N94" s="103"/>
      <c r="O94" s="103"/>
      <c r="P94" s="103"/>
      <c r="Q94" s="103"/>
      <c r="R94" s="94"/>
      <c r="S94" s="103"/>
      <c r="T94" s="94"/>
      <c r="U94" s="94"/>
      <c r="V94" s="94"/>
      <c r="W94" s="94"/>
      <c r="X94" s="94"/>
      <c r="Y94" s="94"/>
    </row>
    <row r="95" spans="1:25" ht="15.75" customHeight="1" x14ac:dyDescent="0.2">
      <c r="A95" s="145" t="s">
        <v>123</v>
      </c>
      <c r="B95" s="117"/>
      <c r="C95" s="146" t="s">
        <v>124</v>
      </c>
      <c r="D95" s="117"/>
      <c r="E95" s="117"/>
      <c r="F95" s="117"/>
      <c r="G95" s="117"/>
      <c r="H95" s="1"/>
      <c r="I95" s="1"/>
      <c r="J95" s="146" t="s">
        <v>125</v>
      </c>
      <c r="K95" s="117"/>
      <c r="L95" s="117"/>
      <c r="M95" s="117"/>
      <c r="N95" s="117"/>
      <c r="O95" s="117"/>
      <c r="P95" s="1"/>
      <c r="Q95" s="1"/>
      <c r="R95" s="146" t="s">
        <v>126</v>
      </c>
      <c r="S95" s="117"/>
      <c r="T95" s="117"/>
      <c r="U95" s="117"/>
      <c r="V95" s="1"/>
      <c r="W95" s="154"/>
      <c r="X95" s="117"/>
      <c r="Y95" s="117"/>
    </row>
    <row r="96" spans="1:25" ht="15" customHeight="1" x14ac:dyDescent="0.2">
      <c r="A96" s="147" t="s">
        <v>127</v>
      </c>
      <c r="B96" s="117"/>
      <c r="C96" s="148" t="s">
        <v>128</v>
      </c>
      <c r="D96" s="117"/>
      <c r="E96" s="117"/>
      <c r="F96" s="117"/>
      <c r="G96" s="117"/>
      <c r="H96" s="104"/>
      <c r="I96" s="1"/>
      <c r="J96" s="150" t="s">
        <v>129</v>
      </c>
      <c r="K96" s="117"/>
      <c r="L96" s="117"/>
      <c r="M96" s="117"/>
      <c r="N96" s="117"/>
      <c r="O96" s="117"/>
      <c r="P96" s="1"/>
      <c r="Q96" s="1"/>
      <c r="R96" s="148" t="s">
        <v>130</v>
      </c>
      <c r="S96" s="117"/>
      <c r="T96" s="117"/>
      <c r="U96" s="117"/>
      <c r="V96" s="1"/>
      <c r="W96" s="1"/>
      <c r="X96" s="94"/>
      <c r="Y96" s="94"/>
    </row>
    <row r="97" spans="1:25" ht="15.75" customHeight="1" x14ac:dyDescent="0.2">
      <c r="A97" s="1"/>
      <c r="B97" s="1"/>
      <c r="C97" s="1"/>
      <c r="D97" s="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">
      <c r="A98" s="1" t="s">
        <v>131</v>
      </c>
      <c r="B98" s="1"/>
      <c r="C98" s="1" t="s">
        <v>131</v>
      </c>
      <c r="D98" s="6"/>
      <c r="E98" s="1"/>
      <c r="F98" s="1"/>
      <c r="G98" s="1"/>
      <c r="H98" s="1"/>
      <c r="I98" s="1"/>
      <c r="J98" s="1" t="s">
        <v>131</v>
      </c>
      <c r="K98" s="1"/>
      <c r="L98" s="1"/>
      <c r="M98" s="1"/>
      <c r="N98" s="1"/>
      <c r="O98" s="1"/>
      <c r="P98" s="1"/>
      <c r="Q98" s="1"/>
      <c r="R98" s="1" t="s">
        <v>131</v>
      </c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D99" s="105"/>
      <c r="I99" s="151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</row>
    <row r="100" spans="1:25" ht="15.75" customHeight="1" x14ac:dyDescent="0.25">
      <c r="D100" s="105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</row>
    <row r="101" spans="1:25" ht="15.75" customHeight="1" x14ac:dyDescent="0.25">
      <c r="D101" s="105"/>
      <c r="I101" s="107"/>
      <c r="J101" s="108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</row>
    <row r="102" spans="1:25" ht="15.75" customHeight="1" x14ac:dyDescent="0.25">
      <c r="D102" s="105"/>
      <c r="I102" s="152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</row>
    <row r="103" spans="1:25" ht="15.75" customHeight="1" x14ac:dyDescent="0.25">
      <c r="D103" s="105"/>
      <c r="I103" s="144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</row>
    <row r="104" spans="1:25" ht="15.75" customHeight="1" x14ac:dyDescent="0.25">
      <c r="D104" s="105"/>
    </row>
    <row r="105" spans="1:25" ht="15.75" customHeight="1" x14ac:dyDescent="0.25">
      <c r="D105" s="105"/>
    </row>
    <row r="106" spans="1:25" ht="15.75" customHeight="1" x14ac:dyDescent="0.25">
      <c r="D106" s="105"/>
    </row>
    <row r="107" spans="1:25" ht="15.75" customHeight="1" x14ac:dyDescent="0.25">
      <c r="D107" s="105"/>
    </row>
    <row r="108" spans="1:25" ht="15.75" customHeight="1" x14ac:dyDescent="0.25">
      <c r="D108" s="105"/>
    </row>
    <row r="109" spans="1:25" ht="15.75" customHeight="1" x14ac:dyDescent="0.25">
      <c r="D109" s="105"/>
    </row>
    <row r="110" spans="1:25" ht="15.75" customHeight="1" x14ac:dyDescent="0.25">
      <c r="D110" s="105"/>
    </row>
    <row r="111" spans="1:25" ht="15.75" customHeight="1" x14ac:dyDescent="0.25">
      <c r="D111" s="105"/>
    </row>
    <row r="112" spans="1:25" ht="15.75" customHeight="1" x14ac:dyDescent="0.25">
      <c r="D112" s="105"/>
    </row>
    <row r="113" spans="4:4" ht="15.75" customHeight="1" x14ac:dyDescent="0.25">
      <c r="D113" s="105"/>
    </row>
    <row r="114" spans="4:4" ht="15.75" customHeight="1" x14ac:dyDescent="0.25">
      <c r="D114" s="105"/>
    </row>
    <row r="115" spans="4:4" ht="15.75" customHeight="1" x14ac:dyDescent="0.25">
      <c r="D115" s="105"/>
    </row>
    <row r="116" spans="4:4" ht="15.75" customHeight="1" x14ac:dyDescent="0.25">
      <c r="D116" s="105"/>
    </row>
    <row r="117" spans="4:4" ht="15.75" customHeight="1" x14ac:dyDescent="0.25">
      <c r="D117" s="105"/>
    </row>
    <row r="118" spans="4:4" ht="15.75" customHeight="1" x14ac:dyDescent="0.25">
      <c r="D118" s="105"/>
    </row>
    <row r="119" spans="4:4" ht="15.75" customHeight="1" x14ac:dyDescent="0.25">
      <c r="D119" s="105"/>
    </row>
    <row r="120" spans="4:4" ht="15.75" customHeight="1" x14ac:dyDescent="0.25">
      <c r="D120" s="105"/>
    </row>
    <row r="121" spans="4:4" ht="15.75" customHeight="1" x14ac:dyDescent="0.25">
      <c r="D121" s="105"/>
    </row>
    <row r="122" spans="4:4" ht="15.75" customHeight="1" x14ac:dyDescent="0.25">
      <c r="D122" s="105"/>
    </row>
    <row r="123" spans="4:4" ht="15.75" customHeight="1" x14ac:dyDescent="0.25">
      <c r="D123" s="105"/>
    </row>
    <row r="124" spans="4:4" ht="15.75" customHeight="1" x14ac:dyDescent="0.25">
      <c r="D124" s="105"/>
    </row>
    <row r="125" spans="4:4" ht="15.75" customHeight="1" x14ac:dyDescent="0.25">
      <c r="D125" s="105"/>
    </row>
    <row r="126" spans="4:4" ht="15.75" customHeight="1" x14ac:dyDescent="0.25">
      <c r="D126" s="105"/>
    </row>
    <row r="127" spans="4:4" ht="15.75" customHeight="1" x14ac:dyDescent="0.25">
      <c r="D127" s="105"/>
    </row>
    <row r="128" spans="4:4" ht="15.75" customHeight="1" x14ac:dyDescent="0.25">
      <c r="D128" s="105"/>
    </row>
    <row r="129" spans="4:4" ht="15.75" customHeight="1" x14ac:dyDescent="0.25">
      <c r="D129" s="105"/>
    </row>
    <row r="130" spans="4:4" ht="15.75" customHeight="1" x14ac:dyDescent="0.25">
      <c r="D130" s="105"/>
    </row>
    <row r="131" spans="4:4" ht="15.75" customHeight="1" x14ac:dyDescent="0.25">
      <c r="D131" s="105"/>
    </row>
    <row r="132" spans="4:4" ht="15.75" customHeight="1" x14ac:dyDescent="0.25">
      <c r="D132" s="105"/>
    </row>
    <row r="133" spans="4:4" ht="15.75" customHeight="1" x14ac:dyDescent="0.25">
      <c r="D133" s="105"/>
    </row>
    <row r="134" spans="4:4" ht="15.75" customHeight="1" x14ac:dyDescent="0.25">
      <c r="D134" s="105"/>
    </row>
    <row r="135" spans="4:4" ht="15.75" customHeight="1" x14ac:dyDescent="0.25">
      <c r="D135" s="105"/>
    </row>
    <row r="136" spans="4:4" ht="15.75" customHeight="1" x14ac:dyDescent="0.25">
      <c r="D136" s="105"/>
    </row>
    <row r="137" spans="4:4" ht="15.75" customHeight="1" x14ac:dyDescent="0.25">
      <c r="D137" s="105"/>
    </row>
    <row r="138" spans="4:4" ht="15.75" customHeight="1" x14ac:dyDescent="0.25">
      <c r="D138" s="105"/>
    </row>
    <row r="139" spans="4:4" ht="15.75" customHeight="1" x14ac:dyDescent="0.25">
      <c r="D139" s="105"/>
    </row>
    <row r="140" spans="4:4" ht="15.75" customHeight="1" x14ac:dyDescent="0.25">
      <c r="D140" s="105"/>
    </row>
    <row r="141" spans="4:4" ht="15.75" customHeight="1" x14ac:dyDescent="0.25">
      <c r="D141" s="105"/>
    </row>
    <row r="142" spans="4:4" ht="15.75" customHeight="1" x14ac:dyDescent="0.25">
      <c r="D142" s="105"/>
    </row>
    <row r="143" spans="4:4" ht="15.75" customHeight="1" x14ac:dyDescent="0.25">
      <c r="D143" s="105"/>
    </row>
    <row r="144" spans="4:4" ht="15.75" customHeight="1" x14ac:dyDescent="0.25">
      <c r="D144" s="105"/>
    </row>
    <row r="145" spans="4:4" ht="15.75" customHeight="1" x14ac:dyDescent="0.25">
      <c r="D145" s="105"/>
    </row>
    <row r="146" spans="4:4" ht="15.75" customHeight="1" x14ac:dyDescent="0.25">
      <c r="D146" s="105"/>
    </row>
    <row r="147" spans="4:4" ht="15.75" customHeight="1" x14ac:dyDescent="0.25">
      <c r="D147" s="105"/>
    </row>
    <row r="148" spans="4:4" ht="15.75" customHeight="1" x14ac:dyDescent="0.25">
      <c r="D148" s="105"/>
    </row>
    <row r="149" spans="4:4" ht="15.75" customHeight="1" x14ac:dyDescent="0.25">
      <c r="D149" s="105"/>
    </row>
    <row r="150" spans="4:4" ht="15.75" customHeight="1" x14ac:dyDescent="0.25">
      <c r="D150" s="105"/>
    </row>
    <row r="151" spans="4:4" ht="15.75" customHeight="1" x14ac:dyDescent="0.25">
      <c r="D151" s="105"/>
    </row>
    <row r="152" spans="4:4" ht="15.75" customHeight="1" x14ac:dyDescent="0.25">
      <c r="D152" s="105"/>
    </row>
    <row r="153" spans="4:4" ht="15.75" customHeight="1" x14ac:dyDescent="0.25">
      <c r="D153" s="105"/>
    </row>
    <row r="154" spans="4:4" ht="15.75" customHeight="1" x14ac:dyDescent="0.25">
      <c r="D154" s="105"/>
    </row>
    <row r="155" spans="4:4" ht="15.75" customHeight="1" x14ac:dyDescent="0.25">
      <c r="D155" s="105"/>
    </row>
    <row r="156" spans="4:4" ht="15.75" customHeight="1" x14ac:dyDescent="0.25">
      <c r="D156" s="105"/>
    </row>
    <row r="157" spans="4:4" ht="15.75" customHeight="1" x14ac:dyDescent="0.25">
      <c r="D157" s="105"/>
    </row>
    <row r="158" spans="4:4" ht="15.75" customHeight="1" x14ac:dyDescent="0.25">
      <c r="D158" s="105"/>
    </row>
    <row r="159" spans="4:4" ht="15.75" customHeight="1" x14ac:dyDescent="0.25">
      <c r="D159" s="105"/>
    </row>
    <row r="160" spans="4:4" ht="15.75" customHeight="1" x14ac:dyDescent="0.25">
      <c r="D160" s="105"/>
    </row>
    <row r="161" spans="4:4" ht="15.75" customHeight="1" x14ac:dyDescent="0.25">
      <c r="D161" s="105"/>
    </row>
    <row r="162" spans="4:4" ht="15.75" customHeight="1" x14ac:dyDescent="0.25">
      <c r="D162" s="105"/>
    </row>
    <row r="163" spans="4:4" ht="15.75" customHeight="1" x14ac:dyDescent="0.25">
      <c r="D163" s="105"/>
    </row>
    <row r="164" spans="4:4" ht="15.75" customHeight="1" x14ac:dyDescent="0.25">
      <c r="D164" s="105"/>
    </row>
    <row r="165" spans="4:4" ht="15.75" customHeight="1" x14ac:dyDescent="0.25">
      <c r="D165" s="105"/>
    </row>
    <row r="166" spans="4:4" ht="15.75" customHeight="1" x14ac:dyDescent="0.25">
      <c r="D166" s="105"/>
    </row>
    <row r="167" spans="4:4" ht="15.75" customHeight="1" x14ac:dyDescent="0.25">
      <c r="D167" s="105"/>
    </row>
    <row r="168" spans="4:4" ht="15.75" customHeight="1" x14ac:dyDescent="0.25">
      <c r="D168" s="105"/>
    </row>
    <row r="169" spans="4:4" ht="15.75" customHeight="1" x14ac:dyDescent="0.25">
      <c r="D169" s="105"/>
    </row>
    <row r="170" spans="4:4" ht="15.75" customHeight="1" x14ac:dyDescent="0.25">
      <c r="D170" s="105"/>
    </row>
    <row r="171" spans="4:4" ht="15.75" customHeight="1" x14ac:dyDescent="0.25">
      <c r="D171" s="105"/>
    </row>
    <row r="172" spans="4:4" ht="15.75" customHeight="1" x14ac:dyDescent="0.25">
      <c r="D172" s="105"/>
    </row>
    <row r="173" spans="4:4" ht="15.75" customHeight="1" x14ac:dyDescent="0.25">
      <c r="D173" s="105"/>
    </row>
    <row r="174" spans="4:4" ht="15.75" customHeight="1" x14ac:dyDescent="0.25">
      <c r="D174" s="105"/>
    </row>
    <row r="175" spans="4:4" ht="15.75" customHeight="1" x14ac:dyDescent="0.25">
      <c r="D175" s="105"/>
    </row>
    <row r="176" spans="4:4" ht="15.75" customHeight="1" x14ac:dyDescent="0.25">
      <c r="D176" s="105"/>
    </row>
    <row r="177" spans="4:4" ht="15.75" customHeight="1" x14ac:dyDescent="0.25">
      <c r="D177" s="105"/>
    </row>
    <row r="178" spans="4:4" ht="15.75" customHeight="1" x14ac:dyDescent="0.25">
      <c r="D178" s="105"/>
    </row>
    <row r="179" spans="4:4" ht="15.75" customHeight="1" x14ac:dyDescent="0.25">
      <c r="D179" s="105"/>
    </row>
    <row r="180" spans="4:4" ht="15.75" customHeight="1" x14ac:dyDescent="0.25">
      <c r="D180" s="105"/>
    </row>
    <row r="181" spans="4:4" ht="15.75" customHeight="1" x14ac:dyDescent="0.25">
      <c r="D181" s="105"/>
    </row>
    <row r="182" spans="4:4" ht="15.75" customHeight="1" x14ac:dyDescent="0.25">
      <c r="D182" s="105"/>
    </row>
    <row r="183" spans="4:4" ht="15.75" customHeight="1" x14ac:dyDescent="0.25">
      <c r="D183" s="105"/>
    </row>
    <row r="184" spans="4:4" ht="15.75" customHeight="1" x14ac:dyDescent="0.25">
      <c r="D184" s="105"/>
    </row>
    <row r="185" spans="4:4" ht="15.75" customHeight="1" x14ac:dyDescent="0.25">
      <c r="D185" s="105"/>
    </row>
    <row r="186" spans="4:4" ht="15.75" customHeight="1" x14ac:dyDescent="0.25">
      <c r="D186" s="105"/>
    </row>
    <row r="187" spans="4:4" ht="15.75" customHeight="1" x14ac:dyDescent="0.25">
      <c r="D187" s="105"/>
    </row>
    <row r="188" spans="4:4" ht="15.75" customHeight="1" x14ac:dyDescent="0.25">
      <c r="D188" s="105"/>
    </row>
    <row r="189" spans="4:4" ht="15.75" customHeight="1" x14ac:dyDescent="0.25">
      <c r="D189" s="105"/>
    </row>
    <row r="190" spans="4:4" ht="15.75" customHeight="1" x14ac:dyDescent="0.25">
      <c r="D190" s="105"/>
    </row>
    <row r="191" spans="4:4" ht="15.75" customHeight="1" x14ac:dyDescent="0.25">
      <c r="D191" s="105"/>
    </row>
    <row r="192" spans="4:4" ht="15.75" customHeight="1" x14ac:dyDescent="0.25">
      <c r="D192" s="105"/>
    </row>
    <row r="193" spans="4:4" ht="15.75" customHeight="1" x14ac:dyDescent="0.25">
      <c r="D193" s="105"/>
    </row>
    <row r="194" spans="4:4" ht="15.75" customHeight="1" x14ac:dyDescent="0.25">
      <c r="D194" s="105"/>
    </row>
    <row r="195" spans="4:4" ht="15.75" customHeight="1" x14ac:dyDescent="0.25">
      <c r="D195" s="105"/>
    </row>
    <row r="196" spans="4:4" ht="15.75" customHeight="1" x14ac:dyDescent="0.25">
      <c r="D196" s="105"/>
    </row>
    <row r="197" spans="4:4" ht="15.75" customHeight="1" x14ac:dyDescent="0.25">
      <c r="D197" s="105"/>
    </row>
    <row r="198" spans="4:4" ht="15.75" customHeight="1" x14ac:dyDescent="0.25">
      <c r="D198" s="105"/>
    </row>
    <row r="199" spans="4:4" ht="15.75" customHeight="1" x14ac:dyDescent="0.25">
      <c r="D199" s="105"/>
    </row>
    <row r="200" spans="4:4" ht="15.75" customHeight="1" x14ac:dyDescent="0.25">
      <c r="D200" s="105"/>
    </row>
    <row r="201" spans="4:4" ht="15.75" customHeight="1" x14ac:dyDescent="0.25">
      <c r="D201" s="105"/>
    </row>
    <row r="202" spans="4:4" ht="15.75" customHeight="1" x14ac:dyDescent="0.25">
      <c r="D202" s="105"/>
    </row>
    <row r="203" spans="4:4" ht="15.75" customHeight="1" x14ac:dyDescent="0.25">
      <c r="D203" s="105"/>
    </row>
    <row r="204" spans="4:4" ht="15.75" customHeight="1" x14ac:dyDescent="0.25">
      <c r="D204" s="105"/>
    </row>
    <row r="205" spans="4:4" ht="15.75" customHeight="1" x14ac:dyDescent="0.25">
      <c r="D205" s="105"/>
    </row>
    <row r="206" spans="4:4" ht="15.75" customHeight="1" x14ac:dyDescent="0.25">
      <c r="D206" s="105"/>
    </row>
    <row r="207" spans="4:4" ht="15.75" customHeight="1" x14ac:dyDescent="0.25">
      <c r="D207" s="105"/>
    </row>
    <row r="208" spans="4:4" ht="15.75" customHeight="1" x14ac:dyDescent="0.25">
      <c r="D208" s="105"/>
    </row>
    <row r="209" spans="4:4" ht="15.75" customHeight="1" x14ac:dyDescent="0.25">
      <c r="D209" s="105"/>
    </row>
    <row r="210" spans="4:4" ht="15.75" customHeight="1" x14ac:dyDescent="0.25">
      <c r="D210" s="105"/>
    </row>
    <row r="211" spans="4:4" ht="15.75" customHeight="1" x14ac:dyDescent="0.25">
      <c r="D211" s="105"/>
    </row>
    <row r="212" spans="4:4" ht="15.75" customHeight="1" x14ac:dyDescent="0.25">
      <c r="D212" s="105"/>
    </row>
    <row r="213" spans="4:4" ht="15.75" customHeight="1" x14ac:dyDescent="0.25">
      <c r="D213" s="105"/>
    </row>
    <row r="214" spans="4:4" ht="15.75" customHeight="1" x14ac:dyDescent="0.25">
      <c r="D214" s="105"/>
    </row>
    <row r="215" spans="4:4" ht="15.75" customHeight="1" x14ac:dyDescent="0.25">
      <c r="D215" s="105"/>
    </row>
    <row r="216" spans="4:4" ht="15.75" customHeight="1" x14ac:dyDescent="0.25">
      <c r="D216" s="105"/>
    </row>
    <row r="217" spans="4:4" ht="15.75" customHeight="1" x14ac:dyDescent="0.25">
      <c r="D217" s="105"/>
    </row>
    <row r="218" spans="4:4" ht="15.75" customHeight="1" x14ac:dyDescent="0.25">
      <c r="D218" s="105"/>
    </row>
    <row r="219" spans="4:4" ht="15.75" customHeight="1" x14ac:dyDescent="0.25">
      <c r="D219" s="105"/>
    </row>
    <row r="220" spans="4:4" ht="15.75" customHeight="1" x14ac:dyDescent="0.25">
      <c r="D220" s="105"/>
    </row>
    <row r="221" spans="4:4" ht="15.75" customHeight="1" x14ac:dyDescent="0.25">
      <c r="D221" s="105"/>
    </row>
    <row r="222" spans="4:4" ht="15.75" customHeight="1" x14ac:dyDescent="0.25">
      <c r="D222" s="105"/>
    </row>
    <row r="223" spans="4:4" ht="15.75" customHeight="1" x14ac:dyDescent="0.25">
      <c r="D223" s="105"/>
    </row>
    <row r="224" spans="4:4" ht="15.75" customHeight="1" x14ac:dyDescent="0.25">
      <c r="D224" s="105"/>
    </row>
    <row r="225" spans="4:4" ht="15.75" customHeight="1" x14ac:dyDescent="0.25">
      <c r="D225" s="105"/>
    </row>
    <row r="226" spans="4:4" ht="15.75" customHeight="1" x14ac:dyDescent="0.25">
      <c r="D226" s="105"/>
    </row>
    <row r="227" spans="4:4" ht="15.75" customHeight="1" x14ac:dyDescent="0.25">
      <c r="D227" s="105"/>
    </row>
    <row r="228" spans="4:4" ht="15.75" customHeight="1" x14ac:dyDescent="0.25">
      <c r="D228" s="105"/>
    </row>
    <row r="229" spans="4:4" ht="15.75" customHeight="1" x14ac:dyDescent="0.25">
      <c r="D229" s="105"/>
    </row>
    <row r="230" spans="4:4" ht="15.75" customHeight="1" x14ac:dyDescent="0.25">
      <c r="D230" s="105"/>
    </row>
    <row r="231" spans="4:4" ht="15.75" customHeight="1" x14ac:dyDescent="0.25">
      <c r="D231" s="105"/>
    </row>
    <row r="232" spans="4:4" ht="15.75" customHeight="1" x14ac:dyDescent="0.25">
      <c r="D232" s="105"/>
    </row>
    <row r="233" spans="4:4" ht="15.75" customHeight="1" x14ac:dyDescent="0.25">
      <c r="D233" s="105"/>
    </row>
    <row r="234" spans="4:4" ht="15.75" customHeight="1" x14ac:dyDescent="0.25">
      <c r="D234" s="105"/>
    </row>
    <row r="235" spans="4:4" ht="15.75" customHeight="1" x14ac:dyDescent="0.25">
      <c r="D235" s="105"/>
    </row>
    <row r="236" spans="4:4" ht="15.75" customHeight="1" x14ac:dyDescent="0.25">
      <c r="D236" s="105"/>
    </row>
    <row r="237" spans="4:4" ht="15.75" customHeight="1" x14ac:dyDescent="0.25">
      <c r="D237" s="105"/>
    </row>
    <row r="238" spans="4:4" ht="15.75" customHeight="1" x14ac:dyDescent="0.25">
      <c r="D238" s="105"/>
    </row>
    <row r="239" spans="4:4" ht="15.75" customHeight="1" x14ac:dyDescent="0.25">
      <c r="D239" s="105"/>
    </row>
    <row r="240" spans="4:4" ht="15.75" customHeight="1" x14ac:dyDescent="0.25">
      <c r="D240" s="105"/>
    </row>
    <row r="241" spans="4:4" ht="15.75" customHeight="1" x14ac:dyDescent="0.25">
      <c r="D241" s="105"/>
    </row>
    <row r="242" spans="4:4" ht="15.75" customHeight="1" x14ac:dyDescent="0.25">
      <c r="D242" s="105"/>
    </row>
    <row r="243" spans="4:4" ht="15.75" customHeight="1" x14ac:dyDescent="0.25">
      <c r="D243" s="105"/>
    </row>
    <row r="244" spans="4:4" ht="15.75" customHeight="1" x14ac:dyDescent="0.25">
      <c r="D244" s="105"/>
    </row>
    <row r="245" spans="4:4" ht="15.75" customHeight="1" x14ac:dyDescent="0.25">
      <c r="D245" s="105"/>
    </row>
    <row r="246" spans="4:4" ht="15.75" customHeight="1" x14ac:dyDescent="0.25">
      <c r="D246" s="105"/>
    </row>
    <row r="247" spans="4:4" ht="15.75" customHeight="1" x14ac:dyDescent="0.25">
      <c r="D247" s="105"/>
    </row>
    <row r="248" spans="4:4" ht="15.75" customHeight="1" x14ac:dyDescent="0.25">
      <c r="D248" s="105"/>
    </row>
    <row r="249" spans="4:4" ht="15.75" customHeight="1" x14ac:dyDescent="0.25">
      <c r="D249" s="105"/>
    </row>
    <row r="250" spans="4:4" ht="15.75" customHeight="1" x14ac:dyDescent="0.25">
      <c r="D250" s="105"/>
    </row>
    <row r="251" spans="4:4" ht="15.75" customHeight="1" x14ac:dyDescent="0.25">
      <c r="D251" s="105"/>
    </row>
    <row r="252" spans="4:4" ht="15.75" customHeight="1" x14ac:dyDescent="0.25">
      <c r="D252" s="105"/>
    </row>
    <row r="253" spans="4:4" ht="15.75" customHeight="1" x14ac:dyDescent="0.25">
      <c r="D253" s="105"/>
    </row>
    <row r="254" spans="4:4" ht="15.75" customHeight="1" x14ac:dyDescent="0.25">
      <c r="D254" s="105"/>
    </row>
    <row r="255" spans="4:4" ht="15.75" customHeight="1" x14ac:dyDescent="0.25">
      <c r="D255" s="105"/>
    </row>
    <row r="256" spans="4:4" ht="15.75" customHeight="1" x14ac:dyDescent="0.25">
      <c r="D256" s="105"/>
    </row>
    <row r="257" spans="4:4" ht="15.75" customHeight="1" x14ac:dyDescent="0.25">
      <c r="D257" s="105"/>
    </row>
    <row r="258" spans="4:4" ht="15.75" customHeight="1" x14ac:dyDescent="0.25">
      <c r="D258" s="105"/>
    </row>
    <row r="259" spans="4:4" ht="15.75" customHeight="1" x14ac:dyDescent="0.25">
      <c r="D259" s="105"/>
    </row>
    <row r="260" spans="4:4" ht="15.75" customHeight="1" x14ac:dyDescent="0.25">
      <c r="D260" s="105"/>
    </row>
    <row r="261" spans="4:4" ht="15.75" customHeight="1" x14ac:dyDescent="0.25">
      <c r="D261" s="105"/>
    </row>
    <row r="262" spans="4:4" ht="15.75" customHeight="1" x14ac:dyDescent="0.25">
      <c r="D262" s="105"/>
    </row>
    <row r="263" spans="4:4" ht="15.75" customHeight="1" x14ac:dyDescent="0.25">
      <c r="D263" s="105"/>
    </row>
    <row r="264" spans="4:4" ht="15.75" customHeight="1" x14ac:dyDescent="0.25">
      <c r="D264" s="105"/>
    </row>
    <row r="265" spans="4:4" ht="15.75" customHeight="1" x14ac:dyDescent="0.25">
      <c r="D265" s="105"/>
    </row>
    <row r="266" spans="4:4" ht="15.75" customHeight="1" x14ac:dyDescent="0.25">
      <c r="D266" s="105"/>
    </row>
    <row r="267" spans="4:4" ht="15.75" customHeight="1" x14ac:dyDescent="0.25">
      <c r="D267" s="105"/>
    </row>
    <row r="268" spans="4:4" ht="15.75" customHeight="1" x14ac:dyDescent="0.25">
      <c r="D268" s="105"/>
    </row>
    <row r="269" spans="4:4" ht="15.75" customHeight="1" x14ac:dyDescent="0.25">
      <c r="D269" s="105"/>
    </row>
    <row r="270" spans="4:4" ht="15.75" customHeight="1" x14ac:dyDescent="0.25">
      <c r="D270" s="105"/>
    </row>
    <row r="271" spans="4:4" ht="15.75" customHeight="1" x14ac:dyDescent="0.25">
      <c r="D271" s="105"/>
    </row>
    <row r="272" spans="4:4" ht="15.75" customHeight="1" x14ac:dyDescent="0.25">
      <c r="D272" s="105"/>
    </row>
    <row r="273" spans="4:4" ht="15.75" customHeight="1" x14ac:dyDescent="0.25">
      <c r="D273" s="105"/>
    </row>
    <row r="274" spans="4:4" ht="15.75" customHeight="1" x14ac:dyDescent="0.25">
      <c r="D274" s="105"/>
    </row>
    <row r="275" spans="4:4" ht="15.75" customHeight="1" x14ac:dyDescent="0.25">
      <c r="D275" s="105"/>
    </row>
    <row r="276" spans="4:4" ht="15.75" customHeight="1" x14ac:dyDescent="0.25">
      <c r="D276" s="105"/>
    </row>
    <row r="277" spans="4:4" ht="15.75" customHeight="1" x14ac:dyDescent="0.25">
      <c r="D277" s="105"/>
    </row>
    <row r="278" spans="4:4" ht="15.75" customHeight="1" x14ac:dyDescent="0.25">
      <c r="D278" s="105"/>
    </row>
    <row r="279" spans="4:4" ht="15.75" customHeight="1" x14ac:dyDescent="0.25">
      <c r="D279" s="105"/>
    </row>
    <row r="280" spans="4:4" ht="15.75" customHeight="1" x14ac:dyDescent="0.25">
      <c r="D280" s="105"/>
    </row>
    <row r="281" spans="4:4" ht="15.75" customHeight="1" x14ac:dyDescent="0.25">
      <c r="D281" s="105"/>
    </row>
    <row r="282" spans="4:4" ht="15.75" customHeight="1" x14ac:dyDescent="0.25">
      <c r="D282" s="105"/>
    </row>
    <row r="283" spans="4:4" ht="15.75" customHeight="1" x14ac:dyDescent="0.25">
      <c r="D283" s="105"/>
    </row>
    <row r="284" spans="4:4" ht="15.75" customHeight="1" x14ac:dyDescent="0.25">
      <c r="D284" s="105"/>
    </row>
    <row r="285" spans="4:4" ht="15.75" customHeight="1" x14ac:dyDescent="0.25">
      <c r="D285" s="105"/>
    </row>
    <row r="286" spans="4:4" ht="15.75" customHeight="1" x14ac:dyDescent="0.25">
      <c r="D286" s="105"/>
    </row>
    <row r="287" spans="4:4" ht="15.75" customHeight="1" x14ac:dyDescent="0.25">
      <c r="D287" s="105"/>
    </row>
    <row r="288" spans="4:4" ht="15.75" customHeight="1" x14ac:dyDescent="0.25">
      <c r="D288" s="105"/>
    </row>
    <row r="289" spans="4:4" ht="15.75" customHeight="1" x14ac:dyDescent="0.25">
      <c r="D289" s="105"/>
    </row>
    <row r="290" spans="4:4" ht="15.75" customHeight="1" x14ac:dyDescent="0.25">
      <c r="D290" s="105"/>
    </row>
    <row r="291" spans="4:4" ht="15.75" customHeight="1" x14ac:dyDescent="0.25">
      <c r="D291" s="105"/>
    </row>
    <row r="292" spans="4:4" ht="15.75" customHeight="1" x14ac:dyDescent="0.25">
      <c r="D292" s="105"/>
    </row>
    <row r="293" spans="4:4" ht="15.75" customHeight="1" x14ac:dyDescent="0.25">
      <c r="D293" s="105"/>
    </row>
    <row r="294" spans="4:4" ht="15.75" customHeight="1" x14ac:dyDescent="0.25">
      <c r="D294" s="105"/>
    </row>
    <row r="295" spans="4:4" ht="15.75" customHeight="1" x14ac:dyDescent="0.25">
      <c r="D295" s="105"/>
    </row>
    <row r="296" spans="4:4" ht="15.75" customHeight="1" x14ac:dyDescent="0.25">
      <c r="D296" s="105"/>
    </row>
    <row r="297" spans="4:4" ht="15.75" customHeight="1" x14ac:dyDescent="0.25">
      <c r="D297" s="105"/>
    </row>
    <row r="298" spans="4:4" ht="15.75" customHeight="1" x14ac:dyDescent="0.25">
      <c r="D298" s="105"/>
    </row>
    <row r="299" spans="4:4" ht="15.75" customHeight="1" x14ac:dyDescent="0.2"/>
    <row r="300" spans="4:4" ht="15.75" customHeight="1" x14ac:dyDescent="0.2"/>
    <row r="301" spans="4:4" ht="15.75" customHeight="1" x14ac:dyDescent="0.2"/>
    <row r="302" spans="4:4" ht="15.75" customHeight="1" x14ac:dyDescent="0.2"/>
    <row r="303" spans="4:4" ht="15.75" customHeight="1" x14ac:dyDescent="0.2"/>
    <row r="304" spans="4: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62">
    <mergeCell ref="W92:X92"/>
    <mergeCell ref="W95:Y95"/>
    <mergeCell ref="G70:G72"/>
    <mergeCell ref="H70:H72"/>
    <mergeCell ref="H76:H79"/>
    <mergeCell ref="I86:J86"/>
    <mergeCell ref="K86:U86"/>
    <mergeCell ref="K87:U87"/>
    <mergeCell ref="K88:U88"/>
    <mergeCell ref="J96:O96"/>
    <mergeCell ref="I99:U99"/>
    <mergeCell ref="I102:U102"/>
    <mergeCell ref="K89:U89"/>
    <mergeCell ref="J92:O92"/>
    <mergeCell ref="R92:U92"/>
    <mergeCell ref="I103:U103"/>
    <mergeCell ref="A95:B95"/>
    <mergeCell ref="C95:G95"/>
    <mergeCell ref="J95:O95"/>
    <mergeCell ref="R95:U95"/>
    <mergeCell ref="A96:B96"/>
    <mergeCell ref="C96:G96"/>
    <mergeCell ref="R96:U96"/>
    <mergeCell ref="I8:W8"/>
    <mergeCell ref="A1:W1"/>
    <mergeCell ref="A2:W2"/>
    <mergeCell ref="A3:W3"/>
    <mergeCell ref="A8:A9"/>
    <mergeCell ref="B8:B9"/>
    <mergeCell ref="D8:D9"/>
    <mergeCell ref="E8:E9"/>
    <mergeCell ref="F8:F9"/>
    <mergeCell ref="G8:G9"/>
    <mergeCell ref="C11:C14"/>
    <mergeCell ref="E11:E14"/>
    <mergeCell ref="H8:H9"/>
    <mergeCell ref="H11:H14"/>
    <mergeCell ref="C15:C27"/>
    <mergeCell ref="H15:H27"/>
    <mergeCell ref="G11:G14"/>
    <mergeCell ref="G15:G27"/>
    <mergeCell ref="E15:E22"/>
    <mergeCell ref="E23:E27"/>
    <mergeCell ref="G28:G33"/>
    <mergeCell ref="H28:H61"/>
    <mergeCell ref="G34:G38"/>
    <mergeCell ref="G39:G58"/>
    <mergeCell ref="G59:G61"/>
    <mergeCell ref="C28:C33"/>
    <mergeCell ref="E28:E33"/>
    <mergeCell ref="C34:C58"/>
    <mergeCell ref="E34:E38"/>
    <mergeCell ref="E39:E58"/>
    <mergeCell ref="C86:E86"/>
    <mergeCell ref="C87:E87"/>
    <mergeCell ref="C88:E88"/>
    <mergeCell ref="C92:E92"/>
    <mergeCell ref="C59:C61"/>
    <mergeCell ref="E59:E61"/>
    <mergeCell ref="E70:E72"/>
    <mergeCell ref="E76:E79"/>
    <mergeCell ref="C85:E85"/>
  </mergeCells>
  <pageMargins left="0.7" right="0.7" top="0.75" bottom="0.7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1002"/>
  <sheetViews>
    <sheetView tabSelected="1" workbookViewId="0">
      <pane ySplit="9" topLeftCell="A58" activePane="bottomLeft" state="frozen"/>
      <selection pane="bottomLeft" activeCell="H8" sqref="H8:H9"/>
    </sheetView>
  </sheetViews>
  <sheetFormatPr defaultColWidth="12.625" defaultRowHeight="15" customHeight="1" x14ac:dyDescent="0.2"/>
  <cols>
    <col min="1" max="1" width="13.75" customWidth="1"/>
    <col min="2" max="2" width="57.125" customWidth="1"/>
    <col min="3" max="3" width="15" customWidth="1"/>
    <col min="4" max="4" width="10.125" customWidth="1"/>
    <col min="5" max="6" width="11.25" customWidth="1"/>
    <col min="7" max="7" width="26.125" customWidth="1"/>
    <col min="8" max="8" width="11.625" customWidth="1"/>
    <col min="9" max="13" width="7.625" customWidth="1"/>
    <col min="14" max="22" width="0.375" customWidth="1"/>
    <col min="23" max="23" width="22.625" customWidth="1"/>
    <col min="24" max="25" width="7.625" customWidth="1"/>
  </cols>
  <sheetData>
    <row r="1" spans="1:25" ht="15.75" x14ac:dyDescent="0.2">
      <c r="A1" s="13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"/>
      <c r="Y1" s="1"/>
    </row>
    <row r="2" spans="1:25" ht="14.25" x14ac:dyDescent="0.2">
      <c r="A2" s="138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"/>
      <c r="Y2" s="1"/>
    </row>
    <row r="3" spans="1:25" x14ac:dyDescent="0.25">
      <c r="A3" s="139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"/>
      <c r="Y3" s="1"/>
    </row>
    <row r="4" spans="1:25" x14ac:dyDescent="0.2">
      <c r="A4" s="2" t="s">
        <v>2</v>
      </c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"/>
      <c r="X4" s="1"/>
      <c r="Y4" s="1"/>
    </row>
    <row r="5" spans="1:25" x14ac:dyDescent="0.2">
      <c r="A5" s="5"/>
      <c r="B5" s="3"/>
      <c r="C5" s="1"/>
      <c r="D5" s="6"/>
      <c r="E5" s="7"/>
      <c r="F5" s="7"/>
      <c r="G5" s="8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">
      <c r="A6" s="2" t="s">
        <v>3</v>
      </c>
      <c r="B6" s="3"/>
      <c r="C6" s="1"/>
      <c r="D6" s="6"/>
      <c r="E6" s="7"/>
      <c r="F6" s="7"/>
      <c r="G6" s="8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">
      <c r="A7" s="5" t="s">
        <v>4</v>
      </c>
      <c r="B7" s="3"/>
      <c r="C7" s="1"/>
      <c r="D7" s="6"/>
      <c r="E7" s="7"/>
      <c r="F7" s="7"/>
      <c r="G7" s="8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2.5" customHeight="1" x14ac:dyDescent="0.2">
      <c r="A8" s="140" t="s">
        <v>5</v>
      </c>
      <c r="B8" s="133" t="s">
        <v>6</v>
      </c>
      <c r="C8" s="9" t="s">
        <v>7</v>
      </c>
      <c r="D8" s="142" t="s">
        <v>8</v>
      </c>
      <c r="E8" s="143" t="s">
        <v>9</v>
      </c>
      <c r="F8" s="129" t="s">
        <v>10</v>
      </c>
      <c r="G8" s="131" t="s">
        <v>11</v>
      </c>
      <c r="H8" s="133" t="s">
        <v>12</v>
      </c>
      <c r="I8" s="134" t="s">
        <v>13</v>
      </c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6"/>
      <c r="X8" s="10"/>
      <c r="Y8" s="10"/>
    </row>
    <row r="9" spans="1:25" ht="96.75" customHeight="1" x14ac:dyDescent="0.2">
      <c r="A9" s="141"/>
      <c r="B9" s="130"/>
      <c r="C9" s="11" t="s">
        <v>14</v>
      </c>
      <c r="D9" s="130"/>
      <c r="E9" s="130"/>
      <c r="F9" s="130"/>
      <c r="G9" s="130"/>
      <c r="H9" s="130"/>
      <c r="I9" s="12" t="s">
        <v>15</v>
      </c>
      <c r="J9" s="12" t="s">
        <v>16</v>
      </c>
      <c r="K9" s="12" t="s">
        <v>17</v>
      </c>
      <c r="L9" s="12" t="s">
        <v>18</v>
      </c>
      <c r="M9" s="12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12" t="s">
        <v>25</v>
      </c>
      <c r="T9" s="12" t="s">
        <v>26</v>
      </c>
      <c r="U9" s="12" t="s">
        <v>27</v>
      </c>
      <c r="V9" s="13" t="str">
        <f>$W$9</f>
        <v>REMARKS</v>
      </c>
      <c r="W9" s="13" t="s">
        <v>28</v>
      </c>
      <c r="X9" s="14"/>
      <c r="Y9" s="10"/>
    </row>
    <row r="10" spans="1:25" ht="96.75" customHeight="1" x14ac:dyDescent="0.2">
      <c r="A10" s="15" t="s">
        <v>29</v>
      </c>
      <c r="B10" s="16" t="s">
        <v>30</v>
      </c>
      <c r="C10" s="17"/>
      <c r="D10" s="18"/>
      <c r="E10" s="19"/>
      <c r="F10" s="19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1"/>
      <c r="W10" s="22"/>
      <c r="X10" s="10"/>
      <c r="Y10" s="10"/>
    </row>
    <row r="11" spans="1:25" x14ac:dyDescent="0.2">
      <c r="A11" s="23"/>
      <c r="B11" s="24" t="s">
        <v>31</v>
      </c>
      <c r="C11" s="126" t="s">
        <v>32</v>
      </c>
      <c r="D11" s="26">
        <v>100</v>
      </c>
      <c r="E11" s="132">
        <f>SUM(F11:F14)</f>
        <v>7350</v>
      </c>
      <c r="F11" s="27">
        <f>30*100</f>
        <v>3000</v>
      </c>
      <c r="G11" s="126" t="s">
        <v>33</v>
      </c>
      <c r="H11" s="128" t="s">
        <v>34</v>
      </c>
      <c r="I11" s="28"/>
      <c r="J11" s="28"/>
      <c r="K11" s="29">
        <v>30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10"/>
      <c r="Y11" s="10"/>
    </row>
    <row r="12" spans="1:25" x14ac:dyDescent="0.2">
      <c r="A12" s="23"/>
      <c r="B12" s="24" t="s">
        <v>35</v>
      </c>
      <c r="C12" s="119"/>
      <c r="D12" s="31">
        <v>200</v>
      </c>
      <c r="E12" s="119"/>
      <c r="F12" s="27">
        <f>200*10</f>
        <v>2000</v>
      </c>
      <c r="G12" s="119"/>
      <c r="H12" s="119"/>
      <c r="I12" s="28"/>
      <c r="J12" s="28"/>
      <c r="K12" s="29">
        <v>10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10"/>
      <c r="Y12" s="10"/>
    </row>
    <row r="13" spans="1:25" x14ac:dyDescent="0.2">
      <c r="A13" s="23"/>
      <c r="B13" s="32" t="s">
        <v>36</v>
      </c>
      <c r="C13" s="119"/>
      <c r="D13" s="33">
        <v>35</v>
      </c>
      <c r="E13" s="119"/>
      <c r="F13" s="27">
        <f>35*50</f>
        <v>1750</v>
      </c>
      <c r="G13" s="119"/>
      <c r="H13" s="119"/>
      <c r="I13" s="28"/>
      <c r="J13" s="28"/>
      <c r="K13" s="29">
        <v>50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10"/>
      <c r="Y13" s="10"/>
    </row>
    <row r="14" spans="1:25" x14ac:dyDescent="0.2">
      <c r="A14" s="23"/>
      <c r="B14" s="34" t="s">
        <v>37</v>
      </c>
      <c r="C14" s="124"/>
      <c r="D14" s="33">
        <v>300</v>
      </c>
      <c r="E14" s="124"/>
      <c r="F14" s="27">
        <f>300*2</f>
        <v>600</v>
      </c>
      <c r="G14" s="124"/>
      <c r="H14" s="124"/>
      <c r="I14" s="28"/>
      <c r="J14" s="28"/>
      <c r="K14" s="29">
        <v>2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10"/>
      <c r="Y14" s="10"/>
    </row>
    <row r="15" spans="1:25" x14ac:dyDescent="0.2">
      <c r="A15" s="23"/>
      <c r="B15" s="34" t="s">
        <v>38</v>
      </c>
      <c r="C15" s="118" t="s">
        <v>32</v>
      </c>
      <c r="D15" s="33">
        <v>6000</v>
      </c>
      <c r="E15" s="120">
        <f>SUM(F15:F22)</f>
        <v>264000</v>
      </c>
      <c r="F15" s="37">
        <f t="shared" ref="F15:F18" si="0">6000*6</f>
        <v>36000</v>
      </c>
      <c r="G15" s="118" t="s">
        <v>33</v>
      </c>
      <c r="H15" s="118" t="s">
        <v>39</v>
      </c>
      <c r="I15" s="28"/>
      <c r="J15" s="28"/>
      <c r="K15" s="29">
        <v>6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10"/>
      <c r="Y15" s="10"/>
    </row>
    <row r="16" spans="1:25" x14ac:dyDescent="0.2">
      <c r="A16" s="23"/>
      <c r="B16" s="34" t="s">
        <v>40</v>
      </c>
      <c r="C16" s="119"/>
      <c r="D16" s="33">
        <v>6000</v>
      </c>
      <c r="E16" s="119"/>
      <c r="F16" s="37">
        <f t="shared" si="0"/>
        <v>36000</v>
      </c>
      <c r="G16" s="119"/>
      <c r="H16" s="119"/>
      <c r="I16" s="28"/>
      <c r="J16" s="28"/>
      <c r="K16" s="29">
        <v>6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10"/>
      <c r="Y16" s="10"/>
    </row>
    <row r="17" spans="1:25" x14ac:dyDescent="0.2">
      <c r="A17" s="23"/>
      <c r="B17" s="34" t="s">
        <v>41</v>
      </c>
      <c r="C17" s="119"/>
      <c r="D17" s="33">
        <v>6000</v>
      </c>
      <c r="E17" s="119"/>
      <c r="F17" s="37">
        <f t="shared" si="0"/>
        <v>36000</v>
      </c>
      <c r="G17" s="119"/>
      <c r="H17" s="119"/>
      <c r="I17" s="28"/>
      <c r="J17" s="28"/>
      <c r="K17" s="29">
        <v>6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10"/>
      <c r="Y17" s="10"/>
    </row>
    <row r="18" spans="1:25" x14ac:dyDescent="0.2">
      <c r="A18" s="23"/>
      <c r="B18" s="34" t="s">
        <v>42</v>
      </c>
      <c r="C18" s="119"/>
      <c r="D18" s="33">
        <v>6000</v>
      </c>
      <c r="E18" s="119"/>
      <c r="F18" s="37">
        <f t="shared" si="0"/>
        <v>36000</v>
      </c>
      <c r="G18" s="119"/>
      <c r="H18" s="119"/>
      <c r="I18" s="28"/>
      <c r="J18" s="28"/>
      <c r="K18" s="29">
        <v>6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10"/>
      <c r="Y18" s="10"/>
    </row>
    <row r="19" spans="1:25" x14ac:dyDescent="0.2">
      <c r="A19" s="23"/>
      <c r="B19" s="32" t="s">
        <v>43</v>
      </c>
      <c r="C19" s="119"/>
      <c r="D19" s="33">
        <v>6000</v>
      </c>
      <c r="E19" s="119"/>
      <c r="F19" s="37">
        <f t="shared" ref="F19:F22" si="1">6000*5</f>
        <v>30000</v>
      </c>
      <c r="G19" s="119"/>
      <c r="H19" s="119"/>
      <c r="I19" s="28"/>
      <c r="J19" s="28"/>
      <c r="K19" s="29">
        <v>5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10"/>
      <c r="Y19" s="10"/>
    </row>
    <row r="20" spans="1:25" x14ac:dyDescent="0.2">
      <c r="A20" s="23"/>
      <c r="B20" s="32" t="s">
        <v>44</v>
      </c>
      <c r="C20" s="119"/>
      <c r="D20" s="33">
        <v>6000</v>
      </c>
      <c r="E20" s="119"/>
      <c r="F20" s="37">
        <f t="shared" si="1"/>
        <v>30000</v>
      </c>
      <c r="G20" s="119"/>
      <c r="H20" s="119"/>
      <c r="I20" s="28"/>
      <c r="J20" s="28"/>
      <c r="K20" s="29">
        <v>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10"/>
      <c r="Y20" s="10"/>
    </row>
    <row r="21" spans="1:25" x14ac:dyDescent="0.2">
      <c r="A21" s="23"/>
      <c r="B21" s="32" t="s">
        <v>45</v>
      </c>
      <c r="C21" s="119"/>
      <c r="D21" s="33">
        <v>6000</v>
      </c>
      <c r="E21" s="119"/>
      <c r="F21" s="37">
        <f t="shared" si="1"/>
        <v>30000</v>
      </c>
      <c r="G21" s="119"/>
      <c r="H21" s="119"/>
      <c r="I21" s="28"/>
      <c r="J21" s="28"/>
      <c r="K21" s="29">
        <v>5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10"/>
      <c r="Y21" s="10"/>
    </row>
    <row r="22" spans="1:25" x14ac:dyDescent="0.2">
      <c r="A22" s="23"/>
      <c r="B22" s="32" t="s">
        <v>46</v>
      </c>
      <c r="C22" s="119"/>
      <c r="D22" s="33">
        <v>6000</v>
      </c>
      <c r="E22" s="124"/>
      <c r="F22" s="37">
        <f t="shared" si="1"/>
        <v>30000</v>
      </c>
      <c r="G22" s="119"/>
      <c r="H22" s="119"/>
      <c r="I22" s="28"/>
      <c r="J22" s="28"/>
      <c r="K22" s="29">
        <v>5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10"/>
      <c r="Y22" s="10"/>
    </row>
    <row r="23" spans="1:25" x14ac:dyDescent="0.2">
      <c r="A23" s="23"/>
      <c r="B23" s="32" t="s">
        <v>47</v>
      </c>
      <c r="C23" s="119"/>
      <c r="D23" s="33">
        <v>600</v>
      </c>
      <c r="E23" s="125">
        <f>SUM(F23:F27)</f>
        <v>6300</v>
      </c>
      <c r="F23" s="37">
        <f>600*2</f>
        <v>1200</v>
      </c>
      <c r="G23" s="119"/>
      <c r="H23" s="119"/>
      <c r="I23" s="28"/>
      <c r="J23" s="28"/>
      <c r="K23" s="29">
        <v>2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10"/>
      <c r="Y23" s="10"/>
    </row>
    <row r="24" spans="1:25" x14ac:dyDescent="0.2">
      <c r="A24" s="23"/>
      <c r="B24" s="32" t="s">
        <v>48</v>
      </c>
      <c r="C24" s="119"/>
      <c r="D24" s="33">
        <v>450</v>
      </c>
      <c r="E24" s="119"/>
      <c r="F24" s="37">
        <f t="shared" ref="F24:F26" si="2">450*2</f>
        <v>900</v>
      </c>
      <c r="G24" s="119"/>
      <c r="H24" s="119"/>
      <c r="I24" s="28"/>
      <c r="J24" s="28"/>
      <c r="K24" s="29">
        <v>2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0"/>
      <c r="Y24" s="10"/>
    </row>
    <row r="25" spans="1:25" x14ac:dyDescent="0.2">
      <c r="A25" s="23"/>
      <c r="B25" s="32" t="s">
        <v>49</v>
      </c>
      <c r="C25" s="119"/>
      <c r="D25" s="33">
        <v>450</v>
      </c>
      <c r="E25" s="119"/>
      <c r="F25" s="37">
        <f t="shared" si="2"/>
        <v>900</v>
      </c>
      <c r="G25" s="119"/>
      <c r="H25" s="119"/>
      <c r="I25" s="28"/>
      <c r="J25" s="28"/>
      <c r="K25" s="29">
        <v>2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10"/>
      <c r="Y25" s="10"/>
    </row>
    <row r="26" spans="1:25" x14ac:dyDescent="0.2">
      <c r="A26" s="23"/>
      <c r="B26" s="32" t="s">
        <v>50</v>
      </c>
      <c r="C26" s="119"/>
      <c r="D26" s="33">
        <v>450</v>
      </c>
      <c r="E26" s="119"/>
      <c r="F26" s="37">
        <f t="shared" si="2"/>
        <v>900</v>
      </c>
      <c r="G26" s="119"/>
      <c r="H26" s="119"/>
      <c r="I26" s="28"/>
      <c r="J26" s="28"/>
      <c r="K26" s="29">
        <v>2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10"/>
      <c r="Y26" s="10"/>
    </row>
    <row r="27" spans="1:25" x14ac:dyDescent="0.2">
      <c r="A27" s="23"/>
      <c r="B27" s="32" t="s">
        <v>51</v>
      </c>
      <c r="C27" s="119"/>
      <c r="D27" s="33">
        <v>800</v>
      </c>
      <c r="E27" s="119"/>
      <c r="F27" s="37">
        <f>800*3</f>
        <v>2400</v>
      </c>
      <c r="G27" s="124"/>
      <c r="H27" s="124"/>
      <c r="I27" s="28"/>
      <c r="J27" s="28"/>
      <c r="K27" s="29">
        <v>3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10"/>
      <c r="Y27" s="10"/>
    </row>
    <row r="28" spans="1:25" x14ac:dyDescent="0.2">
      <c r="A28" s="23"/>
      <c r="B28" s="32" t="s">
        <v>52</v>
      </c>
      <c r="C28" s="118" t="s">
        <v>32</v>
      </c>
      <c r="D28" s="33">
        <v>5000</v>
      </c>
      <c r="E28" s="120">
        <f>SUM(F28:F33)</f>
        <v>56500</v>
      </c>
      <c r="F28" s="36">
        <f>5000*3</f>
        <v>15000</v>
      </c>
      <c r="G28" s="126" t="s">
        <v>33</v>
      </c>
      <c r="H28" s="118" t="s">
        <v>39</v>
      </c>
      <c r="I28" s="28"/>
      <c r="J28" s="28"/>
      <c r="K28" s="29">
        <v>3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10"/>
      <c r="Y28" s="10"/>
    </row>
    <row r="29" spans="1:25" x14ac:dyDescent="0.2">
      <c r="A29" s="23"/>
      <c r="B29" s="32" t="s">
        <v>53</v>
      </c>
      <c r="C29" s="119"/>
      <c r="D29" s="33">
        <v>3500</v>
      </c>
      <c r="E29" s="119"/>
      <c r="F29" s="36">
        <f>3500*3</f>
        <v>10500</v>
      </c>
      <c r="G29" s="119"/>
      <c r="H29" s="119"/>
      <c r="I29" s="28"/>
      <c r="J29" s="28"/>
      <c r="K29" s="29">
        <v>3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10"/>
      <c r="Y29" s="10"/>
    </row>
    <row r="30" spans="1:25" x14ac:dyDescent="0.2">
      <c r="A30" s="23"/>
      <c r="B30" s="32" t="s">
        <v>54</v>
      </c>
      <c r="C30" s="119"/>
      <c r="D30" s="33">
        <v>600</v>
      </c>
      <c r="E30" s="119"/>
      <c r="F30" s="36">
        <f>600*5</f>
        <v>3000</v>
      </c>
      <c r="G30" s="119"/>
      <c r="H30" s="119"/>
      <c r="I30" s="28"/>
      <c r="J30" s="28"/>
      <c r="K30" s="29">
        <v>5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10"/>
      <c r="Y30" s="10"/>
    </row>
    <row r="31" spans="1:25" x14ac:dyDescent="0.2">
      <c r="A31" s="23"/>
      <c r="B31" s="32" t="s">
        <v>55</v>
      </c>
      <c r="C31" s="119"/>
      <c r="D31" s="33">
        <v>2000</v>
      </c>
      <c r="E31" s="119"/>
      <c r="F31" s="36">
        <f>2000*10</f>
        <v>20000</v>
      </c>
      <c r="G31" s="119"/>
      <c r="H31" s="119"/>
      <c r="I31" s="28"/>
      <c r="J31" s="28"/>
      <c r="K31" s="29">
        <v>10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10"/>
      <c r="Y31" s="10"/>
    </row>
    <row r="32" spans="1:25" ht="25.5" x14ac:dyDescent="0.2">
      <c r="A32" s="23"/>
      <c r="B32" s="38" t="s">
        <v>56</v>
      </c>
      <c r="C32" s="119"/>
      <c r="D32" s="33">
        <v>1000</v>
      </c>
      <c r="E32" s="119"/>
      <c r="F32" s="36">
        <f>1000*2</f>
        <v>2000</v>
      </c>
      <c r="G32" s="119"/>
      <c r="H32" s="119"/>
      <c r="I32" s="28"/>
      <c r="J32" s="28"/>
      <c r="K32" s="29">
        <v>2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10"/>
      <c r="Y32" s="10"/>
    </row>
    <row r="33" spans="1:25" ht="25.5" x14ac:dyDescent="0.2">
      <c r="A33" s="23"/>
      <c r="B33" s="38" t="s">
        <v>57</v>
      </c>
      <c r="C33" s="119"/>
      <c r="D33" s="33">
        <v>1500</v>
      </c>
      <c r="E33" s="119"/>
      <c r="F33" s="36">
        <f>1500*4</f>
        <v>6000</v>
      </c>
      <c r="G33" s="119"/>
      <c r="H33" s="119"/>
      <c r="I33" s="28"/>
      <c r="J33" s="28"/>
      <c r="K33" s="29">
        <v>4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10"/>
      <c r="Y33" s="10"/>
    </row>
    <row r="34" spans="1:25" x14ac:dyDescent="0.2">
      <c r="A34" s="23"/>
      <c r="B34" s="32" t="s">
        <v>58</v>
      </c>
      <c r="C34" s="118" t="s">
        <v>32</v>
      </c>
      <c r="D34" s="33">
        <v>1000</v>
      </c>
      <c r="E34" s="120">
        <f>SUM(F34:F38)</f>
        <v>47000</v>
      </c>
      <c r="F34" s="37">
        <f>1000*15</f>
        <v>15000</v>
      </c>
      <c r="G34" s="126" t="s">
        <v>33</v>
      </c>
      <c r="H34" s="119"/>
      <c r="I34" s="28"/>
      <c r="J34" s="28"/>
      <c r="K34" s="29">
        <v>15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10"/>
      <c r="Y34" s="10"/>
    </row>
    <row r="35" spans="1:25" x14ac:dyDescent="0.2">
      <c r="A35" s="23"/>
      <c r="B35" s="32" t="s">
        <v>59</v>
      </c>
      <c r="C35" s="119"/>
      <c r="D35" s="33">
        <v>1000</v>
      </c>
      <c r="E35" s="119"/>
      <c r="F35" s="37">
        <f>1000*10</f>
        <v>10000</v>
      </c>
      <c r="G35" s="119"/>
      <c r="H35" s="119"/>
      <c r="I35" s="28"/>
      <c r="J35" s="28"/>
      <c r="K35" s="29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10"/>
      <c r="Y35" s="10"/>
    </row>
    <row r="36" spans="1:25" x14ac:dyDescent="0.2">
      <c r="A36" s="23"/>
      <c r="B36" s="32" t="s">
        <v>60</v>
      </c>
      <c r="C36" s="119"/>
      <c r="D36" s="33">
        <v>1000</v>
      </c>
      <c r="E36" s="119"/>
      <c r="F36" s="37">
        <f>1000*10</f>
        <v>10000</v>
      </c>
      <c r="G36" s="119"/>
      <c r="H36" s="119"/>
      <c r="I36" s="28"/>
      <c r="J36" s="28"/>
      <c r="K36" s="29">
        <v>10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10"/>
      <c r="Y36" s="10"/>
    </row>
    <row r="37" spans="1:25" x14ac:dyDescent="0.2">
      <c r="A37" s="23"/>
      <c r="B37" s="32" t="s">
        <v>61</v>
      </c>
      <c r="C37" s="119"/>
      <c r="D37" s="33">
        <v>1000</v>
      </c>
      <c r="E37" s="119"/>
      <c r="F37" s="37">
        <f>1000*8</f>
        <v>8000</v>
      </c>
      <c r="G37" s="119"/>
      <c r="H37" s="119"/>
      <c r="I37" s="28"/>
      <c r="J37" s="28"/>
      <c r="K37" s="29">
        <v>8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10"/>
      <c r="Y37" s="10"/>
    </row>
    <row r="38" spans="1:25" x14ac:dyDescent="0.2">
      <c r="A38" s="23"/>
      <c r="B38" s="32" t="s">
        <v>62</v>
      </c>
      <c r="C38" s="119"/>
      <c r="D38" s="33">
        <v>1000</v>
      </c>
      <c r="E38" s="124"/>
      <c r="F38" s="37">
        <f>1000*4</f>
        <v>4000</v>
      </c>
      <c r="G38" s="124"/>
      <c r="H38" s="119"/>
      <c r="I38" s="28"/>
      <c r="J38" s="28"/>
      <c r="K38" s="29">
        <v>4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10"/>
      <c r="Y38" s="10" t="s">
        <v>63</v>
      </c>
    </row>
    <row r="39" spans="1:25" x14ac:dyDescent="0.2">
      <c r="A39" s="23"/>
      <c r="B39" s="32" t="s">
        <v>64</v>
      </c>
      <c r="C39" s="119"/>
      <c r="D39" s="33">
        <v>100</v>
      </c>
      <c r="E39" s="125">
        <f>SUM(F39:F58)</f>
        <v>28000</v>
      </c>
      <c r="F39" s="39">
        <f t="shared" ref="F39:F40" si="3">100*3</f>
        <v>300</v>
      </c>
      <c r="G39" s="126" t="s">
        <v>33</v>
      </c>
      <c r="H39" s="119"/>
      <c r="I39" s="28"/>
      <c r="J39" s="28"/>
      <c r="K39" s="29">
        <v>3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10"/>
      <c r="Y39" s="10"/>
    </row>
    <row r="40" spans="1:25" x14ac:dyDescent="0.2">
      <c r="A40" s="23"/>
      <c r="B40" s="32" t="s">
        <v>65</v>
      </c>
      <c r="C40" s="119"/>
      <c r="D40" s="40">
        <v>100</v>
      </c>
      <c r="E40" s="119"/>
      <c r="F40" s="39">
        <f t="shared" si="3"/>
        <v>300</v>
      </c>
      <c r="G40" s="119"/>
      <c r="H40" s="119"/>
      <c r="I40" s="28"/>
      <c r="J40" s="28"/>
      <c r="K40" s="29">
        <v>3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10"/>
      <c r="Y40" s="10"/>
    </row>
    <row r="41" spans="1:25" x14ac:dyDescent="0.2">
      <c r="A41" s="23"/>
      <c r="B41" s="32" t="s">
        <v>66</v>
      </c>
      <c r="C41" s="119"/>
      <c r="D41" s="41">
        <v>20</v>
      </c>
      <c r="E41" s="119"/>
      <c r="F41" s="39">
        <f>20*10</f>
        <v>200</v>
      </c>
      <c r="G41" s="119"/>
      <c r="H41" s="119"/>
      <c r="I41" s="28"/>
      <c r="J41" s="28"/>
      <c r="K41" s="29">
        <v>10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10"/>
      <c r="Y41" s="10"/>
    </row>
    <row r="42" spans="1:25" x14ac:dyDescent="0.2">
      <c r="A42" s="23"/>
      <c r="B42" s="32" t="s">
        <v>67</v>
      </c>
      <c r="C42" s="119"/>
      <c r="D42" s="41">
        <v>30</v>
      </c>
      <c r="E42" s="119"/>
      <c r="F42" s="39">
        <f>30*10</f>
        <v>300</v>
      </c>
      <c r="G42" s="119"/>
      <c r="H42" s="119"/>
      <c r="I42" s="28"/>
      <c r="J42" s="28"/>
      <c r="K42" s="29">
        <v>10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10"/>
      <c r="Y42" s="10"/>
    </row>
    <row r="43" spans="1:25" x14ac:dyDescent="0.2">
      <c r="A43" s="23"/>
      <c r="B43" s="32" t="s">
        <v>68</v>
      </c>
      <c r="C43" s="119"/>
      <c r="D43" s="41">
        <v>40</v>
      </c>
      <c r="E43" s="119"/>
      <c r="F43" s="39">
        <f>40*10</f>
        <v>400</v>
      </c>
      <c r="G43" s="119"/>
      <c r="H43" s="119"/>
      <c r="I43" s="28"/>
      <c r="J43" s="28"/>
      <c r="K43" s="29">
        <v>10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10"/>
      <c r="Y43" s="10"/>
    </row>
    <row r="44" spans="1:25" x14ac:dyDescent="0.2">
      <c r="A44" s="23"/>
      <c r="B44" s="32" t="s">
        <v>69</v>
      </c>
      <c r="C44" s="119"/>
      <c r="D44" s="41">
        <v>100</v>
      </c>
      <c r="E44" s="119"/>
      <c r="F44" s="39">
        <f>100*10</f>
        <v>1000</v>
      </c>
      <c r="G44" s="119"/>
      <c r="H44" s="119"/>
      <c r="I44" s="28"/>
      <c r="J44" s="28"/>
      <c r="K44" s="29">
        <v>10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10"/>
      <c r="Y44" s="10"/>
    </row>
    <row r="45" spans="1:25" x14ac:dyDescent="0.2">
      <c r="A45" s="23"/>
      <c r="B45" s="32" t="s">
        <v>70</v>
      </c>
      <c r="C45" s="119"/>
      <c r="D45" s="41">
        <v>200</v>
      </c>
      <c r="E45" s="119"/>
      <c r="F45" s="39">
        <f>200*25</f>
        <v>5000</v>
      </c>
      <c r="G45" s="119"/>
      <c r="H45" s="119"/>
      <c r="I45" s="28"/>
      <c r="J45" s="28"/>
      <c r="K45" s="29">
        <v>25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10"/>
      <c r="Y45" s="10"/>
    </row>
    <row r="46" spans="1:25" x14ac:dyDescent="0.2">
      <c r="A46" s="23"/>
      <c r="B46" s="32" t="s">
        <v>71</v>
      </c>
      <c r="C46" s="119"/>
      <c r="D46" s="41">
        <v>150</v>
      </c>
      <c r="E46" s="119"/>
      <c r="F46" s="39">
        <f>150*10</f>
        <v>1500</v>
      </c>
      <c r="G46" s="119"/>
      <c r="H46" s="119"/>
      <c r="I46" s="28"/>
      <c r="J46" s="28"/>
      <c r="K46" s="29">
        <v>10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10"/>
      <c r="Y46" s="10"/>
    </row>
    <row r="47" spans="1:25" x14ac:dyDescent="0.2">
      <c r="A47" s="23"/>
      <c r="B47" s="32" t="s">
        <v>72</v>
      </c>
      <c r="C47" s="119"/>
      <c r="D47" s="41">
        <v>50</v>
      </c>
      <c r="E47" s="119"/>
      <c r="F47" s="39">
        <f>50*30</f>
        <v>1500</v>
      </c>
      <c r="G47" s="119"/>
      <c r="H47" s="119"/>
      <c r="I47" s="28"/>
      <c r="J47" s="28"/>
      <c r="K47" s="29">
        <v>30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10"/>
      <c r="Y47" s="10"/>
    </row>
    <row r="48" spans="1:25" x14ac:dyDescent="0.2">
      <c r="A48" s="23"/>
      <c r="B48" s="32" t="s">
        <v>73</v>
      </c>
      <c r="C48" s="119"/>
      <c r="D48" s="41">
        <v>100</v>
      </c>
      <c r="E48" s="119"/>
      <c r="F48" s="39">
        <f>100*50</f>
        <v>5000</v>
      </c>
      <c r="G48" s="119"/>
      <c r="H48" s="119"/>
      <c r="I48" s="28"/>
      <c r="J48" s="28"/>
      <c r="K48" s="29">
        <v>50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10"/>
      <c r="Y48" s="10"/>
    </row>
    <row r="49" spans="1:25" x14ac:dyDescent="0.2">
      <c r="A49" s="23"/>
      <c r="B49" s="32" t="s">
        <v>74</v>
      </c>
      <c r="C49" s="119"/>
      <c r="D49" s="41">
        <v>50</v>
      </c>
      <c r="E49" s="119"/>
      <c r="F49" s="39">
        <f>50*20</f>
        <v>1000</v>
      </c>
      <c r="G49" s="119"/>
      <c r="H49" s="119"/>
      <c r="I49" s="28"/>
      <c r="J49" s="28"/>
      <c r="K49" s="29">
        <v>20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10"/>
      <c r="Y49" s="10"/>
    </row>
    <row r="50" spans="1:25" x14ac:dyDescent="0.2">
      <c r="A50" s="23"/>
      <c r="B50" s="32" t="s">
        <v>75</v>
      </c>
      <c r="C50" s="119"/>
      <c r="D50" s="41">
        <v>100</v>
      </c>
      <c r="E50" s="119"/>
      <c r="F50" s="39">
        <f>100*40</f>
        <v>4000</v>
      </c>
      <c r="G50" s="119"/>
      <c r="H50" s="119"/>
      <c r="I50" s="28"/>
      <c r="J50" s="28"/>
      <c r="K50" s="29">
        <v>40</v>
      </c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10"/>
      <c r="Y50" s="10"/>
    </row>
    <row r="51" spans="1:25" x14ac:dyDescent="0.2">
      <c r="A51" s="23"/>
      <c r="B51" s="32" t="s">
        <v>76</v>
      </c>
      <c r="C51" s="119"/>
      <c r="D51" s="41">
        <v>45</v>
      </c>
      <c r="E51" s="119"/>
      <c r="F51" s="39">
        <f>45*30</f>
        <v>1350</v>
      </c>
      <c r="G51" s="119"/>
      <c r="H51" s="119"/>
      <c r="I51" s="28"/>
      <c r="J51" s="28"/>
      <c r="K51" s="29">
        <v>30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10"/>
      <c r="Y51" s="10"/>
    </row>
    <row r="52" spans="1:25" x14ac:dyDescent="0.2">
      <c r="A52" s="23"/>
      <c r="B52" s="32" t="s">
        <v>77</v>
      </c>
      <c r="C52" s="119"/>
      <c r="D52" s="41">
        <v>50</v>
      </c>
      <c r="E52" s="119"/>
      <c r="F52" s="39">
        <f>50*30</f>
        <v>1500</v>
      </c>
      <c r="G52" s="119"/>
      <c r="H52" s="119"/>
      <c r="I52" s="28"/>
      <c r="J52" s="28"/>
      <c r="K52" s="29">
        <v>30</v>
      </c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10"/>
      <c r="Y52" s="10"/>
    </row>
    <row r="53" spans="1:25" x14ac:dyDescent="0.2">
      <c r="A53" s="23"/>
      <c r="B53" s="32" t="s">
        <v>78</v>
      </c>
      <c r="C53" s="119"/>
      <c r="D53" s="41">
        <v>80</v>
      </c>
      <c r="E53" s="119"/>
      <c r="F53" s="39">
        <f>80*10</f>
        <v>800</v>
      </c>
      <c r="G53" s="119"/>
      <c r="H53" s="119"/>
      <c r="I53" s="28"/>
      <c r="J53" s="28"/>
      <c r="K53" s="29">
        <v>10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10"/>
      <c r="Y53" s="10"/>
    </row>
    <row r="54" spans="1:25" x14ac:dyDescent="0.2">
      <c r="A54" s="23"/>
      <c r="B54" s="32" t="s">
        <v>79</v>
      </c>
      <c r="C54" s="119"/>
      <c r="D54" s="41">
        <v>200</v>
      </c>
      <c r="E54" s="119"/>
      <c r="F54" s="39">
        <f>200*2</f>
        <v>400</v>
      </c>
      <c r="G54" s="119"/>
      <c r="H54" s="119"/>
      <c r="I54" s="28"/>
      <c r="J54" s="28"/>
      <c r="K54" s="29">
        <v>2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10"/>
      <c r="Y54" s="10"/>
    </row>
    <row r="55" spans="1:25" x14ac:dyDescent="0.2">
      <c r="A55" s="23"/>
      <c r="B55" s="32" t="s">
        <v>80</v>
      </c>
      <c r="C55" s="119"/>
      <c r="D55" s="41">
        <v>70</v>
      </c>
      <c r="E55" s="119"/>
      <c r="F55" s="39">
        <f>70*20</f>
        <v>1400</v>
      </c>
      <c r="G55" s="119"/>
      <c r="H55" s="119"/>
      <c r="I55" s="28"/>
      <c r="J55" s="28"/>
      <c r="K55" s="29">
        <v>20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10"/>
      <c r="Y55" s="10"/>
    </row>
    <row r="56" spans="1:25" x14ac:dyDescent="0.2">
      <c r="A56" s="23"/>
      <c r="B56" s="32" t="s">
        <v>81</v>
      </c>
      <c r="C56" s="119"/>
      <c r="D56" s="41">
        <v>120</v>
      </c>
      <c r="E56" s="119"/>
      <c r="F56" s="39">
        <f>120*5</f>
        <v>600</v>
      </c>
      <c r="G56" s="119"/>
      <c r="H56" s="119"/>
      <c r="I56" s="28"/>
      <c r="J56" s="28"/>
      <c r="K56" s="29">
        <v>5</v>
      </c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10"/>
      <c r="Y56" s="10"/>
    </row>
    <row r="57" spans="1:25" x14ac:dyDescent="0.2">
      <c r="A57" s="23"/>
      <c r="B57" s="32" t="s">
        <v>82</v>
      </c>
      <c r="C57" s="119"/>
      <c r="D57" s="41">
        <v>70</v>
      </c>
      <c r="E57" s="119"/>
      <c r="F57" s="39">
        <f>70*20</f>
        <v>1400</v>
      </c>
      <c r="G57" s="119"/>
      <c r="H57" s="119"/>
      <c r="I57" s="28"/>
      <c r="J57" s="28"/>
      <c r="K57" s="29">
        <v>20</v>
      </c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10"/>
      <c r="Y57" s="10"/>
    </row>
    <row r="58" spans="1:25" x14ac:dyDescent="0.2">
      <c r="A58" s="23"/>
      <c r="B58" s="32" t="s">
        <v>83</v>
      </c>
      <c r="C58" s="124"/>
      <c r="D58" s="41">
        <v>50</v>
      </c>
      <c r="E58" s="124"/>
      <c r="F58" s="39">
        <f>50*1</f>
        <v>50</v>
      </c>
      <c r="G58" s="124"/>
      <c r="H58" s="119"/>
      <c r="I58" s="28"/>
      <c r="J58" s="28"/>
      <c r="K58" s="29">
        <v>1</v>
      </c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10"/>
      <c r="Y58" s="10"/>
    </row>
    <row r="59" spans="1:25" x14ac:dyDescent="0.2">
      <c r="A59" s="23"/>
      <c r="B59" s="32" t="s">
        <v>84</v>
      </c>
      <c r="C59" s="118" t="s">
        <v>32</v>
      </c>
      <c r="D59" s="33">
        <v>130</v>
      </c>
      <c r="E59" s="120">
        <f>SUM(F59:F61)</f>
        <v>10800</v>
      </c>
      <c r="F59" s="37">
        <f>130*10</f>
        <v>1300</v>
      </c>
      <c r="G59" s="127" t="s">
        <v>33</v>
      </c>
      <c r="H59" s="119"/>
      <c r="I59" s="28"/>
      <c r="J59" s="28"/>
      <c r="K59" s="29">
        <v>10</v>
      </c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10"/>
      <c r="Y59" s="10"/>
    </row>
    <row r="60" spans="1:25" x14ac:dyDescent="0.2">
      <c r="A60" s="23"/>
      <c r="B60" s="32" t="s">
        <v>85</v>
      </c>
      <c r="C60" s="119"/>
      <c r="D60" s="33">
        <v>150</v>
      </c>
      <c r="E60" s="119"/>
      <c r="F60" s="37">
        <f>150*10</f>
        <v>1500</v>
      </c>
      <c r="G60" s="119"/>
      <c r="H60" s="119"/>
      <c r="I60" s="28"/>
      <c r="J60" s="28"/>
      <c r="K60" s="29">
        <v>10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10"/>
      <c r="Y60" s="10"/>
    </row>
    <row r="61" spans="1:25" x14ac:dyDescent="0.2">
      <c r="A61" s="23"/>
      <c r="B61" s="32" t="s">
        <v>86</v>
      </c>
      <c r="C61" s="119"/>
      <c r="D61" s="33">
        <v>400</v>
      </c>
      <c r="E61" s="119"/>
      <c r="F61" s="37">
        <f>400*20</f>
        <v>8000</v>
      </c>
      <c r="G61" s="124"/>
      <c r="H61" s="124"/>
      <c r="I61" s="28"/>
      <c r="J61" s="28"/>
      <c r="K61" s="29">
        <v>20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10"/>
      <c r="Y61" s="10"/>
    </row>
    <row r="62" spans="1:25" ht="15.75" customHeight="1" x14ac:dyDescent="0.2">
      <c r="A62" s="43" t="s">
        <v>87</v>
      </c>
      <c r="B62" s="44" t="s">
        <v>88</v>
      </c>
      <c r="C62" s="45"/>
      <c r="D62" s="46"/>
      <c r="E62" s="45"/>
      <c r="F62" s="47"/>
      <c r="G62" s="48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10"/>
      <c r="Y62" s="10"/>
    </row>
    <row r="63" spans="1:25" ht="25.5" customHeight="1" x14ac:dyDescent="0.2">
      <c r="A63" s="43"/>
      <c r="B63" s="49" t="s">
        <v>89</v>
      </c>
      <c r="C63" s="50" t="s">
        <v>32</v>
      </c>
      <c r="D63" s="31">
        <v>40000</v>
      </c>
      <c r="E63" s="51">
        <f>F63</f>
        <v>40000</v>
      </c>
      <c r="F63" s="51">
        <v>40000</v>
      </c>
      <c r="G63" s="157" t="s">
        <v>33</v>
      </c>
      <c r="H63" s="54" t="s">
        <v>39</v>
      </c>
      <c r="I63" s="30">
        <v>1</v>
      </c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10"/>
      <c r="Y63" s="10"/>
    </row>
    <row r="64" spans="1:25" ht="97.5" customHeight="1" x14ac:dyDescent="0.2">
      <c r="A64" s="43"/>
      <c r="B64" s="155" t="s">
        <v>132</v>
      </c>
      <c r="C64" s="161" t="s">
        <v>32</v>
      </c>
      <c r="D64" s="162">
        <v>45000</v>
      </c>
      <c r="E64" s="162">
        <v>45000</v>
      </c>
      <c r="F64" s="163"/>
      <c r="G64" s="163"/>
      <c r="H64" s="156" t="s">
        <v>133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10"/>
      <c r="Y64" s="10"/>
    </row>
    <row r="65" spans="1:25" ht="15.75" customHeight="1" x14ac:dyDescent="0.2">
      <c r="A65" s="43" t="s">
        <v>90</v>
      </c>
      <c r="B65" s="59" t="s">
        <v>91</v>
      </c>
      <c r="C65" s="158"/>
      <c r="D65" s="159"/>
      <c r="E65" s="158"/>
      <c r="F65" s="160"/>
      <c r="G65" s="160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10"/>
      <c r="Y65" s="10"/>
    </row>
    <row r="66" spans="1:25" ht="15.75" customHeight="1" x14ac:dyDescent="0.2">
      <c r="A66" s="43"/>
      <c r="B66" s="24" t="s">
        <v>92</v>
      </c>
      <c r="C66" s="50" t="s">
        <v>32</v>
      </c>
      <c r="D66" s="31">
        <v>10000</v>
      </c>
      <c r="E66" s="36">
        <f>F66</f>
        <v>10000</v>
      </c>
      <c r="F66" s="37">
        <v>10000</v>
      </c>
      <c r="G66" s="29" t="s">
        <v>93</v>
      </c>
      <c r="H66" s="28" t="s">
        <v>34</v>
      </c>
      <c r="I66" s="30">
        <v>1</v>
      </c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10"/>
      <c r="Y66" s="10"/>
    </row>
    <row r="67" spans="1:25" ht="15.75" customHeight="1" x14ac:dyDescent="0.2">
      <c r="A67" s="43" t="s">
        <v>94</v>
      </c>
      <c r="B67" s="59" t="s">
        <v>95</v>
      </c>
      <c r="C67" s="47"/>
      <c r="D67" s="60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10"/>
      <c r="Y67" s="10"/>
    </row>
    <row r="68" spans="1:25" ht="15.75" customHeight="1" x14ac:dyDescent="0.2">
      <c r="A68" s="23"/>
      <c r="B68" s="24" t="s">
        <v>96</v>
      </c>
      <c r="C68" s="35" t="s">
        <v>32</v>
      </c>
      <c r="D68" s="33">
        <v>70000</v>
      </c>
      <c r="E68" s="36">
        <f>F68</f>
        <v>70000</v>
      </c>
      <c r="F68" s="36">
        <v>70000</v>
      </c>
      <c r="G68" s="29" t="s">
        <v>93</v>
      </c>
      <c r="H68" s="28" t="s">
        <v>34</v>
      </c>
      <c r="I68" s="28"/>
      <c r="J68" s="28"/>
      <c r="K68" s="29">
        <v>1</v>
      </c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10"/>
      <c r="Y68" s="10"/>
    </row>
    <row r="69" spans="1:25" ht="15.75" customHeight="1" x14ac:dyDescent="0.2">
      <c r="A69" s="43" t="s">
        <v>97</v>
      </c>
      <c r="B69" s="59" t="s">
        <v>98</v>
      </c>
      <c r="C69" s="47"/>
      <c r="D69" s="60"/>
      <c r="E69" s="47"/>
      <c r="F69" s="47"/>
      <c r="G69" s="47"/>
      <c r="H69" s="47"/>
      <c r="I69" s="47"/>
      <c r="J69" s="47"/>
      <c r="K69" s="61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10"/>
      <c r="Y69" s="10"/>
    </row>
    <row r="70" spans="1:25" ht="15.75" customHeight="1" x14ac:dyDescent="0.2">
      <c r="A70" s="23"/>
      <c r="B70" s="24" t="s">
        <v>99</v>
      </c>
      <c r="C70" s="35" t="s">
        <v>32</v>
      </c>
      <c r="D70" s="33">
        <v>50000</v>
      </c>
      <c r="E70" s="120">
        <f>SUM(F70:F72)</f>
        <v>90000</v>
      </c>
      <c r="F70" s="36">
        <v>50000</v>
      </c>
      <c r="G70" s="126" t="s">
        <v>93</v>
      </c>
      <c r="H70" s="126" t="s">
        <v>34</v>
      </c>
      <c r="I70" s="30"/>
      <c r="J70" s="30"/>
      <c r="K70" s="29">
        <v>1</v>
      </c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10"/>
      <c r="Y70" s="10"/>
    </row>
    <row r="71" spans="1:25" ht="15.75" customHeight="1" x14ac:dyDescent="0.2">
      <c r="A71" s="23"/>
      <c r="B71" s="24" t="s">
        <v>100</v>
      </c>
      <c r="C71" s="62" t="s">
        <v>32</v>
      </c>
      <c r="D71" s="33">
        <v>20000</v>
      </c>
      <c r="E71" s="119"/>
      <c r="F71" s="36">
        <v>20000</v>
      </c>
      <c r="G71" s="119"/>
      <c r="H71" s="119"/>
      <c r="I71" s="30"/>
      <c r="J71" s="30"/>
      <c r="K71" s="29">
        <v>1</v>
      </c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10"/>
      <c r="Y71" s="10"/>
    </row>
    <row r="72" spans="1:25" ht="15.75" customHeight="1" x14ac:dyDescent="0.2">
      <c r="A72" s="23"/>
      <c r="B72" s="24" t="s">
        <v>101</v>
      </c>
      <c r="C72" s="63" t="s">
        <v>32</v>
      </c>
      <c r="D72" s="31">
        <v>20000</v>
      </c>
      <c r="E72" s="119"/>
      <c r="F72" s="36">
        <v>20000</v>
      </c>
      <c r="G72" s="124"/>
      <c r="H72" s="124"/>
      <c r="I72" s="30"/>
      <c r="J72" s="30"/>
      <c r="K72" s="29">
        <v>1</v>
      </c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10"/>
      <c r="Y72" s="10"/>
    </row>
    <row r="73" spans="1:25" ht="15.75" customHeight="1" x14ac:dyDescent="0.2">
      <c r="A73" s="23"/>
      <c r="B73" s="59" t="s">
        <v>102</v>
      </c>
      <c r="C73" s="47"/>
      <c r="D73" s="60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10"/>
      <c r="Y73" s="10"/>
    </row>
    <row r="74" spans="1:25" ht="38.25" customHeight="1" x14ac:dyDescent="0.2">
      <c r="A74" s="23"/>
      <c r="B74" s="64" t="s">
        <v>103</v>
      </c>
      <c r="C74" s="35" t="s">
        <v>104</v>
      </c>
      <c r="D74" s="33">
        <v>30000</v>
      </c>
      <c r="E74" s="36">
        <f>F74</f>
        <v>30000</v>
      </c>
      <c r="F74" s="36">
        <v>30000</v>
      </c>
      <c r="G74" s="65" t="s">
        <v>33</v>
      </c>
      <c r="H74" s="66" t="s">
        <v>105</v>
      </c>
      <c r="I74" s="30"/>
      <c r="J74" s="30"/>
      <c r="K74" s="67">
        <v>1</v>
      </c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10"/>
      <c r="Y74" s="10"/>
    </row>
    <row r="75" spans="1:25" ht="15.75" customHeight="1" x14ac:dyDescent="0.2">
      <c r="A75" s="43" t="s">
        <v>106</v>
      </c>
      <c r="B75" s="68" t="s">
        <v>107</v>
      </c>
      <c r="C75" s="47"/>
      <c r="D75" s="60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10"/>
      <c r="Y75" s="10"/>
    </row>
    <row r="76" spans="1:25" ht="15.75" customHeight="1" x14ac:dyDescent="0.2">
      <c r="A76" s="23"/>
      <c r="B76" s="69" t="s">
        <v>108</v>
      </c>
      <c r="C76" s="70" t="s">
        <v>32</v>
      </c>
      <c r="D76" s="71">
        <v>1500</v>
      </c>
      <c r="E76" s="121">
        <f>SUM(F76:F79)</f>
        <v>58500</v>
      </c>
      <c r="F76" s="72">
        <v>1500</v>
      </c>
      <c r="G76" s="25" t="s">
        <v>109</v>
      </c>
      <c r="H76" s="118" t="s">
        <v>105</v>
      </c>
      <c r="I76" s="29">
        <v>1</v>
      </c>
      <c r="J76" s="28"/>
      <c r="K76" s="28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10"/>
      <c r="Y76" s="10"/>
    </row>
    <row r="77" spans="1:25" ht="15.75" customHeight="1" x14ac:dyDescent="0.2">
      <c r="A77" s="23"/>
      <c r="B77" s="32" t="s">
        <v>110</v>
      </c>
      <c r="C77" s="73" t="s">
        <v>32</v>
      </c>
      <c r="D77" s="41">
        <v>2000</v>
      </c>
      <c r="E77" s="122"/>
      <c r="F77" s="72">
        <v>2000</v>
      </c>
      <c r="G77" s="65" t="s">
        <v>109</v>
      </c>
      <c r="H77" s="119"/>
      <c r="I77" s="28"/>
      <c r="J77" s="29">
        <v>1</v>
      </c>
      <c r="K77" s="28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10"/>
      <c r="Y77" s="10"/>
    </row>
    <row r="78" spans="1:25" ht="15.75" customHeight="1" x14ac:dyDescent="0.2">
      <c r="A78" s="74"/>
      <c r="B78" s="24" t="s">
        <v>111</v>
      </c>
      <c r="C78" s="75" t="s">
        <v>32</v>
      </c>
      <c r="D78" s="76">
        <v>5000</v>
      </c>
      <c r="E78" s="122"/>
      <c r="F78" s="72">
        <v>5000</v>
      </c>
      <c r="G78" s="42" t="s">
        <v>93</v>
      </c>
      <c r="H78" s="119"/>
      <c r="I78" s="28"/>
      <c r="J78" s="28"/>
      <c r="K78" s="29">
        <v>1</v>
      </c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10"/>
      <c r="Y78" s="10"/>
    </row>
    <row r="79" spans="1:25" ht="15.75" customHeight="1" x14ac:dyDescent="0.2">
      <c r="A79" s="77"/>
      <c r="B79" s="78" t="s">
        <v>112</v>
      </c>
      <c r="C79" s="66" t="s">
        <v>32</v>
      </c>
      <c r="D79" s="40">
        <v>50000</v>
      </c>
      <c r="E79" s="112"/>
      <c r="F79" s="72">
        <v>50000</v>
      </c>
      <c r="G79" s="65" t="s">
        <v>109</v>
      </c>
      <c r="H79" s="124"/>
      <c r="I79" s="28"/>
      <c r="J79" s="28"/>
      <c r="K79" s="29">
        <v>10</v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10"/>
      <c r="Y79" s="10"/>
    </row>
    <row r="80" spans="1:25" ht="29.25" customHeight="1" x14ac:dyDescent="0.2">
      <c r="A80" s="79"/>
      <c r="B80" s="80" t="s">
        <v>134</v>
      </c>
      <c r="C80" s="66" t="s">
        <v>32</v>
      </c>
      <c r="D80" s="76">
        <v>5000</v>
      </c>
      <c r="E80" s="76">
        <v>5000</v>
      </c>
      <c r="F80" s="76">
        <v>5000</v>
      </c>
      <c r="G80" s="81"/>
      <c r="H80" s="81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1"/>
      <c r="Y80" s="1"/>
    </row>
    <row r="81" spans="1:25" ht="15.75" customHeight="1" x14ac:dyDescent="0.25">
      <c r="A81" s="79"/>
      <c r="B81" s="80"/>
      <c r="C81" s="30"/>
      <c r="D81" s="82"/>
      <c r="E81" s="83"/>
      <c r="F81" s="83"/>
      <c r="G81" s="81"/>
      <c r="H81" s="81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1"/>
      <c r="Y81" s="1"/>
    </row>
    <row r="82" spans="1:25" ht="15.75" customHeight="1" x14ac:dyDescent="0.25">
      <c r="A82" s="84"/>
      <c r="B82" s="85"/>
      <c r="C82" s="1"/>
      <c r="D82" s="6"/>
      <c r="E82" s="86"/>
      <c r="F82" s="86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84"/>
      <c r="B83" s="85"/>
      <c r="C83" s="1"/>
      <c r="D83" s="6"/>
      <c r="E83" s="87">
        <f>SUM(E10:E79)</f>
        <v>763450</v>
      </c>
      <c r="F83" s="86">
        <f>SUM(F7:F79)</f>
        <v>718450</v>
      </c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88"/>
      <c r="B84" s="3"/>
      <c r="C84" s="89"/>
      <c r="D84" s="89"/>
      <c r="E84" s="89"/>
      <c r="F84" s="89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88" t="s">
        <v>114</v>
      </c>
      <c r="B85" s="3"/>
      <c r="C85" s="123"/>
      <c r="D85" s="117"/>
      <c r="E85" s="117"/>
      <c r="F85" s="89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hidden="1" customHeight="1" x14ac:dyDescent="0.25">
      <c r="A86" s="90" t="s">
        <v>115</v>
      </c>
      <c r="B86" s="91"/>
      <c r="C86" s="110">
        <f>PRODUCT(C85,0.1)</f>
        <v>0.1</v>
      </c>
      <c r="D86" s="111"/>
      <c r="E86" s="112"/>
      <c r="F86" s="89"/>
      <c r="G86" s="8"/>
      <c r="H86" s="8"/>
      <c r="I86" s="153"/>
      <c r="J86" s="117"/>
      <c r="K86" s="153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92"/>
      <c r="W86" s="1"/>
      <c r="X86" s="1"/>
      <c r="Y86" s="1"/>
    </row>
    <row r="87" spans="1:25" ht="15.75" hidden="1" customHeight="1" x14ac:dyDescent="0.25">
      <c r="A87" s="79" t="s">
        <v>116</v>
      </c>
      <c r="B87" s="93"/>
      <c r="C87" s="113">
        <f>PRODUCT(C85,0.1)</f>
        <v>0.1</v>
      </c>
      <c r="D87" s="114"/>
      <c r="E87" s="115"/>
      <c r="F87" s="89"/>
      <c r="G87" s="8"/>
      <c r="H87" s="8"/>
      <c r="I87" s="94"/>
      <c r="J87" s="94"/>
      <c r="K87" s="149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95"/>
      <c r="W87" s="1"/>
      <c r="X87" s="1"/>
      <c r="Y87" s="1"/>
    </row>
    <row r="88" spans="1:25" ht="15.75" hidden="1" customHeight="1" x14ac:dyDescent="0.25">
      <c r="A88" s="79" t="s">
        <v>117</v>
      </c>
      <c r="B88" s="93"/>
      <c r="C88" s="113">
        <f>SUM(C85:E87)</f>
        <v>0.2</v>
      </c>
      <c r="D88" s="114"/>
      <c r="E88" s="115"/>
      <c r="F88" s="89"/>
      <c r="G88" s="8"/>
      <c r="H88" s="8"/>
      <c r="I88" s="94"/>
      <c r="J88" s="94"/>
      <c r="K88" s="149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95"/>
      <c r="W88" s="1"/>
      <c r="X88" s="1"/>
      <c r="Y88" s="1"/>
    </row>
    <row r="89" spans="1:25" ht="15.75" customHeight="1" x14ac:dyDescent="0.2">
      <c r="A89" s="96"/>
      <c r="B89" s="3"/>
      <c r="C89" s="1"/>
      <c r="D89" s="6"/>
      <c r="E89" s="7"/>
      <c r="F89" s="7"/>
      <c r="G89" s="8"/>
      <c r="H89" s="8"/>
      <c r="I89" s="94"/>
      <c r="J89" s="94"/>
      <c r="K89" s="149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95"/>
      <c r="W89" s="1"/>
      <c r="X89" s="1"/>
      <c r="Y89" s="1"/>
    </row>
    <row r="90" spans="1:25" ht="15.75" customHeight="1" x14ac:dyDescent="0.2">
      <c r="A90" s="97" t="s">
        <v>118</v>
      </c>
      <c r="B90" s="3"/>
      <c r="C90" s="1"/>
      <c r="D90" s="6"/>
      <c r="E90" s="7"/>
      <c r="F90" s="7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">
      <c r="A91" s="98"/>
      <c r="B91" s="3"/>
      <c r="C91" s="1"/>
      <c r="D91" s="6"/>
      <c r="E91" s="7"/>
      <c r="F91" s="7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">
      <c r="A92" s="99" t="s">
        <v>119</v>
      </c>
      <c r="B92" s="85"/>
      <c r="C92" s="116" t="s">
        <v>120</v>
      </c>
      <c r="D92" s="117"/>
      <c r="E92" s="117"/>
      <c r="F92" s="100"/>
      <c r="G92" s="94"/>
      <c r="H92" s="94"/>
      <c r="I92" s="1"/>
      <c r="J92" s="116" t="s">
        <v>121</v>
      </c>
      <c r="K92" s="117"/>
      <c r="L92" s="117"/>
      <c r="M92" s="117"/>
      <c r="N92" s="117"/>
      <c r="O92" s="117"/>
      <c r="P92" s="1"/>
      <c r="Q92" s="1"/>
      <c r="R92" s="116" t="s">
        <v>122</v>
      </c>
      <c r="S92" s="117"/>
      <c r="T92" s="117"/>
      <c r="U92" s="117"/>
      <c r="V92" s="1"/>
      <c r="W92" s="154"/>
      <c r="X92" s="117"/>
      <c r="Y92" s="94"/>
    </row>
    <row r="93" spans="1:25" ht="15.75" customHeight="1" x14ac:dyDescent="0.2">
      <c r="A93" s="99"/>
      <c r="B93" s="85"/>
      <c r="C93" s="100"/>
      <c r="D93" s="101"/>
      <c r="E93" s="100"/>
      <c r="F93" s="100"/>
      <c r="G93" s="94"/>
      <c r="H93" s="94"/>
      <c r="I93" s="1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94"/>
      <c r="Y93" s="94"/>
    </row>
    <row r="94" spans="1:25" ht="15.75" customHeight="1" x14ac:dyDescent="0.2">
      <c r="A94" s="85"/>
      <c r="B94" s="85"/>
      <c r="C94" s="94"/>
      <c r="D94" s="102"/>
      <c r="E94" s="103"/>
      <c r="F94" s="103"/>
      <c r="G94" s="94"/>
      <c r="H94" s="94"/>
      <c r="I94" s="1"/>
      <c r="J94" s="94"/>
      <c r="K94" s="103"/>
      <c r="L94" s="103"/>
      <c r="M94" s="103"/>
      <c r="N94" s="103"/>
      <c r="O94" s="103"/>
      <c r="P94" s="103"/>
      <c r="Q94" s="103"/>
      <c r="R94" s="94"/>
      <c r="S94" s="103"/>
      <c r="T94" s="94"/>
      <c r="U94" s="94"/>
      <c r="V94" s="94"/>
      <c r="W94" s="94"/>
      <c r="X94" s="94"/>
      <c r="Y94" s="94"/>
    </row>
    <row r="95" spans="1:25" ht="15.75" customHeight="1" x14ac:dyDescent="0.2">
      <c r="A95" s="145" t="s">
        <v>123</v>
      </c>
      <c r="B95" s="117"/>
      <c r="C95" s="146" t="s">
        <v>124</v>
      </c>
      <c r="D95" s="117"/>
      <c r="E95" s="117"/>
      <c r="F95" s="117"/>
      <c r="G95" s="117"/>
      <c r="H95" s="1"/>
      <c r="I95" s="1"/>
      <c r="J95" s="146" t="s">
        <v>125</v>
      </c>
      <c r="K95" s="117"/>
      <c r="L95" s="117"/>
      <c r="M95" s="117"/>
      <c r="N95" s="117"/>
      <c r="O95" s="117"/>
      <c r="P95" s="1"/>
      <c r="Q95" s="1"/>
      <c r="R95" s="146" t="s">
        <v>126</v>
      </c>
      <c r="S95" s="117"/>
      <c r="T95" s="117"/>
      <c r="U95" s="117"/>
      <c r="V95" s="1"/>
      <c r="W95" s="154"/>
      <c r="X95" s="117"/>
      <c r="Y95" s="117"/>
    </row>
    <row r="96" spans="1:25" ht="15" customHeight="1" x14ac:dyDescent="0.2">
      <c r="A96" s="147" t="s">
        <v>127</v>
      </c>
      <c r="B96" s="117"/>
      <c r="C96" s="148" t="s">
        <v>128</v>
      </c>
      <c r="D96" s="117"/>
      <c r="E96" s="117"/>
      <c r="F96" s="117"/>
      <c r="G96" s="117"/>
      <c r="H96" s="104"/>
      <c r="I96" s="1"/>
      <c r="J96" s="150" t="s">
        <v>129</v>
      </c>
      <c r="K96" s="117"/>
      <c r="L96" s="117"/>
      <c r="M96" s="117"/>
      <c r="N96" s="117"/>
      <c r="O96" s="117"/>
      <c r="P96" s="1"/>
      <c r="Q96" s="1"/>
      <c r="R96" s="148" t="s">
        <v>130</v>
      </c>
      <c r="S96" s="117"/>
      <c r="T96" s="117"/>
      <c r="U96" s="117"/>
      <c r="V96" s="1"/>
      <c r="W96" s="1"/>
      <c r="X96" s="94"/>
      <c r="Y96" s="94"/>
    </row>
    <row r="97" spans="1:25" ht="15.75" customHeight="1" x14ac:dyDescent="0.2">
      <c r="A97" s="1"/>
      <c r="B97" s="1"/>
      <c r="C97" s="1"/>
      <c r="D97" s="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">
      <c r="A98" s="1" t="s">
        <v>131</v>
      </c>
      <c r="B98" s="1"/>
      <c r="C98" s="1" t="s">
        <v>131</v>
      </c>
      <c r="D98" s="6"/>
      <c r="E98" s="1"/>
      <c r="F98" s="1"/>
      <c r="G98" s="1"/>
      <c r="H98" s="1"/>
      <c r="I98" s="1"/>
      <c r="J98" s="1" t="s">
        <v>131</v>
      </c>
      <c r="K98" s="1"/>
      <c r="L98" s="1"/>
      <c r="M98" s="1"/>
      <c r="N98" s="1"/>
      <c r="O98" s="1"/>
      <c r="P98" s="1"/>
      <c r="Q98" s="1"/>
      <c r="R98" s="1" t="s">
        <v>131</v>
      </c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D99" s="105"/>
      <c r="I99" s="151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</row>
    <row r="100" spans="1:25" ht="15.75" customHeight="1" x14ac:dyDescent="0.25">
      <c r="D100" s="105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</row>
    <row r="101" spans="1:25" ht="15.75" customHeight="1" x14ac:dyDescent="0.25">
      <c r="D101" s="105"/>
      <c r="I101" s="107"/>
      <c r="J101" s="108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</row>
    <row r="102" spans="1:25" ht="15.75" customHeight="1" x14ac:dyDescent="0.25">
      <c r="D102" s="105"/>
      <c r="I102" s="152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</row>
    <row r="103" spans="1:25" ht="15.75" customHeight="1" x14ac:dyDescent="0.25">
      <c r="D103" s="105"/>
      <c r="I103" s="144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</row>
    <row r="104" spans="1:25" ht="15.75" customHeight="1" x14ac:dyDescent="0.25">
      <c r="D104" s="105"/>
    </row>
    <row r="105" spans="1:25" ht="15.75" customHeight="1" x14ac:dyDescent="0.25">
      <c r="D105" s="105"/>
    </row>
    <row r="106" spans="1:25" ht="15.75" customHeight="1" x14ac:dyDescent="0.25">
      <c r="D106" s="105"/>
    </row>
    <row r="107" spans="1:25" ht="15.75" customHeight="1" x14ac:dyDescent="0.25">
      <c r="D107" s="105"/>
    </row>
    <row r="108" spans="1:25" ht="15.75" customHeight="1" x14ac:dyDescent="0.25">
      <c r="D108" s="105"/>
    </row>
    <row r="109" spans="1:25" ht="15.75" customHeight="1" x14ac:dyDescent="0.25">
      <c r="D109" s="105"/>
    </row>
    <row r="110" spans="1:25" ht="15.75" customHeight="1" x14ac:dyDescent="0.25">
      <c r="D110" s="105"/>
    </row>
    <row r="111" spans="1:25" ht="15.75" customHeight="1" x14ac:dyDescent="0.25">
      <c r="D111" s="105"/>
    </row>
    <row r="112" spans="1:25" ht="15.75" customHeight="1" x14ac:dyDescent="0.25">
      <c r="D112" s="105"/>
    </row>
    <row r="113" spans="4:4" ht="15.75" customHeight="1" x14ac:dyDescent="0.25">
      <c r="D113" s="105"/>
    </row>
    <row r="114" spans="4:4" ht="15.75" customHeight="1" x14ac:dyDescent="0.25">
      <c r="D114" s="105"/>
    </row>
    <row r="115" spans="4:4" ht="15.75" customHeight="1" x14ac:dyDescent="0.25">
      <c r="D115" s="105"/>
    </row>
    <row r="116" spans="4:4" ht="15.75" customHeight="1" x14ac:dyDescent="0.25">
      <c r="D116" s="105"/>
    </row>
    <row r="117" spans="4:4" ht="15.75" customHeight="1" x14ac:dyDescent="0.25">
      <c r="D117" s="105"/>
    </row>
    <row r="118" spans="4:4" ht="15.75" customHeight="1" x14ac:dyDescent="0.25">
      <c r="D118" s="105"/>
    </row>
    <row r="119" spans="4:4" ht="15.75" customHeight="1" x14ac:dyDescent="0.25">
      <c r="D119" s="105"/>
    </row>
    <row r="120" spans="4:4" ht="15.75" customHeight="1" x14ac:dyDescent="0.25">
      <c r="D120" s="105"/>
    </row>
    <row r="121" spans="4:4" ht="15.75" customHeight="1" x14ac:dyDescent="0.25">
      <c r="D121" s="105"/>
    </row>
    <row r="122" spans="4:4" ht="15.75" customHeight="1" x14ac:dyDescent="0.25">
      <c r="D122" s="105"/>
    </row>
    <row r="123" spans="4:4" ht="15.75" customHeight="1" x14ac:dyDescent="0.25">
      <c r="D123" s="105"/>
    </row>
    <row r="124" spans="4:4" ht="15.75" customHeight="1" x14ac:dyDescent="0.25">
      <c r="D124" s="105"/>
    </row>
    <row r="125" spans="4:4" ht="15.75" customHeight="1" x14ac:dyDescent="0.25">
      <c r="D125" s="105"/>
    </row>
    <row r="126" spans="4:4" ht="15.75" customHeight="1" x14ac:dyDescent="0.25">
      <c r="D126" s="105"/>
    </row>
    <row r="127" spans="4:4" ht="15.75" customHeight="1" x14ac:dyDescent="0.25">
      <c r="D127" s="105"/>
    </row>
    <row r="128" spans="4:4" ht="15.75" customHeight="1" x14ac:dyDescent="0.25">
      <c r="D128" s="105"/>
    </row>
    <row r="129" spans="4:4" ht="15.75" customHeight="1" x14ac:dyDescent="0.25">
      <c r="D129" s="105"/>
    </row>
    <row r="130" spans="4:4" ht="15.75" customHeight="1" x14ac:dyDescent="0.25">
      <c r="D130" s="105"/>
    </row>
    <row r="131" spans="4:4" ht="15.75" customHeight="1" x14ac:dyDescent="0.25">
      <c r="D131" s="105"/>
    </row>
    <row r="132" spans="4:4" ht="15.75" customHeight="1" x14ac:dyDescent="0.25">
      <c r="D132" s="105"/>
    </row>
    <row r="133" spans="4:4" ht="15.75" customHeight="1" x14ac:dyDescent="0.25">
      <c r="D133" s="105"/>
    </row>
    <row r="134" spans="4:4" ht="15.75" customHeight="1" x14ac:dyDescent="0.25">
      <c r="D134" s="105"/>
    </row>
    <row r="135" spans="4:4" ht="15.75" customHeight="1" x14ac:dyDescent="0.25">
      <c r="D135" s="105"/>
    </row>
    <row r="136" spans="4:4" ht="15.75" customHeight="1" x14ac:dyDescent="0.25">
      <c r="D136" s="105"/>
    </row>
    <row r="137" spans="4:4" ht="15.75" customHeight="1" x14ac:dyDescent="0.25">
      <c r="D137" s="105"/>
    </row>
    <row r="138" spans="4:4" ht="15.75" customHeight="1" x14ac:dyDescent="0.25">
      <c r="D138" s="105"/>
    </row>
    <row r="139" spans="4:4" ht="15.75" customHeight="1" x14ac:dyDescent="0.25">
      <c r="D139" s="105"/>
    </row>
    <row r="140" spans="4:4" ht="15.75" customHeight="1" x14ac:dyDescent="0.25">
      <c r="D140" s="105"/>
    </row>
    <row r="141" spans="4:4" ht="15.75" customHeight="1" x14ac:dyDescent="0.25">
      <c r="D141" s="105"/>
    </row>
    <row r="142" spans="4:4" ht="15.75" customHeight="1" x14ac:dyDescent="0.25">
      <c r="D142" s="105"/>
    </row>
    <row r="143" spans="4:4" ht="15.75" customHeight="1" x14ac:dyDescent="0.25">
      <c r="D143" s="105"/>
    </row>
    <row r="144" spans="4:4" ht="15.75" customHeight="1" x14ac:dyDescent="0.25">
      <c r="D144" s="105"/>
    </row>
    <row r="145" spans="4:4" ht="15.75" customHeight="1" x14ac:dyDescent="0.25">
      <c r="D145" s="105"/>
    </row>
    <row r="146" spans="4:4" ht="15.75" customHeight="1" x14ac:dyDescent="0.25">
      <c r="D146" s="105"/>
    </row>
    <row r="147" spans="4:4" ht="15.75" customHeight="1" x14ac:dyDescent="0.25">
      <c r="D147" s="105"/>
    </row>
    <row r="148" spans="4:4" ht="15.75" customHeight="1" x14ac:dyDescent="0.25">
      <c r="D148" s="105"/>
    </row>
    <row r="149" spans="4:4" ht="15.75" customHeight="1" x14ac:dyDescent="0.25">
      <c r="D149" s="105"/>
    </row>
    <row r="150" spans="4:4" ht="15.75" customHeight="1" x14ac:dyDescent="0.25">
      <c r="D150" s="105"/>
    </row>
    <row r="151" spans="4:4" ht="15.75" customHeight="1" x14ac:dyDescent="0.25">
      <c r="D151" s="105"/>
    </row>
    <row r="152" spans="4:4" ht="15.75" customHeight="1" x14ac:dyDescent="0.25">
      <c r="D152" s="105"/>
    </row>
    <row r="153" spans="4:4" ht="15.75" customHeight="1" x14ac:dyDescent="0.25">
      <c r="D153" s="105"/>
    </row>
    <row r="154" spans="4:4" ht="15.75" customHeight="1" x14ac:dyDescent="0.25">
      <c r="D154" s="105"/>
    </row>
    <row r="155" spans="4:4" ht="15.75" customHeight="1" x14ac:dyDescent="0.25">
      <c r="D155" s="105"/>
    </row>
    <row r="156" spans="4:4" ht="15.75" customHeight="1" x14ac:dyDescent="0.25">
      <c r="D156" s="105"/>
    </row>
    <row r="157" spans="4:4" ht="15.75" customHeight="1" x14ac:dyDescent="0.25">
      <c r="D157" s="105"/>
    </row>
    <row r="158" spans="4:4" ht="15.75" customHeight="1" x14ac:dyDescent="0.25">
      <c r="D158" s="105"/>
    </row>
    <row r="159" spans="4:4" ht="15.75" customHeight="1" x14ac:dyDescent="0.25">
      <c r="D159" s="105"/>
    </row>
    <row r="160" spans="4:4" ht="15.75" customHeight="1" x14ac:dyDescent="0.25">
      <c r="D160" s="105"/>
    </row>
    <row r="161" spans="4:4" ht="15.75" customHeight="1" x14ac:dyDescent="0.25">
      <c r="D161" s="105"/>
    </row>
    <row r="162" spans="4:4" ht="15.75" customHeight="1" x14ac:dyDescent="0.25">
      <c r="D162" s="105"/>
    </row>
    <row r="163" spans="4:4" ht="15.75" customHeight="1" x14ac:dyDescent="0.25">
      <c r="D163" s="105"/>
    </row>
    <row r="164" spans="4:4" ht="15.75" customHeight="1" x14ac:dyDescent="0.25">
      <c r="D164" s="105"/>
    </row>
    <row r="165" spans="4:4" ht="15.75" customHeight="1" x14ac:dyDescent="0.25">
      <c r="D165" s="105"/>
    </row>
    <row r="166" spans="4:4" ht="15.75" customHeight="1" x14ac:dyDescent="0.25">
      <c r="D166" s="105"/>
    </row>
    <row r="167" spans="4:4" ht="15.75" customHeight="1" x14ac:dyDescent="0.25">
      <c r="D167" s="105"/>
    </row>
    <row r="168" spans="4:4" ht="15.75" customHeight="1" x14ac:dyDescent="0.25">
      <c r="D168" s="105"/>
    </row>
    <row r="169" spans="4:4" ht="15.75" customHeight="1" x14ac:dyDescent="0.25">
      <c r="D169" s="105"/>
    </row>
    <row r="170" spans="4:4" ht="15.75" customHeight="1" x14ac:dyDescent="0.25">
      <c r="D170" s="105"/>
    </row>
    <row r="171" spans="4:4" ht="15.75" customHeight="1" x14ac:dyDescent="0.25">
      <c r="D171" s="105"/>
    </row>
    <row r="172" spans="4:4" ht="15.75" customHeight="1" x14ac:dyDescent="0.25">
      <c r="D172" s="105"/>
    </row>
    <row r="173" spans="4:4" ht="15.75" customHeight="1" x14ac:dyDescent="0.25">
      <c r="D173" s="105"/>
    </row>
    <row r="174" spans="4:4" ht="15.75" customHeight="1" x14ac:dyDescent="0.25">
      <c r="D174" s="105"/>
    </row>
    <row r="175" spans="4:4" ht="15.75" customHeight="1" x14ac:dyDescent="0.25">
      <c r="D175" s="105"/>
    </row>
    <row r="176" spans="4:4" ht="15.75" customHeight="1" x14ac:dyDescent="0.25">
      <c r="D176" s="105"/>
    </row>
    <row r="177" spans="4:4" ht="15.75" customHeight="1" x14ac:dyDescent="0.25">
      <c r="D177" s="105"/>
    </row>
    <row r="178" spans="4:4" ht="15.75" customHeight="1" x14ac:dyDescent="0.25">
      <c r="D178" s="105"/>
    </row>
    <row r="179" spans="4:4" ht="15.75" customHeight="1" x14ac:dyDescent="0.25">
      <c r="D179" s="105"/>
    </row>
    <row r="180" spans="4:4" ht="15.75" customHeight="1" x14ac:dyDescent="0.25">
      <c r="D180" s="105"/>
    </row>
    <row r="181" spans="4:4" ht="15.75" customHeight="1" x14ac:dyDescent="0.25">
      <c r="D181" s="105"/>
    </row>
    <row r="182" spans="4:4" ht="15.75" customHeight="1" x14ac:dyDescent="0.25">
      <c r="D182" s="105"/>
    </row>
    <row r="183" spans="4:4" ht="15.75" customHeight="1" x14ac:dyDescent="0.25">
      <c r="D183" s="105"/>
    </row>
    <row r="184" spans="4:4" ht="15.75" customHeight="1" x14ac:dyDescent="0.25">
      <c r="D184" s="105"/>
    </row>
    <row r="185" spans="4:4" ht="15.75" customHeight="1" x14ac:dyDescent="0.25">
      <c r="D185" s="105"/>
    </row>
    <row r="186" spans="4:4" ht="15.75" customHeight="1" x14ac:dyDescent="0.25">
      <c r="D186" s="105"/>
    </row>
    <row r="187" spans="4:4" ht="15.75" customHeight="1" x14ac:dyDescent="0.25">
      <c r="D187" s="105"/>
    </row>
    <row r="188" spans="4:4" ht="15.75" customHeight="1" x14ac:dyDescent="0.25">
      <c r="D188" s="105"/>
    </row>
    <row r="189" spans="4:4" ht="15.75" customHeight="1" x14ac:dyDescent="0.25">
      <c r="D189" s="105"/>
    </row>
    <row r="190" spans="4:4" ht="15.75" customHeight="1" x14ac:dyDescent="0.25">
      <c r="D190" s="105"/>
    </row>
    <row r="191" spans="4:4" ht="15.75" customHeight="1" x14ac:dyDescent="0.25">
      <c r="D191" s="105"/>
    </row>
    <row r="192" spans="4:4" ht="15.75" customHeight="1" x14ac:dyDescent="0.25">
      <c r="D192" s="105"/>
    </row>
    <row r="193" spans="4:4" ht="15.75" customHeight="1" x14ac:dyDescent="0.25">
      <c r="D193" s="105"/>
    </row>
    <row r="194" spans="4:4" ht="15.75" customHeight="1" x14ac:dyDescent="0.25">
      <c r="D194" s="105"/>
    </row>
    <row r="195" spans="4:4" ht="15.75" customHeight="1" x14ac:dyDescent="0.25">
      <c r="D195" s="105"/>
    </row>
    <row r="196" spans="4:4" ht="15.75" customHeight="1" x14ac:dyDescent="0.25">
      <c r="D196" s="105"/>
    </row>
    <row r="197" spans="4:4" ht="15.75" customHeight="1" x14ac:dyDescent="0.25">
      <c r="D197" s="105"/>
    </row>
    <row r="198" spans="4:4" ht="15.75" customHeight="1" x14ac:dyDescent="0.25">
      <c r="D198" s="105"/>
    </row>
    <row r="199" spans="4:4" ht="15.75" customHeight="1" x14ac:dyDescent="0.25">
      <c r="D199" s="105"/>
    </row>
    <row r="200" spans="4:4" ht="15.75" customHeight="1" x14ac:dyDescent="0.25">
      <c r="D200" s="105"/>
    </row>
    <row r="201" spans="4:4" ht="15.75" customHeight="1" x14ac:dyDescent="0.25">
      <c r="D201" s="105"/>
    </row>
    <row r="202" spans="4:4" ht="15.75" customHeight="1" x14ac:dyDescent="0.25">
      <c r="D202" s="105"/>
    </row>
    <row r="203" spans="4:4" ht="15.75" customHeight="1" x14ac:dyDescent="0.25">
      <c r="D203" s="105"/>
    </row>
    <row r="204" spans="4:4" ht="15.75" customHeight="1" x14ac:dyDescent="0.25">
      <c r="D204" s="105"/>
    </row>
    <row r="205" spans="4:4" ht="15.75" customHeight="1" x14ac:dyDescent="0.25">
      <c r="D205" s="105"/>
    </row>
    <row r="206" spans="4:4" ht="15.75" customHeight="1" x14ac:dyDescent="0.25">
      <c r="D206" s="105"/>
    </row>
    <row r="207" spans="4:4" ht="15.75" customHeight="1" x14ac:dyDescent="0.25">
      <c r="D207" s="105"/>
    </row>
    <row r="208" spans="4:4" ht="15.75" customHeight="1" x14ac:dyDescent="0.25">
      <c r="D208" s="105"/>
    </row>
    <row r="209" spans="4:4" ht="15.75" customHeight="1" x14ac:dyDescent="0.25">
      <c r="D209" s="105"/>
    </row>
    <row r="210" spans="4:4" ht="15.75" customHeight="1" x14ac:dyDescent="0.25">
      <c r="D210" s="105"/>
    </row>
    <row r="211" spans="4:4" ht="15.75" customHeight="1" x14ac:dyDescent="0.25">
      <c r="D211" s="105"/>
    </row>
    <row r="212" spans="4:4" ht="15.75" customHeight="1" x14ac:dyDescent="0.25">
      <c r="D212" s="105"/>
    </row>
    <row r="213" spans="4:4" ht="15.75" customHeight="1" x14ac:dyDescent="0.25">
      <c r="D213" s="105"/>
    </row>
    <row r="214" spans="4:4" ht="15.75" customHeight="1" x14ac:dyDescent="0.25">
      <c r="D214" s="105"/>
    </row>
    <row r="215" spans="4:4" ht="15.75" customHeight="1" x14ac:dyDescent="0.25">
      <c r="D215" s="105"/>
    </row>
    <row r="216" spans="4:4" ht="15.75" customHeight="1" x14ac:dyDescent="0.25">
      <c r="D216" s="105"/>
    </row>
    <row r="217" spans="4:4" ht="15.75" customHeight="1" x14ac:dyDescent="0.25">
      <c r="D217" s="105"/>
    </row>
    <row r="218" spans="4:4" ht="15.75" customHeight="1" x14ac:dyDescent="0.25">
      <c r="D218" s="105"/>
    </row>
    <row r="219" spans="4:4" ht="15.75" customHeight="1" x14ac:dyDescent="0.25">
      <c r="D219" s="105"/>
    </row>
    <row r="220" spans="4:4" ht="15.75" customHeight="1" x14ac:dyDescent="0.25">
      <c r="D220" s="105"/>
    </row>
    <row r="221" spans="4:4" ht="15.75" customHeight="1" x14ac:dyDescent="0.25">
      <c r="D221" s="105"/>
    </row>
    <row r="222" spans="4:4" ht="15.75" customHeight="1" x14ac:dyDescent="0.25">
      <c r="D222" s="105"/>
    </row>
    <row r="223" spans="4:4" ht="15.75" customHeight="1" x14ac:dyDescent="0.25">
      <c r="D223" s="105"/>
    </row>
    <row r="224" spans="4:4" ht="15.75" customHeight="1" x14ac:dyDescent="0.25">
      <c r="D224" s="105"/>
    </row>
    <row r="225" spans="4:4" ht="15.75" customHeight="1" x14ac:dyDescent="0.25">
      <c r="D225" s="105"/>
    </row>
    <row r="226" spans="4:4" ht="15.75" customHeight="1" x14ac:dyDescent="0.25">
      <c r="D226" s="105"/>
    </row>
    <row r="227" spans="4:4" ht="15.75" customHeight="1" x14ac:dyDescent="0.25">
      <c r="D227" s="105"/>
    </row>
    <row r="228" spans="4:4" ht="15.75" customHeight="1" x14ac:dyDescent="0.25">
      <c r="D228" s="105"/>
    </row>
    <row r="229" spans="4:4" ht="15.75" customHeight="1" x14ac:dyDescent="0.25">
      <c r="D229" s="105"/>
    </row>
    <row r="230" spans="4:4" ht="15.75" customHeight="1" x14ac:dyDescent="0.25">
      <c r="D230" s="105"/>
    </row>
    <row r="231" spans="4:4" ht="15.75" customHeight="1" x14ac:dyDescent="0.25">
      <c r="D231" s="105"/>
    </row>
    <row r="232" spans="4:4" ht="15.75" customHeight="1" x14ac:dyDescent="0.25">
      <c r="D232" s="105"/>
    </row>
    <row r="233" spans="4:4" ht="15.75" customHeight="1" x14ac:dyDescent="0.25">
      <c r="D233" s="105"/>
    </row>
    <row r="234" spans="4:4" ht="15.75" customHeight="1" x14ac:dyDescent="0.25">
      <c r="D234" s="105"/>
    </row>
    <row r="235" spans="4:4" ht="15.75" customHeight="1" x14ac:dyDescent="0.25">
      <c r="D235" s="105"/>
    </row>
    <row r="236" spans="4:4" ht="15.75" customHeight="1" x14ac:dyDescent="0.25">
      <c r="D236" s="105"/>
    </row>
    <row r="237" spans="4:4" ht="15.75" customHeight="1" x14ac:dyDescent="0.25">
      <c r="D237" s="105"/>
    </row>
    <row r="238" spans="4:4" ht="15.75" customHeight="1" x14ac:dyDescent="0.25">
      <c r="D238" s="105"/>
    </row>
    <row r="239" spans="4:4" ht="15.75" customHeight="1" x14ac:dyDescent="0.25">
      <c r="D239" s="105"/>
    </row>
    <row r="240" spans="4:4" ht="15.75" customHeight="1" x14ac:dyDescent="0.25">
      <c r="D240" s="105"/>
    </row>
    <row r="241" spans="4:4" ht="15.75" customHeight="1" x14ac:dyDescent="0.25">
      <c r="D241" s="105"/>
    </row>
    <row r="242" spans="4:4" ht="15.75" customHeight="1" x14ac:dyDescent="0.25">
      <c r="D242" s="105"/>
    </row>
    <row r="243" spans="4:4" ht="15.75" customHeight="1" x14ac:dyDescent="0.25">
      <c r="D243" s="105"/>
    </row>
    <row r="244" spans="4:4" ht="15.75" customHeight="1" x14ac:dyDescent="0.25">
      <c r="D244" s="105"/>
    </row>
    <row r="245" spans="4:4" ht="15.75" customHeight="1" x14ac:dyDescent="0.25">
      <c r="D245" s="105"/>
    </row>
    <row r="246" spans="4:4" ht="15.75" customHeight="1" x14ac:dyDescent="0.25">
      <c r="D246" s="105"/>
    </row>
    <row r="247" spans="4:4" ht="15.75" customHeight="1" x14ac:dyDescent="0.25">
      <c r="D247" s="105"/>
    </row>
    <row r="248" spans="4:4" ht="15.75" customHeight="1" x14ac:dyDescent="0.25">
      <c r="D248" s="105"/>
    </row>
    <row r="249" spans="4:4" ht="15.75" customHeight="1" x14ac:dyDescent="0.25">
      <c r="D249" s="105"/>
    </row>
    <row r="250" spans="4:4" ht="15.75" customHeight="1" x14ac:dyDescent="0.25">
      <c r="D250" s="105"/>
    </row>
    <row r="251" spans="4:4" ht="15.75" customHeight="1" x14ac:dyDescent="0.25">
      <c r="D251" s="105"/>
    </row>
    <row r="252" spans="4:4" ht="15.75" customHeight="1" x14ac:dyDescent="0.25">
      <c r="D252" s="105"/>
    </row>
    <row r="253" spans="4:4" ht="15.75" customHeight="1" x14ac:dyDescent="0.25">
      <c r="D253" s="105"/>
    </row>
    <row r="254" spans="4:4" ht="15.75" customHeight="1" x14ac:dyDescent="0.25">
      <c r="D254" s="105"/>
    </row>
    <row r="255" spans="4:4" ht="15.75" customHeight="1" x14ac:dyDescent="0.25">
      <c r="D255" s="105"/>
    </row>
    <row r="256" spans="4:4" ht="15.75" customHeight="1" x14ac:dyDescent="0.25">
      <c r="D256" s="105"/>
    </row>
    <row r="257" spans="4:4" ht="15.75" customHeight="1" x14ac:dyDescent="0.25">
      <c r="D257" s="105"/>
    </row>
    <row r="258" spans="4:4" ht="15.75" customHeight="1" x14ac:dyDescent="0.25">
      <c r="D258" s="105"/>
    </row>
    <row r="259" spans="4:4" ht="15.75" customHeight="1" x14ac:dyDescent="0.25">
      <c r="D259" s="105"/>
    </row>
    <row r="260" spans="4:4" ht="15.75" customHeight="1" x14ac:dyDescent="0.25">
      <c r="D260" s="105"/>
    </row>
    <row r="261" spans="4:4" ht="15.75" customHeight="1" x14ac:dyDescent="0.25">
      <c r="D261" s="105"/>
    </row>
    <row r="262" spans="4:4" ht="15.75" customHeight="1" x14ac:dyDescent="0.25">
      <c r="D262" s="105"/>
    </row>
    <row r="263" spans="4:4" ht="15.75" customHeight="1" x14ac:dyDescent="0.25">
      <c r="D263" s="105"/>
    </row>
    <row r="264" spans="4:4" ht="15.75" customHeight="1" x14ac:dyDescent="0.25">
      <c r="D264" s="105"/>
    </row>
    <row r="265" spans="4:4" ht="15.75" customHeight="1" x14ac:dyDescent="0.25">
      <c r="D265" s="105"/>
    </row>
    <row r="266" spans="4:4" ht="15.75" customHeight="1" x14ac:dyDescent="0.25">
      <c r="D266" s="105"/>
    </row>
    <row r="267" spans="4:4" ht="15.75" customHeight="1" x14ac:dyDescent="0.25">
      <c r="D267" s="105"/>
    </row>
    <row r="268" spans="4:4" ht="15.75" customHeight="1" x14ac:dyDescent="0.25">
      <c r="D268" s="105"/>
    </row>
    <row r="269" spans="4:4" ht="15.75" customHeight="1" x14ac:dyDescent="0.25">
      <c r="D269" s="105"/>
    </row>
    <row r="270" spans="4:4" ht="15.75" customHeight="1" x14ac:dyDescent="0.25">
      <c r="D270" s="105"/>
    </row>
    <row r="271" spans="4:4" ht="15.75" customHeight="1" x14ac:dyDescent="0.25">
      <c r="D271" s="105"/>
    </row>
    <row r="272" spans="4:4" ht="15.75" customHeight="1" x14ac:dyDescent="0.25">
      <c r="D272" s="105"/>
    </row>
    <row r="273" spans="4:4" ht="15.75" customHeight="1" x14ac:dyDescent="0.25">
      <c r="D273" s="105"/>
    </row>
    <row r="274" spans="4:4" ht="15.75" customHeight="1" x14ac:dyDescent="0.25">
      <c r="D274" s="105"/>
    </row>
    <row r="275" spans="4:4" ht="15.75" customHeight="1" x14ac:dyDescent="0.25">
      <c r="D275" s="105"/>
    </row>
    <row r="276" spans="4:4" ht="15.75" customHeight="1" x14ac:dyDescent="0.25">
      <c r="D276" s="105"/>
    </row>
    <row r="277" spans="4:4" ht="15.75" customHeight="1" x14ac:dyDescent="0.25">
      <c r="D277" s="105"/>
    </row>
    <row r="278" spans="4:4" ht="15.75" customHeight="1" x14ac:dyDescent="0.25">
      <c r="D278" s="105"/>
    </row>
    <row r="279" spans="4:4" ht="15.75" customHeight="1" x14ac:dyDescent="0.25">
      <c r="D279" s="105"/>
    </row>
    <row r="280" spans="4:4" ht="15.75" customHeight="1" x14ac:dyDescent="0.25">
      <c r="D280" s="105"/>
    </row>
    <row r="281" spans="4:4" ht="15.75" customHeight="1" x14ac:dyDescent="0.25">
      <c r="D281" s="105"/>
    </row>
    <row r="282" spans="4:4" ht="15.75" customHeight="1" x14ac:dyDescent="0.25">
      <c r="D282" s="105"/>
    </row>
    <row r="283" spans="4:4" ht="15.75" customHeight="1" x14ac:dyDescent="0.25">
      <c r="D283" s="105"/>
    </row>
    <row r="284" spans="4:4" ht="15.75" customHeight="1" x14ac:dyDescent="0.25">
      <c r="D284" s="105"/>
    </row>
    <row r="285" spans="4:4" ht="15.75" customHeight="1" x14ac:dyDescent="0.25">
      <c r="D285" s="105"/>
    </row>
    <row r="286" spans="4:4" ht="15.75" customHeight="1" x14ac:dyDescent="0.25">
      <c r="D286" s="105"/>
    </row>
    <row r="287" spans="4:4" ht="15.75" customHeight="1" x14ac:dyDescent="0.25">
      <c r="D287" s="105"/>
    </row>
    <row r="288" spans="4:4" ht="15.75" customHeight="1" x14ac:dyDescent="0.25">
      <c r="D288" s="105"/>
    </row>
    <row r="289" spans="4:4" ht="15.75" customHeight="1" x14ac:dyDescent="0.25">
      <c r="D289" s="105"/>
    </row>
    <row r="290" spans="4:4" ht="15.75" customHeight="1" x14ac:dyDescent="0.25">
      <c r="D290" s="105"/>
    </row>
    <row r="291" spans="4:4" ht="15.75" customHeight="1" x14ac:dyDescent="0.25">
      <c r="D291" s="105"/>
    </row>
    <row r="292" spans="4:4" ht="15.75" customHeight="1" x14ac:dyDescent="0.25">
      <c r="D292" s="105"/>
    </row>
    <row r="293" spans="4:4" ht="15.75" customHeight="1" x14ac:dyDescent="0.25">
      <c r="D293" s="105"/>
    </row>
    <row r="294" spans="4:4" ht="15.75" customHeight="1" x14ac:dyDescent="0.25">
      <c r="D294" s="105"/>
    </row>
    <row r="295" spans="4:4" ht="15.75" customHeight="1" x14ac:dyDescent="0.25">
      <c r="D295" s="105"/>
    </row>
    <row r="296" spans="4:4" ht="15.75" customHeight="1" x14ac:dyDescent="0.25">
      <c r="D296" s="105"/>
    </row>
    <row r="297" spans="4:4" ht="15.75" customHeight="1" x14ac:dyDescent="0.25">
      <c r="D297" s="105"/>
    </row>
    <row r="298" spans="4:4" ht="15.75" customHeight="1" x14ac:dyDescent="0.25">
      <c r="D298" s="105"/>
    </row>
    <row r="299" spans="4:4" ht="15.75" customHeight="1" x14ac:dyDescent="0.2"/>
    <row r="300" spans="4:4" ht="15.75" customHeight="1" x14ac:dyDescent="0.2"/>
    <row r="301" spans="4:4" ht="15.75" customHeight="1" x14ac:dyDescent="0.2"/>
    <row r="302" spans="4:4" ht="15.75" customHeight="1" x14ac:dyDescent="0.2"/>
    <row r="303" spans="4:4" ht="15.75" customHeight="1" x14ac:dyDescent="0.2"/>
    <row r="304" spans="4: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62">
    <mergeCell ref="W92:X92"/>
    <mergeCell ref="W95:Y95"/>
    <mergeCell ref="G70:G72"/>
    <mergeCell ref="H70:H72"/>
    <mergeCell ref="H76:H79"/>
    <mergeCell ref="I86:J86"/>
    <mergeCell ref="K86:U86"/>
    <mergeCell ref="K87:U87"/>
    <mergeCell ref="K88:U88"/>
    <mergeCell ref="J96:O96"/>
    <mergeCell ref="I99:U99"/>
    <mergeCell ref="I102:U102"/>
    <mergeCell ref="K89:U89"/>
    <mergeCell ref="J92:O92"/>
    <mergeCell ref="R92:U92"/>
    <mergeCell ref="I103:U103"/>
    <mergeCell ref="A95:B95"/>
    <mergeCell ref="C95:G95"/>
    <mergeCell ref="J95:O95"/>
    <mergeCell ref="R95:U95"/>
    <mergeCell ref="A96:B96"/>
    <mergeCell ref="C96:G96"/>
    <mergeCell ref="R96:U96"/>
    <mergeCell ref="I8:W8"/>
    <mergeCell ref="A1:W1"/>
    <mergeCell ref="A2:W2"/>
    <mergeCell ref="A3:W3"/>
    <mergeCell ref="A8:A9"/>
    <mergeCell ref="B8:B9"/>
    <mergeCell ref="D8:D9"/>
    <mergeCell ref="E8:E9"/>
    <mergeCell ref="F8:F9"/>
    <mergeCell ref="G8:G9"/>
    <mergeCell ref="C11:C14"/>
    <mergeCell ref="E11:E14"/>
    <mergeCell ref="H8:H9"/>
    <mergeCell ref="H11:H14"/>
    <mergeCell ref="C15:C27"/>
    <mergeCell ref="H15:H27"/>
    <mergeCell ref="G11:G14"/>
    <mergeCell ref="G15:G27"/>
    <mergeCell ref="E15:E22"/>
    <mergeCell ref="E23:E27"/>
    <mergeCell ref="G28:G33"/>
    <mergeCell ref="H28:H61"/>
    <mergeCell ref="G34:G38"/>
    <mergeCell ref="G39:G58"/>
    <mergeCell ref="G59:G61"/>
    <mergeCell ref="C28:C33"/>
    <mergeCell ref="E28:E33"/>
    <mergeCell ref="C34:C58"/>
    <mergeCell ref="E34:E38"/>
    <mergeCell ref="E39:E58"/>
    <mergeCell ref="C86:E86"/>
    <mergeCell ref="C87:E87"/>
    <mergeCell ref="C88:E88"/>
    <mergeCell ref="C92:E92"/>
    <mergeCell ref="C59:C61"/>
    <mergeCell ref="E59:E61"/>
    <mergeCell ref="E70:E72"/>
    <mergeCell ref="E76:E79"/>
    <mergeCell ref="C85:E85"/>
  </mergeCells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Knowledge Transfer</vt:lpstr>
      <vt:lpstr>Revised Knowledge Transfer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2024-01-03T07:55:13Z</dcterms:created>
  <dcterms:modified xsi:type="dcterms:W3CDTF">2024-06-18T02:55:16Z</dcterms:modified>
</cp:coreProperties>
</file>