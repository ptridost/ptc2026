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89">
      <text>
        <t xml:space="preserve">======
ID#AAABEI7QK6w
upmnih    (2021-04-08 04:25:07)
Prepared by: Project Staff/ Research Associate</t>
      </text>
    </comment>
  </commentList>
</comments>
</file>

<file path=xl/sharedStrings.xml><?xml version="1.0" encoding="utf-8"?>
<sst xmlns="http://schemas.openxmlformats.org/spreadsheetml/2006/main" count="195" uniqueCount="155">
  <si>
    <t xml:space="preserve">  PROJECT PROCUREMENT MANAGEMENT PLAN (PPMP) 2024</t>
  </si>
  <si>
    <t>For the 1st Quarter of CY 2024</t>
  </si>
  <si>
    <t>END-USER/UNIT: RDD-CDABUS</t>
  </si>
  <si>
    <t>Charged to: Sustainable Textile for the Community-based Philippine Footwear Industry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</si>
  <si>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</si>
  <si>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</si>
  <si>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</si>
  <si>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</si>
  <si>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</si>
  <si>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</si>
  <si>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</si>
  <si>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</si>
  <si>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</si>
  <si>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</si>
  <si>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</si>
  <si>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Apr</t>
  </si>
  <si>
    <t>May</t>
  </si>
  <si>
    <t>June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</si>
  <si>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</si>
  <si>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</si>
  <si>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</si>
  <si>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</si>
  <si>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</si>
  <si>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</si>
  <si>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</si>
  <si>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</si>
  <si>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</si>
  <si>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</si>
  <si>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</si>
  <si>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</si>
  <si>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</si>
  <si>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</si>
  <si>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</si>
  <si>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</si>
  <si>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</si>
  <si>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</si>
  <si>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</si>
  <si>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</si>
  <si>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</si>
  <si>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</si>
  <si>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</si>
  <si>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</si>
  <si>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</si>
  <si>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</si>
  <si>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</si>
  <si>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</si>
  <si>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</si>
  <si>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</si>
  <si>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</si>
  <si>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</si>
  <si>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</si>
  <si>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</si>
  <si>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</si>
  <si>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</si>
  <si>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</si>
  <si>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</si>
  <si>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</si>
  <si>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</si>
  <si>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</si>
  <si>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</si>
  <si>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</si>
  <si>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</si>
  <si>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</si>
  <si>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</si>
  <si>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</si>
  <si>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</si>
  <si>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</si>
  <si>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</si>
  <si>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</si>
  <si>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</si>
  <si>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</si>
  <si>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</si>
  <si>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</si>
  <si>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</si>
  <si>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</si>
  <si>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</si>
  <si>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</si>
  <si>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Repair and Maintenance</t>
  </si>
  <si>
    <t>Repair and Maintenance of Ring Spinning Machine</t>
  </si>
  <si>
    <t>1 lot</t>
  </si>
  <si>
    <t>Negotiated Procurement-Small Value Procurement/Direct Contracting</t>
  </si>
  <si>
    <t>Representation Expenses</t>
  </si>
  <si>
    <t>Meals of Weavers for SAFATOS Launch</t>
  </si>
  <si>
    <t>Venue for Program Launch (200 pax, with lights and sounds)</t>
  </si>
  <si>
    <t>Travel Expenses-Local Travel</t>
  </si>
  <si>
    <t>Airfare of Weavers from Visayas for SAFATOS Launch</t>
  </si>
  <si>
    <t>Accomodation Expenses of Weavers for SAFATOS Launch</t>
  </si>
  <si>
    <t>Land Transport Expenses of Weavers for SAFATOS Launch</t>
  </si>
  <si>
    <t>Office Supplies Expenses</t>
  </si>
  <si>
    <t>Corkboard with 1 box/50pc push pin</t>
  </si>
  <si>
    <t>Shopping</t>
  </si>
  <si>
    <t>Certificate Holder, A4 size (20 pieces)</t>
  </si>
  <si>
    <t>Certificate Holder, Legal Size (20 pieces)</t>
  </si>
  <si>
    <t>Laboratory Supplies</t>
  </si>
  <si>
    <t>Sodium Hydroxide, 48% Concentration, Technical Grade, 30kgs/cby</t>
  </si>
  <si>
    <t>20 cby</t>
  </si>
  <si>
    <t>Small Value Procurement</t>
  </si>
  <si>
    <t>Ferrous Sulphate, Technical Grade, 1kg/pack</t>
  </si>
  <si>
    <t>50 packs/bag</t>
  </si>
  <si>
    <t>Ziplock bag, transparent, 8 cm x 12cm, 100 pcs/pack</t>
  </si>
  <si>
    <t>20 packs</t>
  </si>
  <si>
    <t>Ziplock bag, transparent, 14 cm x 20 cm, 100 pcs/pack</t>
  </si>
  <si>
    <t>10 packs</t>
  </si>
  <si>
    <t>Silent type Oil-free Air Compressor</t>
  </si>
  <si>
    <t>Air Compressor Hose Tube</t>
  </si>
  <si>
    <t>Pneumatic Air Spray Paint Gun</t>
  </si>
  <si>
    <t>Laboratory Gown</t>
  </si>
  <si>
    <t>10 pcs</t>
  </si>
  <si>
    <t>Laboratory Shoes</t>
  </si>
  <si>
    <t>10 pairs</t>
  </si>
  <si>
    <t>Waterproof Electronic Digital Thermometer</t>
  </si>
  <si>
    <t>5 pcs</t>
  </si>
  <si>
    <t>Glass Laboratory Thermometer</t>
  </si>
  <si>
    <t>Other Office Supplies and Materials</t>
  </si>
  <si>
    <t>Multiport Adapter (w/ HDMI, USB A, USB C, SD Card Reader, etc.)</t>
  </si>
  <si>
    <t>5 pieces</t>
  </si>
  <si>
    <t>Memory cards (SD and micro SD 128-256 GB)</t>
  </si>
  <si>
    <t xml:space="preserve">HDMI Cables to USB-C </t>
  </si>
  <si>
    <t>Coconut Coir Twine</t>
  </si>
  <si>
    <t>50 kgs</t>
  </si>
  <si>
    <t>Professional Services</t>
  </si>
  <si>
    <t>Life Cycle Analysis Development Services</t>
  </si>
  <si>
    <t>Negotiated Procurement-Small Value Procurement / Direct Contracting</t>
  </si>
  <si>
    <t>Design and Prototyping of Athletic Shoes</t>
  </si>
  <si>
    <t>Subscription Expenses</t>
  </si>
  <si>
    <t>Subscription to Adobe Creative Cloud</t>
  </si>
  <si>
    <t>Testing Services Fees</t>
  </si>
  <si>
    <t>Shoe Delamination Resistance Test</t>
  </si>
  <si>
    <t>Fabric Color Migration Test</t>
  </si>
  <si>
    <t>Fabric Water Resistance Test</t>
  </si>
  <si>
    <t>Textile Processing Services Fees</t>
  </si>
  <si>
    <t>Nonwoven Needle Punched</t>
  </si>
  <si>
    <t>Shoe Prototyping Services (Fashion)</t>
  </si>
  <si>
    <t>Shoe Prototyping Services (Casual)</t>
  </si>
  <si>
    <t>Shoe Design Services</t>
  </si>
  <si>
    <t>Weaving Services</t>
  </si>
  <si>
    <t>Negotiated Procurement-Small Value Procurement</t>
  </si>
  <si>
    <t>Yarn Finishing Services</t>
  </si>
  <si>
    <t>Weaving Yarns</t>
  </si>
  <si>
    <t>TOTAL APPROVED BUDGET: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</si>
  <si>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</si>
  <si>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</si>
  <si>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</si>
  <si>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</si>
  <si>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</si>
  <si>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JENNELI E. CAYA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</si>
  <si>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</si>
  <si>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</si>
  <si>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</si>
  <si>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</si>
  <si>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</si>
  <si>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</si>
  <si>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</si>
  <si>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______________________</t>
  </si>
  <si>
    <t>Date: 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</si>
</sst>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[$₱]#,##0.00"/>
  </numFmts>
  <fonts count="13">
    <font>
      <sz val="10.0"/>
      <color rgb="FF000000"/>
      <name val="Arial"/>
      <scheme val="minor"/>
    </font>
    <font>
      <b/>
      <sz val="12.0"/>
      <color theme="1"/>
      <name val="Arial"/>
    </font>
    <font>
      <sz val="11.0"/>
      <color theme="1"/>
      <name val="Arial"/>
    </font>
    <font>
      <b/>
      <i/>
      <sz val="12.0"/>
      <color theme="1"/>
      <name val="Arial"/>
    </font>
    <font>
      <i/>
      <sz val="12.0"/>
      <color theme="1"/>
      <name val="Arial"/>
    </font>
    <font>
      <b/>
      <sz val="9.0"/>
      <color theme="1"/>
      <name val="Arial"/>
    </font>
    <font/>
    <font>
      <sz val="9.0"/>
      <color theme="1"/>
      <name val="Arial"/>
    </font>
    <font>
      <b/>
      <u/>
      <sz val="9.0"/>
      <color theme="1"/>
      <name val="Arial"/>
    </font>
    <font>
      <u/>
      <sz val="8.0"/>
      <color theme="1"/>
      <name val="Arial"/>
    </font>
    <font>
      <b/>
      <u/>
      <sz val="12.0"/>
      <color theme="1"/>
      <name val="Arial"/>
    </font>
    <font>
      <sz val="12.0"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3">
    <border/>
    <border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0" fillId="0" fontId="2" numFmtId="4" xfId="0" applyAlignment="1" applyFont="1" applyNumberFormat="1">
      <alignment vertical="bottom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vertical="bottom"/>
    </xf>
    <xf borderId="1" fillId="0" fontId="4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vertical="bottom"/>
    </xf>
    <xf borderId="1" fillId="0" fontId="2" numFmtId="4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vertical="bottom"/>
    </xf>
    <xf borderId="1" fillId="0" fontId="2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bottom" wrapText="1"/>
    </xf>
    <xf borderId="3" fillId="0" fontId="5" numFmtId="0" xfId="0" applyAlignment="1" applyBorder="1" applyFont="1">
      <alignment horizontal="center" shrinkToFit="0" vertical="bottom" wrapText="1"/>
    </xf>
    <xf borderId="3" fillId="0" fontId="5" numFmtId="4" xfId="0" applyAlignment="1" applyBorder="1" applyFont="1" applyNumberFormat="1">
      <alignment horizontal="center" shrinkToFit="0" vertical="bottom" wrapText="1"/>
    </xf>
    <xf borderId="4" fillId="0" fontId="5" numFmtId="164" xfId="0" applyAlignment="1" applyBorder="1" applyFont="1" applyNumberFormat="1">
      <alignment horizontal="center" shrinkToFit="0" vertical="bottom" wrapText="1"/>
    </xf>
    <xf borderId="3" fillId="0" fontId="5" numFmtId="164" xfId="0" applyAlignment="1" applyBorder="1" applyFont="1" applyNumberFormat="1">
      <alignment horizontal="center" shrinkToFit="0" vertical="bottom" wrapText="1"/>
    </xf>
    <xf borderId="1" fillId="0" fontId="5" numFmtId="0" xfId="0" applyAlignment="1" applyBorder="1" applyFont="1">
      <alignment horizontal="center" shrinkToFit="0" vertical="bottom" wrapText="1"/>
    </xf>
    <xf borderId="1" fillId="0" fontId="6" numFmtId="0" xfId="0" applyBorder="1" applyFont="1"/>
    <xf borderId="5" fillId="0" fontId="6" numFmtId="0" xfId="0" applyBorder="1" applyFont="1"/>
    <xf borderId="1" fillId="0" fontId="2" numFmtId="0" xfId="0" applyBorder="1" applyFont="1"/>
    <xf borderId="5" fillId="0" fontId="2" numFmtId="0" xfId="0" applyBorder="1" applyFont="1"/>
    <xf borderId="6" fillId="0" fontId="6" numFmtId="0" xfId="0" applyBorder="1" applyFont="1"/>
    <xf borderId="7" fillId="0" fontId="5" numFmtId="164" xfId="0" applyAlignment="1" applyBorder="1" applyFont="1" applyNumberFormat="1">
      <alignment horizontal="center" vertical="bottom"/>
    </xf>
    <xf borderId="7" fillId="0" fontId="5" numFmtId="0" xfId="0" applyAlignment="1" applyBorder="1" applyFont="1">
      <alignment horizontal="center" vertical="bottom"/>
    </xf>
    <xf borderId="7" fillId="0" fontId="5" numFmtId="0" xfId="0" applyAlignment="1" applyBorder="1" applyFont="1">
      <alignment horizontal="center" shrinkToFit="0" vertical="bottom" wrapText="1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shrinkToFit="0" wrapText="1"/>
    </xf>
    <xf quotePrefix="1" borderId="8" fillId="0" fontId="5" numFmtId="0" xfId="0" applyAlignment="1" applyBorder="1" applyFont="1">
      <alignment horizontal="center" shrinkToFit="0" vertical="bottom" wrapText="1"/>
    </xf>
    <xf quotePrefix="1" borderId="4" fillId="0" fontId="5" numFmtId="0" xfId="0" applyAlignment="1" applyBorder="1" applyFont="1">
      <alignment horizontal="center" shrinkToFit="0" vertical="bottom" wrapText="1"/>
    </xf>
    <xf quotePrefix="1" borderId="4" fillId="0" fontId="5" numFmtId="4" xfId="0" applyAlignment="1" applyBorder="1" applyFont="1" applyNumberFormat="1">
      <alignment horizontal="center" shrinkToFit="0" vertical="bottom" wrapText="1"/>
    </xf>
    <xf quotePrefix="1" borderId="4" fillId="0" fontId="5" numFmtId="164" xfId="0" applyAlignment="1" applyBorder="1" applyFont="1" applyNumberFormat="1">
      <alignment horizontal="center" shrinkToFit="0" vertical="bottom" wrapText="1"/>
    </xf>
    <xf quotePrefix="1" borderId="4" fillId="0" fontId="5" numFmtId="0" xfId="0" applyAlignment="1" applyBorder="1" applyFont="1">
      <alignment horizontal="center" shrinkToFit="0" vertical="center" wrapText="1"/>
    </xf>
    <xf quotePrefix="1" borderId="9" fillId="0" fontId="5" numFmtId="0" xfId="0" applyAlignment="1" applyBorder="1" applyFont="1">
      <alignment horizontal="center" shrinkToFit="0" vertical="bottom" wrapText="1"/>
    </xf>
    <xf quotePrefix="1" borderId="5" fillId="0" fontId="5" numFmtId="0" xfId="0" applyAlignment="1" applyBorder="1" applyFont="1">
      <alignment horizontal="center" shrinkToFit="0" wrapText="1"/>
    </xf>
    <xf borderId="8" fillId="2" fontId="2" numFmtId="0" xfId="0" applyAlignment="1" applyBorder="1" applyFill="1" applyFont="1">
      <alignment shrinkToFit="0" vertical="bottom" wrapText="0"/>
    </xf>
    <xf borderId="4" fillId="2" fontId="2" numFmtId="0" xfId="0" applyAlignment="1" applyBorder="1" applyFont="1">
      <alignment shrinkToFit="0" vertical="bottom" wrapText="0"/>
    </xf>
    <xf borderId="4" fillId="2" fontId="5" numFmtId="0" xfId="0" applyAlignment="1" applyBorder="1" applyFont="1">
      <alignment shrinkToFit="0" vertical="bottom" wrapText="0"/>
    </xf>
    <xf borderId="4" fillId="2" fontId="2" numFmtId="4" xfId="0" applyAlignment="1" applyBorder="1" applyFont="1" applyNumberFormat="1">
      <alignment shrinkToFit="0" vertical="bottom" wrapText="0"/>
    </xf>
    <xf borderId="4" fillId="2" fontId="2" numFmtId="164" xfId="0" applyAlignment="1" applyBorder="1" applyFont="1" applyNumberFormat="1">
      <alignment shrinkToFit="0" vertical="bottom" wrapText="0"/>
    </xf>
    <xf borderId="4" fillId="2" fontId="2" numFmtId="0" xfId="0" applyAlignment="1" applyBorder="1" applyFont="1">
      <alignment horizontal="center" shrinkToFit="0" vertical="center" wrapText="1"/>
    </xf>
    <xf borderId="9" fillId="2" fontId="2" numFmtId="0" xfId="0" applyAlignment="1" applyBorder="1" applyFont="1">
      <alignment shrinkToFit="0" vertical="bottom" wrapText="0"/>
    </xf>
    <xf borderId="4" fillId="2" fontId="2" numFmtId="0" xfId="0" applyAlignment="1" applyBorder="1" applyFont="1">
      <alignment shrinkToFit="0" wrapText="0"/>
    </xf>
    <xf borderId="9" fillId="2" fontId="2" numFmtId="0" xfId="0" applyAlignment="1" applyBorder="1" applyFont="1">
      <alignment shrinkToFit="0" wrapText="0"/>
    </xf>
    <xf borderId="8" fillId="0" fontId="2" numFmtId="0" xfId="0" applyAlignment="1" applyBorder="1" applyFont="1">
      <alignment vertical="bottom"/>
    </xf>
    <xf borderId="4" fillId="0" fontId="2" numFmtId="49" xfId="0" applyAlignment="1" applyBorder="1" applyFont="1" applyNumberFormat="1">
      <alignment vertical="bottom"/>
    </xf>
    <xf borderId="4" fillId="0" fontId="7" numFmtId="49" xfId="0" applyAlignment="1" applyBorder="1" applyFont="1" applyNumberFormat="1">
      <alignment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7" numFmtId="4" xfId="0" applyAlignment="1" applyBorder="1" applyFont="1" applyNumberFormat="1">
      <alignment horizontal="right" shrinkToFit="0" vertical="center" wrapText="1"/>
    </xf>
    <xf borderId="4" fillId="0" fontId="7" numFmtId="164" xfId="0" applyAlignment="1" applyBorder="1" applyFont="1" applyNumberFormat="1">
      <alignment horizontal="right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vertical="bottom"/>
    </xf>
    <xf borderId="4" fillId="3" fontId="2" numFmtId="0" xfId="0" applyAlignment="1" applyBorder="1" applyFont="1">
      <alignment vertical="center"/>
    </xf>
    <xf borderId="4" fillId="3" fontId="7" numFmtId="0" xfId="0" applyAlignment="1" applyBorder="1" applyFont="1">
      <alignment horizontal="center" vertical="center"/>
    </xf>
    <xf borderId="4" fillId="3" fontId="2" numFmtId="0" xfId="0" applyBorder="1" applyFont="1"/>
    <xf borderId="9" fillId="3" fontId="2" numFmtId="0" xfId="0" applyBorder="1" applyFont="1"/>
    <xf borderId="4" fillId="2" fontId="2" numFmtId="49" xfId="0" applyAlignment="1" applyBorder="1" applyFont="1" applyNumberFormat="1">
      <alignment shrinkToFit="0" vertical="bottom" wrapText="0"/>
    </xf>
    <xf borderId="4" fillId="2" fontId="5" numFmtId="49" xfId="0" applyAlignment="1" applyBorder="1" applyFont="1" applyNumberFormat="1">
      <alignment shrinkToFit="0" vertical="center" wrapText="0"/>
    </xf>
    <xf borderId="4" fillId="2" fontId="2" numFmtId="0" xfId="0" applyAlignment="1" applyBorder="1" applyFont="1">
      <alignment shrinkToFit="0" vertical="center" wrapText="0"/>
    </xf>
    <xf borderId="4" fillId="2" fontId="2" numFmtId="4" xfId="0" applyAlignment="1" applyBorder="1" applyFont="1" applyNumberFormat="1">
      <alignment shrinkToFit="0" vertical="center" wrapText="0"/>
    </xf>
    <xf borderId="4" fillId="2" fontId="2" numFmtId="164" xfId="0" applyAlignment="1" applyBorder="1" applyFont="1" applyNumberFormat="1">
      <alignment shrinkToFit="0" vertical="center" wrapText="0"/>
    </xf>
    <xf borderId="10" fillId="0" fontId="6" numFmtId="0" xfId="0" applyBorder="1" applyFont="1"/>
    <xf borderId="4" fillId="3" fontId="2" numFmtId="0" xfId="0" applyAlignment="1" applyBorder="1" applyFont="1">
      <alignment horizontal="center" vertical="center"/>
    </xf>
    <xf borderId="4" fillId="0" fontId="6" numFmtId="0" xfId="0" applyBorder="1" applyFont="1"/>
    <xf borderId="8" fillId="3" fontId="2" numFmtId="0" xfId="0" applyAlignment="1" applyBorder="1" applyFont="1">
      <alignment vertical="bottom"/>
    </xf>
    <xf borderId="4" fillId="3" fontId="2" numFmtId="49" xfId="0" applyAlignment="1" applyBorder="1" applyFont="1" applyNumberFormat="1">
      <alignment vertical="bottom"/>
    </xf>
    <xf borderId="4" fillId="3" fontId="7" numFmtId="49" xfId="0" applyAlignment="1" applyBorder="1" applyFont="1" applyNumberFormat="1">
      <alignment shrinkToFit="0" vertical="center" wrapText="1"/>
    </xf>
    <xf borderId="10" fillId="3" fontId="7" numFmtId="0" xfId="0" applyAlignment="1" applyBorder="1" applyFont="1">
      <alignment horizontal="center" shrinkToFit="0" vertical="center" wrapText="1"/>
    </xf>
    <xf borderId="10" fillId="3" fontId="7" numFmtId="4" xfId="0" applyAlignment="1" applyBorder="1" applyFont="1" applyNumberFormat="1">
      <alignment horizontal="right" shrinkToFit="0" vertical="center" wrapText="1"/>
    </xf>
    <xf borderId="10" fillId="3" fontId="7" numFmtId="164" xfId="0" applyAlignment="1" applyBorder="1" applyFont="1" applyNumberFormat="1">
      <alignment horizontal="right" shrinkToFit="0" vertical="center" wrapText="1"/>
    </xf>
    <xf borderId="10" fillId="3" fontId="7" numFmtId="0" xfId="0" applyAlignment="1" applyBorder="1" applyFont="1">
      <alignment horizontal="center" vertical="center"/>
    </xf>
    <xf borderId="4" fillId="2" fontId="7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4" fillId="3" fontId="7" numFmtId="4" xfId="0" applyAlignment="1" applyBorder="1" applyFont="1" applyNumberFormat="1">
      <alignment horizontal="right" shrinkToFit="0" vertical="center" wrapText="1"/>
    </xf>
    <xf borderId="4" fillId="3" fontId="7" numFmtId="164" xfId="0" applyAlignment="1" applyBorder="1" applyFont="1" applyNumberFormat="1">
      <alignment horizontal="right" shrinkToFit="0" vertical="center" wrapText="1"/>
    </xf>
    <xf borderId="4" fillId="3" fontId="7" numFmtId="0" xfId="0" applyAlignment="1" applyBorder="1" applyFont="1">
      <alignment horizontal="center" readingOrder="0" shrinkToFit="0" vertical="center" wrapText="1"/>
    </xf>
    <xf borderId="10" fillId="3" fontId="2" numFmtId="0" xfId="0" applyAlignment="1" applyBorder="1" applyFont="1">
      <alignment vertical="center"/>
    </xf>
    <xf borderId="4" fillId="3" fontId="7" numFmtId="4" xfId="0" applyAlignment="1" applyBorder="1" applyFont="1" applyNumberFormat="1">
      <alignment horizontal="right" vertical="center"/>
    </xf>
    <xf borderId="4" fillId="3" fontId="7" numFmtId="0" xfId="0" applyAlignment="1" applyBorder="1" applyFont="1">
      <alignment shrinkToFit="0" vertical="center" wrapText="1"/>
    </xf>
    <xf borderId="10" fillId="3" fontId="7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vertical="center"/>
    </xf>
    <xf borderId="4" fillId="0" fontId="7" numFmtId="3" xfId="0" applyAlignment="1" applyBorder="1" applyFont="1" applyNumberFormat="1">
      <alignment horizontal="center" vertical="center"/>
    </xf>
    <xf borderId="4" fillId="0" fontId="7" numFmtId="164" xfId="0" applyAlignment="1" applyBorder="1" applyFont="1" applyNumberFormat="1">
      <alignment horizontal="right" vertical="center"/>
    </xf>
    <xf borderId="4" fillId="3" fontId="2" numFmtId="3" xfId="0" applyAlignment="1" applyBorder="1" applyFont="1" applyNumberFormat="1">
      <alignment vertical="center"/>
    </xf>
    <xf borderId="4" fillId="3" fontId="7" numFmtId="3" xfId="0" applyAlignment="1" applyBorder="1" applyFont="1" applyNumberFormat="1">
      <alignment horizontal="center" vertical="center"/>
    </xf>
    <xf borderId="4" fillId="3" fontId="2" numFmtId="3" xfId="0" applyAlignment="1" applyBorder="1" applyFont="1" applyNumberFormat="1">
      <alignment vertical="bottom"/>
    </xf>
    <xf borderId="4" fillId="2" fontId="2" numFmtId="3" xfId="0" applyAlignment="1" applyBorder="1" applyFont="1" applyNumberFormat="1">
      <alignment shrinkToFit="0" vertical="center" wrapText="0"/>
    </xf>
    <xf borderId="4" fillId="2" fontId="2" numFmtId="3" xfId="0" applyAlignment="1" applyBorder="1" applyFont="1" applyNumberFormat="1">
      <alignment shrinkToFit="0" vertical="bottom" wrapText="0"/>
    </xf>
    <xf borderId="4" fillId="3" fontId="7" numFmtId="164" xfId="0" applyAlignment="1" applyBorder="1" applyFont="1" applyNumberFormat="1">
      <alignment horizontal="right" vertical="center"/>
    </xf>
    <xf borderId="4" fillId="0" fontId="2" numFmtId="49" xfId="0" applyAlignment="1" applyBorder="1" applyFont="1" applyNumberFormat="1">
      <alignment vertical="center"/>
    </xf>
    <xf borderId="4" fillId="0" fontId="2" numFmtId="3" xfId="0" applyAlignment="1" applyBorder="1" applyFont="1" applyNumberFormat="1">
      <alignment vertical="center"/>
    </xf>
    <xf borderId="4" fillId="0" fontId="2" numFmtId="4" xfId="0" applyAlignment="1" applyBorder="1" applyFont="1" applyNumberFormat="1">
      <alignment vertical="center"/>
    </xf>
    <xf borderId="4" fillId="0" fontId="2" numFmtId="164" xfId="0" applyAlignment="1" applyBorder="1" applyFont="1" applyNumberFormat="1">
      <alignment vertical="center"/>
    </xf>
    <xf borderId="4" fillId="0" fontId="2" numFmtId="0" xfId="0" applyAlignment="1" applyBorder="1" applyFont="1">
      <alignment horizontal="center" shrinkToFit="0" vertical="center" wrapText="1"/>
    </xf>
    <xf borderId="10" fillId="3" fontId="7" numFmtId="49" xfId="0" applyAlignment="1" applyBorder="1" applyFont="1" applyNumberFormat="1">
      <alignment shrinkToFit="0" vertical="center" wrapText="1"/>
    </xf>
    <xf borderId="10" fillId="3" fontId="2" numFmtId="0" xfId="0" applyAlignment="1" applyBorder="1" applyFont="1">
      <alignment horizontal="center" vertical="center"/>
    </xf>
    <xf borderId="4" fillId="3" fontId="7" numFmtId="49" xfId="0" applyAlignment="1" applyBorder="1" applyFont="1" applyNumberFormat="1">
      <alignment vertical="center"/>
    </xf>
    <xf borderId="4" fillId="3" fontId="7" numFmtId="3" xfId="0" applyAlignment="1" applyBorder="1" applyFont="1" applyNumberFormat="1">
      <alignment horizontal="center" shrinkToFit="0" vertical="center" wrapText="1"/>
    </xf>
    <xf borderId="11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bottom"/>
    </xf>
    <xf borderId="10" fillId="0" fontId="2" numFmtId="0" xfId="0" applyAlignment="1" applyBorder="1" applyFont="1">
      <alignment vertical="bottom"/>
    </xf>
    <xf borderId="12" fillId="3" fontId="2" numFmtId="0" xfId="0" applyBorder="1" applyFont="1"/>
    <xf borderId="0" fillId="3" fontId="2" numFmtId="0" xfId="0" applyFont="1"/>
    <xf borderId="0" fillId="0" fontId="8" numFmtId="0" xfId="0" applyAlignment="1" applyFont="1">
      <alignment shrinkToFit="0" vertical="bottom" wrapText="0"/>
    </xf>
    <xf borderId="0" fillId="0" fontId="1" numFmtId="165" xfId="0" applyAlignment="1" applyFont="1" applyNumberFormat="1">
      <alignment horizontal="right" vertical="bottom"/>
    </xf>
    <xf borderId="0" fillId="0" fontId="9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shrinkToFit="0" vertical="bottom" wrapText="0"/>
    </xf>
    <xf borderId="0" fillId="0" fontId="11" numFmtId="0" xfId="0" applyAlignment="1" applyFont="1">
      <alignment horizontal="center" shrinkToFit="0" vertical="center" wrapText="1"/>
    </xf>
    <xf borderId="4" fillId="0" fontId="2" numFmtId="0" xfId="0" applyBorder="1" applyFont="1"/>
    <xf borderId="12" fillId="0" fontId="2" numFmtId="0" xfId="0" applyBorder="1" applyFont="1"/>
    <xf borderId="0" fillId="0" fontId="2" numFmtId="0" xfId="0" applyFont="1"/>
    <xf borderId="7" fillId="0" fontId="2" numFmtId="0" xfId="0" applyBorder="1" applyFont="1"/>
    <xf borderId="0" fillId="0" fontId="2" numFmtId="165" xfId="0" applyAlignment="1" applyFont="1" applyNumberFormat="1">
      <alignment vertical="bottom"/>
    </xf>
    <xf borderId="0" fillId="0" fontId="2" numFmtId="164" xfId="0" applyAlignment="1" applyFont="1" applyNumberForma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9.88"/>
    <col customWidth="1" min="4" max="4" width="13.25"/>
    <col customWidth="1" min="7" max="7" width="16.88"/>
  </cols>
  <sheetData>
    <row r="1">
      <c r="A1" s="1" t="s">
        <v>0</v>
      </c>
      <c r="AJ1" s="2"/>
      <c r="AK1" s="2"/>
      <c r="AL1" s="2"/>
    </row>
    <row r="2">
      <c r="A2" s="3" t="s">
        <v>1</v>
      </c>
      <c r="AJ2" s="2"/>
      <c r="AK2" s="2"/>
      <c r="AL2" s="2"/>
    </row>
    <row r="3">
      <c r="A3" s="2"/>
      <c r="AJ3" s="2"/>
      <c r="AK3" s="2"/>
      <c r="AL3" s="2"/>
    </row>
    <row r="4">
      <c r="A4" s="4" t="s">
        <v>2</v>
      </c>
      <c r="B4" s="2"/>
      <c r="C4" s="2"/>
      <c r="D4" s="2"/>
      <c r="E4" s="5"/>
      <c r="F4" s="2"/>
      <c r="G4" s="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>
      <c r="A5" s="2"/>
      <c r="B5" s="2"/>
      <c r="C5" s="2"/>
      <c r="D5" s="2"/>
      <c r="E5" s="5"/>
      <c r="F5" s="7"/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>
      <c r="A6" s="4" t="s">
        <v>3</v>
      </c>
      <c r="B6" s="2"/>
      <c r="C6" s="2"/>
      <c r="D6" s="2"/>
      <c r="E6" s="5"/>
      <c r="F6" s="7"/>
      <c r="G6" s="6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>
      <c r="A7" s="8" t="s">
        <v>4</v>
      </c>
      <c r="B7" s="9"/>
      <c r="C7" s="9"/>
      <c r="D7" s="9"/>
      <c r="E7" s="10"/>
      <c r="F7" s="11"/>
      <c r="G7" s="12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</row>
    <row r="8">
      <c r="A8" s="13" t="s">
        <v>5</v>
      </c>
      <c r="B8" s="14" t="s">
        <v>6</v>
      </c>
      <c r="C8" s="15" t="s">
        <v>7</v>
      </c>
      <c r="D8" s="16" t="s">
        <v>8</v>
      </c>
      <c r="E8" s="15" t="s">
        <v>9</v>
      </c>
      <c r="F8" s="17" t="s">
        <v>10</v>
      </c>
      <c r="G8" s="14" t="s">
        <v>11</v>
      </c>
      <c r="H8" s="14" t="s">
        <v>12</v>
      </c>
      <c r="I8" s="18" t="s">
        <v>13</v>
      </c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20"/>
      <c r="AJ8" s="21"/>
      <c r="AK8" s="21"/>
      <c r="AL8" s="22"/>
    </row>
    <row r="9">
      <c r="A9" s="23"/>
      <c r="B9" s="20"/>
      <c r="C9" s="20"/>
      <c r="D9" s="24" t="s">
        <v>14</v>
      </c>
      <c r="E9" s="20"/>
      <c r="F9" s="20"/>
      <c r="G9" s="20"/>
      <c r="H9" s="20"/>
      <c r="I9" s="25" t="s">
        <v>15</v>
      </c>
      <c r="J9" s="25" t="s">
        <v>16</v>
      </c>
      <c r="K9" s="25" t="s">
        <v>17</v>
      </c>
      <c r="L9" s="26" t="s">
        <v>18</v>
      </c>
      <c r="M9" s="26" t="s">
        <v>19</v>
      </c>
      <c r="N9" s="26" t="s">
        <v>20</v>
      </c>
      <c r="O9" s="26" t="s">
        <v>21</v>
      </c>
      <c r="P9" s="26" t="s">
        <v>22</v>
      </c>
      <c r="Q9" s="26" t="s">
        <v>23</v>
      </c>
      <c r="R9" s="26" t="s">
        <v>24</v>
      </c>
      <c r="S9" s="26" t="s">
        <v>25</v>
      </c>
      <c r="T9" s="26" t="s">
        <v>26</v>
      </c>
      <c r="U9" s="26" t="s">
        <v>27</v>
      </c>
      <c r="V9" s="26" t="s">
        <v>28</v>
      </c>
      <c r="W9" s="26" t="s">
        <v>29</v>
      </c>
      <c r="X9" s="26" t="s">
        <v>30</v>
      </c>
      <c r="Y9" s="26" t="s">
        <v>31</v>
      </c>
      <c r="Z9" s="26" t="s">
        <v>32</v>
      </c>
      <c r="AA9" s="26" t="s">
        <v>33</v>
      </c>
      <c r="AB9" s="26" t="s">
        <v>34</v>
      </c>
      <c r="AC9" s="26" t="s">
        <v>35</v>
      </c>
      <c r="AD9" s="26" t="s">
        <v>36</v>
      </c>
      <c r="AE9" s="26" t="s">
        <v>37</v>
      </c>
      <c r="AF9" s="26" t="s">
        <v>38</v>
      </c>
      <c r="AG9" s="26" t="s">
        <v>39</v>
      </c>
      <c r="AH9" s="26" t="s">
        <v>40</v>
      </c>
      <c r="AI9" s="27" t="s">
        <v>41</v>
      </c>
      <c r="AJ9" s="28" t="s">
        <v>39</v>
      </c>
      <c r="AK9" s="28" t="s">
        <v>40</v>
      </c>
      <c r="AL9" s="28" t="s">
        <v>41</v>
      </c>
    </row>
    <row r="10">
      <c r="A10" s="29" t="s">
        <v>42</v>
      </c>
      <c r="B10" s="30" t="s">
        <v>43</v>
      </c>
      <c r="C10" s="31" t="s">
        <v>44</v>
      </c>
      <c r="D10" s="32" t="s">
        <v>45</v>
      </c>
      <c r="E10" s="31" t="s">
        <v>46</v>
      </c>
      <c r="F10" s="32" t="s">
        <v>47</v>
      </c>
      <c r="G10" s="33" t="s">
        <v>48</v>
      </c>
      <c r="H10" s="30" t="s">
        <v>49</v>
      </c>
      <c r="I10" s="30" t="s">
        <v>50</v>
      </c>
      <c r="J10" s="30" t="s">
        <v>51</v>
      </c>
      <c r="K10" s="30" t="s">
        <v>52</v>
      </c>
      <c r="L10" s="30" t="s">
        <v>53</v>
      </c>
      <c r="M10" s="30" t="s">
        <v>54</v>
      </c>
      <c r="N10" s="30" t="s">
        <v>55</v>
      </c>
      <c r="O10" s="30" t="s">
        <v>56</v>
      </c>
      <c r="P10" s="30" t="s">
        <v>57</v>
      </c>
      <c r="Q10" s="30" t="s">
        <v>58</v>
      </c>
      <c r="R10" s="30" t="s">
        <v>59</v>
      </c>
      <c r="S10" s="30" t="s">
        <v>60</v>
      </c>
      <c r="T10" s="30" t="s">
        <v>61</v>
      </c>
      <c r="U10" s="30" t="s">
        <v>62</v>
      </c>
      <c r="V10" s="30" t="s">
        <v>63</v>
      </c>
      <c r="W10" s="30" t="s">
        <v>64</v>
      </c>
      <c r="X10" s="30" t="s">
        <v>65</v>
      </c>
      <c r="Y10" s="30" t="s">
        <v>66</v>
      </c>
      <c r="Z10" s="30" t="s">
        <v>67</v>
      </c>
      <c r="AA10" s="30" t="s">
        <v>68</v>
      </c>
      <c r="AB10" s="30" t="s">
        <v>69</v>
      </c>
      <c r="AC10" s="30" t="s">
        <v>70</v>
      </c>
      <c r="AD10" s="30" t="s">
        <v>71</v>
      </c>
      <c r="AE10" s="30" t="s">
        <v>72</v>
      </c>
      <c r="AF10" s="30" t="s">
        <v>73</v>
      </c>
      <c r="AG10" s="30" t="s">
        <v>74</v>
      </c>
      <c r="AH10" s="30" t="s">
        <v>75</v>
      </c>
      <c r="AI10" s="34" t="s">
        <v>76</v>
      </c>
      <c r="AJ10" s="35" t="s">
        <v>74</v>
      </c>
      <c r="AK10" s="35" t="s">
        <v>75</v>
      </c>
      <c r="AL10" s="35" t="s">
        <v>76</v>
      </c>
    </row>
    <row r="11">
      <c r="A11" s="36"/>
      <c r="B11" s="37"/>
      <c r="C11" s="38" t="s">
        <v>77</v>
      </c>
      <c r="D11" s="37"/>
      <c r="E11" s="39"/>
      <c r="F11" s="40"/>
      <c r="G11" s="41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42"/>
      <c r="AJ11" s="43"/>
      <c r="AK11" s="43"/>
      <c r="AL11" s="44"/>
    </row>
    <row r="12">
      <c r="A12" s="45"/>
      <c r="B12" s="46"/>
      <c r="C12" s="47" t="s">
        <v>78</v>
      </c>
      <c r="D12" s="48" t="s">
        <v>79</v>
      </c>
      <c r="E12" s="49">
        <v>50000.0</v>
      </c>
      <c r="F12" s="50">
        <v>50000.0</v>
      </c>
      <c r="G12" s="51" t="s">
        <v>80</v>
      </c>
      <c r="H12" s="52"/>
      <c r="I12" s="53"/>
      <c r="J12" s="54">
        <v>1.0</v>
      </c>
      <c r="K12" s="53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5"/>
      <c r="AK12" s="55"/>
      <c r="AL12" s="56"/>
    </row>
    <row r="13">
      <c r="A13" s="36"/>
      <c r="B13" s="57"/>
      <c r="C13" s="58" t="s">
        <v>81</v>
      </c>
      <c r="D13" s="59"/>
      <c r="E13" s="60"/>
      <c r="F13" s="61"/>
      <c r="G13" s="62"/>
      <c r="H13" s="37"/>
      <c r="I13" s="59"/>
      <c r="J13" s="59"/>
      <c r="K13" s="59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43"/>
      <c r="AK13" s="43"/>
      <c r="AL13" s="44"/>
    </row>
    <row r="14">
      <c r="A14" s="45"/>
      <c r="B14" s="46"/>
      <c r="C14" s="47" t="s">
        <v>82</v>
      </c>
      <c r="D14" s="48" t="s">
        <v>79</v>
      </c>
      <c r="E14" s="49">
        <v>50000.0</v>
      </c>
      <c r="F14" s="50">
        <v>50000.0</v>
      </c>
      <c r="G14" s="62"/>
      <c r="H14" s="52"/>
      <c r="I14" s="53"/>
      <c r="J14" s="53"/>
      <c r="K14" s="63">
        <v>1.0</v>
      </c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5"/>
      <c r="AK14" s="55"/>
      <c r="AL14" s="56"/>
    </row>
    <row r="15">
      <c r="A15" s="45"/>
      <c r="B15" s="46"/>
      <c r="C15" s="47" t="s">
        <v>83</v>
      </c>
      <c r="D15" s="48" t="s">
        <v>79</v>
      </c>
      <c r="E15" s="49">
        <v>500000.0</v>
      </c>
      <c r="F15" s="50">
        <v>500000.0</v>
      </c>
      <c r="G15" s="62"/>
      <c r="H15" s="52"/>
      <c r="I15" s="53"/>
      <c r="J15" s="53"/>
      <c r="K15" s="63">
        <v>1.0</v>
      </c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5"/>
      <c r="AK15" s="55"/>
      <c r="AL15" s="56"/>
    </row>
    <row r="16">
      <c r="A16" s="36"/>
      <c r="B16" s="57"/>
      <c r="C16" s="58" t="s">
        <v>84</v>
      </c>
      <c r="D16" s="59"/>
      <c r="E16" s="60"/>
      <c r="F16" s="61"/>
      <c r="G16" s="62"/>
      <c r="H16" s="37"/>
      <c r="I16" s="59"/>
      <c r="J16" s="59"/>
      <c r="K16" s="59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43"/>
      <c r="AK16" s="43"/>
      <c r="AL16" s="44"/>
    </row>
    <row r="17">
      <c r="A17" s="45"/>
      <c r="B17" s="46"/>
      <c r="C17" s="47" t="s">
        <v>85</v>
      </c>
      <c r="D17" s="48" t="s">
        <v>79</v>
      </c>
      <c r="E17" s="49">
        <v>60000.0</v>
      </c>
      <c r="F17" s="50">
        <v>60000.0</v>
      </c>
      <c r="G17" s="62"/>
      <c r="H17" s="52"/>
      <c r="I17" s="53"/>
      <c r="J17" s="53"/>
      <c r="K17" s="63">
        <v>1.0</v>
      </c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5"/>
      <c r="AK17" s="55"/>
      <c r="AL17" s="56"/>
    </row>
    <row r="18">
      <c r="A18" s="45"/>
      <c r="B18" s="46"/>
      <c r="C18" s="47" t="s">
        <v>86</v>
      </c>
      <c r="D18" s="48" t="s">
        <v>79</v>
      </c>
      <c r="E18" s="49">
        <v>50000.0</v>
      </c>
      <c r="F18" s="50">
        <v>50000.0</v>
      </c>
      <c r="G18" s="62"/>
      <c r="H18" s="52"/>
      <c r="I18" s="53"/>
      <c r="J18" s="53"/>
      <c r="K18" s="63">
        <v>1.0</v>
      </c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5"/>
      <c r="AK18" s="55"/>
      <c r="AL18" s="56"/>
    </row>
    <row r="19">
      <c r="A19" s="45"/>
      <c r="B19" s="46"/>
      <c r="C19" s="47" t="s">
        <v>87</v>
      </c>
      <c r="D19" s="48" t="s">
        <v>79</v>
      </c>
      <c r="E19" s="49">
        <v>30000.0</v>
      </c>
      <c r="F19" s="50">
        <v>30000.0</v>
      </c>
      <c r="G19" s="64"/>
      <c r="H19" s="52"/>
      <c r="I19" s="53"/>
      <c r="J19" s="53"/>
      <c r="K19" s="63">
        <v>1.0</v>
      </c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5"/>
      <c r="AK19" s="55"/>
      <c r="AL19" s="56"/>
    </row>
    <row r="20">
      <c r="A20" s="36"/>
      <c r="B20" s="57"/>
      <c r="C20" s="58" t="s">
        <v>88</v>
      </c>
      <c r="D20" s="59"/>
      <c r="E20" s="60"/>
      <c r="F20" s="61"/>
      <c r="G20" s="41"/>
      <c r="H20" s="37"/>
      <c r="I20" s="59"/>
      <c r="J20" s="59"/>
      <c r="K20" s="59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43"/>
      <c r="AK20" s="43"/>
      <c r="AL20" s="44"/>
    </row>
    <row r="21">
      <c r="A21" s="65"/>
      <c r="B21" s="66"/>
      <c r="C21" s="67" t="s">
        <v>89</v>
      </c>
      <c r="D21" s="68" t="s">
        <v>79</v>
      </c>
      <c r="E21" s="69">
        <v>20000.0</v>
      </c>
      <c r="F21" s="70">
        <v>20000.0</v>
      </c>
      <c r="G21" s="68" t="s">
        <v>90</v>
      </c>
      <c r="H21" s="52"/>
      <c r="I21" s="71">
        <v>1.0</v>
      </c>
      <c r="J21" s="53"/>
      <c r="K21" s="53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5"/>
      <c r="AK21" s="55"/>
      <c r="AL21" s="56"/>
    </row>
    <row r="22">
      <c r="A22" s="65"/>
      <c r="B22" s="66"/>
      <c r="C22" s="67" t="s">
        <v>91</v>
      </c>
      <c r="D22" s="62"/>
      <c r="E22" s="62"/>
      <c r="F22" s="62"/>
      <c r="G22" s="62"/>
      <c r="H22" s="52"/>
      <c r="I22" s="62"/>
      <c r="J22" s="53"/>
      <c r="K22" s="53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5"/>
      <c r="AK22" s="55"/>
      <c r="AL22" s="56"/>
    </row>
    <row r="23">
      <c r="A23" s="65"/>
      <c r="B23" s="66"/>
      <c r="C23" s="67" t="s">
        <v>92</v>
      </c>
      <c r="D23" s="64"/>
      <c r="E23" s="64"/>
      <c r="F23" s="64"/>
      <c r="G23" s="64"/>
      <c r="H23" s="52"/>
      <c r="I23" s="64"/>
      <c r="J23" s="53"/>
      <c r="K23" s="53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5"/>
      <c r="AK23" s="55"/>
      <c r="AL23" s="56"/>
    </row>
    <row r="24">
      <c r="A24" s="36"/>
      <c r="B24" s="57"/>
      <c r="C24" s="58" t="s">
        <v>93</v>
      </c>
      <c r="D24" s="59"/>
      <c r="E24" s="60"/>
      <c r="F24" s="61"/>
      <c r="G24" s="72"/>
      <c r="H24" s="37"/>
      <c r="I24" s="59"/>
      <c r="J24" s="59"/>
      <c r="K24" s="59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43"/>
      <c r="AK24" s="43"/>
      <c r="AL24" s="44"/>
    </row>
    <row r="25">
      <c r="A25" s="65"/>
      <c r="B25" s="66"/>
      <c r="C25" s="67" t="s">
        <v>94</v>
      </c>
      <c r="D25" s="73" t="s">
        <v>95</v>
      </c>
      <c r="E25" s="74">
        <v>2100.0</v>
      </c>
      <c r="F25" s="75">
        <v>42000.0</v>
      </c>
      <c r="G25" s="76" t="s">
        <v>96</v>
      </c>
      <c r="H25" s="52"/>
      <c r="I25" s="54">
        <v>20.0</v>
      </c>
      <c r="J25" s="53"/>
      <c r="K25" s="53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5"/>
      <c r="AK25" s="55"/>
      <c r="AL25" s="56"/>
    </row>
    <row r="26">
      <c r="A26" s="65"/>
      <c r="B26" s="66"/>
      <c r="C26" s="67" t="s">
        <v>97</v>
      </c>
      <c r="D26" s="73" t="s">
        <v>98</v>
      </c>
      <c r="E26" s="74">
        <v>1900.0</v>
      </c>
      <c r="F26" s="75">
        <v>95000.0</v>
      </c>
      <c r="G26" s="76" t="s">
        <v>96</v>
      </c>
      <c r="H26" s="52"/>
      <c r="I26" s="54">
        <v>50.0</v>
      </c>
      <c r="J26" s="53"/>
      <c r="K26" s="53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5"/>
      <c r="AK26" s="55"/>
      <c r="AL26" s="56"/>
    </row>
    <row r="27">
      <c r="A27" s="65"/>
      <c r="B27" s="66"/>
      <c r="C27" s="67" t="s">
        <v>99</v>
      </c>
      <c r="D27" s="73" t="s">
        <v>100</v>
      </c>
      <c r="E27" s="74">
        <v>170.0</v>
      </c>
      <c r="F27" s="75">
        <v>3400.0</v>
      </c>
      <c r="G27" s="68" t="s">
        <v>90</v>
      </c>
      <c r="H27" s="52"/>
      <c r="I27" s="54">
        <v>1.0</v>
      </c>
      <c r="J27" s="53"/>
      <c r="K27" s="53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5"/>
      <c r="AK27" s="55"/>
      <c r="AL27" s="56"/>
    </row>
    <row r="28">
      <c r="A28" s="65"/>
      <c r="B28" s="66"/>
      <c r="C28" s="67" t="s">
        <v>101</v>
      </c>
      <c r="D28" s="73" t="s">
        <v>100</v>
      </c>
      <c r="E28" s="74">
        <v>210.0</v>
      </c>
      <c r="F28" s="75">
        <v>4200.0</v>
      </c>
      <c r="G28" s="62"/>
      <c r="H28" s="52"/>
      <c r="I28" s="54">
        <v>1.0</v>
      </c>
      <c r="J28" s="53"/>
      <c r="K28" s="53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5"/>
      <c r="AK28" s="55"/>
      <c r="AL28" s="56"/>
    </row>
    <row r="29">
      <c r="A29" s="65"/>
      <c r="B29" s="66"/>
      <c r="C29" s="67" t="s">
        <v>99</v>
      </c>
      <c r="D29" s="73" t="s">
        <v>102</v>
      </c>
      <c r="E29" s="74">
        <v>290.0</v>
      </c>
      <c r="F29" s="75">
        <v>2900.0</v>
      </c>
      <c r="G29" s="62"/>
      <c r="H29" s="52"/>
      <c r="I29" s="54">
        <v>1.0</v>
      </c>
      <c r="J29" s="53"/>
      <c r="K29" s="53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5"/>
      <c r="AK29" s="55"/>
      <c r="AL29" s="56"/>
    </row>
    <row r="30">
      <c r="A30" s="65"/>
      <c r="B30" s="66"/>
      <c r="C30" s="67" t="s">
        <v>103</v>
      </c>
      <c r="D30" s="68" t="s">
        <v>79</v>
      </c>
      <c r="E30" s="69">
        <v>30000.0</v>
      </c>
      <c r="F30" s="70">
        <v>30000.0</v>
      </c>
      <c r="G30" s="62"/>
      <c r="H30" s="52"/>
      <c r="I30" s="71">
        <v>1.0</v>
      </c>
      <c r="J30" s="77"/>
      <c r="K30" s="53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5"/>
      <c r="AK30" s="55"/>
      <c r="AL30" s="56"/>
    </row>
    <row r="31">
      <c r="A31" s="65"/>
      <c r="B31" s="66"/>
      <c r="C31" s="67" t="s">
        <v>104</v>
      </c>
      <c r="D31" s="62"/>
      <c r="E31" s="62"/>
      <c r="F31" s="62"/>
      <c r="G31" s="62"/>
      <c r="H31" s="52"/>
      <c r="I31" s="62"/>
      <c r="J31" s="62"/>
      <c r="K31" s="53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5"/>
      <c r="AK31" s="55"/>
      <c r="AL31" s="56"/>
    </row>
    <row r="32">
      <c r="A32" s="65"/>
      <c r="B32" s="66"/>
      <c r="C32" s="67" t="s">
        <v>105</v>
      </c>
      <c r="D32" s="64"/>
      <c r="E32" s="64"/>
      <c r="F32" s="64"/>
      <c r="G32" s="62"/>
      <c r="H32" s="52"/>
      <c r="I32" s="64"/>
      <c r="J32" s="64"/>
      <c r="K32" s="53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5"/>
      <c r="AK32" s="55"/>
      <c r="AL32" s="56"/>
    </row>
    <row r="33">
      <c r="A33" s="65"/>
      <c r="B33" s="66"/>
      <c r="C33" s="67" t="s">
        <v>106</v>
      </c>
      <c r="D33" s="73" t="s">
        <v>107</v>
      </c>
      <c r="E33" s="74">
        <v>900.0</v>
      </c>
      <c r="F33" s="75">
        <f t="shared" ref="F33:F34" si="1">E33*10</f>
        <v>9000</v>
      </c>
      <c r="G33" s="62"/>
      <c r="H33" s="52"/>
      <c r="I33" s="54">
        <v>10.0</v>
      </c>
      <c r="J33" s="53"/>
      <c r="K33" s="53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5"/>
      <c r="AK33" s="55"/>
      <c r="AL33" s="56"/>
    </row>
    <row r="34">
      <c r="A34" s="65"/>
      <c r="B34" s="66"/>
      <c r="C34" s="67" t="s">
        <v>108</v>
      </c>
      <c r="D34" s="73" t="s">
        <v>109</v>
      </c>
      <c r="E34" s="74">
        <v>600.0</v>
      </c>
      <c r="F34" s="75">
        <f t="shared" si="1"/>
        <v>6000</v>
      </c>
      <c r="G34" s="62"/>
      <c r="H34" s="52"/>
      <c r="I34" s="54">
        <v>10.0</v>
      </c>
      <c r="J34" s="53"/>
      <c r="K34" s="53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5"/>
      <c r="AK34" s="55"/>
      <c r="AL34" s="56"/>
    </row>
    <row r="35">
      <c r="A35" s="65"/>
      <c r="B35" s="66"/>
      <c r="C35" s="67" t="s">
        <v>110</v>
      </c>
      <c r="D35" s="73" t="s">
        <v>111</v>
      </c>
      <c r="E35" s="78">
        <v>1500.0</v>
      </c>
      <c r="F35" s="75">
        <v>7500.0</v>
      </c>
      <c r="G35" s="62"/>
      <c r="H35" s="52"/>
      <c r="I35" s="54">
        <v>5.0</v>
      </c>
      <c r="J35" s="53"/>
      <c r="K35" s="53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5"/>
      <c r="AK35" s="55"/>
      <c r="AL35" s="56"/>
    </row>
    <row r="36">
      <c r="A36" s="65"/>
      <c r="B36" s="66"/>
      <c r="C36" s="67" t="s">
        <v>112</v>
      </c>
      <c r="D36" s="73" t="s">
        <v>107</v>
      </c>
      <c r="E36" s="74">
        <v>550.0</v>
      </c>
      <c r="F36" s="75">
        <f>E36*10</f>
        <v>5500</v>
      </c>
      <c r="G36" s="64"/>
      <c r="H36" s="52"/>
      <c r="I36" s="54">
        <v>10.0</v>
      </c>
      <c r="J36" s="53"/>
      <c r="K36" s="53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5"/>
      <c r="AK36" s="55"/>
      <c r="AL36" s="56"/>
    </row>
    <row r="37">
      <c r="A37" s="36"/>
      <c r="B37" s="57"/>
      <c r="C37" s="58" t="s">
        <v>113</v>
      </c>
      <c r="D37" s="59"/>
      <c r="E37" s="60"/>
      <c r="F37" s="61"/>
      <c r="G37" s="41"/>
      <c r="H37" s="37"/>
      <c r="I37" s="59"/>
      <c r="J37" s="59"/>
      <c r="K37" s="59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43"/>
      <c r="AK37" s="43"/>
      <c r="AL37" s="44"/>
    </row>
    <row r="38">
      <c r="A38" s="65"/>
      <c r="B38" s="66"/>
      <c r="C38" s="79" t="s">
        <v>114</v>
      </c>
      <c r="D38" s="73" t="s">
        <v>115</v>
      </c>
      <c r="E38" s="74">
        <v>2500.0</v>
      </c>
      <c r="F38" s="74">
        <f t="shared" ref="F38:F40" si="2">E38*5</f>
        <v>12500</v>
      </c>
      <c r="G38" s="80" t="s">
        <v>96</v>
      </c>
      <c r="H38" s="52"/>
      <c r="I38" s="54">
        <v>5.0</v>
      </c>
      <c r="J38" s="53"/>
      <c r="K38" s="53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5"/>
      <c r="AK38" s="55"/>
      <c r="AL38" s="56"/>
    </row>
    <row r="39">
      <c r="A39" s="65"/>
      <c r="B39" s="66"/>
      <c r="C39" s="81" t="s">
        <v>116</v>
      </c>
      <c r="D39" s="73" t="s">
        <v>115</v>
      </c>
      <c r="E39" s="74">
        <v>2000.0</v>
      </c>
      <c r="F39" s="74">
        <f t="shared" si="2"/>
        <v>10000</v>
      </c>
      <c r="G39" s="62"/>
      <c r="H39" s="52"/>
      <c r="I39" s="54">
        <v>5.0</v>
      </c>
      <c r="J39" s="53"/>
      <c r="K39" s="53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5"/>
      <c r="AK39" s="55"/>
      <c r="AL39" s="56"/>
    </row>
    <row r="40">
      <c r="A40" s="65"/>
      <c r="B40" s="66"/>
      <c r="C40" s="67" t="s">
        <v>117</v>
      </c>
      <c r="D40" s="73" t="s">
        <v>115</v>
      </c>
      <c r="E40" s="74">
        <v>600.0</v>
      </c>
      <c r="F40" s="75">
        <f t="shared" si="2"/>
        <v>3000</v>
      </c>
      <c r="G40" s="62"/>
      <c r="H40" s="52"/>
      <c r="I40" s="54">
        <v>5.0</v>
      </c>
      <c r="J40" s="53"/>
      <c r="K40" s="53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5"/>
      <c r="AK40" s="55"/>
      <c r="AL40" s="56"/>
    </row>
    <row r="41">
      <c r="A41" s="45"/>
      <c r="B41" s="46"/>
      <c r="C41" s="47" t="s">
        <v>118</v>
      </c>
      <c r="D41" s="48" t="s">
        <v>119</v>
      </c>
      <c r="E41" s="49">
        <v>15000.0</v>
      </c>
      <c r="F41" s="50">
        <v>15000.0</v>
      </c>
      <c r="G41" s="64"/>
      <c r="H41" s="52"/>
      <c r="I41" s="53"/>
      <c r="J41" s="54">
        <v>50.0</v>
      </c>
      <c r="K41" s="53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5"/>
      <c r="AK41" s="55"/>
      <c r="AL41" s="56"/>
    </row>
    <row r="42">
      <c r="A42" s="36"/>
      <c r="B42" s="57"/>
      <c r="C42" s="58" t="s">
        <v>120</v>
      </c>
      <c r="D42" s="59"/>
      <c r="E42" s="60"/>
      <c r="F42" s="61"/>
      <c r="G42" s="41"/>
      <c r="H42" s="37"/>
      <c r="I42" s="59"/>
      <c r="J42" s="59"/>
      <c r="K42" s="59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43"/>
      <c r="AK42" s="43"/>
      <c r="AL42" s="44"/>
    </row>
    <row r="43">
      <c r="A43" s="45"/>
      <c r="B43" s="46"/>
      <c r="C43" s="47" t="s">
        <v>121</v>
      </c>
      <c r="D43" s="82" t="s">
        <v>79</v>
      </c>
      <c r="E43" s="83">
        <v>70000.0</v>
      </c>
      <c r="F43" s="50">
        <v>70000.0</v>
      </c>
      <c r="G43" s="51" t="s">
        <v>122</v>
      </c>
      <c r="H43" s="52"/>
      <c r="I43" s="84"/>
      <c r="J43" s="85">
        <v>1.0</v>
      </c>
      <c r="K43" s="84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52"/>
      <c r="AJ43" s="55"/>
      <c r="AK43" s="55"/>
      <c r="AL43" s="56"/>
    </row>
    <row r="44">
      <c r="A44" s="45"/>
      <c r="B44" s="46"/>
      <c r="C44" s="47" t="s">
        <v>123</v>
      </c>
      <c r="D44" s="82" t="s">
        <v>79</v>
      </c>
      <c r="E44" s="83">
        <v>100000.0</v>
      </c>
      <c r="F44" s="50">
        <v>100000.0</v>
      </c>
      <c r="G44" s="64"/>
      <c r="H44" s="52"/>
      <c r="I44" s="84"/>
      <c r="J44" s="85">
        <v>1.0</v>
      </c>
      <c r="K44" s="84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52"/>
      <c r="AJ44" s="55"/>
      <c r="AK44" s="55"/>
      <c r="AL44" s="56"/>
    </row>
    <row r="45">
      <c r="A45" s="36"/>
      <c r="B45" s="57"/>
      <c r="C45" s="58" t="s">
        <v>124</v>
      </c>
      <c r="D45" s="87"/>
      <c r="E45" s="61"/>
      <c r="F45" s="61"/>
      <c r="G45" s="41"/>
      <c r="H45" s="37"/>
      <c r="I45" s="87"/>
      <c r="J45" s="87"/>
      <c r="K45" s="87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37"/>
      <c r="AJ45" s="43"/>
      <c r="AK45" s="43"/>
      <c r="AL45" s="44"/>
    </row>
    <row r="46">
      <c r="A46" s="65"/>
      <c r="B46" s="66"/>
      <c r="C46" s="67" t="s">
        <v>125</v>
      </c>
      <c r="D46" s="85" t="s">
        <v>79</v>
      </c>
      <c r="E46" s="89">
        <v>45000.0</v>
      </c>
      <c r="F46" s="75">
        <v>45000.0</v>
      </c>
      <c r="G46" s="73" t="s">
        <v>122</v>
      </c>
      <c r="H46" s="52"/>
      <c r="I46" s="85">
        <v>1.0</v>
      </c>
      <c r="J46" s="84"/>
      <c r="K46" s="84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52"/>
      <c r="AJ46" s="55"/>
      <c r="AK46" s="55"/>
      <c r="AL46" s="56"/>
    </row>
    <row r="47">
      <c r="A47" s="36"/>
      <c r="B47" s="57"/>
      <c r="C47" s="58" t="s">
        <v>126</v>
      </c>
      <c r="D47" s="87"/>
      <c r="E47" s="61"/>
      <c r="F47" s="61"/>
      <c r="G47" s="41"/>
      <c r="H47" s="37"/>
      <c r="I47" s="87"/>
      <c r="J47" s="59"/>
      <c r="K47" s="87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37"/>
      <c r="AJ47" s="43"/>
      <c r="AK47" s="43"/>
      <c r="AL47" s="44"/>
    </row>
    <row r="48">
      <c r="A48" s="65"/>
      <c r="B48" s="66"/>
      <c r="C48" s="67" t="s">
        <v>127</v>
      </c>
      <c r="D48" s="85" t="s">
        <v>79</v>
      </c>
      <c r="E48" s="89">
        <v>40000.0</v>
      </c>
      <c r="F48" s="75">
        <v>40000.0</v>
      </c>
      <c r="G48" s="68" t="s">
        <v>122</v>
      </c>
      <c r="H48" s="52"/>
      <c r="I48" s="84"/>
      <c r="J48" s="54">
        <v>1.0</v>
      </c>
      <c r="K48" s="84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52"/>
      <c r="AJ48" s="55"/>
      <c r="AK48" s="55"/>
      <c r="AL48" s="56"/>
    </row>
    <row r="49">
      <c r="A49" s="65"/>
      <c r="B49" s="66"/>
      <c r="C49" s="67" t="s">
        <v>128</v>
      </c>
      <c r="D49" s="85" t="s">
        <v>79</v>
      </c>
      <c r="E49" s="89">
        <v>5000.0</v>
      </c>
      <c r="F49" s="75">
        <v>5000.0</v>
      </c>
      <c r="G49" s="62"/>
      <c r="H49" s="52"/>
      <c r="I49" s="84"/>
      <c r="J49" s="54">
        <v>1.0</v>
      </c>
      <c r="K49" s="84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52"/>
      <c r="AJ49" s="55"/>
      <c r="AK49" s="55"/>
      <c r="AL49" s="56"/>
    </row>
    <row r="50">
      <c r="A50" s="65"/>
      <c r="B50" s="66"/>
      <c r="C50" s="67" t="s">
        <v>129</v>
      </c>
      <c r="D50" s="85" t="s">
        <v>79</v>
      </c>
      <c r="E50" s="89">
        <v>40000.0</v>
      </c>
      <c r="F50" s="75">
        <v>40000.0</v>
      </c>
      <c r="G50" s="64"/>
      <c r="H50" s="52"/>
      <c r="I50" s="84"/>
      <c r="J50" s="54">
        <v>1.0</v>
      </c>
      <c r="K50" s="84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52"/>
      <c r="AJ50" s="55"/>
      <c r="AK50" s="55"/>
      <c r="AL50" s="56"/>
    </row>
    <row r="51">
      <c r="A51" s="45"/>
      <c r="B51" s="46"/>
      <c r="C51" s="90"/>
      <c r="D51" s="91"/>
      <c r="E51" s="92"/>
      <c r="F51" s="93"/>
      <c r="G51" s="94"/>
      <c r="H51" s="52"/>
      <c r="I51" s="84"/>
      <c r="J51" s="53"/>
      <c r="K51" s="84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52"/>
      <c r="AJ51" s="55"/>
      <c r="AK51" s="55"/>
      <c r="AL51" s="56"/>
    </row>
    <row r="52">
      <c r="A52" s="36"/>
      <c r="B52" s="57"/>
      <c r="C52" s="58" t="s">
        <v>130</v>
      </c>
      <c r="D52" s="59"/>
      <c r="E52" s="60"/>
      <c r="F52" s="61"/>
      <c r="G52" s="41"/>
      <c r="H52" s="37"/>
      <c r="I52" s="59"/>
      <c r="J52" s="59"/>
      <c r="K52" s="59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43"/>
      <c r="AK52" s="43"/>
      <c r="AL52" s="44"/>
    </row>
    <row r="53">
      <c r="A53" s="45"/>
      <c r="B53" s="46"/>
      <c r="C53" s="47" t="s">
        <v>131</v>
      </c>
      <c r="D53" s="48" t="s">
        <v>79</v>
      </c>
      <c r="E53" s="49">
        <v>20000.0</v>
      </c>
      <c r="F53" s="50">
        <v>20000.0</v>
      </c>
      <c r="G53" s="51" t="s">
        <v>122</v>
      </c>
      <c r="H53" s="52"/>
      <c r="I53" s="53"/>
      <c r="J53" s="54">
        <v>1.0</v>
      </c>
      <c r="K53" s="53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5"/>
      <c r="AK53" s="55"/>
      <c r="AL53" s="56"/>
    </row>
    <row r="54">
      <c r="A54" s="65"/>
      <c r="B54" s="66"/>
      <c r="C54" s="67" t="s">
        <v>132</v>
      </c>
      <c r="D54" s="73" t="s">
        <v>79</v>
      </c>
      <c r="E54" s="74">
        <v>50000.0</v>
      </c>
      <c r="F54" s="75">
        <v>50000.0</v>
      </c>
      <c r="G54" s="62"/>
      <c r="H54" s="52"/>
      <c r="I54" s="53"/>
      <c r="J54" s="63">
        <v>1.0</v>
      </c>
      <c r="K54" s="53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5"/>
      <c r="AK54" s="55"/>
      <c r="AL54" s="56"/>
    </row>
    <row r="55">
      <c r="A55" s="65"/>
      <c r="B55" s="66"/>
      <c r="C55" s="67" t="s">
        <v>133</v>
      </c>
      <c r="D55" s="73" t="s">
        <v>79</v>
      </c>
      <c r="E55" s="74">
        <v>50000.0</v>
      </c>
      <c r="F55" s="75">
        <v>50000.0</v>
      </c>
      <c r="G55" s="64"/>
      <c r="H55" s="52"/>
      <c r="I55" s="53"/>
      <c r="J55" s="63">
        <v>1.0</v>
      </c>
      <c r="K55" s="53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5"/>
      <c r="AK55" s="55"/>
      <c r="AL55" s="56"/>
    </row>
    <row r="56">
      <c r="A56" s="65"/>
      <c r="B56" s="66"/>
      <c r="C56" s="95" t="s">
        <v>134</v>
      </c>
      <c r="D56" s="68" t="s">
        <v>79</v>
      </c>
      <c r="E56" s="69">
        <v>160000.0</v>
      </c>
      <c r="F56" s="70">
        <v>160000.0</v>
      </c>
      <c r="G56" s="68" t="s">
        <v>122</v>
      </c>
      <c r="H56" s="52"/>
      <c r="I56" s="96">
        <v>1.0</v>
      </c>
      <c r="J56" s="53"/>
      <c r="K56" s="53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5"/>
      <c r="AK56" s="55"/>
      <c r="AL56" s="56"/>
    </row>
    <row r="57">
      <c r="A57" s="65"/>
      <c r="B57" s="66"/>
      <c r="C57" s="64"/>
      <c r="D57" s="64"/>
      <c r="E57" s="64"/>
      <c r="F57" s="64"/>
      <c r="G57" s="64"/>
      <c r="H57" s="52"/>
      <c r="I57" s="64"/>
      <c r="J57" s="53"/>
      <c r="K57" s="53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5"/>
      <c r="AK57" s="55"/>
      <c r="AL57" s="56"/>
    </row>
    <row r="58">
      <c r="A58" s="45"/>
      <c r="B58" s="46"/>
      <c r="C58" s="47" t="s">
        <v>135</v>
      </c>
      <c r="D58" s="48" t="s">
        <v>79</v>
      </c>
      <c r="E58" s="49">
        <v>70000.0</v>
      </c>
      <c r="F58" s="50">
        <v>70000.0</v>
      </c>
      <c r="G58" s="68" t="s">
        <v>136</v>
      </c>
      <c r="H58" s="52"/>
      <c r="I58" s="53"/>
      <c r="J58" s="63">
        <v>1.0</v>
      </c>
      <c r="K58" s="53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5"/>
      <c r="AK58" s="55"/>
      <c r="AL58" s="56"/>
    </row>
    <row r="59">
      <c r="A59" s="45"/>
      <c r="B59" s="46"/>
      <c r="C59" s="47" t="s">
        <v>137</v>
      </c>
      <c r="D59" s="48" t="s">
        <v>79</v>
      </c>
      <c r="E59" s="49">
        <v>80000.0</v>
      </c>
      <c r="F59" s="50">
        <v>80000.0</v>
      </c>
      <c r="G59" s="62"/>
      <c r="H59" s="52"/>
      <c r="I59" s="53"/>
      <c r="J59" s="63">
        <v>1.0</v>
      </c>
      <c r="K59" s="53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5"/>
      <c r="AK59" s="55"/>
      <c r="AL59" s="56"/>
    </row>
    <row r="60">
      <c r="A60" s="65"/>
      <c r="B60" s="66"/>
      <c r="C60" s="97" t="s">
        <v>138</v>
      </c>
      <c r="D60" s="98" t="s">
        <v>79</v>
      </c>
      <c r="E60" s="78">
        <v>35000.0</v>
      </c>
      <c r="F60" s="89">
        <v>35000.0</v>
      </c>
      <c r="G60" s="64"/>
      <c r="H60" s="52"/>
      <c r="I60" s="54">
        <v>1.0</v>
      </c>
      <c r="J60" s="53"/>
      <c r="K60" s="53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5"/>
      <c r="AK60" s="55"/>
      <c r="AL60" s="56"/>
    </row>
    <row r="61">
      <c r="A61" s="99"/>
      <c r="B61" s="52"/>
      <c r="C61" s="53"/>
      <c r="D61" s="100"/>
      <c r="E61" s="92"/>
      <c r="F61" s="92"/>
      <c r="G61" s="94"/>
      <c r="H61" s="101"/>
      <c r="I61" s="100"/>
      <c r="J61" s="100"/>
      <c r="K61" s="100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55"/>
      <c r="AK61" s="55"/>
      <c r="AL61" s="56"/>
    </row>
    <row r="62">
      <c r="A62" s="2"/>
      <c r="B62" s="2"/>
      <c r="C62" s="2"/>
      <c r="D62" s="2"/>
      <c r="E62" s="5"/>
      <c r="F62" s="5"/>
      <c r="G62" s="6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102"/>
      <c r="AJ62" s="55"/>
      <c r="AK62" s="103"/>
      <c r="AL62" s="104"/>
    </row>
    <row r="63">
      <c r="A63" s="105" t="s">
        <v>139</v>
      </c>
      <c r="B63" s="2"/>
      <c r="C63" s="2"/>
      <c r="D63" s="106">
        <f>SUM(F12:F61)</f>
        <v>1771000</v>
      </c>
      <c r="G63" s="6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102"/>
      <c r="AJ63" s="55"/>
      <c r="AK63" s="103"/>
      <c r="AL63" s="104"/>
    </row>
    <row r="64">
      <c r="A64" s="2"/>
      <c r="B64" s="2"/>
      <c r="C64" s="2"/>
      <c r="D64" s="2"/>
      <c r="E64" s="5"/>
      <c r="F64" s="7"/>
      <c r="G64" s="6"/>
      <c r="H64" s="2"/>
      <c r="I64" s="2"/>
      <c r="J64" s="2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102"/>
      <c r="AJ64" s="55"/>
      <c r="AK64" s="103"/>
      <c r="AL64" s="104"/>
    </row>
    <row r="65">
      <c r="A65" s="107" t="s">
        <v>140</v>
      </c>
      <c r="B65" s="2"/>
      <c r="C65" s="2"/>
      <c r="D65" s="2"/>
      <c r="E65" s="5"/>
      <c r="F65" s="7"/>
      <c r="G65" s="6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102"/>
      <c r="AJ65" s="55"/>
      <c r="AK65" s="103"/>
      <c r="AL65" s="104"/>
    </row>
    <row r="66">
      <c r="A66" s="2"/>
      <c r="B66" s="2"/>
      <c r="C66" s="2"/>
      <c r="D66" s="2"/>
      <c r="E66" s="5"/>
      <c r="F66" s="7"/>
      <c r="G66" s="6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102"/>
      <c r="AJ66" s="55"/>
      <c r="AK66" s="103"/>
      <c r="AL66" s="104"/>
    </row>
    <row r="67">
      <c r="A67" s="108" t="s">
        <v>141</v>
      </c>
      <c r="B67" s="2"/>
      <c r="C67" s="2"/>
      <c r="D67" s="109" t="s">
        <v>142</v>
      </c>
      <c r="E67" s="5"/>
      <c r="F67" s="7"/>
      <c r="G67" s="110" t="s">
        <v>143</v>
      </c>
      <c r="H67" s="2"/>
      <c r="I67" s="2"/>
      <c r="J67" s="109" t="s">
        <v>144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102"/>
      <c r="AJ67" s="55"/>
      <c r="AK67" s="103"/>
      <c r="AL67" s="104"/>
    </row>
    <row r="68">
      <c r="A68" s="2"/>
      <c r="B68" s="2"/>
      <c r="C68" s="2"/>
      <c r="D68" s="2"/>
      <c r="E68" s="5"/>
      <c r="F68" s="7"/>
      <c r="G68" s="6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102"/>
      <c r="AJ68" s="55"/>
      <c r="AK68" s="103"/>
      <c r="AL68" s="104"/>
    </row>
    <row r="69">
      <c r="A69" s="2"/>
      <c r="B69" s="2"/>
      <c r="C69" s="2"/>
      <c r="D69" s="2"/>
      <c r="E69" s="5"/>
      <c r="F69" s="7"/>
      <c r="G69" s="6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102"/>
      <c r="AJ69" s="55"/>
      <c r="AK69" s="103"/>
      <c r="AL69" s="104"/>
    </row>
    <row r="70">
      <c r="A70" s="111" t="s">
        <v>145</v>
      </c>
      <c r="D70" s="109" t="s">
        <v>146</v>
      </c>
      <c r="E70" s="5"/>
      <c r="F70" s="7"/>
      <c r="G70" s="110" t="s">
        <v>147</v>
      </c>
      <c r="H70" s="2"/>
      <c r="I70" s="2"/>
      <c r="J70" s="109" t="s">
        <v>148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102"/>
      <c r="AJ70" s="55"/>
      <c r="AK70" s="103"/>
      <c r="AL70" s="104"/>
    </row>
    <row r="71">
      <c r="A71" s="112" t="s">
        <v>149</v>
      </c>
      <c r="D71" s="113" t="s">
        <v>150</v>
      </c>
      <c r="E71" s="5"/>
      <c r="F71" s="7"/>
      <c r="G71" s="114" t="s">
        <v>151</v>
      </c>
      <c r="H71" s="2"/>
      <c r="I71" s="2"/>
      <c r="J71" s="113" t="s">
        <v>152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102"/>
      <c r="AJ71" s="55"/>
      <c r="AK71" s="103"/>
      <c r="AL71" s="104"/>
    </row>
    <row r="72">
      <c r="A72" s="2"/>
      <c r="B72" s="2"/>
      <c r="C72" s="2"/>
      <c r="D72" s="2"/>
      <c r="E72" s="5"/>
      <c r="F72" s="7"/>
      <c r="G72" s="6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102"/>
      <c r="AJ72" s="55"/>
      <c r="AK72" s="103"/>
      <c r="AL72" s="104"/>
    </row>
    <row r="73">
      <c r="A73" s="113" t="s">
        <v>153</v>
      </c>
      <c r="B73" s="2"/>
      <c r="C73" s="2"/>
      <c r="D73" s="113" t="s">
        <v>154</v>
      </c>
      <c r="E73" s="5"/>
      <c r="F73" s="7"/>
      <c r="G73" s="114" t="s">
        <v>154</v>
      </c>
      <c r="H73" s="2"/>
      <c r="I73" s="2"/>
      <c r="J73" s="113" t="s">
        <v>154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102"/>
      <c r="AJ73" s="55"/>
      <c r="AK73" s="103"/>
      <c r="AL73" s="104"/>
    </row>
    <row r="74">
      <c r="A74" s="2"/>
      <c r="B74" s="2"/>
      <c r="C74" s="2"/>
      <c r="D74" s="2"/>
      <c r="E74" s="5"/>
      <c r="F74" s="5"/>
      <c r="G74" s="6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102"/>
      <c r="AJ74" s="115"/>
      <c r="AK74" s="116"/>
      <c r="AL74" s="117"/>
    </row>
    <row r="75">
      <c r="A75" s="2"/>
      <c r="B75" s="2"/>
      <c r="C75" s="2"/>
      <c r="D75" s="2"/>
      <c r="E75" s="5"/>
      <c r="F75" s="5"/>
      <c r="G75" s="6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102"/>
      <c r="AJ75" s="115"/>
      <c r="AK75" s="116"/>
      <c r="AL75" s="117"/>
    </row>
    <row r="76">
      <c r="A76" s="2"/>
      <c r="B76" s="2"/>
      <c r="C76" s="2"/>
      <c r="D76" s="2"/>
      <c r="E76" s="5"/>
      <c r="F76" s="5"/>
      <c r="G76" s="6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102"/>
      <c r="AJ76" s="115"/>
      <c r="AK76" s="116"/>
      <c r="AL76" s="117"/>
    </row>
    <row r="77">
      <c r="A77" s="2"/>
      <c r="B77" s="2"/>
      <c r="C77" s="2"/>
      <c r="D77" s="2"/>
      <c r="E77" s="5"/>
      <c r="F77" s="5"/>
      <c r="G77" s="6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102"/>
      <c r="AJ77" s="115"/>
      <c r="AK77" s="116"/>
      <c r="AL77" s="117"/>
    </row>
    <row r="78">
      <c r="A78" s="2"/>
      <c r="B78" s="2"/>
      <c r="C78" s="2"/>
      <c r="D78" s="2"/>
      <c r="E78" s="5"/>
      <c r="F78" s="5"/>
      <c r="G78" s="6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102"/>
      <c r="AJ78" s="115"/>
      <c r="AK78" s="116"/>
      <c r="AL78" s="117"/>
    </row>
    <row r="79">
      <c r="A79" s="2"/>
      <c r="B79" s="2"/>
      <c r="C79" s="2"/>
      <c r="D79" s="2"/>
      <c r="E79" s="5"/>
      <c r="F79" s="5"/>
      <c r="G79" s="6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102"/>
      <c r="AJ79" s="115"/>
      <c r="AK79" s="116"/>
      <c r="AL79" s="117"/>
    </row>
    <row r="80">
      <c r="A80" s="2"/>
      <c r="B80" s="2"/>
      <c r="C80" s="2"/>
      <c r="D80" s="2"/>
      <c r="E80" s="5"/>
      <c r="F80" s="5"/>
      <c r="G80" s="6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102"/>
      <c r="AJ80" s="115"/>
      <c r="AK80" s="116"/>
      <c r="AL80" s="117"/>
    </row>
    <row r="81">
      <c r="A81" s="2"/>
      <c r="B81" s="2"/>
      <c r="C81" s="2"/>
      <c r="D81" s="2"/>
      <c r="E81" s="5"/>
      <c r="F81" s="5"/>
      <c r="G81" s="6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102"/>
      <c r="AJ81" s="115"/>
      <c r="AK81" s="116"/>
      <c r="AL81" s="117"/>
    </row>
    <row r="82">
      <c r="A82" s="2"/>
      <c r="B82" s="2"/>
      <c r="C82" s="2"/>
      <c r="D82" s="2"/>
      <c r="E82" s="5"/>
      <c r="F82" s="5"/>
      <c r="G82" s="6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102"/>
      <c r="AJ82" s="115"/>
      <c r="AK82" s="116"/>
      <c r="AL82" s="117"/>
    </row>
    <row r="83">
      <c r="A83" s="2"/>
      <c r="B83" s="2"/>
      <c r="C83" s="2"/>
      <c r="D83" s="2"/>
      <c r="E83" s="5"/>
      <c r="F83" s="5"/>
      <c r="G83" s="6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102"/>
      <c r="AJ83" s="118"/>
      <c r="AK83" s="21"/>
      <c r="AL83" s="117"/>
    </row>
    <row r="84">
      <c r="A84" s="2"/>
      <c r="B84" s="2"/>
      <c r="C84" s="2"/>
      <c r="D84" s="2"/>
      <c r="E84" s="5"/>
      <c r="F84" s="7"/>
      <c r="G84" s="6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2"/>
      <c r="B85" s="2"/>
      <c r="C85" s="2"/>
      <c r="D85" s="119"/>
      <c r="E85" s="119"/>
      <c r="F85" s="119"/>
      <c r="G85" s="6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2"/>
      <c r="B86" s="2"/>
      <c r="C86" s="2"/>
      <c r="D86" s="2"/>
      <c r="E86" s="5"/>
      <c r="F86" s="7"/>
      <c r="G86" s="6"/>
      <c r="H86" s="2"/>
      <c r="I86" s="2"/>
      <c r="J86" s="2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2"/>
      <c r="B87" s="2"/>
      <c r="C87" s="2"/>
      <c r="D87" s="2"/>
      <c r="E87" s="5"/>
      <c r="F87" s="7"/>
      <c r="G87" s="6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5"/>
      <c r="F88" s="7"/>
      <c r="G88" s="6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5"/>
      <c r="F89" s="5"/>
      <c r="G89" s="120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5"/>
      <c r="F90" s="5"/>
      <c r="G90" s="120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5"/>
      <c r="F91" s="5"/>
      <c r="G91" s="120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5"/>
      <c r="F92" s="5"/>
      <c r="G92" s="120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5"/>
      <c r="F93" s="5"/>
      <c r="G93" s="120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5"/>
      <c r="F94" s="5"/>
      <c r="G94" s="120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5"/>
      <c r="F95" s="5"/>
      <c r="G95" s="120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5"/>
      <c r="F96" s="7"/>
      <c r="G96" s="6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5"/>
      <c r="F97" s="7"/>
      <c r="G97" s="6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5"/>
      <c r="F98" s="7"/>
      <c r="G98" s="6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5"/>
      <c r="F99" s="7"/>
      <c r="G99" s="6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5"/>
      <c r="F100" s="7"/>
      <c r="G100" s="6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5"/>
      <c r="F101" s="7"/>
      <c r="G101" s="6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5"/>
      <c r="F102" s="7"/>
      <c r="G102" s="6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5"/>
      <c r="F103" s="7"/>
      <c r="G103" s="6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5"/>
      <c r="F104" s="7"/>
      <c r="G104" s="6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5"/>
      <c r="F105" s="2"/>
      <c r="G105" s="6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5"/>
      <c r="F106" s="2"/>
      <c r="G106" s="6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5"/>
      <c r="F107" s="2"/>
      <c r="G107" s="6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5"/>
      <c r="F108" s="2"/>
      <c r="G108" s="6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5"/>
      <c r="F109" s="2"/>
      <c r="G109" s="6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5"/>
      <c r="F110" s="2"/>
      <c r="G110" s="6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5"/>
      <c r="F111" s="2"/>
      <c r="G111" s="6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5"/>
      <c r="F112" s="2"/>
      <c r="G112" s="6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5"/>
      <c r="F113" s="2"/>
      <c r="G113" s="6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5"/>
      <c r="F114" s="2"/>
      <c r="G114" s="6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5"/>
      <c r="F115" s="2"/>
      <c r="G115" s="6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5"/>
      <c r="F116" s="2"/>
      <c r="G116" s="6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5"/>
      <c r="F117" s="2"/>
      <c r="G117" s="6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5"/>
      <c r="F118" s="2"/>
      <c r="G118" s="6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5"/>
      <c r="F119" s="2"/>
      <c r="G119" s="6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5"/>
      <c r="F120" s="2"/>
      <c r="G120" s="6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5"/>
      <c r="F121" s="2"/>
      <c r="G121" s="6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5"/>
      <c r="F122" s="2"/>
      <c r="G122" s="6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5"/>
      <c r="F123" s="2"/>
      <c r="G123" s="6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5"/>
      <c r="F124" s="2"/>
      <c r="G124" s="6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5"/>
      <c r="F125" s="2"/>
      <c r="G125" s="6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5"/>
      <c r="F126" s="2"/>
      <c r="G126" s="6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5"/>
      <c r="F127" s="2"/>
      <c r="G127" s="6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5"/>
      <c r="F128" s="2"/>
      <c r="G128" s="6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5"/>
      <c r="F129" s="2"/>
      <c r="G129" s="6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5"/>
      <c r="F130" s="2"/>
      <c r="G130" s="6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5"/>
      <c r="F131" s="2"/>
      <c r="G131" s="6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5"/>
      <c r="F132" s="2"/>
      <c r="G132" s="6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5"/>
      <c r="F133" s="2"/>
      <c r="G133" s="6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5"/>
      <c r="F134" s="2"/>
      <c r="G134" s="6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5"/>
      <c r="F135" s="2"/>
      <c r="G135" s="6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5"/>
      <c r="F136" s="2"/>
      <c r="G136" s="6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5"/>
      <c r="F137" s="2"/>
      <c r="G137" s="6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5"/>
      <c r="F138" s="2"/>
      <c r="G138" s="6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5"/>
      <c r="F139" s="2"/>
      <c r="G139" s="6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5"/>
      <c r="F140" s="2"/>
      <c r="G140" s="6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5"/>
      <c r="F141" s="2"/>
      <c r="G141" s="6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5"/>
      <c r="F142" s="2"/>
      <c r="G142" s="6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5"/>
      <c r="F143" s="2"/>
      <c r="G143" s="6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5"/>
      <c r="F144" s="2"/>
      <c r="G144" s="6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5"/>
      <c r="F145" s="2"/>
      <c r="G145" s="6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5"/>
      <c r="F146" s="2"/>
      <c r="G146" s="6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5"/>
      <c r="F147" s="2"/>
      <c r="G147" s="6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5"/>
      <c r="F148" s="2"/>
      <c r="G148" s="6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5"/>
      <c r="F149" s="2"/>
      <c r="G149" s="6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5"/>
      <c r="F150" s="2"/>
      <c r="G150" s="6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5"/>
      <c r="F151" s="2"/>
      <c r="G151" s="6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5"/>
      <c r="F152" s="2"/>
      <c r="G152" s="6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5"/>
      <c r="F153" s="2"/>
      <c r="G153" s="6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5"/>
      <c r="F154" s="2"/>
      <c r="G154" s="6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5"/>
      <c r="F155" s="2"/>
      <c r="G155" s="6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5"/>
      <c r="F156" s="2"/>
      <c r="G156" s="6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5"/>
      <c r="F157" s="2"/>
      <c r="G157" s="6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5"/>
      <c r="F158" s="2"/>
      <c r="G158" s="6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5"/>
      <c r="F159" s="2"/>
      <c r="G159" s="6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5"/>
      <c r="F160" s="2"/>
      <c r="G160" s="6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5"/>
      <c r="F161" s="2"/>
      <c r="G161" s="6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5"/>
      <c r="F162" s="2"/>
      <c r="G162" s="6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5"/>
      <c r="F163" s="2"/>
      <c r="G163" s="6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5"/>
      <c r="F164" s="2"/>
      <c r="G164" s="6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5"/>
      <c r="F165" s="2"/>
      <c r="G165" s="6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5"/>
      <c r="F166" s="2"/>
      <c r="G166" s="6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5"/>
      <c r="F167" s="2"/>
      <c r="G167" s="6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5"/>
      <c r="F168" s="2"/>
      <c r="G168" s="6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5"/>
      <c r="F169" s="2"/>
      <c r="G169" s="6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5"/>
      <c r="F170" s="2"/>
      <c r="G170" s="6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5"/>
      <c r="F171" s="2"/>
      <c r="G171" s="6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5"/>
      <c r="F172" s="2"/>
      <c r="G172" s="6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5"/>
      <c r="F173" s="2"/>
      <c r="G173" s="6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5"/>
      <c r="F174" s="2"/>
      <c r="G174" s="6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5"/>
      <c r="F175" s="2"/>
      <c r="G175" s="6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5"/>
      <c r="F176" s="2"/>
      <c r="G176" s="6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5"/>
      <c r="F177" s="2"/>
      <c r="G177" s="6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5"/>
      <c r="F178" s="2"/>
      <c r="G178" s="6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5"/>
      <c r="F179" s="2"/>
      <c r="G179" s="6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5"/>
      <c r="F180" s="2"/>
      <c r="G180" s="6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5"/>
      <c r="F181" s="2"/>
      <c r="G181" s="6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5"/>
      <c r="F182" s="2"/>
      <c r="G182" s="6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5"/>
      <c r="F183" s="2"/>
      <c r="G183" s="6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5"/>
      <c r="F184" s="2"/>
      <c r="G184" s="6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5"/>
      <c r="F185" s="2"/>
      <c r="G185" s="6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5"/>
      <c r="F186" s="2"/>
      <c r="G186" s="6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5"/>
      <c r="F187" s="2"/>
      <c r="G187" s="6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5"/>
      <c r="F188" s="2"/>
      <c r="G188" s="6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5"/>
      <c r="F189" s="2"/>
      <c r="G189" s="6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5"/>
      <c r="F190" s="2"/>
      <c r="G190" s="6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5"/>
      <c r="F191" s="2"/>
      <c r="G191" s="6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5"/>
      <c r="F192" s="2"/>
      <c r="G192" s="6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5"/>
      <c r="F193" s="2"/>
      <c r="G193" s="6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5"/>
      <c r="F194" s="2"/>
      <c r="G194" s="6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5"/>
      <c r="F195" s="2"/>
      <c r="G195" s="6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5"/>
      <c r="F196" s="2"/>
      <c r="G196" s="6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5"/>
      <c r="F197" s="2"/>
      <c r="G197" s="6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5"/>
      <c r="F198" s="2"/>
      <c r="G198" s="6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5"/>
      <c r="F199" s="2"/>
      <c r="G199" s="6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5"/>
      <c r="F200" s="2"/>
      <c r="G200" s="6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5"/>
      <c r="F201" s="2"/>
      <c r="G201" s="6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5"/>
      <c r="F202" s="2"/>
      <c r="G202" s="6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5"/>
      <c r="F203" s="2"/>
      <c r="G203" s="6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5"/>
      <c r="F204" s="2"/>
      <c r="G204" s="6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5"/>
      <c r="F205" s="2"/>
      <c r="G205" s="6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5"/>
      <c r="F206" s="2"/>
      <c r="G206" s="6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5"/>
      <c r="F207" s="2"/>
      <c r="G207" s="6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5"/>
      <c r="F208" s="2"/>
      <c r="G208" s="6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5"/>
      <c r="F209" s="2"/>
      <c r="G209" s="6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5"/>
      <c r="F210" s="2"/>
      <c r="G210" s="6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5"/>
      <c r="F211" s="2"/>
      <c r="G211" s="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5"/>
      <c r="F212" s="2"/>
      <c r="G212" s="6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5"/>
      <c r="F213" s="2"/>
      <c r="G213" s="6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5"/>
      <c r="F214" s="2"/>
      <c r="G214" s="6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5"/>
      <c r="F215" s="2"/>
      <c r="G215" s="6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5"/>
      <c r="F216" s="2"/>
      <c r="G216" s="6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5"/>
      <c r="F217" s="2"/>
      <c r="G217" s="6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5"/>
      <c r="F218" s="2"/>
      <c r="G218" s="6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5"/>
      <c r="F219" s="2"/>
      <c r="G219" s="6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5"/>
      <c r="F220" s="2"/>
      <c r="G220" s="6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5"/>
      <c r="F221" s="2"/>
      <c r="G221" s="6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5"/>
      <c r="F222" s="2"/>
      <c r="G222" s="6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5"/>
      <c r="F223" s="2"/>
      <c r="G223" s="6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5"/>
      <c r="F224" s="2"/>
      <c r="G224" s="6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5"/>
      <c r="F225" s="2"/>
      <c r="G225" s="6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5"/>
      <c r="F226" s="2"/>
      <c r="G226" s="6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5"/>
      <c r="F227" s="2"/>
      <c r="G227" s="6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5"/>
      <c r="F228" s="2"/>
      <c r="G228" s="6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5"/>
      <c r="F229" s="2"/>
      <c r="G229" s="6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5"/>
      <c r="F230" s="2"/>
      <c r="G230" s="6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5"/>
      <c r="F231" s="2"/>
      <c r="G231" s="6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5"/>
      <c r="F232" s="2"/>
      <c r="G232" s="6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5"/>
      <c r="F233" s="2"/>
      <c r="G233" s="6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5"/>
      <c r="F234" s="2"/>
      <c r="G234" s="6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5"/>
      <c r="F235" s="2"/>
      <c r="G235" s="6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5"/>
      <c r="F236" s="2"/>
      <c r="G236" s="6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5"/>
      <c r="F237" s="2"/>
      <c r="G237" s="6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5"/>
      <c r="F238" s="2"/>
      <c r="G238" s="6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5"/>
      <c r="F239" s="2"/>
      <c r="G239" s="6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5"/>
      <c r="F240" s="2"/>
      <c r="G240" s="6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5"/>
      <c r="F241" s="2"/>
      <c r="G241" s="6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5"/>
      <c r="F242" s="2"/>
      <c r="G242" s="6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5"/>
      <c r="F243" s="2"/>
      <c r="G243" s="6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5"/>
      <c r="F244" s="2"/>
      <c r="G244" s="6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5"/>
      <c r="F245" s="2"/>
      <c r="G245" s="6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5"/>
      <c r="F246" s="2"/>
      <c r="G246" s="6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5"/>
      <c r="F247" s="2"/>
      <c r="G247" s="6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5"/>
      <c r="F248" s="2"/>
      <c r="G248" s="6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5"/>
      <c r="F249" s="2"/>
      <c r="G249" s="6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5"/>
      <c r="F250" s="2"/>
      <c r="G250" s="6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5"/>
      <c r="F251" s="2"/>
      <c r="G251" s="6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5"/>
      <c r="F252" s="2"/>
      <c r="G252" s="6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5"/>
      <c r="F253" s="2"/>
      <c r="G253" s="6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5"/>
      <c r="F254" s="2"/>
      <c r="G254" s="6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5"/>
      <c r="F255" s="2"/>
      <c r="G255" s="6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5"/>
      <c r="F256" s="2"/>
      <c r="G256" s="6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5"/>
      <c r="F257" s="2"/>
      <c r="G257" s="6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5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5"/>
      <c r="F259" s="2"/>
      <c r="G259" s="6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5"/>
      <c r="F260" s="2"/>
      <c r="G260" s="6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5"/>
      <c r="F261" s="2"/>
      <c r="G261" s="6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5"/>
      <c r="F262" s="2"/>
      <c r="G262" s="6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5"/>
      <c r="F263" s="2"/>
      <c r="G263" s="6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5"/>
      <c r="F264" s="2"/>
      <c r="G264" s="6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5"/>
      <c r="F265" s="2"/>
      <c r="G265" s="6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5"/>
      <c r="F266" s="2"/>
      <c r="G266" s="6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5"/>
      <c r="F267" s="2"/>
      <c r="G267" s="6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5"/>
      <c r="F268" s="2"/>
      <c r="G268" s="6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5"/>
      <c r="F269" s="2"/>
      <c r="G269" s="6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5"/>
      <c r="F270" s="2"/>
      <c r="G270" s="6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5"/>
      <c r="F271" s="2"/>
      <c r="G271" s="6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5"/>
      <c r="F272" s="2"/>
      <c r="G272" s="6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5"/>
      <c r="F273" s="2"/>
      <c r="G273" s="6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5"/>
      <c r="F274" s="2"/>
      <c r="G274" s="6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5"/>
      <c r="F275" s="2"/>
      <c r="G275" s="6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5"/>
      <c r="F276" s="2"/>
      <c r="G276" s="6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5"/>
      <c r="F277" s="2"/>
      <c r="G277" s="6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5"/>
      <c r="F278" s="2"/>
      <c r="G278" s="6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5"/>
      <c r="F279" s="2"/>
      <c r="G279" s="6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5"/>
      <c r="F280" s="2"/>
      <c r="G280" s="6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5"/>
      <c r="F281" s="2"/>
      <c r="G281" s="6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5"/>
      <c r="F282" s="2"/>
      <c r="G282" s="6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5"/>
      <c r="F283" s="2"/>
      <c r="G283" s="6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5"/>
      <c r="F284" s="2"/>
      <c r="G284" s="6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5"/>
      <c r="F285" s="2"/>
      <c r="G285" s="6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5"/>
      <c r="F286" s="2"/>
      <c r="G286" s="6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5"/>
      <c r="F287" s="2"/>
      <c r="G287" s="6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5"/>
      <c r="F288" s="2"/>
      <c r="G288" s="6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5"/>
      <c r="F289" s="2"/>
      <c r="G289" s="6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5"/>
      <c r="F290" s="2"/>
      <c r="G290" s="6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5"/>
      <c r="F291" s="2"/>
      <c r="G291" s="6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5"/>
      <c r="F292" s="2"/>
      <c r="G292" s="6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5"/>
      <c r="F293" s="2"/>
      <c r="G293" s="6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5"/>
      <c r="F294" s="2"/>
      <c r="G294" s="6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5"/>
      <c r="F295" s="2"/>
      <c r="G295" s="6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6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6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6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6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6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6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6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6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6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6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6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6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6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6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6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6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6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6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6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6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6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6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6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6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6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6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6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6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6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6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6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6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6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6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6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6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6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6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6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6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6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6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6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6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6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6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6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6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6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6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6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6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6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6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6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6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6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6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6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6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6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6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6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6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6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6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6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6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6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6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6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6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6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6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6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6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6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6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6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6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6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6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6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6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6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6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6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6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6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6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6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6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6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6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6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6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6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6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6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6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6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6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6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6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6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6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6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6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6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6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6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6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6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6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6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6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6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6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6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6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6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6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6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6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6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6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6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6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6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6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6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6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6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6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6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6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6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6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6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6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6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6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6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6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6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6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6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6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6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6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6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6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6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6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6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6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6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6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6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6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6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6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6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6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6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6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6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6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6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6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6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6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6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6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6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6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6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6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6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6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6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6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6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6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6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6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6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6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6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6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6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6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6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6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6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6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6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6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6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6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6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6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6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6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6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6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6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6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6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6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6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6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6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6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6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6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6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6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6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6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6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6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6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6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6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6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6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6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6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6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6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6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6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6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6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6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6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6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6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6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6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6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6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6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6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6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6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6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6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6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6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6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6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6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6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6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6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6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6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6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6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6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6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6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6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6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6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6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6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6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6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6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6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6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6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6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6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6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6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6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6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6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6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6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6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6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6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6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6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6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6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6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6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6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6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6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6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6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6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6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6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6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6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6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6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6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6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6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6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6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6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6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6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6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6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6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6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6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6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6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6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6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6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6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6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6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6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6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6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6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6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6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6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6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6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6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6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6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6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6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6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6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6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6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6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6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6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6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6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6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6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6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6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6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6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6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6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6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6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6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6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6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6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6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6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6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6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6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6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6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6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6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6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6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6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6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6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6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6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6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6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6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6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6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6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6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6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6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6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6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6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6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6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6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6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6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6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6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6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6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6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6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6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6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6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6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6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6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6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6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6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6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6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6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6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6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6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6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6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6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6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6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6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6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6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6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6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6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6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6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6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6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6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6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6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6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6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6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6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6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6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6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6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6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6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6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6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6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6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6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6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6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6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6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6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6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6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6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6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6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6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6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6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6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6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6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6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6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6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6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6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6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6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6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6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6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6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6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6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6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6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6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6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6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6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6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6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6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6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6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6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6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6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6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6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6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6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6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6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6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6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6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6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6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6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6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6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6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6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6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6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6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6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6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6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6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6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6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6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6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6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6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6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6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6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6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6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6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6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6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6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6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6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6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6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6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6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6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6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6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6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6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6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6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6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6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6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6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6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6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6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6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6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6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6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6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6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6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6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6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6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6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6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6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6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6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6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6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6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6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6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6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6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6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6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6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6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6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6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6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6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6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6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6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6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6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6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6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6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6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6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6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6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6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6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6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6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6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6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6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6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6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6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6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6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6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6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6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6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6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6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6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6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6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6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6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6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6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6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6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6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6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6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6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6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6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6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6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6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6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6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6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6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6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6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6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6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6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6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6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6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6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6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6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6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6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6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6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6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6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6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6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6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6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6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6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6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6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6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6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6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6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6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6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6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G961" s="121"/>
    </row>
    <row r="962">
      <c r="G962" s="121"/>
    </row>
    <row r="963">
      <c r="G963" s="121"/>
    </row>
    <row r="964">
      <c r="G964" s="121"/>
    </row>
    <row r="965">
      <c r="G965" s="121"/>
    </row>
    <row r="966">
      <c r="G966" s="121"/>
    </row>
    <row r="967">
      <c r="G967" s="121"/>
    </row>
    <row r="968">
      <c r="G968" s="121"/>
    </row>
    <row r="969">
      <c r="G969" s="121"/>
    </row>
    <row r="970">
      <c r="G970" s="121"/>
    </row>
    <row r="971">
      <c r="G971" s="121"/>
    </row>
    <row r="972">
      <c r="G972" s="121"/>
    </row>
    <row r="973">
      <c r="G973" s="121"/>
    </row>
    <row r="974">
      <c r="G974" s="121"/>
    </row>
    <row r="975">
      <c r="G975" s="121"/>
    </row>
    <row r="976">
      <c r="G976" s="121"/>
    </row>
    <row r="977">
      <c r="G977" s="121"/>
    </row>
    <row r="978">
      <c r="G978" s="121"/>
    </row>
    <row r="979">
      <c r="G979" s="121"/>
    </row>
    <row r="980">
      <c r="G980" s="121"/>
    </row>
    <row r="981">
      <c r="G981" s="121"/>
    </row>
    <row r="982">
      <c r="G982" s="121"/>
    </row>
    <row r="983">
      <c r="G983" s="121"/>
    </row>
    <row r="984">
      <c r="G984" s="121"/>
    </row>
    <row r="985">
      <c r="G985" s="121"/>
    </row>
    <row r="986">
      <c r="G986" s="121"/>
    </row>
    <row r="987">
      <c r="G987" s="121"/>
    </row>
    <row r="988">
      <c r="G988" s="121"/>
    </row>
    <row r="989">
      <c r="G989" s="121"/>
    </row>
    <row r="990">
      <c r="G990" s="121"/>
    </row>
    <row r="991">
      <c r="G991" s="121"/>
    </row>
    <row r="992">
      <c r="G992" s="121"/>
    </row>
    <row r="993">
      <c r="G993" s="121"/>
    </row>
    <row r="994">
      <c r="G994" s="121"/>
    </row>
    <row r="995">
      <c r="G995" s="121"/>
    </row>
    <row r="996">
      <c r="G996" s="121"/>
    </row>
    <row r="997">
      <c r="G997" s="121"/>
    </row>
    <row r="998">
      <c r="G998" s="121"/>
    </row>
    <row r="999">
      <c r="G999" s="121"/>
    </row>
    <row r="1000">
      <c r="G1000" s="121"/>
    </row>
  </sheetData>
  <mergeCells count="37">
    <mergeCell ref="D56:D57"/>
    <mergeCell ref="E56:E57"/>
    <mergeCell ref="D63:F63"/>
    <mergeCell ref="G53:G55"/>
    <mergeCell ref="G48:G50"/>
    <mergeCell ref="G58:G60"/>
    <mergeCell ref="I56:I57"/>
    <mergeCell ref="G56:G57"/>
    <mergeCell ref="F56:F57"/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F8:F9"/>
    <mergeCell ref="G8:G9"/>
    <mergeCell ref="G12:G19"/>
    <mergeCell ref="D21:D23"/>
    <mergeCell ref="E21:E23"/>
    <mergeCell ref="F21:F23"/>
    <mergeCell ref="I21:I23"/>
    <mergeCell ref="C56:C57"/>
    <mergeCell ref="A70:C70"/>
    <mergeCell ref="A71:C71"/>
    <mergeCell ref="G21:G23"/>
    <mergeCell ref="D30:D32"/>
    <mergeCell ref="E30:E32"/>
    <mergeCell ref="F30:F32"/>
    <mergeCell ref="I30:I32"/>
    <mergeCell ref="J30:J32"/>
    <mergeCell ref="G43:G44"/>
    <mergeCell ref="G38:G41"/>
    <mergeCell ref="G27:G36"/>
  </mergeCells>
  <drawing r:id="rId2"/>
  <legacyDrawing r:id="rId3"/>
</worksheet>
</file>