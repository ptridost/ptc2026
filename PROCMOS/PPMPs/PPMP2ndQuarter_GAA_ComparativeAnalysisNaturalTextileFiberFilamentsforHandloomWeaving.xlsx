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1933051bb08989/Documents/Digi Files/PPMP/"/>
    </mc:Choice>
  </mc:AlternateContent>
  <xr:revisionPtr revIDLastSave="3" documentId="8_{98FD21CF-886A-490B-A469-051A73DE8A56}" xr6:coauthVersionLast="47" xr6:coauthVersionMax="47" xr10:uidLastSave="{20F11F8F-AB72-435F-BC00-AB9EA83125F9}"/>
  <bookViews>
    <workbookView xWindow="-108" yWindow="-108" windowWidth="23256" windowHeight="12720" xr2:uid="{AD35ED27-A257-C540-8058-4637CB79A4C6}"/>
  </bookViews>
  <sheets>
    <sheet name="Rev_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0" i="2" l="1"/>
  <c r="E29" i="2"/>
  <c r="E14" i="2"/>
  <c r="D40" i="2"/>
  <c r="D39" i="2"/>
  <c r="D20" i="2"/>
  <c r="D18" i="2"/>
  <c r="D17" i="2"/>
  <c r="E16" i="2"/>
  <c r="E15" i="2"/>
  <c r="U9" i="2"/>
  <c r="C61" i="2" l="1"/>
  <c r="C62" i="2" s="1"/>
  <c r="C63" i="2" l="1"/>
  <c r="C6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8" authorId="0" shapeId="0" xr:uid="{F65B8E07-204E-8846-8585-B17B70C891F5}">
      <text>
        <r>
          <rPr>
            <sz val="11"/>
            <color theme="1"/>
            <rFont val="Arial"/>
            <family val="2"/>
          </rPr>
          <t>======
ID#AAAALw1HShk
upmnih    (2021-04-08 04:25:07)
Prepared by: Project Staff/ Research Associate</t>
        </r>
      </text>
    </comment>
    <comment ref="C68" authorId="0" shapeId="0" xr:uid="{01197165-316B-7C4A-8C7A-F91714BFC6CB}">
      <text>
        <r>
          <rPr>
            <sz val="11"/>
            <color theme="1"/>
            <rFont val="Arial"/>
            <family val="2"/>
          </rPr>
          <t>======
ID#AAAALw1HSho
upmnih    (2021-04-08 04:25:07)
Submitted by: Project Leader</t>
        </r>
      </text>
    </comment>
  </commentList>
</comments>
</file>

<file path=xl/sharedStrings.xml><?xml version="1.0" encoding="utf-8"?>
<sst xmlns="http://schemas.openxmlformats.org/spreadsheetml/2006/main" count="141" uniqueCount="105">
  <si>
    <t xml:space="preserve">  PROJECT PROCUREMENT MANAGEMENT PLAN (PPMP) 2024</t>
  </si>
  <si>
    <t>For 1st Quarter of CY 2024</t>
  </si>
  <si>
    <t>END-USER/UNIT: RDD-NFUS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</si>
  <si>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</si>
  <si>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</si>
  <si>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</si>
  <si>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</si>
  <si>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</si>
  <si>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</si>
  <si>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</si>
  <si>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</si>
  <si>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</si>
  <si>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</si>
  <si>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</si>
  <si>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</si>
  <si>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</si>
  <si>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</si>
  <si>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</si>
  <si>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</si>
  <si>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</si>
  <si>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</si>
  <si>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</si>
  <si>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</si>
  <si>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</si>
  <si>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Local Travel Expenses</t>
  </si>
  <si>
    <t>lot</t>
  </si>
  <si>
    <t>Office Supplies</t>
  </si>
  <si>
    <t>Shopping</t>
  </si>
  <si>
    <t>Sticky flags</t>
  </si>
  <si>
    <t>20 packs</t>
  </si>
  <si>
    <t>5 pieces</t>
  </si>
  <si>
    <t>10 packs</t>
  </si>
  <si>
    <t>Long brown envelope</t>
  </si>
  <si>
    <t>50 packs</t>
  </si>
  <si>
    <t>15 pieces</t>
  </si>
  <si>
    <t>Small Value Procurement</t>
  </si>
  <si>
    <t>Manila paper</t>
  </si>
  <si>
    <t>50 pieces</t>
  </si>
  <si>
    <t>Ziplocks (Large)</t>
  </si>
  <si>
    <t>Ziplocks (Small)</t>
  </si>
  <si>
    <t>Other Supplies</t>
  </si>
  <si>
    <t>Laboratory Supplies</t>
  </si>
  <si>
    <t>30kg/cby</t>
  </si>
  <si>
    <t>Sodium Hydroxide @ 48% purity</t>
  </si>
  <si>
    <t>Sodium Silicate, Technical Grade</t>
  </si>
  <si>
    <t>gallon</t>
  </si>
  <si>
    <t>Hydrogen Peroxide, @50% purity</t>
  </si>
  <si>
    <t>Diesel</t>
  </si>
  <si>
    <t>drum</t>
  </si>
  <si>
    <t>Alcohol swab</t>
  </si>
  <si>
    <t>6 boxes</t>
  </si>
  <si>
    <t>70% Isopropyl alcohol</t>
  </si>
  <si>
    <t>10 units</t>
  </si>
  <si>
    <t>Representation Expenses</t>
  </si>
  <si>
    <t>Office Equipment</t>
  </si>
  <si>
    <t>Laboratory Equipment</t>
  </si>
  <si>
    <t>&lt;-- INSERT ROW IF NEEDED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</si>
  <si>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</si>
  <si>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</si>
  <si>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</si>
  <si>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</si>
  <si>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</si>
  <si>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</si>
  <si>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</si>
  <si>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</si>
  <si>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</si>
  <si>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</si>
  <si>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</si>
  <si>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</si>
  <si>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</si>
  <si>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</si>
  <si>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</si>
  <si>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</si>
  <si>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</si>
  <si>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 xml:space="preserve"> </t>
  </si>
  <si>
    <t>Local Travel (Rizal/Laguna)</t>
  </si>
  <si>
    <t>Sign pen, blue</t>
  </si>
  <si>
    <t>20 pieces</t>
  </si>
  <si>
    <t>Highlighter (orange)</t>
  </si>
  <si>
    <t>Highlighter (pink)</t>
  </si>
  <si>
    <t>Clearbook, A4</t>
  </si>
  <si>
    <t xml:space="preserve">Arch file folder, A4 </t>
  </si>
  <si>
    <t>Specialty board paper</t>
  </si>
  <si>
    <t>10 rolls</t>
  </si>
  <si>
    <t>Marker, black</t>
  </si>
  <si>
    <t>10 pieces</t>
  </si>
  <si>
    <t>MARIE ANTONETTE V. BERCES</t>
  </si>
  <si>
    <t>Charged to: Comparative Analysis of Natural Textile Fiber Filaments for Handloom Weaving</t>
  </si>
  <si>
    <t>30 pieces</t>
  </si>
  <si>
    <r>
      <t>Date: 22</t>
    </r>
    <r>
      <rPr>
        <u/>
        <sz val="11"/>
        <color theme="1"/>
        <rFont val="Arial"/>
        <family val="2"/>
      </rPr>
      <t xml:space="preserve"> March 2024</t>
    </r>
  </si>
  <si>
    <t>Laboratory Notebook, Notebook, 100 leaves, 216x280mm, Blue cover</t>
  </si>
  <si>
    <t>Masking tape, 11"</t>
  </si>
  <si>
    <t>Plastic Wrap, 18x500m</t>
  </si>
  <si>
    <t>3 rolls</t>
  </si>
  <si>
    <t>April</t>
  </si>
  <si>
    <t>Anos (Schizostachyum lima)</t>
  </si>
  <si>
    <t>5 poles</t>
  </si>
  <si>
    <t>Puser (Crytochloa puser)</t>
  </si>
  <si>
    <t>Acetic Acid @ 99.85%</t>
  </si>
  <si>
    <t>Acetic Acid ≥ 99%</t>
  </si>
  <si>
    <t>40 L/cby</t>
  </si>
  <si>
    <t>2.5 L/cby</t>
  </si>
  <si>
    <t>Cleanmate (Liquid Detergent)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</si>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</sst>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1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rgb="FFFF0000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8"/>
      <color theme="1"/>
      <name val="Arial"/>
      <family val="2"/>
    </font>
    <font>
      <u/>
      <sz val="8"/>
      <color theme="1"/>
      <name val="Arial"/>
      <family val="2"/>
    </font>
    <font>
      <b/>
      <u/>
      <sz val="10"/>
      <color theme="1"/>
      <name val="Arial"/>
      <family val="2"/>
    </font>
    <font>
      <u/>
      <sz val="11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2" fillId="0" borderId="0"/>
  </cellStyleXfs>
  <cellXfs count="118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4" fontId="1" fillId="0" borderId="0" xfId="0" applyNumberFormat="1" applyFont="1" applyAlignment="1">
      <alignment horizontal="right"/>
    </xf>
    <xf numFmtId="164" fontId="1" fillId="0" borderId="0" xfId="0" applyNumberFormat="1" applyFont="1"/>
    <xf numFmtId="0" fontId="1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0" xfId="0" applyFont="1"/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11" xfId="0" applyFont="1" applyBorder="1"/>
    <xf numFmtId="0" fontId="9" fillId="0" borderId="12" xfId="0" applyFont="1" applyBorder="1"/>
    <xf numFmtId="0" fontId="10" fillId="2" borderId="13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center" vertical="center" wrapText="1"/>
    </xf>
    <xf numFmtId="4" fontId="6" fillId="2" borderId="9" xfId="0" applyNumberFormat="1" applyFont="1" applyFill="1" applyBorder="1" applyAlignment="1">
      <alignment horizontal="right" vertical="center" wrapText="1"/>
    </xf>
    <xf numFmtId="164" fontId="6" fillId="2" borderId="9" xfId="0" applyNumberFormat="1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4" fontId="6" fillId="2" borderId="8" xfId="0" applyNumberFormat="1" applyFont="1" applyFill="1" applyBorder="1" applyAlignment="1">
      <alignment horizontal="right" vertical="center" wrapText="1"/>
    </xf>
    <xf numFmtId="164" fontId="6" fillId="2" borderId="8" xfId="0" applyNumberFormat="1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49" fontId="1" fillId="0" borderId="13" xfId="0" applyNumberFormat="1" applyFont="1" applyBorder="1"/>
    <xf numFmtId="0" fontId="1" fillId="0" borderId="9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right" vertical="center" wrapText="1"/>
    </xf>
    <xf numFmtId="164" fontId="1" fillId="0" borderId="9" xfId="0" applyNumberFormat="1" applyFont="1" applyBorder="1" applyAlignment="1">
      <alignment horizontal="center" vertical="center" wrapText="1"/>
    </xf>
    <xf numFmtId="0" fontId="1" fillId="0" borderId="15" xfId="0" applyFont="1" applyBorder="1"/>
    <xf numFmtId="0" fontId="1" fillId="0" borderId="9" xfId="0" applyFont="1" applyBorder="1" applyAlignment="1">
      <alignment horizontal="right" vertical="center" wrapText="1"/>
    </xf>
    <xf numFmtId="49" fontId="1" fillId="0" borderId="13" xfId="0" applyNumberFormat="1" applyFont="1" applyBorder="1" applyAlignment="1">
      <alignment horizontal="left" vertical="center"/>
    </xf>
    <xf numFmtId="0" fontId="1" fillId="2" borderId="15" xfId="0" applyFont="1" applyFill="1" applyBorder="1"/>
    <xf numFmtId="4" fontId="1" fillId="2" borderId="15" xfId="0" applyNumberFormat="1" applyFont="1" applyFill="1" applyBorder="1" applyAlignment="1">
      <alignment horizontal="right"/>
    </xf>
    <xf numFmtId="0" fontId="1" fillId="0" borderId="13" xfId="0" applyFont="1" applyBorder="1" applyAlignment="1">
      <alignment horizontal="left" vertical="center"/>
    </xf>
    <xf numFmtId="0" fontId="1" fillId="0" borderId="15" xfId="0" applyFont="1" applyBorder="1" applyAlignment="1">
      <alignment horizontal="center"/>
    </xf>
    <xf numFmtId="4" fontId="1" fillId="0" borderId="15" xfId="0" applyNumberFormat="1" applyFont="1" applyBorder="1" applyAlignment="1">
      <alignment horizontal="right"/>
    </xf>
    <xf numFmtId="0" fontId="10" fillId="0" borderId="1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 wrapText="1"/>
    </xf>
    <xf numFmtId="4" fontId="1" fillId="0" borderId="15" xfId="0" applyNumberFormat="1" applyFont="1" applyBorder="1" applyAlignment="1">
      <alignment horizontal="right" vertical="center" wrapText="1"/>
    </xf>
    <xf numFmtId="164" fontId="1" fillId="0" borderId="15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4" fontId="1" fillId="0" borderId="20" xfId="0" applyNumberFormat="1" applyFont="1" applyBorder="1"/>
    <xf numFmtId="0" fontId="13" fillId="0" borderId="0" xfId="0" applyFont="1" applyAlignment="1">
      <alignment vertical="center"/>
    </xf>
    <xf numFmtId="0" fontId="6" fillId="0" borderId="13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8" fillId="0" borderId="0" xfId="0" applyFont="1" applyAlignment="1">
      <alignment horizontal="left"/>
    </xf>
    <xf numFmtId="0" fontId="6" fillId="0" borderId="15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1" fillId="0" borderId="0" xfId="0" applyFont="1"/>
    <xf numFmtId="164" fontId="11" fillId="0" borderId="0" xfId="0" applyNumberFormat="1" applyFont="1" applyAlignment="1">
      <alignment horizont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4" fontId="7" fillId="0" borderId="0" xfId="0" applyNumberFormat="1" applyFont="1" applyAlignment="1">
      <alignment horizontal="right" vertical="center" wrapText="1"/>
    </xf>
    <xf numFmtId="4" fontId="11" fillId="0" borderId="0" xfId="0" applyNumberFormat="1" applyFont="1" applyAlignment="1">
      <alignment horizontal="right"/>
    </xf>
    <xf numFmtId="0" fontId="7" fillId="0" borderId="0" xfId="0" applyFont="1" applyAlignment="1">
      <alignment wrapText="1"/>
    </xf>
    <xf numFmtId="0" fontId="1" fillId="0" borderId="0" xfId="0" applyFont="1" applyAlignment="1">
      <alignment horizontal="left"/>
    </xf>
    <xf numFmtId="4" fontId="18" fillId="0" borderId="0" xfId="0" applyNumberFormat="1" applyFont="1" applyAlignment="1">
      <alignment horizontal="right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wrapText="1"/>
    </xf>
    <xf numFmtId="0" fontId="20" fillId="0" borderId="0" xfId="0" applyFont="1"/>
    <xf numFmtId="0" fontId="1" fillId="0" borderId="24" xfId="0" applyFont="1" applyBorder="1"/>
    <xf numFmtId="0" fontId="1" fillId="0" borderId="26" xfId="0" applyFont="1" applyBorder="1"/>
    <xf numFmtId="49" fontId="1" fillId="0" borderId="13" xfId="0" applyNumberFormat="1" applyFont="1" applyBorder="1" applyAlignment="1">
      <alignment wrapText="1"/>
    </xf>
    <xf numFmtId="0" fontId="0" fillId="0" borderId="13" xfId="0" applyBorder="1" applyAlignment="1">
      <alignment horizontal="left" vertical="center"/>
    </xf>
    <xf numFmtId="164" fontId="20" fillId="0" borderId="0" xfId="0" applyNumberFormat="1" applyFont="1" applyAlignment="1">
      <alignment horizontal="left" vertical="center" wrapText="1"/>
    </xf>
    <xf numFmtId="0" fontId="0" fillId="0" borderId="0" xfId="0"/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" fillId="0" borderId="0" xfId="0" applyFont="1"/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wrapTex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 vertical="center" wrapText="1"/>
    </xf>
    <xf numFmtId="164" fontId="2" fillId="0" borderId="24" xfId="0" applyNumberFormat="1" applyFont="1" applyBorder="1" applyAlignment="1">
      <alignment horizontal="center"/>
    </xf>
    <xf numFmtId="0" fontId="9" fillId="0" borderId="25" xfId="0" applyFont="1" applyBorder="1"/>
    <xf numFmtId="0" fontId="9" fillId="0" borderId="26" xfId="0" applyFont="1" applyBorder="1"/>
    <xf numFmtId="164" fontId="11" fillId="0" borderId="0" xfId="0" applyNumberFormat="1" applyFont="1" applyAlignment="1">
      <alignment horizontal="center"/>
    </xf>
    <xf numFmtId="0" fontId="6" fillId="0" borderId="17" xfId="1" applyFont="1" applyBorder="1" applyAlignment="1">
      <alignment horizontal="left" vertical="center" wrapText="1" indent="1"/>
    </xf>
    <xf numFmtId="0" fontId="6" fillId="0" borderId="18" xfId="1" applyFont="1" applyBorder="1" applyAlignment="1">
      <alignment horizontal="left" vertical="center" wrapText="1" indent="1"/>
    </xf>
    <xf numFmtId="0" fontId="6" fillId="0" borderId="19" xfId="1" applyFont="1" applyBorder="1" applyAlignment="1">
      <alignment horizontal="left" vertical="center" wrapText="1" indent="1"/>
    </xf>
    <xf numFmtId="164" fontId="2" fillId="0" borderId="0" xfId="0" applyNumberFormat="1" applyFont="1" applyAlignment="1">
      <alignment horizontal="center"/>
    </xf>
    <xf numFmtId="164" fontId="2" fillId="0" borderId="21" xfId="0" applyNumberFormat="1" applyFont="1" applyBorder="1" applyAlignment="1">
      <alignment horizontal="center"/>
    </xf>
    <xf numFmtId="0" fontId="9" fillId="0" borderId="22" xfId="0" applyFont="1" applyBorder="1"/>
    <xf numFmtId="0" fontId="9" fillId="0" borderId="23" xfId="0" applyFont="1" applyBorder="1"/>
    <xf numFmtId="0" fontId="8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7" xfId="0" applyFont="1" applyBorder="1"/>
    <xf numFmtId="0" fontId="6" fillId="0" borderId="2" xfId="0" applyFont="1" applyBorder="1" applyAlignment="1">
      <alignment horizontal="center" vertical="center" wrapText="1"/>
    </xf>
    <xf numFmtId="0" fontId="9" fillId="0" borderId="8" xfId="0" applyFont="1" applyBorder="1"/>
    <xf numFmtId="4" fontId="6" fillId="0" borderId="2" xfId="0" applyNumberFormat="1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</cellXfs>
  <cellStyles count="2">
    <cellStyle name="Normal" xfId="0" builtinId="0"/>
    <cellStyle name="Normal 5" xfId="1" xr:uid="{D93471AA-018E-BC41-B4F4-97A45D5C39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0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86845-C32A-E64F-B48A-BFFE1512B9EC}">
  <sheetPr>
    <pageSetUpPr fitToPage="1"/>
  </sheetPr>
  <dimension ref="A1:X983"/>
  <sheetViews>
    <sheetView tabSelected="1" workbookViewId="0">
      <selection activeCell="A6" sqref="A6:J6"/>
    </sheetView>
  </sheetViews>
  <sheetFormatPr defaultColWidth="12.69921875" defaultRowHeight="15" customHeight="1" x14ac:dyDescent="0.25"/>
  <cols>
    <col min="1" max="1" width="7.69921875" customWidth="1"/>
    <col min="2" max="2" width="47.09765625" customWidth="1"/>
    <col min="3" max="3" width="11.69921875" customWidth="1"/>
    <col min="4" max="4" width="10.19921875" customWidth="1"/>
    <col min="5" max="5" width="11.19921875" customWidth="1"/>
    <col min="6" max="6" width="23.19921875" customWidth="1"/>
    <col min="7" max="7" width="10.296875" customWidth="1"/>
    <col min="8" max="12" width="7.69921875" customWidth="1"/>
    <col min="13" max="13" width="11.296875" customWidth="1"/>
    <col min="14" max="15" width="7.69921875" customWidth="1"/>
    <col min="16" max="16" width="10.19921875" customWidth="1"/>
    <col min="17" max="17" width="9.19921875" customWidth="1"/>
    <col min="18" max="18" width="7.69921875" customWidth="1"/>
    <col min="19" max="19" width="9.5" customWidth="1"/>
    <col min="20" max="21" width="9.796875" customWidth="1"/>
    <col min="22" max="22" width="22.69921875" customWidth="1"/>
    <col min="23" max="30" width="7.69921875" customWidth="1"/>
  </cols>
  <sheetData>
    <row r="1" spans="1:24" ht="15.6" x14ac:dyDescent="0.25">
      <c r="A1" s="103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1"/>
      <c r="X1" s="1"/>
    </row>
    <row r="2" spans="1:24" ht="13.8" x14ac:dyDescent="0.25">
      <c r="A2" s="104" t="s">
        <v>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"/>
      <c r="X2" s="1"/>
    </row>
    <row r="3" spans="1:24" ht="13.8" x14ac:dyDescent="0.25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"/>
      <c r="X3" s="1"/>
    </row>
    <row r="4" spans="1:24" ht="15.6" x14ac:dyDescent="0.25">
      <c r="A4" s="2" t="s">
        <v>2</v>
      </c>
      <c r="B4" s="3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"/>
      <c r="W4" s="1"/>
      <c r="X4" s="1"/>
    </row>
    <row r="5" spans="1:24" ht="15.6" x14ac:dyDescent="0.25">
      <c r="A5" s="5"/>
      <c r="B5" s="3"/>
      <c r="C5" s="1"/>
      <c r="D5" s="6"/>
      <c r="E5" s="7"/>
      <c r="F5" s="8"/>
      <c r="G5" s="8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6" x14ac:dyDescent="0.25">
      <c r="A6" s="106" t="s">
        <v>87</v>
      </c>
      <c r="B6" s="106"/>
      <c r="C6" s="106"/>
      <c r="D6" s="106"/>
      <c r="E6" s="106"/>
      <c r="F6" s="106"/>
      <c r="G6" s="106"/>
      <c r="H6" s="106"/>
      <c r="I6" s="106"/>
      <c r="J6" s="10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6.2" thickBot="1" x14ac:dyDescent="0.3">
      <c r="A7" s="5" t="s">
        <v>3</v>
      </c>
      <c r="B7" s="3"/>
      <c r="C7" s="1"/>
      <c r="D7" s="6"/>
      <c r="E7" s="7"/>
      <c r="F7" s="8"/>
      <c r="G7" s="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2.5" customHeight="1" x14ac:dyDescent="0.25">
      <c r="A8" s="107" t="s">
        <v>4</v>
      </c>
      <c r="B8" s="109" t="s">
        <v>5</v>
      </c>
      <c r="C8" s="9" t="s">
        <v>6</v>
      </c>
      <c r="D8" s="111" t="s">
        <v>7</v>
      </c>
      <c r="E8" s="112" t="s">
        <v>8</v>
      </c>
      <c r="F8" s="113" t="s">
        <v>9</v>
      </c>
      <c r="G8" s="109" t="s">
        <v>10</v>
      </c>
      <c r="H8" s="115" t="s">
        <v>11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7"/>
      <c r="W8" s="10"/>
      <c r="X8" s="10"/>
    </row>
    <row r="9" spans="1:24" ht="40.200000000000003" thickBot="1" x14ac:dyDescent="0.3">
      <c r="A9" s="108"/>
      <c r="B9" s="110"/>
      <c r="C9" s="11" t="s">
        <v>12</v>
      </c>
      <c r="D9" s="110"/>
      <c r="E9" s="110"/>
      <c r="F9" s="110"/>
      <c r="G9" s="114"/>
      <c r="H9" s="12" t="s">
        <v>94</v>
      </c>
      <c r="I9" s="12" t="s">
        <v>103</v>
      </c>
      <c r="J9" s="12" t="s">
        <v>104</v>
      </c>
      <c r="K9" s="12" t="s">
        <v>13</v>
      </c>
      <c r="L9" s="12" t="s">
        <v>14</v>
      </c>
      <c r="M9" s="12" t="s">
        <v>15</v>
      </c>
      <c r="N9" s="12" t="s">
        <v>16</v>
      </c>
      <c r="O9" s="12" t="s">
        <v>17</v>
      </c>
      <c r="P9" s="12" t="s">
        <v>18</v>
      </c>
      <c r="Q9" s="12" t="s">
        <v>19</v>
      </c>
      <c r="R9" s="12" t="s">
        <v>20</v>
      </c>
      <c r="S9" s="12" t="s">
        <v>21</v>
      </c>
      <c r="T9" s="12" t="s">
        <v>22</v>
      </c>
      <c r="U9" s="13" t="str">
        <f>$V$9</f>
        <v>REMARKS</v>
      </c>
      <c r="V9" s="13" t="s">
        <v>23</v>
      </c>
      <c r="W9" s="14"/>
      <c r="X9" s="10"/>
    </row>
    <row r="10" spans="1:24" ht="13.8" x14ac:dyDescent="0.25">
      <c r="A10" s="15"/>
      <c r="B10" s="16" t="s">
        <v>24</v>
      </c>
      <c r="C10" s="17"/>
      <c r="D10" s="18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1"/>
      <c r="V10" s="22"/>
      <c r="W10" s="10"/>
      <c r="X10" s="10"/>
    </row>
    <row r="11" spans="1:24" ht="13.8" x14ac:dyDescent="0.25">
      <c r="A11" s="15"/>
      <c r="B11" s="15" t="s">
        <v>75</v>
      </c>
      <c r="C11" s="23" t="s">
        <v>25</v>
      </c>
      <c r="D11" s="15">
        <v>15000</v>
      </c>
      <c r="E11" s="15">
        <v>15000</v>
      </c>
      <c r="F11" s="15"/>
      <c r="G11" s="24"/>
      <c r="H11" s="26">
        <v>1</v>
      </c>
      <c r="I11" s="26">
        <v>1</v>
      </c>
      <c r="J11" s="26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10"/>
      <c r="X11" s="10"/>
    </row>
    <row r="12" spans="1:24" ht="13.8" x14ac:dyDescent="0.25">
      <c r="A12" s="27"/>
      <c r="B12" s="16" t="s">
        <v>26</v>
      </c>
      <c r="C12" s="28"/>
      <c r="D12" s="29"/>
      <c r="E12" s="3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31"/>
      <c r="W12" s="10"/>
      <c r="X12" s="10"/>
    </row>
    <row r="13" spans="1:24" ht="13.8" x14ac:dyDescent="0.25">
      <c r="A13" s="32"/>
      <c r="B13" s="33" t="s">
        <v>76</v>
      </c>
      <c r="C13" s="34" t="s">
        <v>77</v>
      </c>
      <c r="D13" s="35">
        <v>80</v>
      </c>
      <c r="E13" s="36">
        <v>800</v>
      </c>
      <c r="F13" s="37" t="s">
        <v>27</v>
      </c>
      <c r="G13" s="74"/>
      <c r="H13" s="37">
        <v>20</v>
      </c>
      <c r="I13" s="75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10"/>
      <c r="X13" s="10"/>
    </row>
    <row r="14" spans="1:24" ht="13.8" x14ac:dyDescent="0.25">
      <c r="A14" s="32"/>
      <c r="B14" s="33" t="s">
        <v>28</v>
      </c>
      <c r="C14" s="34" t="s">
        <v>29</v>
      </c>
      <c r="D14" s="38">
        <v>85</v>
      </c>
      <c r="E14" s="36">
        <f>20*D14</f>
        <v>1700</v>
      </c>
      <c r="F14" s="37" t="s">
        <v>27</v>
      </c>
      <c r="G14" s="74"/>
      <c r="H14" s="37">
        <v>20</v>
      </c>
      <c r="I14" s="75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10"/>
      <c r="X14" s="10"/>
    </row>
    <row r="15" spans="1:24" ht="15.75" customHeight="1" x14ac:dyDescent="0.25">
      <c r="A15" s="32"/>
      <c r="B15" s="39" t="s">
        <v>78</v>
      </c>
      <c r="C15" s="34" t="s">
        <v>30</v>
      </c>
      <c r="D15" s="35">
        <v>35</v>
      </c>
      <c r="E15" s="36">
        <f>35*5</f>
        <v>175</v>
      </c>
      <c r="F15" s="37" t="s">
        <v>27</v>
      </c>
      <c r="G15" s="74"/>
      <c r="H15" s="37">
        <v>5</v>
      </c>
      <c r="I15" s="75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10"/>
      <c r="X15" s="10"/>
    </row>
    <row r="16" spans="1:24" ht="15.75" customHeight="1" x14ac:dyDescent="0.25">
      <c r="A16" s="32"/>
      <c r="B16" s="39" t="s">
        <v>79</v>
      </c>
      <c r="C16" s="34" t="s">
        <v>30</v>
      </c>
      <c r="D16" s="35">
        <v>35</v>
      </c>
      <c r="E16" s="36">
        <f>35*5</f>
        <v>175</v>
      </c>
      <c r="F16" s="37" t="s">
        <v>27</v>
      </c>
      <c r="G16" s="74"/>
      <c r="H16" s="37">
        <v>5</v>
      </c>
      <c r="I16" s="75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10"/>
      <c r="X16" s="10"/>
    </row>
    <row r="17" spans="1:24" ht="15.75" customHeight="1" x14ac:dyDescent="0.25">
      <c r="A17" s="32"/>
      <c r="B17" s="33" t="s">
        <v>32</v>
      </c>
      <c r="C17" s="34" t="s">
        <v>33</v>
      </c>
      <c r="D17" s="35">
        <f>1000/50</f>
        <v>20</v>
      </c>
      <c r="E17" s="36">
        <v>1000</v>
      </c>
      <c r="F17" s="37" t="s">
        <v>27</v>
      </c>
      <c r="G17" s="74"/>
      <c r="H17" s="37">
        <v>50</v>
      </c>
      <c r="I17" s="75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10"/>
      <c r="X17" s="10"/>
    </row>
    <row r="18" spans="1:24" ht="15.75" customHeight="1" x14ac:dyDescent="0.25">
      <c r="A18" s="32"/>
      <c r="B18" s="33" t="s">
        <v>80</v>
      </c>
      <c r="C18" s="34" t="s">
        <v>34</v>
      </c>
      <c r="D18" s="35">
        <f>2000/15</f>
        <v>133.33333333333334</v>
      </c>
      <c r="E18" s="36">
        <v>2000</v>
      </c>
      <c r="F18" s="37" t="s">
        <v>27</v>
      </c>
      <c r="G18" s="74"/>
      <c r="H18" s="37">
        <v>15</v>
      </c>
      <c r="I18" s="75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10"/>
      <c r="X18" s="10"/>
    </row>
    <row r="19" spans="1:24" ht="15.75" customHeight="1" x14ac:dyDescent="0.25">
      <c r="A19" s="32"/>
      <c r="B19" s="33" t="s">
        <v>81</v>
      </c>
      <c r="C19" s="34" t="s">
        <v>30</v>
      </c>
      <c r="D19" s="35">
        <v>250</v>
      </c>
      <c r="E19" s="36">
        <v>1250</v>
      </c>
      <c r="F19" s="37" t="s">
        <v>35</v>
      </c>
      <c r="G19" s="74"/>
      <c r="H19" s="37">
        <v>1</v>
      </c>
      <c r="I19" s="75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10"/>
      <c r="X19" s="10"/>
    </row>
    <row r="20" spans="1:24" ht="15.75" customHeight="1" x14ac:dyDescent="0.25">
      <c r="A20" s="32"/>
      <c r="B20" s="33" t="s">
        <v>36</v>
      </c>
      <c r="C20" s="34" t="s">
        <v>37</v>
      </c>
      <c r="D20" s="35">
        <f>250/50</f>
        <v>5</v>
      </c>
      <c r="E20" s="36">
        <v>250</v>
      </c>
      <c r="F20" s="37" t="s">
        <v>27</v>
      </c>
      <c r="G20" s="74"/>
      <c r="H20" s="37">
        <v>50</v>
      </c>
      <c r="I20" s="75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10"/>
      <c r="X20" s="10"/>
    </row>
    <row r="21" spans="1:24" ht="15.75" customHeight="1" x14ac:dyDescent="0.25">
      <c r="A21" s="32"/>
      <c r="B21" s="33" t="s">
        <v>82</v>
      </c>
      <c r="C21" s="34" t="s">
        <v>31</v>
      </c>
      <c r="D21" s="35">
        <v>80</v>
      </c>
      <c r="E21" s="36">
        <v>800</v>
      </c>
      <c r="F21" s="37" t="s">
        <v>27</v>
      </c>
      <c r="G21" s="74"/>
      <c r="H21" s="37">
        <v>10</v>
      </c>
      <c r="I21" s="75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10"/>
      <c r="X21" s="10"/>
    </row>
    <row r="22" spans="1:24" ht="15.75" customHeight="1" x14ac:dyDescent="0.25">
      <c r="A22" s="32"/>
      <c r="B22" s="33" t="s">
        <v>91</v>
      </c>
      <c r="C22" s="34" t="s">
        <v>83</v>
      </c>
      <c r="D22" s="35">
        <v>50</v>
      </c>
      <c r="E22" s="36">
        <v>400</v>
      </c>
      <c r="F22" s="37" t="s">
        <v>27</v>
      </c>
      <c r="G22" s="74"/>
      <c r="H22" s="37">
        <v>10</v>
      </c>
      <c r="I22" s="75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10"/>
      <c r="X22" s="10"/>
    </row>
    <row r="23" spans="1:24" ht="15.75" customHeight="1" x14ac:dyDescent="0.25">
      <c r="A23" s="32"/>
      <c r="B23" s="33" t="s">
        <v>84</v>
      </c>
      <c r="C23" s="34" t="s">
        <v>85</v>
      </c>
      <c r="D23" s="35">
        <v>75</v>
      </c>
      <c r="E23" s="36">
        <v>750</v>
      </c>
      <c r="F23" s="37" t="s">
        <v>27</v>
      </c>
      <c r="G23" s="74"/>
      <c r="H23" s="37">
        <v>10</v>
      </c>
      <c r="I23" s="75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10"/>
      <c r="X23" s="10"/>
    </row>
    <row r="24" spans="1:24" ht="15.75" customHeight="1" x14ac:dyDescent="0.25">
      <c r="A24" s="32"/>
      <c r="B24" s="33" t="s">
        <v>38</v>
      </c>
      <c r="C24" s="34" t="s">
        <v>31</v>
      </c>
      <c r="D24" s="35">
        <v>700</v>
      </c>
      <c r="E24" s="36">
        <v>7000</v>
      </c>
      <c r="F24" s="37" t="s">
        <v>35</v>
      </c>
      <c r="G24" s="74"/>
      <c r="H24" s="37">
        <v>10</v>
      </c>
      <c r="I24" s="75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10"/>
      <c r="X24" s="10"/>
    </row>
    <row r="25" spans="1:24" ht="15.75" customHeight="1" x14ac:dyDescent="0.25">
      <c r="A25" s="32"/>
      <c r="B25" s="33" t="s">
        <v>39</v>
      </c>
      <c r="C25" s="34" t="s">
        <v>31</v>
      </c>
      <c r="D25" s="35">
        <v>300</v>
      </c>
      <c r="E25" s="36">
        <v>3000</v>
      </c>
      <c r="F25" s="37" t="s">
        <v>35</v>
      </c>
      <c r="G25" s="74"/>
      <c r="H25" s="37">
        <v>10</v>
      </c>
      <c r="I25" s="75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10"/>
      <c r="X25" s="10"/>
    </row>
    <row r="26" spans="1:24" ht="15.75" customHeight="1" x14ac:dyDescent="0.25">
      <c r="A26" s="32"/>
      <c r="B26" s="33" t="s">
        <v>92</v>
      </c>
      <c r="C26" s="34" t="s">
        <v>93</v>
      </c>
      <c r="D26" s="35">
        <v>2000</v>
      </c>
      <c r="E26" s="36">
        <v>6000</v>
      </c>
      <c r="F26" s="37" t="s">
        <v>35</v>
      </c>
      <c r="G26" s="74"/>
      <c r="H26" s="37">
        <v>3</v>
      </c>
      <c r="I26" s="75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10"/>
      <c r="X26" s="10"/>
    </row>
    <row r="27" spans="1:24" ht="26.4" customHeight="1" thickBot="1" x14ac:dyDescent="0.3">
      <c r="A27" s="32"/>
      <c r="B27" s="76" t="s">
        <v>90</v>
      </c>
      <c r="C27" s="34" t="s">
        <v>88</v>
      </c>
      <c r="D27" s="35">
        <v>200</v>
      </c>
      <c r="E27" s="36">
        <v>6000</v>
      </c>
      <c r="F27" s="37" t="s">
        <v>35</v>
      </c>
      <c r="G27" s="74"/>
      <c r="H27" s="37">
        <v>30</v>
      </c>
      <c r="I27" s="75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10"/>
      <c r="X27" s="10"/>
    </row>
    <row r="28" spans="1:24" ht="15.75" customHeight="1" x14ac:dyDescent="0.25">
      <c r="A28" s="32"/>
      <c r="B28" s="16" t="s">
        <v>40</v>
      </c>
      <c r="C28" s="17"/>
      <c r="D28" s="18"/>
      <c r="E28" s="1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1"/>
      <c r="V28" s="22"/>
      <c r="W28" s="10"/>
      <c r="X28" s="10"/>
    </row>
    <row r="29" spans="1:24" ht="15.75" customHeight="1" x14ac:dyDescent="0.25">
      <c r="A29" s="32"/>
      <c r="B29" s="33" t="s">
        <v>95</v>
      </c>
      <c r="C29" s="34" t="s">
        <v>96</v>
      </c>
      <c r="D29" s="35">
        <v>1000</v>
      </c>
      <c r="E29" s="36">
        <f>1000*5</f>
        <v>5000</v>
      </c>
      <c r="F29" s="37" t="s">
        <v>35</v>
      </c>
      <c r="G29" s="37"/>
      <c r="H29" s="37">
        <v>10</v>
      </c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10"/>
      <c r="X29" s="10"/>
    </row>
    <row r="30" spans="1:24" ht="15.75" customHeight="1" x14ac:dyDescent="0.25">
      <c r="A30" s="32"/>
      <c r="B30" s="33" t="s">
        <v>97</v>
      </c>
      <c r="C30" s="34" t="s">
        <v>96</v>
      </c>
      <c r="D30" s="35">
        <v>1000</v>
      </c>
      <c r="E30" s="36">
        <f>1000*5</f>
        <v>5000</v>
      </c>
      <c r="F30" s="37" t="s">
        <v>35</v>
      </c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10"/>
      <c r="X30" s="10"/>
    </row>
    <row r="31" spans="1:24" ht="15.75" customHeight="1" x14ac:dyDescent="0.25">
      <c r="A31" s="32"/>
      <c r="B31" s="16" t="s">
        <v>41</v>
      </c>
      <c r="C31" s="40"/>
      <c r="D31" s="41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10"/>
      <c r="X31" s="10"/>
    </row>
    <row r="32" spans="1:24" ht="15.75" customHeight="1" x14ac:dyDescent="0.25">
      <c r="A32" s="32"/>
      <c r="B32" s="77" t="s">
        <v>98</v>
      </c>
      <c r="C32" s="43" t="s">
        <v>100</v>
      </c>
      <c r="D32" s="35">
        <v>5000</v>
      </c>
      <c r="E32" s="44">
        <v>15000</v>
      </c>
      <c r="F32" s="37" t="s">
        <v>35</v>
      </c>
      <c r="G32" s="37"/>
      <c r="H32" s="37">
        <v>3</v>
      </c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10"/>
      <c r="X32" s="10"/>
    </row>
    <row r="33" spans="1:24" ht="15.75" customHeight="1" x14ac:dyDescent="0.25">
      <c r="A33" s="32"/>
      <c r="B33" s="77" t="s">
        <v>99</v>
      </c>
      <c r="C33" s="43" t="s">
        <v>101</v>
      </c>
      <c r="D33" s="35">
        <v>3000</v>
      </c>
      <c r="E33" s="44">
        <v>6000</v>
      </c>
      <c r="F33" s="37" t="s">
        <v>35</v>
      </c>
      <c r="G33" s="37"/>
      <c r="H33" s="37">
        <v>2</v>
      </c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10"/>
      <c r="X33" s="10"/>
    </row>
    <row r="34" spans="1:24" ht="15.75" customHeight="1" x14ac:dyDescent="0.25">
      <c r="A34" s="32"/>
      <c r="B34" s="33" t="s">
        <v>43</v>
      </c>
      <c r="C34" s="43" t="s">
        <v>42</v>
      </c>
      <c r="D34" s="35">
        <v>3500</v>
      </c>
      <c r="E34" s="36">
        <v>105000</v>
      </c>
      <c r="F34" s="37" t="s">
        <v>35</v>
      </c>
      <c r="G34" s="37"/>
      <c r="H34" s="37">
        <v>30</v>
      </c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10"/>
      <c r="X34" s="10"/>
    </row>
    <row r="35" spans="1:24" ht="15.75" customHeight="1" x14ac:dyDescent="0.25">
      <c r="A35" s="32"/>
      <c r="B35" s="39" t="s">
        <v>44</v>
      </c>
      <c r="C35" s="34" t="s">
        <v>45</v>
      </c>
      <c r="D35" s="35">
        <v>2500</v>
      </c>
      <c r="E35" s="36">
        <v>25000</v>
      </c>
      <c r="F35" s="37" t="s">
        <v>35</v>
      </c>
      <c r="G35" s="37"/>
      <c r="H35" s="37">
        <v>10</v>
      </c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10"/>
      <c r="X35" s="10"/>
    </row>
    <row r="36" spans="1:24" ht="15.75" customHeight="1" x14ac:dyDescent="0.25">
      <c r="A36" s="32"/>
      <c r="B36" s="42" t="s">
        <v>102</v>
      </c>
      <c r="C36" s="34" t="s">
        <v>45</v>
      </c>
      <c r="D36" s="35">
        <v>1000</v>
      </c>
      <c r="E36" s="36">
        <v>20000</v>
      </c>
      <c r="F36" s="37" t="s">
        <v>35</v>
      </c>
      <c r="G36" s="37"/>
      <c r="H36" s="37">
        <v>20</v>
      </c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10"/>
      <c r="X36" s="10"/>
    </row>
    <row r="37" spans="1:24" ht="15.75" customHeight="1" x14ac:dyDescent="0.25">
      <c r="A37" s="32"/>
      <c r="B37" s="42" t="s">
        <v>46</v>
      </c>
      <c r="C37" s="43" t="s">
        <v>42</v>
      </c>
      <c r="D37" s="35">
        <v>5000</v>
      </c>
      <c r="E37" s="36">
        <v>50000</v>
      </c>
      <c r="F37" s="37" t="s">
        <v>35</v>
      </c>
      <c r="G37" s="37"/>
      <c r="H37" s="37">
        <v>10</v>
      </c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10"/>
      <c r="X37" s="10"/>
    </row>
    <row r="38" spans="1:24" ht="15.75" customHeight="1" x14ac:dyDescent="0.25">
      <c r="A38" s="32"/>
      <c r="B38" s="42" t="s">
        <v>47</v>
      </c>
      <c r="C38" s="43" t="s">
        <v>48</v>
      </c>
      <c r="D38" s="35">
        <v>10000</v>
      </c>
      <c r="E38" s="44">
        <v>50000</v>
      </c>
      <c r="F38" s="37" t="s">
        <v>35</v>
      </c>
      <c r="G38" s="37"/>
      <c r="H38" s="37">
        <v>6</v>
      </c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10"/>
      <c r="X38" s="10"/>
    </row>
    <row r="39" spans="1:24" ht="15.75" customHeight="1" x14ac:dyDescent="0.25">
      <c r="A39" s="32"/>
      <c r="B39" s="42" t="s">
        <v>49</v>
      </c>
      <c r="C39" s="34" t="s">
        <v>50</v>
      </c>
      <c r="D39" s="35">
        <f>2400/6</f>
        <v>400</v>
      </c>
      <c r="E39" s="36">
        <v>2400</v>
      </c>
      <c r="F39" s="37" t="s">
        <v>35</v>
      </c>
      <c r="G39" s="37"/>
      <c r="H39" s="37">
        <v>6</v>
      </c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10"/>
      <c r="X39" s="10"/>
    </row>
    <row r="40" spans="1:24" ht="15.75" customHeight="1" x14ac:dyDescent="0.25">
      <c r="A40" s="32"/>
      <c r="B40" s="42" t="s">
        <v>51</v>
      </c>
      <c r="C40" s="34" t="s">
        <v>52</v>
      </c>
      <c r="D40" s="35">
        <f>280/10</f>
        <v>28</v>
      </c>
      <c r="E40" s="36">
        <v>280</v>
      </c>
      <c r="F40" s="37" t="s">
        <v>35</v>
      </c>
      <c r="G40" s="37"/>
      <c r="H40" s="37">
        <v>6</v>
      </c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10"/>
      <c r="X40" s="10"/>
    </row>
    <row r="41" spans="1:24" ht="15.75" customHeight="1" x14ac:dyDescent="0.25">
      <c r="A41" s="32"/>
      <c r="B41" s="16" t="s">
        <v>53</v>
      </c>
      <c r="C41" s="40"/>
      <c r="D41" s="41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10"/>
      <c r="X41" s="10"/>
    </row>
    <row r="42" spans="1:24" ht="15.75" customHeight="1" x14ac:dyDescent="0.25">
      <c r="A42" s="32"/>
      <c r="B42" s="42" t="s">
        <v>53</v>
      </c>
      <c r="C42" s="34" t="s">
        <v>25</v>
      </c>
      <c r="D42" s="35">
        <v>5000</v>
      </c>
      <c r="E42" s="36">
        <v>10000</v>
      </c>
      <c r="F42" s="37" t="s">
        <v>35</v>
      </c>
      <c r="G42" s="37"/>
      <c r="H42" s="37">
        <v>1</v>
      </c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10"/>
      <c r="X42" s="10"/>
    </row>
    <row r="43" spans="1:24" ht="15.75" hidden="1" customHeight="1" x14ac:dyDescent="0.25">
      <c r="A43" s="32"/>
      <c r="B43" s="42"/>
      <c r="C43" s="34"/>
      <c r="D43" s="35"/>
      <c r="E43" s="36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10"/>
      <c r="X43" s="10"/>
    </row>
    <row r="44" spans="1:24" ht="15.75" hidden="1" customHeight="1" x14ac:dyDescent="0.25">
      <c r="A44" s="32"/>
      <c r="B44" s="42"/>
      <c r="C44" s="34"/>
      <c r="D44" s="35"/>
      <c r="E44" s="36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10"/>
      <c r="X44" s="10"/>
    </row>
    <row r="45" spans="1:24" ht="15.75" hidden="1" customHeight="1" x14ac:dyDescent="0.25">
      <c r="A45" s="32"/>
      <c r="B45" s="42"/>
      <c r="C45" s="34"/>
      <c r="D45" s="35"/>
      <c r="E45" s="36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10"/>
      <c r="X45" s="10"/>
    </row>
    <row r="46" spans="1:24" ht="15.75" hidden="1" customHeight="1" x14ac:dyDescent="0.25">
      <c r="A46" s="32"/>
      <c r="B46" s="42"/>
      <c r="C46" s="34"/>
      <c r="D46" s="35"/>
      <c r="E46" s="36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10"/>
      <c r="X46" s="10"/>
    </row>
    <row r="47" spans="1:24" ht="15.75" hidden="1" customHeight="1" x14ac:dyDescent="0.25">
      <c r="A47" s="32"/>
      <c r="B47" s="42"/>
      <c r="C47" s="34"/>
      <c r="D47" s="35"/>
      <c r="E47" s="36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10"/>
      <c r="X47" s="10"/>
    </row>
    <row r="48" spans="1:24" ht="15.75" hidden="1" customHeight="1" x14ac:dyDescent="0.25">
      <c r="A48" s="32"/>
      <c r="B48" s="42"/>
      <c r="C48" s="34"/>
      <c r="D48" s="35"/>
      <c r="E48" s="36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10"/>
      <c r="X48" s="10"/>
    </row>
    <row r="49" spans="1:24" ht="15.75" hidden="1" customHeight="1" x14ac:dyDescent="0.25">
      <c r="A49" s="45"/>
      <c r="B49" s="46"/>
      <c r="C49" s="47"/>
      <c r="D49" s="48"/>
      <c r="E49" s="49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10"/>
      <c r="X49" s="10"/>
    </row>
    <row r="50" spans="1:24" ht="15.75" hidden="1" customHeight="1" x14ac:dyDescent="0.25">
      <c r="A50" s="32"/>
      <c r="B50" s="16" t="s">
        <v>54</v>
      </c>
      <c r="C50" s="40"/>
      <c r="D50" s="41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10"/>
      <c r="X50" s="10"/>
    </row>
    <row r="51" spans="1:24" ht="15.75" hidden="1" customHeight="1" x14ac:dyDescent="0.25">
      <c r="A51" s="32"/>
      <c r="B51" s="42"/>
      <c r="C51" s="34"/>
      <c r="D51" s="35"/>
      <c r="E51" s="36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10"/>
      <c r="X51" s="10"/>
    </row>
    <row r="52" spans="1:24" ht="15.75" hidden="1" customHeight="1" x14ac:dyDescent="0.25">
      <c r="A52" s="32"/>
      <c r="B52" s="42"/>
      <c r="C52" s="34"/>
      <c r="D52" s="35"/>
      <c r="E52" s="36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10"/>
      <c r="X52" s="10"/>
    </row>
    <row r="53" spans="1:24" ht="15.75" hidden="1" customHeight="1" x14ac:dyDescent="0.25">
      <c r="A53" s="32"/>
      <c r="B53" s="42"/>
      <c r="C53" s="34"/>
      <c r="D53" s="35"/>
      <c r="E53" s="36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10"/>
      <c r="X53" s="10"/>
    </row>
    <row r="54" spans="1:24" ht="15.75" hidden="1" customHeight="1" x14ac:dyDescent="0.25">
      <c r="A54" s="32"/>
      <c r="B54" s="42"/>
      <c r="C54" s="34"/>
      <c r="D54" s="35"/>
      <c r="E54" s="36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10"/>
      <c r="X54" s="10"/>
    </row>
    <row r="55" spans="1:24" ht="15.75" hidden="1" customHeight="1" x14ac:dyDescent="0.25">
      <c r="A55" s="32"/>
      <c r="B55" s="16" t="s">
        <v>55</v>
      </c>
      <c r="C55" s="40"/>
      <c r="D55" s="41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10"/>
      <c r="X55" s="10"/>
    </row>
    <row r="56" spans="1:24" ht="15.75" hidden="1" customHeight="1" x14ac:dyDescent="0.25">
      <c r="A56" s="32"/>
      <c r="B56" s="42"/>
      <c r="C56" s="34"/>
      <c r="D56" s="35"/>
      <c r="E56" s="36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10"/>
      <c r="X56" s="10"/>
    </row>
    <row r="57" spans="1:24" ht="15.75" hidden="1" customHeight="1" x14ac:dyDescent="0.25">
      <c r="A57" s="32"/>
      <c r="B57" s="42"/>
      <c r="C57" s="34"/>
      <c r="D57" s="35"/>
      <c r="E57" s="36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10"/>
      <c r="X57" s="10"/>
    </row>
    <row r="58" spans="1:24" ht="15.75" hidden="1" customHeight="1" x14ac:dyDescent="0.25">
      <c r="A58" s="32"/>
      <c r="B58" s="42"/>
      <c r="C58" s="34"/>
      <c r="D58" s="35"/>
      <c r="E58" s="36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10"/>
      <c r="X58" s="10"/>
    </row>
    <row r="59" spans="1:24" ht="15.75" customHeight="1" x14ac:dyDescent="0.25">
      <c r="A59" s="45"/>
      <c r="B59" s="95" t="s">
        <v>56</v>
      </c>
      <c r="C59" s="96"/>
      <c r="D59" s="96"/>
      <c r="E59" s="96"/>
      <c r="F59" s="96"/>
      <c r="G59" s="96"/>
      <c r="H59" s="96"/>
      <c r="I59" s="9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10"/>
      <c r="X59" s="10"/>
    </row>
    <row r="60" spans="1:24" ht="15.75" customHeight="1" thickBot="1" x14ac:dyDescent="0.3">
      <c r="A60" s="50"/>
      <c r="B60" s="51"/>
      <c r="C60" s="1"/>
      <c r="D60" s="6"/>
      <c r="E60" s="52"/>
      <c r="F60" s="8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 thickTop="1" x14ac:dyDescent="0.3">
      <c r="A61" s="53" t="s">
        <v>57</v>
      </c>
      <c r="B61" s="3"/>
      <c r="C61" s="98">
        <f>SUM(E13:E42)</f>
        <v>324980</v>
      </c>
      <c r="D61" s="84"/>
      <c r="E61" s="84"/>
      <c r="F61" s="8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hidden="1" customHeight="1" thickTop="1" x14ac:dyDescent="0.3">
      <c r="A62" s="54" t="s">
        <v>58</v>
      </c>
      <c r="B62" s="55"/>
      <c r="C62" s="99">
        <f>PRODUCT(C61,0.1)</f>
        <v>32498</v>
      </c>
      <c r="D62" s="100"/>
      <c r="E62" s="101"/>
      <c r="F62" s="8"/>
      <c r="G62" s="8"/>
      <c r="H62" s="102"/>
      <c r="I62" s="84"/>
      <c r="J62" s="1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56"/>
      <c r="V62" s="1"/>
      <c r="W62" s="1"/>
      <c r="X62" s="1"/>
    </row>
    <row r="63" spans="1:24" ht="15.75" hidden="1" customHeight="1" x14ac:dyDescent="0.3">
      <c r="A63" s="57" t="s">
        <v>59</v>
      </c>
      <c r="B63" s="58"/>
      <c r="C63" s="91">
        <f>PRODUCT(C61,0.1)</f>
        <v>32498</v>
      </c>
      <c r="D63" s="92"/>
      <c r="E63" s="93"/>
      <c r="F63" s="8"/>
      <c r="G63" s="8"/>
      <c r="H63" s="59"/>
      <c r="I63" s="59"/>
      <c r="J63" s="59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60"/>
      <c r="V63" s="1"/>
      <c r="W63" s="1"/>
      <c r="X63" s="1"/>
    </row>
    <row r="64" spans="1:24" ht="15.75" hidden="1" customHeight="1" x14ac:dyDescent="0.3">
      <c r="A64" s="57" t="s">
        <v>60</v>
      </c>
      <c r="B64" s="58"/>
      <c r="C64" s="91">
        <f>SUM(C61:E63)</f>
        <v>389976</v>
      </c>
      <c r="D64" s="92"/>
      <c r="E64" s="93"/>
      <c r="F64" s="8"/>
      <c r="G64" s="8"/>
      <c r="H64" s="59"/>
      <c r="I64" s="59"/>
      <c r="J64" s="59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60"/>
      <c r="V64" s="1"/>
      <c r="W64" s="1"/>
      <c r="X64" s="1"/>
    </row>
    <row r="65" spans="1:24" ht="15.75" customHeight="1" x14ac:dyDescent="0.25">
      <c r="A65" s="61"/>
      <c r="B65" s="3"/>
      <c r="C65" s="1"/>
      <c r="D65" s="6"/>
      <c r="E65" s="7"/>
      <c r="F65" s="8"/>
      <c r="G65" s="8"/>
      <c r="H65" s="59"/>
      <c r="I65" s="59"/>
      <c r="J65" s="59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60"/>
      <c r="V65" s="1"/>
      <c r="W65" s="1"/>
      <c r="X65" s="1"/>
    </row>
    <row r="66" spans="1:24" ht="15.75" customHeight="1" x14ac:dyDescent="0.25">
      <c r="A66" s="62" t="s">
        <v>61</v>
      </c>
      <c r="B66" s="3"/>
      <c r="C66" s="1"/>
      <c r="D66" s="6"/>
      <c r="E66" s="7"/>
      <c r="F66" s="8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customHeight="1" x14ac:dyDescent="0.25">
      <c r="A67" s="63"/>
      <c r="B67" s="3"/>
      <c r="C67" s="1"/>
      <c r="D67" s="6"/>
      <c r="E67" s="7"/>
      <c r="F67" s="8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customHeight="1" x14ac:dyDescent="0.25">
      <c r="A68" s="64" t="s">
        <v>62</v>
      </c>
      <c r="B68" s="51"/>
      <c r="C68" s="90" t="s">
        <v>63</v>
      </c>
      <c r="D68" s="84"/>
      <c r="E68" s="84"/>
      <c r="F68" s="59"/>
      <c r="G68" s="59"/>
      <c r="H68" s="1"/>
      <c r="I68" s="90" t="s">
        <v>64</v>
      </c>
      <c r="J68" s="90"/>
      <c r="K68" s="90"/>
      <c r="L68" s="90"/>
      <c r="M68" s="90"/>
      <c r="N68" s="90"/>
      <c r="O68" s="1"/>
      <c r="P68" s="1"/>
      <c r="Q68" s="90" t="s">
        <v>65</v>
      </c>
      <c r="R68" s="84"/>
      <c r="S68" s="84"/>
      <c r="T68" s="84"/>
      <c r="U68" s="1"/>
      <c r="V68" s="84"/>
      <c r="W68" s="84"/>
      <c r="X68" s="59"/>
    </row>
    <row r="69" spans="1:24" ht="15.75" customHeight="1" x14ac:dyDescent="0.25">
      <c r="A69" s="64"/>
      <c r="B69" s="51"/>
      <c r="C69" s="65"/>
      <c r="D69" s="66"/>
      <c r="E69" s="65"/>
      <c r="F69" s="59"/>
      <c r="G69" s="59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59"/>
      <c r="X69" s="59"/>
    </row>
    <row r="70" spans="1:24" ht="15.75" customHeight="1" x14ac:dyDescent="0.25">
      <c r="A70" s="51"/>
      <c r="B70" s="51"/>
      <c r="C70" s="59"/>
      <c r="D70" s="67"/>
      <c r="E70" s="68"/>
      <c r="F70" s="59"/>
      <c r="G70" s="59"/>
      <c r="H70" s="68"/>
      <c r="I70" s="59"/>
      <c r="J70" s="68"/>
      <c r="K70" s="68"/>
      <c r="L70" s="68"/>
      <c r="M70" s="68"/>
      <c r="N70" s="68"/>
      <c r="O70" s="68"/>
      <c r="P70" s="68"/>
      <c r="Q70" s="59"/>
      <c r="R70" s="68"/>
      <c r="S70" s="59"/>
      <c r="T70" s="59"/>
      <c r="U70" s="59"/>
      <c r="V70" s="59"/>
      <c r="W70" s="59"/>
      <c r="X70" s="59"/>
    </row>
    <row r="71" spans="1:24" ht="15.75" customHeight="1" x14ac:dyDescent="0.25">
      <c r="A71" s="87" t="s">
        <v>86</v>
      </c>
      <c r="B71" s="88"/>
      <c r="C71" s="89" t="s">
        <v>66</v>
      </c>
      <c r="D71" s="84"/>
      <c r="E71" s="84"/>
      <c r="F71" s="84"/>
      <c r="G71" s="1"/>
      <c r="H71" s="1"/>
      <c r="I71" s="89" t="s">
        <v>67</v>
      </c>
      <c r="J71" s="89"/>
      <c r="K71" s="89"/>
      <c r="L71" s="89"/>
      <c r="M71" s="89"/>
      <c r="N71" s="89"/>
      <c r="O71" s="1"/>
      <c r="P71" s="1"/>
      <c r="Q71" s="89" t="s">
        <v>68</v>
      </c>
      <c r="R71" s="84"/>
      <c r="S71" s="84"/>
      <c r="T71" s="84"/>
      <c r="U71" s="1"/>
      <c r="V71" s="84"/>
      <c r="W71" s="84"/>
      <c r="X71" s="84"/>
    </row>
    <row r="72" spans="1:24" ht="15" customHeight="1" x14ac:dyDescent="0.25">
      <c r="A72" s="80" t="s">
        <v>69</v>
      </c>
      <c r="B72" s="81"/>
      <c r="C72" s="82" t="s">
        <v>70</v>
      </c>
      <c r="D72" s="81"/>
      <c r="E72" s="81"/>
      <c r="F72" s="81"/>
      <c r="G72" s="69"/>
      <c r="H72" s="1"/>
      <c r="I72" s="83" t="s">
        <v>71</v>
      </c>
      <c r="J72" s="83"/>
      <c r="K72" s="83"/>
      <c r="L72" s="83"/>
      <c r="M72" s="83"/>
      <c r="N72" s="83"/>
      <c r="O72" s="1"/>
      <c r="P72" s="1"/>
      <c r="Q72" s="82" t="s">
        <v>72</v>
      </c>
      <c r="R72" s="84"/>
      <c r="S72" s="84"/>
      <c r="T72" s="84"/>
      <c r="U72" s="1"/>
      <c r="V72" s="1"/>
      <c r="W72" s="59"/>
      <c r="X72" s="59"/>
    </row>
    <row r="73" spans="1:24" ht="15.75" customHeight="1" x14ac:dyDescent="0.25">
      <c r="A73" s="1"/>
      <c r="B73" s="1"/>
      <c r="C73" s="1"/>
      <c r="D73" s="6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75" customHeight="1" x14ac:dyDescent="0.25">
      <c r="A74" t="s">
        <v>89</v>
      </c>
      <c r="B74" s="1"/>
      <c r="C74" s="1" t="s">
        <v>73</v>
      </c>
      <c r="D74" s="6"/>
      <c r="E74" s="1"/>
      <c r="F74" s="1"/>
      <c r="G74" s="1"/>
      <c r="H74" s="1"/>
      <c r="I74" s="1" t="s">
        <v>73</v>
      </c>
      <c r="J74" s="1"/>
      <c r="K74" s="1"/>
      <c r="L74" s="1"/>
      <c r="M74" s="1"/>
      <c r="N74" s="1"/>
      <c r="O74" s="1"/>
      <c r="P74" s="1"/>
      <c r="Q74" s="1" t="s">
        <v>73</v>
      </c>
      <c r="R74" s="1"/>
      <c r="S74" s="1"/>
      <c r="T74" s="1"/>
      <c r="U74" s="1"/>
      <c r="V74" s="1"/>
      <c r="W74" s="1"/>
      <c r="X74" s="1"/>
    </row>
    <row r="75" spans="1:24" ht="15.75" customHeight="1" x14ac:dyDescent="0.3">
      <c r="D75" s="70"/>
      <c r="E75" s="1" t="s">
        <v>74</v>
      </c>
      <c r="H75" s="85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</row>
    <row r="76" spans="1:24" ht="15.75" customHeight="1" x14ac:dyDescent="0.3">
      <c r="D76" s="70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</row>
    <row r="77" spans="1:24" ht="15.75" customHeight="1" x14ac:dyDescent="0.3">
      <c r="D77" s="70"/>
      <c r="H77" s="73"/>
      <c r="I77" s="72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</row>
    <row r="78" spans="1:24" ht="15.75" customHeight="1" x14ac:dyDescent="0.3">
      <c r="D78" s="70"/>
      <c r="H78" s="86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</row>
    <row r="79" spans="1:24" ht="15.75" customHeight="1" x14ac:dyDescent="0.3">
      <c r="D79" s="70"/>
      <c r="H79" s="78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</row>
    <row r="80" spans="1:24" ht="15.75" customHeight="1" x14ac:dyDescent="0.3">
      <c r="D80" s="70"/>
    </row>
    <row r="81" spans="4:4" ht="15.75" customHeight="1" x14ac:dyDescent="0.3">
      <c r="D81" s="70"/>
    </row>
    <row r="82" spans="4:4" ht="15.75" customHeight="1" x14ac:dyDescent="0.3">
      <c r="D82" s="70"/>
    </row>
    <row r="83" spans="4:4" ht="15.75" customHeight="1" x14ac:dyDescent="0.3">
      <c r="D83" s="70"/>
    </row>
    <row r="84" spans="4:4" ht="15.75" customHeight="1" x14ac:dyDescent="0.3">
      <c r="D84" s="70"/>
    </row>
    <row r="85" spans="4:4" ht="15.75" customHeight="1" x14ac:dyDescent="0.3">
      <c r="D85" s="70"/>
    </row>
    <row r="86" spans="4:4" ht="15.75" customHeight="1" x14ac:dyDescent="0.3">
      <c r="D86" s="70"/>
    </row>
    <row r="87" spans="4:4" ht="15.75" customHeight="1" x14ac:dyDescent="0.3">
      <c r="D87" s="70"/>
    </row>
    <row r="88" spans="4:4" ht="15.75" customHeight="1" x14ac:dyDescent="0.3">
      <c r="D88" s="70"/>
    </row>
    <row r="89" spans="4:4" ht="15.75" customHeight="1" x14ac:dyDescent="0.3">
      <c r="D89" s="70"/>
    </row>
    <row r="90" spans="4:4" ht="15.75" customHeight="1" x14ac:dyDescent="0.3">
      <c r="D90" s="70"/>
    </row>
    <row r="91" spans="4:4" ht="15.75" customHeight="1" x14ac:dyDescent="0.3">
      <c r="D91" s="70"/>
    </row>
    <row r="92" spans="4:4" ht="15.75" customHeight="1" x14ac:dyDescent="0.3">
      <c r="D92" s="70"/>
    </row>
    <row r="93" spans="4:4" ht="15.75" customHeight="1" x14ac:dyDescent="0.3">
      <c r="D93" s="70"/>
    </row>
    <row r="94" spans="4:4" ht="15.75" customHeight="1" x14ac:dyDescent="0.3">
      <c r="D94" s="70"/>
    </row>
    <row r="95" spans="4:4" ht="15.75" customHeight="1" x14ac:dyDescent="0.3">
      <c r="D95" s="70"/>
    </row>
    <row r="96" spans="4:4" ht="15.75" customHeight="1" x14ac:dyDescent="0.3">
      <c r="D96" s="70"/>
    </row>
    <row r="97" spans="4:4" ht="15.75" customHeight="1" x14ac:dyDescent="0.3">
      <c r="D97" s="70"/>
    </row>
    <row r="98" spans="4:4" ht="15.75" customHeight="1" x14ac:dyDescent="0.3">
      <c r="D98" s="70"/>
    </row>
    <row r="99" spans="4:4" ht="15.75" customHeight="1" x14ac:dyDescent="0.3">
      <c r="D99" s="70"/>
    </row>
    <row r="100" spans="4:4" ht="15.75" customHeight="1" x14ac:dyDescent="0.3">
      <c r="D100" s="70"/>
    </row>
    <row r="101" spans="4:4" ht="15.75" customHeight="1" x14ac:dyDescent="0.3">
      <c r="D101" s="70"/>
    </row>
    <row r="102" spans="4:4" ht="15.75" customHeight="1" x14ac:dyDescent="0.3">
      <c r="D102" s="70"/>
    </row>
    <row r="103" spans="4:4" ht="15.75" customHeight="1" x14ac:dyDescent="0.3">
      <c r="D103" s="70"/>
    </row>
    <row r="104" spans="4:4" ht="15.75" customHeight="1" x14ac:dyDescent="0.3">
      <c r="D104" s="70"/>
    </row>
    <row r="105" spans="4:4" ht="15.75" customHeight="1" x14ac:dyDescent="0.3">
      <c r="D105" s="70"/>
    </row>
    <row r="106" spans="4:4" ht="15.75" customHeight="1" x14ac:dyDescent="0.3">
      <c r="D106" s="70"/>
    </row>
    <row r="107" spans="4:4" ht="15.75" customHeight="1" x14ac:dyDescent="0.3">
      <c r="D107" s="70"/>
    </row>
    <row r="108" spans="4:4" ht="15.75" customHeight="1" x14ac:dyDescent="0.3">
      <c r="D108" s="70"/>
    </row>
    <row r="109" spans="4:4" ht="15.75" customHeight="1" x14ac:dyDescent="0.3">
      <c r="D109" s="70"/>
    </row>
    <row r="110" spans="4:4" ht="15.75" customHeight="1" x14ac:dyDescent="0.3">
      <c r="D110" s="70"/>
    </row>
    <row r="111" spans="4:4" ht="15.75" customHeight="1" x14ac:dyDescent="0.3">
      <c r="D111" s="70"/>
    </row>
    <row r="112" spans="4:4" ht="15.75" customHeight="1" x14ac:dyDescent="0.3">
      <c r="D112" s="70"/>
    </row>
    <row r="113" spans="4:4" ht="15.75" customHeight="1" x14ac:dyDescent="0.3">
      <c r="D113" s="70"/>
    </row>
    <row r="114" spans="4:4" ht="15.75" customHeight="1" x14ac:dyDescent="0.3">
      <c r="D114" s="70"/>
    </row>
    <row r="115" spans="4:4" ht="15.75" customHeight="1" x14ac:dyDescent="0.3">
      <c r="D115" s="70"/>
    </row>
    <row r="116" spans="4:4" ht="15.75" customHeight="1" x14ac:dyDescent="0.3">
      <c r="D116" s="70"/>
    </row>
    <row r="117" spans="4:4" ht="15.75" customHeight="1" x14ac:dyDescent="0.3">
      <c r="D117" s="70"/>
    </row>
    <row r="118" spans="4:4" ht="15.75" customHeight="1" x14ac:dyDescent="0.3">
      <c r="D118" s="70"/>
    </row>
    <row r="119" spans="4:4" ht="15.75" customHeight="1" x14ac:dyDescent="0.3">
      <c r="D119" s="70"/>
    </row>
    <row r="120" spans="4:4" ht="15.75" customHeight="1" x14ac:dyDescent="0.3">
      <c r="D120" s="70"/>
    </row>
    <row r="121" spans="4:4" ht="15.75" customHeight="1" x14ac:dyDescent="0.3">
      <c r="D121" s="70"/>
    </row>
    <row r="122" spans="4:4" ht="15.75" customHeight="1" x14ac:dyDescent="0.3">
      <c r="D122" s="70"/>
    </row>
    <row r="123" spans="4:4" ht="15.75" customHeight="1" x14ac:dyDescent="0.3">
      <c r="D123" s="70"/>
    </row>
    <row r="124" spans="4:4" ht="15.75" customHeight="1" x14ac:dyDescent="0.3">
      <c r="D124" s="70"/>
    </row>
    <row r="125" spans="4:4" ht="15.75" customHeight="1" x14ac:dyDescent="0.3">
      <c r="D125" s="70"/>
    </row>
    <row r="126" spans="4:4" ht="15.75" customHeight="1" x14ac:dyDescent="0.3">
      <c r="D126" s="70"/>
    </row>
    <row r="127" spans="4:4" ht="15.75" customHeight="1" x14ac:dyDescent="0.3">
      <c r="D127" s="70"/>
    </row>
    <row r="128" spans="4:4" ht="15.75" customHeight="1" x14ac:dyDescent="0.3">
      <c r="D128" s="70"/>
    </row>
    <row r="129" spans="4:4" ht="15.75" customHeight="1" x14ac:dyDescent="0.3">
      <c r="D129" s="70"/>
    </row>
    <row r="130" spans="4:4" ht="15.75" customHeight="1" x14ac:dyDescent="0.3">
      <c r="D130" s="70"/>
    </row>
    <row r="131" spans="4:4" ht="15.75" customHeight="1" x14ac:dyDescent="0.3">
      <c r="D131" s="70"/>
    </row>
    <row r="132" spans="4:4" ht="15.75" customHeight="1" x14ac:dyDescent="0.3">
      <c r="D132" s="70"/>
    </row>
    <row r="133" spans="4:4" ht="15.75" customHeight="1" x14ac:dyDescent="0.3">
      <c r="D133" s="70"/>
    </row>
    <row r="134" spans="4:4" ht="15.75" customHeight="1" x14ac:dyDescent="0.3">
      <c r="D134" s="70"/>
    </row>
    <row r="135" spans="4:4" ht="15.75" customHeight="1" x14ac:dyDescent="0.3">
      <c r="D135" s="70"/>
    </row>
    <row r="136" spans="4:4" ht="15.75" customHeight="1" x14ac:dyDescent="0.3">
      <c r="D136" s="70"/>
    </row>
    <row r="137" spans="4:4" ht="15.75" customHeight="1" x14ac:dyDescent="0.3">
      <c r="D137" s="70"/>
    </row>
    <row r="138" spans="4:4" ht="15.75" customHeight="1" x14ac:dyDescent="0.3">
      <c r="D138" s="70"/>
    </row>
    <row r="139" spans="4:4" ht="15.75" customHeight="1" x14ac:dyDescent="0.3">
      <c r="D139" s="70"/>
    </row>
    <row r="140" spans="4:4" ht="15.75" customHeight="1" x14ac:dyDescent="0.3">
      <c r="D140" s="70"/>
    </row>
    <row r="141" spans="4:4" ht="15.75" customHeight="1" x14ac:dyDescent="0.3">
      <c r="D141" s="70"/>
    </row>
    <row r="142" spans="4:4" ht="15.75" customHeight="1" x14ac:dyDescent="0.3">
      <c r="D142" s="70"/>
    </row>
    <row r="143" spans="4:4" ht="15.75" customHeight="1" x14ac:dyDescent="0.3">
      <c r="D143" s="70"/>
    </row>
    <row r="144" spans="4:4" ht="15.75" customHeight="1" x14ac:dyDescent="0.3">
      <c r="D144" s="70"/>
    </row>
    <row r="145" spans="4:4" ht="15.75" customHeight="1" x14ac:dyDescent="0.3">
      <c r="D145" s="70"/>
    </row>
    <row r="146" spans="4:4" ht="15.75" customHeight="1" x14ac:dyDescent="0.3">
      <c r="D146" s="70"/>
    </row>
    <row r="147" spans="4:4" ht="15.75" customHeight="1" x14ac:dyDescent="0.3">
      <c r="D147" s="70"/>
    </row>
    <row r="148" spans="4:4" ht="15.75" customHeight="1" x14ac:dyDescent="0.3">
      <c r="D148" s="70"/>
    </row>
    <row r="149" spans="4:4" ht="15.75" customHeight="1" x14ac:dyDescent="0.3">
      <c r="D149" s="70"/>
    </row>
    <row r="150" spans="4:4" ht="15.75" customHeight="1" x14ac:dyDescent="0.3">
      <c r="D150" s="70"/>
    </row>
    <row r="151" spans="4:4" ht="15.75" customHeight="1" x14ac:dyDescent="0.3">
      <c r="D151" s="70"/>
    </row>
    <row r="152" spans="4:4" ht="15.75" customHeight="1" x14ac:dyDescent="0.3">
      <c r="D152" s="70"/>
    </row>
    <row r="153" spans="4:4" ht="15.75" customHeight="1" x14ac:dyDescent="0.3">
      <c r="D153" s="70"/>
    </row>
    <row r="154" spans="4:4" ht="15.75" customHeight="1" x14ac:dyDescent="0.3">
      <c r="D154" s="70"/>
    </row>
    <row r="155" spans="4:4" ht="15.75" customHeight="1" x14ac:dyDescent="0.3">
      <c r="D155" s="70"/>
    </row>
    <row r="156" spans="4:4" ht="15.75" customHeight="1" x14ac:dyDescent="0.3">
      <c r="D156" s="70"/>
    </row>
    <row r="157" spans="4:4" ht="15.75" customHeight="1" x14ac:dyDescent="0.3">
      <c r="D157" s="70"/>
    </row>
    <row r="158" spans="4:4" ht="15.75" customHeight="1" x14ac:dyDescent="0.3">
      <c r="D158" s="70"/>
    </row>
    <row r="159" spans="4:4" ht="15.75" customHeight="1" x14ac:dyDescent="0.3">
      <c r="D159" s="70"/>
    </row>
    <row r="160" spans="4:4" ht="15.75" customHeight="1" x14ac:dyDescent="0.3">
      <c r="D160" s="70"/>
    </row>
    <row r="161" spans="4:4" ht="15.75" customHeight="1" x14ac:dyDescent="0.3">
      <c r="D161" s="70"/>
    </row>
    <row r="162" spans="4:4" ht="15.75" customHeight="1" x14ac:dyDescent="0.3">
      <c r="D162" s="70"/>
    </row>
    <row r="163" spans="4:4" ht="15.75" customHeight="1" x14ac:dyDescent="0.3">
      <c r="D163" s="70"/>
    </row>
    <row r="164" spans="4:4" ht="15.75" customHeight="1" x14ac:dyDescent="0.3">
      <c r="D164" s="70"/>
    </row>
    <row r="165" spans="4:4" ht="15.75" customHeight="1" x14ac:dyDescent="0.3">
      <c r="D165" s="70"/>
    </row>
    <row r="166" spans="4:4" ht="15.75" customHeight="1" x14ac:dyDescent="0.3">
      <c r="D166" s="70"/>
    </row>
    <row r="167" spans="4:4" ht="15.75" customHeight="1" x14ac:dyDescent="0.3">
      <c r="D167" s="70"/>
    </row>
    <row r="168" spans="4:4" ht="15.75" customHeight="1" x14ac:dyDescent="0.3">
      <c r="D168" s="70"/>
    </row>
    <row r="169" spans="4:4" ht="15.75" customHeight="1" x14ac:dyDescent="0.3">
      <c r="D169" s="70"/>
    </row>
    <row r="170" spans="4:4" ht="15.75" customHeight="1" x14ac:dyDescent="0.3">
      <c r="D170" s="70"/>
    </row>
    <row r="171" spans="4:4" ht="15.75" customHeight="1" x14ac:dyDescent="0.3">
      <c r="D171" s="70"/>
    </row>
    <row r="172" spans="4:4" ht="15.75" customHeight="1" x14ac:dyDescent="0.3">
      <c r="D172" s="70"/>
    </row>
    <row r="173" spans="4:4" ht="15.75" customHeight="1" x14ac:dyDescent="0.3">
      <c r="D173" s="70"/>
    </row>
    <row r="174" spans="4:4" ht="15.75" customHeight="1" x14ac:dyDescent="0.3">
      <c r="D174" s="70"/>
    </row>
    <row r="175" spans="4:4" ht="15.75" customHeight="1" x14ac:dyDescent="0.3">
      <c r="D175" s="70"/>
    </row>
    <row r="176" spans="4:4" ht="15.75" customHeight="1" x14ac:dyDescent="0.3">
      <c r="D176" s="70"/>
    </row>
    <row r="177" spans="4:4" ht="15.75" customHeight="1" x14ac:dyDescent="0.3">
      <c r="D177" s="70"/>
    </row>
    <row r="178" spans="4:4" ht="15.75" customHeight="1" x14ac:dyDescent="0.3">
      <c r="D178" s="70"/>
    </row>
    <row r="179" spans="4:4" ht="15.75" customHeight="1" x14ac:dyDescent="0.3">
      <c r="D179" s="70"/>
    </row>
    <row r="180" spans="4:4" ht="15.75" customHeight="1" x14ac:dyDescent="0.3">
      <c r="D180" s="70"/>
    </row>
    <row r="181" spans="4:4" ht="15.75" customHeight="1" x14ac:dyDescent="0.3">
      <c r="D181" s="70"/>
    </row>
    <row r="182" spans="4:4" ht="15.75" customHeight="1" x14ac:dyDescent="0.3">
      <c r="D182" s="70"/>
    </row>
    <row r="183" spans="4:4" ht="15.75" customHeight="1" x14ac:dyDescent="0.3">
      <c r="D183" s="70"/>
    </row>
    <row r="184" spans="4:4" ht="15.75" customHeight="1" x14ac:dyDescent="0.3">
      <c r="D184" s="70"/>
    </row>
    <row r="185" spans="4:4" ht="15.75" customHeight="1" x14ac:dyDescent="0.3">
      <c r="D185" s="70"/>
    </row>
    <row r="186" spans="4:4" ht="15.75" customHeight="1" x14ac:dyDescent="0.3">
      <c r="D186" s="70"/>
    </row>
    <row r="187" spans="4:4" ht="15.75" customHeight="1" x14ac:dyDescent="0.3">
      <c r="D187" s="70"/>
    </row>
    <row r="188" spans="4:4" ht="15.75" customHeight="1" x14ac:dyDescent="0.3">
      <c r="D188" s="70"/>
    </row>
    <row r="189" spans="4:4" ht="15.75" customHeight="1" x14ac:dyDescent="0.3">
      <c r="D189" s="70"/>
    </row>
    <row r="190" spans="4:4" ht="15.75" customHeight="1" x14ac:dyDescent="0.3">
      <c r="D190" s="70"/>
    </row>
    <row r="191" spans="4:4" ht="15.75" customHeight="1" x14ac:dyDescent="0.3">
      <c r="D191" s="70"/>
    </row>
    <row r="192" spans="4:4" ht="15.75" customHeight="1" x14ac:dyDescent="0.3">
      <c r="D192" s="70"/>
    </row>
    <row r="193" spans="4:4" ht="15.75" customHeight="1" x14ac:dyDescent="0.3">
      <c r="D193" s="70"/>
    </row>
    <row r="194" spans="4:4" ht="15.75" customHeight="1" x14ac:dyDescent="0.3">
      <c r="D194" s="70"/>
    </row>
    <row r="195" spans="4:4" ht="15.75" customHeight="1" x14ac:dyDescent="0.3">
      <c r="D195" s="70"/>
    </row>
    <row r="196" spans="4:4" ht="15.75" customHeight="1" x14ac:dyDescent="0.3">
      <c r="D196" s="70"/>
    </row>
    <row r="197" spans="4:4" ht="15.75" customHeight="1" x14ac:dyDescent="0.3">
      <c r="D197" s="70"/>
    </row>
    <row r="198" spans="4:4" ht="15.75" customHeight="1" x14ac:dyDescent="0.3">
      <c r="D198" s="70"/>
    </row>
    <row r="199" spans="4:4" ht="15.75" customHeight="1" x14ac:dyDescent="0.3">
      <c r="D199" s="70"/>
    </row>
    <row r="200" spans="4:4" ht="15.75" customHeight="1" x14ac:dyDescent="0.3">
      <c r="D200" s="70"/>
    </row>
    <row r="201" spans="4:4" ht="15.75" customHeight="1" x14ac:dyDescent="0.3">
      <c r="D201" s="70"/>
    </row>
    <row r="202" spans="4:4" ht="15.75" customHeight="1" x14ac:dyDescent="0.3">
      <c r="D202" s="70"/>
    </row>
    <row r="203" spans="4:4" ht="15.75" customHeight="1" x14ac:dyDescent="0.3">
      <c r="D203" s="70"/>
    </row>
    <row r="204" spans="4:4" ht="15.75" customHeight="1" x14ac:dyDescent="0.3">
      <c r="D204" s="70"/>
    </row>
    <row r="205" spans="4:4" ht="15.75" customHeight="1" x14ac:dyDescent="0.3">
      <c r="D205" s="70"/>
    </row>
    <row r="206" spans="4:4" ht="15.75" customHeight="1" x14ac:dyDescent="0.3">
      <c r="D206" s="70"/>
    </row>
    <row r="207" spans="4:4" ht="15.75" customHeight="1" x14ac:dyDescent="0.3">
      <c r="D207" s="70"/>
    </row>
    <row r="208" spans="4:4" ht="15.75" customHeight="1" x14ac:dyDescent="0.3">
      <c r="D208" s="70"/>
    </row>
    <row r="209" spans="4:4" ht="15.75" customHeight="1" x14ac:dyDescent="0.3">
      <c r="D209" s="70"/>
    </row>
    <row r="210" spans="4:4" ht="15.75" customHeight="1" x14ac:dyDescent="0.3">
      <c r="D210" s="70"/>
    </row>
    <row r="211" spans="4:4" ht="15.75" customHeight="1" x14ac:dyDescent="0.3">
      <c r="D211" s="70"/>
    </row>
    <row r="212" spans="4:4" ht="15.75" customHeight="1" x14ac:dyDescent="0.3">
      <c r="D212" s="70"/>
    </row>
    <row r="213" spans="4:4" ht="15.75" customHeight="1" x14ac:dyDescent="0.3">
      <c r="D213" s="70"/>
    </row>
    <row r="214" spans="4:4" ht="15.75" customHeight="1" x14ac:dyDescent="0.3">
      <c r="D214" s="70"/>
    </row>
    <row r="215" spans="4:4" ht="15.75" customHeight="1" x14ac:dyDescent="0.3">
      <c r="D215" s="70"/>
    </row>
    <row r="216" spans="4:4" ht="15.75" customHeight="1" x14ac:dyDescent="0.3">
      <c r="D216" s="70"/>
    </row>
    <row r="217" spans="4:4" ht="15.75" customHeight="1" x14ac:dyDescent="0.3">
      <c r="D217" s="70"/>
    </row>
    <row r="218" spans="4:4" ht="15.75" customHeight="1" x14ac:dyDescent="0.3">
      <c r="D218" s="70"/>
    </row>
    <row r="219" spans="4:4" ht="15.75" customHeight="1" x14ac:dyDescent="0.3">
      <c r="D219" s="70"/>
    </row>
    <row r="220" spans="4:4" ht="15.75" customHeight="1" x14ac:dyDescent="0.3">
      <c r="D220" s="70"/>
    </row>
    <row r="221" spans="4:4" ht="15.75" customHeight="1" x14ac:dyDescent="0.3">
      <c r="D221" s="70"/>
    </row>
    <row r="222" spans="4:4" ht="15.75" customHeight="1" x14ac:dyDescent="0.3">
      <c r="D222" s="70"/>
    </row>
    <row r="223" spans="4:4" ht="15.75" customHeight="1" x14ac:dyDescent="0.3">
      <c r="D223" s="70"/>
    </row>
    <row r="224" spans="4:4" ht="15.75" customHeight="1" x14ac:dyDescent="0.3">
      <c r="D224" s="70"/>
    </row>
    <row r="225" spans="4:4" ht="15.75" customHeight="1" x14ac:dyDescent="0.3">
      <c r="D225" s="70"/>
    </row>
    <row r="226" spans="4:4" ht="15.75" customHeight="1" x14ac:dyDescent="0.3">
      <c r="D226" s="70"/>
    </row>
    <row r="227" spans="4:4" ht="15.75" customHeight="1" x14ac:dyDescent="0.3">
      <c r="D227" s="70"/>
    </row>
    <row r="228" spans="4:4" ht="15.75" customHeight="1" x14ac:dyDescent="0.3">
      <c r="D228" s="70"/>
    </row>
    <row r="229" spans="4:4" ht="15.75" customHeight="1" x14ac:dyDescent="0.3">
      <c r="D229" s="70"/>
    </row>
    <row r="230" spans="4:4" ht="15.75" customHeight="1" x14ac:dyDescent="0.3">
      <c r="D230" s="70"/>
    </row>
    <row r="231" spans="4:4" ht="15.75" customHeight="1" x14ac:dyDescent="0.3">
      <c r="D231" s="70"/>
    </row>
    <row r="232" spans="4:4" ht="15.75" customHeight="1" x14ac:dyDescent="0.3">
      <c r="D232" s="70"/>
    </row>
    <row r="233" spans="4:4" ht="15.75" customHeight="1" x14ac:dyDescent="0.3">
      <c r="D233" s="70"/>
    </row>
    <row r="234" spans="4:4" ht="15.75" customHeight="1" x14ac:dyDescent="0.3">
      <c r="D234" s="70"/>
    </row>
    <row r="235" spans="4:4" ht="15.75" customHeight="1" x14ac:dyDescent="0.3">
      <c r="D235" s="70"/>
    </row>
    <row r="236" spans="4:4" ht="15.75" customHeight="1" x14ac:dyDescent="0.3">
      <c r="D236" s="70"/>
    </row>
    <row r="237" spans="4:4" ht="15.75" customHeight="1" x14ac:dyDescent="0.3">
      <c r="D237" s="70"/>
    </row>
    <row r="238" spans="4:4" ht="15.75" customHeight="1" x14ac:dyDescent="0.3">
      <c r="D238" s="70"/>
    </row>
    <row r="239" spans="4:4" ht="15.75" customHeight="1" x14ac:dyDescent="0.3">
      <c r="D239" s="70"/>
    </row>
    <row r="240" spans="4:4" ht="15.75" customHeight="1" x14ac:dyDescent="0.3">
      <c r="D240" s="70"/>
    </row>
    <row r="241" spans="4:4" ht="15.75" customHeight="1" x14ac:dyDescent="0.3">
      <c r="D241" s="70"/>
    </row>
    <row r="242" spans="4:4" ht="15.75" customHeight="1" x14ac:dyDescent="0.3">
      <c r="D242" s="70"/>
    </row>
    <row r="243" spans="4:4" ht="15.75" customHeight="1" x14ac:dyDescent="0.3">
      <c r="D243" s="70"/>
    </row>
    <row r="244" spans="4:4" ht="15.75" customHeight="1" x14ac:dyDescent="0.3">
      <c r="D244" s="70"/>
    </row>
    <row r="245" spans="4:4" ht="15.75" customHeight="1" x14ac:dyDescent="0.3">
      <c r="D245" s="70"/>
    </row>
    <row r="246" spans="4:4" ht="15.75" customHeight="1" x14ac:dyDescent="0.3">
      <c r="D246" s="70"/>
    </row>
    <row r="247" spans="4:4" ht="15.75" customHeight="1" x14ac:dyDescent="0.3">
      <c r="D247" s="70"/>
    </row>
    <row r="248" spans="4:4" ht="15.75" customHeight="1" x14ac:dyDescent="0.3">
      <c r="D248" s="70"/>
    </row>
    <row r="249" spans="4:4" ht="15.75" customHeight="1" x14ac:dyDescent="0.3">
      <c r="D249" s="70"/>
    </row>
    <row r="250" spans="4:4" ht="15.75" customHeight="1" x14ac:dyDescent="0.3">
      <c r="D250" s="70"/>
    </row>
    <row r="251" spans="4:4" ht="15.75" customHeight="1" x14ac:dyDescent="0.3">
      <c r="D251" s="70"/>
    </row>
    <row r="252" spans="4:4" ht="15.75" customHeight="1" x14ac:dyDescent="0.3">
      <c r="D252" s="70"/>
    </row>
    <row r="253" spans="4:4" ht="15.75" customHeight="1" x14ac:dyDescent="0.3">
      <c r="D253" s="70"/>
    </row>
    <row r="254" spans="4:4" ht="15.75" customHeight="1" x14ac:dyDescent="0.3">
      <c r="D254" s="70"/>
    </row>
    <row r="255" spans="4:4" ht="15.75" customHeight="1" x14ac:dyDescent="0.3">
      <c r="D255" s="70"/>
    </row>
    <row r="256" spans="4:4" ht="15.75" customHeight="1" x14ac:dyDescent="0.3">
      <c r="D256" s="70"/>
    </row>
    <row r="257" spans="4:4" ht="15.75" customHeight="1" x14ac:dyDescent="0.3">
      <c r="D257" s="70"/>
    </row>
    <row r="258" spans="4:4" ht="15.75" customHeight="1" x14ac:dyDescent="0.3">
      <c r="D258" s="70"/>
    </row>
    <row r="259" spans="4:4" ht="15.75" customHeight="1" x14ac:dyDescent="0.3">
      <c r="D259" s="70"/>
    </row>
    <row r="260" spans="4:4" ht="15.75" customHeight="1" x14ac:dyDescent="0.3">
      <c r="D260" s="70"/>
    </row>
    <row r="261" spans="4:4" ht="15.75" customHeight="1" x14ac:dyDescent="0.3">
      <c r="D261" s="70"/>
    </row>
    <row r="262" spans="4:4" ht="15.75" customHeight="1" x14ac:dyDescent="0.3">
      <c r="D262" s="70"/>
    </row>
    <row r="263" spans="4:4" ht="15.75" customHeight="1" x14ac:dyDescent="0.3">
      <c r="D263" s="70"/>
    </row>
    <row r="264" spans="4:4" ht="15.75" customHeight="1" x14ac:dyDescent="0.3">
      <c r="D264" s="70"/>
    </row>
    <row r="265" spans="4:4" ht="15.75" customHeight="1" x14ac:dyDescent="0.3">
      <c r="D265" s="70"/>
    </row>
    <row r="266" spans="4:4" ht="15.75" customHeight="1" x14ac:dyDescent="0.3">
      <c r="D266" s="70"/>
    </row>
    <row r="267" spans="4:4" ht="15.75" customHeight="1" x14ac:dyDescent="0.3">
      <c r="D267" s="70"/>
    </row>
    <row r="268" spans="4:4" ht="15.75" customHeight="1" x14ac:dyDescent="0.3">
      <c r="D268" s="70"/>
    </row>
    <row r="269" spans="4:4" ht="15.75" customHeight="1" x14ac:dyDescent="0.3">
      <c r="D269" s="70"/>
    </row>
    <row r="270" spans="4:4" ht="15.75" customHeight="1" x14ac:dyDescent="0.3">
      <c r="D270" s="70"/>
    </row>
    <row r="271" spans="4:4" ht="15.75" customHeight="1" x14ac:dyDescent="0.3">
      <c r="D271" s="70"/>
    </row>
    <row r="272" spans="4:4" ht="15.75" customHeight="1" x14ac:dyDescent="0.3">
      <c r="D272" s="70"/>
    </row>
    <row r="273" spans="4:4" ht="15.75" customHeight="1" x14ac:dyDescent="0.3">
      <c r="D273" s="70"/>
    </row>
    <row r="274" spans="4:4" ht="15.75" customHeight="1" x14ac:dyDescent="0.3">
      <c r="D274" s="70"/>
    </row>
    <row r="275" spans="4:4" ht="15.75" customHeight="1" x14ac:dyDescent="0.3">
      <c r="D275" s="70"/>
    </row>
    <row r="276" spans="4:4" ht="15.75" customHeight="1" x14ac:dyDescent="0.3">
      <c r="D276" s="70"/>
    </row>
    <row r="277" spans="4:4" ht="15.75" customHeight="1" x14ac:dyDescent="0.3">
      <c r="D277" s="70"/>
    </row>
    <row r="278" spans="4:4" ht="15.75" customHeight="1" x14ac:dyDescent="0.3">
      <c r="D278" s="70"/>
    </row>
    <row r="279" spans="4:4" ht="15.75" customHeight="1" x14ac:dyDescent="0.3">
      <c r="D279" s="70"/>
    </row>
    <row r="280" spans="4:4" ht="15.75" customHeight="1" x14ac:dyDescent="0.3">
      <c r="D280" s="70"/>
    </row>
    <row r="281" spans="4:4" ht="15.75" customHeight="1" x14ac:dyDescent="0.3">
      <c r="D281" s="70"/>
    </row>
    <row r="282" spans="4:4" ht="15.75" customHeight="1" x14ac:dyDescent="0.3">
      <c r="D282" s="70"/>
    </row>
    <row r="283" spans="4:4" ht="15.75" customHeight="1" x14ac:dyDescent="0.3">
      <c r="D283" s="70"/>
    </row>
    <row r="284" spans="4:4" ht="15.75" customHeight="1" x14ac:dyDescent="0.3">
      <c r="D284" s="70"/>
    </row>
    <row r="285" spans="4:4" ht="15.75" customHeight="1" x14ac:dyDescent="0.3">
      <c r="D285" s="70"/>
    </row>
    <row r="286" spans="4:4" ht="15.75" customHeight="1" x14ac:dyDescent="0.3">
      <c r="D286" s="70"/>
    </row>
    <row r="287" spans="4:4" ht="15.75" customHeight="1" x14ac:dyDescent="0.3">
      <c r="D287" s="70"/>
    </row>
    <row r="288" spans="4:4" ht="15.75" customHeight="1" x14ac:dyDescent="0.3">
      <c r="D288" s="70"/>
    </row>
    <row r="289" spans="4:4" ht="15.75" customHeight="1" x14ac:dyDescent="0.3">
      <c r="D289" s="70"/>
    </row>
    <row r="290" spans="4:4" ht="15.75" customHeight="1" x14ac:dyDescent="0.3">
      <c r="D290" s="70"/>
    </row>
    <row r="291" spans="4:4" ht="15.75" customHeight="1" x14ac:dyDescent="0.3">
      <c r="D291" s="70"/>
    </row>
    <row r="292" spans="4:4" ht="15.75" customHeight="1" x14ac:dyDescent="0.3">
      <c r="D292" s="70"/>
    </row>
    <row r="293" spans="4:4" ht="15.75" customHeight="1" x14ac:dyDescent="0.3">
      <c r="D293" s="70"/>
    </row>
    <row r="294" spans="4:4" ht="15.75" customHeight="1" x14ac:dyDescent="0.3">
      <c r="D294" s="70"/>
    </row>
    <row r="295" spans="4:4" ht="15.75" customHeight="1" x14ac:dyDescent="0.3">
      <c r="D295" s="70"/>
    </row>
    <row r="296" spans="4:4" ht="15.75" customHeight="1" x14ac:dyDescent="0.3">
      <c r="D296" s="70"/>
    </row>
    <row r="297" spans="4:4" ht="15.75" customHeight="1" x14ac:dyDescent="0.3">
      <c r="D297" s="70"/>
    </row>
    <row r="298" spans="4:4" ht="15.75" customHeight="1" x14ac:dyDescent="0.3">
      <c r="D298" s="70"/>
    </row>
    <row r="299" spans="4:4" ht="15.75" customHeight="1" x14ac:dyDescent="0.3">
      <c r="D299" s="70"/>
    </row>
    <row r="300" spans="4:4" ht="15.75" customHeight="1" x14ac:dyDescent="0.3">
      <c r="D300" s="70"/>
    </row>
    <row r="301" spans="4:4" ht="15.75" customHeight="1" x14ac:dyDescent="0.3">
      <c r="D301" s="70"/>
    </row>
    <row r="302" spans="4:4" ht="15.75" customHeight="1" x14ac:dyDescent="0.3">
      <c r="D302" s="70"/>
    </row>
    <row r="303" spans="4:4" ht="15.75" customHeight="1" x14ac:dyDescent="0.3">
      <c r="D303" s="70"/>
    </row>
    <row r="304" spans="4:4" ht="15.75" customHeight="1" x14ac:dyDescent="0.3">
      <c r="D304" s="70"/>
    </row>
    <row r="305" spans="4:4" ht="15.75" customHeight="1" x14ac:dyDescent="0.3">
      <c r="D305" s="70"/>
    </row>
    <row r="306" spans="4:4" ht="15.75" customHeight="1" x14ac:dyDescent="0.3">
      <c r="D306" s="70"/>
    </row>
    <row r="307" spans="4:4" ht="15.75" customHeight="1" x14ac:dyDescent="0.3">
      <c r="D307" s="70"/>
    </row>
    <row r="308" spans="4:4" ht="15.75" customHeight="1" x14ac:dyDescent="0.3">
      <c r="D308" s="70"/>
    </row>
    <row r="309" spans="4:4" ht="15.75" customHeight="1" x14ac:dyDescent="0.3">
      <c r="D309" s="70"/>
    </row>
    <row r="310" spans="4:4" ht="15.75" customHeight="1" x14ac:dyDescent="0.3">
      <c r="D310" s="70"/>
    </row>
    <row r="311" spans="4:4" ht="15.75" customHeight="1" x14ac:dyDescent="0.3">
      <c r="D311" s="70"/>
    </row>
    <row r="312" spans="4:4" ht="15.75" customHeight="1" x14ac:dyDescent="0.3">
      <c r="D312" s="70"/>
    </row>
    <row r="313" spans="4:4" ht="15.75" customHeight="1" x14ac:dyDescent="0.3">
      <c r="D313" s="70"/>
    </row>
    <row r="314" spans="4:4" ht="15.75" customHeight="1" x14ac:dyDescent="0.3">
      <c r="D314" s="70"/>
    </row>
    <row r="315" spans="4:4" ht="15.75" customHeight="1" x14ac:dyDescent="0.3">
      <c r="D315" s="70"/>
    </row>
    <row r="316" spans="4:4" ht="15.75" customHeight="1" x14ac:dyDescent="0.3">
      <c r="D316" s="70"/>
    </row>
    <row r="317" spans="4:4" ht="15.75" customHeight="1" x14ac:dyDescent="0.3">
      <c r="D317" s="70"/>
    </row>
    <row r="318" spans="4:4" ht="15.75" customHeight="1" x14ac:dyDescent="0.3">
      <c r="D318" s="70"/>
    </row>
    <row r="319" spans="4:4" ht="15.75" customHeight="1" x14ac:dyDescent="0.3">
      <c r="D319" s="70"/>
    </row>
    <row r="320" spans="4:4" ht="15.75" customHeight="1" x14ac:dyDescent="0.3">
      <c r="D320" s="70"/>
    </row>
    <row r="321" spans="4:4" ht="15.75" customHeight="1" x14ac:dyDescent="0.3">
      <c r="D321" s="70"/>
    </row>
    <row r="322" spans="4:4" ht="15.75" customHeight="1" x14ac:dyDescent="0.3">
      <c r="D322" s="70"/>
    </row>
    <row r="323" spans="4:4" ht="15.75" customHeight="1" x14ac:dyDescent="0.3">
      <c r="D323" s="70"/>
    </row>
    <row r="324" spans="4:4" ht="15.75" customHeight="1" x14ac:dyDescent="0.3">
      <c r="D324" s="70"/>
    </row>
    <row r="325" spans="4:4" ht="15.75" customHeight="1" x14ac:dyDescent="0.3">
      <c r="D325" s="70"/>
    </row>
    <row r="326" spans="4:4" ht="15.75" customHeight="1" x14ac:dyDescent="0.3">
      <c r="D326" s="70"/>
    </row>
    <row r="327" spans="4:4" ht="15.75" customHeight="1" x14ac:dyDescent="0.3">
      <c r="D327" s="70"/>
    </row>
    <row r="328" spans="4:4" ht="15.75" customHeight="1" x14ac:dyDescent="0.3">
      <c r="D328" s="70"/>
    </row>
    <row r="329" spans="4:4" ht="15.75" customHeight="1" x14ac:dyDescent="0.3">
      <c r="D329" s="70"/>
    </row>
    <row r="330" spans="4:4" ht="15.75" customHeight="1" x14ac:dyDescent="0.3">
      <c r="D330" s="70"/>
    </row>
    <row r="331" spans="4:4" ht="15.75" customHeight="1" x14ac:dyDescent="0.3">
      <c r="D331" s="70"/>
    </row>
    <row r="332" spans="4:4" ht="15.75" customHeight="1" x14ac:dyDescent="0.3">
      <c r="D332" s="70"/>
    </row>
    <row r="333" spans="4:4" ht="15.75" customHeight="1" x14ac:dyDescent="0.3">
      <c r="D333" s="70"/>
    </row>
    <row r="334" spans="4:4" ht="15.75" customHeight="1" x14ac:dyDescent="0.3">
      <c r="D334" s="70"/>
    </row>
    <row r="335" spans="4:4" ht="15.75" customHeight="1" x14ac:dyDescent="0.3">
      <c r="D335" s="70"/>
    </row>
    <row r="336" spans="4:4" ht="15.75" customHeight="1" x14ac:dyDescent="0.3">
      <c r="D336" s="70"/>
    </row>
    <row r="337" spans="4:4" ht="15.75" customHeight="1" x14ac:dyDescent="0.3">
      <c r="D337" s="70"/>
    </row>
    <row r="338" spans="4:4" ht="15.75" customHeight="1" x14ac:dyDescent="0.3">
      <c r="D338" s="70"/>
    </row>
    <row r="339" spans="4:4" ht="15.75" customHeight="1" x14ac:dyDescent="0.3">
      <c r="D339" s="70"/>
    </row>
    <row r="340" spans="4:4" ht="15.75" customHeight="1" x14ac:dyDescent="0.3">
      <c r="D340" s="70"/>
    </row>
    <row r="341" spans="4:4" ht="15.75" customHeight="1" x14ac:dyDescent="0.3">
      <c r="D341" s="70"/>
    </row>
    <row r="342" spans="4:4" ht="15.75" customHeight="1" x14ac:dyDescent="0.3">
      <c r="D342" s="70"/>
    </row>
    <row r="343" spans="4:4" ht="15.75" customHeight="1" x14ac:dyDescent="0.3">
      <c r="D343" s="70"/>
    </row>
    <row r="344" spans="4:4" ht="15.75" customHeight="1" x14ac:dyDescent="0.3">
      <c r="D344" s="70"/>
    </row>
    <row r="345" spans="4:4" ht="15.75" customHeight="1" x14ac:dyDescent="0.3">
      <c r="D345" s="70"/>
    </row>
    <row r="346" spans="4:4" ht="15.75" customHeight="1" x14ac:dyDescent="0.3">
      <c r="D346" s="70"/>
    </row>
    <row r="347" spans="4:4" ht="15.75" customHeight="1" x14ac:dyDescent="0.3">
      <c r="D347" s="70"/>
    </row>
    <row r="348" spans="4:4" ht="15.75" customHeight="1" x14ac:dyDescent="0.3">
      <c r="D348" s="70"/>
    </row>
    <row r="349" spans="4:4" ht="15.75" customHeight="1" x14ac:dyDescent="0.3">
      <c r="D349" s="70"/>
    </row>
    <row r="350" spans="4:4" ht="15.75" customHeight="1" x14ac:dyDescent="0.3">
      <c r="D350" s="70"/>
    </row>
    <row r="351" spans="4:4" ht="15.75" customHeight="1" x14ac:dyDescent="0.3">
      <c r="D351" s="70"/>
    </row>
    <row r="352" spans="4:4" ht="15.75" customHeight="1" x14ac:dyDescent="0.3">
      <c r="D352" s="70"/>
    </row>
    <row r="353" spans="4:4" ht="15.75" customHeight="1" x14ac:dyDescent="0.3">
      <c r="D353" s="70"/>
    </row>
    <row r="354" spans="4:4" ht="15.75" customHeight="1" x14ac:dyDescent="0.3">
      <c r="D354" s="70"/>
    </row>
    <row r="355" spans="4:4" ht="15.75" customHeight="1" x14ac:dyDescent="0.3">
      <c r="D355" s="70"/>
    </row>
    <row r="356" spans="4:4" ht="15.75" customHeight="1" x14ac:dyDescent="0.3">
      <c r="D356" s="70"/>
    </row>
    <row r="357" spans="4:4" ht="15.75" customHeight="1" x14ac:dyDescent="0.3">
      <c r="D357" s="70"/>
    </row>
    <row r="358" spans="4:4" ht="15.75" customHeight="1" x14ac:dyDescent="0.3">
      <c r="D358" s="70"/>
    </row>
    <row r="359" spans="4:4" ht="15.75" customHeight="1" x14ac:dyDescent="0.3">
      <c r="D359" s="70"/>
    </row>
    <row r="360" spans="4:4" ht="15.75" customHeight="1" x14ac:dyDescent="0.3">
      <c r="D360" s="70"/>
    </row>
    <row r="361" spans="4:4" ht="15.75" customHeight="1" x14ac:dyDescent="0.3">
      <c r="D361" s="70"/>
    </row>
    <row r="362" spans="4:4" ht="15.75" customHeight="1" x14ac:dyDescent="0.3">
      <c r="D362" s="70"/>
    </row>
    <row r="363" spans="4:4" ht="15.75" customHeight="1" x14ac:dyDescent="0.3">
      <c r="D363" s="70"/>
    </row>
    <row r="364" spans="4:4" ht="15.75" customHeight="1" x14ac:dyDescent="0.3">
      <c r="D364" s="70"/>
    </row>
    <row r="365" spans="4:4" ht="15.75" customHeight="1" x14ac:dyDescent="0.3">
      <c r="D365" s="70"/>
    </row>
    <row r="366" spans="4:4" ht="15.75" customHeight="1" x14ac:dyDescent="0.3">
      <c r="D366" s="70"/>
    </row>
    <row r="367" spans="4:4" ht="15.75" customHeight="1" x14ac:dyDescent="0.3">
      <c r="D367" s="70"/>
    </row>
    <row r="368" spans="4:4" ht="15.75" customHeight="1" x14ac:dyDescent="0.3">
      <c r="D368" s="70"/>
    </row>
    <row r="369" spans="4:4" ht="15.75" customHeight="1" x14ac:dyDescent="0.3">
      <c r="D369" s="70"/>
    </row>
    <row r="370" spans="4:4" ht="15.75" customHeight="1" x14ac:dyDescent="0.3">
      <c r="D370" s="70"/>
    </row>
    <row r="371" spans="4:4" ht="15.75" customHeight="1" x14ac:dyDescent="0.3">
      <c r="D371" s="70"/>
    </row>
    <row r="372" spans="4:4" ht="15.75" customHeight="1" x14ac:dyDescent="0.3">
      <c r="D372" s="70"/>
    </row>
    <row r="373" spans="4:4" ht="15.75" customHeight="1" x14ac:dyDescent="0.3">
      <c r="D373" s="70"/>
    </row>
    <row r="374" spans="4:4" ht="15.75" customHeight="1" x14ac:dyDescent="0.3">
      <c r="D374" s="70"/>
    </row>
    <row r="375" spans="4:4" ht="15.75" customHeight="1" x14ac:dyDescent="0.3">
      <c r="D375" s="70"/>
    </row>
    <row r="376" spans="4:4" ht="15.75" customHeight="1" x14ac:dyDescent="0.3">
      <c r="D376" s="70"/>
    </row>
    <row r="377" spans="4:4" ht="15.75" customHeight="1" x14ac:dyDescent="0.3">
      <c r="D377" s="70"/>
    </row>
    <row r="378" spans="4:4" ht="15.75" customHeight="1" x14ac:dyDescent="0.3">
      <c r="D378" s="70"/>
    </row>
    <row r="379" spans="4:4" ht="15.75" customHeight="1" x14ac:dyDescent="0.3">
      <c r="D379" s="70"/>
    </row>
    <row r="380" spans="4:4" ht="15.75" customHeight="1" x14ac:dyDescent="0.3">
      <c r="D380" s="70"/>
    </row>
    <row r="381" spans="4:4" ht="15.75" customHeight="1" x14ac:dyDescent="0.3">
      <c r="D381" s="70"/>
    </row>
    <row r="382" spans="4:4" ht="15.75" customHeight="1" x14ac:dyDescent="0.3">
      <c r="D382" s="70"/>
    </row>
    <row r="383" spans="4:4" ht="15.75" customHeight="1" x14ac:dyDescent="0.3">
      <c r="D383" s="70"/>
    </row>
    <row r="384" spans="4:4" ht="15.75" customHeight="1" x14ac:dyDescent="0.3">
      <c r="D384" s="70"/>
    </row>
    <row r="385" spans="4:4" ht="15.75" customHeight="1" x14ac:dyDescent="0.3">
      <c r="D385" s="70"/>
    </row>
    <row r="386" spans="4:4" ht="15.75" customHeight="1" x14ac:dyDescent="0.3">
      <c r="D386" s="70"/>
    </row>
    <row r="387" spans="4:4" ht="15.75" customHeight="1" x14ac:dyDescent="0.3">
      <c r="D387" s="70"/>
    </row>
    <row r="388" spans="4:4" ht="15.75" customHeight="1" x14ac:dyDescent="0.3">
      <c r="D388" s="70"/>
    </row>
    <row r="389" spans="4:4" ht="15.75" customHeight="1" x14ac:dyDescent="0.3">
      <c r="D389" s="70"/>
    </row>
    <row r="390" spans="4:4" ht="15.75" customHeight="1" x14ac:dyDescent="0.3">
      <c r="D390" s="70"/>
    </row>
    <row r="391" spans="4:4" ht="15.75" customHeight="1" x14ac:dyDescent="0.3">
      <c r="D391" s="70"/>
    </row>
    <row r="392" spans="4:4" ht="15.75" customHeight="1" x14ac:dyDescent="0.3">
      <c r="D392" s="70"/>
    </row>
    <row r="393" spans="4:4" ht="15.75" customHeight="1" x14ac:dyDescent="0.3">
      <c r="D393" s="70"/>
    </row>
    <row r="394" spans="4:4" ht="15.75" customHeight="1" x14ac:dyDescent="0.3">
      <c r="D394" s="70"/>
    </row>
    <row r="395" spans="4:4" ht="15.75" customHeight="1" x14ac:dyDescent="0.3">
      <c r="D395" s="70"/>
    </row>
    <row r="396" spans="4:4" ht="15.75" customHeight="1" x14ac:dyDescent="0.3">
      <c r="D396" s="70"/>
    </row>
    <row r="397" spans="4:4" ht="15.75" customHeight="1" x14ac:dyDescent="0.3">
      <c r="D397" s="70"/>
    </row>
    <row r="398" spans="4:4" ht="15.75" customHeight="1" x14ac:dyDescent="0.3">
      <c r="D398" s="70"/>
    </row>
    <row r="399" spans="4:4" ht="15.75" customHeight="1" x14ac:dyDescent="0.3">
      <c r="D399" s="70"/>
    </row>
    <row r="400" spans="4:4" ht="15.75" customHeight="1" x14ac:dyDescent="0.3">
      <c r="D400" s="70"/>
    </row>
    <row r="401" spans="4:4" ht="15.75" customHeight="1" x14ac:dyDescent="0.3">
      <c r="D401" s="70"/>
    </row>
    <row r="402" spans="4:4" ht="15.75" customHeight="1" x14ac:dyDescent="0.3">
      <c r="D402" s="70"/>
    </row>
    <row r="403" spans="4:4" ht="15.75" customHeight="1" x14ac:dyDescent="0.3">
      <c r="D403" s="70"/>
    </row>
    <row r="404" spans="4:4" ht="15.75" customHeight="1" x14ac:dyDescent="0.3">
      <c r="D404" s="70"/>
    </row>
    <row r="405" spans="4:4" ht="15.75" customHeight="1" x14ac:dyDescent="0.3">
      <c r="D405" s="70"/>
    </row>
    <row r="406" spans="4:4" ht="15.75" customHeight="1" x14ac:dyDescent="0.3">
      <c r="D406" s="70"/>
    </row>
    <row r="407" spans="4:4" ht="15.75" customHeight="1" x14ac:dyDescent="0.3">
      <c r="D407" s="70"/>
    </row>
    <row r="408" spans="4:4" ht="15.75" customHeight="1" x14ac:dyDescent="0.3">
      <c r="D408" s="70"/>
    </row>
    <row r="409" spans="4:4" ht="15.75" customHeight="1" x14ac:dyDescent="0.3">
      <c r="D409" s="70"/>
    </row>
    <row r="410" spans="4:4" ht="15.75" customHeight="1" x14ac:dyDescent="0.3">
      <c r="D410" s="70"/>
    </row>
    <row r="411" spans="4:4" ht="15.75" customHeight="1" x14ac:dyDescent="0.3">
      <c r="D411" s="70"/>
    </row>
    <row r="412" spans="4:4" ht="15.75" customHeight="1" x14ac:dyDescent="0.3">
      <c r="D412" s="70"/>
    </row>
    <row r="413" spans="4:4" ht="15.75" customHeight="1" x14ac:dyDescent="0.3">
      <c r="D413" s="70"/>
    </row>
    <row r="414" spans="4:4" ht="15.75" customHeight="1" x14ac:dyDescent="0.3">
      <c r="D414" s="70"/>
    </row>
    <row r="415" spans="4:4" ht="15.75" customHeight="1" x14ac:dyDescent="0.3">
      <c r="D415" s="70"/>
    </row>
    <row r="416" spans="4:4" ht="15.75" customHeight="1" x14ac:dyDescent="0.3">
      <c r="D416" s="70"/>
    </row>
    <row r="417" spans="4:4" ht="15.75" customHeight="1" x14ac:dyDescent="0.3">
      <c r="D417" s="70"/>
    </row>
    <row r="418" spans="4:4" ht="15.75" customHeight="1" x14ac:dyDescent="0.3">
      <c r="D418" s="70"/>
    </row>
    <row r="419" spans="4:4" ht="15.75" customHeight="1" x14ac:dyDescent="0.3">
      <c r="D419" s="70"/>
    </row>
    <row r="420" spans="4:4" ht="15.75" customHeight="1" x14ac:dyDescent="0.3">
      <c r="D420" s="70"/>
    </row>
    <row r="421" spans="4:4" ht="15.75" customHeight="1" x14ac:dyDescent="0.3">
      <c r="D421" s="70"/>
    </row>
    <row r="422" spans="4:4" ht="15.75" customHeight="1" x14ac:dyDescent="0.3">
      <c r="D422" s="70"/>
    </row>
    <row r="423" spans="4:4" ht="15.75" customHeight="1" x14ac:dyDescent="0.3">
      <c r="D423" s="70"/>
    </row>
    <row r="424" spans="4:4" ht="15.75" customHeight="1" x14ac:dyDescent="0.3">
      <c r="D424" s="70"/>
    </row>
    <row r="425" spans="4:4" ht="15.75" customHeight="1" x14ac:dyDescent="0.3">
      <c r="D425" s="70"/>
    </row>
    <row r="426" spans="4:4" ht="15.75" customHeight="1" x14ac:dyDescent="0.3">
      <c r="D426" s="70"/>
    </row>
    <row r="427" spans="4:4" ht="15.75" customHeight="1" x14ac:dyDescent="0.3">
      <c r="D427" s="70"/>
    </row>
    <row r="428" spans="4:4" ht="15.75" customHeight="1" x14ac:dyDescent="0.3">
      <c r="D428" s="70"/>
    </row>
    <row r="429" spans="4:4" ht="15.75" customHeight="1" x14ac:dyDescent="0.3">
      <c r="D429" s="70"/>
    </row>
    <row r="430" spans="4:4" ht="15.75" customHeight="1" x14ac:dyDescent="0.3">
      <c r="D430" s="70"/>
    </row>
    <row r="431" spans="4:4" ht="15.75" customHeight="1" x14ac:dyDescent="0.3">
      <c r="D431" s="70"/>
    </row>
    <row r="432" spans="4:4" ht="15.75" customHeight="1" x14ac:dyDescent="0.3">
      <c r="D432" s="70"/>
    </row>
    <row r="433" spans="4:4" ht="15.75" customHeight="1" x14ac:dyDescent="0.3">
      <c r="D433" s="70"/>
    </row>
    <row r="434" spans="4:4" ht="15.75" customHeight="1" x14ac:dyDescent="0.3">
      <c r="D434" s="70"/>
    </row>
    <row r="435" spans="4:4" ht="15.75" customHeight="1" x14ac:dyDescent="0.3">
      <c r="D435" s="70"/>
    </row>
    <row r="436" spans="4:4" ht="15.75" customHeight="1" x14ac:dyDescent="0.3">
      <c r="D436" s="70"/>
    </row>
    <row r="437" spans="4:4" ht="15.75" customHeight="1" x14ac:dyDescent="0.3">
      <c r="D437" s="70"/>
    </row>
    <row r="438" spans="4:4" ht="15.75" customHeight="1" x14ac:dyDescent="0.3">
      <c r="D438" s="70"/>
    </row>
    <row r="439" spans="4:4" ht="15.75" customHeight="1" x14ac:dyDescent="0.3">
      <c r="D439" s="70"/>
    </row>
    <row r="440" spans="4:4" ht="15.75" customHeight="1" x14ac:dyDescent="0.3">
      <c r="D440" s="70"/>
    </row>
    <row r="441" spans="4:4" ht="15.75" customHeight="1" x14ac:dyDescent="0.3">
      <c r="D441" s="70"/>
    </row>
    <row r="442" spans="4:4" ht="15.75" customHeight="1" x14ac:dyDescent="0.3">
      <c r="D442" s="70"/>
    </row>
    <row r="443" spans="4:4" ht="15.75" customHeight="1" x14ac:dyDescent="0.3">
      <c r="D443" s="70"/>
    </row>
    <row r="444" spans="4:4" ht="15.75" customHeight="1" x14ac:dyDescent="0.3">
      <c r="D444" s="70"/>
    </row>
    <row r="445" spans="4:4" ht="15.75" customHeight="1" x14ac:dyDescent="0.3">
      <c r="D445" s="70"/>
    </row>
    <row r="446" spans="4:4" ht="15.75" customHeight="1" x14ac:dyDescent="0.3">
      <c r="D446" s="70"/>
    </row>
    <row r="447" spans="4:4" ht="15.75" customHeight="1" x14ac:dyDescent="0.3">
      <c r="D447" s="70"/>
    </row>
    <row r="448" spans="4:4" ht="15.75" customHeight="1" x14ac:dyDescent="0.3">
      <c r="D448" s="70"/>
    </row>
    <row r="449" spans="4:4" ht="15.75" customHeight="1" x14ac:dyDescent="0.3">
      <c r="D449" s="70"/>
    </row>
    <row r="450" spans="4:4" ht="15.75" customHeight="1" x14ac:dyDescent="0.3">
      <c r="D450" s="70"/>
    </row>
    <row r="451" spans="4:4" ht="15.75" customHeight="1" x14ac:dyDescent="0.3">
      <c r="D451" s="70"/>
    </row>
    <row r="452" spans="4:4" ht="15.75" customHeight="1" x14ac:dyDescent="0.3">
      <c r="D452" s="70"/>
    </row>
    <row r="453" spans="4:4" ht="15.75" customHeight="1" x14ac:dyDescent="0.3">
      <c r="D453" s="70"/>
    </row>
    <row r="454" spans="4:4" ht="15.75" customHeight="1" x14ac:dyDescent="0.3">
      <c r="D454" s="70"/>
    </row>
    <row r="455" spans="4:4" ht="15.75" customHeight="1" x14ac:dyDescent="0.3">
      <c r="D455" s="70"/>
    </row>
    <row r="456" spans="4:4" ht="15.75" customHeight="1" x14ac:dyDescent="0.3">
      <c r="D456" s="70"/>
    </row>
    <row r="457" spans="4:4" ht="15.75" customHeight="1" x14ac:dyDescent="0.3">
      <c r="D457" s="70"/>
    </row>
    <row r="458" spans="4:4" ht="15.75" customHeight="1" x14ac:dyDescent="0.3">
      <c r="D458" s="70"/>
    </row>
    <row r="459" spans="4:4" ht="15.75" customHeight="1" x14ac:dyDescent="0.3">
      <c r="D459" s="70"/>
    </row>
    <row r="460" spans="4:4" ht="15.75" customHeight="1" x14ac:dyDescent="0.3">
      <c r="D460" s="70"/>
    </row>
    <row r="461" spans="4:4" ht="15.75" customHeight="1" x14ac:dyDescent="0.3">
      <c r="D461" s="70"/>
    </row>
    <row r="462" spans="4:4" ht="15.75" customHeight="1" x14ac:dyDescent="0.3">
      <c r="D462" s="70"/>
    </row>
    <row r="463" spans="4:4" ht="15.75" customHeight="1" x14ac:dyDescent="0.3">
      <c r="D463" s="70"/>
    </row>
    <row r="464" spans="4:4" ht="15.75" customHeight="1" x14ac:dyDescent="0.3">
      <c r="D464" s="70"/>
    </row>
    <row r="465" spans="4:4" ht="15.75" customHeight="1" x14ac:dyDescent="0.3">
      <c r="D465" s="70"/>
    </row>
    <row r="466" spans="4:4" ht="15.75" customHeight="1" x14ac:dyDescent="0.3">
      <c r="D466" s="70"/>
    </row>
    <row r="467" spans="4:4" ht="15.75" customHeight="1" x14ac:dyDescent="0.3">
      <c r="D467" s="70"/>
    </row>
    <row r="468" spans="4:4" ht="15.75" customHeight="1" x14ac:dyDescent="0.3">
      <c r="D468" s="70"/>
    </row>
    <row r="469" spans="4:4" ht="15.75" customHeight="1" x14ac:dyDescent="0.3">
      <c r="D469" s="70"/>
    </row>
    <row r="470" spans="4:4" ht="15.75" customHeight="1" x14ac:dyDescent="0.3">
      <c r="D470" s="70"/>
    </row>
    <row r="471" spans="4:4" ht="15.75" customHeight="1" x14ac:dyDescent="0.3">
      <c r="D471" s="70"/>
    </row>
    <row r="472" spans="4:4" ht="15.75" customHeight="1" x14ac:dyDescent="0.3">
      <c r="D472" s="70"/>
    </row>
    <row r="473" spans="4:4" ht="15.75" customHeight="1" x14ac:dyDescent="0.3">
      <c r="D473" s="70"/>
    </row>
    <row r="474" spans="4:4" ht="15.75" customHeight="1" x14ac:dyDescent="0.3">
      <c r="D474" s="70"/>
    </row>
    <row r="475" spans="4:4" ht="15.75" customHeight="1" x14ac:dyDescent="0.3">
      <c r="D475" s="70"/>
    </row>
    <row r="476" spans="4:4" ht="15.75" customHeight="1" x14ac:dyDescent="0.3">
      <c r="D476" s="70"/>
    </row>
    <row r="477" spans="4:4" ht="15.75" customHeight="1" x14ac:dyDescent="0.3">
      <c r="D477" s="70"/>
    </row>
    <row r="478" spans="4:4" ht="15.75" customHeight="1" x14ac:dyDescent="0.3">
      <c r="D478" s="70"/>
    </row>
    <row r="479" spans="4:4" ht="15.75" customHeight="1" x14ac:dyDescent="0.3">
      <c r="D479" s="70"/>
    </row>
    <row r="480" spans="4:4" ht="15.75" customHeight="1" x14ac:dyDescent="0.3">
      <c r="D480" s="70"/>
    </row>
    <row r="481" spans="4:4" ht="15.75" customHeight="1" x14ac:dyDescent="0.3">
      <c r="D481" s="70"/>
    </row>
    <row r="482" spans="4:4" ht="15.75" customHeight="1" x14ac:dyDescent="0.3">
      <c r="D482" s="70"/>
    </row>
    <row r="483" spans="4:4" ht="15.75" customHeight="1" x14ac:dyDescent="0.3">
      <c r="D483" s="70"/>
    </row>
    <row r="484" spans="4:4" ht="15.75" customHeight="1" x14ac:dyDescent="0.3">
      <c r="D484" s="70"/>
    </row>
    <row r="485" spans="4:4" ht="15.75" customHeight="1" x14ac:dyDescent="0.3">
      <c r="D485" s="70"/>
    </row>
    <row r="486" spans="4:4" ht="15.75" customHeight="1" x14ac:dyDescent="0.3">
      <c r="D486" s="70"/>
    </row>
    <row r="487" spans="4:4" ht="15.75" customHeight="1" x14ac:dyDescent="0.3">
      <c r="D487" s="70"/>
    </row>
    <row r="488" spans="4:4" ht="15.75" customHeight="1" x14ac:dyDescent="0.3">
      <c r="D488" s="70"/>
    </row>
    <row r="489" spans="4:4" ht="15.75" customHeight="1" x14ac:dyDescent="0.3">
      <c r="D489" s="70"/>
    </row>
    <row r="490" spans="4:4" ht="15.75" customHeight="1" x14ac:dyDescent="0.3">
      <c r="D490" s="70"/>
    </row>
    <row r="491" spans="4:4" ht="15.75" customHeight="1" x14ac:dyDescent="0.3">
      <c r="D491" s="70"/>
    </row>
    <row r="492" spans="4:4" ht="15.75" customHeight="1" x14ac:dyDescent="0.3">
      <c r="D492" s="70"/>
    </row>
    <row r="493" spans="4:4" ht="15.75" customHeight="1" x14ac:dyDescent="0.3">
      <c r="D493" s="70"/>
    </row>
    <row r="494" spans="4:4" ht="15.75" customHeight="1" x14ac:dyDescent="0.3">
      <c r="D494" s="70"/>
    </row>
    <row r="495" spans="4:4" ht="15.75" customHeight="1" x14ac:dyDescent="0.3">
      <c r="D495" s="70"/>
    </row>
    <row r="496" spans="4:4" ht="15.75" customHeight="1" x14ac:dyDescent="0.3">
      <c r="D496" s="70"/>
    </row>
    <row r="497" spans="4:4" ht="15.75" customHeight="1" x14ac:dyDescent="0.3">
      <c r="D497" s="70"/>
    </row>
    <row r="498" spans="4:4" ht="15.75" customHeight="1" x14ac:dyDescent="0.3">
      <c r="D498" s="70"/>
    </row>
    <row r="499" spans="4:4" ht="15.75" customHeight="1" x14ac:dyDescent="0.3">
      <c r="D499" s="70"/>
    </row>
    <row r="500" spans="4:4" ht="15.75" customHeight="1" x14ac:dyDescent="0.3">
      <c r="D500" s="70"/>
    </row>
    <row r="501" spans="4:4" ht="15.75" customHeight="1" x14ac:dyDescent="0.3">
      <c r="D501" s="70"/>
    </row>
    <row r="502" spans="4:4" ht="15.75" customHeight="1" x14ac:dyDescent="0.3">
      <c r="D502" s="70"/>
    </row>
    <row r="503" spans="4:4" ht="15.75" customHeight="1" x14ac:dyDescent="0.3">
      <c r="D503" s="70"/>
    </row>
    <row r="504" spans="4:4" ht="15.75" customHeight="1" x14ac:dyDescent="0.3">
      <c r="D504" s="70"/>
    </row>
    <row r="505" spans="4:4" ht="15.75" customHeight="1" x14ac:dyDescent="0.3">
      <c r="D505" s="70"/>
    </row>
    <row r="506" spans="4:4" ht="15.75" customHeight="1" x14ac:dyDescent="0.3">
      <c r="D506" s="70"/>
    </row>
    <row r="507" spans="4:4" ht="15.75" customHeight="1" x14ac:dyDescent="0.3">
      <c r="D507" s="70"/>
    </row>
    <row r="508" spans="4:4" ht="15.75" customHeight="1" x14ac:dyDescent="0.3">
      <c r="D508" s="70"/>
    </row>
    <row r="509" spans="4:4" ht="15.75" customHeight="1" x14ac:dyDescent="0.3">
      <c r="D509" s="70"/>
    </row>
    <row r="510" spans="4:4" ht="15.75" customHeight="1" x14ac:dyDescent="0.3">
      <c r="D510" s="70"/>
    </row>
    <row r="511" spans="4:4" ht="15.75" customHeight="1" x14ac:dyDescent="0.3">
      <c r="D511" s="70"/>
    </row>
    <row r="512" spans="4:4" ht="15.75" customHeight="1" x14ac:dyDescent="0.3">
      <c r="D512" s="70"/>
    </row>
    <row r="513" spans="4:4" ht="15.75" customHeight="1" x14ac:dyDescent="0.3">
      <c r="D513" s="70"/>
    </row>
    <row r="514" spans="4:4" ht="15.75" customHeight="1" x14ac:dyDescent="0.3">
      <c r="D514" s="70"/>
    </row>
    <row r="515" spans="4:4" ht="15.75" customHeight="1" x14ac:dyDescent="0.3">
      <c r="D515" s="70"/>
    </row>
    <row r="516" spans="4:4" ht="15.75" customHeight="1" x14ac:dyDescent="0.3">
      <c r="D516" s="70"/>
    </row>
    <row r="517" spans="4:4" ht="15.75" customHeight="1" x14ac:dyDescent="0.3">
      <c r="D517" s="70"/>
    </row>
    <row r="518" spans="4:4" ht="15.75" customHeight="1" x14ac:dyDescent="0.3">
      <c r="D518" s="70"/>
    </row>
    <row r="519" spans="4:4" ht="15.75" customHeight="1" x14ac:dyDescent="0.3">
      <c r="D519" s="70"/>
    </row>
    <row r="520" spans="4:4" ht="15.75" customHeight="1" x14ac:dyDescent="0.3">
      <c r="D520" s="70"/>
    </row>
    <row r="521" spans="4:4" ht="15.75" customHeight="1" x14ac:dyDescent="0.3">
      <c r="D521" s="70"/>
    </row>
    <row r="522" spans="4:4" ht="15.75" customHeight="1" x14ac:dyDescent="0.3">
      <c r="D522" s="70"/>
    </row>
    <row r="523" spans="4:4" ht="15.75" customHeight="1" x14ac:dyDescent="0.3">
      <c r="D523" s="70"/>
    </row>
    <row r="524" spans="4:4" ht="15.75" customHeight="1" x14ac:dyDescent="0.3">
      <c r="D524" s="70"/>
    </row>
    <row r="525" spans="4:4" ht="15.75" customHeight="1" x14ac:dyDescent="0.3">
      <c r="D525" s="70"/>
    </row>
    <row r="526" spans="4:4" ht="15.75" customHeight="1" x14ac:dyDescent="0.3">
      <c r="D526" s="70"/>
    </row>
    <row r="527" spans="4:4" ht="15.75" customHeight="1" x14ac:dyDescent="0.3">
      <c r="D527" s="70"/>
    </row>
    <row r="528" spans="4:4" ht="15.75" customHeight="1" x14ac:dyDescent="0.3">
      <c r="D528" s="70"/>
    </row>
    <row r="529" spans="4:4" ht="15.75" customHeight="1" x14ac:dyDescent="0.3">
      <c r="D529" s="70"/>
    </row>
    <row r="530" spans="4:4" ht="15.75" customHeight="1" x14ac:dyDescent="0.3">
      <c r="D530" s="70"/>
    </row>
    <row r="531" spans="4:4" ht="15.75" customHeight="1" x14ac:dyDescent="0.3">
      <c r="D531" s="70"/>
    </row>
    <row r="532" spans="4:4" ht="15.75" customHeight="1" x14ac:dyDescent="0.3">
      <c r="D532" s="70"/>
    </row>
    <row r="533" spans="4:4" ht="15.75" customHeight="1" x14ac:dyDescent="0.3">
      <c r="D533" s="70"/>
    </row>
    <row r="534" spans="4:4" ht="15.75" customHeight="1" x14ac:dyDescent="0.3">
      <c r="D534" s="70"/>
    </row>
    <row r="535" spans="4:4" ht="15.75" customHeight="1" x14ac:dyDescent="0.3">
      <c r="D535" s="70"/>
    </row>
    <row r="536" spans="4:4" ht="15.75" customHeight="1" x14ac:dyDescent="0.3">
      <c r="D536" s="70"/>
    </row>
    <row r="537" spans="4:4" ht="15.75" customHeight="1" x14ac:dyDescent="0.3">
      <c r="D537" s="70"/>
    </row>
    <row r="538" spans="4:4" ht="15.75" customHeight="1" x14ac:dyDescent="0.3">
      <c r="D538" s="70"/>
    </row>
    <row r="539" spans="4:4" ht="15.75" customHeight="1" x14ac:dyDescent="0.3">
      <c r="D539" s="70"/>
    </row>
    <row r="540" spans="4:4" ht="15.75" customHeight="1" x14ac:dyDescent="0.3">
      <c r="D540" s="70"/>
    </row>
    <row r="541" spans="4:4" ht="15.75" customHeight="1" x14ac:dyDescent="0.3">
      <c r="D541" s="70"/>
    </row>
    <row r="542" spans="4:4" ht="15.75" customHeight="1" x14ac:dyDescent="0.3">
      <c r="D542" s="70"/>
    </row>
    <row r="543" spans="4:4" ht="15.75" customHeight="1" x14ac:dyDescent="0.3">
      <c r="D543" s="70"/>
    </row>
    <row r="544" spans="4:4" ht="15.75" customHeight="1" x14ac:dyDescent="0.3">
      <c r="D544" s="70"/>
    </row>
    <row r="545" spans="4:4" ht="15.75" customHeight="1" x14ac:dyDescent="0.3">
      <c r="D545" s="70"/>
    </row>
    <row r="546" spans="4:4" ht="15.75" customHeight="1" x14ac:dyDescent="0.3">
      <c r="D546" s="70"/>
    </row>
    <row r="547" spans="4:4" ht="15.75" customHeight="1" x14ac:dyDescent="0.3">
      <c r="D547" s="70"/>
    </row>
    <row r="548" spans="4:4" ht="15.75" customHeight="1" x14ac:dyDescent="0.3">
      <c r="D548" s="70"/>
    </row>
    <row r="549" spans="4:4" ht="15.75" customHeight="1" x14ac:dyDescent="0.3">
      <c r="D549" s="70"/>
    </row>
    <row r="550" spans="4:4" ht="15.75" customHeight="1" x14ac:dyDescent="0.3">
      <c r="D550" s="70"/>
    </row>
    <row r="551" spans="4:4" ht="15.75" customHeight="1" x14ac:dyDescent="0.3">
      <c r="D551" s="70"/>
    </row>
    <row r="552" spans="4:4" ht="15.75" customHeight="1" x14ac:dyDescent="0.3">
      <c r="D552" s="70"/>
    </row>
    <row r="553" spans="4:4" ht="15.75" customHeight="1" x14ac:dyDescent="0.3">
      <c r="D553" s="70"/>
    </row>
    <row r="554" spans="4:4" ht="15.75" customHeight="1" x14ac:dyDescent="0.3">
      <c r="D554" s="70"/>
    </row>
    <row r="555" spans="4:4" ht="15.75" customHeight="1" x14ac:dyDescent="0.3">
      <c r="D555" s="70"/>
    </row>
    <row r="556" spans="4:4" ht="15.75" customHeight="1" x14ac:dyDescent="0.3">
      <c r="D556" s="70"/>
    </row>
    <row r="557" spans="4:4" ht="15.75" customHeight="1" x14ac:dyDescent="0.3">
      <c r="D557" s="70"/>
    </row>
    <row r="558" spans="4:4" ht="15.75" customHeight="1" x14ac:dyDescent="0.3">
      <c r="D558" s="70"/>
    </row>
    <row r="559" spans="4:4" ht="15.75" customHeight="1" x14ac:dyDescent="0.3">
      <c r="D559" s="70"/>
    </row>
    <row r="560" spans="4:4" ht="15.75" customHeight="1" x14ac:dyDescent="0.3">
      <c r="D560" s="70"/>
    </row>
    <row r="561" spans="4:4" ht="15.75" customHeight="1" x14ac:dyDescent="0.3">
      <c r="D561" s="70"/>
    </row>
    <row r="562" spans="4:4" ht="15.75" customHeight="1" x14ac:dyDescent="0.3">
      <c r="D562" s="70"/>
    </row>
    <row r="563" spans="4:4" ht="15.75" customHeight="1" x14ac:dyDescent="0.3">
      <c r="D563" s="70"/>
    </row>
    <row r="564" spans="4:4" ht="15.75" customHeight="1" x14ac:dyDescent="0.3">
      <c r="D564" s="70"/>
    </row>
    <row r="565" spans="4:4" ht="15.75" customHeight="1" x14ac:dyDescent="0.3">
      <c r="D565" s="70"/>
    </row>
    <row r="566" spans="4:4" ht="15.75" customHeight="1" x14ac:dyDescent="0.3">
      <c r="D566" s="70"/>
    </row>
    <row r="567" spans="4:4" ht="15.75" customHeight="1" x14ac:dyDescent="0.3">
      <c r="D567" s="70"/>
    </row>
    <row r="568" spans="4:4" ht="15.75" customHeight="1" x14ac:dyDescent="0.3">
      <c r="D568" s="70"/>
    </row>
    <row r="569" spans="4:4" ht="15.75" customHeight="1" x14ac:dyDescent="0.3">
      <c r="D569" s="70"/>
    </row>
    <row r="570" spans="4:4" ht="15.75" customHeight="1" x14ac:dyDescent="0.3">
      <c r="D570" s="70"/>
    </row>
    <row r="571" spans="4:4" ht="15.75" customHeight="1" x14ac:dyDescent="0.3">
      <c r="D571" s="70"/>
    </row>
    <row r="572" spans="4:4" ht="15.75" customHeight="1" x14ac:dyDescent="0.3">
      <c r="D572" s="70"/>
    </row>
    <row r="573" spans="4:4" ht="15.75" customHeight="1" x14ac:dyDescent="0.3">
      <c r="D573" s="70"/>
    </row>
    <row r="574" spans="4:4" ht="15.75" customHeight="1" x14ac:dyDescent="0.3">
      <c r="D574" s="70"/>
    </row>
    <row r="575" spans="4:4" ht="15.75" customHeight="1" x14ac:dyDescent="0.3">
      <c r="D575" s="70"/>
    </row>
    <row r="576" spans="4:4" ht="15.75" customHeight="1" x14ac:dyDescent="0.3">
      <c r="D576" s="70"/>
    </row>
    <row r="577" spans="4:4" ht="15.75" customHeight="1" x14ac:dyDescent="0.3">
      <c r="D577" s="70"/>
    </row>
    <row r="578" spans="4:4" ht="15.75" customHeight="1" x14ac:dyDescent="0.3">
      <c r="D578" s="70"/>
    </row>
    <row r="579" spans="4:4" ht="15.75" customHeight="1" x14ac:dyDescent="0.3">
      <c r="D579" s="70"/>
    </row>
    <row r="580" spans="4:4" ht="15.75" customHeight="1" x14ac:dyDescent="0.3">
      <c r="D580" s="70"/>
    </row>
    <row r="581" spans="4:4" ht="15.75" customHeight="1" x14ac:dyDescent="0.3">
      <c r="D581" s="70"/>
    </row>
    <row r="582" spans="4:4" ht="15.75" customHeight="1" x14ac:dyDescent="0.3">
      <c r="D582" s="70"/>
    </row>
    <row r="583" spans="4:4" ht="15.75" customHeight="1" x14ac:dyDescent="0.3">
      <c r="D583" s="70"/>
    </row>
    <row r="584" spans="4:4" ht="15.75" customHeight="1" x14ac:dyDescent="0.3">
      <c r="D584" s="70"/>
    </row>
    <row r="585" spans="4:4" ht="15.75" customHeight="1" x14ac:dyDescent="0.3">
      <c r="D585" s="70"/>
    </row>
    <row r="586" spans="4:4" ht="15.75" customHeight="1" x14ac:dyDescent="0.3">
      <c r="D586" s="70"/>
    </row>
    <row r="587" spans="4:4" ht="15.75" customHeight="1" x14ac:dyDescent="0.3">
      <c r="D587" s="70"/>
    </row>
    <row r="588" spans="4:4" ht="15.75" customHeight="1" x14ac:dyDescent="0.3">
      <c r="D588" s="70"/>
    </row>
    <row r="589" spans="4:4" ht="15.75" customHeight="1" x14ac:dyDescent="0.3">
      <c r="D589" s="70"/>
    </row>
    <row r="590" spans="4:4" ht="15.75" customHeight="1" x14ac:dyDescent="0.3">
      <c r="D590" s="70"/>
    </row>
    <row r="591" spans="4:4" ht="15.75" customHeight="1" x14ac:dyDescent="0.3">
      <c r="D591" s="70"/>
    </row>
    <row r="592" spans="4:4" ht="15.75" customHeight="1" x14ac:dyDescent="0.3">
      <c r="D592" s="70"/>
    </row>
    <row r="593" spans="4:4" ht="15.75" customHeight="1" x14ac:dyDescent="0.3">
      <c r="D593" s="70"/>
    </row>
    <row r="594" spans="4:4" ht="15.75" customHeight="1" x14ac:dyDescent="0.3">
      <c r="D594" s="70"/>
    </row>
    <row r="595" spans="4:4" ht="15.75" customHeight="1" x14ac:dyDescent="0.3">
      <c r="D595" s="70"/>
    </row>
    <row r="596" spans="4:4" ht="15.75" customHeight="1" x14ac:dyDescent="0.3">
      <c r="D596" s="70"/>
    </row>
    <row r="597" spans="4:4" ht="15.75" customHeight="1" x14ac:dyDescent="0.3">
      <c r="D597" s="70"/>
    </row>
    <row r="598" spans="4:4" ht="15.75" customHeight="1" x14ac:dyDescent="0.3">
      <c r="D598" s="70"/>
    </row>
    <row r="599" spans="4:4" ht="15.75" customHeight="1" x14ac:dyDescent="0.3">
      <c r="D599" s="70"/>
    </row>
    <row r="600" spans="4:4" ht="15.75" customHeight="1" x14ac:dyDescent="0.3">
      <c r="D600" s="70"/>
    </row>
    <row r="601" spans="4:4" ht="15.75" customHeight="1" x14ac:dyDescent="0.3">
      <c r="D601" s="70"/>
    </row>
    <row r="602" spans="4:4" ht="15.75" customHeight="1" x14ac:dyDescent="0.3">
      <c r="D602" s="70"/>
    </row>
    <row r="603" spans="4:4" ht="15.75" customHeight="1" x14ac:dyDescent="0.3">
      <c r="D603" s="70"/>
    </row>
    <row r="604" spans="4:4" ht="15.75" customHeight="1" x14ac:dyDescent="0.3">
      <c r="D604" s="70"/>
    </row>
    <row r="605" spans="4:4" ht="15.75" customHeight="1" x14ac:dyDescent="0.3">
      <c r="D605" s="70"/>
    </row>
    <row r="606" spans="4:4" ht="15.75" customHeight="1" x14ac:dyDescent="0.3">
      <c r="D606" s="70"/>
    </row>
    <row r="607" spans="4:4" ht="15.75" customHeight="1" x14ac:dyDescent="0.3">
      <c r="D607" s="70"/>
    </row>
    <row r="608" spans="4:4" ht="15.75" customHeight="1" x14ac:dyDescent="0.3">
      <c r="D608" s="70"/>
    </row>
    <row r="609" spans="4:4" ht="15.75" customHeight="1" x14ac:dyDescent="0.3">
      <c r="D609" s="70"/>
    </row>
    <row r="610" spans="4:4" ht="15.75" customHeight="1" x14ac:dyDescent="0.3">
      <c r="D610" s="70"/>
    </row>
    <row r="611" spans="4:4" ht="15.75" customHeight="1" x14ac:dyDescent="0.3">
      <c r="D611" s="70"/>
    </row>
    <row r="612" spans="4:4" ht="15.75" customHeight="1" x14ac:dyDescent="0.3">
      <c r="D612" s="70"/>
    </row>
    <row r="613" spans="4:4" ht="15.75" customHeight="1" x14ac:dyDescent="0.3">
      <c r="D613" s="70"/>
    </row>
    <row r="614" spans="4:4" ht="15.75" customHeight="1" x14ac:dyDescent="0.3">
      <c r="D614" s="70"/>
    </row>
    <row r="615" spans="4:4" ht="15.75" customHeight="1" x14ac:dyDescent="0.3">
      <c r="D615" s="70"/>
    </row>
    <row r="616" spans="4:4" ht="15.75" customHeight="1" x14ac:dyDescent="0.3">
      <c r="D616" s="70"/>
    </row>
    <row r="617" spans="4:4" ht="15.75" customHeight="1" x14ac:dyDescent="0.3">
      <c r="D617" s="70"/>
    </row>
    <row r="618" spans="4:4" ht="15.75" customHeight="1" x14ac:dyDescent="0.3">
      <c r="D618" s="70"/>
    </row>
    <row r="619" spans="4:4" ht="15.75" customHeight="1" x14ac:dyDescent="0.3">
      <c r="D619" s="70"/>
    </row>
    <row r="620" spans="4:4" ht="15.75" customHeight="1" x14ac:dyDescent="0.3">
      <c r="D620" s="70"/>
    </row>
    <row r="621" spans="4:4" ht="15.75" customHeight="1" x14ac:dyDescent="0.3">
      <c r="D621" s="70"/>
    </row>
    <row r="622" spans="4:4" ht="15.75" customHeight="1" x14ac:dyDescent="0.3">
      <c r="D622" s="70"/>
    </row>
    <row r="623" spans="4:4" ht="15.75" customHeight="1" x14ac:dyDescent="0.3">
      <c r="D623" s="70"/>
    </row>
    <row r="624" spans="4:4" ht="15.75" customHeight="1" x14ac:dyDescent="0.3">
      <c r="D624" s="70"/>
    </row>
    <row r="625" spans="4:4" ht="15.75" customHeight="1" x14ac:dyDescent="0.3">
      <c r="D625" s="70"/>
    </row>
    <row r="626" spans="4:4" ht="15.75" customHeight="1" x14ac:dyDescent="0.3">
      <c r="D626" s="70"/>
    </row>
    <row r="627" spans="4:4" ht="15.75" customHeight="1" x14ac:dyDescent="0.3">
      <c r="D627" s="70"/>
    </row>
    <row r="628" spans="4:4" ht="15.75" customHeight="1" x14ac:dyDescent="0.3">
      <c r="D628" s="70"/>
    </row>
    <row r="629" spans="4:4" ht="15.75" customHeight="1" x14ac:dyDescent="0.3">
      <c r="D629" s="70"/>
    </row>
    <row r="630" spans="4:4" ht="15.75" customHeight="1" x14ac:dyDescent="0.3">
      <c r="D630" s="70"/>
    </row>
    <row r="631" spans="4:4" ht="15.75" customHeight="1" x14ac:dyDescent="0.3">
      <c r="D631" s="70"/>
    </row>
    <row r="632" spans="4:4" ht="15.75" customHeight="1" x14ac:dyDescent="0.3">
      <c r="D632" s="70"/>
    </row>
    <row r="633" spans="4:4" ht="15.75" customHeight="1" x14ac:dyDescent="0.3">
      <c r="D633" s="70"/>
    </row>
    <row r="634" spans="4:4" ht="15.75" customHeight="1" x14ac:dyDescent="0.3">
      <c r="D634" s="70"/>
    </row>
    <row r="635" spans="4:4" ht="15.75" customHeight="1" x14ac:dyDescent="0.3">
      <c r="D635" s="70"/>
    </row>
    <row r="636" spans="4:4" ht="15.75" customHeight="1" x14ac:dyDescent="0.3">
      <c r="D636" s="70"/>
    </row>
    <row r="637" spans="4:4" ht="15.75" customHeight="1" x14ac:dyDescent="0.3">
      <c r="D637" s="70"/>
    </row>
    <row r="638" spans="4:4" ht="15.75" customHeight="1" x14ac:dyDescent="0.3">
      <c r="D638" s="70"/>
    </row>
    <row r="639" spans="4:4" ht="15.75" customHeight="1" x14ac:dyDescent="0.3">
      <c r="D639" s="70"/>
    </row>
    <row r="640" spans="4:4" ht="15.75" customHeight="1" x14ac:dyDescent="0.3">
      <c r="D640" s="70"/>
    </row>
    <row r="641" spans="4:4" ht="15.75" customHeight="1" x14ac:dyDescent="0.3">
      <c r="D641" s="70"/>
    </row>
    <row r="642" spans="4:4" ht="15.75" customHeight="1" x14ac:dyDescent="0.3">
      <c r="D642" s="70"/>
    </row>
    <row r="643" spans="4:4" ht="15.75" customHeight="1" x14ac:dyDescent="0.3">
      <c r="D643" s="70"/>
    </row>
    <row r="644" spans="4:4" ht="15.75" customHeight="1" x14ac:dyDescent="0.3">
      <c r="D644" s="70"/>
    </row>
    <row r="645" spans="4:4" ht="15.75" customHeight="1" x14ac:dyDescent="0.3">
      <c r="D645" s="70"/>
    </row>
    <row r="646" spans="4:4" ht="15.75" customHeight="1" x14ac:dyDescent="0.3">
      <c r="D646" s="70"/>
    </row>
    <row r="647" spans="4:4" ht="15.75" customHeight="1" x14ac:dyDescent="0.3">
      <c r="D647" s="70"/>
    </row>
    <row r="648" spans="4:4" ht="15.75" customHeight="1" x14ac:dyDescent="0.3">
      <c r="D648" s="70"/>
    </row>
    <row r="649" spans="4:4" ht="15.75" customHeight="1" x14ac:dyDescent="0.3">
      <c r="D649" s="70"/>
    </row>
    <row r="650" spans="4:4" ht="15.75" customHeight="1" x14ac:dyDescent="0.3">
      <c r="D650" s="70"/>
    </row>
    <row r="651" spans="4:4" ht="15.75" customHeight="1" x14ac:dyDescent="0.3">
      <c r="D651" s="70"/>
    </row>
    <row r="652" spans="4:4" ht="15.75" customHeight="1" x14ac:dyDescent="0.3">
      <c r="D652" s="70"/>
    </row>
    <row r="653" spans="4:4" ht="15.75" customHeight="1" x14ac:dyDescent="0.3">
      <c r="D653" s="70"/>
    </row>
    <row r="654" spans="4:4" ht="15.75" customHeight="1" x14ac:dyDescent="0.3">
      <c r="D654" s="70"/>
    </row>
    <row r="655" spans="4:4" ht="15.75" customHeight="1" x14ac:dyDescent="0.3">
      <c r="D655" s="70"/>
    </row>
    <row r="656" spans="4:4" ht="15.75" customHeight="1" x14ac:dyDescent="0.3">
      <c r="D656" s="70"/>
    </row>
    <row r="657" spans="4:4" ht="15.75" customHeight="1" x14ac:dyDescent="0.3">
      <c r="D657" s="70"/>
    </row>
    <row r="658" spans="4:4" ht="15.75" customHeight="1" x14ac:dyDescent="0.3">
      <c r="D658" s="70"/>
    </row>
    <row r="659" spans="4:4" ht="15.75" customHeight="1" x14ac:dyDescent="0.3">
      <c r="D659" s="70"/>
    </row>
    <row r="660" spans="4:4" ht="15.75" customHeight="1" x14ac:dyDescent="0.3">
      <c r="D660" s="70"/>
    </row>
    <row r="661" spans="4:4" ht="15.75" customHeight="1" x14ac:dyDescent="0.3">
      <c r="D661" s="70"/>
    </row>
    <row r="662" spans="4:4" ht="15.75" customHeight="1" x14ac:dyDescent="0.3">
      <c r="D662" s="70"/>
    </row>
    <row r="663" spans="4:4" ht="15.75" customHeight="1" x14ac:dyDescent="0.3">
      <c r="D663" s="70"/>
    </row>
    <row r="664" spans="4:4" ht="15.75" customHeight="1" x14ac:dyDescent="0.3">
      <c r="D664" s="70"/>
    </row>
    <row r="665" spans="4:4" ht="15.75" customHeight="1" x14ac:dyDescent="0.3">
      <c r="D665" s="70"/>
    </row>
    <row r="666" spans="4:4" ht="15.75" customHeight="1" x14ac:dyDescent="0.3">
      <c r="D666" s="70"/>
    </row>
    <row r="667" spans="4:4" ht="15.75" customHeight="1" x14ac:dyDescent="0.3">
      <c r="D667" s="70"/>
    </row>
    <row r="668" spans="4:4" ht="15.75" customHeight="1" x14ac:dyDescent="0.3">
      <c r="D668" s="70"/>
    </row>
    <row r="669" spans="4:4" ht="15.75" customHeight="1" x14ac:dyDescent="0.3">
      <c r="D669" s="70"/>
    </row>
    <row r="670" spans="4:4" ht="15.75" customHeight="1" x14ac:dyDescent="0.3">
      <c r="D670" s="70"/>
    </row>
    <row r="671" spans="4:4" ht="15.75" customHeight="1" x14ac:dyDescent="0.3">
      <c r="D671" s="70"/>
    </row>
    <row r="672" spans="4:4" ht="15.75" customHeight="1" x14ac:dyDescent="0.3">
      <c r="D672" s="70"/>
    </row>
    <row r="673" spans="4:4" ht="15.75" customHeight="1" x14ac:dyDescent="0.3">
      <c r="D673" s="70"/>
    </row>
    <row r="674" spans="4:4" ht="15.75" customHeight="1" x14ac:dyDescent="0.3">
      <c r="D674" s="70"/>
    </row>
    <row r="675" spans="4:4" ht="15.75" customHeight="1" x14ac:dyDescent="0.3">
      <c r="D675" s="70"/>
    </row>
    <row r="676" spans="4:4" ht="15.75" customHeight="1" x14ac:dyDescent="0.3">
      <c r="D676" s="70"/>
    </row>
    <row r="677" spans="4:4" ht="15.75" customHeight="1" x14ac:dyDescent="0.3">
      <c r="D677" s="70"/>
    </row>
    <row r="678" spans="4:4" ht="15.75" customHeight="1" x14ac:dyDescent="0.3">
      <c r="D678" s="70"/>
    </row>
    <row r="679" spans="4:4" ht="15.75" customHeight="1" x14ac:dyDescent="0.3">
      <c r="D679" s="70"/>
    </row>
    <row r="680" spans="4:4" ht="15.75" customHeight="1" x14ac:dyDescent="0.3">
      <c r="D680" s="70"/>
    </row>
    <row r="681" spans="4:4" ht="15.75" customHeight="1" x14ac:dyDescent="0.3">
      <c r="D681" s="70"/>
    </row>
    <row r="682" spans="4:4" ht="15.75" customHeight="1" x14ac:dyDescent="0.3">
      <c r="D682" s="70"/>
    </row>
    <row r="683" spans="4:4" ht="15.75" customHeight="1" x14ac:dyDescent="0.3">
      <c r="D683" s="70"/>
    </row>
    <row r="684" spans="4:4" ht="15.75" customHeight="1" x14ac:dyDescent="0.3">
      <c r="D684" s="70"/>
    </row>
    <row r="685" spans="4:4" ht="15.75" customHeight="1" x14ac:dyDescent="0.3">
      <c r="D685" s="70"/>
    </row>
    <row r="686" spans="4:4" ht="15.75" customHeight="1" x14ac:dyDescent="0.3">
      <c r="D686" s="70"/>
    </row>
    <row r="687" spans="4:4" ht="15.75" customHeight="1" x14ac:dyDescent="0.3">
      <c r="D687" s="70"/>
    </row>
    <row r="688" spans="4:4" ht="15.75" customHeight="1" x14ac:dyDescent="0.3">
      <c r="D688" s="70"/>
    </row>
    <row r="689" spans="4:4" ht="15.75" customHeight="1" x14ac:dyDescent="0.3">
      <c r="D689" s="70"/>
    </row>
    <row r="690" spans="4:4" ht="15.75" customHeight="1" x14ac:dyDescent="0.3">
      <c r="D690" s="70"/>
    </row>
    <row r="691" spans="4:4" ht="15.75" customHeight="1" x14ac:dyDescent="0.3">
      <c r="D691" s="70"/>
    </row>
    <row r="692" spans="4:4" ht="15.75" customHeight="1" x14ac:dyDescent="0.3">
      <c r="D692" s="70"/>
    </row>
    <row r="693" spans="4:4" ht="15.75" customHeight="1" x14ac:dyDescent="0.3">
      <c r="D693" s="70"/>
    </row>
    <row r="694" spans="4:4" ht="15.75" customHeight="1" x14ac:dyDescent="0.3">
      <c r="D694" s="70"/>
    </row>
    <row r="695" spans="4:4" ht="15.75" customHeight="1" x14ac:dyDescent="0.3">
      <c r="D695" s="70"/>
    </row>
    <row r="696" spans="4:4" ht="15.75" customHeight="1" x14ac:dyDescent="0.3">
      <c r="D696" s="70"/>
    </row>
    <row r="697" spans="4:4" ht="15.75" customHeight="1" x14ac:dyDescent="0.3">
      <c r="D697" s="70"/>
    </row>
    <row r="698" spans="4:4" ht="15.75" customHeight="1" x14ac:dyDescent="0.3">
      <c r="D698" s="70"/>
    </row>
    <row r="699" spans="4:4" ht="15.75" customHeight="1" x14ac:dyDescent="0.3">
      <c r="D699" s="70"/>
    </row>
    <row r="700" spans="4:4" ht="15.75" customHeight="1" x14ac:dyDescent="0.3">
      <c r="D700" s="70"/>
    </row>
    <row r="701" spans="4:4" ht="15.75" customHeight="1" x14ac:dyDescent="0.3">
      <c r="D701" s="70"/>
    </row>
    <row r="702" spans="4:4" ht="15.75" customHeight="1" x14ac:dyDescent="0.3">
      <c r="D702" s="70"/>
    </row>
    <row r="703" spans="4:4" ht="15.75" customHeight="1" x14ac:dyDescent="0.3">
      <c r="D703" s="70"/>
    </row>
    <row r="704" spans="4:4" ht="15.75" customHeight="1" x14ac:dyDescent="0.3">
      <c r="D704" s="70"/>
    </row>
    <row r="705" spans="4:4" ht="15.75" customHeight="1" x14ac:dyDescent="0.3">
      <c r="D705" s="70"/>
    </row>
    <row r="706" spans="4:4" ht="15.75" customHeight="1" x14ac:dyDescent="0.3">
      <c r="D706" s="70"/>
    </row>
    <row r="707" spans="4:4" ht="15.75" customHeight="1" x14ac:dyDescent="0.3">
      <c r="D707" s="70"/>
    </row>
    <row r="708" spans="4:4" ht="15.75" customHeight="1" x14ac:dyDescent="0.3">
      <c r="D708" s="70"/>
    </row>
    <row r="709" spans="4:4" ht="15.75" customHeight="1" x14ac:dyDescent="0.3">
      <c r="D709" s="70"/>
    </row>
    <row r="710" spans="4:4" ht="15.75" customHeight="1" x14ac:dyDescent="0.3">
      <c r="D710" s="70"/>
    </row>
    <row r="711" spans="4:4" ht="15.75" customHeight="1" x14ac:dyDescent="0.3">
      <c r="D711" s="70"/>
    </row>
    <row r="712" spans="4:4" ht="15.75" customHeight="1" x14ac:dyDescent="0.3">
      <c r="D712" s="70"/>
    </row>
    <row r="713" spans="4:4" ht="15.75" customHeight="1" x14ac:dyDescent="0.3">
      <c r="D713" s="70"/>
    </row>
    <row r="714" spans="4:4" ht="15.75" customHeight="1" x14ac:dyDescent="0.3">
      <c r="D714" s="70"/>
    </row>
    <row r="715" spans="4:4" ht="15.75" customHeight="1" x14ac:dyDescent="0.3">
      <c r="D715" s="70"/>
    </row>
    <row r="716" spans="4:4" ht="15.75" customHeight="1" x14ac:dyDescent="0.3">
      <c r="D716" s="70"/>
    </row>
    <row r="717" spans="4:4" ht="15.75" customHeight="1" x14ac:dyDescent="0.3">
      <c r="D717" s="70"/>
    </row>
    <row r="718" spans="4:4" ht="15.75" customHeight="1" x14ac:dyDescent="0.3">
      <c r="D718" s="70"/>
    </row>
    <row r="719" spans="4:4" ht="15.75" customHeight="1" x14ac:dyDescent="0.3">
      <c r="D719" s="70"/>
    </row>
    <row r="720" spans="4:4" ht="15.75" customHeight="1" x14ac:dyDescent="0.3">
      <c r="D720" s="70"/>
    </row>
    <row r="721" spans="4:4" ht="15.75" customHeight="1" x14ac:dyDescent="0.3">
      <c r="D721" s="70"/>
    </row>
    <row r="722" spans="4:4" ht="15.75" customHeight="1" x14ac:dyDescent="0.3">
      <c r="D722" s="70"/>
    </row>
    <row r="723" spans="4:4" ht="15.75" customHeight="1" x14ac:dyDescent="0.3">
      <c r="D723" s="70"/>
    </row>
    <row r="724" spans="4:4" ht="15.75" customHeight="1" x14ac:dyDescent="0.3">
      <c r="D724" s="70"/>
    </row>
    <row r="725" spans="4:4" ht="15.75" customHeight="1" x14ac:dyDescent="0.3">
      <c r="D725" s="70"/>
    </row>
    <row r="726" spans="4:4" ht="15.75" customHeight="1" x14ac:dyDescent="0.3">
      <c r="D726" s="70"/>
    </row>
    <row r="727" spans="4:4" ht="15.75" customHeight="1" x14ac:dyDescent="0.3">
      <c r="D727" s="70"/>
    </row>
    <row r="728" spans="4:4" ht="15.75" customHeight="1" x14ac:dyDescent="0.3">
      <c r="D728" s="70"/>
    </row>
    <row r="729" spans="4:4" ht="15.75" customHeight="1" x14ac:dyDescent="0.3">
      <c r="D729" s="70"/>
    </row>
    <row r="730" spans="4:4" ht="15.75" customHeight="1" x14ac:dyDescent="0.3">
      <c r="D730" s="70"/>
    </row>
    <row r="731" spans="4:4" ht="15.75" customHeight="1" x14ac:dyDescent="0.3">
      <c r="D731" s="70"/>
    </row>
    <row r="732" spans="4:4" ht="15.75" customHeight="1" x14ac:dyDescent="0.3">
      <c r="D732" s="70"/>
    </row>
    <row r="733" spans="4:4" ht="15.75" customHeight="1" x14ac:dyDescent="0.3">
      <c r="D733" s="70"/>
    </row>
    <row r="734" spans="4:4" ht="15.75" customHeight="1" x14ac:dyDescent="0.3">
      <c r="D734" s="70"/>
    </row>
    <row r="735" spans="4:4" ht="15.75" customHeight="1" x14ac:dyDescent="0.3">
      <c r="D735" s="70"/>
    </row>
    <row r="736" spans="4:4" ht="15.75" customHeight="1" x14ac:dyDescent="0.3">
      <c r="D736" s="70"/>
    </row>
    <row r="737" spans="4:4" ht="15.75" customHeight="1" x14ac:dyDescent="0.3">
      <c r="D737" s="70"/>
    </row>
    <row r="738" spans="4:4" ht="15.75" customHeight="1" x14ac:dyDescent="0.3">
      <c r="D738" s="70"/>
    </row>
    <row r="739" spans="4:4" ht="15.75" customHeight="1" x14ac:dyDescent="0.3">
      <c r="D739" s="70"/>
    </row>
    <row r="740" spans="4:4" ht="15.75" customHeight="1" x14ac:dyDescent="0.3">
      <c r="D740" s="70"/>
    </row>
    <row r="741" spans="4:4" ht="15.75" customHeight="1" x14ac:dyDescent="0.3">
      <c r="D741" s="70"/>
    </row>
    <row r="742" spans="4:4" ht="15.75" customHeight="1" x14ac:dyDescent="0.3">
      <c r="D742" s="70"/>
    </row>
    <row r="743" spans="4:4" ht="15.75" customHeight="1" x14ac:dyDescent="0.3">
      <c r="D743" s="70"/>
    </row>
    <row r="744" spans="4:4" ht="15.75" customHeight="1" x14ac:dyDescent="0.3">
      <c r="D744" s="70"/>
    </row>
    <row r="745" spans="4:4" ht="15.75" customHeight="1" x14ac:dyDescent="0.3">
      <c r="D745" s="70"/>
    </row>
    <row r="746" spans="4:4" ht="15.75" customHeight="1" x14ac:dyDescent="0.3">
      <c r="D746" s="70"/>
    </row>
    <row r="747" spans="4:4" ht="15.75" customHeight="1" x14ac:dyDescent="0.3">
      <c r="D747" s="70"/>
    </row>
    <row r="748" spans="4:4" ht="15.75" customHeight="1" x14ac:dyDescent="0.3">
      <c r="D748" s="70"/>
    </row>
    <row r="749" spans="4:4" ht="15.75" customHeight="1" x14ac:dyDescent="0.3">
      <c r="D749" s="70"/>
    </row>
    <row r="750" spans="4:4" ht="15.75" customHeight="1" x14ac:dyDescent="0.3">
      <c r="D750" s="70"/>
    </row>
    <row r="751" spans="4:4" ht="15.75" customHeight="1" x14ac:dyDescent="0.3">
      <c r="D751" s="70"/>
    </row>
    <row r="752" spans="4:4" ht="15.75" customHeight="1" x14ac:dyDescent="0.3">
      <c r="D752" s="70"/>
    </row>
    <row r="753" spans="4:4" ht="15.75" customHeight="1" x14ac:dyDescent="0.3">
      <c r="D753" s="70"/>
    </row>
    <row r="754" spans="4:4" ht="15.75" customHeight="1" x14ac:dyDescent="0.3">
      <c r="D754" s="70"/>
    </row>
    <row r="755" spans="4:4" ht="15.75" customHeight="1" x14ac:dyDescent="0.3">
      <c r="D755" s="70"/>
    </row>
    <row r="756" spans="4:4" ht="15.75" customHeight="1" x14ac:dyDescent="0.3">
      <c r="D756" s="70"/>
    </row>
    <row r="757" spans="4:4" ht="15.75" customHeight="1" x14ac:dyDescent="0.3">
      <c r="D757" s="70"/>
    </row>
    <row r="758" spans="4:4" ht="15.75" customHeight="1" x14ac:dyDescent="0.3">
      <c r="D758" s="70"/>
    </row>
    <row r="759" spans="4:4" ht="15.75" customHeight="1" x14ac:dyDescent="0.3">
      <c r="D759" s="70"/>
    </row>
    <row r="760" spans="4:4" ht="15.75" customHeight="1" x14ac:dyDescent="0.3">
      <c r="D760" s="70"/>
    </row>
    <row r="761" spans="4:4" ht="15.75" customHeight="1" x14ac:dyDescent="0.3">
      <c r="D761" s="70"/>
    </row>
    <row r="762" spans="4:4" ht="15.75" customHeight="1" x14ac:dyDescent="0.3">
      <c r="D762" s="70"/>
    </row>
    <row r="763" spans="4:4" ht="15.75" customHeight="1" x14ac:dyDescent="0.3">
      <c r="D763" s="70"/>
    </row>
    <row r="764" spans="4:4" ht="15.75" customHeight="1" x14ac:dyDescent="0.3">
      <c r="D764" s="70"/>
    </row>
    <row r="765" spans="4:4" ht="15.75" customHeight="1" x14ac:dyDescent="0.3">
      <c r="D765" s="70"/>
    </row>
    <row r="766" spans="4:4" ht="15.75" customHeight="1" x14ac:dyDescent="0.3">
      <c r="D766" s="70"/>
    </row>
    <row r="767" spans="4:4" ht="15.75" customHeight="1" x14ac:dyDescent="0.3">
      <c r="D767" s="70"/>
    </row>
    <row r="768" spans="4:4" ht="15.75" customHeight="1" x14ac:dyDescent="0.3">
      <c r="D768" s="70"/>
    </row>
    <row r="769" spans="4:4" ht="15.75" customHeight="1" x14ac:dyDescent="0.3">
      <c r="D769" s="70"/>
    </row>
    <row r="770" spans="4:4" ht="15.75" customHeight="1" x14ac:dyDescent="0.3">
      <c r="D770" s="70"/>
    </row>
    <row r="771" spans="4:4" ht="15.75" customHeight="1" x14ac:dyDescent="0.3">
      <c r="D771" s="70"/>
    </row>
    <row r="772" spans="4:4" ht="15.75" customHeight="1" x14ac:dyDescent="0.3">
      <c r="D772" s="70"/>
    </row>
    <row r="773" spans="4:4" ht="15.75" customHeight="1" x14ac:dyDescent="0.3">
      <c r="D773" s="70"/>
    </row>
    <row r="774" spans="4:4" ht="15.75" customHeight="1" x14ac:dyDescent="0.3">
      <c r="D774" s="70"/>
    </row>
    <row r="775" spans="4:4" ht="15.75" customHeight="1" x14ac:dyDescent="0.3">
      <c r="D775" s="70"/>
    </row>
    <row r="776" spans="4:4" ht="15.75" customHeight="1" x14ac:dyDescent="0.3">
      <c r="D776" s="70"/>
    </row>
    <row r="777" spans="4:4" ht="15.75" customHeight="1" x14ac:dyDescent="0.3">
      <c r="D777" s="70"/>
    </row>
    <row r="778" spans="4:4" ht="15.75" customHeight="1" x14ac:dyDescent="0.3">
      <c r="D778" s="70"/>
    </row>
    <row r="779" spans="4:4" ht="15.75" customHeight="1" x14ac:dyDescent="0.3">
      <c r="D779" s="70"/>
    </row>
    <row r="780" spans="4:4" ht="15.75" customHeight="1" x14ac:dyDescent="0.3">
      <c r="D780" s="70"/>
    </row>
    <row r="781" spans="4:4" ht="15.75" customHeight="1" x14ac:dyDescent="0.3">
      <c r="D781" s="70"/>
    </row>
    <row r="782" spans="4:4" ht="15.75" customHeight="1" x14ac:dyDescent="0.3">
      <c r="D782" s="70"/>
    </row>
    <row r="783" spans="4:4" ht="15.75" customHeight="1" x14ac:dyDescent="0.3">
      <c r="D783" s="70"/>
    </row>
    <row r="784" spans="4:4" ht="15.75" customHeight="1" x14ac:dyDescent="0.3">
      <c r="D784" s="70"/>
    </row>
    <row r="785" spans="4:4" ht="15.75" customHeight="1" x14ac:dyDescent="0.3">
      <c r="D785" s="70"/>
    </row>
    <row r="786" spans="4:4" ht="15.75" customHeight="1" x14ac:dyDescent="0.3">
      <c r="D786" s="70"/>
    </row>
    <row r="787" spans="4:4" ht="15.75" customHeight="1" x14ac:dyDescent="0.3">
      <c r="D787" s="70"/>
    </row>
    <row r="788" spans="4:4" ht="15.75" customHeight="1" x14ac:dyDescent="0.3">
      <c r="D788" s="70"/>
    </row>
    <row r="789" spans="4:4" ht="15.75" customHeight="1" x14ac:dyDescent="0.3">
      <c r="D789" s="70"/>
    </row>
    <row r="790" spans="4:4" ht="15.75" customHeight="1" x14ac:dyDescent="0.3">
      <c r="D790" s="70"/>
    </row>
    <row r="791" spans="4:4" ht="15.75" customHeight="1" x14ac:dyDescent="0.3">
      <c r="D791" s="70"/>
    </row>
    <row r="792" spans="4:4" ht="15.75" customHeight="1" x14ac:dyDescent="0.3">
      <c r="D792" s="70"/>
    </row>
    <row r="793" spans="4:4" ht="15.75" customHeight="1" x14ac:dyDescent="0.3">
      <c r="D793" s="70"/>
    </row>
    <row r="794" spans="4:4" ht="15.75" customHeight="1" x14ac:dyDescent="0.3">
      <c r="D794" s="70"/>
    </row>
    <row r="795" spans="4:4" ht="15.75" customHeight="1" x14ac:dyDescent="0.3">
      <c r="D795" s="70"/>
    </row>
    <row r="796" spans="4:4" ht="15.75" customHeight="1" x14ac:dyDescent="0.3">
      <c r="D796" s="70"/>
    </row>
    <row r="797" spans="4:4" ht="15.75" customHeight="1" x14ac:dyDescent="0.3">
      <c r="D797" s="70"/>
    </row>
    <row r="798" spans="4:4" ht="15.75" customHeight="1" x14ac:dyDescent="0.3">
      <c r="D798" s="70"/>
    </row>
    <row r="799" spans="4:4" ht="15.75" customHeight="1" x14ac:dyDescent="0.3">
      <c r="D799" s="70"/>
    </row>
    <row r="800" spans="4:4" ht="15.75" customHeight="1" x14ac:dyDescent="0.3">
      <c r="D800" s="70"/>
    </row>
    <row r="801" spans="4:4" ht="15.75" customHeight="1" x14ac:dyDescent="0.3">
      <c r="D801" s="70"/>
    </row>
    <row r="802" spans="4:4" ht="15.75" customHeight="1" x14ac:dyDescent="0.3">
      <c r="D802" s="70"/>
    </row>
    <row r="803" spans="4:4" ht="15.75" customHeight="1" x14ac:dyDescent="0.3">
      <c r="D803" s="70"/>
    </row>
    <row r="804" spans="4:4" ht="15.75" customHeight="1" x14ac:dyDescent="0.3">
      <c r="D804" s="70"/>
    </row>
    <row r="805" spans="4:4" ht="15.75" customHeight="1" x14ac:dyDescent="0.3">
      <c r="D805" s="70"/>
    </row>
    <row r="806" spans="4:4" ht="15.75" customHeight="1" x14ac:dyDescent="0.3">
      <c r="D806" s="70"/>
    </row>
    <row r="807" spans="4:4" ht="15.75" customHeight="1" x14ac:dyDescent="0.3">
      <c r="D807" s="70"/>
    </row>
    <row r="808" spans="4:4" ht="15.75" customHeight="1" x14ac:dyDescent="0.3">
      <c r="D808" s="70"/>
    </row>
    <row r="809" spans="4:4" ht="15.75" customHeight="1" x14ac:dyDescent="0.3">
      <c r="D809" s="70"/>
    </row>
    <row r="810" spans="4:4" ht="15.75" customHeight="1" x14ac:dyDescent="0.3">
      <c r="D810" s="70"/>
    </row>
    <row r="811" spans="4:4" ht="15.75" customHeight="1" x14ac:dyDescent="0.3">
      <c r="D811" s="70"/>
    </row>
    <row r="812" spans="4:4" ht="15.75" customHeight="1" x14ac:dyDescent="0.3">
      <c r="D812" s="70"/>
    </row>
    <row r="813" spans="4:4" ht="15.75" customHeight="1" x14ac:dyDescent="0.3">
      <c r="D813" s="70"/>
    </row>
    <row r="814" spans="4:4" ht="15.75" customHeight="1" x14ac:dyDescent="0.3">
      <c r="D814" s="70"/>
    </row>
    <row r="815" spans="4:4" ht="15.75" customHeight="1" x14ac:dyDescent="0.3">
      <c r="D815" s="70"/>
    </row>
    <row r="816" spans="4:4" ht="15.75" customHeight="1" x14ac:dyDescent="0.3">
      <c r="D816" s="70"/>
    </row>
    <row r="817" spans="4:4" ht="15.75" customHeight="1" x14ac:dyDescent="0.3">
      <c r="D817" s="70"/>
    </row>
    <row r="818" spans="4:4" ht="15.75" customHeight="1" x14ac:dyDescent="0.3">
      <c r="D818" s="70"/>
    </row>
    <row r="819" spans="4:4" ht="15.75" customHeight="1" x14ac:dyDescent="0.3">
      <c r="D819" s="70"/>
    </row>
    <row r="820" spans="4:4" ht="15.75" customHeight="1" x14ac:dyDescent="0.3">
      <c r="D820" s="70"/>
    </row>
    <row r="821" spans="4:4" ht="15.75" customHeight="1" x14ac:dyDescent="0.3">
      <c r="D821" s="70"/>
    </row>
    <row r="822" spans="4:4" ht="15.75" customHeight="1" x14ac:dyDescent="0.3">
      <c r="D822" s="70"/>
    </row>
    <row r="823" spans="4:4" ht="15.75" customHeight="1" x14ac:dyDescent="0.3">
      <c r="D823" s="70"/>
    </row>
    <row r="824" spans="4:4" ht="15.75" customHeight="1" x14ac:dyDescent="0.3">
      <c r="D824" s="70"/>
    </row>
    <row r="825" spans="4:4" ht="15.75" customHeight="1" x14ac:dyDescent="0.3">
      <c r="D825" s="70"/>
    </row>
    <row r="826" spans="4:4" ht="15.75" customHeight="1" x14ac:dyDescent="0.3">
      <c r="D826" s="70"/>
    </row>
    <row r="827" spans="4:4" ht="15.75" customHeight="1" x14ac:dyDescent="0.3">
      <c r="D827" s="70"/>
    </row>
    <row r="828" spans="4:4" ht="15.75" customHeight="1" x14ac:dyDescent="0.3">
      <c r="D828" s="70"/>
    </row>
    <row r="829" spans="4:4" ht="15.75" customHeight="1" x14ac:dyDescent="0.3">
      <c r="D829" s="70"/>
    </row>
    <row r="830" spans="4:4" ht="15.75" customHeight="1" x14ac:dyDescent="0.3">
      <c r="D830" s="70"/>
    </row>
    <row r="831" spans="4:4" ht="15.75" customHeight="1" x14ac:dyDescent="0.3">
      <c r="D831" s="70"/>
    </row>
    <row r="832" spans="4:4" ht="15.75" customHeight="1" x14ac:dyDescent="0.3">
      <c r="D832" s="70"/>
    </row>
    <row r="833" spans="4:4" ht="15.75" customHeight="1" x14ac:dyDescent="0.3">
      <c r="D833" s="70"/>
    </row>
    <row r="834" spans="4:4" ht="15.75" customHeight="1" x14ac:dyDescent="0.3">
      <c r="D834" s="70"/>
    </row>
    <row r="835" spans="4:4" ht="15.75" customHeight="1" x14ac:dyDescent="0.3">
      <c r="D835" s="70"/>
    </row>
    <row r="836" spans="4:4" ht="15.75" customHeight="1" x14ac:dyDescent="0.3">
      <c r="D836" s="70"/>
    </row>
    <row r="837" spans="4:4" ht="15.75" customHeight="1" x14ac:dyDescent="0.3">
      <c r="D837" s="70"/>
    </row>
    <row r="838" spans="4:4" ht="15.75" customHeight="1" x14ac:dyDescent="0.3">
      <c r="D838" s="70"/>
    </row>
    <row r="839" spans="4:4" ht="15.75" customHeight="1" x14ac:dyDescent="0.3">
      <c r="D839" s="70"/>
    </row>
    <row r="840" spans="4:4" ht="15.75" customHeight="1" x14ac:dyDescent="0.3">
      <c r="D840" s="70"/>
    </row>
    <row r="841" spans="4:4" ht="15.75" customHeight="1" x14ac:dyDescent="0.3">
      <c r="D841" s="70"/>
    </row>
    <row r="842" spans="4:4" ht="15.75" customHeight="1" x14ac:dyDescent="0.3">
      <c r="D842" s="70"/>
    </row>
    <row r="843" spans="4:4" ht="15.75" customHeight="1" x14ac:dyDescent="0.3">
      <c r="D843" s="70"/>
    </row>
    <row r="844" spans="4:4" ht="15.75" customHeight="1" x14ac:dyDescent="0.3">
      <c r="D844" s="70"/>
    </row>
    <row r="845" spans="4:4" ht="15.75" customHeight="1" x14ac:dyDescent="0.3">
      <c r="D845" s="70"/>
    </row>
    <row r="846" spans="4:4" ht="15.75" customHeight="1" x14ac:dyDescent="0.3">
      <c r="D846" s="70"/>
    </row>
    <row r="847" spans="4:4" ht="15.75" customHeight="1" x14ac:dyDescent="0.3">
      <c r="D847" s="70"/>
    </row>
    <row r="848" spans="4:4" ht="15.75" customHeight="1" x14ac:dyDescent="0.3">
      <c r="D848" s="70"/>
    </row>
    <row r="849" spans="4:4" ht="15.75" customHeight="1" x14ac:dyDescent="0.3">
      <c r="D849" s="70"/>
    </row>
    <row r="850" spans="4:4" ht="15.75" customHeight="1" x14ac:dyDescent="0.3">
      <c r="D850" s="70"/>
    </row>
    <row r="851" spans="4:4" ht="15.75" customHeight="1" x14ac:dyDescent="0.3">
      <c r="D851" s="70"/>
    </row>
    <row r="852" spans="4:4" ht="15.75" customHeight="1" x14ac:dyDescent="0.3">
      <c r="D852" s="70"/>
    </row>
    <row r="853" spans="4:4" ht="15.75" customHeight="1" x14ac:dyDescent="0.3">
      <c r="D853" s="70"/>
    </row>
    <row r="854" spans="4:4" ht="15.75" customHeight="1" x14ac:dyDescent="0.3">
      <c r="D854" s="70"/>
    </row>
    <row r="855" spans="4:4" ht="15.75" customHeight="1" x14ac:dyDescent="0.3">
      <c r="D855" s="70"/>
    </row>
    <row r="856" spans="4:4" ht="15.75" customHeight="1" x14ac:dyDescent="0.3">
      <c r="D856" s="70"/>
    </row>
    <row r="857" spans="4:4" ht="15.75" customHeight="1" x14ac:dyDescent="0.3">
      <c r="D857" s="70"/>
    </row>
    <row r="858" spans="4:4" ht="15.75" customHeight="1" x14ac:dyDescent="0.3">
      <c r="D858" s="70"/>
    </row>
    <row r="859" spans="4:4" ht="15.75" customHeight="1" x14ac:dyDescent="0.3">
      <c r="D859" s="70"/>
    </row>
    <row r="860" spans="4:4" ht="15.75" customHeight="1" x14ac:dyDescent="0.3">
      <c r="D860" s="70"/>
    </row>
    <row r="861" spans="4:4" ht="15.75" customHeight="1" x14ac:dyDescent="0.3">
      <c r="D861" s="70"/>
    </row>
    <row r="862" spans="4:4" ht="15.75" customHeight="1" x14ac:dyDescent="0.3">
      <c r="D862" s="70"/>
    </row>
    <row r="863" spans="4:4" ht="15.75" customHeight="1" x14ac:dyDescent="0.3">
      <c r="D863" s="70"/>
    </row>
    <row r="864" spans="4:4" ht="15.75" customHeight="1" x14ac:dyDescent="0.3">
      <c r="D864" s="70"/>
    </row>
    <row r="865" spans="4:4" ht="15.75" customHeight="1" x14ac:dyDescent="0.3">
      <c r="D865" s="70"/>
    </row>
    <row r="866" spans="4:4" ht="15.75" customHeight="1" x14ac:dyDescent="0.3">
      <c r="D866" s="70"/>
    </row>
    <row r="867" spans="4:4" ht="15.75" customHeight="1" x14ac:dyDescent="0.3">
      <c r="D867" s="70"/>
    </row>
    <row r="868" spans="4:4" ht="15.75" customHeight="1" x14ac:dyDescent="0.3">
      <c r="D868" s="70"/>
    </row>
    <row r="869" spans="4:4" ht="15.75" customHeight="1" x14ac:dyDescent="0.3">
      <c r="D869" s="70"/>
    </row>
    <row r="870" spans="4:4" ht="15.75" customHeight="1" x14ac:dyDescent="0.3">
      <c r="D870" s="70"/>
    </row>
    <row r="871" spans="4:4" ht="15.75" customHeight="1" x14ac:dyDescent="0.3">
      <c r="D871" s="70"/>
    </row>
    <row r="872" spans="4:4" ht="15.75" customHeight="1" x14ac:dyDescent="0.3">
      <c r="D872" s="70"/>
    </row>
    <row r="873" spans="4:4" ht="15.75" customHeight="1" x14ac:dyDescent="0.3">
      <c r="D873" s="70"/>
    </row>
    <row r="874" spans="4:4" ht="15.75" customHeight="1" x14ac:dyDescent="0.3">
      <c r="D874" s="70"/>
    </row>
    <row r="875" spans="4:4" ht="15.75" customHeight="1" x14ac:dyDescent="0.3">
      <c r="D875" s="70"/>
    </row>
    <row r="876" spans="4:4" ht="15.75" customHeight="1" x14ac:dyDescent="0.3">
      <c r="D876" s="70"/>
    </row>
    <row r="877" spans="4:4" ht="15.75" customHeight="1" x14ac:dyDescent="0.3">
      <c r="D877" s="70"/>
    </row>
    <row r="878" spans="4:4" ht="15.75" customHeight="1" x14ac:dyDescent="0.3">
      <c r="D878" s="70"/>
    </row>
    <row r="879" spans="4:4" ht="15.75" customHeight="1" x14ac:dyDescent="0.3">
      <c r="D879" s="70"/>
    </row>
    <row r="880" spans="4:4" ht="15.75" customHeight="1" x14ac:dyDescent="0.3">
      <c r="D880" s="70"/>
    </row>
    <row r="881" spans="4:4" ht="15.75" customHeight="1" x14ac:dyDescent="0.3">
      <c r="D881" s="70"/>
    </row>
    <row r="882" spans="4:4" ht="15.75" customHeight="1" x14ac:dyDescent="0.3">
      <c r="D882" s="70"/>
    </row>
    <row r="883" spans="4:4" ht="15.75" customHeight="1" x14ac:dyDescent="0.3">
      <c r="D883" s="70"/>
    </row>
    <row r="884" spans="4:4" ht="15.75" customHeight="1" x14ac:dyDescent="0.3">
      <c r="D884" s="70"/>
    </row>
    <row r="885" spans="4:4" ht="15.75" customHeight="1" x14ac:dyDescent="0.3">
      <c r="D885" s="70"/>
    </row>
    <row r="886" spans="4:4" ht="15.75" customHeight="1" x14ac:dyDescent="0.3">
      <c r="D886" s="70"/>
    </row>
    <row r="887" spans="4:4" ht="15.75" customHeight="1" x14ac:dyDescent="0.3">
      <c r="D887" s="70"/>
    </row>
    <row r="888" spans="4:4" ht="15.75" customHeight="1" x14ac:dyDescent="0.3">
      <c r="D888" s="70"/>
    </row>
    <row r="889" spans="4:4" ht="15.75" customHeight="1" x14ac:dyDescent="0.3">
      <c r="D889" s="70"/>
    </row>
    <row r="890" spans="4:4" ht="15.75" customHeight="1" x14ac:dyDescent="0.3">
      <c r="D890" s="70"/>
    </row>
    <row r="891" spans="4:4" ht="15.75" customHeight="1" x14ac:dyDescent="0.3">
      <c r="D891" s="70"/>
    </row>
    <row r="892" spans="4:4" ht="15.75" customHeight="1" x14ac:dyDescent="0.3">
      <c r="D892" s="70"/>
    </row>
    <row r="893" spans="4:4" ht="15.75" customHeight="1" x14ac:dyDescent="0.3">
      <c r="D893" s="70"/>
    </row>
    <row r="894" spans="4:4" ht="15.75" customHeight="1" x14ac:dyDescent="0.3">
      <c r="D894" s="70"/>
    </row>
    <row r="895" spans="4:4" ht="15.75" customHeight="1" x14ac:dyDescent="0.3">
      <c r="D895" s="70"/>
    </row>
    <row r="896" spans="4:4" ht="15.75" customHeight="1" x14ac:dyDescent="0.3">
      <c r="D896" s="70"/>
    </row>
    <row r="897" spans="4:4" ht="15.75" customHeight="1" x14ac:dyDescent="0.3">
      <c r="D897" s="70"/>
    </row>
    <row r="898" spans="4:4" ht="15.75" customHeight="1" x14ac:dyDescent="0.3">
      <c r="D898" s="70"/>
    </row>
    <row r="899" spans="4:4" ht="15.75" customHeight="1" x14ac:dyDescent="0.3">
      <c r="D899" s="70"/>
    </row>
    <row r="900" spans="4:4" ht="15.75" customHeight="1" x14ac:dyDescent="0.3">
      <c r="D900" s="70"/>
    </row>
    <row r="901" spans="4:4" ht="15.75" customHeight="1" x14ac:dyDescent="0.3">
      <c r="D901" s="70"/>
    </row>
    <row r="902" spans="4:4" ht="15.75" customHeight="1" x14ac:dyDescent="0.3">
      <c r="D902" s="70"/>
    </row>
    <row r="903" spans="4:4" ht="15.75" customHeight="1" x14ac:dyDescent="0.3">
      <c r="D903" s="70"/>
    </row>
    <row r="904" spans="4:4" ht="15.75" customHeight="1" x14ac:dyDescent="0.3">
      <c r="D904" s="70"/>
    </row>
    <row r="905" spans="4:4" ht="15.75" customHeight="1" x14ac:dyDescent="0.3">
      <c r="D905" s="70"/>
    </row>
    <row r="906" spans="4:4" ht="15.75" customHeight="1" x14ac:dyDescent="0.3">
      <c r="D906" s="70"/>
    </row>
    <row r="907" spans="4:4" ht="15.75" customHeight="1" x14ac:dyDescent="0.3">
      <c r="D907" s="70"/>
    </row>
    <row r="908" spans="4:4" ht="15.75" customHeight="1" x14ac:dyDescent="0.3">
      <c r="D908" s="70"/>
    </row>
    <row r="909" spans="4:4" ht="15.75" customHeight="1" x14ac:dyDescent="0.3">
      <c r="D909" s="70"/>
    </row>
    <row r="910" spans="4:4" ht="15.75" customHeight="1" x14ac:dyDescent="0.3">
      <c r="D910" s="70"/>
    </row>
    <row r="911" spans="4:4" ht="15.75" customHeight="1" x14ac:dyDescent="0.3">
      <c r="D911" s="70"/>
    </row>
    <row r="912" spans="4:4" ht="15.75" customHeight="1" x14ac:dyDescent="0.3">
      <c r="D912" s="70"/>
    </row>
    <row r="913" spans="4:4" ht="15.75" customHeight="1" x14ac:dyDescent="0.3">
      <c r="D913" s="70"/>
    </row>
    <row r="914" spans="4:4" ht="15.75" customHeight="1" x14ac:dyDescent="0.3">
      <c r="D914" s="70"/>
    </row>
    <row r="915" spans="4:4" ht="15.75" customHeight="1" x14ac:dyDescent="0.3">
      <c r="D915" s="70"/>
    </row>
    <row r="916" spans="4:4" ht="15.75" customHeight="1" x14ac:dyDescent="0.3">
      <c r="D916" s="70"/>
    </row>
    <row r="917" spans="4:4" ht="15.75" customHeight="1" x14ac:dyDescent="0.3">
      <c r="D917" s="70"/>
    </row>
    <row r="918" spans="4:4" ht="15.75" customHeight="1" x14ac:dyDescent="0.3">
      <c r="D918" s="70"/>
    </row>
    <row r="919" spans="4:4" ht="15.75" customHeight="1" x14ac:dyDescent="0.3">
      <c r="D919" s="70"/>
    </row>
    <row r="920" spans="4:4" ht="15.75" customHeight="1" x14ac:dyDescent="0.3">
      <c r="D920" s="70"/>
    </row>
    <row r="921" spans="4:4" ht="15.75" customHeight="1" x14ac:dyDescent="0.3">
      <c r="D921" s="70"/>
    </row>
    <row r="922" spans="4:4" ht="15.75" customHeight="1" x14ac:dyDescent="0.3">
      <c r="D922" s="70"/>
    </row>
    <row r="923" spans="4:4" ht="15.75" customHeight="1" x14ac:dyDescent="0.3">
      <c r="D923" s="70"/>
    </row>
    <row r="924" spans="4:4" ht="15.75" customHeight="1" x14ac:dyDescent="0.3">
      <c r="D924" s="70"/>
    </row>
    <row r="925" spans="4:4" ht="15.75" customHeight="1" x14ac:dyDescent="0.3">
      <c r="D925" s="70"/>
    </row>
    <row r="926" spans="4:4" ht="15.75" customHeight="1" x14ac:dyDescent="0.3">
      <c r="D926" s="70"/>
    </row>
    <row r="927" spans="4:4" ht="15.75" customHeight="1" x14ac:dyDescent="0.3">
      <c r="D927" s="70"/>
    </row>
    <row r="928" spans="4:4" ht="15.75" customHeight="1" x14ac:dyDescent="0.3">
      <c r="D928" s="70"/>
    </row>
    <row r="929" spans="4:4" ht="15.75" customHeight="1" x14ac:dyDescent="0.3">
      <c r="D929" s="70"/>
    </row>
    <row r="930" spans="4:4" ht="15.75" customHeight="1" x14ac:dyDescent="0.3">
      <c r="D930" s="70"/>
    </row>
    <row r="931" spans="4:4" ht="15.75" customHeight="1" x14ac:dyDescent="0.3">
      <c r="D931" s="70"/>
    </row>
    <row r="932" spans="4:4" ht="15.75" customHeight="1" x14ac:dyDescent="0.3">
      <c r="D932" s="70"/>
    </row>
    <row r="933" spans="4:4" ht="15.75" customHeight="1" x14ac:dyDescent="0.3">
      <c r="D933" s="70"/>
    </row>
    <row r="934" spans="4:4" ht="15.75" customHeight="1" x14ac:dyDescent="0.3">
      <c r="D934" s="70"/>
    </row>
    <row r="935" spans="4:4" ht="15.75" customHeight="1" x14ac:dyDescent="0.3">
      <c r="D935" s="70"/>
    </row>
    <row r="936" spans="4:4" ht="15.75" customHeight="1" x14ac:dyDescent="0.3">
      <c r="D936" s="70"/>
    </row>
    <row r="937" spans="4:4" ht="15.75" customHeight="1" x14ac:dyDescent="0.3">
      <c r="D937" s="70"/>
    </row>
    <row r="938" spans="4:4" ht="15.75" customHeight="1" x14ac:dyDescent="0.3">
      <c r="D938" s="70"/>
    </row>
    <row r="939" spans="4:4" ht="15.75" customHeight="1" x14ac:dyDescent="0.3">
      <c r="D939" s="70"/>
    </row>
    <row r="940" spans="4:4" ht="15.75" customHeight="1" x14ac:dyDescent="0.3">
      <c r="D940" s="70"/>
    </row>
    <row r="941" spans="4:4" ht="15.75" customHeight="1" x14ac:dyDescent="0.3">
      <c r="D941" s="70"/>
    </row>
    <row r="942" spans="4:4" ht="15.75" customHeight="1" x14ac:dyDescent="0.3">
      <c r="D942" s="70"/>
    </row>
    <row r="943" spans="4:4" ht="15.75" customHeight="1" x14ac:dyDescent="0.3">
      <c r="D943" s="70"/>
    </row>
    <row r="944" spans="4:4" ht="15.75" customHeight="1" x14ac:dyDescent="0.3">
      <c r="D944" s="70"/>
    </row>
    <row r="945" spans="4:4" ht="15.75" customHeight="1" x14ac:dyDescent="0.3">
      <c r="D945" s="70"/>
    </row>
    <row r="946" spans="4:4" ht="15.75" customHeight="1" x14ac:dyDescent="0.3">
      <c r="D946" s="70"/>
    </row>
    <row r="947" spans="4:4" ht="15.75" customHeight="1" x14ac:dyDescent="0.3">
      <c r="D947" s="70"/>
    </row>
    <row r="948" spans="4:4" ht="15.75" customHeight="1" x14ac:dyDescent="0.3">
      <c r="D948" s="70"/>
    </row>
    <row r="949" spans="4:4" ht="15.75" customHeight="1" x14ac:dyDescent="0.3">
      <c r="D949" s="70"/>
    </row>
    <row r="950" spans="4:4" ht="15.75" customHeight="1" x14ac:dyDescent="0.3">
      <c r="D950" s="70"/>
    </row>
    <row r="951" spans="4:4" ht="15.75" customHeight="1" x14ac:dyDescent="0.3">
      <c r="D951" s="70"/>
    </row>
    <row r="952" spans="4:4" ht="15.75" customHeight="1" x14ac:dyDescent="0.3">
      <c r="D952" s="70"/>
    </row>
    <row r="953" spans="4:4" ht="15.75" customHeight="1" x14ac:dyDescent="0.3">
      <c r="D953" s="70"/>
    </row>
    <row r="954" spans="4:4" ht="15.75" customHeight="1" x14ac:dyDescent="0.3">
      <c r="D954" s="70"/>
    </row>
    <row r="955" spans="4:4" ht="15.75" customHeight="1" x14ac:dyDescent="0.3">
      <c r="D955" s="70"/>
    </row>
    <row r="956" spans="4:4" ht="15.75" customHeight="1" x14ac:dyDescent="0.3">
      <c r="D956" s="70"/>
    </row>
    <row r="957" spans="4:4" ht="15.75" customHeight="1" x14ac:dyDescent="0.3">
      <c r="D957" s="70"/>
    </row>
    <row r="958" spans="4:4" ht="15.75" customHeight="1" x14ac:dyDescent="0.3">
      <c r="D958" s="70"/>
    </row>
    <row r="959" spans="4:4" ht="15.75" customHeight="1" x14ac:dyDescent="0.3">
      <c r="D959" s="70"/>
    </row>
    <row r="960" spans="4:4" ht="15.75" customHeight="1" x14ac:dyDescent="0.3">
      <c r="D960" s="70"/>
    </row>
    <row r="961" spans="4:4" ht="15.75" customHeight="1" x14ac:dyDescent="0.3">
      <c r="D961" s="70"/>
    </row>
    <row r="962" spans="4:4" ht="15.75" customHeight="1" x14ac:dyDescent="0.3">
      <c r="D962" s="70"/>
    </row>
    <row r="963" spans="4:4" ht="15.75" customHeight="1" x14ac:dyDescent="0.3">
      <c r="D963" s="70"/>
    </row>
    <row r="964" spans="4:4" ht="15.75" customHeight="1" x14ac:dyDescent="0.3">
      <c r="D964" s="70"/>
    </row>
    <row r="965" spans="4:4" ht="15.75" customHeight="1" x14ac:dyDescent="0.3">
      <c r="D965" s="70"/>
    </row>
    <row r="966" spans="4:4" ht="15.75" customHeight="1" x14ac:dyDescent="0.3">
      <c r="D966" s="70"/>
    </row>
    <row r="967" spans="4:4" ht="15.75" customHeight="1" x14ac:dyDescent="0.3">
      <c r="D967" s="70"/>
    </row>
    <row r="968" spans="4:4" ht="15.75" customHeight="1" x14ac:dyDescent="0.3">
      <c r="D968" s="70"/>
    </row>
    <row r="969" spans="4:4" ht="15.75" customHeight="1" x14ac:dyDescent="0.3">
      <c r="D969" s="70"/>
    </row>
    <row r="970" spans="4:4" ht="15.75" customHeight="1" x14ac:dyDescent="0.3">
      <c r="D970" s="70"/>
    </row>
    <row r="971" spans="4:4" ht="15.75" customHeight="1" x14ac:dyDescent="0.3">
      <c r="D971" s="70"/>
    </row>
    <row r="972" spans="4:4" ht="15.75" customHeight="1" x14ac:dyDescent="0.3">
      <c r="D972" s="70"/>
    </row>
    <row r="973" spans="4:4" ht="15.75" customHeight="1" x14ac:dyDescent="0.3">
      <c r="D973" s="70"/>
    </row>
    <row r="974" spans="4:4" ht="15.75" customHeight="1" x14ac:dyDescent="0.3">
      <c r="D974" s="70"/>
    </row>
    <row r="975" spans="4:4" ht="15.75" customHeight="1" x14ac:dyDescent="0.3">
      <c r="D975" s="70"/>
    </row>
    <row r="976" spans="4:4" ht="15.75" customHeight="1" x14ac:dyDescent="0.3">
      <c r="D976" s="70"/>
    </row>
    <row r="977" spans="4:4" ht="15.75" customHeight="1" x14ac:dyDescent="0.3">
      <c r="D977" s="70"/>
    </row>
    <row r="978" spans="4:4" ht="15.75" customHeight="1" x14ac:dyDescent="0.3">
      <c r="D978" s="70"/>
    </row>
    <row r="979" spans="4:4" ht="15.75" customHeight="1" x14ac:dyDescent="0.3">
      <c r="D979" s="70"/>
    </row>
    <row r="980" spans="4:4" ht="15.75" customHeight="1" x14ac:dyDescent="0.3">
      <c r="D980" s="70"/>
    </row>
    <row r="981" spans="4:4" ht="15.75" customHeight="1" x14ac:dyDescent="0.3">
      <c r="D981" s="70"/>
    </row>
    <row r="982" spans="4:4" ht="15.75" customHeight="1" x14ac:dyDescent="0.3">
      <c r="D982" s="70"/>
    </row>
    <row r="983" spans="4:4" ht="15.75" customHeight="1" x14ac:dyDescent="0.3">
      <c r="D983" s="70"/>
    </row>
  </sheetData>
  <mergeCells count="37">
    <mergeCell ref="A1:V1"/>
    <mergeCell ref="A2:V2"/>
    <mergeCell ref="A3:V3"/>
    <mergeCell ref="A6:J6"/>
    <mergeCell ref="A8:A9"/>
    <mergeCell ref="B8:B9"/>
    <mergeCell ref="D8:D9"/>
    <mergeCell ref="E8:E9"/>
    <mergeCell ref="F8:F9"/>
    <mergeCell ref="G8:G9"/>
    <mergeCell ref="H8:V8"/>
    <mergeCell ref="B59:I59"/>
    <mergeCell ref="C61:E61"/>
    <mergeCell ref="C62:E62"/>
    <mergeCell ref="H62:I62"/>
    <mergeCell ref="K62:T62"/>
    <mergeCell ref="C63:E63"/>
    <mergeCell ref="K63:T63"/>
    <mergeCell ref="C64:E64"/>
    <mergeCell ref="K64:T64"/>
    <mergeCell ref="K65:T65"/>
    <mergeCell ref="V68:W68"/>
    <mergeCell ref="A71:B71"/>
    <mergeCell ref="C71:F71"/>
    <mergeCell ref="I71:N71"/>
    <mergeCell ref="Q71:T71"/>
    <mergeCell ref="V71:X71"/>
    <mergeCell ref="C68:E68"/>
    <mergeCell ref="I68:N68"/>
    <mergeCell ref="Q68:T68"/>
    <mergeCell ref="H79:T79"/>
    <mergeCell ref="A72:B72"/>
    <mergeCell ref="C72:F72"/>
    <mergeCell ref="I72:N72"/>
    <mergeCell ref="Q72:T72"/>
    <mergeCell ref="H75:T75"/>
    <mergeCell ref="H78:T78"/>
  </mergeCells>
  <pageMargins left="0.7" right="0.7" top="0.75" bottom="0.75" header="0" footer="0"/>
  <pageSetup paperSize="9" scale="45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Antonette Berces</dc:creator>
  <cp:lastModifiedBy>Maybel Mangampo</cp:lastModifiedBy>
  <dcterms:created xsi:type="dcterms:W3CDTF">2024-01-15T06:24:01Z</dcterms:created>
  <dcterms:modified xsi:type="dcterms:W3CDTF">2024-05-02T07:56:41Z</dcterms:modified>
</cp:coreProperties>
</file>