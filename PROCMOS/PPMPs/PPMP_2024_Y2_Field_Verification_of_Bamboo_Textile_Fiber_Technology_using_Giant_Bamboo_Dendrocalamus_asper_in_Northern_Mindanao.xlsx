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tr 1" sheetId="1" r:id="rId4"/>
    <sheet state="visible" name="Qtr 2" sheetId="2" r:id="rId5"/>
  </sheets>
  <definedNames/>
  <calcPr/>
  <extLst>
    <ext uri="GoogleSheetsCustomDataVersion2">
      <go:sheetsCustomData xmlns:go="http://customooxmlschemas.google.com/" r:id="rId6" roundtripDataChecksum="bItWh4yE4tR8JUEeGOu7GqegixotdAwVr4sgE63Pii0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D126">
      <text>
        <t xml:space="preserve">======
ID#AAABEI4YDHA
upmnih    (2021-04-08 04:25:07)
Submitted by: Project Leader</t>
      </text>
    </comment>
    <comment authorId="0" ref="A126">
      <text>
        <t xml:space="preserve">======
ID#AAABEI4YDHE
upmnih    (2021-04-08 04:25:07)
Prepared by: Project Staff/ Research Associate</t>
      </text>
    </comment>
  </commentList>
  <extLst>
    <ext uri="GoogleSheetsCustomDataVersion2">
      <go:sheetsCustomData xmlns:go="http://customooxmlschemas.google.com/" r:id="rId1" roundtripDataSignature="AMtx7mh72KOkEW/Hpql+NbXJhux8rVu7sg=="/>
    </ext>
  </extL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D108">
      <text>
        <t xml:space="preserve">======
ID#AAABK_SiyNE
upmnih    (2021-04-08 04:25:07)
Submitted by: Project Leader</t>
      </text>
    </comment>
    <comment authorId="0" ref="A108">
      <text>
        <t xml:space="preserve">======
ID#AAABK_SiyNA
upmnih    (2021-04-08 04:25:07)
Prepared by: Project Staff/ Research Associate</t>
      </text>
    </comment>
  </commentList>
  <extLst>
    <ext uri="GoogleSheetsCustomDataVersion2">
      <go:sheetsCustomData xmlns:go="http://customooxmlschemas.google.com/" r:id="rId1" roundtripDataSignature="AMtx7mhCaiQQupCSJHsnKeNFzoTes+pmHw=="/>
    </ext>
  </extLst>
</comments>
</file>

<file path=xl/sharedStrings.xml><?xml version="1.0" encoding="utf-8"?>
<sst xmlns="http://schemas.openxmlformats.org/spreadsheetml/2006/main" count="745" uniqueCount="368">
  <si>
    <t xml:space="preserve">  PROJECT PROCUREMENT MANAGEMENT PLAN (PPMP) 2024</t>
  </si>
  <si>
    <t>For 1st Quarter of CY 2024</t>
  </si>
  <si>
    <t>END-USER/UNIT: RDD-NFUS</t>
  </si>
  <si>
    <t>Charged to: Field Verification of Bamboo Textile Fiber Technology using Giant Bamboo (Dendrocalamus asper) in Northern Mindanao- Y2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</si>
  <si>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</si>
  <si>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</si>
  <si>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</si>
  <si>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</si>
  <si>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</si>
  <si>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</si>
  <si>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</si>
  <si>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</si>
  <si>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</si>
  <si>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</si>
  <si>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</si>
  <si>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Jan</t>
  </si>
  <si>
    <t>Feb</t>
  </si>
  <si>
    <t>Mar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</si>
  <si>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</si>
  <si>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</si>
  <si>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</si>
  <si>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</si>
  <si>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</si>
  <si>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</si>
  <si>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</si>
  <si>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</si>
  <si>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</si>
  <si>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</si>
  <si>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</si>
  <si>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</si>
  <si>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</si>
  <si>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</si>
  <si>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</si>
  <si>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</si>
  <si>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</si>
  <si>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</si>
  <si>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</si>
  <si>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</si>
  <si>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</si>
  <si>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</si>
  <si>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</si>
  <si>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</si>
  <si>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</si>
  <si>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</si>
  <si>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</si>
  <si>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</si>
  <si>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</si>
  <si>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</si>
  <si>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</si>
  <si>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</si>
  <si>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</si>
  <si>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</si>
  <si>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</si>
  <si>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</si>
  <si>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</si>
  <si>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</si>
  <si>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</si>
  <si>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</si>
  <si>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</si>
  <si>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</si>
  <si>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</si>
  <si>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</si>
  <si>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</si>
  <si>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</si>
  <si>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</si>
  <si>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</si>
  <si>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</si>
  <si>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</si>
  <si>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</si>
  <si>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</si>
  <si>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</si>
  <si>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</si>
  <si>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</si>
  <si>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</si>
  <si>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</si>
  <si>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</si>
  <si>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</si>
  <si>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50203010 02</t>
  </si>
  <si>
    <t>Office Supplies Expenses</t>
  </si>
  <si>
    <t>50 pieces Masking Tape, 1"inch</t>
  </si>
  <si>
    <t>1 lot</t>
  </si>
  <si>
    <t>Shopping</t>
  </si>
  <si>
    <t>15-30 working days</t>
  </si>
  <si>
    <t>50 pieces  Masking Tape, 1 1/2"inches</t>
  </si>
  <si>
    <t>50 pieces  Masking Tape, 2 "inches</t>
  </si>
  <si>
    <t>30 boxes Retractable Gel Ink Pen, 0.5mm, Blue, 12pcs/box</t>
  </si>
  <si>
    <t>OS-322</t>
  </si>
  <si>
    <t>15 pieces All purpose Glue Stick, 15gsm</t>
  </si>
  <si>
    <t>OS-001</t>
  </si>
  <si>
    <t>150 reams A4 Bondpaper, 70gsm</t>
  </si>
  <si>
    <t>OS-002</t>
  </si>
  <si>
    <t>100 reams Legal Bondpaper, 70gsm</t>
  </si>
  <si>
    <t>OS-169</t>
  </si>
  <si>
    <t>50 boxes Binder Clips, 41mm</t>
  </si>
  <si>
    <t>OS-147</t>
  </si>
  <si>
    <t>50 boxes Binder Clips, 19mm</t>
  </si>
  <si>
    <t>OS-134</t>
  </si>
  <si>
    <t>50 boxes Binder Clips, 25mm</t>
  </si>
  <si>
    <t>OS-173</t>
  </si>
  <si>
    <t>30 boxes Permanent Marker, Black, Waterproof, 12's/box</t>
  </si>
  <si>
    <t>OS-174</t>
  </si>
  <si>
    <t>2 boxes Brown Envelope, Long, 100's/box</t>
  </si>
  <si>
    <t>OS-034</t>
  </si>
  <si>
    <t>3 boxes Expanded Envelope, Long 100's/box</t>
  </si>
  <si>
    <t>OS-180</t>
  </si>
  <si>
    <t>30 pieces Spiral Notebook, 100 sheets, Blue lines</t>
  </si>
  <si>
    <t>OS-043</t>
  </si>
  <si>
    <t>30 boxes Paper Clips, 50mm, 100's/box</t>
  </si>
  <si>
    <t>OS-128</t>
  </si>
  <si>
    <t>30 boxes Paper Clips, 33mm, 100's/box</t>
  </si>
  <si>
    <t>OS-307</t>
  </si>
  <si>
    <t>50 packs Specialty Boardpaper, 30's, 90gsm</t>
  </si>
  <si>
    <t>OS-321</t>
  </si>
  <si>
    <t>50 packs Label Index Stickers, 5 colors</t>
  </si>
  <si>
    <t>OS-249</t>
  </si>
  <si>
    <t>50 packs Vellum Board (A4, 10's/pack)</t>
  </si>
  <si>
    <t>OS-279</t>
  </si>
  <si>
    <t>50 packs Sticker Paper, Matte (A4, 10's/pack)</t>
  </si>
  <si>
    <t>OS-189</t>
  </si>
  <si>
    <t>30 boxes Staple Wire, No. 35</t>
  </si>
  <si>
    <t>Tokens for the BTFIH in CMU, Maramag, Bukidnon Launching</t>
  </si>
  <si>
    <t>30 working days</t>
  </si>
  <si>
    <t>50203990 00</t>
  </si>
  <si>
    <t>Other Supplies and Materials</t>
  </si>
  <si>
    <t>OSMI-019</t>
  </si>
  <si>
    <t>50 packs Pull-ups Tissue, 2 ply, 190pulls/pack</t>
  </si>
  <si>
    <t>OSMI-042</t>
  </si>
  <si>
    <t>50 bottles Isopropyl Alcohol with moisturizer, 70%,500ml</t>
  </si>
  <si>
    <t>OSMI-104</t>
  </si>
  <si>
    <t>15 cans Disinfectant spray, 500 ml</t>
  </si>
  <si>
    <t>OSMI-105</t>
  </si>
  <si>
    <t>15 cans Multi-insect killer spray, 500 ml</t>
  </si>
  <si>
    <t>OSMI-328</t>
  </si>
  <si>
    <t>10 kilograms Detergent powder, 1kg</t>
  </si>
  <si>
    <t>OSMI-064</t>
  </si>
  <si>
    <t>20 bottles Liquid hand soap, Pump dispenser, 225ml</t>
  </si>
  <si>
    <t>OSMI-016</t>
  </si>
  <si>
    <t>30 bottles Dishwashing Liquid, Antibac, 475ml</t>
  </si>
  <si>
    <t>MDL-191</t>
  </si>
  <si>
    <t>30 boxes Kimwipes, 1ply, 280 sheets</t>
  </si>
  <si>
    <t>OSMI-008</t>
  </si>
  <si>
    <t>25 gallon Multipurpose Bleach, 1 gal</t>
  </si>
  <si>
    <t>OSMI-335</t>
  </si>
  <si>
    <t>30 packs P.E Plastic 20" x 30", Clear</t>
  </si>
  <si>
    <t>OSMI-336</t>
  </si>
  <si>
    <t>30 packs P.E Plastic 8" x 12", Clear</t>
  </si>
  <si>
    <t>Industrial Electric Fan, 24in., Metal base, industrial motor,                                                                                                                 -Inclusive of Delivery at CMU, Maramag</t>
  </si>
  <si>
    <t>2 unit</t>
  </si>
  <si>
    <t>30-45 working days</t>
  </si>
  <si>
    <t>Multi-purpose Aluminum Folding Steps Ladder
Specifications:
-Max Load: 150kg
-No. of Step: 4 x 3                                                                                           -Inclusive of Devliery at Maramag Bukidnon</t>
  </si>
  <si>
    <t>3 pieces Stainless Crucible Tongs,300mm</t>
  </si>
  <si>
    <t>3 pcs</t>
  </si>
  <si>
    <t>3 pieces Stainless Crucible Tongs,500mm</t>
  </si>
  <si>
    <t>4 pieces Stainless Pitcher, 1-2L</t>
  </si>
  <si>
    <t>4 pcs</t>
  </si>
  <si>
    <t>5 pieces Stock Pot With Lid, Stainless Steel, 150 liters        -Inclusive of delivery at Maramag Bukidnon</t>
  </si>
  <si>
    <t>5 pcs</t>
  </si>
  <si>
    <t>3 pieces Stock Pot With Lid, Stainless Steel, 150 liters</t>
  </si>
  <si>
    <t>2 pcs</t>
  </si>
  <si>
    <t>OSMI-060</t>
  </si>
  <si>
    <t>5 pieces PVC Blue Drum, Open top, 210 liters                                       -Inclusive of delivery charges to CMU, Maramag, Bukidnon</t>
  </si>
  <si>
    <t>5 pieces PVC Blue Drum, Open top, 210 liters</t>
  </si>
  <si>
    <t>Bamboo Lei</t>
  </si>
  <si>
    <t>30 pcs</t>
  </si>
  <si>
    <t>50203080 00</t>
  </si>
  <si>
    <t>Medical, Dental  Laboratory Supplies Expenses</t>
  </si>
  <si>
    <t>OSMI-025</t>
  </si>
  <si>
    <t>30 boxes Face Mask, 3 ply, Earloop, 50pcs/box</t>
  </si>
  <si>
    <t>Negotiated Procurement - Small Value Procurement</t>
  </si>
  <si>
    <t>MDL-001</t>
  </si>
  <si>
    <t>30 boxes Nitrile Synthetic Examination Gloves,  100's/box</t>
  </si>
  <si>
    <t>MDL-165</t>
  </si>
  <si>
    <t>10 pieces Laboratory Gown, 3/4 Sleeves, White, Large</t>
  </si>
  <si>
    <t>10 pieces Laboratory Gown, 3/4 Sleeves, White, XL</t>
  </si>
  <si>
    <t>MDL-060</t>
  </si>
  <si>
    <t>15 piecesGoogles Protection, Silicone, Transparent</t>
  </si>
  <si>
    <t>MDL-056</t>
  </si>
  <si>
    <t>20 pairs Laboratory Shoes, White, Medium</t>
  </si>
  <si>
    <t>MDL-287</t>
  </si>
  <si>
    <t>20 pairs Heavy Duty Latex Gloves, Chemical Resistant</t>
  </si>
  <si>
    <t>10 boxes, Parafilm, 4" x 125 ft</t>
  </si>
  <si>
    <t>20 pcs, Filter paper, 125mm</t>
  </si>
  <si>
    <t>15 boxes pH Testing strips</t>
  </si>
  <si>
    <t>Raw Bamboo Fiber- Kawayan tinik</t>
  </si>
  <si>
    <t>100 kg</t>
  </si>
  <si>
    <t>30-60 working days</t>
  </si>
  <si>
    <t xml:space="preserve">OSMI-334
</t>
  </si>
  <si>
    <t>Wetting Agent, Cleanmate</t>
  </si>
  <si>
    <t>15 gals</t>
  </si>
  <si>
    <t>MDL-041</t>
  </si>
  <si>
    <t>Sodium Hydroxide
- Technical grade,
-25kgs/bag                                                                                                     -Inclusive of delivery charges to Maramag, Bukidnon</t>
  </si>
  <si>
    <t>30 bags</t>
  </si>
  <si>
    <t>Sodium Hydroxide
- Technical grade, ≥48% purity
- 30 kg/cby</t>
  </si>
  <si>
    <t>80 carboys</t>
  </si>
  <si>
    <t>MDL-006</t>
  </si>
  <si>
    <t>Sodium Silicate, Technical Grade, 20L/cby                                           -Inclusive of delivery charges to Maramag, Bukidnon</t>
  </si>
  <si>
    <t>5 cby</t>
  </si>
  <si>
    <t>Sodium Silicate, Technical Grade, 4L/gal</t>
  </si>
  <si>
    <t>10 bottles</t>
  </si>
  <si>
    <t>Sodium Metabisulfite, 25kg/bag</t>
  </si>
  <si>
    <t>10 bags</t>
  </si>
  <si>
    <t>MDL-005</t>
  </si>
  <si>
    <t>Sodium Metabisulfite
- Technical grade,
-25kg/bag                                                                                                           -Inclusive of delivery charges to Maramag, Bukidnon</t>
  </si>
  <si>
    <t>15 bags</t>
  </si>
  <si>
    <t>Sodium Metabisulfite
- Technical grade, ≥97% purity
- 1kg/bot</t>
  </si>
  <si>
    <t>MDL-178</t>
  </si>
  <si>
    <t>Glacial Acetic Acid
- Technical grade, ≥98% purity
- 30 kg/cby                                                                                                          -Inclusive of delivery charges to Maramag, Bukidnon</t>
  </si>
  <si>
    <t>15 carboys</t>
  </si>
  <si>
    <t>Glacial Acetic Acid
- Technical grade, ≥98% purity
- 30 kg/cby</t>
  </si>
  <si>
    <t>30 carboys</t>
  </si>
  <si>
    <t>MDL-255</t>
  </si>
  <si>
    <t>Hydrogen Peroxide
- Technical grade, ≥48% purity
- 35 kg/cby                                                                                                        -Inclusive of Delivery charges to Maramag, Bukidnon</t>
  </si>
  <si>
    <t>5 carboys</t>
  </si>
  <si>
    <t>Hydrogen Peroxide
- Technical grade, ≥48% purity
- 35 kg/cby</t>
  </si>
  <si>
    <t>10 carboys</t>
  </si>
  <si>
    <t>MDL-018</t>
  </si>
  <si>
    <t>Acetone, AR grade, 2.5L                                                                  -Inclusive of delivery charges to Maramag, Bukidnon</t>
  </si>
  <si>
    <t>5 bottles</t>
  </si>
  <si>
    <t>Sodium Sulfite, Anhydrous, ≥98% , AR Grade, 500g</t>
  </si>
  <si>
    <t>Acetone, technical grade, 5L</t>
  </si>
  <si>
    <t>Glacial Acetic Acid, ≥98%, AR Grade, 4L</t>
  </si>
  <si>
    <t>Hydrochloric Acid, AR Grade, 4L</t>
  </si>
  <si>
    <t>6 bottles</t>
  </si>
  <si>
    <t>Cyclohexane, 4L</t>
  </si>
  <si>
    <t>Cyclohexane, 4L                                                                                                            -Inclusive of delivery charges to Maramag, Bukidnon</t>
  </si>
  <si>
    <t>Ethanol, AR Grade, 2.5L</t>
  </si>
  <si>
    <t>20  bottles</t>
  </si>
  <si>
    <t>Ethanol, AR Grade, 2.5L                                                                         -Inclusive of Delivery charges to Maramag, Bukidnon</t>
  </si>
  <si>
    <t>Sulfuric Acid, AR grade,  ≥98%, 4L</t>
  </si>
  <si>
    <t>20 bottles</t>
  </si>
  <si>
    <t>OSMI-337</t>
  </si>
  <si>
    <t>Nylon Bags
Dimensions: 35 cm x 41.5 cm
10 pcs per pack</t>
  </si>
  <si>
    <t>3 packs</t>
  </si>
  <si>
    <t>Cash Advance</t>
  </si>
  <si>
    <t>60-90 working days</t>
  </si>
  <si>
    <t>Oil-free vacuum pump
- max. vacuum: 99 mbar abs. 
- max. flow rate: 37 L/min @ 60 Hz or 34 L/min @ 50 Hz
- hose bard: ID8
- noise level: 52 dB
- net weight: 5.2 kg
- 220 V, 50/60 Hz
- max. power: 80W (1/6 HP)
- max. current: 0.4 A
- with overheat protection
- equipped with vacuum regulator and overflow protection / filter cartridge</t>
  </si>
  <si>
    <t>2 lot</t>
  </si>
  <si>
    <t>Vacuum pump oil, ISO 68, 1 L</t>
  </si>
  <si>
    <t>10 pieces</t>
  </si>
  <si>
    <t xml:space="preserve">Glass filter crucible, with sintered disc, 50-mL
- ASTM E438, type 1, class A </t>
  </si>
  <si>
    <t>MDL-093</t>
  </si>
  <si>
    <t>Sodium Hydroxide, Micropearls, AR Grade, 1 kg/btl</t>
  </si>
  <si>
    <t>25 bottles</t>
  </si>
  <si>
    <t>Sodium Hydroxide, Micropearls, AR Grade, 5kg/btl                                                                       Inclusive of delivery in CMU, Maramag, Bukidnon</t>
  </si>
  <si>
    <t>15 bottles</t>
  </si>
  <si>
    <t>Sodium chlorite, Technical Grade, 80%, 1 kg</t>
  </si>
  <si>
    <t>1 kg</t>
  </si>
  <si>
    <t>Extraction thimbles, 33 x80 mm, double thickness, 25's/pack</t>
  </si>
  <si>
    <t>4 packs</t>
  </si>
  <si>
    <t>Scintillation vials,  glass, 22.2 ml, drum vial 6
-Delivery Period: 30 calendar days
-Vat inclusive
-Inclusive of delivery charges to DOST-PTRI, Gen. Santos Ave., Bicutan, Taguig City</t>
  </si>
  <si>
    <t>500 pieces</t>
  </si>
  <si>
    <t>MDL-096</t>
  </si>
  <si>
    <t>Xylanase Enzyme</t>
  </si>
  <si>
    <t>15 liters</t>
  </si>
  <si>
    <t>Agency to Agency</t>
  </si>
  <si>
    <t>Pectinase Enzyme</t>
  </si>
  <si>
    <t>Cellulase Enzyme</t>
  </si>
  <si>
    <t>80 kg</t>
  </si>
  <si>
    <t>50211990 00</t>
  </si>
  <si>
    <t>Other Professional Services</t>
  </si>
  <si>
    <t>Professional Services for Technical Textile Product Development Specialist-ACL</t>
  </si>
  <si>
    <t>per schedule</t>
  </si>
  <si>
    <t>FESEM Imaging
Sample: Raw and treated textile fiber
- Surface morphology
- Cross-sectional imaging
- VAT inclusive
- Turnaround time: 7-10 working days upon receipt of sample</t>
  </si>
  <si>
    <t>30 samples</t>
  </si>
  <si>
    <t>Thermogravimetric Diferential Analysis                                      Turn around time: 21 working days upon receive of samples</t>
  </si>
  <si>
    <t>16 samples</t>
  </si>
  <si>
    <t>Fiber fineness, cut middle method
- sample raw and treated bamboo fibers                                        -include worsheet copy
- includes raw data of results
- turnaround time: 7-10 working days upon receipt of sample</t>
  </si>
  <si>
    <t>68 samples</t>
  </si>
  <si>
    <t>Professional Weaving (powerloom) services</t>
  </si>
  <si>
    <t>1000 meters</t>
  </si>
  <si>
    <t>Yarn Number, ASTM D 1059</t>
  </si>
  <si>
    <t>13 samples</t>
  </si>
  <si>
    <t>Yarn Evenness, ASTM D 1425</t>
  </si>
  <si>
    <t>6 samples</t>
  </si>
  <si>
    <t>Yarn Hairiness, ASTM D 5647</t>
  </si>
  <si>
    <t>Yarn Twist, ASTM D 1423</t>
  </si>
  <si>
    <t>Fiber Composition, AATCC TM20A</t>
  </si>
  <si>
    <t>Worksheet Copy of Yarn Samples</t>
  </si>
  <si>
    <t xml:space="preserve">Testing Services                                                                       Compressive Strength                                                                 ASTM C109-based testing or similar                                    Using STYE 2000 Compression Testing Machine                                                  Turnaround time 7 days upon submission of sample   </t>
  </si>
  <si>
    <t>300 samples</t>
  </si>
  <si>
    <t>Repair and Maintenance off Building</t>
  </si>
  <si>
    <t>Repair and Renovation of the Bamboo Textile Fiber Innovation Hub in
Central Mindanao Phase 1</t>
  </si>
  <si>
    <t>Negotiated Procurement - Public Bidding</t>
  </si>
  <si>
    <t>50201010 00</t>
  </si>
  <si>
    <t>Travelling Expenses – Local</t>
  </si>
  <si>
    <t>Autosweep RFID Load</t>
  </si>
  <si>
    <t>Direct Contracting</t>
  </si>
  <si>
    <t>TOTAL APPROVED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</si>
  <si>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</si>
  <si>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</si>
  <si>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</si>
  <si>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</si>
  <si>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Approved by:</t>
  </si>
  <si>
    <t>Prepared by:</t>
  </si>
  <si>
    <t>Reviewed by:</t>
  </si>
  <si>
    <t>Certified Funds Available:</t>
  </si>
  <si>
    <t>JULIUS L. LEAÑO JR., Ph.D.</t>
  </si>
  <si>
    <t>EPHRAIM H. DE GRACIA</t>
  </si>
  <si>
    <t>MARILOU G. AGUSTIN</t>
  </si>
  <si>
    <t>MERLITA R. ODI</t>
  </si>
  <si>
    <t>Director IV</t>
  </si>
  <si>
    <t>Project Leader</t>
  </si>
  <si>
    <t>Head, FAD-PPGSS</t>
  </si>
  <si>
    <t>Head, FAD-BTS</t>
  </si>
  <si>
    <t>Date: _____________</t>
  </si>
  <si>
    <t>Date: ______________________</t>
  </si>
  <si>
    <t>For 2nd Quarter of CY 2024</t>
  </si>
  <si>
    <t>Apr</t>
  </si>
  <si>
    <t>May</t>
  </si>
  <si>
    <t>Jun</t>
  </si>
  <si>
    <t>15 working days</t>
  </si>
  <si>
    <t>10 Rolls Satin Ribbon, Red, 75mm, 25 yards</t>
  </si>
  <si>
    <t>10 Rolls Satin Ribbon, Yellow, 75mm, 25 yards</t>
  </si>
  <si>
    <t>10 Rolls Satin Ribbon, Green, 75mm, 25 yards</t>
  </si>
  <si>
    <t>5 rolls Satin Ribbon, Red, 12mm, 25 yards</t>
  </si>
  <si>
    <t>5 rolls Satin Ribbon, Green, 12mm, 25 yards</t>
  </si>
  <si>
    <t>5 rolls Satin Ribbon, Yellow, 12mm, 25 yards</t>
  </si>
  <si>
    <t xml:space="preserve">50 packs Parchment paper, A4, White </t>
  </si>
  <si>
    <t>15 reams Green Paper, A4, 500 sheets, 80gsm</t>
  </si>
  <si>
    <t>100 pieces Masking Tape, 1"inch</t>
  </si>
  <si>
    <t>10 bottles D60BK Black, 108ml</t>
  </si>
  <si>
    <t>1 Lot</t>
  </si>
  <si>
    <t>10 bottles BT5000C Cyan, 48.8ml</t>
  </si>
  <si>
    <t>10 bottles BT5000Y Yellow, 48.8ml</t>
  </si>
  <si>
    <t>10 bottles BT5000M Magenta, 48.8ml</t>
  </si>
  <si>
    <t>Repair and Maintenance of Vehicles</t>
  </si>
  <si>
    <t>Preventive maintenance of Avanza SAB 5284</t>
  </si>
  <si>
    <t>Preventive maintenance of Avanza SAB 5285</t>
  </si>
  <si>
    <t>Preventive maintenance of Hilux SAB 5311</t>
  </si>
  <si>
    <t>Preventive maintenance of Isuzu D-Max SJE519</t>
  </si>
  <si>
    <t>Fuel, Oil and Lubricants Expenses</t>
  </si>
  <si>
    <t>15 L Gear Oil, SAE 90, 1 L/btl</t>
  </si>
  <si>
    <t>20 cans Multi use penetrating oil (belt dressing oil), 382ml/can</t>
  </si>
  <si>
    <t>10 Gallons Fabric Conditioner/ Softener</t>
  </si>
  <si>
    <t>25 Gallons Multipurpose bleach, 1gal</t>
  </si>
  <si>
    <t>5 packs Ziplock, 6.2 x 9cm, clear, 100pcs/pack</t>
  </si>
  <si>
    <t>5 packs Ziplock, 7 x 10cm, clear, 100pcs/pack</t>
  </si>
  <si>
    <t>5 packs Ziplock, 9 x 13cm, clear, 100pcs/pack</t>
  </si>
  <si>
    <t>5 packs Ziplock, 13 x 19 cm, clear, 100pcs/pack</t>
  </si>
  <si>
    <t>5 packs Ziplock, 16 x 24 cm, clear, 100pcs/pack</t>
  </si>
  <si>
    <t>25 pcs Indigenous handwoven lei (Hinabol)</t>
  </si>
  <si>
    <t>50 pcs Full Fabric Notebook (Hinabol) with Abaca box, 4x6inches</t>
  </si>
  <si>
    <t>2 units Industrial Electric Fan, 24in., Metal base, industrial motor,                                                                                                                 -Inclusive of Delivery at CMU, Maramag</t>
  </si>
  <si>
    <t>2 units Multi-purpose Aluminum Folding Steps Ladder
Specifications:
-Max Load: 150kg
-No. of Step: 4 x 3                                                                                           -Inclusive of Devliery at Maramag Bukidnon</t>
  </si>
  <si>
    <t>3 packs Nylon Bags
Dimensions: 35 cm x 41.5 cm
10 pcs per pack</t>
  </si>
  <si>
    <t>30 packs Heavyduty battery, AAA, 4's/pack</t>
  </si>
  <si>
    <t>5 pcs Transparent Storage Box, 155L, Plastic</t>
  </si>
  <si>
    <t>30 packs Heavyduty battery, AA, 4's/pack</t>
  </si>
  <si>
    <t>200 kgs Raw Bamboo Fiber- Kawayan tinik</t>
  </si>
  <si>
    <t>200 kg</t>
  </si>
  <si>
    <t>5 cbys Hydrogen Peroxide
- Technical grade, ≥48% purity
- 35 kg/cby                                                                                                        -Inclusive of Delivery charges to Maramag, Bukidnon</t>
  </si>
  <si>
    <t>10 cbys Hydrogen Peroxide
- Technical grade, ≥48% purity
- 35 kg/cby</t>
  </si>
  <si>
    <t xml:space="preserve">2 lots Oil-free vacuum pump
</t>
  </si>
  <si>
    <t>Glass filter crucible, with sintered disc, ≤ 50-mL
- ASTM E438, type 1, class A  Boro 3.3 glass, porosity: grade 3 or better</t>
  </si>
  <si>
    <t>20 pieces</t>
  </si>
  <si>
    <t>300kg Ginned Cotton Fiber</t>
  </si>
  <si>
    <t>15 samples</t>
  </si>
  <si>
    <t>Indirect Cost (Office Supplies)</t>
  </si>
  <si>
    <t>1 box Overhead projector transparency film for plain paper copier, Legal, 0.1mm thick, 100's/box</t>
  </si>
  <si>
    <t>1 box Overhead projector transparency film for plain paper copier, A4, 0.1mm thick, 100's/box</t>
  </si>
  <si>
    <t>1 pack Morocco Board, Paper binding cover, 100's, Green Legal,  230gsm</t>
  </si>
  <si>
    <t>3 packs Morocco Board, Paper binding cover, 100's, Green A4,  230gsm</t>
  </si>
  <si>
    <t>10 boxes Binder clips, 2"inch, 12's/box</t>
  </si>
  <si>
    <t>10 boxes Binder clips, 1-5/8"inch, 12's/box</t>
  </si>
  <si>
    <t>10 boxes Binder clips, 1-1/4"inch, 12's/box</t>
  </si>
  <si>
    <t>10 packs Ring binder clips, 1"inch, 10's/pack</t>
  </si>
  <si>
    <t>10 packs Ring binder clips, 1 1/2"inch, 10's/pack</t>
  </si>
  <si>
    <t>4 pcs Kyocera TK-1124 Toner Kit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</si>
</sst>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.00_);_(* \(#,##0.00\);_(* &quot;-&quot;??_);_(@_)"/>
    <numFmt numFmtId="165" formatCode="_-* #,##0.00_-;\-* #,##0.00_-;_-* &quot;-&quot;??_-;_-@"/>
    <numFmt numFmtId="166" formatCode="[$₱]#,##0.00"/>
  </numFmts>
  <fonts count="20">
    <font>
      <sz val="11.0"/>
      <color theme="1"/>
      <name val="Arial"/>
      <scheme val="minor"/>
    </font>
    <font>
      <b/>
      <sz val="12.0"/>
      <color theme="1"/>
      <name val="Arial"/>
    </font>
    <font>
      <sz val="11.0"/>
      <color theme="1"/>
      <name val="Arial"/>
    </font>
    <font>
      <b/>
      <sz val="11.0"/>
      <color rgb="FFFF0000"/>
      <name val="Arial"/>
    </font>
    <font>
      <b/>
      <i/>
      <sz val="12.0"/>
      <color theme="1"/>
      <name val="Arial"/>
    </font>
    <font>
      <i/>
      <sz val="12.0"/>
      <color theme="1"/>
      <name val="Arial"/>
    </font>
    <font>
      <b/>
      <sz val="9.0"/>
      <color theme="1"/>
      <name val="Arial"/>
    </font>
    <font/>
    <font>
      <sz val="9.0"/>
      <color theme="1"/>
      <name val="Arial"/>
    </font>
    <font>
      <sz val="9.0"/>
      <color rgb="FF000000"/>
      <name val="Arial"/>
    </font>
    <font>
      <sz val="9.0"/>
      <color rgb="FF1F1F1F"/>
      <name val="Arial"/>
    </font>
    <font>
      <sz val="10.0"/>
      <color theme="1"/>
      <name val="Arial"/>
    </font>
    <font>
      <b/>
      <sz val="11.0"/>
      <color theme="1"/>
      <name val="Arial"/>
    </font>
    <font>
      <b/>
      <u/>
      <sz val="9.0"/>
      <color theme="1"/>
      <name val="Arial"/>
    </font>
    <font>
      <u/>
      <sz val="8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1.0"/>
      <color theme="1"/>
      <name val="Calibri"/>
    </font>
    <font>
      <color theme="1"/>
      <name val="Arial"/>
      <scheme val="minor"/>
    </font>
    <font>
      <b/>
      <sz val="9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</fills>
  <borders count="40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/>
      <bottom style="thin">
        <color rgb="FF000000"/>
      </bottom>
    </border>
  </borders>
  <cellStyleXfs count="1">
    <xf borderId="0" fillId="0" fontId="0" numFmtId="0" applyAlignment="1" applyFont="1"/>
  </cellStyleXfs>
  <cellXfs count="2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4" xfId="0" applyAlignment="1" applyFont="1" applyNumberFormat="1">
      <alignment horizontal="right" vertical="center"/>
    </xf>
    <xf borderId="0" fillId="0" fontId="5" numFmtId="0" xfId="0" applyAlignment="1" applyFont="1">
      <alignment vertical="center"/>
    </xf>
    <xf borderId="0" fillId="0" fontId="2" numFmtId="4" xfId="0" applyAlignment="1" applyFont="1" applyNumberFormat="1">
      <alignment horizontal="right"/>
    </xf>
    <xf borderId="0" fillId="0" fontId="2" numFmtId="164" xfId="0" applyFont="1" applyNumberFormat="1"/>
    <xf borderId="0" fillId="0" fontId="2" numFmtId="0" xfId="0" applyAlignment="1" applyFont="1">
      <alignment horizontal="center" shrinkToFit="0" wrapText="1"/>
    </xf>
    <xf borderId="1" fillId="0" fontId="6" numFmtId="0" xfId="0" applyAlignment="1" applyBorder="1" applyFont="1">
      <alignment horizontal="center" shrinkToFit="0" wrapText="1"/>
    </xf>
    <xf borderId="2" fillId="0" fontId="6" numFmtId="0" xfId="0" applyAlignment="1" applyBorder="1" applyFont="1">
      <alignment horizontal="center" shrinkToFit="0" wrapText="1"/>
    </xf>
    <xf borderId="3" fillId="0" fontId="6" numFmtId="0" xfId="0" applyAlignment="1" applyBorder="1" applyFont="1">
      <alignment horizontal="center" shrinkToFit="0" wrapText="1"/>
    </xf>
    <xf borderId="2" fillId="0" fontId="6" numFmtId="4" xfId="0" applyAlignment="1" applyBorder="1" applyFont="1" applyNumberFormat="1">
      <alignment horizontal="center" shrinkToFit="0" wrapText="1"/>
    </xf>
    <xf borderId="2" fillId="0" fontId="6" numFmtId="164" xfId="0" applyAlignment="1" applyBorder="1" applyFont="1" applyNumberFormat="1">
      <alignment horizontal="center" shrinkToFit="0" wrapText="1"/>
    </xf>
    <xf borderId="4" fillId="0" fontId="6" numFmtId="0" xfId="0" applyAlignment="1" applyBorder="1" applyFont="1">
      <alignment horizontal="center" shrinkToFit="0" wrapText="1"/>
    </xf>
    <xf borderId="4" fillId="0" fontId="7" numFmtId="0" xfId="0" applyBorder="1" applyFont="1"/>
    <xf borderId="5" fillId="0" fontId="7" numFmtId="0" xfId="0" applyBorder="1" applyFont="1"/>
    <xf borderId="0" fillId="0" fontId="8" numFmtId="0" xfId="0" applyFont="1"/>
    <xf borderId="6" fillId="0" fontId="7" numFmtId="0" xfId="0" applyBorder="1" applyFont="1"/>
    <xf borderId="7" fillId="0" fontId="7" numFmtId="0" xfId="0" applyBorder="1" applyFont="1"/>
    <xf borderId="7" fillId="0" fontId="6" numFmtId="0" xfId="0" applyAlignment="1" applyBorder="1" applyFont="1">
      <alignment horizontal="center"/>
    </xf>
    <xf borderId="7" fillId="0" fontId="6" numFmtId="0" xfId="0" applyAlignment="1" applyBorder="1" applyFont="1">
      <alignment horizontal="center" shrinkToFit="0" wrapText="1"/>
    </xf>
    <xf borderId="8" fillId="0" fontId="6" numFmtId="0" xfId="0" applyAlignment="1" applyBorder="1" applyFont="1">
      <alignment horizontal="center"/>
    </xf>
    <xf borderId="9" fillId="0" fontId="8" numFmtId="0" xfId="0" applyBorder="1" applyFont="1"/>
    <xf quotePrefix="1" borderId="10" fillId="0" fontId="6" numFmtId="0" xfId="0" applyAlignment="1" applyBorder="1" applyFont="1">
      <alignment horizontal="center" shrinkToFit="0" wrapText="1"/>
    </xf>
    <xf quotePrefix="1" borderId="11" fillId="0" fontId="6" numFmtId="0" xfId="0" applyAlignment="1" applyBorder="1" applyFont="1">
      <alignment horizontal="center" shrinkToFit="0" wrapText="1"/>
    </xf>
    <xf quotePrefix="1" borderId="11" fillId="0" fontId="6" numFmtId="4" xfId="0" applyAlignment="1" applyBorder="1" applyFont="1" applyNumberFormat="1">
      <alignment horizontal="center" shrinkToFit="0" wrapText="1"/>
    </xf>
    <xf quotePrefix="1" borderId="11" fillId="0" fontId="6" numFmtId="164" xfId="0" applyAlignment="1" applyBorder="1" applyFont="1" applyNumberFormat="1">
      <alignment horizontal="center" shrinkToFit="0" wrapText="1"/>
    </xf>
    <xf quotePrefix="1" borderId="12" fillId="0" fontId="6" numFmtId="0" xfId="0" applyAlignment="1" applyBorder="1" applyFont="1">
      <alignment horizontal="center" shrinkToFit="0" wrapText="1"/>
    </xf>
    <xf borderId="13" fillId="2" fontId="6" numFmtId="0" xfId="0" applyAlignment="1" applyBorder="1" applyFill="1" applyFont="1">
      <alignment horizontal="center" shrinkToFit="0" wrapText="1"/>
    </xf>
    <xf borderId="13" fillId="2" fontId="8" numFmtId="0" xfId="0" applyBorder="1" applyFont="1"/>
    <xf borderId="13" fillId="2" fontId="6" numFmtId="0" xfId="0" applyAlignment="1" applyBorder="1" applyFont="1">
      <alignment shrinkToFit="0" wrapText="1"/>
    </xf>
    <xf borderId="13" fillId="2" fontId="6" numFmtId="0" xfId="0" applyAlignment="1" applyBorder="1" applyFont="1">
      <alignment horizontal="center" shrinkToFit="0" vertical="center" wrapText="1"/>
    </xf>
    <xf borderId="13" fillId="2" fontId="6" numFmtId="4" xfId="0" applyAlignment="1" applyBorder="1" applyFont="1" applyNumberFormat="1">
      <alignment horizontal="right" shrinkToFit="0" vertical="center" wrapText="1"/>
    </xf>
    <xf borderId="13" fillId="2" fontId="6" numFmtId="164" xfId="0" applyAlignment="1" applyBorder="1" applyFont="1" applyNumberFormat="1">
      <alignment horizontal="center" shrinkToFit="0" vertical="center" wrapText="1"/>
    </xf>
    <xf borderId="14" fillId="2" fontId="6" numFmtId="0" xfId="0" applyAlignment="1" applyBorder="1" applyFont="1">
      <alignment horizontal="center" shrinkToFit="0" vertical="center" wrapText="1"/>
    </xf>
    <xf borderId="13" fillId="0" fontId="6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left" vertical="center"/>
    </xf>
    <xf borderId="15" fillId="0" fontId="8" numFmtId="0" xfId="0" applyAlignment="1" applyBorder="1" applyFont="1">
      <alignment horizontal="center" vertical="center"/>
    </xf>
    <xf borderId="13" fillId="0" fontId="8" numFmtId="4" xfId="0" applyAlignment="1" applyBorder="1" applyFont="1" applyNumberFormat="1">
      <alignment horizontal="right"/>
    </xf>
    <xf borderId="15" fillId="0" fontId="8" numFmtId="4" xfId="0" applyAlignment="1" applyBorder="1" applyFont="1" applyNumberFormat="1">
      <alignment horizontal="center" vertical="center"/>
    </xf>
    <xf borderId="16" fillId="0" fontId="8" numFmtId="0" xfId="0" applyAlignment="1" applyBorder="1" applyFont="1">
      <alignment horizontal="center" shrinkToFit="0" vertical="center" wrapText="1"/>
    </xf>
    <xf borderId="17" fillId="0" fontId="8" numFmtId="0" xfId="0" applyAlignment="1" applyBorder="1" applyFont="1">
      <alignment horizontal="center"/>
    </xf>
    <xf borderId="13" fillId="0" fontId="8" numFmtId="0" xfId="0" applyBorder="1" applyFont="1"/>
    <xf borderId="10" fillId="0" fontId="7" numFmtId="0" xfId="0" applyBorder="1" applyFont="1"/>
    <xf borderId="18" fillId="0" fontId="7" numFmtId="0" xfId="0" applyBorder="1" applyFont="1"/>
    <xf borderId="13" fillId="0" fontId="8" numFmtId="4" xfId="0" applyAlignment="1" applyBorder="1" applyFont="1" applyNumberFormat="1">
      <alignment horizontal="right" shrinkToFit="0" vertical="center" wrapText="1"/>
    </xf>
    <xf borderId="13" fillId="0" fontId="8" numFmtId="49" xfId="0" applyAlignment="1" applyBorder="1" applyFont="1" applyNumberFormat="1">
      <alignment horizontal="center" shrinkToFit="0" vertical="center" wrapText="1"/>
    </xf>
    <xf borderId="13" fillId="0" fontId="8" numFmtId="49" xfId="0" applyAlignment="1" applyBorder="1" applyFont="1" applyNumberFormat="1">
      <alignment horizontal="left" shrinkToFit="0" vertical="center" wrapText="1"/>
    </xf>
    <xf borderId="13" fillId="0" fontId="9" numFmtId="49" xfId="0" applyAlignment="1" applyBorder="1" applyFont="1" applyNumberFormat="1">
      <alignment horizontal="center"/>
    </xf>
    <xf borderId="13" fillId="0" fontId="8" numFmtId="49" xfId="0" applyAlignment="1" applyBorder="1" applyFont="1" applyNumberFormat="1">
      <alignment horizontal="left" vertical="center"/>
    </xf>
    <xf borderId="13" fillId="0" fontId="8" numFmtId="49" xfId="0" applyBorder="1" applyFont="1" applyNumberFormat="1"/>
    <xf borderId="13" fillId="0" fontId="8" numFmtId="49" xfId="0" applyAlignment="1" applyBorder="1" applyFont="1" applyNumberFormat="1">
      <alignment shrinkToFit="0" wrapText="1"/>
    </xf>
    <xf borderId="13" fillId="0" fontId="8" numFmtId="2" xfId="0" applyAlignment="1" applyBorder="1" applyFont="1" applyNumberFormat="1">
      <alignment horizontal="right" shrinkToFit="0" vertical="center" wrapText="1"/>
    </xf>
    <xf borderId="19" fillId="0" fontId="7" numFmtId="0" xfId="0" applyBorder="1" applyFont="1"/>
    <xf borderId="13" fillId="3" fontId="6" numFmtId="0" xfId="0" applyAlignment="1" applyBorder="1" applyFill="1" applyFont="1">
      <alignment horizontal="center" shrinkToFit="0" vertical="center" wrapText="1"/>
    </xf>
    <xf borderId="13" fillId="3" fontId="9" numFmtId="49" xfId="0" applyAlignment="1" applyBorder="1" applyFont="1" applyNumberFormat="1">
      <alignment horizontal="center"/>
    </xf>
    <xf borderId="20" fillId="3" fontId="8" numFmtId="49" xfId="0" applyAlignment="1" applyBorder="1" applyFont="1" applyNumberFormat="1">
      <alignment horizontal="left" shrinkToFit="0" vertical="center" wrapText="1"/>
    </xf>
    <xf borderId="13" fillId="3" fontId="8" numFmtId="0" xfId="0" applyAlignment="1" applyBorder="1" applyFont="1">
      <alignment horizontal="center" vertical="center"/>
    </xf>
    <xf borderId="21" fillId="3" fontId="8" numFmtId="4" xfId="0" applyAlignment="1" applyBorder="1" applyFont="1" applyNumberFormat="1">
      <alignment horizontal="right" shrinkToFit="0" vertical="center" wrapText="1"/>
    </xf>
    <xf borderId="22" fillId="3" fontId="8" numFmtId="4" xfId="0" applyAlignment="1" applyBorder="1" applyFont="1" applyNumberFormat="1">
      <alignment horizontal="right" shrinkToFit="0" vertical="center" wrapText="1"/>
    </xf>
    <xf borderId="23" fillId="3" fontId="8" numFmtId="0" xfId="0" applyAlignment="1" applyBorder="1" applyFont="1">
      <alignment horizontal="center" vertical="center"/>
    </xf>
    <xf borderId="13" fillId="3" fontId="8" numFmtId="0" xfId="0" applyAlignment="1" applyBorder="1" applyFont="1">
      <alignment horizontal="center"/>
    </xf>
    <xf borderId="13" fillId="3" fontId="8" numFmtId="0" xfId="0" applyBorder="1" applyFont="1"/>
    <xf borderId="24" fillId="3" fontId="8" numFmtId="0" xfId="0" applyBorder="1" applyFont="1"/>
    <xf borderId="24" fillId="3" fontId="2" numFmtId="0" xfId="0" applyBorder="1" applyFont="1"/>
    <xf borderId="13" fillId="2" fontId="8" numFmtId="0" xfId="0" applyAlignment="1" applyBorder="1" applyFont="1">
      <alignment horizontal="center" shrinkToFit="0" wrapText="1"/>
    </xf>
    <xf borderId="13" fillId="2" fontId="8" numFmtId="49" xfId="0" applyAlignment="1" applyBorder="1" applyFont="1" applyNumberFormat="1">
      <alignment horizontal="center"/>
    </xf>
    <xf borderId="13" fillId="2" fontId="6" numFmtId="49" xfId="0" applyAlignment="1" applyBorder="1" applyFont="1" applyNumberFormat="1">
      <alignment shrinkToFit="0" wrapText="1"/>
    </xf>
    <xf borderId="25" fillId="2" fontId="8" numFmtId="0" xfId="0" applyAlignment="1" applyBorder="1" applyFont="1">
      <alignment horizontal="center" shrinkToFit="0" vertical="center" wrapText="1"/>
    </xf>
    <xf borderId="13" fillId="2" fontId="8" numFmtId="4" xfId="0" applyAlignment="1" applyBorder="1" applyFont="1" applyNumberFormat="1">
      <alignment horizontal="right" shrinkToFit="0" vertical="center" wrapText="1"/>
    </xf>
    <xf borderId="13" fillId="2" fontId="8" numFmtId="164" xfId="0" applyAlignment="1" applyBorder="1" applyFont="1" applyNumberFormat="1">
      <alignment horizontal="center" shrinkToFit="0" vertical="center" wrapText="1"/>
    </xf>
    <xf borderId="15" fillId="0" fontId="8" numFmtId="0" xfId="0" applyAlignment="1" applyBorder="1" applyFont="1">
      <alignment horizontal="center" shrinkToFit="0" vertical="center" wrapText="1"/>
    </xf>
    <xf borderId="15" fillId="0" fontId="8" numFmtId="164" xfId="0" applyAlignment="1" applyBorder="1" applyFont="1" applyNumberFormat="1">
      <alignment horizontal="center" shrinkToFit="0" vertical="center" wrapText="1"/>
    </xf>
    <xf borderId="13" fillId="0" fontId="8" numFmtId="0" xfId="0" applyAlignment="1" applyBorder="1" applyFont="1">
      <alignment horizontal="center"/>
    </xf>
    <xf borderId="13" fillId="0" fontId="9" numFmtId="49" xfId="0" applyAlignment="1" applyBorder="1" applyFont="1" applyNumberFormat="1">
      <alignment horizontal="center" vertical="top"/>
    </xf>
    <xf borderId="13" fillId="0" fontId="9" numFmtId="49" xfId="0" applyAlignment="1" applyBorder="1" applyFont="1" applyNumberFormat="1">
      <alignment horizontal="center" vertical="center"/>
    </xf>
    <xf borderId="13" fillId="0" fontId="8" numFmtId="49" xfId="0" applyAlignment="1" applyBorder="1" applyFont="1" applyNumberFormat="1">
      <alignment shrinkToFit="0" vertical="center" wrapText="1"/>
    </xf>
    <xf borderId="13" fillId="3" fontId="8" numFmtId="49" xfId="0" applyAlignment="1" applyBorder="1" applyFont="1" applyNumberFormat="1">
      <alignment horizontal="center" shrinkToFit="0" wrapText="1"/>
    </xf>
    <xf borderId="13" fillId="3" fontId="8" numFmtId="49" xfId="0" applyAlignment="1" applyBorder="1" applyFont="1" applyNumberFormat="1">
      <alignment shrinkToFit="0" wrapText="1"/>
    </xf>
    <xf borderId="13" fillId="3" fontId="8" numFmtId="0" xfId="0" applyAlignment="1" applyBorder="1" applyFont="1">
      <alignment horizontal="center" shrinkToFit="0" vertical="center" wrapText="1"/>
    </xf>
    <xf borderId="13" fillId="3" fontId="8" numFmtId="4" xfId="0" applyAlignment="1" applyBorder="1" applyFont="1" applyNumberFormat="1">
      <alignment horizontal="right" shrinkToFit="0" vertical="center" wrapText="1"/>
    </xf>
    <xf borderId="13" fillId="3" fontId="8" numFmtId="164" xfId="0" applyAlignment="1" applyBorder="1" applyFont="1" applyNumberForma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13" fillId="0" fontId="8" numFmtId="164" xfId="0" applyAlignment="1" applyBorder="1" applyFont="1" applyNumberFormat="1">
      <alignment horizontal="center" shrinkToFit="0" vertical="center" wrapText="1"/>
    </xf>
    <xf borderId="13" fillId="0" fontId="8" numFmtId="0" xfId="0" applyAlignment="1" applyBorder="1" applyFont="1">
      <alignment horizontal="center" vertical="center"/>
    </xf>
    <xf borderId="13" fillId="0" fontId="8" numFmtId="49" xfId="0" applyAlignment="1" applyBorder="1" applyFont="1" applyNumberFormat="1">
      <alignment horizontal="center" vertical="center"/>
    </xf>
    <xf borderId="13" fillId="0" fontId="8" numFmtId="49" xfId="0" applyAlignment="1" applyBorder="1" applyFont="1" applyNumberFormat="1">
      <alignment vertical="center"/>
    </xf>
    <xf borderId="15" fillId="0" fontId="8" numFmtId="164" xfId="0" applyAlignment="1" applyBorder="1" applyFont="1" applyNumberFormat="1">
      <alignment shrinkToFit="0" vertical="center" wrapText="1"/>
    </xf>
    <xf borderId="13" fillId="3" fontId="8" numFmtId="49" xfId="0" applyAlignment="1" applyBorder="1" applyFont="1" applyNumberFormat="1">
      <alignment horizontal="center" shrinkToFit="0" vertical="center" wrapText="1"/>
    </xf>
    <xf borderId="13" fillId="3" fontId="8" numFmtId="49" xfId="0" applyAlignment="1" applyBorder="1" applyFont="1" applyNumberFormat="1">
      <alignment shrinkToFit="0" vertical="center" wrapText="1"/>
    </xf>
    <xf borderId="14" fillId="3" fontId="8" numFmtId="0" xfId="0" applyAlignment="1" applyBorder="1" applyFont="1">
      <alignment horizontal="center" shrinkToFit="0" vertical="center" wrapText="1"/>
    </xf>
    <xf borderId="13" fillId="3" fontId="8" numFmtId="164" xfId="0" applyAlignment="1" applyBorder="1" applyFont="1" applyNumberFormat="1">
      <alignment shrinkToFit="0" vertical="center" wrapText="1"/>
    </xf>
    <xf borderId="14" fillId="3" fontId="8" numFmtId="0" xfId="0" applyAlignment="1" applyBorder="1" applyFont="1">
      <alignment horizontal="center" vertical="center"/>
    </xf>
    <xf borderId="13" fillId="0" fontId="8" numFmtId="164" xfId="0" applyAlignment="1" applyBorder="1" applyFont="1" applyNumberFormat="1">
      <alignment shrinkToFit="0" vertical="center" wrapText="1"/>
    </xf>
    <xf borderId="13" fillId="3" fontId="9" numFmtId="49" xfId="0" applyAlignment="1" applyBorder="1" applyFont="1" applyNumberFormat="1">
      <alignment horizontal="center" vertical="center"/>
    </xf>
    <xf borderId="25" fillId="3" fontId="8" numFmtId="165" xfId="0" applyAlignment="1" applyBorder="1" applyFont="1" applyNumberFormat="1">
      <alignment vertical="center"/>
    </xf>
    <xf borderId="25" fillId="3" fontId="8" numFmtId="165" xfId="0" applyBorder="1" applyFont="1" applyNumberFormat="1"/>
    <xf borderId="13" fillId="2" fontId="6" numFmtId="0" xfId="0" applyBorder="1" applyFont="1"/>
    <xf borderId="13" fillId="2" fontId="8" numFmtId="0" xfId="0" applyAlignment="1" applyBorder="1" applyFont="1">
      <alignment horizontal="center"/>
    </xf>
    <xf borderId="13" fillId="2" fontId="8" numFmtId="4" xfId="0" applyAlignment="1" applyBorder="1" applyFont="1" applyNumberFormat="1">
      <alignment horizontal="right"/>
    </xf>
    <xf borderId="13" fillId="2" fontId="8" numFmtId="0" xfId="0" applyAlignment="1" applyBorder="1" applyFont="1">
      <alignment horizontal="center" shrinkToFit="0" vertical="center" wrapText="1"/>
    </xf>
    <xf borderId="13" fillId="0" fontId="9" numFmtId="0" xfId="0" applyAlignment="1" applyBorder="1" applyFont="1">
      <alignment horizontal="center" vertical="center"/>
    </xf>
    <xf borderId="15" fillId="0" fontId="8" numFmtId="4" xfId="0" applyAlignment="1" applyBorder="1" applyFont="1" applyNumberFormat="1">
      <alignment vertical="center"/>
    </xf>
    <xf borderId="15" fillId="4" fontId="10" numFmtId="0" xfId="0" applyAlignment="1" applyBorder="1" applyFill="1" applyFont="1">
      <alignment horizontal="center" vertical="center"/>
    </xf>
    <xf borderId="0" fillId="0" fontId="2" numFmtId="4" xfId="0" applyFont="1" applyNumberFormat="1"/>
    <xf borderId="13" fillId="0" fontId="8" numFmtId="0" xfId="0" applyAlignment="1" applyBorder="1" applyFont="1">
      <alignment horizontal="left" shrinkToFit="0" vertical="center" wrapText="1"/>
    </xf>
    <xf borderId="13" fillId="0" fontId="8" numFmtId="49" xfId="0" applyAlignment="1" applyBorder="1" applyFont="1" applyNumberFormat="1">
      <alignment horizontal="center"/>
    </xf>
    <xf borderId="13" fillId="3" fontId="9" numFmtId="0" xfId="0" applyAlignment="1" applyBorder="1" applyFont="1">
      <alignment horizontal="center" vertical="center"/>
    </xf>
    <xf borderId="13" fillId="3" fontId="8" numFmtId="0" xfId="0" applyAlignment="1" applyBorder="1" applyFont="1">
      <alignment horizontal="left" shrinkToFit="0" vertical="center" wrapText="1"/>
    </xf>
    <xf borderId="25" fillId="3" fontId="8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13" fillId="3" fontId="8" numFmtId="49" xfId="0" applyAlignment="1" applyBorder="1" applyFont="1" applyNumberFormat="1">
      <alignment vertical="center"/>
    </xf>
    <xf borderId="13" fillId="3" fontId="8" numFmtId="49" xfId="0" applyAlignment="1" applyBorder="1" applyFont="1" applyNumberFormat="1">
      <alignment horizontal="center" vertical="center"/>
    </xf>
    <xf borderId="13" fillId="2" fontId="6" numFmtId="0" xfId="0" applyAlignment="1" applyBorder="1" applyFont="1">
      <alignment horizontal="center" vertical="center"/>
    </xf>
    <xf borderId="13" fillId="5" fontId="6" numFmtId="0" xfId="0" applyAlignment="1" applyBorder="1" applyFill="1" applyFont="1">
      <alignment horizontal="left" vertical="center"/>
    </xf>
    <xf borderId="13" fillId="5" fontId="8" numFmtId="0" xfId="0" applyAlignment="1" applyBorder="1" applyFont="1">
      <alignment horizontal="center" shrinkToFit="0" vertical="center" wrapText="1"/>
    </xf>
    <xf borderId="13" fillId="5" fontId="8" numFmtId="4" xfId="0" applyAlignment="1" applyBorder="1" applyFont="1" applyNumberFormat="1">
      <alignment horizontal="right" shrinkToFit="0" vertical="center" wrapText="1"/>
    </xf>
    <xf borderId="13" fillId="5" fontId="8" numFmtId="164" xfId="0" applyAlignment="1" applyBorder="1" applyFont="1" applyNumberFormat="1">
      <alignment horizontal="center" shrinkToFit="0" vertical="center" wrapText="1"/>
    </xf>
    <xf borderId="13" fillId="5" fontId="8" numFmtId="0" xfId="0" applyBorder="1" applyFont="1"/>
    <xf borderId="13" fillId="5" fontId="8" numFmtId="0" xfId="0" applyAlignment="1" applyBorder="1" applyFont="1">
      <alignment horizontal="center" vertical="center"/>
    </xf>
    <xf borderId="13" fillId="6" fontId="8" numFmtId="0" xfId="0" applyAlignment="1" applyBorder="1" applyFill="1" applyFont="1">
      <alignment horizontal="center" vertical="center"/>
    </xf>
    <xf borderId="13" fillId="6" fontId="8" numFmtId="0" xfId="0" applyBorder="1" applyFont="1"/>
    <xf borderId="13" fillId="4" fontId="8" numFmtId="0" xfId="0" applyAlignment="1" applyBorder="1" applyFont="1">
      <alignment shrinkToFit="0" vertical="center" wrapText="1"/>
    </xf>
    <xf borderId="13" fillId="4" fontId="8" numFmtId="0" xfId="0" applyAlignment="1" applyBorder="1" applyFont="1">
      <alignment horizontal="center" vertical="center"/>
    </xf>
    <xf borderId="13" fillId="4" fontId="8" numFmtId="4" xfId="0" applyAlignment="1" applyBorder="1" applyFont="1" applyNumberFormat="1">
      <alignment horizontal="right" vertical="center"/>
    </xf>
    <xf borderId="13" fillId="4" fontId="8" numFmtId="164" xfId="0" applyAlignment="1" applyBorder="1" applyFont="1" applyNumberFormat="1">
      <alignment horizontal="center" vertical="center"/>
    </xf>
    <xf borderId="13" fillId="4" fontId="8" numFmtId="0" xfId="0" applyAlignment="1" applyBorder="1" applyFont="1">
      <alignment horizontal="center" shrinkToFit="0" vertical="center" wrapText="1"/>
    </xf>
    <xf borderId="13" fillId="4" fontId="6" numFmtId="0" xfId="0" applyAlignment="1" applyBorder="1" applyFont="1">
      <alignment horizontal="center" shrinkToFit="0" vertical="center" wrapText="1"/>
    </xf>
    <xf borderId="13" fillId="4" fontId="8" numFmtId="0" xfId="0" applyAlignment="1" applyBorder="1" applyFont="1">
      <alignment horizontal="left" vertical="center"/>
    </xf>
    <xf borderId="13" fillId="4" fontId="8" numFmtId="4" xfId="0" applyAlignment="1" applyBorder="1" applyFont="1" applyNumberFormat="1">
      <alignment horizontal="right" shrinkToFit="0" vertical="center" wrapText="1"/>
    </xf>
    <xf borderId="13" fillId="4" fontId="8" numFmtId="164" xfId="0" applyAlignment="1" applyBorder="1" applyFont="1" applyNumberFormat="1">
      <alignment horizontal="center" shrinkToFit="0" vertical="center" wrapText="1"/>
    </xf>
    <xf borderId="13" fillId="4" fontId="8" numFmtId="0" xfId="0" applyBorder="1" applyFont="1"/>
    <xf borderId="24" fillId="4" fontId="8" numFmtId="0" xfId="0" applyBorder="1" applyFont="1"/>
    <xf borderId="24" fillId="4" fontId="2" numFmtId="0" xfId="0" applyBorder="1" applyFont="1"/>
    <xf borderId="13" fillId="3" fontId="8" numFmtId="0" xfId="0" applyAlignment="1" applyBorder="1" applyFont="1">
      <alignment horizontal="left" vertical="center"/>
    </xf>
    <xf borderId="13" fillId="2" fontId="6" numFmtId="0" xfId="0" applyAlignment="1" applyBorder="1" applyFont="1">
      <alignment horizontal="left" shrinkToFit="0" vertical="center" wrapText="1"/>
    </xf>
    <xf borderId="13" fillId="2" fontId="8" numFmtId="0" xfId="0" applyAlignment="1" applyBorder="1" applyFont="1">
      <alignment horizontal="center" vertical="center"/>
    </xf>
    <xf borderId="14" fillId="2" fontId="8" numFmtId="0" xfId="0" applyAlignment="1" applyBorder="1" applyFont="1">
      <alignment horizontal="center" vertical="center"/>
    </xf>
    <xf borderId="26" fillId="2" fontId="8" numFmtId="0" xfId="0" applyBorder="1" applyFont="1"/>
    <xf borderId="27" fillId="2" fontId="8" numFmtId="0" xfId="0" applyAlignment="1" applyBorder="1" applyFont="1">
      <alignment horizontal="center" vertical="center"/>
    </xf>
    <xf borderId="14" fillId="2" fontId="8" numFmtId="0" xfId="0" applyBorder="1" applyFont="1"/>
    <xf borderId="24" fillId="2" fontId="8" numFmtId="0" xfId="0" applyBorder="1" applyFont="1"/>
    <xf borderId="24" fillId="2" fontId="2" numFmtId="0" xfId="0" applyBorder="1" applyFont="1"/>
    <xf borderId="26" fillId="3" fontId="8" numFmtId="0" xfId="0" applyBorder="1" applyFont="1"/>
    <xf borderId="14" fillId="3" fontId="8" numFmtId="0" xfId="0" applyBorder="1" applyFont="1"/>
    <xf borderId="13" fillId="2" fontId="6" numFmtId="0" xfId="0" applyAlignment="1" applyBorder="1" applyFont="1">
      <alignment horizontal="left" vertical="center"/>
    </xf>
    <xf borderId="26" fillId="2" fontId="2" numFmtId="0" xfId="0" applyBorder="1" applyFont="1"/>
    <xf borderId="27" fillId="2" fontId="2" numFmtId="0" xfId="0" applyBorder="1" applyFont="1"/>
    <xf borderId="20" fillId="3" fontId="8" numFmtId="0" xfId="0" applyAlignment="1" applyBorder="1" applyFont="1">
      <alignment horizontal="center" vertical="center"/>
    </xf>
    <xf borderId="13" fillId="3" fontId="2" numFmtId="0" xfId="0" applyBorder="1" applyFont="1"/>
    <xf borderId="0" fillId="0" fontId="6" numFmtId="0" xfId="0" applyAlignment="1" applyFont="1">
      <alignment vertical="center"/>
    </xf>
    <xf borderId="0" fillId="0" fontId="11" numFmtId="0" xfId="0" applyAlignment="1" applyFont="1">
      <alignment vertical="center"/>
    </xf>
    <xf borderId="28" fillId="0" fontId="12" numFmtId="166" xfId="0" applyBorder="1" applyFont="1" applyNumberFormat="1"/>
    <xf borderId="0" fillId="0" fontId="13" numFmtId="0" xfId="0" applyAlignment="1" applyFont="1">
      <alignment vertical="center"/>
    </xf>
    <xf borderId="0" fillId="0" fontId="1" numFmtId="164" xfId="0" applyAlignment="1" applyFont="1" applyNumberFormat="1">
      <alignment horizontal="center"/>
    </xf>
    <xf borderId="0" fillId="0" fontId="8" numFmtId="0" xfId="0" applyAlignment="1" applyFont="1">
      <alignment horizontal="left"/>
    </xf>
    <xf borderId="19" fillId="0" fontId="6" numFmtId="0" xfId="0" applyAlignment="1" applyBorder="1" applyFont="1">
      <alignment vertical="center"/>
    </xf>
    <xf borderId="19" fillId="0" fontId="2" numFmtId="0" xfId="0" applyAlignment="1" applyBorder="1" applyFont="1">
      <alignment vertical="center"/>
    </xf>
    <xf borderId="29" fillId="0" fontId="1" numFmtId="164" xfId="0" applyAlignment="1" applyBorder="1" applyFont="1" applyNumberFormat="1">
      <alignment horizontal="center"/>
    </xf>
    <xf borderId="30" fillId="0" fontId="7" numFmtId="0" xfId="0" applyBorder="1" applyFont="1"/>
    <xf borderId="31" fillId="0" fontId="7" numFmtId="0" xfId="0" applyBorder="1" applyFont="1"/>
    <xf borderId="0" fillId="0" fontId="11" numFmtId="0" xfId="0" applyFont="1"/>
    <xf borderId="0" fillId="0" fontId="11" numFmtId="164" xfId="0" applyAlignment="1" applyFont="1" applyNumberFormat="1">
      <alignment horizontal="center"/>
    </xf>
    <xf borderId="13" fillId="0" fontId="6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32" fillId="0" fontId="1" numFmtId="164" xfId="0" applyAlignment="1" applyBorder="1" applyFont="1" applyNumberFormat="1">
      <alignment horizontal="center"/>
    </xf>
    <xf borderId="33" fillId="0" fontId="7" numFmtId="0" xfId="0" applyBorder="1" applyFont="1"/>
    <xf borderId="17" fillId="0" fontId="7" numFmtId="0" xfId="0" applyBorder="1" applyFont="1"/>
    <xf borderId="0" fillId="0" fontId="14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0" fontId="12" numFmtId="0" xfId="0" applyFont="1"/>
    <xf borderId="0" fillId="0" fontId="15" numFmtId="0" xfId="0" applyAlignment="1" applyFont="1">
      <alignment vertical="center"/>
    </xf>
    <xf borderId="0" fillId="0" fontId="15" numFmtId="0" xfId="0" applyAlignment="1" applyFont="1">
      <alignment horizontal="left" vertical="center"/>
    </xf>
    <xf borderId="0" fillId="0" fontId="16" numFmtId="0" xfId="0" applyAlignment="1" applyFont="1">
      <alignment horizontal="left" vertical="center"/>
    </xf>
    <xf borderId="0" fillId="0" fontId="11" numFmtId="0" xfId="0" applyAlignment="1" applyFont="1">
      <alignment horizontal="left" vertical="center"/>
    </xf>
    <xf borderId="0" fillId="0" fontId="17" numFmtId="4" xfId="0" applyAlignment="1" applyFont="1" applyNumberFormat="1">
      <alignment horizontal="right"/>
    </xf>
    <xf borderId="0" fillId="0" fontId="2" numFmtId="0" xfId="0" applyAlignment="1" applyFont="1">
      <alignment horizontal="center" readingOrder="0"/>
    </xf>
    <xf borderId="0" fillId="4" fontId="2" numFmtId="0" xfId="0" applyFont="1"/>
    <xf borderId="0" fillId="4" fontId="18" numFmtId="0" xfId="0" applyFont="1"/>
    <xf borderId="0" fillId="4" fontId="8" numFmtId="0" xfId="0" applyFont="1"/>
    <xf borderId="34" fillId="0" fontId="6" numFmtId="0" xfId="0" applyAlignment="1" applyBorder="1" applyFont="1">
      <alignment horizontal="center"/>
    </xf>
    <xf borderId="18" fillId="4" fontId="8" numFmtId="0" xfId="0" applyBorder="1" applyFont="1"/>
    <xf quotePrefix="1" borderId="0" fillId="0" fontId="6" numFmtId="0" xfId="0" applyAlignment="1" applyFont="1">
      <alignment horizontal="center" shrinkToFit="0" wrapText="1"/>
    </xf>
    <xf borderId="32" fillId="2" fontId="6" numFmtId="0" xfId="0" applyAlignment="1" applyBorder="1" applyFont="1">
      <alignment horizontal="center" shrinkToFit="0" vertical="center" wrapText="1"/>
    </xf>
    <xf borderId="15" fillId="0" fontId="8" numFmtId="0" xfId="0" applyAlignment="1" applyBorder="1" applyFont="1">
      <alignment horizontal="center" readingOrder="0" vertical="center"/>
    </xf>
    <xf borderId="32" fillId="0" fontId="8" numFmtId="0" xfId="0" applyBorder="1" applyFont="1"/>
    <xf borderId="13" fillId="2" fontId="9" numFmtId="49" xfId="0" applyAlignment="1" applyBorder="1" applyFont="1" applyNumberFormat="1">
      <alignment horizontal="center"/>
    </xf>
    <xf borderId="14" fillId="2" fontId="6" numFmtId="49" xfId="0" applyBorder="1" applyFont="1" applyNumberFormat="1"/>
    <xf borderId="13" fillId="2" fontId="2" numFmtId="0" xfId="0" applyBorder="1" applyFont="1"/>
    <xf borderId="25" fillId="2" fontId="8" numFmtId="4" xfId="0" applyAlignment="1" applyBorder="1" applyFont="1" applyNumberFormat="1">
      <alignment horizontal="right" shrinkToFit="0" vertical="center" wrapText="1"/>
    </xf>
    <xf borderId="35" fillId="2" fontId="2" numFmtId="0" xfId="0" applyBorder="1" applyFont="1"/>
    <xf borderId="36" fillId="2" fontId="2" numFmtId="0" xfId="0" applyBorder="1" applyFont="1"/>
    <xf borderId="21" fillId="2" fontId="8" numFmtId="0" xfId="0" applyAlignment="1" applyBorder="1" applyFont="1">
      <alignment horizontal="center"/>
    </xf>
    <xf borderId="32" fillId="2" fontId="8" numFmtId="0" xfId="0" applyBorder="1" applyFont="1"/>
    <xf borderId="32" fillId="0" fontId="9" numFmtId="49" xfId="0" applyAlignment="1" applyBorder="1" applyFont="1" applyNumberFormat="1">
      <alignment horizontal="center"/>
    </xf>
    <xf borderId="13" fillId="0" fontId="9" numFmtId="0" xfId="0" applyBorder="1" applyFont="1"/>
    <xf borderId="31" fillId="0" fontId="8" numFmtId="0" xfId="0" applyAlignment="1" applyBorder="1" applyFont="1">
      <alignment horizontal="center" vertical="center"/>
    </xf>
    <xf borderId="32" fillId="0" fontId="8" numFmtId="4" xfId="0" applyAlignment="1" applyBorder="1" applyFont="1" applyNumberFormat="1">
      <alignment horizontal="right" shrinkToFit="0" vertical="center" wrapText="1"/>
    </xf>
    <xf borderId="33" fillId="0" fontId="8" numFmtId="4" xfId="0" applyAlignment="1" applyBorder="1" applyFont="1" applyNumberFormat="1">
      <alignment horizontal="right" shrinkToFit="0" vertical="center" wrapText="1"/>
    </xf>
    <xf borderId="15" fillId="0" fontId="6" numFmtId="0" xfId="0" applyAlignment="1" applyBorder="1" applyFont="1">
      <alignment horizontal="center" shrinkToFit="0" vertical="center" wrapText="1"/>
    </xf>
    <xf borderId="16" fillId="0" fontId="9" numFmtId="49" xfId="0" applyAlignment="1" applyBorder="1" applyFont="1" applyNumberFormat="1">
      <alignment horizontal="center"/>
    </xf>
    <xf borderId="37" fillId="0" fontId="8" numFmtId="4" xfId="0" applyAlignment="1" applyBorder="1" applyFont="1" applyNumberFormat="1">
      <alignment horizontal="right" shrinkToFit="0" vertical="center" wrapText="1"/>
    </xf>
    <xf borderId="38" fillId="0" fontId="8" numFmtId="0" xfId="0" applyAlignment="1" applyBorder="1" applyFont="1">
      <alignment horizontal="center"/>
    </xf>
    <xf borderId="15" fillId="0" fontId="8" numFmtId="0" xfId="0" applyBorder="1" applyFont="1"/>
    <xf borderId="16" fillId="0" fontId="8" numFmtId="0" xfId="0" applyBorder="1" applyFont="1"/>
    <xf borderId="24" fillId="2" fontId="19" numFmtId="0" xfId="0" applyBorder="1" applyFont="1"/>
    <xf borderId="13" fillId="2" fontId="8" numFmtId="4" xfId="0" applyAlignment="1" applyBorder="1" applyFont="1" applyNumberFormat="1">
      <alignment horizontal="center" vertical="center"/>
    </xf>
    <xf borderId="13" fillId="2" fontId="2" numFmtId="0" xfId="0" applyAlignment="1" applyBorder="1" applyFont="1">
      <alignment horizontal="center" vertical="center"/>
    </xf>
    <xf borderId="13" fillId="0" fontId="9" numFmtId="0" xfId="0" applyAlignment="1" applyBorder="1" applyFont="1">
      <alignment shrinkToFit="0" wrapText="1"/>
    </xf>
    <xf borderId="25" fillId="2" fontId="8" numFmtId="0" xfId="0" applyAlignment="1" applyBorder="1" applyFont="1">
      <alignment horizontal="center" shrinkToFit="0" wrapText="1"/>
    </xf>
    <xf borderId="25" fillId="2" fontId="8" numFmtId="49" xfId="0" applyAlignment="1" applyBorder="1" applyFont="1" applyNumberFormat="1">
      <alignment horizontal="center"/>
    </xf>
    <xf borderId="25" fillId="2" fontId="6" numFmtId="49" xfId="0" applyAlignment="1" applyBorder="1" applyFont="1" applyNumberFormat="1">
      <alignment shrinkToFit="0" wrapText="1"/>
    </xf>
    <xf borderId="25" fillId="2" fontId="8" numFmtId="164" xfId="0" applyAlignment="1" applyBorder="1" applyFont="1" applyNumberFormat="1">
      <alignment horizontal="center" shrinkToFit="0" vertical="center" wrapText="1"/>
    </xf>
    <xf borderId="25" fillId="2" fontId="8" numFmtId="0" xfId="0" applyBorder="1" applyFont="1"/>
    <xf borderId="39" fillId="2" fontId="8" numFmtId="0" xfId="0" applyBorder="1" applyFont="1"/>
    <xf borderId="15" fillId="0" fontId="8" numFmtId="165" xfId="0" applyAlignment="1" applyBorder="1" applyFont="1" applyNumberFormat="1">
      <alignment horizontal="center" readingOrder="0" vertical="center"/>
    </xf>
    <xf borderId="13" fillId="0" fontId="8" numFmtId="49" xfId="0" applyAlignment="1" applyBorder="1" applyFont="1" applyNumberFormat="1">
      <alignment readingOrder="0" shrinkToFit="0" wrapText="1"/>
    </xf>
    <xf borderId="13" fillId="0" fontId="8" numFmtId="4" xfId="0" applyAlignment="1" applyBorder="1" applyFont="1" applyNumberFormat="1">
      <alignment horizontal="right" readingOrder="0" shrinkToFit="0" vertical="center" wrapText="1"/>
    </xf>
    <xf borderId="13" fillId="0" fontId="8" numFmtId="0" xfId="0" applyAlignment="1" applyBorder="1" applyFont="1">
      <alignment horizontal="center" readingOrder="0"/>
    </xf>
    <xf borderId="15" fillId="0" fontId="8" numFmtId="4" xfId="0" applyAlignment="1" applyBorder="1" applyFont="1" applyNumberFormat="1">
      <alignment horizontal="right" shrinkToFit="0" vertical="center" wrapText="1"/>
    </xf>
    <xf borderId="15" fillId="0" fontId="8" numFmtId="164" xfId="0" applyAlignment="1" applyBorder="1" applyFont="1" applyNumberFormat="1">
      <alignment horizontal="center" vertical="center"/>
    </xf>
    <xf borderId="13" fillId="0" fontId="8" numFmtId="49" xfId="0" applyAlignment="1" applyBorder="1" applyFont="1" applyNumberFormat="1">
      <alignment horizontal="center" shrinkToFit="0" wrapText="1"/>
    </xf>
    <xf borderId="0" fillId="0" fontId="8" numFmtId="0" xfId="0" applyAlignment="1" applyFont="1">
      <alignment horizontal="center" vertical="center"/>
    </xf>
    <xf borderId="15" fillId="0" fontId="8" numFmtId="165" xfId="0" applyAlignment="1" applyBorder="1" applyFont="1" applyNumberFormat="1">
      <alignment horizontal="center" vertical="center"/>
    </xf>
    <xf borderId="13" fillId="0" fontId="8" numFmtId="0" xfId="0" applyAlignment="1" applyBorder="1" applyFont="1">
      <alignment horizontal="left" readingOrder="0" shrinkToFit="0" vertical="center" wrapText="1"/>
    </xf>
    <xf borderId="13" fillId="7" fontId="6" numFmtId="0" xfId="0" applyAlignment="1" applyBorder="1" applyFill="1" applyFont="1">
      <alignment horizontal="center" shrinkToFit="0" vertical="center" wrapText="1"/>
    </xf>
    <xf borderId="13" fillId="7" fontId="9" numFmtId="49" xfId="0" applyAlignment="1" applyBorder="1" applyFont="1" applyNumberFormat="1">
      <alignment horizontal="center" vertical="center"/>
    </xf>
    <xf borderId="13" fillId="7" fontId="8" numFmtId="49" xfId="0" applyAlignment="1" applyBorder="1" applyFont="1" applyNumberFormat="1">
      <alignment vertical="center"/>
    </xf>
    <xf borderId="13" fillId="7" fontId="8" numFmtId="0" xfId="0" applyAlignment="1" applyBorder="1" applyFont="1">
      <alignment horizontal="center" shrinkToFit="0" vertical="center" wrapText="1"/>
    </xf>
    <xf borderId="13" fillId="7" fontId="8" numFmtId="4" xfId="0" applyAlignment="1" applyBorder="1" applyFont="1" applyNumberFormat="1">
      <alignment horizontal="right" shrinkToFit="0" vertical="center" wrapText="1"/>
    </xf>
    <xf borderId="13" fillId="7" fontId="8" numFmtId="164" xfId="0" applyAlignment="1" applyBorder="1" applyFont="1" applyNumberFormat="1">
      <alignment horizontal="center" shrinkToFit="0" vertical="center" wrapText="1"/>
    </xf>
    <xf borderId="13" fillId="7" fontId="8" numFmtId="0" xfId="0" applyAlignment="1" applyBorder="1" applyFont="1">
      <alignment horizontal="center" vertical="center"/>
    </xf>
    <xf borderId="13" fillId="7" fontId="8" numFmtId="0" xfId="0" applyBorder="1" applyFont="1"/>
    <xf borderId="13" fillId="8" fontId="6" numFmtId="0" xfId="0" applyAlignment="1" applyBorder="1" applyFill="1" applyFont="1">
      <alignment horizontal="center" shrinkToFit="0" vertical="center" wrapText="1"/>
    </xf>
    <xf borderId="13" fillId="8" fontId="6" numFmtId="0" xfId="0" applyAlignment="1" applyBorder="1" applyFont="1">
      <alignment horizontal="center" vertical="center"/>
    </xf>
    <xf borderId="13" fillId="8" fontId="6" numFmtId="0" xfId="0" applyAlignment="1" applyBorder="1" applyFont="1">
      <alignment horizontal="left" vertical="center"/>
    </xf>
    <xf borderId="13" fillId="8" fontId="8" numFmtId="0" xfId="0" applyAlignment="1" applyBorder="1" applyFont="1">
      <alignment horizontal="center" shrinkToFit="0" vertical="center" wrapText="1"/>
    </xf>
    <xf borderId="13" fillId="8" fontId="8" numFmtId="4" xfId="0" applyAlignment="1" applyBorder="1" applyFont="1" applyNumberFormat="1">
      <alignment horizontal="right" shrinkToFit="0" vertical="center" wrapText="1"/>
    </xf>
    <xf borderId="13" fillId="8" fontId="8" numFmtId="164" xfId="0" applyAlignment="1" applyBorder="1" applyFont="1" applyNumberFormat="1">
      <alignment horizontal="center" shrinkToFit="0" vertical="center" wrapText="1"/>
    </xf>
    <xf borderId="13" fillId="8" fontId="8" numFmtId="0" xfId="0" applyBorder="1" applyFont="1"/>
    <xf borderId="13" fillId="8" fontId="8" numFmtId="0" xfId="0" applyAlignment="1" applyBorder="1" applyFont="1">
      <alignment horizontal="center" vertical="center"/>
    </xf>
    <xf borderId="13" fillId="4" fontId="8" numFmtId="0" xfId="0" applyAlignment="1" applyBorder="1" applyFont="1">
      <alignment horizontal="center" readingOrder="0" shrinkToFit="0" vertical="center" wrapText="1"/>
    </xf>
    <xf borderId="13" fillId="4" fontId="8" numFmtId="4" xfId="0" applyAlignment="1" applyBorder="1" applyFont="1" applyNumberFormat="1">
      <alignment horizontal="right" readingOrder="0" shrinkToFit="0" vertical="center" wrapText="1"/>
    </xf>
    <xf borderId="13" fillId="4" fontId="8" numFmtId="164" xfId="0" applyAlignment="1" applyBorder="1" applyFont="1" applyNumberFormat="1">
      <alignment horizontal="center" readingOrder="0" shrinkToFit="0" vertical="center" wrapText="1"/>
    </xf>
    <xf borderId="13" fillId="4" fontId="8" numFmtId="0" xfId="0" applyAlignment="1" applyBorder="1" applyFont="1">
      <alignment horizontal="center" readingOrder="0" vertical="center"/>
    </xf>
    <xf borderId="13" fillId="7" fontId="8" numFmtId="0" xfId="0" applyAlignment="1" applyBorder="1" applyFont="1">
      <alignment horizontal="left" shrinkToFit="0" vertical="center" wrapText="1"/>
    </xf>
    <xf borderId="15" fillId="7" fontId="8" numFmtId="0" xfId="0" applyAlignment="1" applyBorder="1" applyFont="1">
      <alignment horizontal="center" shrinkToFit="0" vertical="center" wrapText="1"/>
    </xf>
    <xf borderId="15" fillId="7" fontId="8" numFmtId="164" xfId="0" applyAlignment="1" applyBorder="1" applyFont="1" applyNumberFormat="1">
      <alignment horizontal="center" shrinkToFit="0" vertical="center" wrapText="1"/>
    </xf>
    <xf borderId="14" fillId="7" fontId="8" numFmtId="0" xfId="0" applyAlignment="1" applyBorder="1" applyFont="1">
      <alignment horizontal="center" vertical="center"/>
    </xf>
    <xf borderId="26" fillId="7" fontId="8" numFmtId="0" xfId="0" applyBorder="1" applyFont="1"/>
    <xf borderId="14" fillId="7" fontId="8" numFmtId="0" xfId="0" applyBorder="1" applyFont="1"/>
    <xf borderId="24" fillId="7" fontId="8" numFmtId="0" xfId="0" applyBorder="1" applyFont="1"/>
    <xf borderId="24" fillId="7" fontId="2" numFmtId="0" xfId="0" applyBorder="1" applyFont="1"/>
    <xf borderId="13" fillId="7" fontId="8" numFmtId="0" xfId="0" applyAlignment="1" applyBorder="1" applyFont="1">
      <alignment horizontal="left" vertical="center"/>
    </xf>
    <xf borderId="20" fillId="7" fontId="8" numFmtId="0" xfId="0" applyAlignment="1" applyBorder="1" applyFont="1">
      <alignment horizontal="center" vertical="center"/>
    </xf>
    <xf borderId="13" fillId="7" fontId="8" numFmtId="0" xfId="0" applyAlignment="1" applyBorder="1" applyFont="1">
      <alignment horizontal="center"/>
    </xf>
    <xf borderId="13" fillId="7" fontId="2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16.63"/>
    <col customWidth="1" min="3" max="3" width="37.88"/>
    <col customWidth="1" min="4" max="4" width="11.63"/>
    <col customWidth="1" min="5" max="5" width="10.13"/>
    <col customWidth="1" min="6" max="6" width="14.5"/>
    <col customWidth="1" min="7" max="7" width="23.25"/>
    <col customWidth="1" min="8" max="8" width="16.63"/>
    <col customWidth="1" min="9" max="13" width="7.63"/>
    <col customWidth="1" min="14" max="34" width="0.38"/>
    <col customWidth="1" min="35" max="35" width="22.63"/>
    <col customWidth="1" min="36" max="37" width="7.63"/>
  </cols>
  <sheetData>
    <row r="1">
      <c r="A1" s="1" t="s">
        <v>0</v>
      </c>
      <c r="AJ1" s="2"/>
      <c r="AK1" s="2"/>
    </row>
    <row r="2">
      <c r="A2" s="3" t="s">
        <v>1</v>
      </c>
      <c r="AJ2" s="2"/>
      <c r="AK2" s="2"/>
    </row>
    <row r="3">
      <c r="A3" s="4"/>
      <c r="AJ3" s="2"/>
      <c r="AK3" s="2"/>
    </row>
    <row r="4">
      <c r="A4" s="5" t="s">
        <v>2</v>
      </c>
      <c r="B4" s="6"/>
      <c r="C4" s="6"/>
      <c r="D4" s="6"/>
      <c r="E4" s="7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2"/>
      <c r="AJ4" s="2"/>
      <c r="AK4" s="2"/>
    </row>
    <row r="5">
      <c r="A5" s="8"/>
      <c r="B5" s="6"/>
      <c r="C5" s="6"/>
      <c r="D5" s="2"/>
      <c r="E5" s="9"/>
      <c r="F5" s="10"/>
      <c r="G5" s="11"/>
      <c r="H5" s="1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>
      <c r="A6" s="5" t="s">
        <v>3</v>
      </c>
      <c r="B6" s="6"/>
      <c r="C6" s="6"/>
      <c r="D6" s="2"/>
      <c r="E6" s="9"/>
      <c r="F6" s="10"/>
      <c r="G6" s="11"/>
      <c r="H6" s="1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>
      <c r="A7" s="8" t="s">
        <v>4</v>
      </c>
      <c r="B7" s="6"/>
      <c r="C7" s="6"/>
      <c r="D7" s="2"/>
      <c r="E7" s="9"/>
      <c r="F7" s="10"/>
      <c r="G7" s="11"/>
      <c r="H7" s="1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 ht="22.5" customHeight="1">
      <c r="A8" s="12" t="s">
        <v>5</v>
      </c>
      <c r="B8" s="13" t="s">
        <v>6</v>
      </c>
      <c r="C8" s="13" t="s">
        <v>7</v>
      </c>
      <c r="D8" s="14" t="s">
        <v>8</v>
      </c>
      <c r="E8" s="15" t="s">
        <v>9</v>
      </c>
      <c r="F8" s="16" t="s">
        <v>10</v>
      </c>
      <c r="G8" s="13" t="s">
        <v>11</v>
      </c>
      <c r="H8" s="13" t="s">
        <v>12</v>
      </c>
      <c r="I8" s="17" t="s">
        <v>13</v>
      </c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9"/>
      <c r="AJ8" s="20"/>
      <c r="AK8" s="20"/>
    </row>
    <row r="9">
      <c r="A9" s="21"/>
      <c r="B9" s="22"/>
      <c r="C9" s="22"/>
      <c r="D9" s="23" t="s">
        <v>14</v>
      </c>
      <c r="E9" s="22"/>
      <c r="F9" s="22"/>
      <c r="G9" s="22"/>
      <c r="H9" s="22"/>
      <c r="I9" s="23" t="s">
        <v>15</v>
      </c>
      <c r="J9" s="23" t="s">
        <v>16</v>
      </c>
      <c r="K9" s="23" t="s">
        <v>17</v>
      </c>
      <c r="L9" s="24" t="s">
        <v>18</v>
      </c>
      <c r="M9" s="24" t="s">
        <v>19</v>
      </c>
      <c r="N9" s="23" t="s">
        <v>20</v>
      </c>
      <c r="O9" s="23" t="s">
        <v>21</v>
      </c>
      <c r="P9" s="23" t="s">
        <v>22</v>
      </c>
      <c r="Q9" s="23" t="s">
        <v>23</v>
      </c>
      <c r="R9" s="23" t="s">
        <v>24</v>
      </c>
      <c r="S9" s="23" t="s">
        <v>25</v>
      </c>
      <c r="T9" s="23" t="s">
        <v>26</v>
      </c>
      <c r="U9" s="23" t="s">
        <v>27</v>
      </c>
      <c r="V9" s="23" t="s">
        <v>28</v>
      </c>
      <c r="W9" s="23" t="s">
        <v>29</v>
      </c>
      <c r="X9" s="23" t="s">
        <v>30</v>
      </c>
      <c r="Y9" s="23" t="s">
        <v>31</v>
      </c>
      <c r="Z9" s="23" t="s">
        <v>32</v>
      </c>
      <c r="AA9" s="23" t="s">
        <v>33</v>
      </c>
      <c r="AB9" s="23" t="s">
        <v>34</v>
      </c>
      <c r="AC9" s="23" t="s">
        <v>35</v>
      </c>
      <c r="AD9" s="23" t="s">
        <v>36</v>
      </c>
      <c r="AE9" s="23" t="s">
        <v>37</v>
      </c>
      <c r="AF9" s="23" t="s">
        <v>38</v>
      </c>
      <c r="AG9" s="23" t="s">
        <v>39</v>
      </c>
      <c r="AH9" s="23" t="s">
        <v>40</v>
      </c>
      <c r="AI9" s="25" t="s">
        <v>41</v>
      </c>
      <c r="AJ9" s="26"/>
      <c r="AK9" s="20"/>
    </row>
    <row r="10">
      <c r="A10" s="27" t="s">
        <v>42</v>
      </c>
      <c r="B10" s="28" t="s">
        <v>43</v>
      </c>
      <c r="C10" s="28" t="s">
        <v>44</v>
      </c>
      <c r="D10" s="28" t="s">
        <v>45</v>
      </c>
      <c r="E10" s="29" t="s">
        <v>46</v>
      </c>
      <c r="F10" s="30" t="s">
        <v>47</v>
      </c>
      <c r="G10" s="28" t="s">
        <v>48</v>
      </c>
      <c r="H10" s="28" t="s">
        <v>49</v>
      </c>
      <c r="I10" s="28" t="s">
        <v>50</v>
      </c>
      <c r="J10" s="28" t="s">
        <v>51</v>
      </c>
      <c r="K10" s="28" t="s">
        <v>52</v>
      </c>
      <c r="L10" s="28" t="s">
        <v>53</v>
      </c>
      <c r="M10" s="28" t="s">
        <v>54</v>
      </c>
      <c r="N10" s="28" t="s">
        <v>55</v>
      </c>
      <c r="O10" s="28" t="s">
        <v>56</v>
      </c>
      <c r="P10" s="28" t="s">
        <v>57</v>
      </c>
      <c r="Q10" s="28" t="s">
        <v>58</v>
      </c>
      <c r="R10" s="28" t="s">
        <v>59</v>
      </c>
      <c r="S10" s="28" t="s">
        <v>60</v>
      </c>
      <c r="T10" s="28" t="s">
        <v>61</v>
      </c>
      <c r="U10" s="28" t="s">
        <v>62</v>
      </c>
      <c r="V10" s="28" t="s">
        <v>63</v>
      </c>
      <c r="W10" s="28" t="s">
        <v>64</v>
      </c>
      <c r="X10" s="28" t="s">
        <v>65</v>
      </c>
      <c r="Y10" s="28" t="s">
        <v>66</v>
      </c>
      <c r="Z10" s="28" t="s">
        <v>67</v>
      </c>
      <c r="AA10" s="28" t="s">
        <v>68</v>
      </c>
      <c r="AB10" s="28" t="s">
        <v>69</v>
      </c>
      <c r="AC10" s="28" t="s">
        <v>70</v>
      </c>
      <c r="AD10" s="28" t="s">
        <v>71</v>
      </c>
      <c r="AE10" s="28" t="s">
        <v>72</v>
      </c>
      <c r="AF10" s="28" t="s">
        <v>73</v>
      </c>
      <c r="AG10" s="28" t="s">
        <v>74</v>
      </c>
      <c r="AH10" s="28" t="s">
        <v>75</v>
      </c>
      <c r="AI10" s="31" t="s">
        <v>76</v>
      </c>
      <c r="AJ10" s="20"/>
      <c r="AK10" s="20"/>
    </row>
    <row r="11">
      <c r="A11" s="32" t="s">
        <v>77</v>
      </c>
      <c r="B11" s="33"/>
      <c r="C11" s="34" t="s">
        <v>78</v>
      </c>
      <c r="D11" s="35"/>
      <c r="E11" s="36"/>
      <c r="F11" s="37"/>
      <c r="G11" s="35"/>
      <c r="H11" s="38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20"/>
      <c r="AK11" s="20"/>
    </row>
    <row r="12">
      <c r="A12" s="39"/>
      <c r="B12" s="40"/>
      <c r="C12" s="40" t="s">
        <v>79</v>
      </c>
      <c r="D12" s="41" t="s">
        <v>80</v>
      </c>
      <c r="E12" s="42">
        <v>50.0</v>
      </c>
      <c r="F12" s="43">
        <v>207450.0</v>
      </c>
      <c r="G12" s="44" t="s">
        <v>81</v>
      </c>
      <c r="H12" s="41" t="s">
        <v>82</v>
      </c>
      <c r="I12" s="45">
        <v>50.0</v>
      </c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20"/>
      <c r="AK12" s="20"/>
    </row>
    <row r="13">
      <c r="A13" s="39"/>
      <c r="B13" s="40"/>
      <c r="C13" s="40" t="s">
        <v>83</v>
      </c>
      <c r="D13" s="47"/>
      <c r="E13" s="42">
        <v>50.0</v>
      </c>
      <c r="F13" s="47"/>
      <c r="G13" s="48"/>
      <c r="H13" s="47"/>
      <c r="I13" s="45">
        <v>50.0</v>
      </c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20"/>
      <c r="AK13" s="20"/>
    </row>
    <row r="14">
      <c r="A14" s="39"/>
      <c r="B14" s="40"/>
      <c r="C14" s="40" t="s">
        <v>84</v>
      </c>
      <c r="D14" s="47"/>
      <c r="E14" s="49">
        <v>50.0</v>
      </c>
      <c r="F14" s="47"/>
      <c r="G14" s="48"/>
      <c r="H14" s="47"/>
      <c r="I14" s="45">
        <v>50.0</v>
      </c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20"/>
      <c r="AK14" s="20"/>
    </row>
    <row r="15">
      <c r="A15" s="39"/>
      <c r="B15" s="50"/>
      <c r="C15" s="51" t="s">
        <v>85</v>
      </c>
      <c r="D15" s="47"/>
      <c r="E15" s="49">
        <v>500.0</v>
      </c>
      <c r="F15" s="47"/>
      <c r="G15" s="48"/>
      <c r="H15" s="47"/>
      <c r="I15" s="45">
        <v>30.0</v>
      </c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20"/>
      <c r="AK15" s="20"/>
    </row>
    <row r="16">
      <c r="A16" s="39"/>
      <c r="B16" s="52" t="s">
        <v>86</v>
      </c>
      <c r="C16" s="53" t="s">
        <v>87</v>
      </c>
      <c r="D16" s="47"/>
      <c r="E16" s="49">
        <v>100.0</v>
      </c>
      <c r="F16" s="47"/>
      <c r="G16" s="48"/>
      <c r="H16" s="47"/>
      <c r="I16" s="45">
        <v>15.0</v>
      </c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20"/>
      <c r="AK16" s="20"/>
    </row>
    <row r="17">
      <c r="A17" s="39"/>
      <c r="B17" s="52" t="s">
        <v>88</v>
      </c>
      <c r="C17" s="54" t="s">
        <v>89</v>
      </c>
      <c r="D17" s="47"/>
      <c r="E17" s="49">
        <v>380.0</v>
      </c>
      <c r="F17" s="47"/>
      <c r="G17" s="48"/>
      <c r="H17" s="47"/>
      <c r="I17" s="45">
        <v>150.0</v>
      </c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20"/>
      <c r="AK17" s="20"/>
    </row>
    <row r="18">
      <c r="A18" s="39"/>
      <c r="B18" s="52" t="s">
        <v>90</v>
      </c>
      <c r="C18" s="54" t="s">
        <v>91</v>
      </c>
      <c r="D18" s="47"/>
      <c r="E18" s="49">
        <v>380.0</v>
      </c>
      <c r="F18" s="47"/>
      <c r="G18" s="48"/>
      <c r="H18" s="47"/>
      <c r="I18" s="45">
        <v>100.0</v>
      </c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20"/>
      <c r="AK18" s="20"/>
    </row>
    <row r="19">
      <c r="A19" s="39"/>
      <c r="B19" s="52" t="s">
        <v>92</v>
      </c>
      <c r="C19" s="54" t="s">
        <v>93</v>
      </c>
      <c r="D19" s="47"/>
      <c r="E19" s="49">
        <v>125.0</v>
      </c>
      <c r="F19" s="47"/>
      <c r="G19" s="48"/>
      <c r="H19" s="47"/>
      <c r="I19" s="45">
        <v>50.0</v>
      </c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20"/>
      <c r="AK19" s="20"/>
    </row>
    <row r="20">
      <c r="A20" s="39"/>
      <c r="B20" s="52" t="s">
        <v>94</v>
      </c>
      <c r="C20" s="54" t="s">
        <v>95</v>
      </c>
      <c r="D20" s="47"/>
      <c r="E20" s="49">
        <v>75.0</v>
      </c>
      <c r="F20" s="47"/>
      <c r="G20" s="48"/>
      <c r="H20" s="47"/>
      <c r="I20" s="45">
        <v>50.0</v>
      </c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20"/>
      <c r="AK20" s="20"/>
    </row>
    <row r="21">
      <c r="A21" s="39"/>
      <c r="B21" s="52" t="s">
        <v>96</v>
      </c>
      <c r="C21" s="54" t="s">
        <v>97</v>
      </c>
      <c r="D21" s="47"/>
      <c r="E21" s="49">
        <v>75.0</v>
      </c>
      <c r="F21" s="47"/>
      <c r="G21" s="48"/>
      <c r="H21" s="47"/>
      <c r="I21" s="45">
        <v>50.0</v>
      </c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20"/>
      <c r="AK21" s="20"/>
    </row>
    <row r="22" ht="21.75" customHeight="1">
      <c r="A22" s="39"/>
      <c r="B22" s="52" t="s">
        <v>98</v>
      </c>
      <c r="C22" s="55" t="s">
        <v>99</v>
      </c>
      <c r="D22" s="47"/>
      <c r="E22" s="56">
        <v>500.0</v>
      </c>
      <c r="F22" s="47"/>
      <c r="G22" s="48"/>
      <c r="H22" s="47"/>
      <c r="I22" s="45">
        <v>30.0</v>
      </c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20"/>
      <c r="AK22" s="20"/>
    </row>
    <row r="23" ht="15.75" customHeight="1">
      <c r="A23" s="39"/>
      <c r="B23" s="52" t="s">
        <v>100</v>
      </c>
      <c r="C23" s="53" t="s">
        <v>101</v>
      </c>
      <c r="D23" s="47"/>
      <c r="E23" s="49">
        <v>1800.0</v>
      </c>
      <c r="F23" s="47"/>
      <c r="G23" s="48"/>
      <c r="H23" s="47"/>
      <c r="I23" s="45">
        <v>2.0</v>
      </c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20"/>
      <c r="AK23" s="20"/>
    </row>
    <row r="24" ht="15.75" customHeight="1">
      <c r="A24" s="39"/>
      <c r="B24" s="52" t="s">
        <v>102</v>
      </c>
      <c r="C24" s="54" t="s">
        <v>103</v>
      </c>
      <c r="D24" s="47"/>
      <c r="E24" s="49">
        <v>5000.0</v>
      </c>
      <c r="F24" s="47"/>
      <c r="G24" s="48"/>
      <c r="H24" s="47"/>
      <c r="I24" s="45">
        <v>3.0</v>
      </c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20"/>
      <c r="AK24" s="20"/>
    </row>
    <row r="25" ht="15.75" customHeight="1">
      <c r="A25" s="39"/>
      <c r="B25" s="52" t="s">
        <v>104</v>
      </c>
      <c r="C25" s="54" t="s">
        <v>105</v>
      </c>
      <c r="D25" s="47"/>
      <c r="E25" s="49">
        <v>250.0</v>
      </c>
      <c r="F25" s="47"/>
      <c r="G25" s="48"/>
      <c r="H25" s="47"/>
      <c r="I25" s="45">
        <v>30.0</v>
      </c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20"/>
      <c r="AK25" s="20"/>
    </row>
    <row r="26" ht="15.75" customHeight="1">
      <c r="A26" s="39"/>
      <c r="B26" s="52" t="s">
        <v>106</v>
      </c>
      <c r="C26" s="54" t="s">
        <v>107</v>
      </c>
      <c r="D26" s="47"/>
      <c r="E26" s="49">
        <v>120.0</v>
      </c>
      <c r="F26" s="47"/>
      <c r="G26" s="48"/>
      <c r="H26" s="47"/>
      <c r="I26" s="45">
        <v>30.0</v>
      </c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20"/>
      <c r="AK26" s="20"/>
    </row>
    <row r="27" ht="15.75" customHeight="1">
      <c r="A27" s="39"/>
      <c r="B27" s="52" t="s">
        <v>108</v>
      </c>
      <c r="C27" s="54" t="s">
        <v>109</v>
      </c>
      <c r="D27" s="47"/>
      <c r="E27" s="49">
        <v>100.0</v>
      </c>
      <c r="F27" s="47"/>
      <c r="G27" s="48"/>
      <c r="H27" s="47"/>
      <c r="I27" s="45">
        <v>30.0</v>
      </c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20"/>
      <c r="AK27" s="20"/>
    </row>
    <row r="28" ht="15.75" customHeight="1">
      <c r="A28" s="39"/>
      <c r="B28" s="52" t="s">
        <v>110</v>
      </c>
      <c r="C28" s="53" t="s">
        <v>111</v>
      </c>
      <c r="D28" s="47"/>
      <c r="E28" s="49">
        <v>150.0</v>
      </c>
      <c r="F28" s="47"/>
      <c r="G28" s="48"/>
      <c r="H28" s="47"/>
      <c r="I28" s="45">
        <v>50.0</v>
      </c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20"/>
      <c r="AK28" s="20"/>
    </row>
    <row r="29" ht="15.75" customHeight="1">
      <c r="A29" s="39"/>
      <c r="B29" s="52" t="s">
        <v>112</v>
      </c>
      <c r="C29" s="53" t="s">
        <v>113</v>
      </c>
      <c r="D29" s="47"/>
      <c r="E29" s="49">
        <v>60.0</v>
      </c>
      <c r="F29" s="47"/>
      <c r="G29" s="48"/>
      <c r="H29" s="47"/>
      <c r="I29" s="45">
        <v>50.0</v>
      </c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20"/>
      <c r="AK29" s="20"/>
    </row>
    <row r="30" ht="15.75" customHeight="1">
      <c r="A30" s="39"/>
      <c r="B30" s="52" t="s">
        <v>114</v>
      </c>
      <c r="C30" s="54" t="s">
        <v>115</v>
      </c>
      <c r="D30" s="47"/>
      <c r="E30" s="49">
        <v>150.0</v>
      </c>
      <c r="F30" s="47"/>
      <c r="G30" s="48"/>
      <c r="H30" s="47"/>
      <c r="I30" s="45">
        <v>50.0</v>
      </c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20"/>
      <c r="AK30" s="20"/>
    </row>
    <row r="31" ht="15.75" customHeight="1">
      <c r="A31" s="39"/>
      <c r="B31" s="52" t="s">
        <v>116</v>
      </c>
      <c r="C31" s="54" t="s">
        <v>117</v>
      </c>
      <c r="D31" s="47"/>
      <c r="E31" s="49">
        <v>150.0</v>
      </c>
      <c r="F31" s="47"/>
      <c r="G31" s="48"/>
      <c r="H31" s="47"/>
      <c r="I31" s="45">
        <v>50.0</v>
      </c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20"/>
      <c r="AK31" s="20"/>
    </row>
    <row r="32" ht="15.75" customHeight="1">
      <c r="A32" s="39"/>
      <c r="B32" s="52" t="s">
        <v>118</v>
      </c>
      <c r="C32" s="53" t="s">
        <v>119</v>
      </c>
      <c r="D32" s="47"/>
      <c r="E32" s="49">
        <v>50.0</v>
      </c>
      <c r="F32" s="47"/>
      <c r="G32" s="48"/>
      <c r="H32" s="57"/>
      <c r="I32" s="45">
        <v>30.0</v>
      </c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20"/>
      <c r="AK32" s="20"/>
    </row>
    <row r="33" ht="27.0" customHeight="1">
      <c r="A33" s="58"/>
      <c r="B33" s="59"/>
      <c r="C33" s="60" t="s">
        <v>120</v>
      </c>
      <c r="D33" s="61" t="s">
        <v>80</v>
      </c>
      <c r="E33" s="62">
        <v>50000.0</v>
      </c>
      <c r="F33" s="63">
        <v>50000.0</v>
      </c>
      <c r="G33" s="61" t="s">
        <v>81</v>
      </c>
      <c r="H33" s="64" t="s">
        <v>121</v>
      </c>
      <c r="I33" s="65"/>
      <c r="J33" s="66"/>
      <c r="K33" s="61">
        <v>1.0</v>
      </c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7"/>
      <c r="AK33" s="67"/>
      <c r="AL33" s="68"/>
      <c r="AM33" s="68"/>
      <c r="AN33" s="68"/>
    </row>
    <row r="34" ht="15.75" customHeight="1">
      <c r="A34" s="69" t="s">
        <v>122</v>
      </c>
      <c r="B34" s="70"/>
      <c r="C34" s="71" t="s">
        <v>123</v>
      </c>
      <c r="D34" s="72"/>
      <c r="E34" s="73"/>
      <c r="F34" s="74"/>
      <c r="G34" s="72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20"/>
      <c r="AK34" s="20"/>
    </row>
    <row r="35" ht="15.75" customHeight="1">
      <c r="A35" s="39"/>
      <c r="B35" s="52" t="s">
        <v>124</v>
      </c>
      <c r="C35" s="54" t="s">
        <v>125</v>
      </c>
      <c r="D35" s="75" t="s">
        <v>80</v>
      </c>
      <c r="E35" s="49">
        <v>250.0</v>
      </c>
      <c r="F35" s="76">
        <v>177050.0</v>
      </c>
      <c r="G35" s="75" t="s">
        <v>81</v>
      </c>
      <c r="H35" s="41" t="s">
        <v>121</v>
      </c>
      <c r="I35" s="77">
        <v>50.0</v>
      </c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20"/>
      <c r="AK35" s="20"/>
    </row>
    <row r="36">
      <c r="A36" s="39"/>
      <c r="B36" s="52" t="s">
        <v>126</v>
      </c>
      <c r="C36" s="55" t="s">
        <v>127</v>
      </c>
      <c r="D36" s="47"/>
      <c r="E36" s="49">
        <v>280.0</v>
      </c>
      <c r="F36" s="47"/>
      <c r="G36" s="47"/>
      <c r="H36" s="47"/>
      <c r="I36" s="77">
        <v>50.0</v>
      </c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20"/>
      <c r="AK36" s="20"/>
    </row>
    <row r="37" ht="15.75" customHeight="1">
      <c r="A37" s="39"/>
      <c r="B37" s="78" t="s">
        <v>128</v>
      </c>
      <c r="C37" s="54" t="s">
        <v>129</v>
      </c>
      <c r="D37" s="47"/>
      <c r="E37" s="49">
        <v>950.0</v>
      </c>
      <c r="F37" s="47"/>
      <c r="G37" s="47"/>
      <c r="H37" s="47"/>
      <c r="I37" s="77">
        <v>15.0</v>
      </c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20"/>
      <c r="AK37" s="20"/>
    </row>
    <row r="38" ht="15.75" customHeight="1">
      <c r="A38" s="39"/>
      <c r="B38" s="78" t="s">
        <v>130</v>
      </c>
      <c r="C38" s="54" t="s">
        <v>131</v>
      </c>
      <c r="D38" s="47"/>
      <c r="E38" s="49">
        <v>850.0</v>
      </c>
      <c r="F38" s="47"/>
      <c r="G38" s="47"/>
      <c r="H38" s="47"/>
      <c r="I38" s="77">
        <v>15.0</v>
      </c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20"/>
      <c r="AK38" s="20"/>
    </row>
    <row r="39" ht="15.75" customHeight="1">
      <c r="A39" s="39"/>
      <c r="B39" s="52" t="s">
        <v>132</v>
      </c>
      <c r="C39" s="54" t="s">
        <v>133</v>
      </c>
      <c r="D39" s="47"/>
      <c r="E39" s="49">
        <v>220.0</v>
      </c>
      <c r="F39" s="47"/>
      <c r="G39" s="47"/>
      <c r="H39" s="47"/>
      <c r="I39" s="77">
        <v>10.0</v>
      </c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20"/>
      <c r="AK39" s="20"/>
    </row>
    <row r="40" ht="15.75" customHeight="1">
      <c r="A40" s="39"/>
      <c r="B40" s="52" t="s">
        <v>134</v>
      </c>
      <c r="C40" s="54" t="s">
        <v>135</v>
      </c>
      <c r="D40" s="47"/>
      <c r="E40" s="49">
        <v>230.0</v>
      </c>
      <c r="F40" s="47"/>
      <c r="G40" s="47"/>
      <c r="H40" s="47"/>
      <c r="I40" s="77">
        <v>20.0</v>
      </c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20"/>
      <c r="AK40" s="20"/>
    </row>
    <row r="41" ht="15.75" customHeight="1">
      <c r="A41" s="39"/>
      <c r="B41" s="52" t="s">
        <v>136</v>
      </c>
      <c r="C41" s="54" t="s">
        <v>137</v>
      </c>
      <c r="D41" s="47"/>
      <c r="E41" s="49">
        <v>250.0</v>
      </c>
      <c r="F41" s="47"/>
      <c r="G41" s="47"/>
      <c r="H41" s="47"/>
      <c r="I41" s="77">
        <v>30.0</v>
      </c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20"/>
      <c r="AK41" s="20"/>
    </row>
    <row r="42" ht="15.75" customHeight="1">
      <c r="A42" s="39"/>
      <c r="B42" s="79" t="s">
        <v>138</v>
      </c>
      <c r="C42" s="80" t="s">
        <v>139</v>
      </c>
      <c r="D42" s="47"/>
      <c r="E42" s="49">
        <v>350.0</v>
      </c>
      <c r="F42" s="47"/>
      <c r="G42" s="47"/>
      <c r="H42" s="47"/>
      <c r="I42" s="77">
        <v>30.0</v>
      </c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20"/>
      <c r="AK42" s="20"/>
    </row>
    <row r="43" ht="15.75" customHeight="1">
      <c r="A43" s="39"/>
      <c r="B43" s="52" t="s">
        <v>140</v>
      </c>
      <c r="C43" s="54" t="s">
        <v>141</v>
      </c>
      <c r="D43" s="47"/>
      <c r="E43" s="49">
        <v>350.0</v>
      </c>
      <c r="F43" s="47"/>
      <c r="G43" s="47"/>
      <c r="H43" s="47"/>
      <c r="I43" s="77">
        <v>25.0</v>
      </c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20"/>
      <c r="AK43" s="20"/>
    </row>
    <row r="44" ht="15.75" customHeight="1">
      <c r="A44" s="39"/>
      <c r="B44" s="52" t="s">
        <v>142</v>
      </c>
      <c r="C44" s="54" t="s">
        <v>143</v>
      </c>
      <c r="D44" s="47"/>
      <c r="E44" s="49">
        <v>1500.0</v>
      </c>
      <c r="F44" s="47"/>
      <c r="G44" s="47"/>
      <c r="H44" s="47"/>
      <c r="I44" s="77">
        <v>30.0</v>
      </c>
      <c r="J44" s="77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20"/>
      <c r="AK44" s="20"/>
    </row>
    <row r="45" ht="15.75" customHeight="1">
      <c r="A45" s="39"/>
      <c r="B45" s="52" t="s">
        <v>144</v>
      </c>
      <c r="C45" s="54" t="s">
        <v>145</v>
      </c>
      <c r="D45" s="57"/>
      <c r="E45" s="49">
        <v>1500.0</v>
      </c>
      <c r="F45" s="57"/>
      <c r="G45" s="57"/>
      <c r="H45" s="57"/>
      <c r="I45" s="77">
        <v>30.0</v>
      </c>
      <c r="J45" s="77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20"/>
      <c r="AK45" s="20"/>
    </row>
    <row r="46">
      <c r="A46" s="58"/>
      <c r="B46" s="81"/>
      <c r="C46" s="82" t="s">
        <v>146</v>
      </c>
      <c r="D46" s="83" t="s">
        <v>147</v>
      </c>
      <c r="E46" s="84">
        <v>15000.0</v>
      </c>
      <c r="F46" s="85">
        <v>30000.0</v>
      </c>
      <c r="G46" s="83" t="s">
        <v>81</v>
      </c>
      <c r="H46" s="61" t="s">
        <v>148</v>
      </c>
      <c r="I46" s="61"/>
      <c r="J46" s="61"/>
      <c r="K46" s="61">
        <v>2.0</v>
      </c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7"/>
      <c r="AK46" s="67"/>
      <c r="AL46" s="68"/>
      <c r="AM46" s="68"/>
      <c r="AN46" s="68"/>
    </row>
    <row r="47">
      <c r="A47" s="39"/>
      <c r="B47" s="50"/>
      <c r="C47" s="80" t="s">
        <v>149</v>
      </c>
      <c r="D47" s="86" t="s">
        <v>147</v>
      </c>
      <c r="E47" s="49">
        <v>20000.0</v>
      </c>
      <c r="F47" s="87">
        <v>40000.0</v>
      </c>
      <c r="G47" s="86" t="s">
        <v>81</v>
      </c>
      <c r="H47" s="88" t="s">
        <v>148</v>
      </c>
      <c r="I47" s="88"/>
      <c r="J47" s="88"/>
      <c r="K47" s="88">
        <v>2.0</v>
      </c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20"/>
      <c r="AK47" s="20"/>
    </row>
    <row r="48">
      <c r="A48" s="39"/>
      <c r="B48" s="89"/>
      <c r="C48" s="90" t="s">
        <v>150</v>
      </c>
      <c r="D48" s="75" t="s">
        <v>151</v>
      </c>
      <c r="E48" s="49">
        <v>6000.0</v>
      </c>
      <c r="F48" s="91">
        <v>18000.0</v>
      </c>
      <c r="G48" s="75" t="s">
        <v>81</v>
      </c>
      <c r="H48" s="41" t="s">
        <v>148</v>
      </c>
      <c r="I48" s="77">
        <v>3.0</v>
      </c>
      <c r="J48" s="77"/>
      <c r="K48" s="88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20"/>
      <c r="AK48" s="20"/>
    </row>
    <row r="49">
      <c r="A49" s="39"/>
      <c r="B49" s="89"/>
      <c r="C49" s="90" t="s">
        <v>152</v>
      </c>
      <c r="D49" s="75" t="s">
        <v>151</v>
      </c>
      <c r="E49" s="49">
        <v>8500.0</v>
      </c>
      <c r="F49" s="91">
        <v>25500.0</v>
      </c>
      <c r="G49" s="75" t="s">
        <v>81</v>
      </c>
      <c r="H49" s="41" t="s">
        <v>148</v>
      </c>
      <c r="I49" s="77">
        <v>3.0</v>
      </c>
      <c r="J49" s="77"/>
      <c r="K49" s="88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20"/>
      <c r="AK49" s="20"/>
    </row>
    <row r="50">
      <c r="A50" s="39"/>
      <c r="B50" s="50"/>
      <c r="C50" s="80" t="s">
        <v>153</v>
      </c>
      <c r="D50" s="75" t="s">
        <v>154</v>
      </c>
      <c r="E50" s="49">
        <v>5000.0</v>
      </c>
      <c r="F50" s="91">
        <v>20000.0</v>
      </c>
      <c r="G50" s="75" t="s">
        <v>81</v>
      </c>
      <c r="H50" s="41" t="s">
        <v>148</v>
      </c>
      <c r="I50" s="77">
        <v>4.0</v>
      </c>
      <c r="J50" s="77"/>
      <c r="K50" s="88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20"/>
      <c r="AK50" s="20"/>
    </row>
    <row r="51">
      <c r="A51" s="58"/>
      <c r="B51" s="92"/>
      <c r="C51" s="93" t="s">
        <v>155</v>
      </c>
      <c r="D51" s="94" t="s">
        <v>156</v>
      </c>
      <c r="E51" s="84">
        <v>10000.0</v>
      </c>
      <c r="F51" s="95">
        <v>50000.0</v>
      </c>
      <c r="G51" s="94" t="s">
        <v>81</v>
      </c>
      <c r="H51" s="96" t="s">
        <v>148</v>
      </c>
      <c r="I51" s="65"/>
      <c r="J51" s="65"/>
      <c r="K51" s="61">
        <v>5.0</v>
      </c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7"/>
      <c r="AK51" s="67"/>
      <c r="AL51" s="68"/>
      <c r="AM51" s="68"/>
      <c r="AN51" s="68"/>
    </row>
    <row r="52">
      <c r="A52" s="39"/>
      <c r="B52" s="50"/>
      <c r="C52" s="80" t="s">
        <v>157</v>
      </c>
      <c r="D52" s="75" t="s">
        <v>158</v>
      </c>
      <c r="E52" s="49">
        <v>10000.0</v>
      </c>
      <c r="F52" s="97">
        <v>20000.0</v>
      </c>
      <c r="G52" s="75" t="s">
        <v>81</v>
      </c>
      <c r="H52" s="41" t="s">
        <v>148</v>
      </c>
      <c r="I52" s="77">
        <v>2.0</v>
      </c>
      <c r="J52" s="77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20"/>
      <c r="AK52" s="20"/>
    </row>
    <row r="53">
      <c r="A53" s="58"/>
      <c r="B53" s="98" t="s">
        <v>159</v>
      </c>
      <c r="C53" s="93" t="s">
        <v>160</v>
      </c>
      <c r="D53" s="94" t="s">
        <v>156</v>
      </c>
      <c r="E53" s="84">
        <v>10000.0</v>
      </c>
      <c r="F53" s="99">
        <v>50000.0</v>
      </c>
      <c r="G53" s="94" t="s">
        <v>81</v>
      </c>
      <c r="H53" s="96" t="s">
        <v>148</v>
      </c>
      <c r="I53" s="65"/>
      <c r="J53" s="65"/>
      <c r="K53" s="61">
        <v>5.0</v>
      </c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7"/>
      <c r="AK53" s="67"/>
      <c r="AL53" s="68"/>
      <c r="AM53" s="68"/>
      <c r="AN53" s="68"/>
    </row>
    <row r="54">
      <c r="A54" s="58"/>
      <c r="B54" s="59" t="s">
        <v>159</v>
      </c>
      <c r="C54" s="93" t="s">
        <v>161</v>
      </c>
      <c r="D54" s="94" t="s">
        <v>156</v>
      </c>
      <c r="E54" s="84">
        <v>8000.0</v>
      </c>
      <c r="F54" s="100">
        <v>45000.0</v>
      </c>
      <c r="G54" s="94" t="s">
        <v>81</v>
      </c>
      <c r="H54" s="96" t="s">
        <v>148</v>
      </c>
      <c r="I54" s="65">
        <v>5.0</v>
      </c>
      <c r="J54" s="65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7"/>
      <c r="AK54" s="67"/>
      <c r="AL54" s="68"/>
      <c r="AM54" s="68"/>
      <c r="AN54" s="68"/>
    </row>
    <row r="55">
      <c r="A55" s="58"/>
      <c r="B55" s="59"/>
      <c r="C55" s="93" t="s">
        <v>162</v>
      </c>
      <c r="D55" s="94" t="s">
        <v>163</v>
      </c>
      <c r="E55" s="84">
        <v>500.0</v>
      </c>
      <c r="F55" s="100">
        <v>15000.0</v>
      </c>
      <c r="G55" s="94" t="s">
        <v>81</v>
      </c>
      <c r="H55" s="96" t="s">
        <v>148</v>
      </c>
      <c r="I55" s="65"/>
      <c r="J55" s="65"/>
      <c r="K55" s="61">
        <v>30.0</v>
      </c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7"/>
      <c r="AK55" s="67"/>
      <c r="AL55" s="68"/>
      <c r="AM55" s="68"/>
      <c r="AN55" s="68"/>
    </row>
    <row r="56" ht="15.75" customHeight="1">
      <c r="A56" s="101" t="s">
        <v>164</v>
      </c>
      <c r="B56" s="102"/>
      <c r="C56" s="101" t="s">
        <v>165</v>
      </c>
      <c r="D56" s="33"/>
      <c r="E56" s="103"/>
      <c r="F56" s="33"/>
      <c r="G56" s="104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20"/>
      <c r="AK56" s="20"/>
    </row>
    <row r="57" ht="15.75" customHeight="1">
      <c r="A57" s="39"/>
      <c r="B57" s="105" t="s">
        <v>166</v>
      </c>
      <c r="C57" s="40" t="s">
        <v>167</v>
      </c>
      <c r="D57" s="41" t="s">
        <v>80</v>
      </c>
      <c r="E57" s="49">
        <v>350.0</v>
      </c>
      <c r="F57" s="106">
        <v>229750.0</v>
      </c>
      <c r="G57" s="75" t="s">
        <v>168</v>
      </c>
      <c r="H57" s="107" t="s">
        <v>121</v>
      </c>
      <c r="I57" s="88">
        <v>30.0</v>
      </c>
      <c r="J57" s="88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20"/>
      <c r="AK57" s="20"/>
    </row>
    <row r="58" ht="27.0" customHeight="1">
      <c r="A58" s="39"/>
      <c r="B58" s="79" t="s">
        <v>169</v>
      </c>
      <c r="C58" s="80" t="s">
        <v>170</v>
      </c>
      <c r="D58" s="47"/>
      <c r="E58" s="49">
        <v>550.0</v>
      </c>
      <c r="F58" s="47"/>
      <c r="G58" s="47"/>
      <c r="H58" s="47"/>
      <c r="I58" s="88">
        <v>30.0</v>
      </c>
      <c r="J58" s="88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20"/>
      <c r="AK58" s="20"/>
    </row>
    <row r="59">
      <c r="A59" s="39"/>
      <c r="B59" s="79" t="s">
        <v>171</v>
      </c>
      <c r="C59" s="90" t="s">
        <v>172</v>
      </c>
      <c r="D59" s="47"/>
      <c r="E59" s="49">
        <v>550.0</v>
      </c>
      <c r="F59" s="47"/>
      <c r="G59" s="47"/>
      <c r="H59" s="47"/>
      <c r="I59" s="88">
        <v>10.0</v>
      </c>
      <c r="J59" s="88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20"/>
      <c r="AK59" s="20"/>
    </row>
    <row r="60">
      <c r="A60" s="39"/>
      <c r="B60" s="79" t="s">
        <v>171</v>
      </c>
      <c r="C60" s="90" t="s">
        <v>173</v>
      </c>
      <c r="D60" s="47"/>
      <c r="E60" s="49">
        <v>550.0</v>
      </c>
      <c r="F60" s="47"/>
      <c r="G60" s="47"/>
      <c r="H60" s="47"/>
      <c r="I60" s="88">
        <v>10.0</v>
      </c>
      <c r="J60" s="88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20"/>
      <c r="AK60" s="20"/>
    </row>
    <row r="61">
      <c r="A61" s="39"/>
      <c r="B61" s="79" t="s">
        <v>174</v>
      </c>
      <c r="C61" s="90" t="s">
        <v>175</v>
      </c>
      <c r="D61" s="47"/>
      <c r="E61" s="49">
        <v>450.0</v>
      </c>
      <c r="F61" s="47"/>
      <c r="G61" s="47"/>
      <c r="H61" s="47"/>
      <c r="I61" s="88">
        <v>15.0</v>
      </c>
      <c r="J61" s="88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20"/>
      <c r="AK61" s="20"/>
    </row>
    <row r="62" ht="15.75" customHeight="1">
      <c r="A62" s="39"/>
      <c r="B62" s="79" t="s">
        <v>176</v>
      </c>
      <c r="C62" s="53" t="s">
        <v>177</v>
      </c>
      <c r="D62" s="47"/>
      <c r="E62" s="49">
        <v>500.0</v>
      </c>
      <c r="F62" s="47"/>
      <c r="G62" s="47"/>
      <c r="H62" s="47"/>
      <c r="I62" s="88">
        <v>20.0</v>
      </c>
      <c r="J62" s="88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20"/>
      <c r="AK62" s="20"/>
      <c r="AN62" s="108"/>
    </row>
    <row r="63" ht="27.0" customHeight="1">
      <c r="A63" s="39"/>
      <c r="B63" s="105" t="s">
        <v>178</v>
      </c>
      <c r="C63" s="109" t="s">
        <v>179</v>
      </c>
      <c r="D63" s="47"/>
      <c r="E63" s="49">
        <v>250.0</v>
      </c>
      <c r="F63" s="47"/>
      <c r="G63" s="47"/>
      <c r="H63" s="47"/>
      <c r="I63" s="88">
        <v>20.0</v>
      </c>
      <c r="J63" s="88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20"/>
      <c r="AK63" s="20"/>
    </row>
    <row r="64" ht="13.5" customHeight="1">
      <c r="A64" s="39"/>
      <c r="B64" s="50"/>
      <c r="C64" s="80" t="s">
        <v>180</v>
      </c>
      <c r="D64" s="47"/>
      <c r="E64" s="49">
        <v>8000.0</v>
      </c>
      <c r="F64" s="47"/>
      <c r="G64" s="47"/>
      <c r="H64" s="47"/>
      <c r="I64" s="88">
        <v>10.0</v>
      </c>
      <c r="J64" s="88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20"/>
      <c r="AK64" s="20"/>
    </row>
    <row r="65">
      <c r="A65" s="39"/>
      <c r="B65" s="50"/>
      <c r="C65" s="80" t="s">
        <v>181</v>
      </c>
      <c r="D65" s="47"/>
      <c r="E65" s="49">
        <v>1500.0</v>
      </c>
      <c r="F65" s="47"/>
      <c r="G65" s="47"/>
      <c r="H65" s="47"/>
      <c r="I65" s="88">
        <v>20.0</v>
      </c>
      <c r="J65" s="88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20"/>
      <c r="AK65" s="20"/>
    </row>
    <row r="66">
      <c r="A66" s="39"/>
      <c r="B66" s="50"/>
      <c r="C66" s="80" t="s">
        <v>182</v>
      </c>
      <c r="D66" s="57"/>
      <c r="E66" s="49">
        <v>4000.0</v>
      </c>
      <c r="F66" s="57"/>
      <c r="G66" s="57"/>
      <c r="H66" s="57"/>
      <c r="I66" s="88">
        <v>15.0</v>
      </c>
      <c r="J66" s="88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20"/>
      <c r="AK66" s="20"/>
    </row>
    <row r="67">
      <c r="A67" s="39"/>
      <c r="B67" s="50"/>
      <c r="C67" s="80" t="s">
        <v>183</v>
      </c>
      <c r="D67" s="86" t="s">
        <v>184</v>
      </c>
      <c r="E67" s="49">
        <v>300.0</v>
      </c>
      <c r="F67" s="87">
        <v>30000.0</v>
      </c>
      <c r="G67" s="86" t="s">
        <v>168</v>
      </c>
      <c r="H67" s="88" t="s">
        <v>185</v>
      </c>
      <c r="I67" s="88"/>
      <c r="J67" s="88">
        <v>100.0</v>
      </c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20"/>
      <c r="AK67" s="20"/>
    </row>
    <row r="68">
      <c r="A68" s="110"/>
      <c r="B68" s="110" t="s">
        <v>186</v>
      </c>
      <c r="C68" s="54" t="s">
        <v>187</v>
      </c>
      <c r="D68" s="86" t="s">
        <v>188</v>
      </c>
      <c r="E68" s="49">
        <v>4000.0</v>
      </c>
      <c r="F68" s="87">
        <v>60000.0</v>
      </c>
      <c r="G68" s="86" t="s">
        <v>81</v>
      </c>
      <c r="H68" s="88" t="s">
        <v>185</v>
      </c>
      <c r="I68" s="46"/>
      <c r="J68" s="77">
        <v>15.0</v>
      </c>
      <c r="K68" s="88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20"/>
      <c r="AK68" s="20"/>
    </row>
    <row r="69">
      <c r="A69" s="58"/>
      <c r="B69" s="111" t="s">
        <v>189</v>
      </c>
      <c r="C69" s="112" t="s">
        <v>190</v>
      </c>
      <c r="D69" s="113" t="s">
        <v>191</v>
      </c>
      <c r="E69" s="84">
        <v>5000.0</v>
      </c>
      <c r="F69" s="99">
        <v>150000.0</v>
      </c>
      <c r="G69" s="83" t="s">
        <v>168</v>
      </c>
      <c r="H69" s="61" t="s">
        <v>185</v>
      </c>
      <c r="I69" s="61"/>
      <c r="J69" s="61">
        <v>30.0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7"/>
      <c r="AK69" s="67"/>
      <c r="AL69" s="68"/>
      <c r="AM69" s="68"/>
      <c r="AN69" s="68"/>
    </row>
    <row r="70" ht="38.25" customHeight="1">
      <c r="A70" s="39"/>
      <c r="B70" s="105" t="s">
        <v>189</v>
      </c>
      <c r="C70" s="109" t="s">
        <v>192</v>
      </c>
      <c r="D70" s="86" t="s">
        <v>193</v>
      </c>
      <c r="E70" s="49">
        <v>4000.0</v>
      </c>
      <c r="F70" s="87">
        <f>E70*80</f>
        <v>320000</v>
      </c>
      <c r="G70" s="86" t="s">
        <v>168</v>
      </c>
      <c r="H70" s="88" t="s">
        <v>185</v>
      </c>
      <c r="I70" s="88"/>
      <c r="J70" s="88">
        <v>80.0</v>
      </c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20"/>
      <c r="AK70" s="20"/>
    </row>
    <row r="71">
      <c r="A71" s="58"/>
      <c r="B71" s="111" t="s">
        <v>194</v>
      </c>
      <c r="C71" s="112" t="s">
        <v>195</v>
      </c>
      <c r="D71" s="83" t="s">
        <v>196</v>
      </c>
      <c r="E71" s="84">
        <v>6000.0</v>
      </c>
      <c r="F71" s="85">
        <v>30000.0</v>
      </c>
      <c r="G71" s="83" t="s">
        <v>168</v>
      </c>
      <c r="H71" s="61" t="s">
        <v>185</v>
      </c>
      <c r="I71" s="61"/>
      <c r="J71" s="61">
        <v>5.0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7"/>
      <c r="AK71" s="67"/>
      <c r="AL71" s="68"/>
      <c r="AM71" s="68"/>
      <c r="AN71" s="68"/>
    </row>
    <row r="72">
      <c r="A72" s="39"/>
      <c r="B72" s="105" t="s">
        <v>194</v>
      </c>
      <c r="C72" s="109" t="s">
        <v>197</v>
      </c>
      <c r="D72" s="86" t="s">
        <v>198</v>
      </c>
      <c r="E72" s="49">
        <v>2000.0</v>
      </c>
      <c r="F72" s="87">
        <v>20000.0</v>
      </c>
      <c r="G72" s="86" t="s">
        <v>168</v>
      </c>
      <c r="H72" s="88" t="s">
        <v>185</v>
      </c>
      <c r="I72" s="88">
        <v>10.0</v>
      </c>
      <c r="J72" s="88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20"/>
      <c r="AK72" s="20"/>
    </row>
    <row r="73">
      <c r="A73" s="39"/>
      <c r="B73" s="105"/>
      <c r="C73" s="109" t="s">
        <v>199</v>
      </c>
      <c r="D73" s="86" t="s">
        <v>200</v>
      </c>
      <c r="E73" s="49">
        <v>7500.0</v>
      </c>
      <c r="F73" s="87">
        <v>75000.0</v>
      </c>
      <c r="G73" s="86" t="s">
        <v>168</v>
      </c>
      <c r="H73" s="88" t="s">
        <v>185</v>
      </c>
      <c r="I73" s="88"/>
      <c r="J73" s="88">
        <v>10.0</v>
      </c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20"/>
      <c r="AK73" s="20"/>
    </row>
    <row r="74">
      <c r="A74" s="58"/>
      <c r="B74" s="111" t="s">
        <v>201</v>
      </c>
      <c r="C74" s="112" t="s">
        <v>202</v>
      </c>
      <c r="D74" s="83" t="s">
        <v>203</v>
      </c>
      <c r="E74" s="84">
        <v>6500.0</v>
      </c>
      <c r="F74" s="85">
        <v>97500.0</v>
      </c>
      <c r="G74" s="83" t="s">
        <v>168</v>
      </c>
      <c r="H74" s="61" t="s">
        <v>185</v>
      </c>
      <c r="I74" s="61"/>
      <c r="J74" s="61">
        <v>15.0</v>
      </c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7"/>
      <c r="AK74" s="67"/>
      <c r="AL74" s="68"/>
      <c r="AM74" s="68"/>
      <c r="AN74" s="68"/>
    </row>
    <row r="75">
      <c r="A75" s="39"/>
      <c r="B75" s="105" t="s">
        <v>201</v>
      </c>
      <c r="C75" s="109" t="s">
        <v>204</v>
      </c>
      <c r="D75" s="86" t="s">
        <v>198</v>
      </c>
      <c r="E75" s="49">
        <v>5000.0</v>
      </c>
      <c r="F75" s="87">
        <v>50000.0</v>
      </c>
      <c r="G75" s="86" t="s">
        <v>168</v>
      </c>
      <c r="H75" s="88" t="s">
        <v>185</v>
      </c>
      <c r="I75" s="88"/>
      <c r="J75" s="88">
        <v>10.0</v>
      </c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20"/>
      <c r="AK75" s="20"/>
    </row>
    <row r="76">
      <c r="A76" s="58"/>
      <c r="B76" s="111" t="s">
        <v>205</v>
      </c>
      <c r="C76" s="112" t="s">
        <v>206</v>
      </c>
      <c r="D76" s="83" t="s">
        <v>207</v>
      </c>
      <c r="E76" s="84">
        <v>12000.0</v>
      </c>
      <c r="F76" s="85">
        <v>180000.0</v>
      </c>
      <c r="G76" s="83" t="s">
        <v>168</v>
      </c>
      <c r="H76" s="61" t="s">
        <v>185</v>
      </c>
      <c r="I76" s="61"/>
      <c r="J76" s="61">
        <v>15.0</v>
      </c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7"/>
      <c r="AK76" s="67"/>
      <c r="AL76" s="68"/>
      <c r="AM76" s="68"/>
      <c r="AN76" s="68"/>
    </row>
    <row r="77">
      <c r="A77" s="39"/>
      <c r="B77" s="105" t="s">
        <v>205</v>
      </c>
      <c r="C77" s="109" t="s">
        <v>208</v>
      </c>
      <c r="D77" s="86" t="s">
        <v>209</v>
      </c>
      <c r="E77" s="49">
        <v>8500.0</v>
      </c>
      <c r="F77" s="87">
        <v>255000.0</v>
      </c>
      <c r="G77" s="86" t="s">
        <v>168</v>
      </c>
      <c r="H77" s="88" t="s">
        <v>185</v>
      </c>
      <c r="I77" s="88"/>
      <c r="J77" s="88">
        <v>30.0</v>
      </c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20"/>
      <c r="AK77" s="20"/>
    </row>
    <row r="78">
      <c r="A78" s="39"/>
      <c r="B78" s="105" t="s">
        <v>210</v>
      </c>
      <c r="C78" s="109" t="s">
        <v>211</v>
      </c>
      <c r="D78" s="86" t="s">
        <v>212</v>
      </c>
      <c r="E78" s="49">
        <v>12000.0</v>
      </c>
      <c r="F78" s="87">
        <v>60000.0</v>
      </c>
      <c r="G78" s="86" t="s">
        <v>168</v>
      </c>
      <c r="H78" s="88" t="s">
        <v>185</v>
      </c>
      <c r="I78" s="88"/>
      <c r="J78" s="88">
        <v>5.0</v>
      </c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20"/>
      <c r="AK78" s="20"/>
    </row>
    <row r="79">
      <c r="A79" s="39"/>
      <c r="B79" s="105" t="s">
        <v>210</v>
      </c>
      <c r="C79" s="109" t="s">
        <v>213</v>
      </c>
      <c r="D79" s="86" t="s">
        <v>214</v>
      </c>
      <c r="E79" s="49">
        <v>10000.0</v>
      </c>
      <c r="F79" s="87">
        <v>100000.0</v>
      </c>
      <c r="G79" s="86" t="s">
        <v>168</v>
      </c>
      <c r="H79" s="88" t="s">
        <v>185</v>
      </c>
      <c r="I79" s="88"/>
      <c r="J79" s="88">
        <v>10.0</v>
      </c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20"/>
      <c r="AK79" s="20"/>
    </row>
    <row r="80">
      <c r="A80" s="58"/>
      <c r="B80" s="111" t="s">
        <v>215</v>
      </c>
      <c r="C80" s="112" t="s">
        <v>216</v>
      </c>
      <c r="D80" s="83" t="s">
        <v>217</v>
      </c>
      <c r="E80" s="84">
        <v>8500.0</v>
      </c>
      <c r="F80" s="85">
        <v>85000.0</v>
      </c>
      <c r="G80" s="83" t="s">
        <v>168</v>
      </c>
      <c r="H80" s="61" t="s">
        <v>185</v>
      </c>
      <c r="I80" s="61"/>
      <c r="J80" s="61">
        <v>5.0</v>
      </c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7"/>
      <c r="AK80" s="67"/>
      <c r="AL80" s="68"/>
      <c r="AM80" s="68"/>
      <c r="AN80" s="68"/>
    </row>
    <row r="81" ht="30.75" customHeight="1">
      <c r="A81" s="39"/>
      <c r="B81" s="105"/>
      <c r="C81" s="109" t="s">
        <v>218</v>
      </c>
      <c r="D81" s="86" t="s">
        <v>217</v>
      </c>
      <c r="E81" s="49">
        <v>10000.0</v>
      </c>
      <c r="F81" s="87">
        <v>50000.0</v>
      </c>
      <c r="G81" s="86" t="s">
        <v>168</v>
      </c>
      <c r="H81" s="88" t="s">
        <v>185</v>
      </c>
      <c r="I81" s="88"/>
      <c r="J81" s="88">
        <v>5.0</v>
      </c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20"/>
      <c r="AK81" s="20"/>
    </row>
    <row r="82" ht="30.75" customHeight="1">
      <c r="A82" s="39"/>
      <c r="B82" s="105" t="s">
        <v>215</v>
      </c>
      <c r="C82" s="40" t="s">
        <v>219</v>
      </c>
      <c r="D82" s="86" t="s">
        <v>198</v>
      </c>
      <c r="E82" s="49">
        <v>6500.0</v>
      </c>
      <c r="F82" s="87">
        <v>65000.0</v>
      </c>
      <c r="G82" s="86" t="s">
        <v>168</v>
      </c>
      <c r="H82" s="88" t="s">
        <v>185</v>
      </c>
      <c r="I82" s="88"/>
      <c r="J82" s="88">
        <v>10.0</v>
      </c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20"/>
      <c r="AK82" s="20"/>
    </row>
    <row r="83" ht="30.75" customHeight="1">
      <c r="A83" s="39"/>
      <c r="B83" s="105"/>
      <c r="C83" s="40" t="s">
        <v>220</v>
      </c>
      <c r="D83" s="86" t="s">
        <v>198</v>
      </c>
      <c r="E83" s="49">
        <v>4000.0</v>
      </c>
      <c r="F83" s="87">
        <v>40000.0</v>
      </c>
      <c r="G83" s="86" t="s">
        <v>168</v>
      </c>
      <c r="H83" s="88" t="s">
        <v>185</v>
      </c>
      <c r="I83" s="41"/>
      <c r="J83" s="88">
        <v>10.0</v>
      </c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20"/>
      <c r="AK83" s="20"/>
    </row>
    <row r="84" ht="30.75" customHeight="1">
      <c r="A84" s="39"/>
      <c r="B84" s="105"/>
      <c r="C84" s="40" t="s">
        <v>221</v>
      </c>
      <c r="D84" s="86" t="s">
        <v>222</v>
      </c>
      <c r="E84" s="49">
        <v>15000.0</v>
      </c>
      <c r="F84" s="87">
        <v>90000.0</v>
      </c>
      <c r="G84" s="86" t="s">
        <v>168</v>
      </c>
      <c r="H84" s="88" t="s">
        <v>185</v>
      </c>
      <c r="I84" s="41"/>
      <c r="J84" s="88">
        <v>6.0</v>
      </c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20"/>
      <c r="AK84" s="20"/>
    </row>
    <row r="85" ht="30.75" customHeight="1">
      <c r="A85" s="39"/>
      <c r="B85" s="105"/>
      <c r="C85" s="40" t="s">
        <v>223</v>
      </c>
      <c r="D85" s="86" t="s">
        <v>222</v>
      </c>
      <c r="E85" s="49">
        <v>6500.0</v>
      </c>
      <c r="F85" s="87">
        <v>39000.0</v>
      </c>
      <c r="G85" s="86" t="s">
        <v>168</v>
      </c>
      <c r="H85" s="88" t="s">
        <v>185</v>
      </c>
      <c r="I85" s="41"/>
      <c r="J85" s="88">
        <v>6.0</v>
      </c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20"/>
      <c r="AK85" s="20"/>
    </row>
    <row r="86" ht="30.75" customHeight="1">
      <c r="A86" s="58"/>
      <c r="B86" s="111"/>
      <c r="C86" s="112" t="s">
        <v>224</v>
      </c>
      <c r="D86" s="83" t="s">
        <v>222</v>
      </c>
      <c r="E86" s="84">
        <v>20000.0</v>
      </c>
      <c r="F86" s="85">
        <v>120000.0</v>
      </c>
      <c r="G86" s="83" t="s">
        <v>168</v>
      </c>
      <c r="H86" s="61" t="s">
        <v>185</v>
      </c>
      <c r="I86" s="96"/>
      <c r="J86" s="61">
        <v>6.0</v>
      </c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7"/>
      <c r="AK86" s="67"/>
      <c r="AL86" s="68"/>
      <c r="AM86" s="68"/>
      <c r="AN86" s="68"/>
    </row>
    <row r="87" ht="30.75" customHeight="1">
      <c r="A87" s="39"/>
      <c r="B87" s="105"/>
      <c r="C87" s="109" t="s">
        <v>225</v>
      </c>
      <c r="D87" s="86" t="s">
        <v>226</v>
      </c>
      <c r="E87" s="49">
        <v>4000.0</v>
      </c>
      <c r="F87" s="87">
        <v>80000.0</v>
      </c>
      <c r="G87" s="86" t="s">
        <v>168</v>
      </c>
      <c r="H87" s="88" t="s">
        <v>185</v>
      </c>
      <c r="I87" s="41"/>
      <c r="J87" s="88">
        <v>10.0</v>
      </c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20"/>
      <c r="AK87" s="20"/>
    </row>
    <row r="88" ht="30.75" customHeight="1">
      <c r="A88" s="58"/>
      <c r="B88" s="111"/>
      <c r="C88" s="112" t="s">
        <v>227</v>
      </c>
      <c r="D88" s="83" t="s">
        <v>198</v>
      </c>
      <c r="E88" s="84">
        <v>6000.0</v>
      </c>
      <c r="F88" s="85">
        <v>60000.0</v>
      </c>
      <c r="G88" s="83" t="s">
        <v>168</v>
      </c>
      <c r="H88" s="61" t="s">
        <v>185</v>
      </c>
      <c r="I88" s="96"/>
      <c r="J88" s="61">
        <v>10.0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7"/>
      <c r="AK88" s="67"/>
      <c r="AL88" s="68"/>
      <c r="AM88" s="68"/>
      <c r="AN88" s="68"/>
    </row>
    <row r="89">
      <c r="A89" s="39"/>
      <c r="B89" s="105"/>
      <c r="C89" s="40" t="s">
        <v>228</v>
      </c>
      <c r="D89" s="86" t="s">
        <v>229</v>
      </c>
      <c r="E89" s="49">
        <v>5500.0</v>
      </c>
      <c r="F89" s="87">
        <v>110000.0</v>
      </c>
      <c r="G89" s="86" t="s">
        <v>168</v>
      </c>
      <c r="H89" s="88" t="s">
        <v>185</v>
      </c>
      <c r="I89" s="88"/>
      <c r="J89" s="88">
        <v>20.0</v>
      </c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20"/>
      <c r="AK89" s="20"/>
    </row>
    <row r="90">
      <c r="A90" s="39"/>
      <c r="B90" s="105" t="s">
        <v>230</v>
      </c>
      <c r="C90" s="40" t="s">
        <v>231</v>
      </c>
      <c r="D90" s="86" t="s">
        <v>232</v>
      </c>
      <c r="E90" s="49">
        <v>350.0</v>
      </c>
      <c r="F90" s="87">
        <v>1050.0</v>
      </c>
      <c r="G90" s="86" t="s">
        <v>233</v>
      </c>
      <c r="H90" s="88" t="s">
        <v>234</v>
      </c>
      <c r="I90" s="114"/>
      <c r="J90" s="88">
        <v>3.0</v>
      </c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20"/>
      <c r="AK90" s="20"/>
    </row>
    <row r="91" ht="21.0" customHeight="1">
      <c r="A91" s="39"/>
      <c r="B91" s="86"/>
      <c r="C91" s="109" t="s">
        <v>235</v>
      </c>
      <c r="D91" s="86" t="s">
        <v>236</v>
      </c>
      <c r="E91" s="49">
        <v>49999.0</v>
      </c>
      <c r="F91" s="87">
        <v>99998.0</v>
      </c>
      <c r="G91" s="86" t="s">
        <v>168</v>
      </c>
      <c r="H91" s="88" t="s">
        <v>234</v>
      </c>
      <c r="I91" s="88"/>
      <c r="J91" s="88">
        <v>2.0</v>
      </c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20"/>
      <c r="AK91" s="20"/>
    </row>
    <row r="92" ht="30.75" customHeight="1">
      <c r="A92" s="39"/>
      <c r="B92" s="86"/>
      <c r="C92" s="109" t="s">
        <v>237</v>
      </c>
      <c r="D92" s="86" t="s">
        <v>238</v>
      </c>
      <c r="E92" s="49">
        <v>2000.0</v>
      </c>
      <c r="F92" s="87">
        <v>20000.0</v>
      </c>
      <c r="G92" s="86" t="s">
        <v>168</v>
      </c>
      <c r="H92" s="88" t="s">
        <v>234</v>
      </c>
      <c r="I92" s="88"/>
      <c r="J92" s="88">
        <v>10.0</v>
      </c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20"/>
      <c r="AK92" s="20"/>
    </row>
    <row r="93" ht="22.5" customHeight="1">
      <c r="A93" s="39"/>
      <c r="B93" s="86"/>
      <c r="C93" s="109" t="s">
        <v>239</v>
      </c>
      <c r="D93" s="86" t="s">
        <v>238</v>
      </c>
      <c r="E93" s="49">
        <v>10000.0</v>
      </c>
      <c r="F93" s="87">
        <v>100000.0</v>
      </c>
      <c r="G93" s="86" t="s">
        <v>168</v>
      </c>
      <c r="H93" s="88" t="s">
        <v>234</v>
      </c>
      <c r="I93" s="88"/>
      <c r="J93" s="88">
        <v>10.0</v>
      </c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20"/>
      <c r="AK93" s="20"/>
    </row>
    <row r="94" ht="35.25" customHeight="1">
      <c r="A94" s="39"/>
      <c r="B94" s="105" t="s">
        <v>240</v>
      </c>
      <c r="C94" s="109" t="s">
        <v>241</v>
      </c>
      <c r="D94" s="86" t="s">
        <v>242</v>
      </c>
      <c r="E94" s="49">
        <v>2800.0</v>
      </c>
      <c r="F94" s="87">
        <v>70000.0</v>
      </c>
      <c r="G94" s="86" t="s">
        <v>168</v>
      </c>
      <c r="H94" s="88" t="s">
        <v>234</v>
      </c>
      <c r="I94" s="88"/>
      <c r="J94" s="88">
        <v>25.0</v>
      </c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20"/>
      <c r="AK94" s="20"/>
    </row>
    <row r="95" ht="21.75" customHeight="1">
      <c r="A95" s="58"/>
      <c r="B95" s="111" t="s">
        <v>240</v>
      </c>
      <c r="C95" s="112" t="s">
        <v>243</v>
      </c>
      <c r="D95" s="83" t="s">
        <v>244</v>
      </c>
      <c r="E95" s="84">
        <v>10000.0</v>
      </c>
      <c r="F95" s="85">
        <v>150000.0</v>
      </c>
      <c r="G95" s="83" t="s">
        <v>168</v>
      </c>
      <c r="H95" s="61" t="s">
        <v>234</v>
      </c>
      <c r="I95" s="61"/>
      <c r="J95" s="61">
        <v>15.0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7"/>
      <c r="AK95" s="67"/>
      <c r="AL95" s="68"/>
      <c r="AM95" s="68"/>
      <c r="AN95" s="68"/>
    </row>
    <row r="96" ht="27.0" customHeight="1">
      <c r="A96" s="39"/>
      <c r="B96" s="86"/>
      <c r="C96" s="109" t="s">
        <v>245</v>
      </c>
      <c r="D96" s="86" t="s">
        <v>246</v>
      </c>
      <c r="E96" s="49">
        <v>45000.0</v>
      </c>
      <c r="F96" s="87">
        <v>45000.0</v>
      </c>
      <c r="G96" s="86" t="s">
        <v>168</v>
      </c>
      <c r="H96" s="88" t="s">
        <v>234</v>
      </c>
      <c r="I96" s="88"/>
      <c r="J96" s="88">
        <v>2.0</v>
      </c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20"/>
      <c r="AK96" s="20"/>
    </row>
    <row r="97" ht="52.5" customHeight="1">
      <c r="A97" s="39"/>
      <c r="B97" s="86"/>
      <c r="C97" s="109" t="s">
        <v>247</v>
      </c>
      <c r="D97" s="86" t="s">
        <v>248</v>
      </c>
      <c r="E97" s="49">
        <v>55000.0</v>
      </c>
      <c r="F97" s="87">
        <v>220000.0</v>
      </c>
      <c r="G97" s="86" t="s">
        <v>168</v>
      </c>
      <c r="H97" s="88" t="s">
        <v>234</v>
      </c>
      <c r="I97" s="88"/>
      <c r="J97" s="88">
        <v>4.0</v>
      </c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20"/>
      <c r="AK97" s="20"/>
    </row>
    <row r="98" ht="21.75" customHeight="1">
      <c r="A98" s="39"/>
      <c r="B98" s="86"/>
      <c r="C98" s="109" t="s">
        <v>249</v>
      </c>
      <c r="D98" s="86" t="s">
        <v>250</v>
      </c>
      <c r="E98" s="49">
        <v>250.0</v>
      </c>
      <c r="F98" s="87">
        <v>125000.0</v>
      </c>
      <c r="G98" s="86" t="s">
        <v>168</v>
      </c>
      <c r="H98" s="88" t="s">
        <v>234</v>
      </c>
      <c r="I98" s="88"/>
      <c r="J98" s="88"/>
      <c r="K98" s="88">
        <v>500.0</v>
      </c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20"/>
      <c r="AK98" s="20"/>
    </row>
    <row r="99" ht="17.25" customHeight="1">
      <c r="A99" s="58"/>
      <c r="B99" s="98" t="s">
        <v>251</v>
      </c>
      <c r="C99" s="115" t="s">
        <v>252</v>
      </c>
      <c r="D99" s="83" t="s">
        <v>253</v>
      </c>
      <c r="E99" s="84">
        <v>3200.0</v>
      </c>
      <c r="F99" s="85">
        <v>48000.0</v>
      </c>
      <c r="G99" s="83" t="s">
        <v>254</v>
      </c>
      <c r="H99" s="61" t="s">
        <v>234</v>
      </c>
      <c r="I99" s="61"/>
      <c r="J99" s="61"/>
      <c r="K99" s="61">
        <v>15.0</v>
      </c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7"/>
      <c r="AK99" s="67"/>
      <c r="AL99" s="68"/>
      <c r="AM99" s="68"/>
      <c r="AN99" s="68"/>
    </row>
    <row r="100" ht="17.25" customHeight="1">
      <c r="A100" s="58"/>
      <c r="B100" s="98"/>
      <c r="C100" s="115" t="s">
        <v>255</v>
      </c>
      <c r="D100" s="83" t="s">
        <v>253</v>
      </c>
      <c r="E100" s="84">
        <v>3200.0</v>
      </c>
      <c r="F100" s="85">
        <v>48000.0</v>
      </c>
      <c r="G100" s="83" t="s">
        <v>254</v>
      </c>
      <c r="H100" s="61" t="s">
        <v>234</v>
      </c>
      <c r="I100" s="61"/>
      <c r="J100" s="61"/>
      <c r="K100" s="61">
        <v>15.0</v>
      </c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7"/>
      <c r="AK100" s="67"/>
      <c r="AL100" s="68"/>
      <c r="AM100" s="68"/>
      <c r="AN100" s="68"/>
    </row>
    <row r="101" ht="28.5" customHeight="1">
      <c r="A101" s="58"/>
      <c r="B101" s="116"/>
      <c r="C101" s="115" t="s">
        <v>256</v>
      </c>
      <c r="D101" s="83" t="s">
        <v>257</v>
      </c>
      <c r="E101" s="84">
        <v>800.0</v>
      </c>
      <c r="F101" s="85">
        <v>64000.0</v>
      </c>
      <c r="G101" s="83" t="s">
        <v>168</v>
      </c>
      <c r="H101" s="61" t="s">
        <v>234</v>
      </c>
      <c r="I101" s="61"/>
      <c r="J101" s="61"/>
      <c r="K101" s="61">
        <v>80.0</v>
      </c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7"/>
      <c r="AK101" s="67"/>
      <c r="AL101" s="68"/>
      <c r="AM101" s="68"/>
      <c r="AN101" s="68"/>
    </row>
    <row r="102">
      <c r="A102" s="35" t="s">
        <v>258</v>
      </c>
      <c r="B102" s="117"/>
      <c r="C102" s="118" t="s">
        <v>259</v>
      </c>
      <c r="D102" s="119"/>
      <c r="E102" s="120"/>
      <c r="F102" s="121"/>
      <c r="G102" s="119"/>
      <c r="H102" s="122"/>
      <c r="I102" s="123"/>
      <c r="J102" s="124"/>
      <c r="K102" s="125"/>
      <c r="L102" s="125"/>
      <c r="M102" s="125"/>
      <c r="N102" s="125"/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  <c r="AA102" s="125"/>
      <c r="AB102" s="125"/>
      <c r="AC102" s="125"/>
      <c r="AD102" s="125"/>
      <c r="AE102" s="125"/>
      <c r="AF102" s="125"/>
      <c r="AG102" s="125"/>
      <c r="AH102" s="125"/>
      <c r="AI102" s="125"/>
      <c r="AJ102" s="20"/>
      <c r="AK102" s="20"/>
    </row>
    <row r="103">
      <c r="A103" s="39"/>
      <c r="B103" s="86"/>
      <c r="C103" s="126" t="s">
        <v>260</v>
      </c>
      <c r="D103" s="127" t="s">
        <v>80</v>
      </c>
      <c r="E103" s="128">
        <v>150000.0</v>
      </c>
      <c r="F103" s="129">
        <v>150000.0</v>
      </c>
      <c r="G103" s="130" t="s">
        <v>168</v>
      </c>
      <c r="H103" s="88" t="s">
        <v>261</v>
      </c>
      <c r="I103" s="127">
        <v>1.0</v>
      </c>
      <c r="J103" s="88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20"/>
      <c r="AK103" s="20"/>
    </row>
    <row r="104">
      <c r="A104" s="39"/>
      <c r="B104" s="86"/>
      <c r="C104" s="109" t="s">
        <v>262</v>
      </c>
      <c r="D104" s="86" t="s">
        <v>263</v>
      </c>
      <c r="E104" s="49">
        <v>9000.0</v>
      </c>
      <c r="F104" s="87">
        <v>270000.0</v>
      </c>
      <c r="G104" s="86" t="s">
        <v>254</v>
      </c>
      <c r="H104" s="88" t="s">
        <v>261</v>
      </c>
      <c r="I104" s="88">
        <v>30.0</v>
      </c>
      <c r="J104" s="88"/>
      <c r="K104" s="88">
        <v>30.0</v>
      </c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20"/>
      <c r="AK104" s="20"/>
    </row>
    <row r="105" ht="68.25" customHeight="1">
      <c r="A105" s="39"/>
      <c r="B105" s="86"/>
      <c r="C105" s="109" t="s">
        <v>264</v>
      </c>
      <c r="D105" s="86" t="s">
        <v>265</v>
      </c>
      <c r="E105" s="49">
        <v>3000.0</v>
      </c>
      <c r="F105" s="87">
        <v>48000.0</v>
      </c>
      <c r="G105" s="86" t="s">
        <v>254</v>
      </c>
      <c r="H105" s="88" t="s">
        <v>261</v>
      </c>
      <c r="I105" s="88"/>
      <c r="J105" s="88"/>
      <c r="K105" s="88">
        <v>16.0</v>
      </c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20"/>
      <c r="AK105" s="20"/>
    </row>
    <row r="106" ht="74.25" customHeight="1">
      <c r="A106" s="39"/>
      <c r="B106" s="86"/>
      <c r="C106" s="109" t="s">
        <v>266</v>
      </c>
      <c r="D106" s="86" t="s">
        <v>267</v>
      </c>
      <c r="E106" s="49">
        <v>5500.0</v>
      </c>
      <c r="F106" s="87">
        <v>374000.0</v>
      </c>
      <c r="G106" s="86" t="s">
        <v>254</v>
      </c>
      <c r="H106" s="88" t="s">
        <v>261</v>
      </c>
      <c r="I106" s="88"/>
      <c r="J106" s="88"/>
      <c r="K106" s="88">
        <v>68.0</v>
      </c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20"/>
      <c r="AK106" s="20"/>
    </row>
    <row r="107" ht="15.75" customHeight="1">
      <c r="A107" s="131"/>
      <c r="B107" s="127"/>
      <c r="C107" s="132" t="s">
        <v>268</v>
      </c>
      <c r="D107" s="130" t="s">
        <v>269</v>
      </c>
      <c r="E107" s="133">
        <v>85000.0</v>
      </c>
      <c r="F107" s="134">
        <v>85000.0</v>
      </c>
      <c r="G107" s="130" t="s">
        <v>254</v>
      </c>
      <c r="H107" s="127" t="s">
        <v>261</v>
      </c>
      <c r="I107" s="127"/>
      <c r="J107" s="127"/>
      <c r="K107" s="127">
        <v>1000.0</v>
      </c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6"/>
      <c r="AK107" s="136"/>
      <c r="AL107" s="137"/>
      <c r="AM107" s="137"/>
      <c r="AN107" s="137"/>
    </row>
    <row r="108" ht="15.75" customHeight="1">
      <c r="A108" s="58"/>
      <c r="B108" s="61"/>
      <c r="C108" s="138" t="s">
        <v>270</v>
      </c>
      <c r="D108" s="83" t="s">
        <v>271</v>
      </c>
      <c r="E108" s="84">
        <v>1000.0</v>
      </c>
      <c r="F108" s="85">
        <f>E108*13</f>
        <v>13000</v>
      </c>
      <c r="G108" s="83" t="s">
        <v>254</v>
      </c>
      <c r="H108" s="61" t="s">
        <v>261</v>
      </c>
      <c r="I108" s="61"/>
      <c r="J108" s="61"/>
      <c r="K108" s="61">
        <v>13.0</v>
      </c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7"/>
      <c r="AK108" s="67"/>
      <c r="AL108" s="68"/>
      <c r="AM108" s="68"/>
      <c r="AN108" s="68"/>
    </row>
    <row r="109" ht="15.75" customHeight="1">
      <c r="A109" s="58"/>
      <c r="B109" s="61"/>
      <c r="C109" s="138" t="s">
        <v>272</v>
      </c>
      <c r="D109" s="83" t="s">
        <v>273</v>
      </c>
      <c r="E109" s="84">
        <v>1300.0</v>
      </c>
      <c r="F109" s="85">
        <f t="shared" ref="F109:F110" si="1">E109*6</f>
        <v>7800</v>
      </c>
      <c r="G109" s="83" t="s">
        <v>254</v>
      </c>
      <c r="H109" s="61" t="s">
        <v>261</v>
      </c>
      <c r="I109" s="61"/>
      <c r="J109" s="61"/>
      <c r="K109" s="61">
        <v>6.0</v>
      </c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7"/>
      <c r="AK109" s="67"/>
      <c r="AL109" s="68"/>
      <c r="AM109" s="68"/>
      <c r="AN109" s="68"/>
    </row>
    <row r="110" ht="15.75" customHeight="1">
      <c r="A110" s="58"/>
      <c r="B110" s="61"/>
      <c r="C110" s="138" t="s">
        <v>274</v>
      </c>
      <c r="D110" s="83" t="s">
        <v>273</v>
      </c>
      <c r="E110" s="84">
        <v>1300.0</v>
      </c>
      <c r="F110" s="85">
        <f t="shared" si="1"/>
        <v>7800</v>
      </c>
      <c r="G110" s="83" t="s">
        <v>254</v>
      </c>
      <c r="H110" s="61" t="s">
        <v>261</v>
      </c>
      <c r="I110" s="61"/>
      <c r="J110" s="61"/>
      <c r="K110" s="61">
        <v>6.0</v>
      </c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7"/>
      <c r="AK110" s="67"/>
      <c r="AL110" s="68"/>
      <c r="AM110" s="68"/>
      <c r="AN110" s="68"/>
    </row>
    <row r="111" ht="15.75" customHeight="1">
      <c r="A111" s="58"/>
      <c r="B111" s="61"/>
      <c r="C111" s="138" t="s">
        <v>275</v>
      </c>
      <c r="D111" s="83" t="s">
        <v>271</v>
      </c>
      <c r="E111" s="84">
        <v>1000.0</v>
      </c>
      <c r="F111" s="85">
        <f t="shared" ref="F111:F112" si="2">E111*13</f>
        <v>13000</v>
      </c>
      <c r="G111" s="83" t="s">
        <v>254</v>
      </c>
      <c r="H111" s="61" t="s">
        <v>261</v>
      </c>
      <c r="I111" s="61"/>
      <c r="J111" s="61"/>
      <c r="K111" s="61">
        <v>13.0</v>
      </c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7"/>
      <c r="AK111" s="67"/>
      <c r="AL111" s="68"/>
      <c r="AM111" s="68"/>
      <c r="AN111" s="68"/>
    </row>
    <row r="112">
      <c r="A112" s="58"/>
      <c r="B112" s="61"/>
      <c r="C112" s="138" t="s">
        <v>276</v>
      </c>
      <c r="D112" s="83" t="s">
        <v>271</v>
      </c>
      <c r="E112" s="84">
        <v>3000.0</v>
      </c>
      <c r="F112" s="85">
        <f t="shared" si="2"/>
        <v>39000</v>
      </c>
      <c r="G112" s="83" t="s">
        <v>254</v>
      </c>
      <c r="H112" s="61" t="s">
        <v>261</v>
      </c>
      <c r="I112" s="61"/>
      <c r="J112" s="61"/>
      <c r="K112" s="61">
        <v>13.0</v>
      </c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7"/>
      <c r="AK112" s="67"/>
      <c r="AL112" s="68"/>
      <c r="AM112" s="68"/>
      <c r="AN112" s="68"/>
    </row>
    <row r="113">
      <c r="A113" s="39"/>
      <c r="B113" s="86"/>
      <c r="C113" s="109" t="s">
        <v>277</v>
      </c>
      <c r="D113" s="86" t="s">
        <v>80</v>
      </c>
      <c r="E113" s="49">
        <v>4000.0</v>
      </c>
      <c r="F113" s="87">
        <v>4000.0</v>
      </c>
      <c r="G113" s="86" t="s">
        <v>254</v>
      </c>
      <c r="H113" s="88" t="s">
        <v>261</v>
      </c>
      <c r="I113" s="88"/>
      <c r="J113" s="88"/>
      <c r="K113" s="88">
        <v>1.0</v>
      </c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20"/>
      <c r="AK113" s="20"/>
    </row>
    <row r="114" ht="60.0" customHeight="1">
      <c r="A114" s="39"/>
      <c r="B114" s="86"/>
      <c r="C114" s="109" t="s">
        <v>278</v>
      </c>
      <c r="D114" s="86" t="s">
        <v>279</v>
      </c>
      <c r="E114" s="49">
        <v>80.0</v>
      </c>
      <c r="F114" s="87">
        <v>24000.0</v>
      </c>
      <c r="G114" s="86" t="s">
        <v>168</v>
      </c>
      <c r="H114" s="88" t="s">
        <v>261</v>
      </c>
      <c r="I114" s="88"/>
      <c r="J114" s="46"/>
      <c r="K114" s="88">
        <v>300.0</v>
      </c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20"/>
      <c r="AK114" s="20"/>
    </row>
    <row r="115" ht="22.5" customHeight="1">
      <c r="A115" s="35"/>
      <c r="B115" s="104"/>
      <c r="C115" s="139" t="s">
        <v>280</v>
      </c>
      <c r="D115" s="104"/>
      <c r="E115" s="73"/>
      <c r="F115" s="74"/>
      <c r="G115" s="104"/>
      <c r="H115" s="140"/>
      <c r="I115" s="141"/>
      <c r="J115" s="142"/>
      <c r="K115" s="143"/>
      <c r="L115" s="144"/>
      <c r="M115" s="144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  <c r="X115" s="144"/>
      <c r="Y115" s="144"/>
      <c r="Z115" s="144"/>
      <c r="AA115" s="144"/>
      <c r="AB115" s="144"/>
      <c r="AC115" s="144"/>
      <c r="AD115" s="144"/>
      <c r="AE115" s="144"/>
      <c r="AF115" s="144"/>
      <c r="AG115" s="144"/>
      <c r="AH115" s="144"/>
      <c r="AI115" s="144"/>
      <c r="AJ115" s="145"/>
      <c r="AK115" s="145"/>
      <c r="AL115" s="146"/>
      <c r="AM115" s="146"/>
      <c r="AN115" s="146"/>
    </row>
    <row r="116" ht="60.0" customHeight="1">
      <c r="A116" s="58"/>
      <c r="B116" s="83"/>
      <c r="C116" s="112" t="s">
        <v>281</v>
      </c>
      <c r="D116" s="83" t="s">
        <v>80</v>
      </c>
      <c r="E116" s="84">
        <v>2099721.75</v>
      </c>
      <c r="F116" s="84">
        <v>2099203.01</v>
      </c>
      <c r="G116" s="83" t="s">
        <v>282</v>
      </c>
      <c r="H116" s="61" t="s">
        <v>261</v>
      </c>
      <c r="I116" s="96"/>
      <c r="J116" s="147"/>
      <c r="K116" s="61">
        <v>1.0</v>
      </c>
      <c r="L116" s="148"/>
      <c r="M116" s="148"/>
      <c r="N116" s="148"/>
      <c r="O116" s="148"/>
      <c r="P116" s="148"/>
      <c r="Q116" s="148"/>
      <c r="R116" s="148"/>
      <c r="S116" s="148"/>
      <c r="T116" s="148"/>
      <c r="U116" s="148"/>
      <c r="V116" s="148"/>
      <c r="W116" s="148"/>
      <c r="X116" s="148"/>
      <c r="Y116" s="148"/>
      <c r="Z116" s="148"/>
      <c r="AA116" s="148"/>
      <c r="AB116" s="148"/>
      <c r="AC116" s="148"/>
      <c r="AD116" s="148"/>
      <c r="AE116" s="148"/>
      <c r="AF116" s="148"/>
      <c r="AG116" s="148"/>
      <c r="AH116" s="148"/>
      <c r="AI116" s="148"/>
      <c r="AJ116" s="67"/>
      <c r="AK116" s="67"/>
      <c r="AL116" s="68"/>
      <c r="AM116" s="68"/>
      <c r="AN116" s="68"/>
    </row>
    <row r="117" ht="15.75" customHeight="1">
      <c r="A117" s="35" t="s">
        <v>283</v>
      </c>
      <c r="B117" s="149"/>
      <c r="C117" s="149" t="s">
        <v>284</v>
      </c>
      <c r="D117" s="104"/>
      <c r="E117" s="73"/>
      <c r="F117" s="74"/>
      <c r="G117" s="33"/>
      <c r="H117" s="140"/>
      <c r="I117" s="144"/>
      <c r="J117" s="150"/>
      <c r="K117" s="151"/>
      <c r="L117" s="144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  <c r="AA117" s="144"/>
      <c r="AB117" s="144"/>
      <c r="AC117" s="144"/>
      <c r="AD117" s="144"/>
      <c r="AE117" s="144"/>
      <c r="AF117" s="144"/>
      <c r="AG117" s="144"/>
      <c r="AH117" s="144"/>
      <c r="AI117" s="144"/>
      <c r="AJ117" s="20"/>
      <c r="AK117" s="20"/>
    </row>
    <row r="118" ht="15.75" customHeight="1">
      <c r="A118" s="58"/>
      <c r="B118" s="138"/>
      <c r="C118" s="138" t="s">
        <v>285</v>
      </c>
      <c r="D118" s="83" t="s">
        <v>80</v>
      </c>
      <c r="E118" s="84">
        <v>50000.0</v>
      </c>
      <c r="F118" s="85">
        <v>50000.0</v>
      </c>
      <c r="G118" s="61" t="s">
        <v>286</v>
      </c>
      <c r="H118" s="152" t="s">
        <v>261</v>
      </c>
      <c r="I118" s="65">
        <v>1.0</v>
      </c>
      <c r="J118" s="153"/>
      <c r="K118" s="153"/>
      <c r="L118" s="153"/>
      <c r="M118" s="153"/>
      <c r="N118" s="153"/>
      <c r="O118" s="153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  <c r="Z118" s="153"/>
      <c r="AA118" s="153"/>
      <c r="AB118" s="153"/>
      <c r="AC118" s="153"/>
      <c r="AD118" s="153"/>
      <c r="AE118" s="153"/>
      <c r="AF118" s="153"/>
      <c r="AG118" s="153"/>
      <c r="AH118" s="153"/>
      <c r="AI118" s="153"/>
      <c r="AJ118" s="68"/>
      <c r="AK118" s="68"/>
      <c r="AL118" s="68"/>
      <c r="AM118" s="68"/>
      <c r="AN118" s="68"/>
    </row>
    <row r="119" ht="15.75" customHeight="1">
      <c r="A119" s="154" t="s">
        <v>287</v>
      </c>
      <c r="B119" s="155"/>
      <c r="C119" s="155"/>
      <c r="D119" s="2"/>
      <c r="E119" s="9"/>
      <c r="F119" s="156">
        <f>SUM(F12:F118)</f>
        <v>7320101.01</v>
      </c>
      <c r="G119" s="11"/>
      <c r="H119" s="11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ht="15.75" hidden="1" customHeight="1">
      <c r="A120" s="157"/>
      <c r="B120" s="6"/>
      <c r="C120" s="6"/>
      <c r="D120" s="158"/>
      <c r="G120" s="11"/>
      <c r="H120" s="11"/>
      <c r="I120" s="2"/>
      <c r="K120" s="159"/>
      <c r="AH120" s="159"/>
      <c r="AI120" s="2"/>
      <c r="AJ120" s="2"/>
      <c r="AK120" s="2"/>
    </row>
    <row r="121" ht="15.75" hidden="1" customHeight="1">
      <c r="A121" s="160" t="s">
        <v>288</v>
      </c>
      <c r="B121" s="161"/>
      <c r="C121" s="161"/>
      <c r="D121" s="162">
        <f>PRODUCT(D120,0.1)</f>
        <v>0.1</v>
      </c>
      <c r="E121" s="163"/>
      <c r="F121" s="164"/>
      <c r="G121" s="11"/>
      <c r="H121" s="11"/>
      <c r="I121" s="159"/>
      <c r="J121" s="165"/>
      <c r="K121" s="166"/>
      <c r="AH121" s="166"/>
      <c r="AI121" s="2"/>
      <c r="AJ121" s="2"/>
      <c r="AK121" s="2"/>
    </row>
    <row r="122" ht="15.75" hidden="1" customHeight="1">
      <c r="A122" s="167" t="s">
        <v>289</v>
      </c>
      <c r="B122" s="168"/>
      <c r="C122" s="168"/>
      <c r="D122" s="169">
        <f>PRODUCT(D120,0.1)</f>
        <v>0.1</v>
      </c>
      <c r="E122" s="170"/>
      <c r="F122" s="171"/>
      <c r="G122" s="11"/>
      <c r="H122" s="11"/>
      <c r="I122" s="165"/>
      <c r="J122" s="165"/>
      <c r="K122" s="166"/>
      <c r="AH122" s="166"/>
      <c r="AI122" s="2"/>
      <c r="AJ122" s="2"/>
      <c r="AK122" s="2"/>
    </row>
    <row r="123" ht="15.75" customHeight="1">
      <c r="A123" s="167" t="s">
        <v>290</v>
      </c>
      <c r="B123" s="168"/>
      <c r="C123" s="168"/>
      <c r="D123" s="169"/>
      <c r="E123" s="170"/>
      <c r="F123" s="171"/>
      <c r="G123" s="11"/>
      <c r="H123" s="11"/>
      <c r="I123" s="165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ht="15.75" customHeight="1">
      <c r="A124" s="172" t="s">
        <v>291</v>
      </c>
      <c r="B124" s="6"/>
      <c r="C124" s="6"/>
      <c r="D124" s="2"/>
      <c r="E124" s="9"/>
      <c r="F124" s="10"/>
      <c r="G124" s="11"/>
      <c r="H124" s="11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ht="15.75" customHeight="1">
      <c r="A125" s="173"/>
      <c r="B125" s="6"/>
      <c r="C125" s="6"/>
      <c r="D125" s="2"/>
      <c r="E125" s="108"/>
      <c r="F125" s="10"/>
      <c r="G125" s="2"/>
      <c r="H125" s="2"/>
      <c r="I125" s="2"/>
      <c r="J125" s="174" t="s">
        <v>292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165"/>
    </row>
    <row r="126" ht="15.75" customHeight="1">
      <c r="A126" s="175" t="s">
        <v>293</v>
      </c>
      <c r="B126" s="155"/>
      <c r="C126" s="155"/>
      <c r="D126" s="174" t="s">
        <v>294</v>
      </c>
      <c r="E126" s="108"/>
      <c r="F126" s="10"/>
      <c r="G126" s="174" t="s">
        <v>295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165"/>
    </row>
    <row r="127" ht="15.75" customHeight="1">
      <c r="A127" s="175"/>
      <c r="B127" s="155"/>
      <c r="C127" s="155"/>
      <c r="D127" s="2"/>
      <c r="E127" s="108"/>
      <c r="F127" s="10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165"/>
    </row>
    <row r="128" ht="15.75" customHeight="1">
      <c r="A128" s="155"/>
      <c r="B128" s="155"/>
      <c r="C128" s="155"/>
      <c r="D128" s="2"/>
      <c r="E128" s="108"/>
      <c r="F128" s="10"/>
      <c r="G128" s="2"/>
      <c r="H128" s="2"/>
      <c r="I128" s="2"/>
      <c r="J128" s="174" t="s">
        <v>296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ht="15.0" customHeight="1">
      <c r="A129" s="176" t="s">
        <v>297</v>
      </c>
      <c r="B129" s="177"/>
      <c r="C129" s="177"/>
      <c r="D129" s="174" t="s">
        <v>298</v>
      </c>
      <c r="E129" s="108"/>
      <c r="F129" s="10"/>
      <c r="G129" s="174" t="s">
        <v>299</v>
      </c>
      <c r="H129" s="2"/>
      <c r="I129" s="2"/>
      <c r="J129" s="2" t="s">
        <v>300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165"/>
    </row>
    <row r="130" ht="15.75" customHeight="1">
      <c r="A130" s="178" t="s">
        <v>301</v>
      </c>
      <c r="D130" s="2" t="s">
        <v>302</v>
      </c>
      <c r="E130" s="108"/>
      <c r="F130" s="10"/>
      <c r="G130" s="2" t="s">
        <v>303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ht="15.75" customHeight="1">
      <c r="A131" s="2"/>
      <c r="B131" s="2"/>
      <c r="C131" s="2"/>
      <c r="D131" s="2"/>
      <c r="E131" s="108"/>
      <c r="F131" s="10"/>
      <c r="G131" s="2"/>
      <c r="H131" s="2"/>
      <c r="I131" s="2"/>
      <c r="J131" s="2" t="s">
        <v>304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ht="15.75" customHeight="1">
      <c r="A132" s="2" t="s">
        <v>305</v>
      </c>
      <c r="B132" s="2"/>
      <c r="C132" s="2"/>
      <c r="D132" s="2" t="s">
        <v>304</v>
      </c>
      <c r="E132" s="108"/>
      <c r="F132" s="10"/>
      <c r="G132" s="2" t="s">
        <v>304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15.75" customHeight="1">
      <c r="D133" s="2"/>
      <c r="E133" s="9"/>
      <c r="F133" s="10"/>
      <c r="G133" s="11"/>
      <c r="H133" s="11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15.75" customHeight="1">
      <c r="D134" s="2"/>
      <c r="E134" s="9"/>
      <c r="F134" s="10"/>
      <c r="G134" s="11"/>
      <c r="H134" s="1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15.75" customHeight="1">
      <c r="D135" s="2"/>
      <c r="E135" s="9"/>
      <c r="F135" s="10"/>
      <c r="G135" s="11"/>
      <c r="H135" s="11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15.75" customHeight="1">
      <c r="D136" s="2"/>
      <c r="E136" s="9"/>
      <c r="F136" s="10"/>
      <c r="G136" s="11"/>
      <c r="H136" s="11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15.75" customHeight="1">
      <c r="D137" s="2"/>
      <c r="E137" s="9"/>
      <c r="F137" s="10"/>
      <c r="G137" s="11"/>
      <c r="H137" s="11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ht="15.75" customHeight="1">
      <c r="D138" s="2"/>
      <c r="E138" s="9"/>
      <c r="F138" s="10"/>
      <c r="G138" s="11"/>
      <c r="H138" s="1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ht="15.75" customHeight="1">
      <c r="D139" s="2"/>
      <c r="E139" s="9"/>
      <c r="F139" s="10"/>
      <c r="G139" s="11"/>
      <c r="H139" s="1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ht="15.75" customHeight="1">
      <c r="D140" s="2"/>
      <c r="E140" s="9"/>
      <c r="F140" s="10"/>
      <c r="G140" s="11"/>
      <c r="H140" s="1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ht="15.75" customHeight="1">
      <c r="D141" s="2"/>
      <c r="E141" s="9"/>
      <c r="F141" s="10"/>
      <c r="G141" s="11"/>
      <c r="H141" s="11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ht="15.75" customHeight="1">
      <c r="D142" s="2"/>
      <c r="E142" s="9"/>
      <c r="F142" s="10"/>
      <c r="G142" s="11"/>
      <c r="H142" s="11"/>
      <c r="I142" s="2"/>
    </row>
    <row r="143" ht="15.75" customHeight="1">
      <c r="E143" s="179"/>
    </row>
    <row r="144" ht="15.75" customHeight="1">
      <c r="E144" s="179"/>
    </row>
    <row r="145" ht="15.75" customHeight="1">
      <c r="E145" s="179"/>
    </row>
    <row r="146" ht="15.75" customHeight="1">
      <c r="E146" s="179"/>
    </row>
    <row r="147" ht="15.75" customHeight="1">
      <c r="E147" s="179"/>
    </row>
    <row r="148" ht="15.75" customHeight="1">
      <c r="E148" s="179"/>
    </row>
    <row r="149" ht="15.75" customHeight="1">
      <c r="E149" s="179"/>
    </row>
    <row r="150" ht="15.75" customHeight="1">
      <c r="E150" s="179"/>
    </row>
    <row r="151" ht="15.75" customHeight="1">
      <c r="E151" s="179"/>
    </row>
    <row r="152" ht="15.75" customHeight="1">
      <c r="E152" s="179"/>
    </row>
    <row r="153" ht="15.75" customHeight="1">
      <c r="E153" s="179"/>
    </row>
    <row r="154" ht="15.75" customHeight="1">
      <c r="E154" s="179"/>
    </row>
    <row r="155" ht="15.75" customHeight="1">
      <c r="E155" s="179"/>
    </row>
    <row r="156" ht="15.75" customHeight="1">
      <c r="E156" s="179"/>
    </row>
    <row r="157" ht="15.75" customHeight="1">
      <c r="E157" s="179"/>
    </row>
    <row r="158" ht="15.75" customHeight="1">
      <c r="E158" s="179"/>
    </row>
    <row r="159" ht="15.75" customHeight="1">
      <c r="E159" s="179"/>
    </row>
    <row r="160" ht="15.75" customHeight="1">
      <c r="E160" s="179"/>
    </row>
    <row r="161" ht="15.75" customHeight="1">
      <c r="E161" s="179"/>
    </row>
    <row r="162" ht="15.75" customHeight="1">
      <c r="E162" s="179"/>
    </row>
    <row r="163" ht="15.75" customHeight="1">
      <c r="E163" s="179"/>
    </row>
    <row r="164" ht="15.75" customHeight="1">
      <c r="E164" s="179"/>
    </row>
    <row r="165" ht="15.75" customHeight="1">
      <c r="E165" s="179"/>
    </row>
    <row r="166" ht="15.75" customHeight="1">
      <c r="E166" s="179"/>
    </row>
    <row r="167" ht="15.75" customHeight="1">
      <c r="E167" s="179"/>
    </row>
    <row r="168" ht="15.75" customHeight="1">
      <c r="E168" s="179"/>
    </row>
    <row r="169" ht="15.75" customHeight="1">
      <c r="E169" s="179"/>
    </row>
    <row r="170" ht="15.75" customHeight="1">
      <c r="E170" s="179"/>
    </row>
    <row r="171" ht="15.75" customHeight="1">
      <c r="E171" s="179"/>
    </row>
    <row r="172" ht="15.75" customHeight="1">
      <c r="E172" s="179"/>
    </row>
    <row r="173" ht="15.75" customHeight="1">
      <c r="E173" s="179"/>
    </row>
    <row r="174" ht="15.75" customHeight="1">
      <c r="E174" s="179"/>
    </row>
    <row r="175" ht="15.75" customHeight="1">
      <c r="E175" s="179"/>
    </row>
    <row r="176" ht="15.75" customHeight="1">
      <c r="E176" s="179"/>
    </row>
    <row r="177" ht="15.75" customHeight="1">
      <c r="E177" s="179"/>
    </row>
    <row r="178" ht="15.75" customHeight="1">
      <c r="E178" s="179"/>
    </row>
    <row r="179" ht="15.75" customHeight="1">
      <c r="E179" s="179"/>
    </row>
    <row r="180" ht="15.75" customHeight="1">
      <c r="E180" s="179"/>
    </row>
    <row r="181" ht="15.75" customHeight="1">
      <c r="E181" s="179"/>
    </row>
    <row r="182" ht="15.75" customHeight="1">
      <c r="E182" s="179"/>
    </row>
    <row r="183" ht="15.75" customHeight="1">
      <c r="E183" s="179"/>
    </row>
    <row r="184" ht="15.75" customHeight="1">
      <c r="E184" s="179"/>
    </row>
    <row r="185" ht="15.75" customHeight="1">
      <c r="E185" s="179"/>
    </row>
    <row r="186" ht="15.75" customHeight="1">
      <c r="E186" s="179"/>
    </row>
    <row r="187" ht="15.75" customHeight="1">
      <c r="E187" s="179"/>
    </row>
    <row r="188" ht="15.75" customHeight="1">
      <c r="E188" s="179"/>
    </row>
    <row r="189" ht="15.75" customHeight="1">
      <c r="E189" s="179"/>
    </row>
    <row r="190" ht="15.75" customHeight="1">
      <c r="E190" s="179"/>
    </row>
    <row r="191" ht="15.75" customHeight="1">
      <c r="E191" s="179"/>
    </row>
    <row r="192" ht="15.75" customHeight="1">
      <c r="E192" s="179"/>
    </row>
    <row r="193" ht="15.75" customHeight="1">
      <c r="E193" s="179"/>
    </row>
    <row r="194" ht="15.75" customHeight="1">
      <c r="E194" s="179"/>
    </row>
    <row r="195" ht="15.75" customHeight="1">
      <c r="E195" s="179"/>
    </row>
    <row r="196" ht="15.75" customHeight="1">
      <c r="E196" s="179"/>
    </row>
    <row r="197" ht="15.75" customHeight="1">
      <c r="E197" s="179"/>
    </row>
    <row r="198" ht="15.75" customHeight="1">
      <c r="E198" s="179"/>
    </row>
    <row r="199" ht="15.75" customHeight="1">
      <c r="E199" s="179"/>
    </row>
    <row r="200" ht="15.75" customHeight="1">
      <c r="E200" s="179"/>
    </row>
    <row r="201" ht="15.75" customHeight="1">
      <c r="E201" s="179"/>
    </row>
    <row r="202" ht="15.75" customHeight="1">
      <c r="E202" s="179"/>
    </row>
    <row r="203" ht="15.75" customHeight="1">
      <c r="E203" s="179"/>
    </row>
    <row r="204" ht="15.75" customHeight="1">
      <c r="E204" s="179"/>
    </row>
    <row r="205" ht="15.75" customHeight="1">
      <c r="E205" s="179"/>
    </row>
    <row r="206" ht="15.75" customHeight="1">
      <c r="E206" s="179"/>
    </row>
    <row r="207" ht="15.75" customHeight="1">
      <c r="E207" s="179"/>
    </row>
    <row r="208" ht="15.75" customHeight="1">
      <c r="E208" s="179"/>
    </row>
    <row r="209" ht="15.75" customHeight="1">
      <c r="E209" s="179"/>
    </row>
    <row r="210" ht="15.75" customHeight="1">
      <c r="E210" s="179"/>
    </row>
    <row r="211" ht="15.75" customHeight="1">
      <c r="E211" s="179"/>
    </row>
    <row r="212" ht="15.75" customHeight="1">
      <c r="E212" s="179"/>
    </row>
    <row r="213" ht="15.75" customHeight="1">
      <c r="E213" s="179"/>
    </row>
    <row r="214" ht="15.75" customHeight="1">
      <c r="E214" s="179"/>
    </row>
    <row r="215" ht="15.75" customHeight="1">
      <c r="E215" s="179"/>
    </row>
    <row r="216" ht="15.75" customHeight="1">
      <c r="E216" s="179"/>
    </row>
    <row r="217" ht="15.75" customHeight="1">
      <c r="E217" s="179"/>
    </row>
    <row r="218" ht="15.75" customHeight="1">
      <c r="E218" s="179"/>
    </row>
    <row r="219" ht="15.75" customHeight="1">
      <c r="E219" s="179"/>
    </row>
    <row r="220" ht="15.75" customHeight="1">
      <c r="E220" s="179"/>
    </row>
    <row r="221" ht="15.75" customHeight="1">
      <c r="E221" s="179"/>
    </row>
    <row r="222" ht="15.75" customHeight="1">
      <c r="E222" s="179"/>
    </row>
    <row r="223" ht="15.75" customHeight="1">
      <c r="E223" s="179"/>
    </row>
    <row r="224" ht="15.75" customHeight="1">
      <c r="E224" s="179"/>
    </row>
    <row r="225" ht="15.75" customHeight="1">
      <c r="E225" s="179"/>
    </row>
    <row r="226" ht="15.75" customHeight="1">
      <c r="E226" s="179"/>
    </row>
    <row r="227" ht="15.75" customHeight="1">
      <c r="E227" s="179"/>
    </row>
    <row r="228" ht="15.75" customHeight="1">
      <c r="E228" s="179"/>
    </row>
    <row r="229" ht="15.75" customHeight="1">
      <c r="E229" s="179"/>
    </row>
    <row r="230" ht="15.75" customHeight="1">
      <c r="E230" s="179"/>
    </row>
    <row r="231" ht="15.75" customHeight="1">
      <c r="E231" s="179"/>
    </row>
    <row r="232" ht="15.75" customHeight="1">
      <c r="E232" s="179"/>
    </row>
    <row r="233" ht="15.75" customHeight="1">
      <c r="E233" s="179"/>
    </row>
    <row r="234" ht="15.75" customHeight="1">
      <c r="E234" s="179"/>
    </row>
    <row r="235" ht="15.75" customHeight="1">
      <c r="E235" s="179"/>
    </row>
    <row r="236" ht="15.75" customHeight="1">
      <c r="E236" s="179"/>
    </row>
    <row r="237" ht="15.75" customHeight="1">
      <c r="E237" s="179"/>
    </row>
    <row r="238" ht="15.75" customHeight="1">
      <c r="E238" s="179"/>
    </row>
    <row r="239" ht="15.75" customHeight="1">
      <c r="E239" s="179"/>
    </row>
    <row r="240" ht="15.75" customHeight="1">
      <c r="E240" s="179"/>
    </row>
    <row r="241" ht="15.75" customHeight="1">
      <c r="E241" s="179"/>
    </row>
    <row r="242" ht="15.75" customHeight="1">
      <c r="E242" s="179"/>
    </row>
    <row r="243" ht="15.75" customHeight="1">
      <c r="E243" s="179"/>
    </row>
    <row r="244" ht="15.75" customHeight="1">
      <c r="E244" s="179"/>
    </row>
    <row r="245" ht="15.75" customHeight="1">
      <c r="E245" s="179"/>
    </row>
    <row r="246" ht="15.75" customHeight="1">
      <c r="E246" s="179"/>
    </row>
    <row r="247" ht="15.75" customHeight="1">
      <c r="E247" s="179"/>
    </row>
    <row r="248" ht="15.75" customHeight="1">
      <c r="E248" s="179"/>
    </row>
    <row r="249" ht="15.75" customHeight="1">
      <c r="E249" s="179"/>
    </row>
    <row r="250" ht="15.75" customHeight="1">
      <c r="E250" s="179"/>
    </row>
    <row r="251" ht="15.75" customHeight="1">
      <c r="E251" s="179"/>
    </row>
    <row r="252" ht="15.75" customHeight="1">
      <c r="E252" s="179"/>
    </row>
    <row r="253" ht="15.75" customHeight="1">
      <c r="E253" s="179"/>
    </row>
    <row r="254" ht="15.75" customHeight="1">
      <c r="E254" s="179"/>
    </row>
    <row r="255" ht="15.75" customHeight="1">
      <c r="E255" s="179"/>
    </row>
    <row r="256" ht="15.75" customHeight="1">
      <c r="E256" s="179"/>
    </row>
    <row r="257" ht="15.75" customHeight="1">
      <c r="E257" s="179"/>
    </row>
    <row r="258" ht="15.75" customHeight="1">
      <c r="E258" s="179"/>
    </row>
    <row r="259" ht="15.75" customHeight="1">
      <c r="E259" s="179"/>
    </row>
    <row r="260" ht="15.75" customHeight="1">
      <c r="E260" s="179"/>
    </row>
    <row r="261" ht="15.75" customHeight="1">
      <c r="E261" s="179"/>
    </row>
    <row r="262" ht="15.75" customHeight="1">
      <c r="E262" s="179"/>
    </row>
    <row r="263" ht="15.75" customHeight="1">
      <c r="E263" s="179"/>
    </row>
    <row r="264" ht="15.75" customHeight="1">
      <c r="E264" s="179"/>
    </row>
    <row r="265" ht="15.75" customHeight="1">
      <c r="E265" s="179"/>
    </row>
    <row r="266" ht="15.75" customHeight="1">
      <c r="E266" s="179"/>
    </row>
    <row r="267" ht="15.75" customHeight="1">
      <c r="E267" s="179"/>
    </row>
    <row r="268" ht="15.75" customHeight="1">
      <c r="E268" s="179"/>
    </row>
    <row r="269" ht="15.75" customHeight="1">
      <c r="E269" s="179"/>
    </row>
    <row r="270" ht="15.75" customHeight="1">
      <c r="E270" s="179"/>
    </row>
    <row r="271" ht="15.75" customHeight="1">
      <c r="E271" s="179"/>
    </row>
    <row r="272" ht="15.75" customHeight="1">
      <c r="E272" s="179"/>
    </row>
    <row r="273" ht="15.75" customHeight="1">
      <c r="E273" s="179"/>
    </row>
    <row r="274" ht="15.75" customHeight="1">
      <c r="E274" s="179"/>
    </row>
    <row r="275" ht="15.75" customHeight="1">
      <c r="E275" s="179"/>
    </row>
    <row r="276" ht="15.75" customHeight="1">
      <c r="E276" s="179"/>
    </row>
    <row r="277" ht="15.75" customHeight="1">
      <c r="E277" s="179"/>
    </row>
    <row r="278" ht="15.75" customHeight="1">
      <c r="E278" s="179"/>
    </row>
    <row r="279" ht="15.75" customHeight="1">
      <c r="E279" s="179"/>
    </row>
    <row r="280" ht="15.75" customHeight="1">
      <c r="E280" s="179"/>
    </row>
    <row r="281" ht="15.75" customHeight="1">
      <c r="E281" s="179"/>
    </row>
    <row r="282" ht="15.75" customHeight="1">
      <c r="E282" s="179"/>
    </row>
    <row r="283" ht="15.75" customHeight="1">
      <c r="E283" s="179"/>
    </row>
    <row r="284" ht="15.75" customHeight="1">
      <c r="E284" s="179"/>
    </row>
    <row r="285" ht="15.75" customHeight="1">
      <c r="E285" s="179"/>
    </row>
    <row r="286" ht="15.75" customHeight="1">
      <c r="E286" s="179"/>
    </row>
    <row r="287" ht="15.75" customHeight="1">
      <c r="E287" s="179"/>
    </row>
    <row r="288" ht="15.75" customHeight="1">
      <c r="E288" s="179"/>
    </row>
    <row r="289" ht="15.75" customHeight="1">
      <c r="E289" s="179"/>
    </row>
    <row r="290" ht="15.75" customHeight="1">
      <c r="E290" s="179"/>
    </row>
    <row r="291" ht="15.75" customHeight="1">
      <c r="E291" s="179"/>
    </row>
    <row r="292" ht="15.75" customHeight="1">
      <c r="E292" s="179"/>
    </row>
    <row r="293" ht="15.75" customHeight="1">
      <c r="E293" s="179"/>
    </row>
    <row r="294" ht="15.75" customHeight="1">
      <c r="E294" s="179"/>
    </row>
    <row r="295" ht="15.75" customHeight="1">
      <c r="E295" s="179"/>
    </row>
    <row r="296" ht="15.75" customHeight="1">
      <c r="E296" s="179"/>
    </row>
    <row r="297" ht="15.75" customHeight="1">
      <c r="E297" s="179"/>
    </row>
    <row r="298" ht="15.75" customHeight="1">
      <c r="E298" s="179"/>
    </row>
    <row r="299" ht="15.75" customHeight="1">
      <c r="E299" s="179"/>
    </row>
    <row r="300" ht="15.75" customHeight="1">
      <c r="E300" s="179"/>
    </row>
    <row r="301" ht="15.75" customHeight="1">
      <c r="E301" s="179"/>
    </row>
    <row r="302" ht="15.75" customHeight="1">
      <c r="E302" s="179"/>
    </row>
    <row r="303" ht="15.75" customHeight="1">
      <c r="E303" s="179"/>
    </row>
    <row r="304" ht="15.75" customHeight="1">
      <c r="E304" s="179"/>
    </row>
    <row r="305" ht="15.75" customHeight="1">
      <c r="E305" s="179"/>
    </row>
    <row r="306" ht="15.75" customHeight="1">
      <c r="E306" s="179"/>
    </row>
    <row r="307" ht="15.75" customHeight="1">
      <c r="E307" s="179"/>
    </row>
    <row r="308" ht="15.75" customHeight="1">
      <c r="E308" s="179"/>
    </row>
    <row r="309" ht="15.75" customHeight="1">
      <c r="E309" s="179"/>
    </row>
    <row r="310" ht="15.75" customHeight="1">
      <c r="E310" s="179"/>
    </row>
    <row r="311" ht="15.75" customHeight="1">
      <c r="E311" s="179"/>
    </row>
    <row r="312" ht="15.75" customHeight="1">
      <c r="E312" s="179"/>
    </row>
    <row r="313" ht="15.75" customHeight="1">
      <c r="E313" s="179"/>
    </row>
    <row r="314" ht="15.75" customHeight="1">
      <c r="E314" s="179"/>
    </row>
    <row r="315" ht="15.75" customHeight="1">
      <c r="E315" s="179"/>
    </row>
    <row r="316" ht="15.75" customHeight="1">
      <c r="E316" s="179"/>
    </row>
    <row r="317" ht="15.75" customHeight="1">
      <c r="E317" s="179"/>
    </row>
    <row r="318" ht="15.75" customHeight="1">
      <c r="E318" s="179"/>
    </row>
    <row r="319" ht="15.75" customHeight="1">
      <c r="E319" s="179"/>
    </row>
    <row r="320" ht="15.75" customHeight="1">
      <c r="E320" s="179"/>
    </row>
    <row r="321" ht="15.75" customHeight="1">
      <c r="E321" s="179"/>
    </row>
    <row r="322" ht="15.75" customHeight="1">
      <c r="E322" s="179"/>
    </row>
    <row r="323" ht="15.75" customHeight="1">
      <c r="E323" s="179"/>
    </row>
    <row r="324" ht="15.75" customHeight="1">
      <c r="E324" s="179"/>
    </row>
    <row r="325" ht="15.75" customHeight="1">
      <c r="E325" s="179"/>
    </row>
    <row r="326" ht="15.75" customHeight="1">
      <c r="E326" s="179"/>
    </row>
    <row r="327" ht="15.75" customHeight="1">
      <c r="E327" s="179"/>
    </row>
    <row r="328" ht="15.75" customHeight="1">
      <c r="E328" s="179"/>
    </row>
    <row r="329" ht="15.75" customHeight="1">
      <c r="E329" s="179"/>
    </row>
    <row r="330" ht="15.75" customHeight="1">
      <c r="E330" s="179"/>
    </row>
    <row r="331" ht="15.75" customHeight="1">
      <c r="E331" s="179"/>
    </row>
    <row r="332" ht="15.75" customHeight="1">
      <c r="E332" s="179"/>
    </row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</sheetData>
  <mergeCells count="31">
    <mergeCell ref="H8:H9"/>
    <mergeCell ref="I8:AI8"/>
    <mergeCell ref="A1:AI1"/>
    <mergeCell ref="A2:AI2"/>
    <mergeCell ref="A3:AI3"/>
    <mergeCell ref="A8:A9"/>
    <mergeCell ref="B8:B9"/>
    <mergeCell ref="C8:C9"/>
    <mergeCell ref="E8:E9"/>
    <mergeCell ref="F35:F45"/>
    <mergeCell ref="G35:G45"/>
    <mergeCell ref="F57:F66"/>
    <mergeCell ref="G57:G66"/>
    <mergeCell ref="H57:H66"/>
    <mergeCell ref="K120:AG120"/>
    <mergeCell ref="K121:AG121"/>
    <mergeCell ref="K122:AG122"/>
    <mergeCell ref="D35:D45"/>
    <mergeCell ref="D57:D66"/>
    <mergeCell ref="D120:F120"/>
    <mergeCell ref="D121:F121"/>
    <mergeCell ref="D122:F122"/>
    <mergeCell ref="D123:F123"/>
    <mergeCell ref="A130:C130"/>
    <mergeCell ref="F8:F9"/>
    <mergeCell ref="G8:G9"/>
    <mergeCell ref="D12:D32"/>
    <mergeCell ref="F12:F32"/>
    <mergeCell ref="G12:G32"/>
    <mergeCell ref="H12:H32"/>
    <mergeCell ref="H35:H45"/>
  </mergeCells>
  <printOptions/>
  <pageMargins bottom="0.9848484848484849" footer="0.0" header="0.0" left="1.5" right="0.0" top="0.7878787878787878"/>
  <pageSetup paperSize="5" orientation="landscape"/>
  <rowBreaks count="3" manualBreakCount="3">
    <brk id="132" man="1"/>
    <brk id="43" man="1"/>
    <brk id="111" man="1"/>
  </rowBreaks>
  <colBreaks count="1" manualBreakCount="1">
    <brk id="36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16.63"/>
    <col customWidth="1" min="3" max="3" width="37.88"/>
    <col customWidth="1" min="4" max="4" width="11.63"/>
    <col customWidth="1" min="5" max="5" width="10.13"/>
    <col customWidth="1" min="6" max="6" width="14.5"/>
    <col customWidth="1" min="7" max="7" width="23.25"/>
    <col customWidth="1" min="8" max="8" width="16.63"/>
    <col customWidth="1" min="9" max="13" width="7.63"/>
    <col customWidth="1" min="14" max="34" width="0.38"/>
    <col customWidth="1" min="35" max="35" width="22.63"/>
    <col customWidth="1" min="36" max="37" width="7.63"/>
  </cols>
  <sheetData>
    <row r="1">
      <c r="A1" s="1" t="s">
        <v>0</v>
      </c>
      <c r="AJ1" s="2"/>
      <c r="AK1" s="2"/>
    </row>
    <row r="2">
      <c r="A2" s="180" t="s">
        <v>306</v>
      </c>
      <c r="AJ2" s="2"/>
      <c r="AK2" s="2"/>
    </row>
    <row r="3">
      <c r="A3" s="4"/>
      <c r="AJ3" s="2"/>
      <c r="AK3" s="2"/>
    </row>
    <row r="4">
      <c r="A4" s="5" t="s">
        <v>2</v>
      </c>
      <c r="B4" s="6"/>
      <c r="C4" s="6"/>
      <c r="D4" s="6"/>
      <c r="E4" s="7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2"/>
      <c r="AJ4" s="2"/>
      <c r="AK4" s="2"/>
    </row>
    <row r="5">
      <c r="A5" s="8"/>
      <c r="B5" s="6"/>
      <c r="C5" s="6"/>
      <c r="D5" s="2"/>
      <c r="E5" s="9"/>
      <c r="F5" s="10"/>
      <c r="G5" s="11"/>
      <c r="H5" s="1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>
      <c r="A6" s="5" t="s">
        <v>3</v>
      </c>
      <c r="B6" s="6"/>
      <c r="C6" s="6"/>
      <c r="D6" s="2"/>
      <c r="E6" s="9"/>
      <c r="F6" s="10"/>
      <c r="G6" s="11"/>
      <c r="H6" s="1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181"/>
      <c r="AK6" s="181"/>
      <c r="AL6" s="182"/>
      <c r="AM6" s="182"/>
      <c r="AN6" s="182"/>
    </row>
    <row r="7">
      <c r="A7" s="8" t="s">
        <v>4</v>
      </c>
      <c r="B7" s="6"/>
      <c r="C7" s="6"/>
      <c r="D7" s="2"/>
      <c r="E7" s="9"/>
      <c r="F7" s="10"/>
      <c r="G7" s="11"/>
      <c r="H7" s="1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181"/>
      <c r="AK7" s="181"/>
      <c r="AL7" s="182"/>
      <c r="AM7" s="182"/>
      <c r="AN7" s="182"/>
    </row>
    <row r="8" ht="22.5" customHeight="1">
      <c r="A8" s="12" t="s">
        <v>5</v>
      </c>
      <c r="B8" s="13" t="s">
        <v>6</v>
      </c>
      <c r="C8" s="13" t="s">
        <v>7</v>
      </c>
      <c r="D8" s="14" t="s">
        <v>8</v>
      </c>
      <c r="E8" s="15" t="s">
        <v>9</v>
      </c>
      <c r="F8" s="16" t="s">
        <v>10</v>
      </c>
      <c r="G8" s="13" t="s">
        <v>11</v>
      </c>
      <c r="H8" s="13" t="s">
        <v>12</v>
      </c>
      <c r="I8" s="17" t="s">
        <v>13</v>
      </c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9"/>
      <c r="AJ8" s="183"/>
      <c r="AK8" s="183"/>
      <c r="AL8" s="182"/>
      <c r="AM8" s="182"/>
      <c r="AN8" s="182"/>
    </row>
    <row r="9">
      <c r="A9" s="21"/>
      <c r="B9" s="22"/>
      <c r="C9" s="22"/>
      <c r="D9" s="23" t="s">
        <v>14</v>
      </c>
      <c r="E9" s="22"/>
      <c r="F9" s="22"/>
      <c r="G9" s="22"/>
      <c r="H9" s="22"/>
      <c r="I9" s="23" t="s">
        <v>307</v>
      </c>
      <c r="J9" s="23" t="s">
        <v>308</v>
      </c>
      <c r="K9" s="23" t="s">
        <v>309</v>
      </c>
      <c r="L9" s="24" t="s">
        <v>18</v>
      </c>
      <c r="M9" s="24" t="s">
        <v>19</v>
      </c>
      <c r="N9" s="23" t="s">
        <v>20</v>
      </c>
      <c r="O9" s="23" t="s">
        <v>21</v>
      </c>
      <c r="P9" s="23" t="s">
        <v>22</v>
      </c>
      <c r="Q9" s="23" t="s">
        <v>23</v>
      </c>
      <c r="R9" s="23" t="s">
        <v>24</v>
      </c>
      <c r="S9" s="23" t="s">
        <v>25</v>
      </c>
      <c r="T9" s="23" t="s">
        <v>26</v>
      </c>
      <c r="U9" s="23" t="s">
        <v>27</v>
      </c>
      <c r="V9" s="23" t="s">
        <v>28</v>
      </c>
      <c r="W9" s="23" t="s">
        <v>29</v>
      </c>
      <c r="X9" s="23" t="s">
        <v>30</v>
      </c>
      <c r="Y9" s="23" t="s">
        <v>31</v>
      </c>
      <c r="Z9" s="23" t="s">
        <v>32</v>
      </c>
      <c r="AA9" s="23" t="s">
        <v>33</v>
      </c>
      <c r="AB9" s="23" t="s">
        <v>34</v>
      </c>
      <c r="AC9" s="23" t="s">
        <v>35</v>
      </c>
      <c r="AD9" s="23" t="s">
        <v>36</v>
      </c>
      <c r="AE9" s="23" t="s">
        <v>37</v>
      </c>
      <c r="AF9" s="23" t="s">
        <v>38</v>
      </c>
      <c r="AG9" s="23" t="s">
        <v>39</v>
      </c>
      <c r="AH9" s="23" t="s">
        <v>40</v>
      </c>
      <c r="AI9" s="184" t="s">
        <v>41</v>
      </c>
      <c r="AJ9" s="185"/>
      <c r="AK9" s="183"/>
      <c r="AL9" s="182"/>
      <c r="AM9" s="182"/>
      <c r="AN9" s="182"/>
    </row>
    <row r="10">
      <c r="A10" s="27" t="s">
        <v>42</v>
      </c>
      <c r="B10" s="28" t="s">
        <v>43</v>
      </c>
      <c r="C10" s="28" t="s">
        <v>44</v>
      </c>
      <c r="D10" s="28" t="s">
        <v>45</v>
      </c>
      <c r="E10" s="29" t="s">
        <v>46</v>
      </c>
      <c r="F10" s="30" t="s">
        <v>47</v>
      </c>
      <c r="G10" s="28" t="s">
        <v>48</v>
      </c>
      <c r="H10" s="28" t="s">
        <v>49</v>
      </c>
      <c r="I10" s="28" t="s">
        <v>50</v>
      </c>
      <c r="J10" s="28" t="s">
        <v>51</v>
      </c>
      <c r="K10" s="28" t="s">
        <v>52</v>
      </c>
      <c r="L10" s="28" t="s">
        <v>53</v>
      </c>
      <c r="M10" s="28" t="s">
        <v>54</v>
      </c>
      <c r="N10" s="28" t="s">
        <v>55</v>
      </c>
      <c r="O10" s="28" t="s">
        <v>56</v>
      </c>
      <c r="P10" s="28" t="s">
        <v>57</v>
      </c>
      <c r="Q10" s="28" t="s">
        <v>58</v>
      </c>
      <c r="R10" s="28" t="s">
        <v>59</v>
      </c>
      <c r="S10" s="28" t="s">
        <v>60</v>
      </c>
      <c r="T10" s="28" t="s">
        <v>61</v>
      </c>
      <c r="U10" s="28" t="s">
        <v>62</v>
      </c>
      <c r="V10" s="28" t="s">
        <v>63</v>
      </c>
      <c r="W10" s="28" t="s">
        <v>64</v>
      </c>
      <c r="X10" s="28" t="s">
        <v>65</v>
      </c>
      <c r="Y10" s="28" t="s">
        <v>66</v>
      </c>
      <c r="Z10" s="28" t="s">
        <v>67</v>
      </c>
      <c r="AA10" s="28" t="s">
        <v>68</v>
      </c>
      <c r="AB10" s="28" t="s">
        <v>69</v>
      </c>
      <c r="AC10" s="28" t="s">
        <v>70</v>
      </c>
      <c r="AD10" s="28" t="s">
        <v>71</v>
      </c>
      <c r="AE10" s="28" t="s">
        <v>72</v>
      </c>
      <c r="AF10" s="28" t="s">
        <v>73</v>
      </c>
      <c r="AG10" s="28" t="s">
        <v>74</v>
      </c>
      <c r="AH10" s="28" t="s">
        <v>75</v>
      </c>
      <c r="AI10" s="186" t="s">
        <v>76</v>
      </c>
      <c r="AJ10" s="185"/>
      <c r="AK10" s="183"/>
      <c r="AL10" s="182"/>
      <c r="AM10" s="182"/>
      <c r="AN10" s="182"/>
    </row>
    <row r="11">
      <c r="A11" s="32" t="s">
        <v>77</v>
      </c>
      <c r="B11" s="33"/>
      <c r="C11" s="34" t="s">
        <v>78</v>
      </c>
      <c r="D11" s="35"/>
      <c r="E11" s="36"/>
      <c r="F11" s="37"/>
      <c r="G11" s="35"/>
      <c r="H11" s="38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187"/>
      <c r="AJ11" s="185"/>
      <c r="AK11" s="183"/>
      <c r="AL11" s="182"/>
      <c r="AM11" s="182"/>
      <c r="AN11" s="182"/>
    </row>
    <row r="12">
      <c r="A12" s="39"/>
      <c r="B12" s="40"/>
      <c r="C12" s="40" t="s">
        <v>79</v>
      </c>
      <c r="D12" s="41" t="s">
        <v>80</v>
      </c>
      <c r="E12" s="42">
        <v>50.0</v>
      </c>
      <c r="F12" s="43">
        <v>207450.0</v>
      </c>
      <c r="G12" s="75" t="s">
        <v>81</v>
      </c>
      <c r="H12" s="188" t="s">
        <v>310</v>
      </c>
      <c r="I12" s="45">
        <v>50.0</v>
      </c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20"/>
      <c r="AK12" s="20"/>
    </row>
    <row r="13">
      <c r="A13" s="39"/>
      <c r="B13" s="40"/>
      <c r="C13" s="40" t="s">
        <v>83</v>
      </c>
      <c r="D13" s="47"/>
      <c r="E13" s="42">
        <v>50.0</v>
      </c>
      <c r="F13" s="47"/>
      <c r="G13" s="47"/>
      <c r="H13" s="47"/>
      <c r="I13" s="45">
        <v>50.0</v>
      </c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20"/>
      <c r="AK13" s="20"/>
    </row>
    <row r="14">
      <c r="A14" s="39"/>
      <c r="B14" s="40"/>
      <c r="C14" s="40" t="s">
        <v>84</v>
      </c>
      <c r="D14" s="47"/>
      <c r="E14" s="49">
        <v>50.0</v>
      </c>
      <c r="F14" s="47"/>
      <c r="G14" s="47"/>
      <c r="H14" s="47"/>
      <c r="I14" s="45">
        <v>50.0</v>
      </c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20"/>
      <c r="AK14" s="20"/>
    </row>
    <row r="15">
      <c r="A15" s="39"/>
      <c r="B15" s="50"/>
      <c r="C15" s="51" t="s">
        <v>85</v>
      </c>
      <c r="D15" s="47"/>
      <c r="E15" s="49">
        <v>500.0</v>
      </c>
      <c r="F15" s="47"/>
      <c r="G15" s="47"/>
      <c r="H15" s="47"/>
      <c r="I15" s="45">
        <v>30.0</v>
      </c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20"/>
      <c r="AK15" s="20"/>
    </row>
    <row r="16">
      <c r="A16" s="39"/>
      <c r="B16" s="52" t="s">
        <v>86</v>
      </c>
      <c r="C16" s="53" t="s">
        <v>87</v>
      </c>
      <c r="D16" s="47"/>
      <c r="E16" s="49">
        <v>100.0</v>
      </c>
      <c r="F16" s="47"/>
      <c r="G16" s="47"/>
      <c r="H16" s="47"/>
      <c r="I16" s="45">
        <v>15.0</v>
      </c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20"/>
      <c r="AK16" s="20"/>
    </row>
    <row r="17">
      <c r="A17" s="39"/>
      <c r="B17" s="52" t="s">
        <v>88</v>
      </c>
      <c r="C17" s="54" t="s">
        <v>89</v>
      </c>
      <c r="D17" s="47"/>
      <c r="E17" s="49">
        <v>380.0</v>
      </c>
      <c r="F17" s="47"/>
      <c r="G17" s="47"/>
      <c r="H17" s="47"/>
      <c r="I17" s="45">
        <v>150.0</v>
      </c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20"/>
      <c r="AK17" s="20"/>
    </row>
    <row r="18">
      <c r="A18" s="39"/>
      <c r="B18" s="52" t="s">
        <v>90</v>
      </c>
      <c r="C18" s="54" t="s">
        <v>91</v>
      </c>
      <c r="D18" s="47"/>
      <c r="E18" s="49">
        <v>380.0</v>
      </c>
      <c r="F18" s="47"/>
      <c r="G18" s="47"/>
      <c r="H18" s="47"/>
      <c r="I18" s="45">
        <v>100.0</v>
      </c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20"/>
      <c r="AK18" s="20"/>
    </row>
    <row r="19">
      <c r="A19" s="39"/>
      <c r="B19" s="52" t="s">
        <v>92</v>
      </c>
      <c r="C19" s="54" t="s">
        <v>93</v>
      </c>
      <c r="D19" s="47"/>
      <c r="E19" s="49">
        <v>125.0</v>
      </c>
      <c r="F19" s="47"/>
      <c r="G19" s="47"/>
      <c r="H19" s="47"/>
      <c r="I19" s="45">
        <v>50.0</v>
      </c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20"/>
      <c r="AK19" s="20"/>
    </row>
    <row r="20">
      <c r="A20" s="39"/>
      <c r="B20" s="52" t="s">
        <v>94</v>
      </c>
      <c r="C20" s="54" t="s">
        <v>95</v>
      </c>
      <c r="D20" s="47"/>
      <c r="E20" s="49">
        <v>75.0</v>
      </c>
      <c r="F20" s="47"/>
      <c r="G20" s="47"/>
      <c r="H20" s="47"/>
      <c r="I20" s="45">
        <v>50.0</v>
      </c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20"/>
      <c r="AK20" s="20"/>
    </row>
    <row r="21">
      <c r="A21" s="39"/>
      <c r="B21" s="52" t="s">
        <v>96</v>
      </c>
      <c r="C21" s="54" t="s">
        <v>97</v>
      </c>
      <c r="D21" s="47"/>
      <c r="E21" s="49">
        <v>75.0</v>
      </c>
      <c r="F21" s="47"/>
      <c r="G21" s="47"/>
      <c r="H21" s="47"/>
      <c r="I21" s="45">
        <v>50.0</v>
      </c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20"/>
      <c r="AK21" s="20"/>
    </row>
    <row r="22" ht="21.75" customHeight="1">
      <c r="A22" s="39"/>
      <c r="B22" s="52" t="s">
        <v>98</v>
      </c>
      <c r="C22" s="55" t="s">
        <v>99</v>
      </c>
      <c r="D22" s="47"/>
      <c r="E22" s="56">
        <v>500.0</v>
      </c>
      <c r="F22" s="47"/>
      <c r="G22" s="47"/>
      <c r="H22" s="47"/>
      <c r="I22" s="45">
        <v>30.0</v>
      </c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20"/>
      <c r="AK22" s="20"/>
    </row>
    <row r="23" ht="15.75" customHeight="1">
      <c r="A23" s="39"/>
      <c r="B23" s="52" t="s">
        <v>100</v>
      </c>
      <c r="C23" s="53" t="s">
        <v>101</v>
      </c>
      <c r="D23" s="47"/>
      <c r="E23" s="49">
        <v>1800.0</v>
      </c>
      <c r="F23" s="47"/>
      <c r="G23" s="47"/>
      <c r="H23" s="47"/>
      <c r="I23" s="45">
        <v>2.0</v>
      </c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20"/>
      <c r="AK23" s="20"/>
    </row>
    <row r="24" ht="15.75" customHeight="1">
      <c r="A24" s="39"/>
      <c r="B24" s="52" t="s">
        <v>102</v>
      </c>
      <c r="C24" s="54" t="s">
        <v>103</v>
      </c>
      <c r="D24" s="47"/>
      <c r="E24" s="49">
        <v>5000.0</v>
      </c>
      <c r="F24" s="47"/>
      <c r="G24" s="47"/>
      <c r="H24" s="47"/>
      <c r="I24" s="45">
        <v>3.0</v>
      </c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20"/>
      <c r="AK24" s="20"/>
    </row>
    <row r="25" ht="15.75" customHeight="1">
      <c r="A25" s="39"/>
      <c r="B25" s="52" t="s">
        <v>104</v>
      </c>
      <c r="C25" s="54" t="s">
        <v>105</v>
      </c>
      <c r="D25" s="47"/>
      <c r="E25" s="49">
        <v>250.0</v>
      </c>
      <c r="F25" s="47"/>
      <c r="G25" s="47"/>
      <c r="H25" s="57"/>
      <c r="I25" s="45">
        <v>30.0</v>
      </c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20"/>
      <c r="AK25" s="20"/>
    </row>
    <row r="26">
      <c r="A26" s="39"/>
      <c r="B26" s="40"/>
      <c r="C26" s="40" t="s">
        <v>311</v>
      </c>
      <c r="D26" s="41" t="s">
        <v>80</v>
      </c>
      <c r="E26" s="42">
        <v>150.0</v>
      </c>
      <c r="F26" s="43">
        <v>29750.0</v>
      </c>
      <c r="G26" s="75" t="s">
        <v>81</v>
      </c>
      <c r="H26" s="41" t="s">
        <v>121</v>
      </c>
      <c r="I26" s="45">
        <v>10.0</v>
      </c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189"/>
      <c r="AJ26" s="185"/>
      <c r="AK26" s="183"/>
      <c r="AL26" s="182"/>
      <c r="AM26" s="182"/>
      <c r="AN26" s="182"/>
    </row>
    <row r="27">
      <c r="A27" s="39"/>
      <c r="B27" s="40"/>
      <c r="C27" s="40" t="s">
        <v>312</v>
      </c>
      <c r="D27" s="47"/>
      <c r="E27" s="42">
        <v>150.0</v>
      </c>
      <c r="F27" s="47"/>
      <c r="G27" s="47"/>
      <c r="H27" s="47"/>
      <c r="I27" s="45">
        <v>10.0</v>
      </c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189"/>
      <c r="AJ27" s="185"/>
      <c r="AK27" s="183"/>
      <c r="AL27" s="182"/>
      <c r="AM27" s="182"/>
      <c r="AN27" s="182"/>
    </row>
    <row r="28">
      <c r="A28" s="39"/>
      <c r="B28" s="40"/>
      <c r="C28" s="40" t="s">
        <v>313</v>
      </c>
      <c r="D28" s="47"/>
      <c r="E28" s="49">
        <v>150.0</v>
      </c>
      <c r="F28" s="47"/>
      <c r="G28" s="47"/>
      <c r="H28" s="47"/>
      <c r="I28" s="45">
        <v>10.0</v>
      </c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189"/>
      <c r="AJ28" s="185"/>
      <c r="AK28" s="183"/>
      <c r="AL28" s="182"/>
      <c r="AM28" s="182"/>
      <c r="AN28" s="182"/>
    </row>
    <row r="29">
      <c r="A29" s="39"/>
      <c r="B29" s="40"/>
      <c r="C29" s="51" t="s">
        <v>314</v>
      </c>
      <c r="D29" s="47"/>
      <c r="E29" s="49">
        <v>100.0</v>
      </c>
      <c r="F29" s="47"/>
      <c r="G29" s="47"/>
      <c r="H29" s="47"/>
      <c r="I29" s="45">
        <v>5.0</v>
      </c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189"/>
      <c r="AJ29" s="185"/>
      <c r="AK29" s="183"/>
      <c r="AL29" s="182"/>
      <c r="AM29" s="182"/>
      <c r="AN29" s="182"/>
    </row>
    <row r="30">
      <c r="A30" s="39"/>
      <c r="B30" s="105"/>
      <c r="C30" s="51" t="s">
        <v>315</v>
      </c>
      <c r="D30" s="47"/>
      <c r="E30" s="49">
        <v>100.0</v>
      </c>
      <c r="F30" s="47"/>
      <c r="G30" s="47"/>
      <c r="H30" s="47"/>
      <c r="I30" s="45">
        <v>5.0</v>
      </c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189"/>
      <c r="AJ30" s="185"/>
      <c r="AK30" s="183"/>
      <c r="AL30" s="182"/>
      <c r="AM30" s="182"/>
      <c r="AN30" s="182"/>
    </row>
    <row r="31">
      <c r="A31" s="39"/>
      <c r="B31" s="105"/>
      <c r="C31" s="51" t="s">
        <v>316</v>
      </c>
      <c r="D31" s="47"/>
      <c r="E31" s="49">
        <v>100.0</v>
      </c>
      <c r="F31" s="47"/>
      <c r="G31" s="47"/>
      <c r="H31" s="47"/>
      <c r="I31" s="45">
        <v>5.0</v>
      </c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189"/>
      <c r="AJ31" s="185"/>
      <c r="AK31" s="183"/>
      <c r="AL31" s="182"/>
      <c r="AM31" s="182"/>
      <c r="AN31" s="182"/>
    </row>
    <row r="32">
      <c r="A32" s="39"/>
      <c r="B32" s="105"/>
      <c r="C32" s="54" t="s">
        <v>317</v>
      </c>
      <c r="D32" s="47"/>
      <c r="E32" s="49">
        <v>100.0</v>
      </c>
      <c r="F32" s="47"/>
      <c r="G32" s="47"/>
      <c r="H32" s="47"/>
      <c r="I32" s="45">
        <v>50.0</v>
      </c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189"/>
      <c r="AJ32" s="185"/>
      <c r="AK32" s="183"/>
      <c r="AL32" s="182"/>
      <c r="AM32" s="182"/>
      <c r="AN32" s="182"/>
    </row>
    <row r="33">
      <c r="A33" s="39"/>
      <c r="B33" s="105"/>
      <c r="C33" s="54" t="s">
        <v>318</v>
      </c>
      <c r="D33" s="47"/>
      <c r="E33" s="49">
        <v>750.0</v>
      </c>
      <c r="F33" s="47"/>
      <c r="G33" s="47"/>
      <c r="H33" s="47"/>
      <c r="I33" s="45">
        <v>15.0</v>
      </c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189"/>
      <c r="AJ33" s="185"/>
      <c r="AK33" s="183"/>
      <c r="AL33" s="182"/>
      <c r="AM33" s="182"/>
      <c r="AN33" s="182"/>
    </row>
    <row r="34">
      <c r="A34" s="39"/>
      <c r="B34" s="105"/>
      <c r="C34" s="40" t="s">
        <v>319</v>
      </c>
      <c r="D34" s="47"/>
      <c r="E34" s="49">
        <v>50.0</v>
      </c>
      <c r="F34" s="47"/>
      <c r="G34" s="47"/>
      <c r="H34" s="47"/>
      <c r="I34" s="45">
        <v>100.0</v>
      </c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189"/>
      <c r="AJ34" s="185"/>
      <c r="AK34" s="183"/>
      <c r="AL34" s="182"/>
      <c r="AM34" s="182"/>
      <c r="AN34" s="182"/>
    </row>
    <row r="35" ht="15.75" customHeight="1">
      <c r="A35" s="39"/>
      <c r="B35" s="105"/>
      <c r="C35" s="40" t="s">
        <v>83</v>
      </c>
      <c r="D35" s="57"/>
      <c r="E35" s="49">
        <v>50.0</v>
      </c>
      <c r="F35" s="57"/>
      <c r="G35" s="57"/>
      <c r="H35" s="57"/>
      <c r="I35" s="45">
        <v>50.0</v>
      </c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189"/>
      <c r="AJ35" s="185"/>
      <c r="AK35" s="183"/>
      <c r="AL35" s="182"/>
      <c r="AM35" s="182"/>
      <c r="AN35" s="182"/>
    </row>
    <row r="36" ht="15.75" customHeight="1">
      <c r="A36" s="39"/>
      <c r="B36" s="105"/>
      <c r="C36" s="40" t="s">
        <v>320</v>
      </c>
      <c r="D36" s="41" t="s">
        <v>321</v>
      </c>
      <c r="E36" s="49">
        <v>1000.0</v>
      </c>
      <c r="F36" s="43">
        <v>40000.0</v>
      </c>
      <c r="G36" s="41" t="s">
        <v>81</v>
      </c>
      <c r="H36" s="41" t="s">
        <v>121</v>
      </c>
      <c r="I36" s="45">
        <v>10.0</v>
      </c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189"/>
      <c r="AJ36" s="185"/>
      <c r="AK36" s="183"/>
      <c r="AL36" s="182"/>
      <c r="AM36" s="182"/>
      <c r="AN36" s="182"/>
    </row>
    <row r="37" ht="15.75" customHeight="1">
      <c r="A37" s="39"/>
      <c r="B37" s="105"/>
      <c r="C37" s="53" t="s">
        <v>322</v>
      </c>
      <c r="D37" s="47"/>
      <c r="E37" s="49">
        <v>1000.0</v>
      </c>
      <c r="F37" s="47"/>
      <c r="G37" s="47"/>
      <c r="H37" s="47"/>
      <c r="I37" s="45">
        <v>10.0</v>
      </c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189"/>
      <c r="AJ37" s="185"/>
      <c r="AK37" s="183"/>
      <c r="AL37" s="182"/>
      <c r="AM37" s="182"/>
      <c r="AN37" s="182"/>
    </row>
    <row r="38" ht="15.75" customHeight="1">
      <c r="A38" s="39"/>
      <c r="B38" s="105"/>
      <c r="C38" s="54" t="s">
        <v>323</v>
      </c>
      <c r="D38" s="47"/>
      <c r="E38" s="49">
        <v>1000.0</v>
      </c>
      <c r="F38" s="47"/>
      <c r="G38" s="47"/>
      <c r="H38" s="47"/>
      <c r="I38" s="45">
        <v>10.0</v>
      </c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189"/>
      <c r="AJ38" s="185"/>
      <c r="AK38" s="183"/>
      <c r="AL38" s="182"/>
      <c r="AM38" s="182"/>
      <c r="AN38" s="182"/>
    </row>
    <row r="39" ht="15.75" customHeight="1">
      <c r="A39" s="39"/>
      <c r="B39" s="105"/>
      <c r="C39" s="54" t="s">
        <v>324</v>
      </c>
      <c r="D39" s="57"/>
      <c r="E39" s="49">
        <v>1000.0</v>
      </c>
      <c r="F39" s="57"/>
      <c r="G39" s="57"/>
      <c r="H39" s="57"/>
      <c r="I39" s="45">
        <v>10.0</v>
      </c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189"/>
      <c r="AJ39" s="185"/>
      <c r="AK39" s="183"/>
      <c r="AL39" s="182"/>
      <c r="AM39" s="182"/>
      <c r="AN39" s="182"/>
    </row>
    <row r="40" ht="15.75" customHeight="1">
      <c r="A40" s="35"/>
      <c r="B40" s="190"/>
      <c r="C40" s="191" t="s">
        <v>325</v>
      </c>
      <c r="D40" s="192"/>
      <c r="E40" s="193"/>
      <c r="F40" s="194"/>
      <c r="G40" s="195"/>
      <c r="H40" s="194"/>
      <c r="I40" s="196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197"/>
      <c r="AJ40" s="185"/>
      <c r="AK40" s="183"/>
      <c r="AL40" s="181"/>
      <c r="AM40" s="181"/>
      <c r="AN40" s="181"/>
    </row>
    <row r="41" ht="15.75" customHeight="1">
      <c r="A41" s="39"/>
      <c r="B41" s="198"/>
      <c r="C41" s="199" t="s">
        <v>326</v>
      </c>
      <c r="D41" s="200" t="s">
        <v>321</v>
      </c>
      <c r="E41" s="201">
        <v>25000.0</v>
      </c>
      <c r="F41" s="43">
        <v>100000.0</v>
      </c>
      <c r="G41" s="41" t="s">
        <v>81</v>
      </c>
      <c r="H41" s="41" t="s">
        <v>121</v>
      </c>
      <c r="I41" s="45">
        <v>1.0</v>
      </c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189"/>
      <c r="AJ41" s="185"/>
      <c r="AK41" s="183"/>
      <c r="AL41" s="182"/>
      <c r="AM41" s="182"/>
      <c r="AN41" s="182"/>
    </row>
    <row r="42" ht="15.75" customHeight="1">
      <c r="A42" s="39"/>
      <c r="B42" s="198"/>
      <c r="C42" s="199" t="s">
        <v>327</v>
      </c>
      <c r="D42" s="88" t="s">
        <v>321</v>
      </c>
      <c r="E42" s="202">
        <v>25000.0</v>
      </c>
      <c r="F42" s="47"/>
      <c r="G42" s="47"/>
      <c r="H42" s="47"/>
      <c r="I42" s="45">
        <v>1.0</v>
      </c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189"/>
      <c r="AJ42" s="185"/>
      <c r="AK42" s="183"/>
      <c r="AL42" s="182"/>
      <c r="AM42" s="182"/>
      <c r="AN42" s="182"/>
    </row>
    <row r="43" ht="15.75" customHeight="1">
      <c r="A43" s="39"/>
      <c r="B43" s="198"/>
      <c r="C43" s="199" t="s">
        <v>328</v>
      </c>
      <c r="D43" s="88" t="s">
        <v>321</v>
      </c>
      <c r="E43" s="202">
        <v>25000.0</v>
      </c>
      <c r="F43" s="47"/>
      <c r="G43" s="47"/>
      <c r="H43" s="47"/>
      <c r="I43" s="45">
        <v>1.0</v>
      </c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189"/>
      <c r="AJ43" s="185"/>
      <c r="AK43" s="183"/>
      <c r="AL43" s="182"/>
      <c r="AM43" s="182"/>
      <c r="AN43" s="182"/>
    </row>
    <row r="44" ht="15.75" customHeight="1">
      <c r="A44" s="203"/>
      <c r="B44" s="204"/>
      <c r="C44" s="199" t="s">
        <v>329</v>
      </c>
      <c r="D44" s="41" t="s">
        <v>321</v>
      </c>
      <c r="E44" s="205">
        <v>25000.0</v>
      </c>
      <c r="F44" s="57"/>
      <c r="G44" s="57"/>
      <c r="H44" s="57"/>
      <c r="I44" s="206">
        <v>1.0</v>
      </c>
      <c r="J44" s="207"/>
      <c r="K44" s="207"/>
      <c r="L44" s="207"/>
      <c r="M44" s="207"/>
      <c r="N44" s="207"/>
      <c r="O44" s="207"/>
      <c r="P44" s="207"/>
      <c r="Q44" s="207"/>
      <c r="R44" s="207"/>
      <c r="S44" s="207"/>
      <c r="T44" s="207"/>
      <c r="U44" s="207"/>
      <c r="V44" s="207"/>
      <c r="W44" s="207"/>
      <c r="X44" s="207"/>
      <c r="Y44" s="207"/>
      <c r="Z44" s="207"/>
      <c r="AA44" s="207"/>
      <c r="AB44" s="207"/>
      <c r="AC44" s="207"/>
      <c r="AD44" s="207"/>
      <c r="AE44" s="207"/>
      <c r="AF44" s="207"/>
      <c r="AG44" s="207"/>
      <c r="AH44" s="207"/>
      <c r="AI44" s="208"/>
      <c r="AJ44" s="185"/>
      <c r="AK44" s="183"/>
      <c r="AL44" s="181"/>
      <c r="AM44" s="181"/>
      <c r="AN44" s="181"/>
    </row>
    <row r="45" ht="15.75" customHeight="1">
      <c r="A45" s="35"/>
      <c r="B45" s="190"/>
      <c r="C45" s="209" t="s">
        <v>330</v>
      </c>
      <c r="D45" s="140"/>
      <c r="E45" s="73"/>
      <c r="F45" s="210"/>
      <c r="G45" s="211"/>
      <c r="H45" s="140"/>
      <c r="I45" s="102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197"/>
      <c r="AJ45" s="185"/>
      <c r="AK45" s="183"/>
      <c r="AL45" s="181"/>
      <c r="AM45" s="181"/>
      <c r="AN45" s="181"/>
    </row>
    <row r="46" ht="15.75" customHeight="1">
      <c r="A46" s="39"/>
      <c r="B46" s="52"/>
      <c r="C46" s="199" t="s">
        <v>331</v>
      </c>
      <c r="D46" s="88" t="s">
        <v>80</v>
      </c>
      <c r="E46" s="49">
        <v>500.0</v>
      </c>
      <c r="F46" s="43">
        <v>17500.0</v>
      </c>
      <c r="G46" s="41" t="s">
        <v>81</v>
      </c>
      <c r="H46" s="41" t="s">
        <v>121</v>
      </c>
      <c r="I46" s="77">
        <v>15.0</v>
      </c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189"/>
      <c r="AJ46" s="185"/>
      <c r="AK46" s="183"/>
      <c r="AL46" s="181"/>
      <c r="AM46" s="181"/>
      <c r="AN46" s="181"/>
    </row>
    <row r="47" ht="27.0" customHeight="1">
      <c r="A47" s="39"/>
      <c r="B47" s="52"/>
      <c r="C47" s="212" t="s">
        <v>332</v>
      </c>
      <c r="D47" s="88" t="s">
        <v>80</v>
      </c>
      <c r="E47" s="49">
        <v>500.0</v>
      </c>
      <c r="F47" s="57"/>
      <c r="G47" s="57"/>
      <c r="H47" s="57"/>
      <c r="I47" s="77">
        <v>20.0</v>
      </c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189"/>
      <c r="AJ47" s="185"/>
      <c r="AK47" s="183"/>
      <c r="AL47" s="181"/>
      <c r="AM47" s="181"/>
      <c r="AN47" s="181"/>
    </row>
    <row r="48" ht="15.75" customHeight="1">
      <c r="A48" s="213" t="s">
        <v>122</v>
      </c>
      <c r="B48" s="214"/>
      <c r="C48" s="215" t="s">
        <v>123</v>
      </c>
      <c r="D48" s="72"/>
      <c r="E48" s="193"/>
      <c r="F48" s="216"/>
      <c r="G48" s="72"/>
      <c r="H48" s="217"/>
      <c r="I48" s="217"/>
      <c r="J48" s="217"/>
      <c r="K48" s="217"/>
      <c r="L48" s="217"/>
      <c r="M48" s="217"/>
      <c r="N48" s="217"/>
      <c r="O48" s="217"/>
      <c r="P48" s="217"/>
      <c r="Q48" s="217"/>
      <c r="R48" s="217"/>
      <c r="S48" s="217"/>
      <c r="T48" s="217"/>
      <c r="U48" s="217"/>
      <c r="V48" s="217"/>
      <c r="W48" s="217"/>
      <c r="X48" s="217"/>
      <c r="Y48" s="217"/>
      <c r="Z48" s="217"/>
      <c r="AA48" s="217"/>
      <c r="AB48" s="217"/>
      <c r="AC48" s="217"/>
      <c r="AD48" s="217"/>
      <c r="AE48" s="217"/>
      <c r="AF48" s="217"/>
      <c r="AG48" s="217"/>
      <c r="AH48" s="217"/>
      <c r="AI48" s="218"/>
      <c r="AJ48" s="185"/>
      <c r="AK48" s="183"/>
      <c r="AL48" s="181"/>
      <c r="AM48" s="181"/>
      <c r="AN48" s="181"/>
    </row>
    <row r="49" ht="15.75" customHeight="1">
      <c r="A49" s="39"/>
      <c r="B49" s="52"/>
      <c r="C49" s="54" t="s">
        <v>333</v>
      </c>
      <c r="D49" s="75" t="s">
        <v>80</v>
      </c>
      <c r="E49" s="49">
        <v>1500.0</v>
      </c>
      <c r="F49" s="219">
        <v>137500.0</v>
      </c>
      <c r="G49" s="75" t="s">
        <v>81</v>
      </c>
      <c r="H49" s="41" t="s">
        <v>121</v>
      </c>
      <c r="I49" s="77">
        <v>10.0</v>
      </c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189"/>
      <c r="AJ49" s="185"/>
      <c r="AK49" s="183"/>
      <c r="AL49" s="182"/>
      <c r="AM49" s="182"/>
      <c r="AN49" s="182"/>
    </row>
    <row r="50" ht="15.75" customHeight="1">
      <c r="A50" s="39"/>
      <c r="B50" s="52"/>
      <c r="C50" s="220" t="s">
        <v>334</v>
      </c>
      <c r="D50" s="47"/>
      <c r="E50" s="221">
        <v>450.0</v>
      </c>
      <c r="F50" s="47"/>
      <c r="G50" s="47"/>
      <c r="H50" s="47"/>
      <c r="I50" s="222">
        <v>25.0</v>
      </c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189"/>
      <c r="AJ50" s="185"/>
      <c r="AK50" s="183"/>
      <c r="AL50" s="182"/>
      <c r="AM50" s="182"/>
      <c r="AN50" s="182"/>
    </row>
    <row r="51" ht="15.75" customHeight="1">
      <c r="A51" s="39"/>
      <c r="B51" s="52"/>
      <c r="C51" s="54" t="s">
        <v>143</v>
      </c>
      <c r="D51" s="47"/>
      <c r="E51" s="221">
        <v>1500.0</v>
      </c>
      <c r="F51" s="47"/>
      <c r="G51" s="47"/>
      <c r="H51" s="47"/>
      <c r="I51" s="222">
        <v>30.0</v>
      </c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189"/>
      <c r="AJ51" s="185"/>
      <c r="AK51" s="183"/>
      <c r="AL51" s="182"/>
      <c r="AM51" s="182"/>
      <c r="AN51" s="182"/>
    </row>
    <row r="52" ht="15.75" customHeight="1">
      <c r="A52" s="39"/>
      <c r="B52" s="52"/>
      <c r="C52" s="54" t="s">
        <v>145</v>
      </c>
      <c r="D52" s="47"/>
      <c r="E52" s="221">
        <v>1500.0</v>
      </c>
      <c r="F52" s="47"/>
      <c r="G52" s="47"/>
      <c r="H52" s="47"/>
      <c r="I52" s="222">
        <v>30.0</v>
      </c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189"/>
      <c r="AJ52" s="185"/>
      <c r="AK52" s="183"/>
      <c r="AL52" s="182"/>
      <c r="AM52" s="182"/>
      <c r="AN52" s="182"/>
    </row>
    <row r="53" ht="15.75" customHeight="1">
      <c r="A53" s="39"/>
      <c r="B53" s="52"/>
      <c r="C53" s="55" t="s">
        <v>335</v>
      </c>
      <c r="D53" s="47"/>
      <c r="E53" s="49">
        <v>850.0</v>
      </c>
      <c r="F53" s="47"/>
      <c r="G53" s="47"/>
      <c r="H53" s="47"/>
      <c r="I53" s="77">
        <v>5.0</v>
      </c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189"/>
      <c r="AJ53" s="185"/>
      <c r="AK53" s="183"/>
      <c r="AL53" s="182"/>
      <c r="AM53" s="182"/>
      <c r="AN53" s="182"/>
    </row>
    <row r="54" ht="15.75" customHeight="1">
      <c r="A54" s="39"/>
      <c r="B54" s="78"/>
      <c r="C54" s="55" t="s">
        <v>336</v>
      </c>
      <c r="D54" s="47"/>
      <c r="E54" s="49">
        <v>850.0</v>
      </c>
      <c r="F54" s="47"/>
      <c r="G54" s="47"/>
      <c r="H54" s="47"/>
      <c r="I54" s="77">
        <v>5.0</v>
      </c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189"/>
      <c r="AJ54" s="185"/>
      <c r="AK54" s="183"/>
      <c r="AL54" s="182"/>
      <c r="AM54" s="182"/>
      <c r="AN54" s="182"/>
    </row>
    <row r="55" ht="15.75" customHeight="1">
      <c r="A55" s="39"/>
      <c r="B55" s="78"/>
      <c r="C55" s="55" t="s">
        <v>337</v>
      </c>
      <c r="D55" s="47"/>
      <c r="E55" s="49">
        <v>850.0</v>
      </c>
      <c r="F55" s="47"/>
      <c r="G55" s="47"/>
      <c r="H55" s="47"/>
      <c r="I55" s="77">
        <v>5.0</v>
      </c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189"/>
      <c r="AJ55" s="185"/>
      <c r="AK55" s="183"/>
      <c r="AL55" s="182"/>
      <c r="AM55" s="182"/>
      <c r="AN55" s="182"/>
    </row>
    <row r="56" ht="15.75" customHeight="1">
      <c r="A56" s="39"/>
      <c r="B56" s="52"/>
      <c r="C56" s="55" t="s">
        <v>338</v>
      </c>
      <c r="D56" s="47"/>
      <c r="E56" s="49">
        <v>850.0</v>
      </c>
      <c r="F56" s="47"/>
      <c r="G56" s="47"/>
      <c r="H56" s="47"/>
      <c r="I56" s="77">
        <v>5.0</v>
      </c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189"/>
      <c r="AJ56" s="185"/>
      <c r="AK56" s="183"/>
      <c r="AL56" s="182"/>
      <c r="AM56" s="182"/>
      <c r="AN56" s="182"/>
    </row>
    <row r="57" ht="15.75" customHeight="1">
      <c r="A57" s="39"/>
      <c r="B57" s="52"/>
      <c r="C57" s="55" t="s">
        <v>339</v>
      </c>
      <c r="D57" s="57"/>
      <c r="E57" s="49">
        <v>850.0</v>
      </c>
      <c r="F57" s="57"/>
      <c r="G57" s="57"/>
      <c r="H57" s="57"/>
      <c r="I57" s="77">
        <v>5.0</v>
      </c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189"/>
      <c r="AJ57" s="185"/>
      <c r="AK57" s="183"/>
      <c r="AL57" s="182"/>
      <c r="AM57" s="182"/>
      <c r="AN57" s="182"/>
    </row>
    <row r="58" ht="15.75" customHeight="1">
      <c r="A58" s="39"/>
      <c r="B58" s="52"/>
      <c r="C58" s="55" t="s">
        <v>340</v>
      </c>
      <c r="D58" s="41" t="s">
        <v>80</v>
      </c>
      <c r="E58" s="223">
        <v>250.0</v>
      </c>
      <c r="F58" s="224">
        <v>48750.0</v>
      </c>
      <c r="G58" s="41" t="s">
        <v>81</v>
      </c>
      <c r="H58" s="41" t="s">
        <v>121</v>
      </c>
      <c r="I58" s="77">
        <v>25.0</v>
      </c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189"/>
      <c r="AJ58" s="185"/>
      <c r="AK58" s="183"/>
      <c r="AL58" s="182"/>
      <c r="AM58" s="182"/>
      <c r="AN58" s="182"/>
    </row>
    <row r="59" ht="22.5" customHeight="1">
      <c r="A59" s="39"/>
      <c r="B59" s="52"/>
      <c r="C59" s="55" t="s">
        <v>341</v>
      </c>
      <c r="D59" s="57"/>
      <c r="E59" s="49">
        <v>850.0</v>
      </c>
      <c r="F59" s="57"/>
      <c r="G59" s="57"/>
      <c r="H59" s="57"/>
      <c r="I59" s="88">
        <v>50.0</v>
      </c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183"/>
      <c r="AK59" s="183"/>
      <c r="AL59" s="182"/>
      <c r="AM59" s="182"/>
      <c r="AN59" s="182"/>
    </row>
    <row r="60" ht="15.75" customHeight="1">
      <c r="A60" s="39"/>
      <c r="B60" s="225"/>
      <c r="C60" s="55" t="s">
        <v>342</v>
      </c>
      <c r="D60" s="75" t="s">
        <v>80</v>
      </c>
      <c r="E60" s="49">
        <v>15000.0</v>
      </c>
      <c r="F60" s="76">
        <v>170000.0</v>
      </c>
      <c r="G60" s="41" t="s">
        <v>81</v>
      </c>
      <c r="H60" s="41" t="s">
        <v>121</v>
      </c>
      <c r="I60" s="88">
        <v>2.0</v>
      </c>
      <c r="J60" s="88"/>
      <c r="K60" s="88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183"/>
      <c r="AK60" s="183"/>
      <c r="AL60" s="181"/>
      <c r="AM60" s="181"/>
      <c r="AN60" s="181"/>
    </row>
    <row r="61" ht="15.75" customHeight="1">
      <c r="A61" s="39"/>
      <c r="B61" s="50"/>
      <c r="C61" s="80" t="s">
        <v>343</v>
      </c>
      <c r="D61" s="47"/>
      <c r="E61" s="49">
        <v>20000.0</v>
      </c>
      <c r="F61" s="47"/>
      <c r="G61" s="47"/>
      <c r="H61" s="47"/>
      <c r="I61" s="88">
        <v>2.0</v>
      </c>
      <c r="J61" s="88"/>
      <c r="K61" s="88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183"/>
      <c r="AK61" s="183"/>
      <c r="AL61" s="182"/>
      <c r="AM61" s="182"/>
      <c r="AN61" s="182"/>
    </row>
    <row r="62" ht="15.75" customHeight="1">
      <c r="A62" s="39"/>
      <c r="B62" s="79" t="s">
        <v>159</v>
      </c>
      <c r="C62" s="80" t="s">
        <v>160</v>
      </c>
      <c r="D62" s="47"/>
      <c r="E62" s="49">
        <v>10000.0</v>
      </c>
      <c r="F62" s="47"/>
      <c r="G62" s="47"/>
      <c r="H62" s="47"/>
      <c r="I62" s="88">
        <v>5.0</v>
      </c>
      <c r="J62" s="77"/>
      <c r="K62" s="88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183"/>
      <c r="AK62" s="183"/>
      <c r="AL62" s="181"/>
      <c r="AM62" s="181"/>
      <c r="AN62" s="181"/>
    </row>
    <row r="63" ht="15.75" customHeight="1">
      <c r="A63" s="39"/>
      <c r="B63" s="50"/>
      <c r="C63" s="80" t="s">
        <v>155</v>
      </c>
      <c r="D63" s="57"/>
      <c r="E63" s="49">
        <v>10000.0</v>
      </c>
      <c r="F63" s="57"/>
      <c r="G63" s="57"/>
      <c r="H63" s="57"/>
      <c r="I63" s="88">
        <v>5.0</v>
      </c>
      <c r="J63" s="77"/>
      <c r="K63" s="88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183"/>
      <c r="AK63" s="183"/>
      <c r="AL63" s="181"/>
      <c r="AM63" s="181"/>
      <c r="AN63" s="181"/>
    </row>
    <row r="64" ht="15.75" customHeight="1">
      <c r="A64" s="39"/>
      <c r="B64" s="50"/>
      <c r="C64" s="80" t="s">
        <v>157</v>
      </c>
      <c r="D64" s="75" t="s">
        <v>80</v>
      </c>
      <c r="E64" s="49">
        <v>10000.0</v>
      </c>
      <c r="F64" s="76">
        <v>71050.0</v>
      </c>
      <c r="G64" s="75" t="s">
        <v>81</v>
      </c>
      <c r="H64" s="41" t="s">
        <v>121</v>
      </c>
      <c r="I64" s="88">
        <v>3.0</v>
      </c>
      <c r="J64" s="77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183"/>
      <c r="AK64" s="183"/>
      <c r="AL64" s="182"/>
      <c r="AM64" s="182"/>
      <c r="AN64" s="182"/>
    </row>
    <row r="65" ht="15.75" customHeight="1">
      <c r="A65" s="39"/>
      <c r="B65" s="52" t="s">
        <v>159</v>
      </c>
      <c r="C65" s="80" t="s">
        <v>161</v>
      </c>
      <c r="D65" s="47"/>
      <c r="E65" s="49">
        <v>8000.0</v>
      </c>
      <c r="F65" s="47"/>
      <c r="G65" s="47"/>
      <c r="H65" s="47"/>
      <c r="I65" s="88">
        <v>5.0</v>
      </c>
      <c r="J65" s="77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183"/>
      <c r="AK65" s="183"/>
      <c r="AL65" s="181"/>
      <c r="AM65" s="181"/>
      <c r="AN65" s="181"/>
    </row>
    <row r="66" ht="15.75" customHeight="1">
      <c r="A66" s="39"/>
      <c r="B66" s="105" t="s">
        <v>230</v>
      </c>
      <c r="C66" s="109" t="s">
        <v>344</v>
      </c>
      <c r="D66" s="57"/>
      <c r="E66" s="49">
        <v>350.0</v>
      </c>
      <c r="F66" s="57"/>
      <c r="G66" s="57"/>
      <c r="H66" s="57"/>
      <c r="I66" s="226">
        <v>3.0</v>
      </c>
      <c r="J66" s="88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183"/>
      <c r="AK66" s="183"/>
      <c r="AL66" s="182"/>
      <c r="AM66" s="182"/>
      <c r="AN66" s="182"/>
    </row>
    <row r="67" ht="15.75" customHeight="1">
      <c r="A67" s="39"/>
      <c r="B67" s="52"/>
      <c r="C67" s="80" t="s">
        <v>345</v>
      </c>
      <c r="D67" s="75" t="s">
        <v>80</v>
      </c>
      <c r="E67" s="49">
        <v>180.0</v>
      </c>
      <c r="F67" s="227">
        <v>17400.0</v>
      </c>
      <c r="G67" s="75" t="s">
        <v>81</v>
      </c>
      <c r="H67" s="41" t="s">
        <v>121</v>
      </c>
      <c r="I67" s="88">
        <v>30.0</v>
      </c>
      <c r="J67" s="77"/>
      <c r="K67" s="88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183"/>
      <c r="AK67" s="183"/>
      <c r="AL67" s="181"/>
      <c r="AM67" s="181"/>
      <c r="AN67" s="181"/>
    </row>
    <row r="68" ht="15.75" customHeight="1">
      <c r="A68" s="39"/>
      <c r="B68" s="52"/>
      <c r="C68" s="80" t="s">
        <v>346</v>
      </c>
      <c r="D68" s="47"/>
      <c r="E68" s="49">
        <v>1500.0</v>
      </c>
      <c r="F68" s="47"/>
      <c r="G68" s="47"/>
      <c r="H68" s="47"/>
      <c r="I68" s="88">
        <v>5.0</v>
      </c>
      <c r="J68" s="77"/>
      <c r="K68" s="88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183"/>
      <c r="AK68" s="183"/>
      <c r="AL68" s="181"/>
      <c r="AM68" s="181"/>
      <c r="AN68" s="181"/>
    </row>
    <row r="69" ht="15.75" customHeight="1">
      <c r="A69" s="39"/>
      <c r="B69" s="52"/>
      <c r="C69" s="80" t="s">
        <v>347</v>
      </c>
      <c r="D69" s="57"/>
      <c r="E69" s="49">
        <v>150.0</v>
      </c>
      <c r="F69" s="57"/>
      <c r="G69" s="57"/>
      <c r="H69" s="57"/>
      <c r="I69" s="88">
        <v>30.0</v>
      </c>
      <c r="J69" s="77"/>
      <c r="K69" s="88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183"/>
      <c r="AK69" s="183"/>
      <c r="AL69" s="181"/>
      <c r="AM69" s="181"/>
      <c r="AN69" s="181"/>
    </row>
    <row r="70" ht="15.75" customHeight="1">
      <c r="A70" s="101" t="s">
        <v>164</v>
      </c>
      <c r="B70" s="102"/>
      <c r="C70" s="101" t="s">
        <v>165</v>
      </c>
      <c r="D70" s="33"/>
      <c r="E70" s="103"/>
      <c r="F70" s="33"/>
      <c r="G70" s="104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183"/>
      <c r="AK70" s="183"/>
      <c r="AL70" s="182"/>
      <c r="AM70" s="182"/>
      <c r="AN70" s="182"/>
    </row>
    <row r="71" ht="15.75" customHeight="1">
      <c r="A71" s="39"/>
      <c r="B71" s="50"/>
      <c r="C71" s="80" t="s">
        <v>348</v>
      </c>
      <c r="D71" s="86" t="s">
        <v>349</v>
      </c>
      <c r="E71" s="49">
        <v>350.0</v>
      </c>
      <c r="F71" s="87">
        <v>70000.0</v>
      </c>
      <c r="G71" s="86" t="s">
        <v>168</v>
      </c>
      <c r="H71" s="88" t="s">
        <v>121</v>
      </c>
      <c r="I71" s="88">
        <v>200.0</v>
      </c>
      <c r="J71" s="88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183"/>
      <c r="AK71" s="183"/>
      <c r="AL71" s="182"/>
      <c r="AM71" s="182"/>
      <c r="AN71" s="182"/>
    </row>
    <row r="72" ht="15.75" customHeight="1">
      <c r="A72" s="39"/>
      <c r="B72" s="105" t="s">
        <v>210</v>
      </c>
      <c r="C72" s="109" t="s">
        <v>350</v>
      </c>
      <c r="D72" s="86" t="s">
        <v>212</v>
      </c>
      <c r="E72" s="49">
        <v>30000.0</v>
      </c>
      <c r="F72" s="87">
        <v>60000.0</v>
      </c>
      <c r="G72" s="86" t="s">
        <v>168</v>
      </c>
      <c r="H72" s="88" t="s">
        <v>121</v>
      </c>
      <c r="I72" s="88">
        <v>5.0</v>
      </c>
      <c r="J72" s="88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183"/>
      <c r="AK72" s="183"/>
      <c r="AL72" s="182"/>
      <c r="AM72" s="182"/>
      <c r="AN72" s="182"/>
    </row>
    <row r="73" ht="15.75" customHeight="1">
      <c r="A73" s="39"/>
      <c r="B73" s="105" t="s">
        <v>210</v>
      </c>
      <c r="C73" s="109" t="s">
        <v>351</v>
      </c>
      <c r="D73" s="86" t="s">
        <v>214</v>
      </c>
      <c r="E73" s="49">
        <v>25000.0</v>
      </c>
      <c r="F73" s="87">
        <v>250000.0</v>
      </c>
      <c r="G73" s="86" t="s">
        <v>168</v>
      </c>
      <c r="H73" s="88" t="s">
        <v>121</v>
      </c>
      <c r="I73" s="88">
        <v>10.0</v>
      </c>
      <c r="J73" s="88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183"/>
      <c r="AK73" s="183"/>
      <c r="AL73" s="182"/>
      <c r="AM73" s="182"/>
      <c r="AN73" s="182"/>
    </row>
    <row r="74" ht="20.25" customHeight="1">
      <c r="A74" s="39"/>
      <c r="B74" s="86"/>
      <c r="C74" s="40" t="s">
        <v>352</v>
      </c>
      <c r="D74" s="86" t="s">
        <v>236</v>
      </c>
      <c r="E74" s="49">
        <v>49999.0</v>
      </c>
      <c r="F74" s="87">
        <v>99998.0</v>
      </c>
      <c r="G74" s="86" t="s">
        <v>168</v>
      </c>
      <c r="H74" s="88" t="s">
        <v>121</v>
      </c>
      <c r="I74" s="88">
        <v>2.0</v>
      </c>
      <c r="J74" s="88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183"/>
      <c r="AK74" s="183"/>
      <c r="AL74" s="182"/>
      <c r="AM74" s="182"/>
      <c r="AN74" s="182"/>
    </row>
    <row r="75" ht="30.75" customHeight="1">
      <c r="A75" s="39"/>
      <c r="B75" s="86"/>
      <c r="C75" s="109" t="s">
        <v>237</v>
      </c>
      <c r="D75" s="86" t="s">
        <v>238</v>
      </c>
      <c r="E75" s="49">
        <v>2000.0</v>
      </c>
      <c r="F75" s="87">
        <v>20000.0</v>
      </c>
      <c r="G75" s="86" t="s">
        <v>168</v>
      </c>
      <c r="H75" s="88" t="s">
        <v>121</v>
      </c>
      <c r="I75" s="88">
        <v>10.0</v>
      </c>
      <c r="J75" s="88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183"/>
      <c r="AK75" s="183"/>
      <c r="AL75" s="182"/>
      <c r="AM75" s="182"/>
      <c r="AN75" s="182"/>
    </row>
    <row r="76" ht="39.75" customHeight="1">
      <c r="A76" s="39"/>
      <c r="B76" s="86"/>
      <c r="C76" s="228" t="s">
        <v>353</v>
      </c>
      <c r="D76" s="86" t="s">
        <v>354</v>
      </c>
      <c r="E76" s="49">
        <v>10000.0</v>
      </c>
      <c r="F76" s="87">
        <v>200000.0</v>
      </c>
      <c r="G76" s="86" t="s">
        <v>168</v>
      </c>
      <c r="H76" s="88" t="s">
        <v>121</v>
      </c>
      <c r="I76" s="88">
        <v>20.0</v>
      </c>
      <c r="J76" s="88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183"/>
      <c r="AK76" s="183"/>
      <c r="AL76" s="182"/>
      <c r="AM76" s="182"/>
      <c r="AN76" s="182"/>
    </row>
    <row r="77" ht="27.0" customHeight="1">
      <c r="A77" s="39"/>
      <c r="B77" s="86"/>
      <c r="C77" s="109" t="s">
        <v>245</v>
      </c>
      <c r="D77" s="86" t="s">
        <v>246</v>
      </c>
      <c r="E77" s="49">
        <v>45000.0</v>
      </c>
      <c r="F77" s="87">
        <v>45000.0</v>
      </c>
      <c r="G77" s="86" t="s">
        <v>168</v>
      </c>
      <c r="H77" s="88" t="s">
        <v>121</v>
      </c>
      <c r="I77" s="88">
        <v>2.0</v>
      </c>
      <c r="J77" s="88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183"/>
      <c r="AK77" s="183"/>
      <c r="AL77" s="182"/>
      <c r="AM77" s="182"/>
      <c r="AN77" s="182"/>
    </row>
    <row r="78" ht="27.0" customHeight="1">
      <c r="A78" s="39"/>
      <c r="B78" s="86"/>
      <c r="C78" s="109" t="s">
        <v>355</v>
      </c>
      <c r="D78" s="86" t="s">
        <v>80</v>
      </c>
      <c r="E78" s="49">
        <v>350.0</v>
      </c>
      <c r="F78" s="87">
        <v>105000.0</v>
      </c>
      <c r="G78" s="86" t="s">
        <v>168</v>
      </c>
      <c r="H78" s="88" t="s">
        <v>121</v>
      </c>
      <c r="I78" s="88">
        <v>1.0</v>
      </c>
      <c r="J78" s="88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183"/>
      <c r="AK78" s="183"/>
      <c r="AL78" s="182"/>
      <c r="AM78" s="182"/>
      <c r="AN78" s="182"/>
    </row>
    <row r="79" ht="52.5" customHeight="1">
      <c r="A79" s="39"/>
      <c r="B79" s="86"/>
      <c r="C79" s="109" t="s">
        <v>247</v>
      </c>
      <c r="D79" s="86" t="s">
        <v>248</v>
      </c>
      <c r="E79" s="49">
        <v>55000.0</v>
      </c>
      <c r="F79" s="87">
        <v>220000.0</v>
      </c>
      <c r="G79" s="86" t="s">
        <v>168</v>
      </c>
      <c r="H79" s="88" t="s">
        <v>121</v>
      </c>
      <c r="I79" s="88">
        <v>4.0</v>
      </c>
      <c r="J79" s="88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183"/>
      <c r="AK79" s="183"/>
      <c r="AL79" s="182"/>
      <c r="AM79" s="182"/>
      <c r="AN79" s="182"/>
    </row>
    <row r="80" ht="21.75" customHeight="1">
      <c r="A80" s="39"/>
      <c r="B80" s="86"/>
      <c r="C80" s="109" t="s">
        <v>249</v>
      </c>
      <c r="D80" s="86" t="s">
        <v>250</v>
      </c>
      <c r="E80" s="49">
        <v>250.0</v>
      </c>
      <c r="F80" s="87">
        <v>125000.0</v>
      </c>
      <c r="G80" s="86" t="s">
        <v>168</v>
      </c>
      <c r="H80" s="88" t="s">
        <v>121</v>
      </c>
      <c r="I80" s="88">
        <v>500.0</v>
      </c>
      <c r="J80" s="88"/>
      <c r="K80" s="88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183"/>
      <c r="AK80" s="183"/>
      <c r="AL80" s="182"/>
      <c r="AM80" s="182"/>
      <c r="AN80" s="182"/>
    </row>
    <row r="81" ht="17.25" customHeight="1">
      <c r="A81" s="229"/>
      <c r="B81" s="230" t="s">
        <v>251</v>
      </c>
      <c r="C81" s="231" t="s">
        <v>252</v>
      </c>
      <c r="D81" s="232" t="s">
        <v>253</v>
      </c>
      <c r="E81" s="233">
        <v>3200.0</v>
      </c>
      <c r="F81" s="234">
        <v>48000.0</v>
      </c>
      <c r="G81" s="232" t="s">
        <v>254</v>
      </c>
      <c r="H81" s="88" t="s">
        <v>121</v>
      </c>
      <c r="I81" s="235">
        <v>15.0</v>
      </c>
      <c r="J81" s="235"/>
      <c r="K81" s="235"/>
      <c r="L81" s="236"/>
      <c r="M81" s="236"/>
      <c r="N81" s="236"/>
      <c r="O81" s="236"/>
      <c r="P81" s="236"/>
      <c r="Q81" s="236"/>
      <c r="R81" s="236"/>
      <c r="S81" s="236"/>
      <c r="T81" s="236"/>
      <c r="U81" s="236"/>
      <c r="V81" s="236"/>
      <c r="W81" s="236"/>
      <c r="X81" s="236"/>
      <c r="Y81" s="236"/>
      <c r="Z81" s="236"/>
      <c r="AA81" s="236"/>
      <c r="AB81" s="236"/>
      <c r="AC81" s="236"/>
      <c r="AD81" s="236"/>
      <c r="AE81" s="236"/>
      <c r="AF81" s="236"/>
      <c r="AG81" s="236"/>
      <c r="AH81" s="236"/>
      <c r="AI81" s="236"/>
      <c r="AJ81" s="136"/>
      <c r="AK81" s="136"/>
      <c r="AL81" s="137"/>
      <c r="AM81" s="137"/>
      <c r="AN81" s="137"/>
    </row>
    <row r="82" ht="17.25" customHeight="1">
      <c r="A82" s="229"/>
      <c r="B82" s="230"/>
      <c r="C82" s="231" t="s">
        <v>255</v>
      </c>
      <c r="D82" s="232" t="s">
        <v>253</v>
      </c>
      <c r="E82" s="233">
        <v>3200.0</v>
      </c>
      <c r="F82" s="234">
        <v>48000.0</v>
      </c>
      <c r="G82" s="232" t="s">
        <v>254</v>
      </c>
      <c r="H82" s="88" t="s">
        <v>121</v>
      </c>
      <c r="I82" s="235">
        <v>15.0</v>
      </c>
      <c r="J82" s="235"/>
      <c r="K82" s="235"/>
      <c r="L82" s="236"/>
      <c r="M82" s="236"/>
      <c r="N82" s="236"/>
      <c r="O82" s="236"/>
      <c r="P82" s="236"/>
      <c r="Q82" s="236"/>
      <c r="R82" s="236"/>
      <c r="S82" s="236"/>
      <c r="T82" s="236"/>
      <c r="U82" s="236"/>
      <c r="V82" s="236"/>
      <c r="W82" s="236"/>
      <c r="X82" s="236"/>
      <c r="Y82" s="236"/>
      <c r="Z82" s="236"/>
      <c r="AA82" s="236"/>
      <c r="AB82" s="236"/>
      <c r="AC82" s="236"/>
      <c r="AD82" s="236"/>
      <c r="AE82" s="236"/>
      <c r="AF82" s="236"/>
      <c r="AG82" s="236"/>
      <c r="AH82" s="236"/>
      <c r="AI82" s="236"/>
      <c r="AJ82" s="136"/>
      <c r="AK82" s="136"/>
      <c r="AL82" s="137"/>
      <c r="AM82" s="137"/>
      <c r="AN82" s="137"/>
    </row>
    <row r="83" ht="15.75" customHeight="1">
      <c r="A83" s="237" t="s">
        <v>258</v>
      </c>
      <c r="B83" s="238"/>
      <c r="C83" s="239" t="s">
        <v>259</v>
      </c>
      <c r="D83" s="240"/>
      <c r="E83" s="241"/>
      <c r="F83" s="242"/>
      <c r="G83" s="240"/>
      <c r="H83" s="243"/>
      <c r="I83" s="244"/>
      <c r="J83" s="244"/>
      <c r="K83" s="243"/>
      <c r="L83" s="243"/>
      <c r="M83" s="243"/>
      <c r="N83" s="243"/>
      <c r="O83" s="243"/>
      <c r="P83" s="243"/>
      <c r="Q83" s="243"/>
      <c r="R83" s="243"/>
      <c r="S83" s="243"/>
      <c r="T83" s="243"/>
      <c r="U83" s="243"/>
      <c r="V83" s="243"/>
      <c r="W83" s="243"/>
      <c r="X83" s="243"/>
      <c r="Y83" s="243"/>
      <c r="Z83" s="243"/>
      <c r="AA83" s="243"/>
      <c r="AB83" s="243"/>
      <c r="AC83" s="243"/>
      <c r="AD83" s="243"/>
      <c r="AE83" s="243"/>
      <c r="AF83" s="243"/>
      <c r="AG83" s="243"/>
      <c r="AH83" s="243"/>
      <c r="AI83" s="243"/>
      <c r="AJ83" s="183"/>
      <c r="AK83" s="183"/>
      <c r="AL83" s="182"/>
      <c r="AM83" s="182"/>
      <c r="AN83" s="182"/>
    </row>
    <row r="84" ht="33.0" customHeight="1">
      <c r="A84" s="131"/>
      <c r="B84" s="127"/>
      <c r="C84" s="109" t="s">
        <v>262</v>
      </c>
      <c r="D84" s="245" t="s">
        <v>356</v>
      </c>
      <c r="E84" s="246">
        <v>5500.0</v>
      </c>
      <c r="F84" s="247">
        <v>82500.0</v>
      </c>
      <c r="G84" s="232" t="s">
        <v>254</v>
      </c>
      <c r="H84" s="88" t="s">
        <v>121</v>
      </c>
      <c r="I84" s="248">
        <v>15.0</v>
      </c>
      <c r="J84" s="127"/>
      <c r="K84" s="127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/>
      <c r="AJ84" s="183"/>
      <c r="AK84" s="183"/>
      <c r="AL84" s="181"/>
      <c r="AM84" s="181"/>
      <c r="AN84" s="181"/>
    </row>
    <row r="85" ht="33.0" customHeight="1">
      <c r="A85" s="131"/>
      <c r="B85" s="127"/>
      <c r="C85" s="132" t="s">
        <v>268</v>
      </c>
      <c r="D85" s="130" t="s">
        <v>269</v>
      </c>
      <c r="E85" s="133">
        <v>85000.0</v>
      </c>
      <c r="F85" s="134">
        <v>85000.0</v>
      </c>
      <c r="G85" s="86" t="s">
        <v>168</v>
      </c>
      <c r="H85" s="88" t="s">
        <v>121</v>
      </c>
      <c r="I85" s="127">
        <v>1000.0</v>
      </c>
      <c r="J85" s="127"/>
      <c r="K85" s="127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  <c r="AA85" s="135"/>
      <c r="AB85" s="135"/>
      <c r="AC85" s="135"/>
      <c r="AD85" s="135"/>
      <c r="AE85" s="135"/>
      <c r="AF85" s="135"/>
      <c r="AG85" s="135"/>
      <c r="AH85" s="135"/>
      <c r="AI85" s="135"/>
      <c r="AJ85" s="136"/>
      <c r="AK85" s="136"/>
      <c r="AL85" s="137"/>
      <c r="AM85" s="137"/>
      <c r="AN85" s="137"/>
    </row>
    <row r="86" ht="22.5" customHeight="1">
      <c r="A86" s="35"/>
      <c r="B86" s="104"/>
      <c r="C86" s="139" t="s">
        <v>357</v>
      </c>
      <c r="D86" s="104"/>
      <c r="E86" s="73"/>
      <c r="F86" s="74"/>
      <c r="G86" s="104"/>
      <c r="H86" s="140"/>
      <c r="I86" s="141"/>
      <c r="J86" s="142"/>
      <c r="K86" s="143"/>
      <c r="L86" s="144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  <c r="AA86" s="144"/>
      <c r="AB86" s="144"/>
      <c r="AC86" s="144"/>
      <c r="AD86" s="144"/>
      <c r="AE86" s="144"/>
      <c r="AF86" s="144"/>
      <c r="AG86" s="144"/>
      <c r="AH86" s="144"/>
      <c r="AI86" s="144"/>
      <c r="AJ86" s="136"/>
      <c r="AK86" s="136"/>
      <c r="AL86" s="137"/>
      <c r="AM86" s="137"/>
      <c r="AN86" s="137"/>
    </row>
    <row r="87" ht="22.5" customHeight="1">
      <c r="A87" s="229"/>
      <c r="B87" s="232"/>
      <c r="C87" s="249" t="s">
        <v>358</v>
      </c>
      <c r="D87" s="250" t="s">
        <v>80</v>
      </c>
      <c r="E87" s="233">
        <v>1500.0</v>
      </c>
      <c r="F87" s="251">
        <v>50650.0</v>
      </c>
      <c r="G87" s="75" t="s">
        <v>168</v>
      </c>
      <c r="H87" s="41" t="s">
        <v>121</v>
      </c>
      <c r="I87" s="252">
        <v>1.0</v>
      </c>
      <c r="J87" s="253"/>
      <c r="K87" s="252"/>
      <c r="L87" s="254"/>
      <c r="M87" s="254"/>
      <c r="N87" s="254"/>
      <c r="O87" s="254"/>
      <c r="P87" s="254"/>
      <c r="Q87" s="254"/>
      <c r="R87" s="254"/>
      <c r="S87" s="254"/>
      <c r="T87" s="254"/>
      <c r="U87" s="254"/>
      <c r="V87" s="254"/>
      <c r="W87" s="254"/>
      <c r="X87" s="254"/>
      <c r="Y87" s="254"/>
      <c r="Z87" s="254"/>
      <c r="AA87" s="254"/>
      <c r="AB87" s="254"/>
      <c r="AC87" s="254"/>
      <c r="AD87" s="254"/>
      <c r="AE87" s="254"/>
      <c r="AF87" s="254"/>
      <c r="AG87" s="254"/>
      <c r="AH87" s="254"/>
      <c r="AI87" s="254"/>
      <c r="AJ87" s="255"/>
      <c r="AK87" s="255"/>
      <c r="AL87" s="256"/>
      <c r="AM87" s="256"/>
      <c r="AN87" s="256"/>
    </row>
    <row r="88" ht="22.5" customHeight="1">
      <c r="A88" s="229"/>
      <c r="B88" s="232"/>
      <c r="C88" s="249" t="s">
        <v>359</v>
      </c>
      <c r="D88" s="47"/>
      <c r="E88" s="233">
        <v>1000.0</v>
      </c>
      <c r="F88" s="47"/>
      <c r="G88" s="47"/>
      <c r="H88" s="47"/>
      <c r="I88" s="252">
        <v>1.0</v>
      </c>
      <c r="J88" s="253"/>
      <c r="K88" s="252"/>
      <c r="L88" s="254"/>
      <c r="M88" s="254"/>
      <c r="N88" s="254"/>
      <c r="O88" s="254"/>
      <c r="P88" s="254"/>
      <c r="Q88" s="254"/>
      <c r="R88" s="254"/>
      <c r="S88" s="254"/>
      <c r="T88" s="254"/>
      <c r="U88" s="254"/>
      <c r="V88" s="254"/>
      <c r="W88" s="254"/>
      <c r="X88" s="254"/>
      <c r="Y88" s="254"/>
      <c r="Z88" s="254"/>
      <c r="AA88" s="254"/>
      <c r="AB88" s="254"/>
      <c r="AC88" s="254"/>
      <c r="AD88" s="254"/>
      <c r="AE88" s="254"/>
      <c r="AF88" s="254"/>
      <c r="AG88" s="254"/>
      <c r="AH88" s="254"/>
      <c r="AI88" s="254"/>
      <c r="AJ88" s="255"/>
      <c r="AK88" s="255"/>
      <c r="AL88" s="256"/>
      <c r="AM88" s="256"/>
      <c r="AN88" s="256"/>
    </row>
    <row r="89" ht="22.5" customHeight="1">
      <c r="A89" s="229"/>
      <c r="B89" s="232"/>
      <c r="C89" s="249" t="s">
        <v>360</v>
      </c>
      <c r="D89" s="47"/>
      <c r="E89" s="233">
        <v>1000.0</v>
      </c>
      <c r="F89" s="47"/>
      <c r="G89" s="47"/>
      <c r="H89" s="47"/>
      <c r="I89" s="252">
        <v>1.0</v>
      </c>
      <c r="J89" s="253"/>
      <c r="K89" s="235"/>
      <c r="L89" s="254"/>
      <c r="M89" s="254"/>
      <c r="N89" s="254"/>
      <c r="O89" s="254"/>
      <c r="P89" s="254"/>
      <c r="Q89" s="254"/>
      <c r="R89" s="254"/>
      <c r="S89" s="254"/>
      <c r="T89" s="254"/>
      <c r="U89" s="254"/>
      <c r="V89" s="254"/>
      <c r="W89" s="254"/>
      <c r="X89" s="254"/>
      <c r="Y89" s="254"/>
      <c r="Z89" s="254"/>
      <c r="AA89" s="254"/>
      <c r="AB89" s="254"/>
      <c r="AC89" s="254"/>
      <c r="AD89" s="254"/>
      <c r="AE89" s="254"/>
      <c r="AF89" s="254"/>
      <c r="AG89" s="254"/>
      <c r="AH89" s="254"/>
      <c r="AI89" s="254"/>
      <c r="AJ89" s="255"/>
      <c r="AK89" s="255"/>
      <c r="AL89" s="256"/>
      <c r="AM89" s="256"/>
      <c r="AN89" s="256"/>
    </row>
    <row r="90" ht="22.5" customHeight="1">
      <c r="A90" s="229"/>
      <c r="B90" s="232"/>
      <c r="C90" s="249" t="s">
        <v>361</v>
      </c>
      <c r="D90" s="47"/>
      <c r="E90" s="233">
        <v>2250.0</v>
      </c>
      <c r="F90" s="47"/>
      <c r="G90" s="47"/>
      <c r="H90" s="47"/>
      <c r="I90" s="252">
        <v>3.0</v>
      </c>
      <c r="J90" s="253"/>
      <c r="K90" s="235"/>
      <c r="L90" s="254"/>
      <c r="M90" s="254"/>
      <c r="N90" s="254"/>
      <c r="O90" s="254"/>
      <c r="P90" s="254"/>
      <c r="Q90" s="254"/>
      <c r="R90" s="254"/>
      <c r="S90" s="254"/>
      <c r="T90" s="254"/>
      <c r="U90" s="254"/>
      <c r="V90" s="254"/>
      <c r="W90" s="254"/>
      <c r="X90" s="254"/>
      <c r="Y90" s="254"/>
      <c r="Z90" s="254"/>
      <c r="AA90" s="254"/>
      <c r="AB90" s="254"/>
      <c r="AC90" s="254"/>
      <c r="AD90" s="254"/>
      <c r="AE90" s="254"/>
      <c r="AF90" s="254"/>
      <c r="AG90" s="254"/>
      <c r="AH90" s="254"/>
      <c r="AI90" s="254"/>
      <c r="AJ90" s="255"/>
      <c r="AK90" s="255"/>
      <c r="AL90" s="256"/>
      <c r="AM90" s="256"/>
      <c r="AN90" s="256"/>
    </row>
    <row r="91" ht="18.0" customHeight="1">
      <c r="A91" s="229"/>
      <c r="B91" s="232"/>
      <c r="C91" s="249" t="s">
        <v>362</v>
      </c>
      <c r="D91" s="47"/>
      <c r="E91" s="233">
        <v>1000.0</v>
      </c>
      <c r="F91" s="47"/>
      <c r="G91" s="47"/>
      <c r="H91" s="47"/>
      <c r="I91" s="252">
        <v>10.0</v>
      </c>
      <c r="J91" s="253"/>
      <c r="K91" s="235"/>
      <c r="L91" s="254"/>
      <c r="M91" s="254"/>
      <c r="N91" s="254"/>
      <c r="O91" s="254"/>
      <c r="P91" s="254"/>
      <c r="Q91" s="254"/>
      <c r="R91" s="254"/>
      <c r="S91" s="254"/>
      <c r="T91" s="254"/>
      <c r="U91" s="254"/>
      <c r="V91" s="254"/>
      <c r="W91" s="254"/>
      <c r="X91" s="254"/>
      <c r="Y91" s="254"/>
      <c r="Z91" s="254"/>
      <c r="AA91" s="254"/>
      <c r="AB91" s="254"/>
      <c r="AC91" s="254"/>
      <c r="AD91" s="254"/>
      <c r="AE91" s="254"/>
      <c r="AF91" s="254"/>
      <c r="AG91" s="254"/>
      <c r="AH91" s="254"/>
      <c r="AI91" s="254"/>
      <c r="AJ91" s="255"/>
      <c r="AK91" s="255"/>
      <c r="AL91" s="256"/>
      <c r="AM91" s="256"/>
      <c r="AN91" s="256"/>
    </row>
    <row r="92" ht="18.75" customHeight="1">
      <c r="A92" s="229"/>
      <c r="B92" s="232"/>
      <c r="C92" s="249" t="s">
        <v>363</v>
      </c>
      <c r="D92" s="47"/>
      <c r="E92" s="233">
        <v>1000.0</v>
      </c>
      <c r="F92" s="47"/>
      <c r="G92" s="47"/>
      <c r="H92" s="47"/>
      <c r="I92" s="252">
        <v>10.0</v>
      </c>
      <c r="J92" s="253"/>
      <c r="K92" s="235"/>
      <c r="L92" s="254"/>
      <c r="M92" s="254"/>
      <c r="N92" s="254"/>
      <c r="O92" s="254"/>
      <c r="P92" s="254"/>
      <c r="Q92" s="254"/>
      <c r="R92" s="254"/>
      <c r="S92" s="254"/>
      <c r="T92" s="254"/>
      <c r="U92" s="254"/>
      <c r="V92" s="254"/>
      <c r="W92" s="254"/>
      <c r="X92" s="254"/>
      <c r="Y92" s="254"/>
      <c r="Z92" s="254"/>
      <c r="AA92" s="254"/>
      <c r="AB92" s="254"/>
      <c r="AC92" s="254"/>
      <c r="AD92" s="254"/>
      <c r="AE92" s="254"/>
      <c r="AF92" s="254"/>
      <c r="AG92" s="254"/>
      <c r="AH92" s="254"/>
      <c r="AI92" s="254"/>
      <c r="AJ92" s="255"/>
      <c r="AK92" s="255"/>
      <c r="AL92" s="256"/>
      <c r="AM92" s="256"/>
      <c r="AN92" s="256"/>
    </row>
    <row r="93" ht="18.75" customHeight="1">
      <c r="A93" s="229"/>
      <c r="B93" s="232"/>
      <c r="C93" s="249" t="s">
        <v>364</v>
      </c>
      <c r="D93" s="47"/>
      <c r="E93" s="233">
        <v>1000.0</v>
      </c>
      <c r="F93" s="47"/>
      <c r="G93" s="47"/>
      <c r="H93" s="47"/>
      <c r="I93" s="252">
        <v>10.0</v>
      </c>
      <c r="J93" s="253"/>
      <c r="K93" s="235"/>
      <c r="L93" s="254"/>
      <c r="M93" s="254"/>
      <c r="N93" s="254"/>
      <c r="O93" s="254"/>
      <c r="P93" s="254"/>
      <c r="Q93" s="254"/>
      <c r="R93" s="254"/>
      <c r="S93" s="254"/>
      <c r="T93" s="254"/>
      <c r="U93" s="254"/>
      <c r="V93" s="254"/>
      <c r="W93" s="254"/>
      <c r="X93" s="254"/>
      <c r="Y93" s="254"/>
      <c r="Z93" s="254"/>
      <c r="AA93" s="254"/>
      <c r="AB93" s="254"/>
      <c r="AC93" s="254"/>
      <c r="AD93" s="254"/>
      <c r="AE93" s="254"/>
      <c r="AF93" s="254"/>
      <c r="AG93" s="254"/>
      <c r="AH93" s="254"/>
      <c r="AI93" s="254"/>
      <c r="AJ93" s="255"/>
      <c r="AK93" s="255"/>
      <c r="AL93" s="256"/>
      <c r="AM93" s="256"/>
      <c r="AN93" s="256"/>
    </row>
    <row r="94" ht="19.5" customHeight="1">
      <c r="A94" s="229"/>
      <c r="B94" s="232"/>
      <c r="C94" s="249" t="s">
        <v>365</v>
      </c>
      <c r="D94" s="47"/>
      <c r="E94" s="233">
        <v>3000.0</v>
      </c>
      <c r="F94" s="47"/>
      <c r="G94" s="47"/>
      <c r="H94" s="47"/>
      <c r="I94" s="252">
        <v>10.0</v>
      </c>
      <c r="J94" s="253"/>
      <c r="K94" s="235"/>
      <c r="L94" s="254"/>
      <c r="M94" s="254"/>
      <c r="N94" s="254"/>
      <c r="O94" s="254"/>
      <c r="P94" s="254"/>
      <c r="Q94" s="254"/>
      <c r="R94" s="254"/>
      <c r="S94" s="254"/>
      <c r="T94" s="254"/>
      <c r="U94" s="254"/>
      <c r="V94" s="254"/>
      <c r="W94" s="254"/>
      <c r="X94" s="254"/>
      <c r="Y94" s="254"/>
      <c r="Z94" s="254"/>
      <c r="AA94" s="254"/>
      <c r="AB94" s="254"/>
      <c r="AC94" s="254"/>
      <c r="AD94" s="254"/>
      <c r="AE94" s="254"/>
      <c r="AF94" s="254"/>
      <c r="AG94" s="254"/>
      <c r="AH94" s="254"/>
      <c r="AI94" s="254"/>
      <c r="AJ94" s="255"/>
      <c r="AK94" s="255"/>
      <c r="AL94" s="256"/>
      <c r="AM94" s="256"/>
      <c r="AN94" s="256"/>
    </row>
    <row r="95" ht="18.0" customHeight="1">
      <c r="A95" s="229"/>
      <c r="B95" s="232"/>
      <c r="C95" s="249" t="s">
        <v>366</v>
      </c>
      <c r="D95" s="47"/>
      <c r="E95" s="233">
        <v>3000.0</v>
      </c>
      <c r="F95" s="47"/>
      <c r="G95" s="47"/>
      <c r="H95" s="47"/>
      <c r="I95" s="252">
        <v>10.0</v>
      </c>
      <c r="J95" s="253"/>
      <c r="K95" s="235"/>
      <c r="L95" s="254"/>
      <c r="M95" s="254"/>
      <c r="N95" s="254"/>
      <c r="O95" s="254"/>
      <c r="P95" s="254"/>
      <c r="Q95" s="254"/>
      <c r="R95" s="254"/>
      <c r="S95" s="254"/>
      <c r="T95" s="254"/>
      <c r="U95" s="254"/>
      <c r="V95" s="254"/>
      <c r="W95" s="254"/>
      <c r="X95" s="254"/>
      <c r="Y95" s="254"/>
      <c r="Z95" s="254"/>
      <c r="AA95" s="254"/>
      <c r="AB95" s="254"/>
      <c r="AC95" s="254"/>
      <c r="AD95" s="254"/>
      <c r="AE95" s="254"/>
      <c r="AF95" s="254"/>
      <c r="AG95" s="254"/>
      <c r="AH95" s="254"/>
      <c r="AI95" s="254"/>
      <c r="AJ95" s="255"/>
      <c r="AK95" s="255"/>
      <c r="AL95" s="256"/>
      <c r="AM95" s="256"/>
      <c r="AN95" s="256"/>
    </row>
    <row r="96" ht="18.75" customHeight="1">
      <c r="A96" s="229"/>
      <c r="B96" s="232"/>
      <c r="C96" s="249" t="s">
        <v>367</v>
      </c>
      <c r="D96" s="47"/>
      <c r="E96" s="233">
        <v>26000.0</v>
      </c>
      <c r="F96" s="47"/>
      <c r="G96" s="47"/>
      <c r="H96" s="47"/>
      <c r="I96" s="252">
        <v>4.0</v>
      </c>
      <c r="J96" s="253"/>
      <c r="K96" s="235"/>
      <c r="L96" s="254"/>
      <c r="M96" s="254"/>
      <c r="N96" s="254"/>
      <c r="O96" s="254"/>
      <c r="P96" s="254"/>
      <c r="Q96" s="254"/>
      <c r="R96" s="254"/>
      <c r="S96" s="254"/>
      <c r="T96" s="254"/>
      <c r="U96" s="254"/>
      <c r="V96" s="254"/>
      <c r="W96" s="254"/>
      <c r="X96" s="254"/>
      <c r="Y96" s="254"/>
      <c r="Z96" s="254"/>
      <c r="AA96" s="254"/>
      <c r="AB96" s="254"/>
      <c r="AC96" s="254"/>
      <c r="AD96" s="254"/>
      <c r="AE96" s="254"/>
      <c r="AF96" s="254"/>
      <c r="AG96" s="254"/>
      <c r="AH96" s="254"/>
      <c r="AI96" s="254"/>
      <c r="AJ96" s="255"/>
      <c r="AK96" s="255"/>
      <c r="AL96" s="256"/>
      <c r="AM96" s="256"/>
      <c r="AN96" s="256"/>
    </row>
    <row r="97" ht="15.75" customHeight="1">
      <c r="A97" s="39"/>
      <c r="B97" s="52"/>
      <c r="C97" s="80" t="s">
        <v>345</v>
      </c>
      <c r="D97" s="47"/>
      <c r="E97" s="49">
        <v>180.0</v>
      </c>
      <c r="F97" s="47"/>
      <c r="G97" s="47"/>
      <c r="H97" s="47"/>
      <c r="I97" s="88">
        <v>30.0</v>
      </c>
      <c r="J97" s="77"/>
      <c r="K97" s="88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20"/>
      <c r="AK97" s="20"/>
      <c r="AL97" s="2"/>
      <c r="AM97" s="2"/>
      <c r="AN97" s="2"/>
    </row>
    <row r="98" ht="15.75" customHeight="1">
      <c r="A98" s="39"/>
      <c r="B98" s="52"/>
      <c r="C98" s="80" t="s">
        <v>347</v>
      </c>
      <c r="D98" s="57"/>
      <c r="E98" s="49">
        <v>150.0</v>
      </c>
      <c r="F98" s="57"/>
      <c r="G98" s="57"/>
      <c r="H98" s="57"/>
      <c r="I98" s="88">
        <v>30.0</v>
      </c>
      <c r="J98" s="77"/>
      <c r="K98" s="88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20"/>
      <c r="AK98" s="20"/>
      <c r="AL98" s="2"/>
      <c r="AM98" s="2"/>
      <c r="AN98" s="2"/>
    </row>
    <row r="99" ht="15.75" customHeight="1">
      <c r="A99" s="35" t="s">
        <v>283</v>
      </c>
      <c r="B99" s="149"/>
      <c r="C99" s="149" t="s">
        <v>284</v>
      </c>
      <c r="D99" s="104"/>
      <c r="E99" s="73"/>
      <c r="F99" s="74"/>
      <c r="G99" s="33"/>
      <c r="H99" s="140"/>
      <c r="I99" s="144"/>
      <c r="J99" s="150"/>
      <c r="K99" s="151"/>
      <c r="L99" s="144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  <c r="AA99" s="144"/>
      <c r="AB99" s="144"/>
      <c r="AC99" s="144"/>
      <c r="AD99" s="144"/>
      <c r="AE99" s="144"/>
      <c r="AF99" s="144"/>
      <c r="AG99" s="144"/>
      <c r="AH99" s="144"/>
      <c r="AI99" s="144"/>
      <c r="AJ99" s="20"/>
      <c r="AK99" s="20"/>
    </row>
    <row r="100" ht="15.75" customHeight="1">
      <c r="A100" s="229"/>
      <c r="B100" s="257"/>
      <c r="C100" s="257" t="s">
        <v>285</v>
      </c>
      <c r="D100" s="232" t="s">
        <v>80</v>
      </c>
      <c r="E100" s="233">
        <v>50000.0</v>
      </c>
      <c r="F100" s="234">
        <v>50000.0</v>
      </c>
      <c r="G100" s="235" t="s">
        <v>286</v>
      </c>
      <c r="H100" s="258" t="s">
        <v>261</v>
      </c>
      <c r="I100" s="259">
        <v>1.0</v>
      </c>
      <c r="J100" s="260"/>
      <c r="K100" s="260"/>
      <c r="L100" s="260"/>
      <c r="M100" s="260"/>
      <c r="N100" s="260"/>
      <c r="O100" s="260"/>
      <c r="P100" s="260"/>
      <c r="Q100" s="260"/>
      <c r="R100" s="260"/>
      <c r="S100" s="260"/>
      <c r="T100" s="260"/>
      <c r="U100" s="260"/>
      <c r="V100" s="260"/>
      <c r="W100" s="260"/>
      <c r="X100" s="260"/>
      <c r="Y100" s="260"/>
      <c r="Z100" s="260"/>
      <c r="AA100" s="260"/>
      <c r="AB100" s="260"/>
      <c r="AC100" s="260"/>
      <c r="AD100" s="260"/>
      <c r="AE100" s="260"/>
      <c r="AF100" s="260"/>
      <c r="AG100" s="260"/>
      <c r="AH100" s="260"/>
      <c r="AI100" s="260"/>
      <c r="AJ100" s="256"/>
      <c r="AK100" s="256"/>
      <c r="AL100" s="256"/>
      <c r="AM100" s="256"/>
      <c r="AN100" s="256"/>
    </row>
    <row r="101" ht="15.75" customHeight="1">
      <c r="A101" s="154" t="s">
        <v>287</v>
      </c>
      <c r="B101" s="155"/>
      <c r="C101" s="155"/>
      <c r="D101" s="2"/>
      <c r="E101" s="9"/>
      <c r="F101" s="156">
        <f>SUM(F26:F100)</f>
        <v>2191098</v>
      </c>
      <c r="G101" s="11"/>
      <c r="H101" s="1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ht="15.75" hidden="1" customHeight="1">
      <c r="A102" s="157"/>
      <c r="B102" s="6"/>
      <c r="C102" s="6"/>
      <c r="D102" s="158"/>
      <c r="G102" s="11"/>
      <c r="H102" s="11"/>
      <c r="I102" s="2"/>
      <c r="K102" s="159"/>
      <c r="AH102" s="159"/>
      <c r="AI102" s="2"/>
      <c r="AJ102" s="2"/>
      <c r="AK102" s="2"/>
    </row>
    <row r="103" ht="15.75" hidden="1" customHeight="1">
      <c r="A103" s="160" t="s">
        <v>288</v>
      </c>
      <c r="B103" s="161"/>
      <c r="C103" s="161"/>
      <c r="D103" s="162">
        <f>PRODUCT(D102,0.1)</f>
        <v>0.1</v>
      </c>
      <c r="E103" s="163"/>
      <c r="F103" s="164"/>
      <c r="G103" s="11"/>
      <c r="H103" s="11"/>
      <c r="I103" s="159"/>
      <c r="J103" s="165"/>
      <c r="K103" s="166"/>
      <c r="AH103" s="166"/>
      <c r="AI103" s="2"/>
      <c r="AJ103" s="2"/>
      <c r="AK103" s="2"/>
    </row>
    <row r="104" ht="15.75" hidden="1" customHeight="1">
      <c r="A104" s="167" t="s">
        <v>289</v>
      </c>
      <c r="B104" s="168"/>
      <c r="C104" s="168"/>
      <c r="D104" s="169">
        <f>PRODUCT(D102,0.1)</f>
        <v>0.1</v>
      </c>
      <c r="E104" s="170"/>
      <c r="F104" s="171"/>
      <c r="G104" s="11"/>
      <c r="H104" s="11"/>
      <c r="I104" s="165"/>
      <c r="J104" s="165"/>
      <c r="K104" s="166"/>
      <c r="AH104" s="166"/>
      <c r="AI104" s="2"/>
      <c r="AJ104" s="2"/>
      <c r="AK104" s="2"/>
    </row>
    <row r="105" ht="15.75" customHeight="1">
      <c r="A105" s="167" t="s">
        <v>290</v>
      </c>
      <c r="B105" s="168"/>
      <c r="C105" s="168"/>
      <c r="D105" s="169"/>
      <c r="E105" s="170"/>
      <c r="F105" s="171"/>
      <c r="G105" s="11"/>
      <c r="H105" s="11"/>
      <c r="I105" s="165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ht="15.75" customHeight="1">
      <c r="A106" s="172" t="s">
        <v>291</v>
      </c>
      <c r="B106" s="6"/>
      <c r="C106" s="6"/>
      <c r="D106" s="2"/>
      <c r="E106" s="9"/>
      <c r="F106" s="10"/>
      <c r="G106" s="11"/>
      <c r="H106" s="11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ht="15.75" customHeight="1">
      <c r="A107" s="173"/>
      <c r="B107" s="6"/>
      <c r="C107" s="6"/>
      <c r="D107" s="2"/>
      <c r="E107" s="108"/>
      <c r="F107" s="10"/>
      <c r="G107" s="2"/>
      <c r="H107" s="2"/>
      <c r="I107" s="2"/>
      <c r="J107" s="174" t="s">
        <v>292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165"/>
    </row>
    <row r="108" ht="15.75" customHeight="1">
      <c r="A108" s="175" t="s">
        <v>293</v>
      </c>
      <c r="B108" s="155"/>
      <c r="C108" s="155"/>
      <c r="D108" s="174" t="s">
        <v>294</v>
      </c>
      <c r="E108" s="108"/>
      <c r="F108" s="10"/>
      <c r="G108" s="174" t="s">
        <v>295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165"/>
    </row>
    <row r="109" ht="15.75" customHeight="1">
      <c r="A109" s="175"/>
      <c r="B109" s="155"/>
      <c r="C109" s="155"/>
      <c r="D109" s="2"/>
      <c r="E109" s="108"/>
      <c r="F109" s="10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165"/>
    </row>
    <row r="110" ht="15.75" customHeight="1">
      <c r="A110" s="155"/>
      <c r="B110" s="155"/>
      <c r="C110" s="155"/>
      <c r="D110" s="2"/>
      <c r="E110" s="108"/>
      <c r="F110" s="10"/>
      <c r="G110" s="2"/>
      <c r="H110" s="2"/>
      <c r="I110" s="2"/>
      <c r="J110" s="174" t="s">
        <v>296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ht="15.0" customHeight="1">
      <c r="A111" s="176" t="s">
        <v>297</v>
      </c>
      <c r="B111" s="177"/>
      <c r="C111" s="177"/>
      <c r="D111" s="174" t="s">
        <v>298</v>
      </c>
      <c r="E111" s="108"/>
      <c r="F111" s="10"/>
      <c r="G111" s="174" t="s">
        <v>299</v>
      </c>
      <c r="H111" s="2"/>
      <c r="I111" s="2"/>
      <c r="J111" s="2" t="s">
        <v>300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165"/>
    </row>
    <row r="112" ht="15.75" customHeight="1">
      <c r="A112" s="178" t="s">
        <v>301</v>
      </c>
      <c r="D112" s="2" t="s">
        <v>302</v>
      </c>
      <c r="E112" s="108"/>
      <c r="F112" s="10"/>
      <c r="G112" s="2" t="s">
        <v>303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ht="15.75" customHeight="1">
      <c r="A113" s="2"/>
      <c r="B113" s="2"/>
      <c r="C113" s="2"/>
      <c r="D113" s="2"/>
      <c r="E113" s="108"/>
      <c r="F113" s="10"/>
      <c r="G113" s="2"/>
      <c r="H113" s="2"/>
      <c r="I113" s="2"/>
      <c r="J113" s="2" t="s">
        <v>304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ht="15.75" customHeight="1">
      <c r="A114" s="2" t="s">
        <v>305</v>
      </c>
      <c r="B114" s="2"/>
      <c r="C114" s="2"/>
      <c r="D114" s="2" t="s">
        <v>304</v>
      </c>
      <c r="E114" s="108"/>
      <c r="F114" s="10"/>
      <c r="G114" s="2" t="s">
        <v>304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15.75" customHeight="1">
      <c r="D115" s="2"/>
      <c r="E115" s="9"/>
      <c r="F115" s="10"/>
      <c r="G115" s="11"/>
      <c r="H115" s="11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15.75" customHeight="1">
      <c r="D116" s="2"/>
      <c r="E116" s="9"/>
      <c r="F116" s="10"/>
      <c r="G116" s="11"/>
      <c r="H116" s="11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15.75" customHeight="1">
      <c r="D117" s="2"/>
      <c r="E117" s="9"/>
      <c r="F117" s="10"/>
      <c r="G117" s="11"/>
      <c r="H117" s="11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15.75" customHeight="1">
      <c r="D118" s="2"/>
      <c r="E118" s="9"/>
      <c r="F118" s="10"/>
      <c r="G118" s="11"/>
      <c r="H118" s="11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15.75" customHeight="1">
      <c r="D119" s="2"/>
      <c r="E119" s="9"/>
      <c r="F119" s="10"/>
      <c r="G119" s="11"/>
      <c r="H119" s="11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ht="15.75" customHeight="1">
      <c r="D120" s="2"/>
      <c r="E120" s="9"/>
      <c r="F120" s="10"/>
      <c r="G120" s="11"/>
      <c r="H120" s="11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ht="15.75" customHeight="1">
      <c r="D121" s="2"/>
      <c r="E121" s="9"/>
      <c r="F121" s="10"/>
      <c r="G121" s="11"/>
      <c r="H121" s="11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ht="15.75" customHeight="1">
      <c r="D122" s="2"/>
      <c r="E122" s="9"/>
      <c r="F122" s="10"/>
      <c r="G122" s="11"/>
      <c r="H122" s="11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ht="15.75" customHeight="1">
      <c r="D123" s="2"/>
      <c r="E123" s="9"/>
      <c r="F123" s="10"/>
      <c r="G123" s="11"/>
      <c r="H123" s="11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ht="15.75" customHeight="1">
      <c r="D124" s="2"/>
      <c r="E124" s="9"/>
      <c r="F124" s="10"/>
      <c r="G124" s="11"/>
      <c r="H124" s="11"/>
      <c r="I124" s="2"/>
    </row>
    <row r="125" ht="15.75" customHeight="1">
      <c r="E125" s="179"/>
    </row>
    <row r="126" ht="15.75" customHeight="1">
      <c r="E126" s="179"/>
    </row>
    <row r="127" ht="15.75" customHeight="1">
      <c r="E127" s="179"/>
    </row>
    <row r="128" ht="15.75" customHeight="1">
      <c r="E128" s="179"/>
    </row>
    <row r="129" ht="15.75" customHeight="1">
      <c r="E129" s="179"/>
    </row>
    <row r="130" ht="15.75" customHeight="1">
      <c r="E130" s="179"/>
    </row>
    <row r="131" ht="15.75" customHeight="1">
      <c r="E131" s="179"/>
    </row>
    <row r="132" ht="15.75" customHeight="1">
      <c r="E132" s="179"/>
    </row>
    <row r="133" ht="15.75" customHeight="1">
      <c r="E133" s="179"/>
    </row>
    <row r="134" ht="15.75" customHeight="1">
      <c r="E134" s="179"/>
    </row>
    <row r="135" ht="15.75" customHeight="1">
      <c r="E135" s="179"/>
    </row>
    <row r="136" ht="15.75" customHeight="1">
      <c r="E136" s="179"/>
    </row>
    <row r="137" ht="15.75" customHeight="1">
      <c r="E137" s="179"/>
    </row>
    <row r="138" ht="15.75" customHeight="1">
      <c r="E138" s="179"/>
    </row>
    <row r="139" ht="15.75" customHeight="1">
      <c r="E139" s="179"/>
    </row>
    <row r="140" ht="15.75" customHeight="1">
      <c r="E140" s="179"/>
    </row>
    <row r="141" ht="15.75" customHeight="1">
      <c r="E141" s="179"/>
    </row>
    <row r="142" ht="15.75" customHeight="1">
      <c r="E142" s="179"/>
    </row>
    <row r="143" ht="15.75" customHeight="1">
      <c r="E143" s="179"/>
    </row>
    <row r="144" ht="15.75" customHeight="1">
      <c r="E144" s="179"/>
    </row>
    <row r="145" ht="15.75" customHeight="1">
      <c r="E145" s="179"/>
    </row>
    <row r="146" ht="15.75" customHeight="1">
      <c r="E146" s="179"/>
    </row>
    <row r="147" ht="15.75" customHeight="1">
      <c r="E147" s="179"/>
    </row>
    <row r="148" ht="15.75" customHeight="1">
      <c r="E148" s="179"/>
    </row>
    <row r="149" ht="15.75" customHeight="1">
      <c r="E149" s="179"/>
    </row>
    <row r="150" ht="15.75" customHeight="1">
      <c r="E150" s="179"/>
    </row>
    <row r="151" ht="15.75" customHeight="1">
      <c r="E151" s="179"/>
    </row>
    <row r="152" ht="15.75" customHeight="1">
      <c r="E152" s="179"/>
    </row>
    <row r="153" ht="15.75" customHeight="1">
      <c r="E153" s="179"/>
    </row>
    <row r="154" ht="15.75" customHeight="1">
      <c r="E154" s="179"/>
    </row>
    <row r="155" ht="15.75" customHeight="1">
      <c r="E155" s="179"/>
    </row>
    <row r="156" ht="15.75" customHeight="1">
      <c r="E156" s="179"/>
    </row>
    <row r="157" ht="15.75" customHeight="1">
      <c r="E157" s="179"/>
    </row>
    <row r="158" ht="15.75" customHeight="1">
      <c r="E158" s="179"/>
    </row>
    <row r="159" ht="15.75" customHeight="1">
      <c r="E159" s="179"/>
    </row>
    <row r="160" ht="15.75" customHeight="1">
      <c r="E160" s="179"/>
    </row>
    <row r="161" ht="15.75" customHeight="1">
      <c r="E161" s="179"/>
    </row>
    <row r="162" ht="15.75" customHeight="1">
      <c r="E162" s="179"/>
    </row>
    <row r="163" ht="15.75" customHeight="1">
      <c r="E163" s="179"/>
    </row>
    <row r="164" ht="15.75" customHeight="1">
      <c r="E164" s="179"/>
    </row>
    <row r="165" ht="15.75" customHeight="1">
      <c r="E165" s="179"/>
    </row>
    <row r="166" ht="15.75" customHeight="1">
      <c r="E166" s="179"/>
    </row>
    <row r="167" ht="15.75" customHeight="1">
      <c r="E167" s="179"/>
    </row>
    <row r="168" ht="15.75" customHeight="1">
      <c r="E168" s="179"/>
    </row>
    <row r="169" ht="15.75" customHeight="1">
      <c r="E169" s="179"/>
    </row>
    <row r="170" ht="15.75" customHeight="1">
      <c r="E170" s="179"/>
    </row>
    <row r="171" ht="15.75" customHeight="1">
      <c r="E171" s="179"/>
    </row>
    <row r="172" ht="15.75" customHeight="1">
      <c r="E172" s="179"/>
    </row>
    <row r="173" ht="15.75" customHeight="1">
      <c r="E173" s="179"/>
    </row>
    <row r="174" ht="15.75" customHeight="1">
      <c r="E174" s="179"/>
    </row>
    <row r="175" ht="15.75" customHeight="1">
      <c r="E175" s="179"/>
    </row>
    <row r="176" ht="15.75" customHeight="1">
      <c r="E176" s="179"/>
    </row>
    <row r="177" ht="15.75" customHeight="1">
      <c r="E177" s="179"/>
    </row>
    <row r="178" ht="15.75" customHeight="1">
      <c r="E178" s="179"/>
    </row>
    <row r="179" ht="15.75" customHeight="1">
      <c r="E179" s="179"/>
    </row>
    <row r="180" ht="15.75" customHeight="1">
      <c r="E180" s="179"/>
    </row>
    <row r="181" ht="15.75" customHeight="1">
      <c r="E181" s="179"/>
    </row>
    <row r="182" ht="15.75" customHeight="1">
      <c r="E182" s="179"/>
    </row>
    <row r="183" ht="15.75" customHeight="1">
      <c r="E183" s="179"/>
    </row>
    <row r="184" ht="15.75" customHeight="1">
      <c r="E184" s="179"/>
    </row>
    <row r="185" ht="15.75" customHeight="1">
      <c r="E185" s="179"/>
    </row>
    <row r="186" ht="15.75" customHeight="1">
      <c r="E186" s="179"/>
    </row>
    <row r="187" ht="15.75" customHeight="1">
      <c r="E187" s="179"/>
    </row>
    <row r="188" ht="15.75" customHeight="1">
      <c r="E188" s="179"/>
    </row>
    <row r="189" ht="15.75" customHeight="1">
      <c r="E189" s="179"/>
    </row>
    <row r="190" ht="15.75" customHeight="1">
      <c r="E190" s="179"/>
    </row>
    <row r="191" ht="15.75" customHeight="1">
      <c r="E191" s="179"/>
    </row>
    <row r="192" ht="15.75" customHeight="1">
      <c r="E192" s="179"/>
    </row>
    <row r="193" ht="15.75" customHeight="1">
      <c r="E193" s="179"/>
    </row>
    <row r="194" ht="15.75" customHeight="1">
      <c r="E194" s="179"/>
    </row>
    <row r="195" ht="15.75" customHeight="1">
      <c r="E195" s="179"/>
    </row>
    <row r="196" ht="15.75" customHeight="1">
      <c r="E196" s="179"/>
    </row>
    <row r="197" ht="15.75" customHeight="1">
      <c r="E197" s="179"/>
    </row>
    <row r="198" ht="15.75" customHeight="1">
      <c r="E198" s="179"/>
    </row>
    <row r="199" ht="15.75" customHeight="1">
      <c r="E199" s="179"/>
    </row>
    <row r="200" ht="15.75" customHeight="1">
      <c r="E200" s="179"/>
    </row>
    <row r="201" ht="15.75" customHeight="1">
      <c r="E201" s="179"/>
    </row>
    <row r="202" ht="15.75" customHeight="1">
      <c r="E202" s="179"/>
    </row>
    <row r="203" ht="15.75" customHeight="1">
      <c r="E203" s="179"/>
    </row>
    <row r="204" ht="15.75" customHeight="1">
      <c r="E204" s="179"/>
    </row>
    <row r="205" ht="15.75" customHeight="1">
      <c r="E205" s="179"/>
    </row>
    <row r="206" ht="15.75" customHeight="1">
      <c r="E206" s="179"/>
    </row>
    <row r="207" ht="15.75" customHeight="1">
      <c r="E207" s="179"/>
    </row>
    <row r="208" ht="15.75" customHeight="1">
      <c r="E208" s="179"/>
    </row>
    <row r="209" ht="15.75" customHeight="1">
      <c r="E209" s="179"/>
    </row>
    <row r="210" ht="15.75" customHeight="1">
      <c r="E210" s="179"/>
    </row>
    <row r="211" ht="15.75" customHeight="1">
      <c r="E211" s="179"/>
    </row>
    <row r="212" ht="15.75" customHeight="1">
      <c r="E212" s="179"/>
    </row>
    <row r="213" ht="15.75" customHeight="1">
      <c r="E213" s="179"/>
    </row>
    <row r="214" ht="15.75" customHeight="1">
      <c r="E214" s="179"/>
    </row>
    <row r="215" ht="15.75" customHeight="1">
      <c r="E215" s="179"/>
    </row>
    <row r="216" ht="15.75" customHeight="1">
      <c r="E216" s="179"/>
    </row>
    <row r="217" ht="15.75" customHeight="1">
      <c r="E217" s="179"/>
    </row>
    <row r="218" ht="15.75" customHeight="1">
      <c r="E218" s="179"/>
    </row>
    <row r="219" ht="15.75" customHeight="1">
      <c r="E219" s="179"/>
    </row>
    <row r="220" ht="15.75" customHeight="1">
      <c r="E220" s="179"/>
    </row>
    <row r="221" ht="15.75" customHeight="1">
      <c r="E221" s="179"/>
    </row>
    <row r="222" ht="15.75" customHeight="1">
      <c r="E222" s="179"/>
    </row>
    <row r="223" ht="15.75" customHeight="1">
      <c r="E223" s="179"/>
    </row>
    <row r="224" ht="15.75" customHeight="1">
      <c r="E224" s="179"/>
    </row>
    <row r="225" ht="15.75" customHeight="1">
      <c r="E225" s="179"/>
    </row>
    <row r="226" ht="15.75" customHeight="1">
      <c r="E226" s="179"/>
    </row>
    <row r="227" ht="15.75" customHeight="1">
      <c r="E227" s="179"/>
    </row>
    <row r="228" ht="15.75" customHeight="1">
      <c r="E228" s="179"/>
    </row>
    <row r="229" ht="15.75" customHeight="1">
      <c r="E229" s="179"/>
    </row>
    <row r="230" ht="15.75" customHeight="1">
      <c r="E230" s="179"/>
    </row>
    <row r="231" ht="15.75" customHeight="1">
      <c r="E231" s="179"/>
    </row>
    <row r="232" ht="15.75" customHeight="1">
      <c r="E232" s="179"/>
    </row>
    <row r="233" ht="15.75" customHeight="1">
      <c r="E233" s="179"/>
    </row>
    <row r="234" ht="15.75" customHeight="1">
      <c r="E234" s="179"/>
    </row>
    <row r="235" ht="15.75" customHeight="1">
      <c r="E235" s="179"/>
    </row>
    <row r="236" ht="15.75" customHeight="1">
      <c r="E236" s="179"/>
    </row>
    <row r="237" ht="15.75" customHeight="1">
      <c r="E237" s="179"/>
    </row>
    <row r="238" ht="15.75" customHeight="1">
      <c r="E238" s="179"/>
    </row>
    <row r="239" ht="15.75" customHeight="1">
      <c r="E239" s="179"/>
    </row>
    <row r="240" ht="15.75" customHeight="1">
      <c r="E240" s="179"/>
    </row>
    <row r="241" ht="15.75" customHeight="1">
      <c r="E241" s="179"/>
    </row>
    <row r="242" ht="15.75" customHeight="1">
      <c r="E242" s="179"/>
    </row>
    <row r="243" ht="15.75" customHeight="1">
      <c r="E243" s="179"/>
    </row>
    <row r="244" ht="15.75" customHeight="1">
      <c r="E244" s="179"/>
    </row>
    <row r="245" ht="15.75" customHeight="1">
      <c r="E245" s="179"/>
    </row>
    <row r="246" ht="15.75" customHeight="1">
      <c r="E246" s="179"/>
    </row>
    <row r="247" ht="15.75" customHeight="1">
      <c r="E247" s="179"/>
    </row>
    <row r="248" ht="15.75" customHeight="1">
      <c r="E248" s="179"/>
    </row>
    <row r="249" ht="15.75" customHeight="1">
      <c r="E249" s="179"/>
    </row>
    <row r="250" ht="15.75" customHeight="1">
      <c r="E250" s="179"/>
    </row>
    <row r="251" ht="15.75" customHeight="1">
      <c r="E251" s="179"/>
    </row>
    <row r="252" ht="15.75" customHeight="1">
      <c r="E252" s="179"/>
    </row>
    <row r="253" ht="15.75" customHeight="1">
      <c r="E253" s="179"/>
    </row>
    <row r="254" ht="15.75" customHeight="1">
      <c r="E254" s="179"/>
    </row>
    <row r="255" ht="15.75" customHeight="1">
      <c r="E255" s="179"/>
    </row>
    <row r="256" ht="15.75" customHeight="1">
      <c r="E256" s="179"/>
    </row>
    <row r="257" ht="15.75" customHeight="1">
      <c r="E257" s="179"/>
    </row>
    <row r="258" ht="15.75" customHeight="1">
      <c r="E258" s="179"/>
    </row>
    <row r="259" ht="15.75" customHeight="1">
      <c r="E259" s="179"/>
    </row>
    <row r="260" ht="15.75" customHeight="1">
      <c r="E260" s="179"/>
    </row>
    <row r="261" ht="15.75" customHeight="1">
      <c r="E261" s="179"/>
    </row>
    <row r="262" ht="15.75" customHeight="1">
      <c r="E262" s="179"/>
    </row>
    <row r="263" ht="15.75" customHeight="1">
      <c r="E263" s="179"/>
    </row>
    <row r="264" ht="15.75" customHeight="1">
      <c r="E264" s="179"/>
    </row>
    <row r="265" ht="15.75" customHeight="1">
      <c r="E265" s="179"/>
    </row>
    <row r="266" ht="15.75" customHeight="1">
      <c r="E266" s="179"/>
    </row>
    <row r="267" ht="15.75" customHeight="1">
      <c r="E267" s="179"/>
    </row>
    <row r="268" ht="15.75" customHeight="1">
      <c r="E268" s="179"/>
    </row>
    <row r="269" ht="15.75" customHeight="1">
      <c r="E269" s="179"/>
    </row>
    <row r="270" ht="15.75" customHeight="1">
      <c r="E270" s="179"/>
    </row>
    <row r="271" ht="15.75" customHeight="1">
      <c r="E271" s="179"/>
    </row>
    <row r="272" ht="15.75" customHeight="1">
      <c r="E272" s="179"/>
    </row>
    <row r="273" ht="15.75" customHeight="1">
      <c r="E273" s="179"/>
    </row>
    <row r="274" ht="15.75" customHeight="1">
      <c r="E274" s="179"/>
    </row>
    <row r="275" ht="15.75" customHeight="1">
      <c r="E275" s="179"/>
    </row>
    <row r="276" ht="15.75" customHeight="1">
      <c r="E276" s="179"/>
    </row>
    <row r="277" ht="15.75" customHeight="1">
      <c r="E277" s="179"/>
    </row>
    <row r="278" ht="15.75" customHeight="1">
      <c r="E278" s="179"/>
    </row>
    <row r="279" ht="15.75" customHeight="1">
      <c r="E279" s="179"/>
    </row>
    <row r="280" ht="15.75" customHeight="1">
      <c r="E280" s="179"/>
    </row>
    <row r="281" ht="15.75" customHeight="1">
      <c r="E281" s="179"/>
    </row>
    <row r="282" ht="15.75" customHeight="1">
      <c r="E282" s="179"/>
    </row>
    <row r="283" ht="15.75" customHeight="1">
      <c r="E283" s="179"/>
    </row>
    <row r="284" ht="15.75" customHeight="1">
      <c r="E284" s="179"/>
    </row>
    <row r="285" ht="15.75" customHeight="1">
      <c r="E285" s="179"/>
    </row>
    <row r="286" ht="15.75" customHeight="1">
      <c r="E286" s="179"/>
    </row>
    <row r="287" ht="15.75" customHeight="1">
      <c r="E287" s="179"/>
    </row>
    <row r="288" ht="15.75" customHeight="1">
      <c r="E288" s="179"/>
    </row>
    <row r="289" ht="15.75" customHeight="1">
      <c r="E289" s="179"/>
    </row>
    <row r="290" ht="15.75" customHeight="1">
      <c r="E290" s="179"/>
    </row>
    <row r="291" ht="15.75" customHeight="1">
      <c r="E291" s="179"/>
    </row>
    <row r="292" ht="15.75" customHeight="1">
      <c r="E292" s="179"/>
    </row>
    <row r="293" ht="15.75" customHeight="1">
      <c r="E293" s="179"/>
    </row>
    <row r="294" ht="15.75" customHeight="1">
      <c r="E294" s="179"/>
    </row>
    <row r="295" ht="15.75" customHeight="1">
      <c r="E295" s="179"/>
    </row>
    <row r="296" ht="15.75" customHeight="1">
      <c r="E296" s="179"/>
    </row>
    <row r="297" ht="15.75" customHeight="1">
      <c r="E297" s="179"/>
    </row>
    <row r="298" ht="15.75" customHeight="1">
      <c r="E298" s="179"/>
    </row>
    <row r="299" ht="15.75" customHeight="1">
      <c r="E299" s="179"/>
    </row>
    <row r="300" ht="15.75" customHeight="1">
      <c r="E300" s="179"/>
    </row>
    <row r="301" ht="15.75" customHeight="1">
      <c r="E301" s="179"/>
    </row>
    <row r="302" ht="15.75" customHeight="1">
      <c r="E302" s="179"/>
    </row>
    <row r="303" ht="15.75" customHeight="1">
      <c r="E303" s="179"/>
    </row>
    <row r="304" ht="15.75" customHeight="1">
      <c r="E304" s="179"/>
    </row>
    <row r="305" ht="15.75" customHeight="1">
      <c r="E305" s="179"/>
    </row>
    <row r="306" ht="15.75" customHeight="1">
      <c r="E306" s="179"/>
    </row>
    <row r="307" ht="15.75" customHeight="1">
      <c r="E307" s="179"/>
    </row>
    <row r="308" ht="15.75" customHeight="1">
      <c r="E308" s="179"/>
    </row>
    <row r="309" ht="15.75" customHeight="1">
      <c r="E309" s="179"/>
    </row>
    <row r="310" ht="15.75" customHeight="1">
      <c r="E310" s="179"/>
    </row>
    <row r="311" ht="15.75" customHeight="1">
      <c r="E311" s="179"/>
    </row>
    <row r="312" ht="15.75" customHeight="1">
      <c r="E312" s="179"/>
    </row>
    <row r="313" ht="15.75" customHeight="1">
      <c r="E313" s="179"/>
    </row>
    <row r="314" ht="15.75" customHeight="1">
      <c r="E314" s="179"/>
    </row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</sheetData>
  <mergeCells count="61">
    <mergeCell ref="G60:G63"/>
    <mergeCell ref="H60:H63"/>
    <mergeCell ref="F46:F47"/>
    <mergeCell ref="D49:D57"/>
    <mergeCell ref="F49:F57"/>
    <mergeCell ref="G49:G57"/>
    <mergeCell ref="H49:H57"/>
    <mergeCell ref="D58:D59"/>
    <mergeCell ref="D60:D63"/>
    <mergeCell ref="F87:F98"/>
    <mergeCell ref="D102:F102"/>
    <mergeCell ref="D103:F103"/>
    <mergeCell ref="D104:F104"/>
    <mergeCell ref="D105:F105"/>
    <mergeCell ref="A112:C112"/>
    <mergeCell ref="D67:D69"/>
    <mergeCell ref="F67:F69"/>
    <mergeCell ref="G67:G69"/>
    <mergeCell ref="H67:H69"/>
    <mergeCell ref="D87:D98"/>
    <mergeCell ref="G87:G98"/>
    <mergeCell ref="H87:H98"/>
    <mergeCell ref="F12:F25"/>
    <mergeCell ref="G12:G25"/>
    <mergeCell ref="F8:F9"/>
    <mergeCell ref="G8:G9"/>
    <mergeCell ref="F26:F35"/>
    <mergeCell ref="G26:G35"/>
    <mergeCell ref="H26:H35"/>
    <mergeCell ref="D36:D39"/>
    <mergeCell ref="H36:H39"/>
    <mergeCell ref="H12:H25"/>
    <mergeCell ref="H8:H9"/>
    <mergeCell ref="I8:AI8"/>
    <mergeCell ref="A1:AI1"/>
    <mergeCell ref="A2:AI2"/>
    <mergeCell ref="A3:AI3"/>
    <mergeCell ref="A8:A9"/>
    <mergeCell ref="B8:B9"/>
    <mergeCell ref="C8:C9"/>
    <mergeCell ref="E8:E9"/>
    <mergeCell ref="F36:F39"/>
    <mergeCell ref="G36:G39"/>
    <mergeCell ref="F41:F44"/>
    <mergeCell ref="G41:G44"/>
    <mergeCell ref="H41:H44"/>
    <mergeCell ref="G46:G47"/>
    <mergeCell ref="H46:H47"/>
    <mergeCell ref="G58:G59"/>
    <mergeCell ref="H58:H59"/>
    <mergeCell ref="F58:F59"/>
    <mergeCell ref="F60:F63"/>
    <mergeCell ref="D64:D66"/>
    <mergeCell ref="F64:F66"/>
    <mergeCell ref="G64:G66"/>
    <mergeCell ref="H64:H66"/>
    <mergeCell ref="K102:AG102"/>
    <mergeCell ref="K103:AG103"/>
    <mergeCell ref="K104:AG104"/>
    <mergeCell ref="D26:D35"/>
    <mergeCell ref="D12:D25"/>
  </mergeCells>
  <printOptions/>
  <pageMargins bottom="0.9848484848484849" footer="0.0" header="0.0" left="1.5" right="0.0" top="0.7878787878787878"/>
  <pageSetup paperSize="5" scale="65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2024-01-03T07:55:13Z</dcterms:created>
  <dc:creator>ptridost47@gmail.com</dc:creator>
</cp:coreProperties>
</file>