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YPIC Q2" sheetId="1" r:id="rId4"/>
  </sheets>
  <definedNames/>
  <calcPr/>
  <extLst>
    <ext uri="GoogleSheetsCustomDataVersion2">
      <go:sheetsCustomData xmlns:go="http://customooxmlschemas.google.com/" r:id="rId5" roundtripDataChecksum="UxctdIWFfmX/nKpJyVf9rkHeGaO2oauIwgpsZMPVOYA="/>
    </ext>
  </extLst>
</workbook>
</file>

<file path=xl/sharedStrings.xml><?xml version="1.0" encoding="utf-8"?>
<sst xmlns="http://schemas.openxmlformats.org/spreadsheetml/2006/main" count="368" uniqueCount="241">
  <si>
    <t>PROJECT PROCUREMENT MANAGEMENT PLAN (PPMP) 2025</t>
  </si>
  <si>
    <t>For 2nd Quarter of CY 2025</t>
  </si>
  <si>
    <r>
      <rPr>
        <rFont val="Arial"/>
        <b/>
        <color rgb="FF000000"/>
        <sz val="11.0"/>
      </rPr>
      <t xml:space="preserve">END-USER/UNIT: </t>
    </r>
    <r>
      <rPr>
        <rFont val="Arial"/>
        <b val="0"/>
        <color rgb="FF000000"/>
        <sz val="11.0"/>
      </rPr>
      <t>FRONTIER:  Fostering the Revitalization of Nascent Textile Innovation Ecosystems in the Region - Regional Yarn Production and Innovation Center (RYPIC)</t>
    </r>
  </si>
  <si>
    <r>
      <rPr>
        <rFont val="Arial"/>
        <b/>
        <color rgb="FF000000"/>
        <sz val="11.0"/>
      </rPr>
      <t xml:space="preserve">CHARGED TO:  </t>
    </r>
    <r>
      <rPr>
        <rFont val="Arial"/>
        <b val="0"/>
        <color rgb="FF000000"/>
        <sz val="11.0"/>
      </rPr>
      <t>FRONTIER:  Fostering the Revitalization of Nascent Textile Innovation Ecosystems in the Region - Regional Yarn Production and Innovation Center (RYPIC)</t>
    </r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</si>
  <si>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</si>
  <si>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</si>
  <si>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</si>
  <si>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</si>
  <si>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</si>
  <si>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</si>
  <si>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</si>
  <si>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</si>
  <si>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</si>
  <si>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</si>
  <si>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</si>
  <si>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</si>
  <si>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</si>
  <si>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</si>
  <si>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</si>
  <si>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</si>
  <si>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</si>
  <si>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</si>
  <si>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</si>
  <si>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</si>
  <si>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</si>
  <si>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</si>
  <si>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</si>
  <si>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</si>
  <si>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</si>
  <si>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</si>
  <si>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</si>
  <si>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</si>
  <si>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</si>
  <si>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</si>
  <si>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</si>
  <si>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</si>
  <si>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</si>
  <si>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</si>
  <si>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</si>
  <si>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</si>
  <si>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</si>
  <si>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</si>
  <si>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</si>
  <si>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</si>
  <si>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</si>
  <si>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</si>
  <si>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</si>
  <si>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</si>
  <si>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</si>
  <si>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</si>
  <si>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</si>
  <si>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</si>
  <si>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</si>
  <si>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</si>
  <si>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</si>
  <si>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</si>
  <si>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</si>
  <si>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</si>
  <si>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</si>
  <si>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</si>
  <si>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</si>
  <si>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</si>
  <si>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</si>
  <si>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</si>
  <si>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</si>
  <si>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</si>
  <si>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</si>
  <si>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</si>
  <si>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</si>
  <si>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</si>
  <si>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</si>
  <si>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</si>
  <si>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</si>
  <si>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</si>
  <si>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</si>
  <si>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</si>
  <si>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</si>
  <si>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</si>
  <si>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OS-224</t>
  </si>
  <si>
    <t>20 rolls Tape, electrical 100m</t>
  </si>
  <si>
    <t>1 lot</t>
  </si>
  <si>
    <t>Shopping</t>
  </si>
  <si>
    <t>15 calendar days</t>
  </si>
  <si>
    <t>OS-093</t>
  </si>
  <si>
    <t>20 rolls  Tape, masking 1 inch width 100m</t>
  </si>
  <si>
    <t>50 rolls  Tape, masking 2 inch width 100m</t>
  </si>
  <si>
    <t>OS-303</t>
  </si>
  <si>
    <t>50 rolls Tape, packaging 2 inches width 100m</t>
  </si>
  <si>
    <t>OS-233</t>
  </si>
  <si>
    <t>20 rolls Tape, transparent 1 inch width 100m</t>
  </si>
  <si>
    <t>50 rolls Tape, transparent 2 inch width 100m</t>
  </si>
  <si>
    <t>20 rolls, Tape double sided, 1 inch width, 100m</t>
  </si>
  <si>
    <t>20 pcs, Pencil eraser, 2B, large</t>
  </si>
  <si>
    <t>OS-273</t>
  </si>
  <si>
    <t>5 boxes Rubber band No 18, box</t>
  </si>
  <si>
    <t>OS-154</t>
  </si>
  <si>
    <t>20 pieces Note pad stick on 3x3', 100 sheets</t>
  </si>
  <si>
    <t>20 boxes, Folder, A4</t>
  </si>
  <si>
    <t xml:space="preserve">20 boxes, Folder, Folio </t>
  </si>
  <si>
    <t>OS-001</t>
  </si>
  <si>
    <t>50 reams Paper multipurpose A4 500 sheets</t>
  </si>
  <si>
    <t>OS-002</t>
  </si>
  <si>
    <t>20 reams Paper multipurpose, Legal, 500 sheets</t>
  </si>
  <si>
    <t>10 units Ribbon for Bundy Clock S-960P</t>
  </si>
  <si>
    <t>5 reams Attendance Time Card, 200pcs/pack</t>
  </si>
  <si>
    <t>5 pieces EPSON 003 Black Ink</t>
  </si>
  <si>
    <t>30 calendar days</t>
  </si>
  <si>
    <t>3 pieces EPSON 003 Yellow Ink</t>
  </si>
  <si>
    <t>3 pieces EPSON 003 Magenta Ink</t>
  </si>
  <si>
    <t>3 pieces EPSON 003 Cyan Ink</t>
  </si>
  <si>
    <t>15 pieces HP 206A Genuine Toner Cartridge Ink W2110A- Black</t>
  </si>
  <si>
    <t>10 pieces HP 206A Genuine Toner Cartridge Ink W2113A- Magenta</t>
  </si>
  <si>
    <t>10 pieces HP 206A Genuine Toner Cartridge Ink W2111A- Cyan</t>
  </si>
  <si>
    <t>10 pieces HP 206A Genuine Toner Cartridge Ink W2112A- Yellow</t>
  </si>
  <si>
    <t>50203990 00</t>
  </si>
  <si>
    <t>Other Supplies Expenses</t>
  </si>
  <si>
    <t>OSMI-042</t>
  </si>
  <si>
    <t>Alcohol, Isoprophyl, Gallon</t>
  </si>
  <si>
    <t>OSMI-036</t>
  </si>
  <si>
    <t>10 pieces Insecticide 600ml</t>
  </si>
  <si>
    <t>OSMI-043</t>
  </si>
  <si>
    <t>10 pieces Disinfectant Spray</t>
  </si>
  <si>
    <t>OSMI-329</t>
  </si>
  <si>
    <t>10 pieces Liquid Handsoap, 500ml</t>
  </si>
  <si>
    <t>OSMI-019</t>
  </si>
  <si>
    <t>50 packs Paper towel, interfold 150 pulls per pack</t>
  </si>
  <si>
    <t>OSMI-102</t>
  </si>
  <si>
    <t>50 boxes Interfolded Tissue paper</t>
  </si>
  <si>
    <t>OSMI-089</t>
  </si>
  <si>
    <t>50 pieces Battery, dry cell size AA</t>
  </si>
  <si>
    <t>OSMI-090</t>
  </si>
  <si>
    <t>50 pieces Battery, dry cell size AAA</t>
  </si>
  <si>
    <t>25 pcs Sandpaper, 1000 grit</t>
  </si>
  <si>
    <t>25 pcs Sandpaper, 2000 grit</t>
  </si>
  <si>
    <t>1 set Combination wrench, 6-24mm</t>
  </si>
  <si>
    <t>2 sets Allen wrench, 2-12mm</t>
  </si>
  <si>
    <t>2 pcs Long nose pliers, 7"</t>
  </si>
  <si>
    <t>2 pcs Combination pliers, 7"</t>
  </si>
  <si>
    <t>2 pcs Diagonal cutting pliers (side cutter), 7"</t>
  </si>
  <si>
    <t>1 set Circlip pliers, 4-pc set, 7"</t>
  </si>
  <si>
    <t>2 pcs Philip screw driver (+)</t>
  </si>
  <si>
    <t>2 pcs Flat screw driver (-)</t>
  </si>
  <si>
    <t>1 unit Hand impact drill, 910 watts, 13mm</t>
  </si>
  <si>
    <t>3 pcs Masonry drill bit, 4-12 mm (5/32,3/16,1/4,5/16,3/8,1/2)</t>
  </si>
  <si>
    <t>3 pcs Metal drill bit, 4-12 mm (5/32,3/16,1/4,5/16,3/8,1/2)</t>
  </si>
  <si>
    <t xml:space="preserve">20 pcs Big plastic basket (plastic crates) </t>
  </si>
  <si>
    <t>4 pcs 24-inch Wall mounted suttter exhaust fan</t>
  </si>
  <si>
    <t>1 pc Vespa 1HP belt driven Air Cmpressor, 88 L, 100 to 115 Psi</t>
  </si>
  <si>
    <t>1 lot Wooden peg board 1m x 4m with 50 pcs rods and installation</t>
  </si>
  <si>
    <t xml:space="preserve">1 lot </t>
  </si>
  <si>
    <t>1 lot Wall-mounted wooden clothes rack, swivel-type with installation</t>
  </si>
  <si>
    <t>50203080 00</t>
  </si>
  <si>
    <t>Medical, Dental, and Laboratory Supplies Expenses</t>
  </si>
  <si>
    <t>50 boxes Facemask KF94, 100 pcs per box</t>
  </si>
  <si>
    <t>5 packs Heavy duty clear plastic bag size 40" x 60",  50pcs per pack</t>
  </si>
  <si>
    <t>5 packs Heavy duty clear plastic bag size 25" x 50",  50pcs per pack</t>
  </si>
  <si>
    <t>5 packs Heavy duty clear plastic bag size 20" x 40",  50pcs per pack</t>
  </si>
  <si>
    <t>25 rolls Garbage bag, XL, 10 pcs per roll</t>
  </si>
  <si>
    <t>25 rolls Garbage bag, 2XL, 10 pcs per roll</t>
  </si>
  <si>
    <t>100 pcs Resealable zip lock bag, 4"x6.5"</t>
  </si>
  <si>
    <t>1 pc. Digital platform weighing scale</t>
  </si>
  <si>
    <t>10000 kgs Cotton Lint</t>
  </si>
  <si>
    <t>10000 kgs</t>
  </si>
  <si>
    <t>Negotiated Procurement - Small Value Procurement</t>
  </si>
  <si>
    <t>4000 kgs</t>
  </si>
  <si>
    <t>6000 kgs</t>
  </si>
  <si>
    <t>50203090 00</t>
  </si>
  <si>
    <t xml:space="preserve">Fuel, Oil and Lubricants Expenses </t>
  </si>
  <si>
    <t>-Fuel, Oils and Lubricants</t>
  </si>
  <si>
    <t>1,680 liters</t>
  </si>
  <si>
    <t>Direct Contracting</t>
  </si>
  <si>
    <t>50299040 00</t>
  </si>
  <si>
    <t>Transportation and Delivery Expenses</t>
  </si>
  <si>
    <t>20 lots Courier Services</t>
  </si>
  <si>
    <t>20 lots</t>
  </si>
  <si>
    <t>Petty Cash Fund</t>
  </si>
  <si>
    <t>10 lots</t>
  </si>
  <si>
    <t>8 lots Transport of Materials</t>
  </si>
  <si>
    <t>8 lots</t>
  </si>
  <si>
    <t>2 lots Trucking Services</t>
  </si>
  <si>
    <t>2 lots</t>
  </si>
  <si>
    <t>Negotiated Procurement - Small Value Procurement / Shopping</t>
  </si>
  <si>
    <t xml:space="preserve">50299990 99 </t>
  </si>
  <si>
    <t>Other Maintenance and Operating Expenses</t>
  </si>
  <si>
    <t>2 lots Preventive Maintenance and Repair of six (6) Airconditioning Units</t>
  </si>
  <si>
    <t>50201010 00</t>
  </si>
  <si>
    <t>Travelling Expenses – Local</t>
  </si>
  <si>
    <t>Travel expense</t>
  </si>
  <si>
    <t>50299030 00</t>
  </si>
  <si>
    <t>Representation Expenses</t>
  </si>
  <si>
    <t>Representation</t>
  </si>
  <si>
    <t>25 lots</t>
  </si>
  <si>
    <t>50211990 00</t>
  </si>
  <si>
    <t>Other Professional Services</t>
  </si>
  <si>
    <t>Calibration (digital timer, thermometer, balance)</t>
  </si>
  <si>
    <t>Direct contracting</t>
  </si>
  <si>
    <t>50204020 00</t>
  </si>
  <si>
    <t>Electricity Expenses</t>
  </si>
  <si>
    <t>3 lots Electricity</t>
  </si>
  <si>
    <t>3 lots</t>
  </si>
  <si>
    <t>Equipment Outlay</t>
  </si>
  <si>
    <t>1 set Decorticating Machine - capacity 400-600 kg (fabrication)</t>
  </si>
  <si>
    <t xml:space="preserve">Public Bidding </t>
  </si>
  <si>
    <t>1 set 50HP Steam Boiler (fabrication)</t>
  </si>
  <si>
    <t>1 set Degumming Machine; Capacity: 1000 L / 65 kg (Fiber) (Fabrication)</t>
  </si>
  <si>
    <t>1 set Mechanical Softening Machine (fabrication)</t>
  </si>
  <si>
    <t>1 set Chemical Softening Machine (fabrication)</t>
  </si>
  <si>
    <t>1 set Fiber Dryer (Fabrication)</t>
  </si>
  <si>
    <t>1 set Fiber Cutting Machine (fabrication)</t>
  </si>
  <si>
    <t>1 set Fiber 1 lot Opener (fabrication)</t>
  </si>
  <si>
    <t>1 set Integrated Blow Card with 40 pcs Sliver Cans and Laptop</t>
  </si>
  <si>
    <t>1 set Double Feed Drawframe Machine with 100 pcs Sliver Cans</t>
  </si>
  <si>
    <t>1 set 24 Spindles Roving Machine with 2000 pcs Roving Tubes and Laptop</t>
  </si>
  <si>
    <t>4 sets 96 Spindles Ring Frame Machine with 5000 RF Bobbins</t>
  </si>
  <si>
    <t>1 set 12 Drums Winding Machine with 7000 pcs Paper Cones</t>
  </si>
  <si>
    <t>2 sets 64 Spindles Twisting Machine with 5000 Twister Bobbins</t>
  </si>
  <si>
    <t>1 set 12 Drums Sizing Machine with 10,000 pcs Paper Cones</t>
  </si>
  <si>
    <t>1 set  Yarn Singeing Machine</t>
  </si>
  <si>
    <t>1 set Reeling Machine (Cone to Muff Winder)</t>
  </si>
  <si>
    <t xml:space="preserve">1 set Yarn Mercerizing Machine lot </t>
  </si>
  <si>
    <t>1 set Re-Reeling Machine (Muff to Cone Winder)</t>
  </si>
  <si>
    <t>1 set Sliver Wrap Block</t>
  </si>
  <si>
    <t>1 set Yarn Wrap Reel</t>
  </si>
  <si>
    <t>1 set Electronic Weighing Scale</t>
  </si>
  <si>
    <t>5 sets Air Conditioning System</t>
  </si>
  <si>
    <t>&lt;-- INSERT ROW IF NEEDED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</si>
  <si>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</si>
  <si>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</si>
  <si>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</si>
  <si>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</si>
  <si>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</si>
  <si>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</si>
  <si>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ALEXANDER M. ARGAME, JR.</t>
  </si>
  <si>
    <t>MARILOU G. AGUSTIN</t>
  </si>
  <si>
    <t>MERLITA R. ODI</t>
  </si>
  <si>
    <t>JULIUS L. LEAÑO JR., Ph.D.</t>
  </si>
  <si>
    <t>Progaram Leader</t>
  </si>
  <si>
    <t>Head, FAD-PPGSS</t>
  </si>
  <si>
    <t>Head, FAD-BTS</t>
  </si>
  <si>
    <t>Director IV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</si>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</sst>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3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i/>
      <sz val="11.0"/>
      <color rgb="FF000000"/>
      <name val="Arial"/>
    </font>
    <font>
      <b/>
      <sz val="11.0"/>
      <color theme="1"/>
      <name val="Arial"/>
    </font>
    <font/>
    <font>
      <sz val="11.0"/>
      <color rgb="FFFF0000"/>
      <name val="Arial"/>
    </font>
    <font>
      <sz val="11.0"/>
      <color rgb="FF434343"/>
      <name val="Arial"/>
    </font>
    <font>
      <color theme="1"/>
      <name val="Calibri"/>
      <scheme val="minor"/>
    </font>
    <font>
      <b/>
      <u/>
      <sz val="11.0"/>
      <color rgb="FF000000"/>
      <name val="Arial"/>
    </font>
    <font>
      <u/>
      <sz val="11.0"/>
      <color rgb="FF000000"/>
      <name val="Arial"/>
    </font>
    <font>
      <b/>
      <u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" fillId="0" fontId="5" numFmtId="4" xfId="0" applyAlignment="1" applyBorder="1" applyFont="1" applyNumberForma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quotePrefix="1" borderId="10" fillId="0" fontId="5" numFmtId="0" xfId="0" applyAlignment="1" applyBorder="1" applyFont="1">
      <alignment horizontal="center" shrinkToFit="0" vertical="center" wrapText="1"/>
    </xf>
    <xf quotePrefix="1" borderId="11" fillId="0" fontId="5" numFmtId="0" xfId="0" applyAlignment="1" applyBorder="1" applyFont="1">
      <alignment horizontal="center" shrinkToFit="0" vertical="center" wrapText="1"/>
    </xf>
    <xf quotePrefix="1" borderId="12" fillId="0" fontId="5" numFmtId="0" xfId="0" applyAlignment="1" applyBorder="1" applyFont="1">
      <alignment horizontal="center" shrinkToFit="0" vertical="center" wrapText="1"/>
    </xf>
    <xf borderId="13" fillId="2" fontId="5" numFmtId="0" xfId="0" applyAlignment="1" applyBorder="1" applyFill="1" applyFont="1">
      <alignment horizontal="center" vertical="center"/>
    </xf>
    <xf borderId="14" fillId="2" fontId="5" numFmtId="0" xfId="0" applyAlignment="1" applyBorder="1" applyFont="1">
      <alignment horizontal="left" vertical="center"/>
    </xf>
    <xf borderId="15" fillId="2" fontId="5" numFmtId="0" xfId="0" applyAlignment="1" applyBorder="1" applyFont="1">
      <alignment horizontal="left" shrinkToFit="0" vertical="center" wrapText="1"/>
    </xf>
    <xf borderId="16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right" vertical="center"/>
    </xf>
    <xf borderId="17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readingOrder="0" shrinkToFit="0" vertical="center" wrapText="1"/>
    </xf>
    <xf borderId="19" fillId="0" fontId="2" numFmtId="0" xfId="0" applyAlignment="1" applyBorder="1" applyFont="1">
      <alignment horizontal="center" readingOrder="0" vertical="center"/>
    </xf>
    <xf borderId="18" fillId="0" fontId="2" numFmtId="4" xfId="0" applyAlignment="1" applyBorder="1" applyFont="1" applyNumberFormat="1">
      <alignment horizontal="right" readingOrder="0" vertical="center"/>
    </xf>
    <xf borderId="19" fillId="0" fontId="2" numFmtId="4" xfId="0" applyAlignment="1" applyBorder="1" applyFont="1" applyNumberFormat="1">
      <alignment horizontal="right" vertical="center"/>
    </xf>
    <xf borderId="20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1" fillId="0" fontId="6" numFmtId="0" xfId="0" applyBorder="1" applyFont="1"/>
    <xf borderId="18" fillId="0" fontId="2" numFmtId="4" xfId="0" applyAlignment="1" applyBorder="1" applyFont="1" applyNumberFormat="1">
      <alignment horizontal="right" vertical="center"/>
    </xf>
    <xf borderId="20" fillId="0" fontId="6" numFmtId="0" xfId="0" applyBorder="1" applyFont="1"/>
    <xf borderId="18" fillId="0" fontId="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18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18" fillId="3" fontId="2" numFmtId="49" xfId="0" applyAlignment="1" applyBorder="1" applyFill="1" applyFont="1" applyNumberFormat="1">
      <alignment readingOrder="0" vertical="center"/>
    </xf>
    <xf borderId="18" fillId="0" fontId="2" numFmtId="4" xfId="0" applyAlignment="1" applyBorder="1" applyFont="1" applyNumberFormat="1">
      <alignment horizontal="right" shrinkToFit="0" wrapText="1"/>
    </xf>
    <xf borderId="18" fillId="3" fontId="2" numFmtId="49" xfId="0" applyAlignment="1" applyBorder="1" applyFont="1" applyNumberFormat="1">
      <alignment readingOrder="0"/>
    </xf>
    <xf borderId="22" fillId="0" fontId="6" numFmtId="0" xfId="0" applyBorder="1" applyFont="1"/>
    <xf borderId="18" fillId="0" fontId="2" numFmtId="4" xfId="0" applyAlignment="1" applyBorder="1" applyFont="1" applyNumberFormat="1">
      <alignment horizontal="right" readingOrder="0" shrinkToFit="0" wrapText="1"/>
    </xf>
    <xf borderId="18" fillId="0" fontId="2" numFmtId="0" xfId="0" applyAlignment="1" applyBorder="1" applyFont="1">
      <alignment readingOrder="0" vertical="top"/>
    </xf>
    <xf borderId="19" fillId="0" fontId="2" numFmtId="0" xfId="0" applyAlignment="1" applyBorder="1" applyFont="1">
      <alignment readingOrder="0" vertical="center"/>
    </xf>
    <xf borderId="14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5" fillId="2" fontId="5" numFmtId="0" xfId="0" applyAlignment="1" applyBorder="1" applyFont="1">
      <alignment horizontal="right" vertical="center"/>
    </xf>
    <xf borderId="22" fillId="0" fontId="2" numFmtId="0" xfId="0" applyAlignment="1" applyBorder="1" applyFont="1">
      <alignment vertical="center"/>
    </xf>
    <xf borderId="7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center" vertical="center"/>
    </xf>
    <xf borderId="7" fillId="0" fontId="2" numFmtId="4" xfId="0" applyAlignment="1" applyBorder="1" applyFont="1" applyNumberFormat="1">
      <alignment horizontal="right" vertical="center"/>
    </xf>
    <xf borderId="20" fillId="0" fontId="2" numFmtId="4" xfId="0" applyAlignment="1" applyBorder="1" applyFont="1" applyNumberFormat="1">
      <alignment horizontal="right" vertical="center"/>
    </xf>
    <xf borderId="7" fillId="0" fontId="2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7" fillId="0" fontId="2" numFmtId="0" xfId="0" applyAlignment="1" applyBorder="1" applyFont="1">
      <alignment horizontal="left" readingOrder="0" shrinkToFit="0" vertical="center" wrapText="1"/>
    </xf>
    <xf borderId="20" fillId="0" fontId="2" numFmtId="0" xfId="0" applyAlignment="1" applyBorder="1" applyFont="1">
      <alignment horizontal="center" readingOrder="0" vertical="center"/>
    </xf>
    <xf borderId="7" fillId="0" fontId="2" numFmtId="4" xfId="0" applyAlignment="1" applyBorder="1" applyFont="1" applyNumberFormat="1">
      <alignment horizontal="right" readingOrder="0" vertical="center"/>
    </xf>
    <xf borderId="19" fillId="0" fontId="2" numFmtId="0" xfId="0" applyAlignment="1" applyBorder="1" applyFont="1">
      <alignment horizontal="center" readingOrder="0" shrinkToFit="0" vertical="center" wrapText="1"/>
    </xf>
    <xf borderId="23" fillId="0" fontId="2" numFmtId="4" xfId="0" applyAlignment="1" applyBorder="1" applyFont="1" applyNumberFormat="1">
      <alignment horizontal="right" readingOrder="0" vertical="center"/>
    </xf>
    <xf borderId="23" fillId="0" fontId="2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 shrinkToFit="0" vertical="center" wrapText="1"/>
    </xf>
    <xf borderId="20" fillId="0" fontId="2" numFmtId="4" xfId="0" applyAlignment="1" applyBorder="1" applyFont="1" applyNumberFormat="1">
      <alignment horizontal="right" readingOrder="0" vertical="center"/>
    </xf>
    <xf borderId="24" fillId="0" fontId="2" numFmtId="4" xfId="0" applyAlignment="1" applyBorder="1" applyFont="1" applyNumberFormat="1">
      <alignment horizontal="right" readingOrder="0" vertical="center"/>
    </xf>
    <xf borderId="24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24" fillId="0" fontId="2" numFmtId="4" xfId="0" applyAlignment="1" applyBorder="1" applyFont="1" applyNumberFormat="1">
      <alignment horizontal="right" vertical="center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left" vertical="center"/>
    </xf>
    <xf borderId="18" fillId="3" fontId="2" numFmtId="0" xfId="0" applyAlignment="1" applyBorder="1" applyFont="1">
      <alignment readingOrder="0" vertical="center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8" fillId="0" fontId="2" numFmtId="0" xfId="0" applyAlignment="1" applyBorder="1" applyFont="1">
      <alignment readingOrder="0" vertical="center"/>
    </xf>
    <xf borderId="18" fillId="3" fontId="2" numFmtId="0" xfId="0" applyAlignment="1" applyBorder="1" applyFont="1">
      <alignment readingOrder="0" shrinkToFit="0" vertical="center" wrapText="1"/>
    </xf>
    <xf borderId="25" fillId="0" fontId="2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left" readingOrder="0" shrinkToFit="0" vertical="center" wrapText="1"/>
    </xf>
    <xf borderId="27" fillId="2" fontId="2" numFmtId="0" xfId="0" applyAlignment="1" applyBorder="1" applyFont="1">
      <alignment vertical="center"/>
    </xf>
    <xf borderId="27" fillId="2" fontId="2" numFmtId="0" xfId="0" applyAlignment="1" applyBorder="1" applyFont="1">
      <alignment horizontal="right" vertical="center"/>
    </xf>
    <xf borderId="28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vertical="center"/>
    </xf>
    <xf borderId="29" fillId="2" fontId="2" numFmtId="0" xfId="0" applyAlignment="1" applyBorder="1" applyFont="1">
      <alignment vertical="center"/>
    </xf>
    <xf borderId="15" fillId="2" fontId="2" numFmtId="0" xfId="0" applyAlignment="1" applyBorder="1" applyFont="1">
      <alignment vertical="center"/>
    </xf>
    <xf borderId="23" fillId="0" fontId="2" numFmtId="4" xfId="0" applyAlignment="1" applyBorder="1" applyFont="1" applyNumberFormat="1">
      <alignment horizontal="right" vertical="center"/>
    </xf>
    <xf borderId="25" fillId="0" fontId="2" numFmtId="0" xfId="0" applyAlignment="1" applyBorder="1" applyFont="1">
      <alignment horizontal="left" readingOrder="0" shrinkToFit="0" vertical="center" wrapText="1"/>
    </xf>
    <xf borderId="18" fillId="0" fontId="2" numFmtId="4" xfId="0" applyAlignment="1" applyBorder="1" applyFont="1" applyNumberFormat="1">
      <alignment vertical="center"/>
    </xf>
    <xf borderId="18" fillId="0" fontId="2" numFmtId="0" xfId="0" applyAlignment="1" applyBorder="1" applyFont="1">
      <alignment horizontal="center" shrinkToFit="0" vertical="center" wrapText="1"/>
    </xf>
    <xf borderId="26" fillId="2" fontId="5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horizontal="left" shrinkToFit="0" vertical="center" wrapText="1"/>
    </xf>
    <xf borderId="30" fillId="2" fontId="5" numFmtId="0" xfId="0" applyAlignment="1" applyBorder="1" applyFont="1">
      <alignment horizontal="left" shrinkToFit="0" vertical="center" wrapText="1"/>
    </xf>
    <xf borderId="30" fillId="2" fontId="2" numFmtId="0" xfId="0" applyAlignment="1" applyBorder="1" applyFont="1">
      <alignment horizontal="center" shrinkToFit="0" vertical="center" wrapText="1"/>
    </xf>
    <xf borderId="18" fillId="2" fontId="2" numFmtId="4" xfId="0" applyAlignment="1" applyBorder="1" applyFont="1" applyNumberFormat="1">
      <alignment horizontal="right" shrinkToFit="0" vertical="center" wrapText="1"/>
    </xf>
    <xf borderId="31" fillId="2" fontId="2" numFmtId="4" xfId="0" applyAlignment="1" applyBorder="1" applyFont="1" applyNumberFormat="1">
      <alignment horizontal="center" shrinkToFit="0" vertical="center" wrapText="1"/>
    </xf>
    <xf borderId="28" fillId="2" fontId="2" numFmtId="0" xfId="0" applyAlignment="1" applyBorder="1" applyFont="1">
      <alignment horizontal="center" shrinkToFit="0" vertical="center" wrapText="1"/>
    </xf>
    <xf borderId="28" fillId="2" fontId="2" numFmtId="0" xfId="0" applyAlignment="1" applyBorder="1" applyFont="1">
      <alignment shrinkToFit="0" vertical="center" wrapText="1"/>
    </xf>
    <xf borderId="30" fillId="2" fontId="2" numFmtId="0" xfId="0" applyAlignment="1" applyBorder="1" applyFont="1">
      <alignment horizontal="right" shrinkToFit="0" vertical="center" wrapText="1"/>
    </xf>
    <xf borderId="28" fillId="2" fontId="2" numFmtId="0" xfId="0" applyAlignment="1" applyBorder="1" applyFont="1">
      <alignment vertical="center"/>
    </xf>
    <xf borderId="18" fillId="0" fontId="5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right" shrinkToFit="0" vertical="center" wrapText="1"/>
    </xf>
    <xf borderId="23" fillId="0" fontId="2" numFmtId="4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right" shrinkToFit="0" vertical="center" wrapText="1"/>
    </xf>
    <xf borderId="18" fillId="2" fontId="5" numFmtId="0" xfId="0" applyAlignment="1" applyBorder="1" applyFont="1">
      <alignment vertical="center"/>
    </xf>
    <xf borderId="15" fillId="2" fontId="5" numFmtId="0" xfId="0" applyAlignment="1" applyBorder="1" applyFont="1">
      <alignment shrinkToFit="0" vertical="center" wrapText="1"/>
    </xf>
    <xf borderId="27" fillId="2" fontId="2" numFmtId="4" xfId="0" applyAlignment="1" applyBorder="1" applyFont="1" applyNumberFormat="1">
      <alignment vertical="center"/>
    </xf>
    <xf borderId="15" fillId="2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shrinkToFit="0" vertical="center" wrapText="1"/>
    </xf>
    <xf borderId="15" fillId="3" fontId="2" numFmtId="49" xfId="0" applyAlignment="1" applyBorder="1" applyFont="1" applyNumberFormat="1">
      <alignment readingOrder="0" vertical="center"/>
    </xf>
    <xf borderId="29" fillId="3" fontId="2" numFmtId="0" xfId="0" applyAlignment="1" applyBorder="1" applyFont="1">
      <alignment horizontal="center" shrinkToFit="0" vertical="center" wrapText="1"/>
    </xf>
    <xf borderId="15" fillId="0" fontId="2" numFmtId="49" xfId="0" applyAlignment="1" applyBorder="1" applyFont="1" applyNumberFormat="1">
      <alignment readingOrder="0" vertical="center"/>
    </xf>
    <xf borderId="7" fillId="0" fontId="2" numFmtId="4" xfId="0" applyAlignment="1" applyBorder="1" applyFont="1" applyNumberFormat="1">
      <alignment horizontal="right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27" fillId="2" fontId="5" numFmtId="0" xfId="0" applyAlignment="1" applyBorder="1" applyFont="1">
      <alignment shrinkToFit="0" vertical="center" wrapText="1"/>
    </xf>
    <xf borderId="32" fillId="2" fontId="2" numFmtId="0" xfId="0" applyAlignment="1" applyBorder="1" applyFont="1">
      <alignment horizontal="center" vertical="center"/>
    </xf>
    <xf borderId="32" fillId="2" fontId="2" numFmtId="4" xfId="0" applyAlignment="1" applyBorder="1" applyFont="1" applyNumberFormat="1">
      <alignment horizontal="right" vertical="center"/>
    </xf>
    <xf borderId="18" fillId="2" fontId="2" numFmtId="0" xfId="0" applyAlignment="1" applyBorder="1" applyFont="1">
      <alignment horizontal="right" vertical="center"/>
    </xf>
    <xf borderId="29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readingOrder="0" vertical="center"/>
    </xf>
    <xf borderId="19" fillId="2" fontId="5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right" vertical="center"/>
    </xf>
    <xf borderId="22" fillId="2" fontId="5" numFmtId="0" xfId="0" applyAlignment="1" applyBorder="1" applyFont="1">
      <alignment horizontal="center" vertical="center"/>
    </xf>
    <xf borderId="28" fillId="2" fontId="5" numFmtId="0" xfId="0" applyAlignment="1" applyBorder="1" applyFont="1">
      <alignment horizontal="left" vertical="center"/>
    </xf>
    <xf borderId="28" fillId="2" fontId="5" numFmtId="0" xfId="0" applyAlignment="1" applyBorder="1" applyFont="1">
      <alignment horizontal="left" shrinkToFit="0" vertical="center" wrapText="1"/>
    </xf>
    <xf borderId="28" fillId="2" fontId="5" numFmtId="0" xfId="0" applyAlignment="1" applyBorder="1" applyFont="1">
      <alignment horizontal="center" vertical="center"/>
    </xf>
    <xf borderId="30" fillId="2" fontId="5" numFmtId="0" xfId="0" applyAlignment="1" applyBorder="1" applyFont="1">
      <alignment horizontal="right" vertical="center"/>
    </xf>
    <xf borderId="31" fillId="2" fontId="5" numFmtId="4" xfId="0" applyAlignment="1" applyBorder="1" applyFont="1" applyNumberFormat="1">
      <alignment horizontal="right" vertical="center"/>
    </xf>
    <xf borderId="28" fillId="2" fontId="5" numFmtId="0" xfId="0" applyAlignment="1" applyBorder="1" applyFont="1">
      <alignment horizontal="center" shrinkToFit="0" vertical="center" wrapText="1"/>
    </xf>
    <xf borderId="29" fillId="2" fontId="5" numFmtId="0" xfId="0" applyAlignment="1" applyBorder="1" applyFont="1">
      <alignment vertical="center"/>
    </xf>
    <xf borderId="15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7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right" vertical="center"/>
    </xf>
    <xf borderId="31" fillId="2" fontId="2" numFmtId="0" xfId="0" applyAlignment="1" applyBorder="1" applyFont="1">
      <alignment horizontal="center" vertical="center"/>
    </xf>
    <xf borderId="31" fillId="2" fontId="2" numFmtId="4" xfId="0" applyAlignment="1" applyBorder="1" applyFont="1" applyNumberFormat="1">
      <alignment horizontal="right" vertical="center"/>
    </xf>
    <xf borderId="31" fillId="2" fontId="2" numFmtId="0" xfId="0" applyAlignment="1" applyBorder="1" applyFont="1">
      <alignment horizontal="right" vertical="center"/>
    </xf>
    <xf borderId="18" fillId="3" fontId="2" numFmtId="0" xfId="0" applyAlignment="1" applyBorder="1" applyFont="1">
      <alignment horizontal="center" readingOrder="0"/>
    </xf>
    <xf borderId="18" fillId="4" fontId="2" numFmtId="0" xfId="0" applyBorder="1" applyFill="1" applyFont="1"/>
    <xf borderId="24" fillId="4" fontId="2" numFmtId="0" xfId="0" applyBorder="1" applyFont="1"/>
    <xf borderId="33" fillId="4" fontId="5" numFmtId="0" xfId="0" applyBorder="1" applyFont="1"/>
    <xf borderId="23" fillId="4" fontId="2" numFmtId="4" xfId="0" applyBorder="1" applyFont="1" applyNumberFormat="1"/>
    <xf borderId="18" fillId="4" fontId="2" numFmtId="4" xfId="0" applyBorder="1" applyFont="1" applyNumberFormat="1"/>
    <xf borderId="18" fillId="4" fontId="2" numFmtId="0" xfId="0" applyAlignment="1" applyBorder="1" applyFont="1">
      <alignment horizontal="center"/>
    </xf>
    <xf borderId="18" fillId="5" fontId="2" numFmtId="0" xfId="0" applyBorder="1" applyFill="1" applyFont="1"/>
    <xf borderId="0" fillId="5" fontId="2" numFmtId="0" xfId="0" applyAlignment="1" applyFont="1">
      <alignment vertical="bottom"/>
    </xf>
    <xf borderId="0" fillId="5" fontId="2" numFmtId="0" xfId="0" applyAlignment="1" applyFont="1">
      <alignment vertical="center"/>
    </xf>
    <xf borderId="0" fillId="5" fontId="7" numFmtId="0" xfId="0" applyAlignment="1" applyFont="1">
      <alignment vertical="center"/>
    </xf>
    <xf borderId="34" fillId="0" fontId="2" numFmtId="0" xfId="0" applyBorder="1" applyFont="1"/>
    <xf borderId="18" fillId="0" fontId="9" numFmtId="0" xfId="0" applyBorder="1" applyFont="1"/>
    <xf borderId="18" fillId="0" fontId="2" numFmtId="0" xfId="0" applyAlignment="1" applyBorder="1" applyFont="1">
      <alignment readingOrder="0" shrinkToFit="0" vertical="bottom" wrapText="1"/>
    </xf>
    <xf borderId="18" fillId="0" fontId="2" numFmtId="4" xfId="0" applyAlignment="1" applyBorder="1" applyFont="1" applyNumberFormat="1">
      <alignment horizontal="right" readingOrder="0" shrinkToFit="0" vertical="bottom" wrapText="0"/>
    </xf>
    <xf borderId="18" fillId="0" fontId="2" numFmtId="4" xfId="0" applyAlignment="1" applyBorder="1" applyFont="1" applyNumberFormat="1">
      <alignment horizontal="center"/>
    </xf>
    <xf borderId="18" fillId="0" fontId="2" numFmtId="0" xfId="0" applyAlignment="1" applyBorder="1" applyFont="1">
      <alignment horizontal="center"/>
    </xf>
    <xf borderId="18" fillId="0" fontId="2" numFmtId="0" xfId="0" applyBorder="1" applyFont="1"/>
    <xf borderId="0" fillId="0" fontId="2" numFmtId="0" xfId="0" applyAlignment="1" applyFont="1">
      <alignment vertical="bottom"/>
    </xf>
    <xf borderId="18" fillId="0" fontId="2" numFmtId="0" xfId="0" applyAlignment="1" applyBorder="1" applyFont="1">
      <alignment horizontal="center" readingOrder="0"/>
    </xf>
    <xf borderId="34" fillId="3" fontId="2" numFmtId="0" xfId="0" applyBorder="1" applyFont="1"/>
    <xf borderId="18" fillId="3" fontId="2" numFmtId="0" xfId="0" applyAlignment="1" applyBorder="1" applyFont="1">
      <alignment horizontal="right"/>
    </xf>
    <xf borderId="18" fillId="3" fontId="2" numFmtId="0" xfId="0" applyBorder="1" applyFont="1"/>
    <xf borderId="0" fillId="3" fontId="2" numFmtId="0" xfId="0" applyAlignment="1" applyFont="1">
      <alignment vertical="bottom"/>
    </xf>
    <xf borderId="22" fillId="0" fontId="2" numFmtId="0" xfId="0" applyBorder="1" applyFont="1"/>
    <xf borderId="0" fillId="0" fontId="2" numFmtId="0" xfId="0" applyAlignment="1" applyFont="1">
      <alignment horizontal="center" vertical="center"/>
    </xf>
    <xf borderId="35" fillId="0" fontId="2" numFmtId="0" xfId="0" applyBorder="1" applyFont="1"/>
    <xf borderId="34" fillId="0" fontId="2" numFmtId="0" xfId="0" applyBorder="1" applyFont="1"/>
    <xf borderId="18" fillId="0" fontId="2" numFmtId="0" xfId="0" applyBorder="1" applyFont="1"/>
    <xf borderId="0" fillId="0" fontId="2" numFmtId="0" xfId="0" applyAlignment="1" applyFont="1">
      <alignment vertical="bottom"/>
    </xf>
    <xf borderId="35" fillId="0" fontId="2" numFmtId="0" xfId="0" applyBorder="1" applyFont="1"/>
    <xf borderId="36" fillId="0" fontId="5" numFmtId="0" xfId="0" applyAlignment="1" applyBorder="1" applyFont="1">
      <alignment shrinkToFit="0" wrapText="1"/>
    </xf>
    <xf borderId="37" fillId="0" fontId="6" numFmtId="0" xfId="0" applyBorder="1" applyFont="1"/>
    <xf borderId="23" fillId="0" fontId="6" numFmtId="0" xfId="0" applyBorder="1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Font="1"/>
    <xf borderId="0" fillId="0" fontId="2" numFmtId="0" xfId="0" applyFont="1"/>
    <xf borderId="0" fillId="0" fontId="10" numFmtId="0" xfId="0" applyAlignment="1" applyFont="1">
      <alignment shrinkToFit="0" wrapText="1"/>
    </xf>
    <xf borderId="38" fillId="0" fontId="1" numFmtId="165" xfId="0" applyAlignment="1" applyBorder="1" applyFont="1" applyNumberFormat="1">
      <alignment horizontal="right" shrinkToFit="0" wrapText="1"/>
    </xf>
    <xf borderId="38" fillId="0" fontId="6" numFmtId="0" xfId="0" applyBorder="1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11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164" xfId="0" applyFont="1" applyNumberFormat="1"/>
    <xf borderId="0" fillId="0" fontId="2" numFmtId="4" xfId="0" applyFont="1" applyNumberFormat="1"/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0.71"/>
    <col customWidth="1" min="3" max="3" width="62.29"/>
    <col customWidth="1" min="7" max="7" width="26.14"/>
    <col customWidth="1" min="8" max="8" width="17.57"/>
    <col customWidth="1" min="14" max="34" width="0.43"/>
  </cols>
  <sheetData>
    <row r="1">
      <c r="A1" s="1" t="s">
        <v>0</v>
      </c>
      <c r="AJ1" s="2"/>
      <c r="AK1" s="2"/>
      <c r="AL1" s="2"/>
      <c r="AM1" s="2"/>
    </row>
    <row r="2">
      <c r="A2" s="3" t="s">
        <v>1</v>
      </c>
      <c r="AJ2" s="2"/>
      <c r="AK2" s="2"/>
      <c r="AL2" s="2"/>
      <c r="AM2" s="2"/>
    </row>
    <row r="3" ht="10.5" customHeight="1">
      <c r="A3" s="4"/>
      <c r="AJ3" s="2"/>
      <c r="AK3" s="2"/>
      <c r="AL3" s="2"/>
      <c r="AM3" s="2"/>
    </row>
    <row r="4" ht="15.0" customHeight="1">
      <c r="A4" s="5" t="s">
        <v>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2"/>
      <c r="AK4" s="2"/>
      <c r="AL4" s="2"/>
      <c r="AM4" s="2"/>
    </row>
    <row r="5" ht="6.75" customHeight="1">
      <c r="A5" s="5"/>
      <c r="B5" s="5"/>
      <c r="C5" s="7"/>
      <c r="D5" s="5"/>
      <c r="E5" s="5"/>
      <c r="F5" s="5"/>
      <c r="G5" s="8"/>
      <c r="H5" s="5"/>
      <c r="I5" s="5"/>
      <c r="J5" s="5"/>
      <c r="K5" s="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"/>
      <c r="AK5" s="2"/>
      <c r="AL5" s="2"/>
      <c r="AM5" s="2"/>
    </row>
    <row r="6">
      <c r="A6" s="5" t="s">
        <v>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"/>
      <c r="AK6" s="2"/>
      <c r="AL6" s="2"/>
      <c r="AM6" s="2"/>
    </row>
    <row r="7" ht="6.0" customHeight="1">
      <c r="A7" s="10"/>
      <c r="B7" s="9"/>
      <c r="C7" s="11"/>
      <c r="D7" s="9"/>
      <c r="E7" s="12"/>
      <c r="F7" s="9"/>
      <c r="G7" s="13"/>
      <c r="H7" s="13"/>
      <c r="I7" s="9"/>
      <c r="J7" s="9"/>
      <c r="K7" s="13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"/>
      <c r="AK7" s="2"/>
      <c r="AL7" s="2"/>
      <c r="AM7" s="2"/>
    </row>
    <row r="8">
      <c r="A8" s="14" t="s">
        <v>4</v>
      </c>
      <c r="B8" s="15" t="s">
        <v>5</v>
      </c>
      <c r="C8" s="15" t="s">
        <v>6</v>
      </c>
      <c r="D8" s="16" t="s">
        <v>7</v>
      </c>
      <c r="E8" s="17" t="s">
        <v>8</v>
      </c>
      <c r="F8" s="18" t="s">
        <v>9</v>
      </c>
      <c r="G8" s="15" t="s">
        <v>10</v>
      </c>
      <c r="H8" s="15" t="s">
        <v>11</v>
      </c>
      <c r="I8" s="19" t="s">
        <v>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4"/>
      <c r="AK8" s="4"/>
      <c r="AL8" s="4"/>
      <c r="AM8" s="4"/>
    </row>
    <row r="9" ht="43.5" customHeight="1">
      <c r="A9" s="22"/>
      <c r="B9" s="23"/>
      <c r="C9" s="23"/>
      <c r="D9" s="24" t="s">
        <v>13</v>
      </c>
      <c r="E9" s="23"/>
      <c r="F9" s="23"/>
      <c r="G9" s="23"/>
      <c r="H9" s="23"/>
      <c r="I9" s="25" t="s">
        <v>14</v>
      </c>
      <c r="J9" s="25" t="s">
        <v>15</v>
      </c>
      <c r="K9" s="25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4" t="s">
        <v>26</v>
      </c>
      <c r="V9" s="24" t="s">
        <v>27</v>
      </c>
      <c r="W9" s="24" t="s">
        <v>28</v>
      </c>
      <c r="X9" s="24" t="s">
        <v>29</v>
      </c>
      <c r="Y9" s="24" t="s">
        <v>30</v>
      </c>
      <c r="Z9" s="24" t="s">
        <v>31</v>
      </c>
      <c r="AA9" s="24" t="s">
        <v>32</v>
      </c>
      <c r="AB9" s="24" t="s">
        <v>33</v>
      </c>
      <c r="AC9" s="24" t="s">
        <v>34</v>
      </c>
      <c r="AD9" s="24" t="s">
        <v>35</v>
      </c>
      <c r="AE9" s="24" t="s">
        <v>36</v>
      </c>
      <c r="AF9" s="24" t="s">
        <v>37</v>
      </c>
      <c r="AG9" s="24" t="s">
        <v>38</v>
      </c>
      <c r="AH9" s="24" t="s">
        <v>39</v>
      </c>
      <c r="AI9" s="26" t="s">
        <v>40</v>
      </c>
      <c r="AJ9" s="4"/>
      <c r="AK9" s="4"/>
      <c r="AL9" s="4"/>
      <c r="AM9" s="4"/>
    </row>
    <row r="10" ht="36.0" customHeight="1">
      <c r="A10" s="27" t="s">
        <v>41</v>
      </c>
      <c r="B10" s="28" t="s">
        <v>42</v>
      </c>
      <c r="C10" s="28" t="s">
        <v>43</v>
      </c>
      <c r="D10" s="28" t="s">
        <v>44</v>
      </c>
      <c r="E10" s="28" t="s">
        <v>45</v>
      </c>
      <c r="F10" s="28" t="s">
        <v>46</v>
      </c>
      <c r="G10" s="28" t="s">
        <v>47</v>
      </c>
      <c r="H10" s="28" t="s">
        <v>48</v>
      </c>
      <c r="I10" s="28" t="s">
        <v>49</v>
      </c>
      <c r="J10" s="28" t="s">
        <v>50</v>
      </c>
      <c r="K10" s="28" t="s">
        <v>51</v>
      </c>
      <c r="L10" s="28" t="s">
        <v>52</v>
      </c>
      <c r="M10" s="28" t="s">
        <v>53</v>
      </c>
      <c r="N10" s="28" t="s">
        <v>54</v>
      </c>
      <c r="O10" s="28" t="s">
        <v>55</v>
      </c>
      <c r="P10" s="28" t="s">
        <v>56</v>
      </c>
      <c r="Q10" s="28" t="s">
        <v>57</v>
      </c>
      <c r="R10" s="28" t="s">
        <v>58</v>
      </c>
      <c r="S10" s="28" t="s">
        <v>59</v>
      </c>
      <c r="T10" s="28" t="s">
        <v>60</v>
      </c>
      <c r="U10" s="28" t="s">
        <v>61</v>
      </c>
      <c r="V10" s="28" t="s">
        <v>62</v>
      </c>
      <c r="W10" s="28" t="s">
        <v>63</v>
      </c>
      <c r="X10" s="28" t="s">
        <v>64</v>
      </c>
      <c r="Y10" s="28" t="s">
        <v>65</v>
      </c>
      <c r="Z10" s="28" t="s">
        <v>66</v>
      </c>
      <c r="AA10" s="28" t="s">
        <v>67</v>
      </c>
      <c r="AB10" s="28" t="s">
        <v>68</v>
      </c>
      <c r="AC10" s="28" t="s">
        <v>69</v>
      </c>
      <c r="AD10" s="28" t="s">
        <v>70</v>
      </c>
      <c r="AE10" s="28" t="s">
        <v>71</v>
      </c>
      <c r="AF10" s="28" t="s">
        <v>72</v>
      </c>
      <c r="AG10" s="28" t="s">
        <v>73</v>
      </c>
      <c r="AH10" s="28" t="s">
        <v>74</v>
      </c>
      <c r="AI10" s="29" t="s">
        <v>75</v>
      </c>
      <c r="AJ10" s="2"/>
      <c r="AK10" s="2"/>
      <c r="AL10" s="2"/>
      <c r="AM10" s="2"/>
    </row>
    <row r="11">
      <c r="A11" s="30" t="s">
        <v>76</v>
      </c>
      <c r="B11" s="31"/>
      <c r="C11" s="32" t="s">
        <v>77</v>
      </c>
      <c r="D11" s="33"/>
      <c r="E11" s="34"/>
      <c r="F11" s="33"/>
      <c r="G11" s="3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6"/>
      <c r="AJ11" s="2"/>
      <c r="AK11" s="2"/>
      <c r="AL11" s="2"/>
      <c r="AM11" s="2"/>
    </row>
    <row r="12">
      <c r="A12" s="37"/>
      <c r="B12" s="38" t="s">
        <v>78</v>
      </c>
      <c r="C12" s="39" t="s">
        <v>79</v>
      </c>
      <c r="D12" s="40" t="s">
        <v>80</v>
      </c>
      <c r="E12" s="41">
        <v>150.0</v>
      </c>
      <c r="F12" s="42">
        <f>(E12*20)+(E13*20)+(E14*50)+(E15*50)+(E16*20)+(E17*50)+(E18*20)+(E19*20)+(E19*20)+(E20*5)+(E21*20)+(E22*20)+(E23*20)+(E24*50)+(E25+20)+(E26*10)+(E27*5)</f>
        <v>97670</v>
      </c>
      <c r="G12" s="40" t="s">
        <v>81</v>
      </c>
      <c r="H12" s="43" t="s">
        <v>82</v>
      </c>
      <c r="I12" s="44"/>
      <c r="J12" s="45"/>
      <c r="K12" s="44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6"/>
      <c r="AK12" s="46"/>
      <c r="AL12" s="46"/>
      <c r="AM12" s="46"/>
    </row>
    <row r="13">
      <c r="A13" s="37"/>
      <c r="B13" s="38" t="s">
        <v>83</v>
      </c>
      <c r="C13" s="39" t="s">
        <v>84</v>
      </c>
      <c r="D13" s="47"/>
      <c r="E13" s="48">
        <v>200.0</v>
      </c>
      <c r="F13" s="47"/>
      <c r="G13" s="47"/>
      <c r="H13" s="49"/>
      <c r="I13" s="44"/>
      <c r="J13" s="45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6"/>
      <c r="AK13" s="46"/>
      <c r="AL13" s="46"/>
      <c r="AM13" s="46"/>
    </row>
    <row r="14">
      <c r="A14" s="37"/>
      <c r="B14" s="38"/>
      <c r="C14" s="39" t="s">
        <v>85</v>
      </c>
      <c r="D14" s="47"/>
      <c r="E14" s="41">
        <v>300.0</v>
      </c>
      <c r="F14" s="47"/>
      <c r="G14" s="47"/>
      <c r="H14" s="49"/>
      <c r="I14" s="44"/>
      <c r="J14" s="45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6"/>
      <c r="AK14" s="46"/>
      <c r="AL14" s="46"/>
      <c r="AM14" s="46"/>
    </row>
    <row r="15">
      <c r="A15" s="37"/>
      <c r="B15" s="38" t="s">
        <v>86</v>
      </c>
      <c r="C15" s="39" t="s">
        <v>87</v>
      </c>
      <c r="D15" s="47"/>
      <c r="E15" s="48">
        <v>250.0</v>
      </c>
      <c r="F15" s="47"/>
      <c r="G15" s="47"/>
      <c r="H15" s="49"/>
      <c r="I15" s="44"/>
      <c r="J15" s="45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6"/>
      <c r="AK15" s="46"/>
      <c r="AL15" s="46"/>
      <c r="AM15" s="46"/>
    </row>
    <row r="16">
      <c r="A16" s="37"/>
      <c r="B16" s="38" t="s">
        <v>88</v>
      </c>
      <c r="C16" s="39" t="s">
        <v>89</v>
      </c>
      <c r="D16" s="47"/>
      <c r="E16" s="48">
        <v>150.0</v>
      </c>
      <c r="F16" s="47"/>
      <c r="G16" s="47"/>
      <c r="H16" s="49"/>
      <c r="I16" s="44"/>
      <c r="J16" s="45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6"/>
      <c r="AK16" s="46"/>
      <c r="AL16" s="46"/>
      <c r="AM16" s="46"/>
    </row>
    <row r="17">
      <c r="A17" s="37"/>
      <c r="B17" s="38"/>
      <c r="C17" s="39" t="s">
        <v>90</v>
      </c>
      <c r="D17" s="47"/>
      <c r="E17" s="48">
        <v>300.0</v>
      </c>
      <c r="F17" s="47"/>
      <c r="G17" s="47"/>
      <c r="H17" s="49"/>
      <c r="I17" s="44"/>
      <c r="J17" s="45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6"/>
      <c r="AK17" s="46"/>
      <c r="AL17" s="46"/>
      <c r="AM17" s="46"/>
    </row>
    <row r="18">
      <c r="A18" s="37"/>
      <c r="B18" s="38"/>
      <c r="C18" s="39" t="s">
        <v>91</v>
      </c>
      <c r="D18" s="47"/>
      <c r="E18" s="41">
        <v>100.0</v>
      </c>
      <c r="F18" s="47"/>
      <c r="G18" s="47"/>
      <c r="H18" s="49"/>
      <c r="I18" s="44"/>
      <c r="J18" s="45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6"/>
      <c r="AM18" s="46"/>
    </row>
    <row r="19">
      <c r="A19" s="37"/>
      <c r="B19" s="38"/>
      <c r="C19" s="39" t="s">
        <v>92</v>
      </c>
      <c r="D19" s="47"/>
      <c r="E19" s="41">
        <v>15.0</v>
      </c>
      <c r="F19" s="47"/>
      <c r="G19" s="47"/>
      <c r="H19" s="49"/>
      <c r="I19" s="44"/>
      <c r="J19" s="45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6"/>
      <c r="AK19" s="46"/>
      <c r="AL19" s="46"/>
      <c r="AM19" s="46"/>
    </row>
    <row r="20">
      <c r="A20" s="37"/>
      <c r="B20" s="38" t="s">
        <v>93</v>
      </c>
      <c r="C20" s="50" t="s">
        <v>94</v>
      </c>
      <c r="D20" s="47"/>
      <c r="E20" s="48">
        <v>150.0</v>
      </c>
      <c r="F20" s="47"/>
      <c r="G20" s="47"/>
      <c r="H20" s="49"/>
      <c r="I20" s="44"/>
      <c r="J20" s="45"/>
      <c r="K20" s="4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51"/>
      <c r="AK20" s="51"/>
      <c r="AL20" s="51"/>
      <c r="AM20" s="51"/>
    </row>
    <row r="21">
      <c r="A21" s="37"/>
      <c r="B21" s="38" t="s">
        <v>95</v>
      </c>
      <c r="C21" s="50" t="s">
        <v>96</v>
      </c>
      <c r="D21" s="47"/>
      <c r="E21" s="48">
        <v>50.0</v>
      </c>
      <c r="F21" s="47"/>
      <c r="G21" s="47"/>
      <c r="H21" s="49"/>
      <c r="I21" s="38"/>
      <c r="J21" s="52"/>
      <c r="K21" s="38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45"/>
      <c r="AC21" s="45"/>
      <c r="AD21" s="45"/>
      <c r="AE21" s="45"/>
      <c r="AF21" s="45"/>
      <c r="AG21" s="45"/>
      <c r="AH21" s="45"/>
      <c r="AI21" s="45"/>
      <c r="AJ21" s="46"/>
      <c r="AK21" s="46"/>
      <c r="AL21" s="46"/>
      <c r="AM21" s="46"/>
    </row>
    <row r="22">
      <c r="A22" s="37"/>
      <c r="B22" s="38"/>
      <c r="C22" s="39" t="s">
        <v>97</v>
      </c>
      <c r="D22" s="47"/>
      <c r="E22" s="48">
        <v>500.0</v>
      </c>
      <c r="F22" s="47"/>
      <c r="G22" s="47"/>
      <c r="H22" s="49"/>
      <c r="I22" s="38"/>
      <c r="J22" s="52"/>
      <c r="K22" s="38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45"/>
      <c r="AC22" s="45"/>
      <c r="AD22" s="45"/>
      <c r="AE22" s="45"/>
      <c r="AF22" s="45"/>
      <c r="AG22" s="45"/>
      <c r="AH22" s="45"/>
      <c r="AI22" s="45"/>
      <c r="AJ22" s="46"/>
      <c r="AK22" s="46"/>
      <c r="AL22" s="46"/>
      <c r="AM22" s="46"/>
    </row>
    <row r="23">
      <c r="A23" s="37"/>
      <c r="B23" s="38"/>
      <c r="C23" s="39" t="s">
        <v>98</v>
      </c>
      <c r="D23" s="47"/>
      <c r="E23" s="48">
        <v>500.0</v>
      </c>
      <c r="F23" s="47"/>
      <c r="G23" s="47"/>
      <c r="H23" s="49"/>
      <c r="I23" s="38"/>
      <c r="J23" s="52"/>
      <c r="K23" s="38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45"/>
      <c r="AC23" s="45"/>
      <c r="AD23" s="45"/>
      <c r="AE23" s="45"/>
      <c r="AF23" s="45"/>
      <c r="AG23" s="45"/>
      <c r="AH23" s="45"/>
      <c r="AI23" s="45"/>
      <c r="AJ23" s="46"/>
      <c r="AK23" s="46"/>
      <c r="AL23" s="46"/>
      <c r="AM23" s="46"/>
    </row>
    <row r="24">
      <c r="A24" s="37"/>
      <c r="B24" s="38" t="s">
        <v>99</v>
      </c>
      <c r="C24" s="50" t="s">
        <v>100</v>
      </c>
      <c r="D24" s="47"/>
      <c r="E24" s="48">
        <v>250.0</v>
      </c>
      <c r="F24" s="47"/>
      <c r="G24" s="47"/>
      <c r="H24" s="49"/>
      <c r="I24" s="38"/>
      <c r="J24" s="38"/>
      <c r="K24" s="38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45"/>
      <c r="AC24" s="45"/>
      <c r="AD24" s="45"/>
      <c r="AE24" s="45"/>
      <c r="AF24" s="45"/>
      <c r="AG24" s="45"/>
      <c r="AH24" s="45"/>
      <c r="AI24" s="45"/>
      <c r="AJ24" s="46"/>
      <c r="AK24" s="46"/>
      <c r="AL24" s="46"/>
      <c r="AM24" s="46"/>
    </row>
    <row r="25">
      <c r="A25" s="37"/>
      <c r="B25" s="38" t="s">
        <v>101</v>
      </c>
      <c r="C25" s="39" t="s">
        <v>102</v>
      </c>
      <c r="D25" s="47"/>
      <c r="E25" s="48">
        <v>300.0</v>
      </c>
      <c r="F25" s="47"/>
      <c r="G25" s="47"/>
      <c r="H25" s="49"/>
      <c r="I25" s="38"/>
      <c r="J25" s="52"/>
      <c r="K25" s="38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3"/>
      <c r="AC25" s="53"/>
      <c r="AD25" s="53"/>
      <c r="AE25" s="53"/>
      <c r="AF25" s="53"/>
      <c r="AG25" s="53"/>
      <c r="AH25" s="53"/>
      <c r="AI25" s="53"/>
      <c r="AJ25" s="46"/>
      <c r="AK25" s="46"/>
      <c r="AL25" s="46"/>
      <c r="AM25" s="46"/>
    </row>
    <row r="26">
      <c r="A26" s="37"/>
      <c r="B26" s="38"/>
      <c r="C26" s="54" t="s">
        <v>103</v>
      </c>
      <c r="D26" s="47"/>
      <c r="E26" s="55">
        <v>700.0</v>
      </c>
      <c r="F26" s="47"/>
      <c r="G26" s="47"/>
      <c r="H26" s="49"/>
      <c r="I26" s="38"/>
      <c r="J26" s="52"/>
      <c r="K26" s="38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3"/>
      <c r="AC26" s="53"/>
      <c r="AD26" s="53"/>
      <c r="AE26" s="53"/>
      <c r="AF26" s="53"/>
      <c r="AG26" s="53"/>
      <c r="AH26" s="53"/>
      <c r="AI26" s="53"/>
      <c r="AJ26" s="46"/>
      <c r="AK26" s="46"/>
      <c r="AL26" s="46"/>
      <c r="AM26" s="46"/>
    </row>
    <row r="27">
      <c r="A27" s="37"/>
      <c r="B27" s="38"/>
      <c r="C27" s="56" t="s">
        <v>104</v>
      </c>
      <c r="D27" s="57"/>
      <c r="E27" s="58">
        <v>200.0</v>
      </c>
      <c r="F27" s="57"/>
      <c r="G27" s="57"/>
      <c r="H27" s="23"/>
      <c r="I27" s="38"/>
      <c r="J27" s="52"/>
      <c r="K27" s="38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3"/>
      <c r="AC27" s="53"/>
      <c r="AD27" s="53"/>
      <c r="AE27" s="53"/>
      <c r="AF27" s="53"/>
      <c r="AG27" s="53"/>
      <c r="AH27" s="53"/>
      <c r="AI27" s="53"/>
      <c r="AJ27" s="46"/>
      <c r="AK27" s="46"/>
      <c r="AL27" s="46"/>
      <c r="AM27" s="46"/>
    </row>
    <row r="28">
      <c r="A28" s="37"/>
      <c r="B28" s="38"/>
      <c r="C28" s="59" t="s">
        <v>105</v>
      </c>
      <c r="D28" s="40" t="s">
        <v>80</v>
      </c>
      <c r="E28" s="41">
        <v>200.0</v>
      </c>
      <c r="F28" s="42">
        <f>(E28*5)+(E29*3)+(E30*3)+(E31*3)+(E32*15)+(E33*10)+(E34*10)+(E35*10)</f>
        <v>247300</v>
      </c>
      <c r="G28" s="40" t="s">
        <v>81</v>
      </c>
      <c r="H28" s="60" t="s">
        <v>106</v>
      </c>
      <c r="I28" s="38"/>
      <c r="J28" s="52"/>
      <c r="K28" s="38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45"/>
      <c r="AC28" s="45"/>
      <c r="AD28" s="45"/>
      <c r="AE28" s="45"/>
      <c r="AF28" s="45"/>
      <c r="AG28" s="45"/>
      <c r="AH28" s="45"/>
      <c r="AI28" s="45"/>
      <c r="AJ28" s="51"/>
      <c r="AK28" s="51"/>
      <c r="AL28" s="51"/>
      <c r="AM28" s="51"/>
    </row>
    <row r="29">
      <c r="A29" s="37"/>
      <c r="B29" s="38"/>
      <c r="C29" s="59" t="s">
        <v>107</v>
      </c>
      <c r="D29" s="47"/>
      <c r="E29" s="41">
        <v>200.0</v>
      </c>
      <c r="F29" s="47"/>
      <c r="G29" s="47"/>
      <c r="H29" s="47"/>
      <c r="I29" s="38"/>
      <c r="J29" s="52"/>
      <c r="K29" s="38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45"/>
      <c r="AC29" s="45"/>
      <c r="AD29" s="45"/>
      <c r="AE29" s="45"/>
      <c r="AF29" s="45"/>
      <c r="AG29" s="45"/>
      <c r="AH29" s="45"/>
      <c r="AI29" s="45"/>
      <c r="AJ29" s="51"/>
      <c r="AK29" s="51"/>
      <c r="AL29" s="51"/>
      <c r="AM29" s="51"/>
    </row>
    <row r="30">
      <c r="A30" s="37"/>
      <c r="B30" s="38"/>
      <c r="C30" s="59" t="s">
        <v>108</v>
      </c>
      <c r="D30" s="47"/>
      <c r="E30" s="41">
        <v>200.0</v>
      </c>
      <c r="F30" s="47"/>
      <c r="G30" s="47"/>
      <c r="H30" s="47"/>
      <c r="I30" s="38"/>
      <c r="J30" s="52"/>
      <c r="K30" s="38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45"/>
      <c r="AC30" s="45"/>
      <c r="AD30" s="45"/>
      <c r="AE30" s="45"/>
      <c r="AF30" s="45"/>
      <c r="AG30" s="45"/>
      <c r="AH30" s="45"/>
      <c r="AI30" s="45"/>
      <c r="AJ30" s="51"/>
      <c r="AK30" s="51"/>
      <c r="AL30" s="51"/>
      <c r="AM30" s="51"/>
    </row>
    <row r="31">
      <c r="A31" s="37"/>
      <c r="B31" s="38"/>
      <c r="C31" s="59" t="s">
        <v>109</v>
      </c>
      <c r="D31" s="47"/>
      <c r="E31" s="41">
        <v>200.0</v>
      </c>
      <c r="F31" s="47"/>
      <c r="G31" s="47"/>
      <c r="H31" s="47"/>
      <c r="I31" s="38"/>
      <c r="J31" s="52"/>
      <c r="K31" s="38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45"/>
      <c r="AC31" s="45"/>
      <c r="AD31" s="45"/>
      <c r="AE31" s="45"/>
      <c r="AF31" s="45"/>
      <c r="AG31" s="45"/>
      <c r="AH31" s="45"/>
      <c r="AI31" s="45"/>
      <c r="AJ31" s="51"/>
      <c r="AK31" s="51"/>
      <c r="AL31" s="51"/>
      <c r="AM31" s="51"/>
    </row>
    <row r="32">
      <c r="A32" s="37"/>
      <c r="B32" s="38"/>
      <c r="C32" s="39" t="s">
        <v>110</v>
      </c>
      <c r="D32" s="47"/>
      <c r="E32" s="41">
        <v>5300.0</v>
      </c>
      <c r="F32" s="47"/>
      <c r="G32" s="47"/>
      <c r="H32" s="47"/>
      <c r="I32" s="38"/>
      <c r="J32" s="52"/>
      <c r="K32" s="38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45"/>
      <c r="AC32" s="45"/>
      <c r="AD32" s="45"/>
      <c r="AE32" s="45"/>
      <c r="AF32" s="45"/>
      <c r="AG32" s="45"/>
      <c r="AH32" s="45"/>
      <c r="AI32" s="45"/>
      <c r="AJ32" s="46"/>
      <c r="AK32" s="46"/>
      <c r="AL32" s="46"/>
      <c r="AM32" s="46"/>
    </row>
    <row r="33">
      <c r="A33" s="37"/>
      <c r="B33" s="38"/>
      <c r="C33" s="39" t="s">
        <v>111</v>
      </c>
      <c r="D33" s="47"/>
      <c r="E33" s="41">
        <v>5500.0</v>
      </c>
      <c r="F33" s="47"/>
      <c r="G33" s="47"/>
      <c r="H33" s="47"/>
      <c r="I33" s="52"/>
      <c r="J33" s="52"/>
      <c r="K33" s="38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45"/>
      <c r="AC33" s="45"/>
      <c r="AD33" s="45"/>
      <c r="AE33" s="45"/>
      <c r="AF33" s="45"/>
      <c r="AG33" s="45"/>
      <c r="AH33" s="45"/>
      <c r="AI33" s="45"/>
      <c r="AJ33" s="46"/>
      <c r="AK33" s="46"/>
      <c r="AL33" s="46"/>
      <c r="AM33" s="46"/>
    </row>
    <row r="34">
      <c r="A34" s="37"/>
      <c r="B34" s="38"/>
      <c r="C34" s="39" t="s">
        <v>112</v>
      </c>
      <c r="D34" s="47"/>
      <c r="E34" s="41">
        <v>5500.0</v>
      </c>
      <c r="F34" s="47"/>
      <c r="G34" s="47"/>
      <c r="H34" s="47"/>
      <c r="I34" s="38"/>
      <c r="J34" s="52"/>
      <c r="K34" s="38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45"/>
      <c r="AC34" s="45"/>
      <c r="AD34" s="45"/>
      <c r="AE34" s="45"/>
      <c r="AF34" s="45"/>
      <c r="AG34" s="45"/>
      <c r="AH34" s="45"/>
      <c r="AI34" s="45"/>
      <c r="AJ34" s="46"/>
      <c r="AK34" s="46"/>
      <c r="AL34" s="46"/>
      <c r="AM34" s="46"/>
    </row>
    <row r="35">
      <c r="A35" s="37"/>
      <c r="B35" s="38"/>
      <c r="C35" s="39" t="s">
        <v>113</v>
      </c>
      <c r="D35" s="57"/>
      <c r="E35" s="41">
        <v>5500.0</v>
      </c>
      <c r="F35" s="57"/>
      <c r="G35" s="57"/>
      <c r="H35" s="57"/>
      <c r="I35" s="38"/>
      <c r="J35" s="52"/>
      <c r="K35" s="38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45"/>
      <c r="AC35" s="45"/>
      <c r="AD35" s="45"/>
      <c r="AE35" s="45"/>
      <c r="AF35" s="45"/>
      <c r="AG35" s="45"/>
      <c r="AH35" s="45"/>
      <c r="AI35" s="45"/>
      <c r="AJ35" s="46"/>
      <c r="AK35" s="46"/>
      <c r="AL35" s="46"/>
      <c r="AM35" s="46"/>
    </row>
    <row r="36">
      <c r="A36" s="61" t="s">
        <v>114</v>
      </c>
      <c r="B36" s="62"/>
      <c r="C36" s="32" t="s">
        <v>115</v>
      </c>
      <c r="D36" s="36"/>
      <c r="E36" s="63"/>
      <c r="F36" s="63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2"/>
      <c r="AK36" s="2"/>
      <c r="AL36" s="2"/>
      <c r="AM36" s="2"/>
    </row>
    <row r="37">
      <c r="A37" s="64"/>
      <c r="B37" s="38" t="s">
        <v>116</v>
      </c>
      <c r="C37" s="65" t="s">
        <v>117</v>
      </c>
      <c r="D37" s="66">
        <v>40.0</v>
      </c>
      <c r="E37" s="67">
        <v>600.0</v>
      </c>
      <c r="F37" s="68">
        <v>24000.0</v>
      </c>
      <c r="G37" s="66" t="s">
        <v>81</v>
      </c>
      <c r="H37" s="69" t="s">
        <v>82</v>
      </c>
      <c r="I37" s="44"/>
      <c r="J37" s="44"/>
      <c r="K37" s="44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51"/>
      <c r="AK37" s="51"/>
      <c r="AL37" s="51"/>
      <c r="AM37" s="51"/>
    </row>
    <row r="38">
      <c r="A38" s="71"/>
      <c r="B38" s="38" t="s">
        <v>118</v>
      </c>
      <c r="C38" s="72" t="s">
        <v>119</v>
      </c>
      <c r="D38" s="73" t="s">
        <v>80</v>
      </c>
      <c r="E38" s="48">
        <v>300.0</v>
      </c>
      <c r="F38" s="42">
        <v>18000.0</v>
      </c>
      <c r="G38" s="73" t="s">
        <v>81</v>
      </c>
      <c r="H38" s="43" t="s">
        <v>82</v>
      </c>
      <c r="I38" s="44"/>
      <c r="J38" s="45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51"/>
      <c r="AK38" s="51"/>
      <c r="AL38" s="51"/>
      <c r="AM38" s="51"/>
    </row>
    <row r="39">
      <c r="A39" s="71"/>
      <c r="B39" s="38" t="s">
        <v>120</v>
      </c>
      <c r="C39" s="72" t="s">
        <v>121</v>
      </c>
      <c r="D39" s="47"/>
      <c r="E39" s="48">
        <v>500.0</v>
      </c>
      <c r="F39" s="47"/>
      <c r="G39" s="47"/>
      <c r="H39" s="49"/>
      <c r="I39" s="44"/>
      <c r="J39" s="45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51"/>
      <c r="AK39" s="51"/>
      <c r="AL39" s="51"/>
      <c r="AM39" s="51"/>
    </row>
    <row r="40">
      <c r="A40" s="71"/>
      <c r="B40" s="38" t="s">
        <v>122</v>
      </c>
      <c r="C40" s="72" t="s">
        <v>123</v>
      </c>
      <c r="D40" s="47"/>
      <c r="E40" s="48">
        <v>100.0</v>
      </c>
      <c r="F40" s="47"/>
      <c r="G40" s="47"/>
      <c r="H40" s="49"/>
      <c r="I40" s="44"/>
      <c r="J40" s="45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51"/>
      <c r="AK40" s="51"/>
      <c r="AL40" s="51"/>
      <c r="AM40" s="51"/>
    </row>
    <row r="41">
      <c r="A41" s="71"/>
      <c r="B41" s="38" t="s">
        <v>124</v>
      </c>
      <c r="C41" s="72" t="s">
        <v>125</v>
      </c>
      <c r="D41" s="47"/>
      <c r="E41" s="48">
        <v>80.0</v>
      </c>
      <c r="F41" s="47"/>
      <c r="G41" s="47"/>
      <c r="H41" s="49"/>
      <c r="I41" s="44"/>
      <c r="J41" s="45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51"/>
      <c r="AK41" s="51"/>
      <c r="AL41" s="51"/>
      <c r="AM41" s="51"/>
    </row>
    <row r="42">
      <c r="A42" s="37"/>
      <c r="B42" s="38" t="s">
        <v>126</v>
      </c>
      <c r="C42" s="74" t="s">
        <v>127</v>
      </c>
      <c r="D42" s="57"/>
      <c r="E42" s="48">
        <v>100.0</v>
      </c>
      <c r="F42" s="57"/>
      <c r="G42" s="57"/>
      <c r="H42" s="23"/>
      <c r="I42" s="38"/>
      <c r="J42" s="52"/>
      <c r="K42" s="38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1"/>
      <c r="AK42" s="51"/>
      <c r="AL42" s="51"/>
      <c r="AM42" s="51"/>
    </row>
    <row r="43">
      <c r="A43" s="71"/>
      <c r="B43" s="38" t="s">
        <v>128</v>
      </c>
      <c r="C43" s="72" t="s">
        <v>129</v>
      </c>
      <c r="D43" s="66" t="s">
        <v>80</v>
      </c>
      <c r="E43" s="67">
        <v>75.0</v>
      </c>
      <c r="F43" s="68">
        <v>7000.0</v>
      </c>
      <c r="G43" s="66" t="s">
        <v>81</v>
      </c>
      <c r="H43" s="43" t="s">
        <v>82</v>
      </c>
      <c r="I43" s="44"/>
      <c r="J43" s="45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75"/>
      <c r="AK43" s="75"/>
      <c r="AL43" s="75"/>
      <c r="AM43" s="75"/>
    </row>
    <row r="44">
      <c r="A44" s="71"/>
      <c r="B44" s="38" t="s">
        <v>130</v>
      </c>
      <c r="C44" s="72" t="s">
        <v>131</v>
      </c>
      <c r="D44" s="23"/>
      <c r="E44" s="67">
        <v>65.0</v>
      </c>
      <c r="F44" s="23"/>
      <c r="G44" s="23"/>
      <c r="H44" s="23"/>
      <c r="I44" s="44"/>
      <c r="J44" s="45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75"/>
      <c r="AK44" s="75"/>
      <c r="AL44" s="75"/>
      <c r="AM44" s="75"/>
    </row>
    <row r="45">
      <c r="A45" s="71"/>
      <c r="B45" s="38"/>
      <c r="C45" s="76" t="s">
        <v>132</v>
      </c>
      <c r="D45" s="77" t="s">
        <v>80</v>
      </c>
      <c r="E45" s="78">
        <v>25.0</v>
      </c>
      <c r="F45" s="68">
        <f>(E45*25)+(E46*25)+(E47*1)+(E48*2)+(E49*2)+(E50*2)+(E51*2)+(E52*1)+(E53*2)+(E54*2)+(E55*1)+(E56*3)+(E57*3)</f>
        <v>18030</v>
      </c>
      <c r="G45" s="79" t="s">
        <v>81</v>
      </c>
      <c r="H45" s="43" t="s">
        <v>106</v>
      </c>
      <c r="I45" s="44"/>
      <c r="J45" s="45"/>
      <c r="K45" s="44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51"/>
      <c r="AK45" s="51"/>
      <c r="AL45" s="51"/>
      <c r="AM45" s="51"/>
    </row>
    <row r="46">
      <c r="A46" s="37"/>
      <c r="B46" s="38"/>
      <c r="C46" s="76" t="s">
        <v>133</v>
      </c>
      <c r="D46" s="49"/>
      <c r="E46" s="41">
        <v>25.0</v>
      </c>
      <c r="F46" s="49"/>
      <c r="G46" s="47"/>
      <c r="H46" s="49"/>
      <c r="I46" s="38"/>
      <c r="J46" s="52"/>
      <c r="K46" s="38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1"/>
      <c r="AK46" s="51"/>
      <c r="AL46" s="51"/>
      <c r="AM46" s="51"/>
    </row>
    <row r="47">
      <c r="A47" s="71"/>
      <c r="B47" s="38"/>
      <c r="C47" s="76" t="s">
        <v>134</v>
      </c>
      <c r="D47" s="49"/>
      <c r="E47" s="78">
        <v>2500.0</v>
      </c>
      <c r="F47" s="49"/>
      <c r="G47" s="47"/>
      <c r="H47" s="49"/>
      <c r="I47" s="44"/>
      <c r="J47" s="45"/>
      <c r="K47" s="44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51"/>
      <c r="AK47" s="51"/>
      <c r="AL47" s="51"/>
      <c r="AM47" s="51"/>
    </row>
    <row r="48" ht="15.0" customHeight="1">
      <c r="A48" s="71"/>
      <c r="B48" s="38"/>
      <c r="C48" s="76" t="s">
        <v>135</v>
      </c>
      <c r="D48" s="49"/>
      <c r="E48" s="80">
        <v>300.0</v>
      </c>
      <c r="F48" s="49"/>
      <c r="G48" s="47"/>
      <c r="H48" s="49"/>
      <c r="I48" s="81"/>
      <c r="J48" s="45"/>
      <c r="K48" s="81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51"/>
      <c r="AK48" s="51"/>
      <c r="AL48" s="51"/>
      <c r="AM48" s="51"/>
    </row>
    <row r="49">
      <c r="A49" s="82"/>
      <c r="B49" s="38"/>
      <c r="C49" s="76" t="s">
        <v>136</v>
      </c>
      <c r="D49" s="49"/>
      <c r="E49" s="78">
        <v>250.0</v>
      </c>
      <c r="F49" s="49"/>
      <c r="G49" s="47"/>
      <c r="H49" s="49"/>
      <c r="I49" s="44"/>
      <c r="J49" s="45"/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51"/>
      <c r="AK49" s="51"/>
      <c r="AL49" s="51"/>
      <c r="AM49" s="51"/>
    </row>
    <row r="50">
      <c r="A50" s="83"/>
      <c r="B50" s="38"/>
      <c r="C50" s="76" t="s">
        <v>137</v>
      </c>
      <c r="D50" s="49"/>
      <c r="E50" s="78">
        <v>250.0</v>
      </c>
      <c r="F50" s="49"/>
      <c r="G50" s="47"/>
      <c r="H50" s="49"/>
      <c r="I50" s="44"/>
      <c r="J50" s="45"/>
      <c r="K50" s="44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51"/>
      <c r="AK50" s="51"/>
      <c r="AL50" s="51"/>
      <c r="AM50" s="51"/>
    </row>
    <row r="51">
      <c r="A51" s="83"/>
      <c r="B51" s="38"/>
      <c r="C51" s="76" t="s">
        <v>138</v>
      </c>
      <c r="D51" s="49"/>
      <c r="E51" s="78">
        <v>250.0</v>
      </c>
      <c r="F51" s="49"/>
      <c r="G51" s="47"/>
      <c r="H51" s="49"/>
      <c r="I51" s="44"/>
      <c r="J51" s="45"/>
      <c r="K51" s="44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51"/>
      <c r="AK51" s="51"/>
      <c r="AL51" s="51"/>
      <c r="AM51" s="51"/>
    </row>
    <row r="52">
      <c r="A52" s="83"/>
      <c r="B52" s="38"/>
      <c r="C52" s="76" t="s">
        <v>139</v>
      </c>
      <c r="D52" s="49"/>
      <c r="E52" s="78">
        <v>1200.0</v>
      </c>
      <c r="F52" s="49"/>
      <c r="G52" s="47"/>
      <c r="H52" s="49"/>
      <c r="I52" s="44"/>
      <c r="J52" s="45"/>
      <c r="K52" s="44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51"/>
      <c r="AK52" s="51"/>
      <c r="AL52" s="51"/>
      <c r="AM52" s="51"/>
    </row>
    <row r="53">
      <c r="A53" s="83"/>
      <c r="B53" s="38"/>
      <c r="C53" s="84" t="s">
        <v>140</v>
      </c>
      <c r="D53" s="49"/>
      <c r="E53" s="85">
        <v>120.0</v>
      </c>
      <c r="F53" s="49"/>
      <c r="G53" s="47"/>
      <c r="H53" s="49"/>
      <c r="I53" s="66"/>
      <c r="J53" s="45"/>
      <c r="K53" s="66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51"/>
      <c r="AK53" s="51"/>
      <c r="AL53" s="51"/>
      <c r="AM53" s="51"/>
    </row>
    <row r="54">
      <c r="A54" s="83"/>
      <c r="B54" s="38"/>
      <c r="C54" s="84" t="s">
        <v>141</v>
      </c>
      <c r="D54" s="49"/>
      <c r="E54" s="86">
        <v>120.0</v>
      </c>
      <c r="F54" s="49"/>
      <c r="G54" s="47"/>
      <c r="H54" s="49"/>
      <c r="I54" s="87"/>
      <c r="J54" s="45"/>
      <c r="K54" s="87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51"/>
      <c r="AK54" s="51"/>
      <c r="AL54" s="51"/>
      <c r="AM54" s="51"/>
    </row>
    <row r="55">
      <c r="A55" s="83"/>
      <c r="B55" s="38"/>
      <c r="C55" s="84" t="s">
        <v>142</v>
      </c>
      <c r="D55" s="49"/>
      <c r="E55" s="86">
        <v>3000.0</v>
      </c>
      <c r="F55" s="49"/>
      <c r="G55" s="47"/>
      <c r="H55" s="49"/>
      <c r="I55" s="87"/>
      <c r="J55" s="45"/>
      <c r="K55" s="87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51"/>
      <c r="AK55" s="51"/>
      <c r="AL55" s="51"/>
      <c r="AM55" s="51"/>
    </row>
    <row r="56">
      <c r="A56" s="83"/>
      <c r="B56" s="38"/>
      <c r="C56" s="84" t="s">
        <v>143</v>
      </c>
      <c r="D56" s="49"/>
      <c r="E56" s="86">
        <v>700.0</v>
      </c>
      <c r="F56" s="49"/>
      <c r="G56" s="47"/>
      <c r="H56" s="49"/>
      <c r="I56" s="87"/>
      <c r="J56" s="45"/>
      <c r="K56" s="87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51"/>
      <c r="AK56" s="51"/>
      <c r="AL56" s="51"/>
      <c r="AM56" s="51"/>
    </row>
    <row r="57">
      <c r="A57" s="83"/>
      <c r="B57" s="38"/>
      <c r="C57" s="84" t="s">
        <v>144</v>
      </c>
      <c r="D57" s="49"/>
      <c r="E57" s="86">
        <v>1800.0</v>
      </c>
      <c r="F57" s="23"/>
      <c r="G57" s="57"/>
      <c r="H57" s="23"/>
      <c r="I57" s="87"/>
      <c r="J57" s="45"/>
      <c r="K57" s="87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51"/>
      <c r="AK57" s="51"/>
      <c r="AL57" s="51"/>
      <c r="AM57" s="51"/>
    </row>
    <row r="58">
      <c r="A58" s="83"/>
      <c r="B58" s="38"/>
      <c r="C58" s="84" t="s">
        <v>145</v>
      </c>
      <c r="D58" s="88" t="s">
        <v>80</v>
      </c>
      <c r="E58" s="86">
        <v>350.0</v>
      </c>
      <c r="F58" s="89">
        <f>E58*20</f>
        <v>7000</v>
      </c>
      <c r="G58" s="90" t="s">
        <v>81</v>
      </c>
      <c r="H58" s="91" t="s">
        <v>82</v>
      </c>
      <c r="I58" s="87"/>
      <c r="J58" s="45"/>
      <c r="K58" s="87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51"/>
      <c r="AK58" s="51"/>
      <c r="AL58" s="51"/>
      <c r="AM58" s="51"/>
    </row>
    <row r="59">
      <c r="A59" s="83"/>
      <c r="B59" s="38"/>
      <c r="C59" s="84" t="s">
        <v>146</v>
      </c>
      <c r="D59" s="88" t="s">
        <v>80</v>
      </c>
      <c r="E59" s="86">
        <v>7500.0</v>
      </c>
      <c r="F59" s="89">
        <f>E59*4</f>
        <v>30000</v>
      </c>
      <c r="G59" s="90" t="s">
        <v>81</v>
      </c>
      <c r="H59" s="91" t="s">
        <v>82</v>
      </c>
      <c r="I59" s="87"/>
      <c r="J59" s="45"/>
      <c r="K59" s="87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51"/>
      <c r="AK59" s="51"/>
      <c r="AL59" s="51"/>
      <c r="AM59" s="51"/>
    </row>
    <row r="60">
      <c r="A60" s="83"/>
      <c r="B60" s="38"/>
      <c r="C60" s="84" t="s">
        <v>147</v>
      </c>
      <c r="D60" s="88" t="s">
        <v>80</v>
      </c>
      <c r="E60" s="86">
        <v>20000.0</v>
      </c>
      <c r="F60" s="89">
        <f>E60*1</f>
        <v>20000</v>
      </c>
      <c r="G60" s="90" t="s">
        <v>81</v>
      </c>
      <c r="H60" s="91" t="s">
        <v>106</v>
      </c>
      <c r="I60" s="87"/>
      <c r="J60" s="45"/>
      <c r="K60" s="87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51"/>
      <c r="AK60" s="51"/>
      <c r="AL60" s="51"/>
      <c r="AM60" s="51"/>
    </row>
    <row r="61">
      <c r="A61" s="83"/>
      <c r="B61" s="92"/>
      <c r="C61" s="93" t="s">
        <v>148</v>
      </c>
      <c r="D61" s="88" t="s">
        <v>149</v>
      </c>
      <c r="E61" s="94">
        <v>30000.0</v>
      </c>
      <c r="F61" s="48">
        <f>E61</f>
        <v>30000</v>
      </c>
      <c r="G61" s="69" t="s">
        <v>81</v>
      </c>
      <c r="H61" s="95" t="s">
        <v>82</v>
      </c>
      <c r="I61" s="38"/>
      <c r="J61" s="88" t="s">
        <v>80</v>
      </c>
      <c r="K61" s="88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2"/>
      <c r="AK61" s="2"/>
      <c r="AL61" s="2"/>
      <c r="AM61" s="2"/>
    </row>
    <row r="62">
      <c r="A62" s="83"/>
      <c r="B62" s="92"/>
      <c r="C62" s="96" t="s">
        <v>150</v>
      </c>
      <c r="D62" s="88" t="s">
        <v>149</v>
      </c>
      <c r="E62" s="94">
        <v>30000.0</v>
      </c>
      <c r="F62" s="89">
        <f>E62*1</f>
        <v>30000</v>
      </c>
      <c r="G62" s="69" t="s">
        <v>81</v>
      </c>
      <c r="H62" s="95" t="s">
        <v>82</v>
      </c>
      <c r="I62" s="97"/>
      <c r="J62" s="88" t="s">
        <v>80</v>
      </c>
      <c r="K62" s="69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2"/>
      <c r="AK62" s="2"/>
      <c r="AL62" s="2"/>
      <c r="AM62" s="2"/>
    </row>
    <row r="63">
      <c r="A63" s="98" t="s">
        <v>151</v>
      </c>
      <c r="B63" s="99"/>
      <c r="C63" s="100" t="s">
        <v>152</v>
      </c>
      <c r="D63" s="101"/>
      <c r="E63" s="102"/>
      <c r="F63" s="102"/>
      <c r="G63" s="103"/>
      <c r="H63" s="104"/>
      <c r="I63" s="104"/>
      <c r="J63" s="104"/>
      <c r="K63" s="104"/>
      <c r="L63" s="104"/>
      <c r="M63" s="105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2"/>
      <c r="AK63" s="2"/>
      <c r="AL63" s="2"/>
      <c r="AM63" s="2"/>
    </row>
    <row r="64">
      <c r="A64" s="83"/>
      <c r="B64" s="38"/>
      <c r="C64" s="76" t="s">
        <v>153</v>
      </c>
      <c r="D64" s="40" t="s">
        <v>80</v>
      </c>
      <c r="E64" s="68">
        <v>200.0</v>
      </c>
      <c r="F64" s="68">
        <f>(E64*50)+(E65*5)+(E66*5)+(E67*5)+(E68*25)+(E69*25)+(E70*100)</f>
        <v>72750</v>
      </c>
      <c r="G64" s="66" t="s">
        <v>81</v>
      </c>
      <c r="H64" s="43" t="s">
        <v>82</v>
      </c>
      <c r="I64" s="38"/>
      <c r="J64" s="52"/>
      <c r="K64" s="38"/>
      <c r="L64" s="52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51"/>
      <c r="AK64" s="51"/>
      <c r="AL64" s="51"/>
      <c r="AM64" s="51"/>
    </row>
    <row r="65">
      <c r="A65" s="83"/>
      <c r="B65" s="92"/>
      <c r="C65" s="76" t="s">
        <v>154</v>
      </c>
      <c r="D65" s="47"/>
      <c r="E65" s="107">
        <v>4000.0</v>
      </c>
      <c r="F65" s="49"/>
      <c r="G65" s="49"/>
      <c r="H65" s="49"/>
      <c r="I65" s="44"/>
      <c r="J65" s="40" t="s">
        <v>80</v>
      </c>
      <c r="K65" s="44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51"/>
      <c r="AK65" s="51"/>
      <c r="AL65" s="51"/>
      <c r="AM65" s="51"/>
    </row>
    <row r="66">
      <c r="A66" s="83"/>
      <c r="B66" s="92"/>
      <c r="C66" s="76" t="s">
        <v>155</v>
      </c>
      <c r="D66" s="47"/>
      <c r="E66" s="107">
        <v>3500.0</v>
      </c>
      <c r="F66" s="49"/>
      <c r="G66" s="49"/>
      <c r="H66" s="49"/>
      <c r="I66" s="38"/>
      <c r="J66" s="47"/>
      <c r="K66" s="44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51"/>
      <c r="AK66" s="51"/>
      <c r="AL66" s="51"/>
      <c r="AM66" s="51"/>
    </row>
    <row r="67">
      <c r="A67" s="83"/>
      <c r="B67" s="92"/>
      <c r="C67" s="76" t="s">
        <v>156</v>
      </c>
      <c r="D67" s="47"/>
      <c r="E67" s="107">
        <v>3000.0</v>
      </c>
      <c r="F67" s="49"/>
      <c r="G67" s="49"/>
      <c r="H67" s="49"/>
      <c r="I67" s="38"/>
      <c r="J67" s="47"/>
      <c r="K67" s="44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51"/>
      <c r="AK67" s="51"/>
      <c r="AL67" s="51"/>
      <c r="AM67" s="51"/>
    </row>
    <row r="68">
      <c r="A68" s="83"/>
      <c r="B68" s="92"/>
      <c r="C68" s="76" t="s">
        <v>157</v>
      </c>
      <c r="D68" s="47"/>
      <c r="E68" s="80">
        <v>150.0</v>
      </c>
      <c r="F68" s="49"/>
      <c r="G68" s="49"/>
      <c r="H68" s="49"/>
      <c r="I68" s="38"/>
      <c r="J68" s="47"/>
      <c r="K68" s="44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2"/>
      <c r="AK68" s="2"/>
      <c r="AL68" s="2"/>
      <c r="AM68" s="2"/>
    </row>
    <row r="69">
      <c r="A69" s="83"/>
      <c r="B69" s="92"/>
      <c r="C69" s="76" t="s">
        <v>158</v>
      </c>
      <c r="D69" s="47"/>
      <c r="E69" s="80">
        <v>200.0</v>
      </c>
      <c r="F69" s="49"/>
      <c r="G69" s="49"/>
      <c r="H69" s="49"/>
      <c r="I69" s="38"/>
      <c r="J69" s="47"/>
      <c r="K69" s="44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2"/>
      <c r="AK69" s="2"/>
      <c r="AL69" s="2"/>
      <c r="AM69" s="2"/>
    </row>
    <row r="70">
      <c r="A70" s="83"/>
      <c r="B70" s="92"/>
      <c r="C70" s="108" t="s">
        <v>159</v>
      </c>
      <c r="D70" s="57"/>
      <c r="E70" s="80">
        <v>15.0</v>
      </c>
      <c r="F70" s="23"/>
      <c r="G70" s="23"/>
      <c r="H70" s="23"/>
      <c r="I70" s="38"/>
      <c r="J70" s="57"/>
      <c r="K70" s="44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2"/>
      <c r="AK70" s="2"/>
      <c r="AL70" s="2"/>
      <c r="AM70" s="2"/>
    </row>
    <row r="71">
      <c r="A71" s="83"/>
      <c r="B71" s="92"/>
      <c r="C71" s="39" t="s">
        <v>160</v>
      </c>
      <c r="D71" s="88" t="s">
        <v>80</v>
      </c>
      <c r="E71" s="41">
        <v>4500.0</v>
      </c>
      <c r="F71" s="109">
        <f>E71*1</f>
        <v>4500</v>
      </c>
      <c r="G71" s="69" t="s">
        <v>81</v>
      </c>
      <c r="H71" s="95" t="s">
        <v>82</v>
      </c>
      <c r="I71" s="38"/>
      <c r="J71" s="88" t="s">
        <v>80</v>
      </c>
      <c r="K71" s="44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2"/>
      <c r="AK71" s="2"/>
      <c r="AL71" s="2"/>
      <c r="AM71" s="2"/>
    </row>
    <row r="72">
      <c r="A72" s="83"/>
      <c r="B72" s="92"/>
      <c r="C72" s="93" t="s">
        <v>161</v>
      </c>
      <c r="D72" s="88" t="s">
        <v>162</v>
      </c>
      <c r="E72" s="94">
        <v>130.0</v>
      </c>
      <c r="F72" s="48">
        <f>E72*1000</f>
        <v>130000</v>
      </c>
      <c r="G72" s="110" t="s">
        <v>163</v>
      </c>
      <c r="H72" s="88" t="s">
        <v>106</v>
      </c>
      <c r="I72" s="38"/>
      <c r="J72" s="88" t="s">
        <v>164</v>
      </c>
      <c r="K72" s="88" t="s">
        <v>165</v>
      </c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2"/>
      <c r="AK72" s="2"/>
      <c r="AL72" s="2"/>
      <c r="AM72" s="2"/>
    </row>
    <row r="73">
      <c r="A73" s="111" t="s">
        <v>166</v>
      </c>
      <c r="B73" s="112"/>
      <c r="C73" s="113" t="s">
        <v>167</v>
      </c>
      <c r="D73" s="114"/>
      <c r="E73" s="115"/>
      <c r="F73" s="116"/>
      <c r="G73" s="117"/>
      <c r="H73" s="118"/>
      <c r="I73" s="119"/>
      <c r="J73" s="120"/>
      <c r="K73" s="120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2"/>
      <c r="AK73" s="2"/>
      <c r="AL73" s="2"/>
      <c r="AM73" s="51"/>
    </row>
    <row r="74">
      <c r="A74" s="121"/>
      <c r="B74" s="50"/>
      <c r="C74" s="76" t="s">
        <v>168</v>
      </c>
      <c r="D74" s="122" t="s">
        <v>169</v>
      </c>
      <c r="E74" s="123">
        <v>120.0</v>
      </c>
      <c r="F74" s="124">
        <v>201600.0</v>
      </c>
      <c r="G74" s="125" t="s">
        <v>170</v>
      </c>
      <c r="H74" s="65"/>
      <c r="I74" s="126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51"/>
      <c r="AK74" s="51"/>
      <c r="AL74" s="51"/>
      <c r="AM74" s="51"/>
    </row>
    <row r="75">
      <c r="A75" s="98" t="s">
        <v>171</v>
      </c>
      <c r="B75" s="127"/>
      <c r="C75" s="128" t="s">
        <v>172</v>
      </c>
      <c r="D75" s="101"/>
      <c r="E75" s="129"/>
      <c r="F75" s="102"/>
      <c r="G75" s="130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4"/>
      <c r="AK75" s="4"/>
      <c r="AL75" s="4"/>
      <c r="AM75" s="4"/>
    </row>
    <row r="76">
      <c r="A76" s="83"/>
      <c r="B76" s="92"/>
      <c r="C76" s="76" t="s">
        <v>173</v>
      </c>
      <c r="D76" s="88" t="s">
        <v>174</v>
      </c>
      <c r="E76" s="41">
        <v>300.0</v>
      </c>
      <c r="F76" s="48">
        <f>E76*20</f>
        <v>6000</v>
      </c>
      <c r="G76" s="131" t="s">
        <v>175</v>
      </c>
      <c r="H76" s="52"/>
      <c r="I76" s="88"/>
      <c r="J76" s="88" t="s">
        <v>176</v>
      </c>
      <c r="K76" s="88" t="s">
        <v>176</v>
      </c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6"/>
      <c r="AK76" s="46"/>
      <c r="AL76" s="46"/>
      <c r="AM76" s="46"/>
    </row>
    <row r="77">
      <c r="A77" s="83"/>
      <c r="B77" s="92"/>
      <c r="C77" s="132" t="s">
        <v>177</v>
      </c>
      <c r="D77" s="90" t="s">
        <v>178</v>
      </c>
      <c r="E77" s="94">
        <v>5000.0</v>
      </c>
      <c r="F77" s="48">
        <f>E77*8</f>
        <v>40000</v>
      </c>
      <c r="G77" s="133" t="s">
        <v>175</v>
      </c>
      <c r="H77" s="52"/>
      <c r="I77" s="88"/>
      <c r="J77" s="88" t="s">
        <v>178</v>
      </c>
      <c r="K77" s="88" t="s">
        <v>178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6"/>
      <c r="AK77" s="46"/>
      <c r="AL77" s="46"/>
      <c r="AM77" s="46"/>
    </row>
    <row r="78">
      <c r="A78" s="83"/>
      <c r="B78" s="92"/>
      <c r="C78" s="134" t="s">
        <v>179</v>
      </c>
      <c r="D78" s="131" t="s">
        <v>180</v>
      </c>
      <c r="E78" s="135">
        <v>55000.0</v>
      </c>
      <c r="F78" s="67">
        <f>E78*2</f>
        <v>110000</v>
      </c>
      <c r="G78" s="136" t="s">
        <v>181</v>
      </c>
      <c r="H78" s="52"/>
      <c r="I78" s="88"/>
      <c r="J78" s="88" t="s">
        <v>180</v>
      </c>
      <c r="K78" s="88" t="s">
        <v>80</v>
      </c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6"/>
      <c r="AK78" s="46"/>
      <c r="AL78" s="46"/>
      <c r="AM78" s="46"/>
    </row>
    <row r="79">
      <c r="A79" s="98" t="s">
        <v>182</v>
      </c>
      <c r="B79" s="127"/>
      <c r="C79" s="137" t="s">
        <v>183</v>
      </c>
      <c r="D79" s="138"/>
      <c r="E79" s="139"/>
      <c r="F79" s="140"/>
      <c r="G79" s="141"/>
      <c r="H79" s="104"/>
      <c r="I79" s="142"/>
      <c r="J79" s="104"/>
      <c r="K79" s="142"/>
      <c r="L79" s="105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4"/>
      <c r="AK79" s="4"/>
      <c r="AL79" s="4"/>
      <c r="AM79" s="4"/>
    </row>
    <row r="80" ht="27.0" customHeight="1">
      <c r="A80" s="83"/>
      <c r="B80" s="52"/>
      <c r="C80" s="84" t="s">
        <v>184</v>
      </c>
      <c r="D80" s="143" t="s">
        <v>180</v>
      </c>
      <c r="E80" s="86">
        <v>20000.0</v>
      </c>
      <c r="F80" s="67">
        <f>E80*2</f>
        <v>40000</v>
      </c>
      <c r="G80" s="125" t="s">
        <v>163</v>
      </c>
      <c r="H80" s="52"/>
      <c r="I80" s="52"/>
      <c r="J80" s="88" t="s">
        <v>80</v>
      </c>
      <c r="K80" s="88" t="s">
        <v>80</v>
      </c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6"/>
      <c r="AK80" s="46"/>
      <c r="AL80" s="46"/>
      <c r="AM80" s="46"/>
    </row>
    <row r="81">
      <c r="A81" s="144" t="s">
        <v>185</v>
      </c>
      <c r="B81" s="127"/>
      <c r="C81" s="128" t="s">
        <v>186</v>
      </c>
      <c r="D81" s="138"/>
      <c r="E81" s="139"/>
      <c r="F81" s="145"/>
      <c r="G81" s="130"/>
      <c r="H81" s="104"/>
      <c r="I81" s="104"/>
      <c r="J81" s="142"/>
      <c r="K81" s="142"/>
      <c r="L81" s="105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4"/>
      <c r="AK81" s="4"/>
      <c r="AL81" s="4"/>
      <c r="AM81" s="4"/>
    </row>
    <row r="82">
      <c r="A82" s="37"/>
      <c r="B82" s="52"/>
      <c r="C82" s="74" t="s">
        <v>187</v>
      </c>
      <c r="D82" s="38" t="s">
        <v>80</v>
      </c>
      <c r="E82" s="48">
        <v>50000.0</v>
      </c>
      <c r="F82" s="48">
        <v>50000.0</v>
      </c>
      <c r="G82" s="110" t="s">
        <v>163</v>
      </c>
      <c r="H82" s="52"/>
      <c r="I82" s="52"/>
      <c r="J82" s="38"/>
      <c r="K82" s="38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51"/>
      <c r="AK82" s="51"/>
      <c r="AL82" s="51"/>
      <c r="AM82" s="51"/>
    </row>
    <row r="83">
      <c r="A83" s="146" t="s">
        <v>188</v>
      </c>
      <c r="B83" s="147"/>
      <c r="C83" s="148" t="s">
        <v>189</v>
      </c>
      <c r="D83" s="149"/>
      <c r="E83" s="150"/>
      <c r="F83" s="151"/>
      <c r="G83" s="152"/>
      <c r="H83" s="127"/>
      <c r="I83" s="127"/>
      <c r="J83" s="127"/>
      <c r="K83" s="99"/>
      <c r="L83" s="153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5"/>
      <c r="AK83" s="155"/>
      <c r="AL83" s="155"/>
      <c r="AM83" s="155"/>
    </row>
    <row r="84">
      <c r="A84" s="71"/>
      <c r="B84" s="156"/>
      <c r="C84" s="72" t="s">
        <v>190</v>
      </c>
      <c r="D84" s="44" t="s">
        <v>191</v>
      </c>
      <c r="E84" s="157">
        <v>100.0</v>
      </c>
      <c r="F84" s="48">
        <v>2500.0</v>
      </c>
      <c r="G84" s="125" t="s">
        <v>81</v>
      </c>
      <c r="H84" s="52"/>
      <c r="I84" s="52"/>
      <c r="J84" s="52"/>
      <c r="K84" s="38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51"/>
      <c r="AK84" s="51"/>
      <c r="AL84" s="51"/>
      <c r="AM84" s="51"/>
    </row>
    <row r="85">
      <c r="A85" s="98" t="s">
        <v>192</v>
      </c>
      <c r="B85" s="127"/>
      <c r="C85" s="128" t="s">
        <v>193</v>
      </c>
      <c r="D85" s="158"/>
      <c r="E85" s="159"/>
      <c r="F85" s="102"/>
      <c r="G85" s="130"/>
      <c r="H85" s="104"/>
      <c r="I85" s="142"/>
      <c r="J85" s="142"/>
      <c r="K85" s="142"/>
      <c r="L85" s="105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4"/>
      <c r="AK85" s="4"/>
      <c r="AL85" s="4"/>
      <c r="AM85" s="4"/>
    </row>
    <row r="86">
      <c r="A86" s="83"/>
      <c r="B86" s="92"/>
      <c r="C86" s="72" t="s">
        <v>194</v>
      </c>
      <c r="D86" s="87" t="s">
        <v>80</v>
      </c>
      <c r="E86" s="89">
        <v>70000.0</v>
      </c>
      <c r="F86" s="68">
        <v>70000.0</v>
      </c>
      <c r="G86" s="44" t="s">
        <v>195</v>
      </c>
      <c r="H86" s="52"/>
      <c r="I86" s="38"/>
      <c r="J86" s="38"/>
      <c r="K86" s="38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51"/>
      <c r="AK86" s="51"/>
      <c r="AL86" s="51"/>
      <c r="AM86" s="51"/>
    </row>
    <row r="87">
      <c r="A87" s="98" t="s">
        <v>196</v>
      </c>
      <c r="B87" s="127"/>
      <c r="C87" s="128" t="s">
        <v>197</v>
      </c>
      <c r="D87" s="158"/>
      <c r="E87" s="159"/>
      <c r="F87" s="160"/>
      <c r="G87" s="130"/>
      <c r="H87" s="104"/>
      <c r="I87" s="104"/>
      <c r="J87" s="104"/>
      <c r="K87" s="142"/>
      <c r="L87" s="105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4"/>
      <c r="AK87" s="4"/>
      <c r="AL87" s="4"/>
      <c r="AM87" s="4"/>
    </row>
    <row r="88">
      <c r="A88" s="37"/>
      <c r="B88" s="52"/>
      <c r="C88" s="84" t="s">
        <v>198</v>
      </c>
      <c r="D88" s="88" t="s">
        <v>199</v>
      </c>
      <c r="E88" s="41">
        <v>25000.0</v>
      </c>
      <c r="F88" s="48">
        <f>E88*3</f>
        <v>75000</v>
      </c>
      <c r="G88" s="44" t="s">
        <v>170</v>
      </c>
      <c r="H88" s="161"/>
      <c r="I88" s="161" t="s">
        <v>80</v>
      </c>
      <c r="J88" s="161" t="s">
        <v>80</v>
      </c>
      <c r="K88" s="161" t="s">
        <v>80</v>
      </c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6"/>
      <c r="AK88" s="46"/>
      <c r="AL88" s="46"/>
      <c r="AM88" s="46"/>
    </row>
    <row r="89">
      <c r="A89" s="162"/>
      <c r="B89" s="163"/>
      <c r="C89" s="164" t="s">
        <v>200</v>
      </c>
      <c r="D89" s="165"/>
      <c r="E89" s="166"/>
      <c r="F89" s="166"/>
      <c r="G89" s="167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8"/>
      <c r="T89" s="168"/>
      <c r="U89" s="168"/>
      <c r="V89" s="168"/>
      <c r="W89" s="169"/>
      <c r="X89" s="169"/>
      <c r="Y89" s="169"/>
      <c r="Z89" s="169"/>
      <c r="AA89" s="170"/>
      <c r="AB89" s="170"/>
      <c r="AC89" s="170"/>
      <c r="AD89" s="170"/>
      <c r="AE89" s="170"/>
      <c r="AF89" s="170"/>
      <c r="AG89" s="170"/>
      <c r="AH89" s="170"/>
      <c r="AI89" s="170"/>
      <c r="AJ89" s="171"/>
      <c r="AK89" s="171"/>
      <c r="AL89" s="171"/>
      <c r="AM89" s="171"/>
    </row>
    <row r="90" ht="17.25" customHeight="1">
      <c r="A90" s="172"/>
      <c r="B90" s="173"/>
      <c r="C90" s="174" t="s">
        <v>201</v>
      </c>
      <c r="D90" s="161" t="s">
        <v>80</v>
      </c>
      <c r="E90" s="175">
        <v>2397000.0</v>
      </c>
      <c r="F90" s="175">
        <f t="shared" ref="F90:F100" si="1">E90*1</f>
        <v>2397000</v>
      </c>
      <c r="G90" s="176" t="s">
        <v>202</v>
      </c>
      <c r="H90" s="177"/>
      <c r="I90" s="178"/>
      <c r="J90" s="161"/>
      <c r="K90" s="161" t="s">
        <v>80</v>
      </c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9"/>
      <c r="X90" s="179"/>
      <c r="Y90" s="179"/>
      <c r="Z90" s="179"/>
      <c r="AA90" s="4"/>
      <c r="AB90" s="4"/>
      <c r="AC90" s="4"/>
      <c r="AD90" s="4"/>
      <c r="AE90" s="4"/>
      <c r="AF90" s="4"/>
      <c r="AG90" s="4"/>
      <c r="AH90" s="4"/>
      <c r="AI90" s="4"/>
      <c r="AJ90" s="51"/>
      <c r="AK90" s="51"/>
      <c r="AL90" s="51"/>
      <c r="AM90" s="51"/>
    </row>
    <row r="91" ht="17.25" customHeight="1">
      <c r="A91" s="172"/>
      <c r="B91" s="173"/>
      <c r="C91" s="174" t="s">
        <v>203</v>
      </c>
      <c r="D91" s="180" t="s">
        <v>80</v>
      </c>
      <c r="E91" s="175">
        <v>3080000.0</v>
      </c>
      <c r="F91" s="175">
        <f t="shared" si="1"/>
        <v>3080000</v>
      </c>
      <c r="G91" s="176" t="s">
        <v>202</v>
      </c>
      <c r="H91" s="177"/>
      <c r="I91" s="180" t="s">
        <v>80</v>
      </c>
      <c r="J91" s="180"/>
      <c r="K91" s="180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9"/>
      <c r="X91" s="179"/>
      <c r="Y91" s="179"/>
      <c r="Z91" s="179"/>
      <c r="AA91" s="4"/>
      <c r="AB91" s="4"/>
      <c r="AC91" s="4"/>
      <c r="AD91" s="4"/>
      <c r="AE91" s="4"/>
      <c r="AF91" s="4"/>
      <c r="AG91" s="4"/>
      <c r="AH91" s="4"/>
      <c r="AI91" s="4"/>
      <c r="AJ91" s="51"/>
      <c r="AK91" s="51"/>
      <c r="AL91" s="51"/>
      <c r="AM91" s="51"/>
    </row>
    <row r="92">
      <c r="A92" s="181"/>
      <c r="B92" s="173"/>
      <c r="C92" s="174" t="s">
        <v>204</v>
      </c>
      <c r="D92" s="161" t="s">
        <v>80</v>
      </c>
      <c r="E92" s="175">
        <v>6050000.0</v>
      </c>
      <c r="F92" s="175">
        <f t="shared" si="1"/>
        <v>6050000</v>
      </c>
      <c r="G92" s="176" t="s">
        <v>202</v>
      </c>
      <c r="H92" s="177"/>
      <c r="I92" s="182"/>
      <c r="J92" s="161"/>
      <c r="K92" s="161" t="s">
        <v>80</v>
      </c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4"/>
      <c r="X92" s="184"/>
      <c r="Y92" s="184"/>
      <c r="Z92" s="184"/>
      <c r="AA92" s="4"/>
      <c r="AB92" s="4"/>
      <c r="AC92" s="4"/>
      <c r="AD92" s="4"/>
      <c r="AE92" s="4"/>
      <c r="AF92" s="4"/>
      <c r="AG92" s="4"/>
      <c r="AH92" s="4"/>
      <c r="AI92" s="4"/>
      <c r="AJ92" s="51"/>
      <c r="AK92" s="51"/>
      <c r="AL92" s="51"/>
      <c r="AM92" s="51"/>
    </row>
    <row r="93" ht="17.25" customHeight="1">
      <c r="A93" s="181"/>
      <c r="B93" s="173"/>
      <c r="C93" s="174" t="s">
        <v>205</v>
      </c>
      <c r="D93" s="161" t="s">
        <v>80</v>
      </c>
      <c r="E93" s="175">
        <v>1760000.0</v>
      </c>
      <c r="F93" s="175">
        <f t="shared" si="1"/>
        <v>1760000</v>
      </c>
      <c r="G93" s="176" t="s">
        <v>202</v>
      </c>
      <c r="H93" s="177"/>
      <c r="I93" s="182"/>
      <c r="J93" s="161"/>
      <c r="K93" s="161" t="s">
        <v>80</v>
      </c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4"/>
      <c r="X93" s="184"/>
      <c r="Y93" s="184"/>
      <c r="Z93" s="184"/>
      <c r="AA93" s="4"/>
      <c r="AB93" s="4"/>
      <c r="AC93" s="4"/>
      <c r="AD93" s="4"/>
      <c r="AE93" s="4"/>
      <c r="AF93" s="4"/>
      <c r="AG93" s="4"/>
      <c r="AH93" s="4"/>
      <c r="AI93" s="4"/>
      <c r="AJ93" s="51"/>
      <c r="AK93" s="51"/>
      <c r="AL93" s="51"/>
      <c r="AM93" s="51"/>
    </row>
    <row r="94" ht="17.25" customHeight="1">
      <c r="A94" s="172"/>
      <c r="B94" s="178"/>
      <c r="C94" s="174" t="s">
        <v>206</v>
      </c>
      <c r="D94" s="161" t="s">
        <v>80</v>
      </c>
      <c r="E94" s="175">
        <v>1100000.0</v>
      </c>
      <c r="F94" s="175">
        <f t="shared" si="1"/>
        <v>1100000</v>
      </c>
      <c r="G94" s="176" t="s">
        <v>202</v>
      </c>
      <c r="H94" s="178"/>
      <c r="I94" s="178"/>
      <c r="J94" s="161"/>
      <c r="K94" s="161" t="s">
        <v>80</v>
      </c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9"/>
      <c r="X94" s="179"/>
      <c r="Y94" s="179"/>
      <c r="Z94" s="179"/>
      <c r="AA94" s="4"/>
      <c r="AB94" s="4"/>
      <c r="AC94" s="4"/>
      <c r="AD94" s="4"/>
      <c r="AE94" s="4"/>
      <c r="AF94" s="4"/>
      <c r="AG94" s="4"/>
      <c r="AH94" s="4"/>
      <c r="AI94" s="4"/>
      <c r="AJ94" s="51"/>
      <c r="AK94" s="51"/>
      <c r="AL94" s="51"/>
      <c r="AM94" s="51"/>
    </row>
    <row r="95" ht="17.25" customHeight="1">
      <c r="A95" s="172"/>
      <c r="B95" s="185"/>
      <c r="C95" s="174" t="s">
        <v>207</v>
      </c>
      <c r="D95" s="161" t="s">
        <v>80</v>
      </c>
      <c r="E95" s="175">
        <v>1320000.0</v>
      </c>
      <c r="F95" s="175">
        <f t="shared" si="1"/>
        <v>1320000</v>
      </c>
      <c r="G95" s="176" t="s">
        <v>202</v>
      </c>
      <c r="H95" s="178"/>
      <c r="I95" s="178"/>
      <c r="J95" s="161"/>
      <c r="K95" s="161" t="s">
        <v>80</v>
      </c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9"/>
      <c r="X95" s="179"/>
      <c r="Y95" s="179"/>
      <c r="Z95" s="179"/>
      <c r="AA95" s="4"/>
      <c r="AB95" s="4"/>
      <c r="AC95" s="4"/>
      <c r="AD95" s="4"/>
      <c r="AE95" s="4"/>
      <c r="AF95" s="4"/>
      <c r="AG95" s="4"/>
      <c r="AH95" s="4"/>
      <c r="AI95" s="4"/>
      <c r="AJ95" s="51"/>
      <c r="AK95" s="51"/>
      <c r="AL95" s="51"/>
      <c r="AM95" s="51"/>
    </row>
    <row r="96" ht="17.25" customHeight="1">
      <c r="A96" s="172"/>
      <c r="B96" s="185"/>
      <c r="C96" s="174" t="s">
        <v>208</v>
      </c>
      <c r="D96" s="161" t="s">
        <v>80</v>
      </c>
      <c r="E96" s="175">
        <v>1000000.0</v>
      </c>
      <c r="F96" s="175">
        <f t="shared" si="1"/>
        <v>1000000</v>
      </c>
      <c r="G96" s="176" t="s">
        <v>202</v>
      </c>
      <c r="H96" s="178"/>
      <c r="I96" s="178"/>
      <c r="J96" s="161"/>
      <c r="K96" s="161" t="s">
        <v>80</v>
      </c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9"/>
      <c r="X96" s="179"/>
      <c r="Y96" s="179"/>
      <c r="Z96" s="179"/>
      <c r="AA96" s="4"/>
      <c r="AB96" s="4"/>
      <c r="AC96" s="4"/>
      <c r="AD96" s="4"/>
      <c r="AE96" s="4"/>
      <c r="AF96" s="4"/>
      <c r="AG96" s="4"/>
      <c r="AH96" s="4"/>
      <c r="AI96" s="4"/>
      <c r="AJ96" s="51"/>
      <c r="AK96" s="51"/>
      <c r="AL96" s="51"/>
      <c r="AM96" s="51"/>
    </row>
    <row r="97" ht="17.25" customHeight="1">
      <c r="A97" s="172"/>
      <c r="B97" s="185"/>
      <c r="C97" s="174" t="s">
        <v>209</v>
      </c>
      <c r="D97" s="161" t="s">
        <v>80</v>
      </c>
      <c r="E97" s="175">
        <v>1650000.0</v>
      </c>
      <c r="F97" s="175">
        <f t="shared" si="1"/>
        <v>1650000</v>
      </c>
      <c r="G97" s="176" t="s">
        <v>202</v>
      </c>
      <c r="H97" s="178"/>
      <c r="I97" s="178"/>
      <c r="J97" s="161"/>
      <c r="K97" s="161" t="s">
        <v>80</v>
      </c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9"/>
      <c r="X97" s="179"/>
      <c r="Y97" s="179"/>
      <c r="Z97" s="179"/>
      <c r="AA97" s="4"/>
      <c r="AB97" s="4"/>
      <c r="AC97" s="4"/>
      <c r="AD97" s="4"/>
      <c r="AE97" s="4"/>
      <c r="AF97" s="4"/>
      <c r="AG97" s="4"/>
      <c r="AH97" s="4"/>
      <c r="AI97" s="4"/>
      <c r="AJ97" s="2"/>
      <c r="AK97" s="2"/>
      <c r="AL97" s="2"/>
      <c r="AM97" s="2"/>
    </row>
    <row r="98" ht="17.25" customHeight="1">
      <c r="A98" s="172"/>
      <c r="B98" s="185"/>
      <c r="C98" s="174" t="s">
        <v>210</v>
      </c>
      <c r="D98" s="161" t="s">
        <v>80</v>
      </c>
      <c r="E98" s="175">
        <v>4042000.0</v>
      </c>
      <c r="F98" s="175">
        <f t="shared" si="1"/>
        <v>4042000</v>
      </c>
      <c r="G98" s="176" t="s">
        <v>202</v>
      </c>
      <c r="H98" s="178"/>
      <c r="I98" s="178"/>
      <c r="J98" s="161"/>
      <c r="K98" s="161" t="s">
        <v>80</v>
      </c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9"/>
      <c r="X98" s="179"/>
      <c r="Y98" s="179"/>
      <c r="Z98" s="179"/>
      <c r="AA98" s="4"/>
      <c r="AB98" s="4"/>
      <c r="AC98" s="4"/>
      <c r="AD98" s="4"/>
      <c r="AE98" s="4"/>
      <c r="AF98" s="4"/>
      <c r="AG98" s="4"/>
      <c r="AH98" s="4"/>
      <c r="AI98" s="4"/>
      <c r="AJ98" s="2"/>
      <c r="AK98" s="2"/>
      <c r="AL98" s="2"/>
      <c r="AM98" s="2"/>
    </row>
    <row r="99" ht="17.25" customHeight="1">
      <c r="A99" s="172"/>
      <c r="B99" s="185"/>
      <c r="C99" s="174" t="s">
        <v>211</v>
      </c>
      <c r="D99" s="161" t="s">
        <v>80</v>
      </c>
      <c r="E99" s="175">
        <v>2772000.0</v>
      </c>
      <c r="F99" s="175">
        <f t="shared" si="1"/>
        <v>2772000</v>
      </c>
      <c r="G99" s="176" t="s">
        <v>202</v>
      </c>
      <c r="H99" s="178"/>
      <c r="I99" s="178"/>
      <c r="J99" s="161"/>
      <c r="K99" s="161" t="s">
        <v>80</v>
      </c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9"/>
      <c r="X99" s="179"/>
      <c r="Y99" s="179"/>
      <c r="Z99" s="179"/>
      <c r="AA99" s="4"/>
      <c r="AB99" s="4"/>
      <c r="AC99" s="4"/>
      <c r="AD99" s="4"/>
      <c r="AE99" s="186"/>
      <c r="AF99" s="186"/>
      <c r="AG99" s="186"/>
      <c r="AH99" s="186"/>
      <c r="AI99" s="4"/>
      <c r="AJ99" s="2"/>
      <c r="AK99" s="2"/>
      <c r="AL99" s="2"/>
      <c r="AM99" s="2"/>
    </row>
    <row r="100">
      <c r="A100" s="172"/>
      <c r="B100" s="185"/>
      <c r="C100" s="174" t="s">
        <v>212</v>
      </c>
      <c r="D100" s="161" t="s">
        <v>80</v>
      </c>
      <c r="E100" s="175">
        <v>2887000.0</v>
      </c>
      <c r="F100" s="175">
        <f t="shared" si="1"/>
        <v>2887000</v>
      </c>
      <c r="G100" s="176" t="s">
        <v>202</v>
      </c>
      <c r="H100" s="178"/>
      <c r="I100" s="178"/>
      <c r="J100" s="161"/>
      <c r="K100" s="161" t="s">
        <v>80</v>
      </c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9"/>
      <c r="X100" s="179"/>
      <c r="Y100" s="179"/>
      <c r="Z100" s="179"/>
      <c r="AA100" s="4"/>
      <c r="AB100" s="4"/>
      <c r="AC100" s="4"/>
      <c r="AD100" s="4"/>
      <c r="AE100" s="186"/>
      <c r="AF100" s="186"/>
      <c r="AG100" s="186"/>
      <c r="AH100" s="186"/>
      <c r="AI100" s="4"/>
      <c r="AJ100" s="2"/>
      <c r="AK100" s="2"/>
      <c r="AL100" s="2"/>
      <c r="AM100" s="2"/>
    </row>
    <row r="101" ht="17.25" customHeight="1">
      <c r="A101" s="172"/>
      <c r="B101" s="185"/>
      <c r="C101" s="174" t="s">
        <v>213</v>
      </c>
      <c r="D101" s="161" t="s">
        <v>80</v>
      </c>
      <c r="E101" s="175">
        <v>869000.0</v>
      </c>
      <c r="F101" s="175">
        <f>E101*4</f>
        <v>3476000</v>
      </c>
      <c r="G101" s="176" t="s">
        <v>202</v>
      </c>
      <c r="H101" s="178"/>
      <c r="I101" s="178"/>
      <c r="J101" s="161"/>
      <c r="K101" s="161" t="s">
        <v>80</v>
      </c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9"/>
      <c r="X101" s="179"/>
      <c r="Y101" s="179"/>
      <c r="Z101" s="179"/>
      <c r="AA101" s="4"/>
      <c r="AB101" s="4"/>
      <c r="AC101" s="4"/>
      <c r="AD101" s="4"/>
      <c r="AE101" s="186"/>
      <c r="AF101" s="186"/>
      <c r="AG101" s="186"/>
      <c r="AH101" s="186"/>
      <c r="AI101" s="4"/>
      <c r="AJ101" s="2"/>
      <c r="AK101" s="2"/>
      <c r="AL101" s="2"/>
      <c r="AM101" s="2"/>
    </row>
    <row r="102" ht="17.25" customHeight="1">
      <c r="A102" s="172"/>
      <c r="B102" s="185"/>
      <c r="C102" s="174" t="s">
        <v>214</v>
      </c>
      <c r="D102" s="161" t="s">
        <v>80</v>
      </c>
      <c r="E102" s="175">
        <v>4042000.0</v>
      </c>
      <c r="F102" s="175">
        <f>E102*1</f>
        <v>4042000</v>
      </c>
      <c r="G102" s="176" t="s">
        <v>202</v>
      </c>
      <c r="H102" s="178"/>
      <c r="I102" s="178"/>
      <c r="J102" s="161"/>
      <c r="K102" s="161" t="s">
        <v>80</v>
      </c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9"/>
      <c r="X102" s="179"/>
      <c r="Y102" s="179"/>
      <c r="Z102" s="179"/>
      <c r="AA102" s="4"/>
      <c r="AB102" s="4"/>
      <c r="AC102" s="4"/>
      <c r="AD102" s="4"/>
      <c r="AE102" s="186"/>
      <c r="AF102" s="186"/>
      <c r="AG102" s="186"/>
      <c r="AH102" s="186"/>
      <c r="AI102" s="4"/>
      <c r="AJ102" s="2"/>
      <c r="AK102" s="2"/>
      <c r="AL102" s="2"/>
      <c r="AM102" s="2"/>
    </row>
    <row r="103" ht="17.25" customHeight="1">
      <c r="A103" s="172"/>
      <c r="B103" s="185"/>
      <c r="C103" s="174" t="s">
        <v>215</v>
      </c>
      <c r="D103" s="161" t="s">
        <v>80</v>
      </c>
      <c r="E103" s="175">
        <v>2887500.0</v>
      </c>
      <c r="F103" s="175">
        <f>E103*2</f>
        <v>5775000</v>
      </c>
      <c r="G103" s="176" t="s">
        <v>202</v>
      </c>
      <c r="H103" s="178"/>
      <c r="I103" s="178"/>
      <c r="J103" s="161"/>
      <c r="K103" s="161" t="s">
        <v>80</v>
      </c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9"/>
      <c r="X103" s="179"/>
      <c r="Y103" s="179"/>
      <c r="Z103" s="179"/>
      <c r="AA103" s="4"/>
      <c r="AB103" s="4"/>
      <c r="AC103" s="4"/>
      <c r="AD103" s="4"/>
      <c r="AE103" s="186"/>
      <c r="AF103" s="186"/>
      <c r="AG103" s="186"/>
      <c r="AH103" s="186"/>
      <c r="AI103" s="4"/>
      <c r="AJ103" s="2"/>
      <c r="AK103" s="2"/>
      <c r="AL103" s="2"/>
      <c r="AM103" s="2"/>
    </row>
    <row r="104" ht="17.25" customHeight="1">
      <c r="A104" s="172"/>
      <c r="B104" s="185"/>
      <c r="C104" s="174" t="s">
        <v>216</v>
      </c>
      <c r="D104" s="161" t="s">
        <v>80</v>
      </c>
      <c r="E104" s="175">
        <v>4620000.0</v>
      </c>
      <c r="F104" s="175">
        <f t="shared" ref="F104:F111" si="2">E104*1</f>
        <v>4620000</v>
      </c>
      <c r="G104" s="176" t="s">
        <v>202</v>
      </c>
      <c r="H104" s="178"/>
      <c r="I104" s="178"/>
      <c r="J104" s="161"/>
      <c r="K104" s="161" t="s">
        <v>80</v>
      </c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9"/>
      <c r="X104" s="179"/>
      <c r="Y104" s="179"/>
      <c r="Z104" s="179"/>
      <c r="AA104" s="4"/>
      <c r="AB104" s="4"/>
      <c r="AC104" s="4"/>
      <c r="AD104" s="4"/>
      <c r="AE104" s="186"/>
      <c r="AF104" s="186"/>
      <c r="AG104" s="186"/>
      <c r="AH104" s="186"/>
      <c r="AI104" s="4"/>
      <c r="AJ104" s="2"/>
      <c r="AK104" s="2"/>
      <c r="AL104" s="2"/>
      <c r="AM104" s="2"/>
    </row>
    <row r="105" ht="17.25" customHeight="1">
      <c r="A105" s="172"/>
      <c r="B105" s="185"/>
      <c r="C105" s="174" t="s">
        <v>217</v>
      </c>
      <c r="D105" s="161" t="s">
        <v>80</v>
      </c>
      <c r="E105" s="175">
        <v>3300000.0</v>
      </c>
      <c r="F105" s="175">
        <f t="shared" si="2"/>
        <v>3300000</v>
      </c>
      <c r="G105" s="176" t="s">
        <v>202</v>
      </c>
      <c r="H105" s="178"/>
      <c r="I105" s="178"/>
      <c r="J105" s="161"/>
      <c r="K105" s="161" t="s">
        <v>80</v>
      </c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9"/>
      <c r="X105" s="179"/>
      <c r="Y105" s="179"/>
      <c r="Z105" s="179"/>
      <c r="AA105" s="4"/>
      <c r="AB105" s="4"/>
      <c r="AC105" s="4"/>
      <c r="AD105" s="4"/>
      <c r="AE105" s="186"/>
      <c r="AF105" s="186"/>
      <c r="AG105" s="186"/>
      <c r="AH105" s="186"/>
      <c r="AI105" s="4"/>
      <c r="AJ105" s="2"/>
      <c r="AK105" s="2"/>
      <c r="AL105" s="2"/>
      <c r="AM105" s="2"/>
    </row>
    <row r="106" ht="17.25" customHeight="1">
      <c r="A106" s="172"/>
      <c r="B106" s="185"/>
      <c r="C106" s="174" t="s">
        <v>218</v>
      </c>
      <c r="D106" s="161" t="s">
        <v>80</v>
      </c>
      <c r="E106" s="175">
        <v>1650000.0</v>
      </c>
      <c r="F106" s="175">
        <f t="shared" si="2"/>
        <v>1650000</v>
      </c>
      <c r="G106" s="176" t="s">
        <v>202</v>
      </c>
      <c r="H106" s="178"/>
      <c r="I106" s="178"/>
      <c r="J106" s="161"/>
      <c r="K106" s="161" t="s">
        <v>80</v>
      </c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9"/>
      <c r="X106" s="179"/>
      <c r="Y106" s="179"/>
      <c r="Z106" s="179"/>
      <c r="AA106" s="4"/>
      <c r="AB106" s="4"/>
      <c r="AC106" s="4"/>
      <c r="AD106" s="4"/>
      <c r="AE106" s="186"/>
      <c r="AF106" s="186"/>
      <c r="AG106" s="186"/>
      <c r="AH106" s="186"/>
      <c r="AI106" s="4"/>
      <c r="AJ106" s="2"/>
      <c r="AK106" s="2"/>
      <c r="AL106" s="2"/>
      <c r="AM106" s="2"/>
    </row>
    <row r="107" ht="17.25" customHeight="1">
      <c r="A107" s="172"/>
      <c r="B107" s="185"/>
      <c r="C107" s="174" t="s">
        <v>219</v>
      </c>
      <c r="D107" s="161" t="s">
        <v>80</v>
      </c>
      <c r="E107" s="175">
        <v>3300000.0</v>
      </c>
      <c r="F107" s="175">
        <f t="shared" si="2"/>
        <v>3300000</v>
      </c>
      <c r="G107" s="176" t="s">
        <v>202</v>
      </c>
      <c r="H107" s="178"/>
      <c r="I107" s="178"/>
      <c r="J107" s="161"/>
      <c r="K107" s="161" t="s">
        <v>80</v>
      </c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9"/>
      <c r="X107" s="179"/>
      <c r="Y107" s="179"/>
      <c r="Z107" s="179"/>
      <c r="AA107" s="4"/>
      <c r="AB107" s="4"/>
      <c r="AC107" s="4"/>
      <c r="AD107" s="4"/>
      <c r="AE107" s="186"/>
      <c r="AF107" s="186"/>
      <c r="AG107" s="186"/>
      <c r="AH107" s="186"/>
      <c r="AI107" s="4"/>
      <c r="AJ107" s="2"/>
      <c r="AK107" s="2"/>
      <c r="AL107" s="2"/>
      <c r="AM107" s="2"/>
    </row>
    <row r="108" ht="17.25" customHeight="1">
      <c r="A108" s="172"/>
      <c r="B108" s="185"/>
      <c r="C108" s="174" t="s">
        <v>220</v>
      </c>
      <c r="D108" s="161" t="s">
        <v>80</v>
      </c>
      <c r="E108" s="175">
        <v>3300000.0</v>
      </c>
      <c r="F108" s="175">
        <f t="shared" si="2"/>
        <v>3300000</v>
      </c>
      <c r="G108" s="176" t="s">
        <v>202</v>
      </c>
      <c r="H108" s="178"/>
      <c r="I108" s="178"/>
      <c r="J108" s="161"/>
      <c r="K108" s="161" t="s">
        <v>80</v>
      </c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9"/>
      <c r="X108" s="179"/>
      <c r="Y108" s="179"/>
      <c r="Z108" s="179"/>
      <c r="AA108" s="4"/>
      <c r="AB108" s="4"/>
      <c r="AC108" s="4"/>
      <c r="AD108" s="4"/>
      <c r="AE108" s="186"/>
      <c r="AF108" s="186"/>
      <c r="AG108" s="186"/>
      <c r="AH108" s="186"/>
      <c r="AI108" s="4"/>
      <c r="AJ108" s="2"/>
      <c r="AK108" s="2"/>
      <c r="AL108" s="2"/>
      <c r="AM108" s="2"/>
    </row>
    <row r="109" ht="17.25" customHeight="1">
      <c r="A109" s="172"/>
      <c r="B109" s="185"/>
      <c r="C109" s="174" t="s">
        <v>221</v>
      </c>
      <c r="D109" s="161" t="s">
        <v>80</v>
      </c>
      <c r="E109" s="175">
        <v>220000.0</v>
      </c>
      <c r="F109" s="175">
        <f t="shared" si="2"/>
        <v>220000</v>
      </c>
      <c r="G109" s="176" t="s">
        <v>202</v>
      </c>
      <c r="H109" s="178"/>
      <c r="I109" s="178"/>
      <c r="J109" s="161"/>
      <c r="K109" s="161" t="s">
        <v>80</v>
      </c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9"/>
      <c r="X109" s="179"/>
      <c r="Y109" s="179"/>
      <c r="Z109" s="179"/>
      <c r="AA109" s="4"/>
      <c r="AB109" s="4"/>
      <c r="AC109" s="4"/>
      <c r="AD109" s="4"/>
      <c r="AE109" s="186"/>
      <c r="AF109" s="186"/>
      <c r="AG109" s="186"/>
      <c r="AH109" s="186"/>
      <c r="AI109" s="4"/>
      <c r="AJ109" s="2"/>
      <c r="AK109" s="2"/>
      <c r="AL109" s="2"/>
      <c r="AM109" s="2"/>
    </row>
    <row r="110" ht="17.25" customHeight="1">
      <c r="A110" s="187"/>
      <c r="B110" s="185"/>
      <c r="C110" s="174" t="s">
        <v>222</v>
      </c>
      <c r="D110" s="161" t="s">
        <v>80</v>
      </c>
      <c r="E110" s="175">
        <v>220000.0</v>
      </c>
      <c r="F110" s="175">
        <f t="shared" si="2"/>
        <v>220000</v>
      </c>
      <c r="G110" s="176" t="s">
        <v>202</v>
      </c>
      <c r="H110" s="178"/>
      <c r="I110" s="178"/>
      <c r="J110" s="161"/>
      <c r="K110" s="161" t="s">
        <v>80</v>
      </c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9"/>
      <c r="X110" s="179"/>
      <c r="Y110" s="179"/>
      <c r="Z110" s="179"/>
      <c r="AA110" s="4"/>
      <c r="AB110" s="4"/>
      <c r="AC110" s="4"/>
      <c r="AD110" s="4"/>
      <c r="AE110" s="4"/>
      <c r="AF110" s="4"/>
      <c r="AG110" s="4"/>
      <c r="AH110" s="4"/>
      <c r="AI110" s="4"/>
      <c r="AJ110" s="2"/>
      <c r="AK110" s="2"/>
      <c r="AL110" s="2"/>
      <c r="AM110" s="2"/>
    </row>
    <row r="111" ht="17.25" customHeight="1">
      <c r="A111" s="188"/>
      <c r="B111" s="185"/>
      <c r="C111" s="174" t="s">
        <v>223</v>
      </c>
      <c r="D111" s="180" t="s">
        <v>80</v>
      </c>
      <c r="E111" s="175">
        <v>137000.0</v>
      </c>
      <c r="F111" s="175">
        <f t="shared" si="2"/>
        <v>137000</v>
      </c>
      <c r="G111" s="176" t="s">
        <v>202</v>
      </c>
      <c r="H111" s="178"/>
      <c r="I111" s="178"/>
      <c r="J111" s="180" t="s">
        <v>80</v>
      </c>
      <c r="K111" s="180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89"/>
      <c r="W111" s="190"/>
      <c r="X111" s="190"/>
      <c r="Y111" s="190"/>
      <c r="Z111" s="190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7.25" customHeight="1">
      <c r="A112" s="172"/>
      <c r="B112" s="185"/>
      <c r="C112" s="174" t="s">
        <v>224</v>
      </c>
      <c r="D112" s="180" t="s">
        <v>80</v>
      </c>
      <c r="E112" s="175">
        <v>170000.0</v>
      </c>
      <c r="F112" s="175">
        <f>E112*5</f>
        <v>850000</v>
      </c>
      <c r="G112" s="176" t="s">
        <v>202</v>
      </c>
      <c r="H112" s="178"/>
      <c r="I112" s="178"/>
      <c r="J112" s="180" t="s">
        <v>80</v>
      </c>
      <c r="K112" s="180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89"/>
      <c r="W112" s="190"/>
      <c r="X112" s="190"/>
      <c r="Y112" s="190"/>
      <c r="Z112" s="190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191"/>
      <c r="B113" s="192" t="s">
        <v>225</v>
      </c>
      <c r="C113" s="193"/>
      <c r="D113" s="193"/>
      <c r="E113" s="193"/>
      <c r="F113" s="193"/>
      <c r="G113" s="193"/>
      <c r="H113" s="193"/>
      <c r="I113" s="194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90"/>
      <c r="X113" s="190"/>
      <c r="Y113" s="190"/>
      <c r="Z113" s="190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2"/>
      <c r="B114" s="2"/>
      <c r="C114" s="195"/>
      <c r="D114" s="2"/>
      <c r="E114" s="2"/>
      <c r="F114" s="2"/>
      <c r="G114" s="19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197"/>
      <c r="B115" s="198"/>
      <c r="C115" s="198"/>
      <c r="D115" s="198"/>
      <c r="E115" s="199"/>
      <c r="F115" s="198"/>
      <c r="G115" s="200"/>
      <c r="H115" s="200"/>
      <c r="I115" s="198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2"/>
      <c r="AK115" s="202"/>
      <c r="AL115" s="202"/>
      <c r="AM115" s="2"/>
    </row>
    <row r="116">
      <c r="A116" s="203" t="s">
        <v>226</v>
      </c>
      <c r="D116" s="204">
        <f>sum(F90:F112)</f>
        <v>58948000</v>
      </c>
      <c r="E116" s="205"/>
      <c r="F116" s="205"/>
      <c r="G116" s="200"/>
      <c r="H116" s="200"/>
      <c r="I116" s="198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2"/>
      <c r="AK116" s="202"/>
      <c r="AL116" s="202"/>
      <c r="AM116" s="2"/>
    </row>
    <row r="117">
      <c r="A117" s="197"/>
      <c r="B117" s="198"/>
      <c r="C117" s="198"/>
      <c r="D117" s="198"/>
      <c r="E117" s="199"/>
      <c r="F117" s="198"/>
      <c r="G117" s="200"/>
      <c r="H117" s="200"/>
      <c r="I117" s="198"/>
      <c r="J117" s="201"/>
      <c r="K117" s="206"/>
      <c r="AH117" s="207"/>
      <c r="AI117" s="201"/>
      <c r="AJ117" s="202"/>
      <c r="AK117" s="202"/>
      <c r="AL117" s="202"/>
      <c r="AM117" s="2"/>
    </row>
    <row r="118">
      <c r="A118" s="208" t="s">
        <v>227</v>
      </c>
      <c r="F118" s="198"/>
      <c r="G118" s="200"/>
      <c r="H118" s="200"/>
      <c r="I118" s="198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2"/>
      <c r="AK118" s="202"/>
      <c r="AL118" s="202"/>
      <c r="AM118" s="2"/>
    </row>
    <row r="119">
      <c r="A119" s="198"/>
      <c r="B119" s="198"/>
      <c r="C119" s="198"/>
      <c r="D119" s="198"/>
      <c r="E119" s="199"/>
      <c r="F119" s="198"/>
      <c r="G119" s="200"/>
      <c r="H119" s="200"/>
      <c r="I119" s="198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2"/>
      <c r="AK119" s="202"/>
      <c r="AL119" s="202"/>
      <c r="AM119" s="2"/>
    </row>
    <row r="120">
      <c r="A120" s="209" t="s">
        <v>228</v>
      </c>
      <c r="B120" s="206"/>
      <c r="C120" s="210"/>
      <c r="D120" s="211" t="s">
        <v>229</v>
      </c>
      <c r="E120" s="206"/>
      <c r="F120" s="212"/>
      <c r="G120" s="209" t="s">
        <v>230</v>
      </c>
      <c r="H120" s="206"/>
      <c r="I120" s="206"/>
      <c r="J120" s="209" t="s">
        <v>231</v>
      </c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"/>
    </row>
    <row r="121">
      <c r="A121" s="206"/>
      <c r="B121" s="206"/>
      <c r="C121" s="210"/>
      <c r="D121" s="206"/>
      <c r="E121" s="213"/>
      <c r="F121" s="206"/>
      <c r="G121" s="206"/>
      <c r="H121" s="206"/>
      <c r="I121" s="206"/>
      <c r="J121" s="206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202"/>
      <c r="AF121" s="202"/>
      <c r="AG121" s="202"/>
      <c r="AH121" s="202"/>
      <c r="AI121" s="202"/>
      <c r="AJ121" s="202"/>
      <c r="AK121" s="202"/>
      <c r="AL121" s="202"/>
      <c r="AM121" s="2"/>
    </row>
    <row r="122">
      <c r="A122" s="206"/>
      <c r="B122" s="206"/>
      <c r="C122" s="210"/>
      <c r="D122" s="206"/>
      <c r="E122" s="213"/>
      <c r="F122" s="206"/>
      <c r="G122" s="206"/>
      <c r="H122" s="206"/>
      <c r="I122" s="206"/>
      <c r="J122" s="206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"/>
    </row>
    <row r="123">
      <c r="A123" s="214" t="s">
        <v>232</v>
      </c>
      <c r="D123" s="209" t="s">
        <v>233</v>
      </c>
      <c r="E123" s="206"/>
      <c r="F123" s="206"/>
      <c r="G123" s="209" t="s">
        <v>234</v>
      </c>
      <c r="H123" s="206"/>
      <c r="I123" s="206"/>
      <c r="J123" s="209" t="s">
        <v>235</v>
      </c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"/>
    </row>
    <row r="124">
      <c r="A124" s="215" t="s">
        <v>236</v>
      </c>
      <c r="D124" s="206" t="s">
        <v>237</v>
      </c>
      <c r="E124" s="206"/>
      <c r="F124" s="206"/>
      <c r="G124" s="206" t="s">
        <v>238</v>
      </c>
      <c r="H124" s="206"/>
      <c r="I124" s="206"/>
      <c r="J124" s="206" t="s">
        <v>239</v>
      </c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"/>
    </row>
    <row r="125">
      <c r="A125" s="206"/>
      <c r="B125" s="206"/>
      <c r="C125" s="210"/>
      <c r="D125" s="206"/>
      <c r="E125" s="213"/>
      <c r="F125" s="206"/>
      <c r="G125" s="206"/>
      <c r="H125" s="206"/>
      <c r="I125" s="206"/>
      <c r="J125" s="206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"/>
    </row>
    <row r="126">
      <c r="A126" s="206" t="s">
        <v>240</v>
      </c>
      <c r="B126" s="206"/>
      <c r="C126" s="210"/>
      <c r="D126" s="206" t="s">
        <v>240</v>
      </c>
      <c r="E126" s="213"/>
      <c r="F126" s="206"/>
      <c r="G126" s="206" t="s">
        <v>240</v>
      </c>
      <c r="H126" s="206"/>
      <c r="I126" s="206"/>
      <c r="J126" s="206" t="s">
        <v>240</v>
      </c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"/>
    </row>
    <row r="127">
      <c r="A127" s="210"/>
      <c r="B127" s="210"/>
      <c r="C127" s="210"/>
      <c r="D127" s="210"/>
      <c r="E127" s="210"/>
      <c r="F127" s="210"/>
      <c r="G127" s="210"/>
      <c r="H127" s="210"/>
      <c r="I127" s="210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202"/>
      <c r="AG127" s="202"/>
      <c r="AH127" s="202"/>
      <c r="AI127" s="202"/>
      <c r="AJ127" s="202"/>
      <c r="AK127" s="202"/>
      <c r="AL127" s="202"/>
      <c r="AM127" s="2"/>
    </row>
    <row r="128">
      <c r="A128" s="2"/>
      <c r="B128" s="2"/>
      <c r="C128" s="195"/>
      <c r="D128" s="2"/>
      <c r="E128" s="2"/>
      <c r="F128" s="2"/>
      <c r="G128" s="19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2"/>
      <c r="C129" s="195"/>
      <c r="D129" s="2"/>
      <c r="E129" s="2"/>
      <c r="F129" s="2"/>
      <c r="G129" s="19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2"/>
      <c r="B130" s="2"/>
      <c r="C130" s="195"/>
      <c r="D130" s="2"/>
      <c r="E130" s="2"/>
      <c r="F130" s="2"/>
      <c r="G130" s="19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2"/>
      <c r="B131" s="2"/>
      <c r="C131" s="195"/>
      <c r="D131" s="2"/>
      <c r="E131" s="2"/>
      <c r="F131" s="2"/>
      <c r="G131" s="19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2"/>
      <c r="B132" s="2"/>
      <c r="C132" s="195"/>
      <c r="D132" s="2"/>
      <c r="E132" s="2"/>
      <c r="F132" s="2"/>
      <c r="G132" s="19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2"/>
      <c r="B133" s="2"/>
      <c r="C133" s="195"/>
      <c r="D133" s="2"/>
      <c r="E133" s="2"/>
      <c r="F133" s="2"/>
      <c r="G133" s="19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2"/>
      <c r="B134" s="2"/>
      <c r="C134" s="195"/>
      <c r="D134" s="2"/>
      <c r="E134" s="2"/>
      <c r="F134" s="2"/>
      <c r="G134" s="19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2"/>
      <c r="B135" s="2"/>
      <c r="C135" s="195"/>
      <c r="D135" s="2"/>
      <c r="E135" s="2"/>
      <c r="F135" s="2"/>
      <c r="G135" s="19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195"/>
      <c r="D136" s="2"/>
      <c r="E136" s="2"/>
      <c r="F136" s="2"/>
      <c r="G136" s="19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195"/>
      <c r="D137" s="2"/>
      <c r="E137" s="2"/>
      <c r="F137" s="2"/>
      <c r="G137" s="19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195"/>
      <c r="D138" s="2"/>
      <c r="E138" s="2"/>
      <c r="F138" s="2"/>
      <c r="G138" s="19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195"/>
      <c r="D139" s="2"/>
      <c r="E139" s="2"/>
      <c r="F139" s="2"/>
      <c r="G139" s="19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195"/>
      <c r="D140" s="2"/>
      <c r="E140" s="2"/>
      <c r="F140" s="2"/>
      <c r="G140" s="19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195"/>
      <c r="D141" s="2"/>
      <c r="E141" s="2"/>
      <c r="F141" s="2"/>
      <c r="G141" s="19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195"/>
      <c r="D142" s="2"/>
      <c r="E142" s="2"/>
      <c r="F142" s="2"/>
      <c r="G142" s="19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195"/>
      <c r="D143" s="2"/>
      <c r="E143" s="2"/>
      <c r="F143" s="2"/>
      <c r="G143" s="19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195"/>
      <c r="D144" s="2"/>
      <c r="E144" s="2"/>
      <c r="F144" s="2"/>
      <c r="G144" s="19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195"/>
      <c r="D145" s="2"/>
      <c r="E145" s="2"/>
      <c r="F145" s="2"/>
      <c r="G145" s="19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195"/>
      <c r="D146" s="2"/>
      <c r="E146" s="2"/>
      <c r="F146" s="2"/>
      <c r="G146" s="19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195"/>
      <c r="D147" s="2"/>
      <c r="E147" s="2"/>
      <c r="F147" s="2"/>
      <c r="G147" s="19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195"/>
      <c r="D148" s="2"/>
      <c r="E148" s="2"/>
      <c r="F148" s="2"/>
      <c r="G148" s="19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195"/>
      <c r="D149" s="2"/>
      <c r="E149" s="2"/>
      <c r="F149" s="2"/>
      <c r="G149" s="19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195"/>
      <c r="D150" s="2"/>
      <c r="E150" s="2"/>
      <c r="F150" s="2"/>
      <c r="G150" s="19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195"/>
      <c r="D151" s="2"/>
      <c r="E151" s="2"/>
      <c r="F151" s="2"/>
      <c r="G151" s="19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195"/>
      <c r="D152" s="2"/>
      <c r="E152" s="2"/>
      <c r="F152" s="2"/>
      <c r="G152" s="19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195"/>
      <c r="D153" s="2"/>
      <c r="E153" s="2"/>
      <c r="F153" s="2"/>
      <c r="G153" s="19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195"/>
      <c r="D154" s="2"/>
      <c r="E154" s="2"/>
      <c r="F154" s="2"/>
      <c r="G154" s="19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195"/>
      <c r="D155" s="2"/>
      <c r="E155" s="2"/>
      <c r="F155" s="2"/>
      <c r="G155" s="19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195"/>
      <c r="D156" s="2"/>
      <c r="E156" s="2"/>
      <c r="F156" s="2"/>
      <c r="G156" s="19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195"/>
      <c r="D157" s="2"/>
      <c r="E157" s="2"/>
      <c r="F157" s="2"/>
      <c r="G157" s="19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195"/>
      <c r="D158" s="2"/>
      <c r="E158" s="2"/>
      <c r="F158" s="2"/>
      <c r="G158" s="19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195"/>
      <c r="D159" s="2"/>
      <c r="E159" s="2"/>
      <c r="F159" s="2"/>
      <c r="G159" s="19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195"/>
      <c r="D160" s="2"/>
      <c r="E160" s="2"/>
      <c r="F160" s="2"/>
      <c r="G160" s="19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195"/>
      <c r="D161" s="2"/>
      <c r="E161" s="2"/>
      <c r="F161" s="2"/>
      <c r="G161" s="19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195"/>
      <c r="D162" s="2"/>
      <c r="E162" s="2"/>
      <c r="F162" s="2"/>
      <c r="G162" s="19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195"/>
      <c r="D163" s="2"/>
      <c r="E163" s="2"/>
      <c r="F163" s="2"/>
      <c r="G163" s="19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195"/>
      <c r="D164" s="2"/>
      <c r="E164" s="2"/>
      <c r="F164" s="2"/>
      <c r="G164" s="19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195"/>
      <c r="D165" s="2"/>
      <c r="E165" s="2"/>
      <c r="F165" s="2"/>
      <c r="G165" s="19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195"/>
      <c r="D166" s="2"/>
      <c r="E166" s="2"/>
      <c r="F166" s="2"/>
      <c r="G166" s="19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195"/>
      <c r="D167" s="2"/>
      <c r="E167" s="2"/>
      <c r="F167" s="2"/>
      <c r="G167" s="19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195"/>
      <c r="D168" s="2"/>
      <c r="E168" s="2"/>
      <c r="F168" s="2"/>
      <c r="G168" s="19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195"/>
      <c r="D169" s="2"/>
      <c r="E169" s="2"/>
      <c r="F169" s="2"/>
      <c r="G169" s="19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195"/>
      <c r="D170" s="2"/>
      <c r="E170" s="2"/>
      <c r="F170" s="2"/>
      <c r="G170" s="19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195"/>
      <c r="D171" s="2"/>
      <c r="E171" s="2"/>
      <c r="F171" s="2"/>
      <c r="G171" s="19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195"/>
      <c r="D172" s="2"/>
      <c r="E172" s="2"/>
      <c r="F172" s="2"/>
      <c r="G172" s="19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195"/>
      <c r="D173" s="2"/>
      <c r="E173" s="2"/>
      <c r="F173" s="2"/>
      <c r="G173" s="19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195"/>
      <c r="D174" s="2"/>
      <c r="E174" s="2"/>
      <c r="F174" s="2"/>
      <c r="G174" s="19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195"/>
      <c r="D175" s="2"/>
      <c r="E175" s="2"/>
      <c r="F175" s="2"/>
      <c r="G175" s="19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195"/>
      <c r="D176" s="2"/>
      <c r="E176" s="2"/>
      <c r="F176" s="2"/>
      <c r="G176" s="19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195"/>
      <c r="D177" s="2"/>
      <c r="E177" s="2"/>
      <c r="F177" s="2"/>
      <c r="G177" s="19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195"/>
      <c r="D178" s="2"/>
      <c r="E178" s="2"/>
      <c r="F178" s="2"/>
      <c r="G178" s="19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195"/>
      <c r="D179" s="2"/>
      <c r="E179" s="2"/>
      <c r="F179" s="2"/>
      <c r="G179" s="19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195"/>
      <c r="D180" s="2"/>
      <c r="E180" s="2"/>
      <c r="F180" s="2"/>
      <c r="G180" s="19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195"/>
      <c r="D181" s="2"/>
      <c r="E181" s="2"/>
      <c r="F181" s="2"/>
      <c r="G181" s="19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195"/>
      <c r="D182" s="2"/>
      <c r="E182" s="2"/>
      <c r="F182" s="2"/>
      <c r="G182" s="19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195"/>
      <c r="D183" s="2"/>
      <c r="E183" s="2"/>
      <c r="F183" s="2"/>
      <c r="G183" s="19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195"/>
      <c r="D184" s="2"/>
      <c r="E184" s="2"/>
      <c r="F184" s="2"/>
      <c r="G184" s="19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195"/>
      <c r="D185" s="2"/>
      <c r="E185" s="2"/>
      <c r="F185" s="2"/>
      <c r="G185" s="19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195"/>
      <c r="D186" s="2"/>
      <c r="E186" s="2"/>
      <c r="F186" s="2"/>
      <c r="G186" s="19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195"/>
      <c r="D187" s="2"/>
      <c r="E187" s="2"/>
      <c r="F187" s="2"/>
      <c r="G187" s="19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195"/>
      <c r="D188" s="2"/>
      <c r="E188" s="2"/>
      <c r="F188" s="2"/>
      <c r="G188" s="19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195"/>
      <c r="D189" s="2"/>
      <c r="E189" s="2"/>
      <c r="F189" s="2"/>
      <c r="G189" s="19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195"/>
      <c r="D190" s="2"/>
      <c r="E190" s="2"/>
      <c r="F190" s="2"/>
      <c r="G190" s="19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195"/>
      <c r="D191" s="2"/>
      <c r="E191" s="2"/>
      <c r="F191" s="2"/>
      <c r="G191" s="19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195"/>
      <c r="D192" s="2"/>
      <c r="E192" s="2"/>
      <c r="F192" s="2"/>
      <c r="G192" s="19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195"/>
      <c r="D193" s="2"/>
      <c r="E193" s="2"/>
      <c r="F193" s="2"/>
      <c r="G193" s="19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195"/>
      <c r="D194" s="2"/>
      <c r="E194" s="2"/>
      <c r="F194" s="2"/>
      <c r="G194" s="19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195"/>
      <c r="D195" s="2"/>
      <c r="E195" s="2"/>
      <c r="F195" s="2"/>
      <c r="G195" s="19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195"/>
      <c r="D196" s="2"/>
      <c r="E196" s="2"/>
      <c r="F196" s="2"/>
      <c r="G196" s="19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195"/>
      <c r="D197" s="2"/>
      <c r="E197" s="2"/>
      <c r="F197" s="2"/>
      <c r="G197" s="19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195"/>
      <c r="D198" s="2"/>
      <c r="E198" s="2"/>
      <c r="F198" s="2"/>
      <c r="G198" s="19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195"/>
      <c r="D199" s="2"/>
      <c r="E199" s="2"/>
      <c r="F199" s="2"/>
      <c r="G199" s="19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195"/>
      <c r="D200" s="2"/>
      <c r="E200" s="2"/>
      <c r="F200" s="2"/>
      <c r="G200" s="19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195"/>
      <c r="D201" s="2"/>
      <c r="E201" s="2"/>
      <c r="F201" s="2"/>
      <c r="G201" s="19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195"/>
      <c r="D202" s="2"/>
      <c r="E202" s="2"/>
      <c r="F202" s="2"/>
      <c r="G202" s="19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195"/>
      <c r="D203" s="2"/>
      <c r="E203" s="2"/>
      <c r="F203" s="2"/>
      <c r="G203" s="19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195"/>
      <c r="D204" s="2"/>
      <c r="E204" s="2"/>
      <c r="F204" s="2"/>
      <c r="G204" s="19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195"/>
      <c r="D205" s="2"/>
      <c r="E205" s="2"/>
      <c r="F205" s="2"/>
      <c r="G205" s="19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195"/>
      <c r="D206" s="2"/>
      <c r="E206" s="2"/>
      <c r="F206" s="2"/>
      <c r="G206" s="19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195"/>
      <c r="D207" s="2"/>
      <c r="E207" s="2"/>
      <c r="F207" s="2"/>
      <c r="G207" s="19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195"/>
      <c r="D208" s="2"/>
      <c r="E208" s="2"/>
      <c r="F208" s="2"/>
      <c r="G208" s="19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195"/>
      <c r="D209" s="2"/>
      <c r="E209" s="2"/>
      <c r="F209" s="2"/>
      <c r="G209" s="19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195"/>
      <c r="D210" s="2"/>
      <c r="E210" s="2"/>
      <c r="F210" s="2"/>
      <c r="G210" s="19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195"/>
      <c r="D211" s="2"/>
      <c r="E211" s="2"/>
      <c r="F211" s="2"/>
      <c r="G211" s="19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195"/>
      <c r="D212" s="2"/>
      <c r="E212" s="2"/>
      <c r="F212" s="2"/>
      <c r="G212" s="19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195"/>
      <c r="D213" s="2"/>
      <c r="E213" s="2"/>
      <c r="F213" s="2"/>
      <c r="G213" s="19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195"/>
      <c r="D214" s="2"/>
      <c r="E214" s="2"/>
      <c r="F214" s="2"/>
      <c r="G214" s="19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195"/>
      <c r="D215" s="2"/>
      <c r="E215" s="2"/>
      <c r="F215" s="2"/>
      <c r="G215" s="19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195"/>
      <c r="D216" s="2"/>
      <c r="E216" s="2"/>
      <c r="F216" s="2"/>
      <c r="G216" s="19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195"/>
      <c r="D217" s="2"/>
      <c r="E217" s="2"/>
      <c r="F217" s="2"/>
      <c r="G217" s="19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195"/>
      <c r="D218" s="2"/>
      <c r="E218" s="2"/>
      <c r="F218" s="2"/>
      <c r="G218" s="19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195"/>
      <c r="D219" s="2"/>
      <c r="E219" s="2"/>
      <c r="F219" s="2"/>
      <c r="G219" s="19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195"/>
      <c r="D220" s="2"/>
      <c r="E220" s="2"/>
      <c r="F220" s="2"/>
      <c r="G220" s="19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195"/>
      <c r="D221" s="2"/>
      <c r="E221" s="2"/>
      <c r="F221" s="2"/>
      <c r="G221" s="19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195"/>
      <c r="D222" s="2"/>
      <c r="E222" s="2"/>
      <c r="F222" s="2"/>
      <c r="G222" s="19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195"/>
      <c r="D223" s="2"/>
      <c r="E223" s="2"/>
      <c r="F223" s="2"/>
      <c r="G223" s="19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195"/>
      <c r="D224" s="2"/>
      <c r="E224" s="2"/>
      <c r="F224" s="2"/>
      <c r="G224" s="19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195"/>
      <c r="D225" s="2"/>
      <c r="E225" s="2"/>
      <c r="F225" s="2"/>
      <c r="G225" s="19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195"/>
      <c r="D226" s="2"/>
      <c r="E226" s="2"/>
      <c r="F226" s="2"/>
      <c r="G226" s="19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195"/>
      <c r="D227" s="2"/>
      <c r="E227" s="2"/>
      <c r="F227" s="2"/>
      <c r="G227" s="19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195"/>
      <c r="D228" s="2"/>
      <c r="E228" s="2"/>
      <c r="F228" s="2"/>
      <c r="G228" s="19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195"/>
      <c r="D229" s="2"/>
      <c r="E229" s="2"/>
      <c r="F229" s="2"/>
      <c r="G229" s="19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195"/>
      <c r="D230" s="2"/>
      <c r="E230" s="2"/>
      <c r="F230" s="2"/>
      <c r="G230" s="19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195"/>
      <c r="D231" s="2"/>
      <c r="E231" s="2"/>
      <c r="F231" s="2"/>
      <c r="G231" s="19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195"/>
      <c r="D232" s="2"/>
      <c r="E232" s="2"/>
      <c r="F232" s="2"/>
      <c r="G232" s="19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195"/>
      <c r="D233" s="2"/>
      <c r="E233" s="2"/>
      <c r="F233" s="2"/>
      <c r="G233" s="19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195"/>
      <c r="D234" s="2"/>
      <c r="E234" s="2"/>
      <c r="F234" s="2"/>
      <c r="G234" s="19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195"/>
      <c r="D235" s="2"/>
      <c r="E235" s="2"/>
      <c r="F235" s="2"/>
      <c r="G235" s="19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195"/>
      <c r="D236" s="2"/>
      <c r="E236" s="2"/>
      <c r="F236" s="2"/>
      <c r="G236" s="19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195"/>
      <c r="D237" s="2"/>
      <c r="E237" s="2"/>
      <c r="F237" s="2"/>
      <c r="G237" s="19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195"/>
      <c r="D238" s="2"/>
      <c r="E238" s="2"/>
      <c r="F238" s="2"/>
      <c r="G238" s="19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195"/>
      <c r="D239" s="2"/>
      <c r="E239" s="2"/>
      <c r="F239" s="2"/>
      <c r="G239" s="19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195"/>
      <c r="D240" s="2"/>
      <c r="E240" s="2"/>
      <c r="F240" s="2"/>
      <c r="G240" s="19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195"/>
      <c r="D241" s="2"/>
      <c r="E241" s="2"/>
      <c r="F241" s="2"/>
      <c r="G241" s="19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195"/>
      <c r="D242" s="2"/>
      <c r="E242" s="2"/>
      <c r="F242" s="2"/>
      <c r="G242" s="19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195"/>
      <c r="D243" s="2"/>
      <c r="E243" s="2"/>
      <c r="F243" s="2"/>
      <c r="G243" s="19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195"/>
      <c r="D244" s="2"/>
      <c r="E244" s="2"/>
      <c r="F244" s="2"/>
      <c r="G244" s="19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195"/>
      <c r="D245" s="2"/>
      <c r="E245" s="2"/>
      <c r="F245" s="2"/>
      <c r="G245" s="19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195"/>
      <c r="D246" s="2"/>
      <c r="E246" s="2"/>
      <c r="F246" s="2"/>
      <c r="G246" s="19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195"/>
      <c r="D247" s="2"/>
      <c r="E247" s="2"/>
      <c r="F247" s="2"/>
      <c r="G247" s="19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195"/>
      <c r="D248" s="2"/>
      <c r="E248" s="2"/>
      <c r="F248" s="2"/>
      <c r="G248" s="19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195"/>
      <c r="D249" s="2"/>
      <c r="E249" s="2"/>
      <c r="F249" s="2"/>
      <c r="G249" s="19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195"/>
      <c r="D250" s="2"/>
      <c r="E250" s="2"/>
      <c r="F250" s="2"/>
      <c r="G250" s="19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195"/>
      <c r="D251" s="2"/>
      <c r="E251" s="2"/>
      <c r="F251" s="2"/>
      <c r="G251" s="19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195"/>
      <c r="D252" s="2"/>
      <c r="E252" s="2"/>
      <c r="F252" s="2"/>
      <c r="G252" s="19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195"/>
      <c r="D253" s="2"/>
      <c r="E253" s="2"/>
      <c r="F253" s="2"/>
      <c r="G253" s="19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195"/>
      <c r="D254" s="2"/>
      <c r="E254" s="2"/>
      <c r="F254" s="2"/>
      <c r="G254" s="19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195"/>
      <c r="D255" s="2"/>
      <c r="E255" s="2"/>
      <c r="F255" s="2"/>
      <c r="G255" s="19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195"/>
      <c r="D256" s="2"/>
      <c r="E256" s="2"/>
      <c r="F256" s="2"/>
      <c r="G256" s="19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195"/>
      <c r="D257" s="2"/>
      <c r="E257" s="2"/>
      <c r="F257" s="2"/>
      <c r="G257" s="19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195"/>
      <c r="D258" s="2"/>
      <c r="E258" s="2"/>
      <c r="F258" s="2"/>
      <c r="G258" s="19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195"/>
      <c r="D259" s="2"/>
      <c r="E259" s="2"/>
      <c r="F259" s="2"/>
      <c r="G259" s="19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195"/>
      <c r="D260" s="2"/>
      <c r="E260" s="2"/>
      <c r="F260" s="2"/>
      <c r="G260" s="19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195"/>
      <c r="D261" s="2"/>
      <c r="E261" s="2"/>
      <c r="F261" s="2"/>
      <c r="G261" s="19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195"/>
      <c r="D262" s="2"/>
      <c r="E262" s="2"/>
      <c r="F262" s="2"/>
      <c r="G262" s="19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195"/>
      <c r="D263" s="2"/>
      <c r="E263" s="2"/>
      <c r="F263" s="2"/>
      <c r="G263" s="19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195"/>
      <c r="D264" s="2"/>
      <c r="E264" s="2"/>
      <c r="F264" s="2"/>
      <c r="G264" s="19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195"/>
      <c r="D265" s="2"/>
      <c r="E265" s="2"/>
      <c r="F265" s="2"/>
      <c r="G265" s="19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195"/>
      <c r="D266" s="2"/>
      <c r="E266" s="2"/>
      <c r="F266" s="2"/>
      <c r="G266" s="19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195"/>
      <c r="D267" s="2"/>
      <c r="E267" s="2"/>
      <c r="F267" s="2"/>
      <c r="G267" s="19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195"/>
      <c r="D268" s="2"/>
      <c r="E268" s="2"/>
      <c r="F268" s="2"/>
      <c r="G268" s="19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195"/>
      <c r="D269" s="2"/>
      <c r="E269" s="2"/>
      <c r="F269" s="2"/>
      <c r="G269" s="19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195"/>
      <c r="D270" s="2"/>
      <c r="E270" s="2"/>
      <c r="F270" s="2"/>
      <c r="G270" s="19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195"/>
      <c r="D271" s="2"/>
      <c r="E271" s="2"/>
      <c r="F271" s="2"/>
      <c r="G271" s="19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195"/>
      <c r="D272" s="2"/>
      <c r="E272" s="2"/>
      <c r="F272" s="2"/>
      <c r="G272" s="19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195"/>
      <c r="D273" s="2"/>
      <c r="E273" s="2"/>
      <c r="F273" s="2"/>
      <c r="G273" s="19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195"/>
      <c r="D274" s="2"/>
      <c r="E274" s="2"/>
      <c r="F274" s="2"/>
      <c r="G274" s="19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195"/>
      <c r="D275" s="2"/>
      <c r="E275" s="2"/>
      <c r="F275" s="2"/>
      <c r="G275" s="19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195"/>
      <c r="D276" s="2"/>
      <c r="E276" s="2"/>
      <c r="F276" s="2"/>
      <c r="G276" s="19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195"/>
      <c r="D277" s="2"/>
      <c r="E277" s="2"/>
      <c r="F277" s="2"/>
      <c r="G277" s="19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195"/>
      <c r="D278" s="2"/>
      <c r="E278" s="2"/>
      <c r="F278" s="2"/>
      <c r="G278" s="19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195"/>
      <c r="D279" s="2"/>
      <c r="E279" s="2"/>
      <c r="F279" s="2"/>
      <c r="G279" s="19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195"/>
      <c r="D280" s="2"/>
      <c r="E280" s="2"/>
      <c r="F280" s="2"/>
      <c r="G280" s="19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195"/>
      <c r="D281" s="2"/>
      <c r="E281" s="2"/>
      <c r="F281" s="2"/>
      <c r="G281" s="19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195"/>
      <c r="D282" s="2"/>
      <c r="E282" s="2"/>
      <c r="F282" s="2"/>
      <c r="G282" s="19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195"/>
      <c r="D283" s="2"/>
      <c r="E283" s="2"/>
      <c r="F283" s="2"/>
      <c r="G283" s="19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195"/>
      <c r="D284" s="2"/>
      <c r="E284" s="2"/>
      <c r="F284" s="2"/>
      <c r="G284" s="19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195"/>
      <c r="D285" s="2"/>
      <c r="E285" s="2"/>
      <c r="F285" s="2"/>
      <c r="G285" s="19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195"/>
      <c r="D286" s="2"/>
      <c r="E286" s="2"/>
      <c r="F286" s="2"/>
      <c r="G286" s="19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195"/>
      <c r="D287" s="2"/>
      <c r="E287" s="2"/>
      <c r="F287" s="2"/>
      <c r="G287" s="19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195"/>
      <c r="D288" s="2"/>
      <c r="E288" s="2"/>
      <c r="F288" s="2"/>
      <c r="G288" s="19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195"/>
      <c r="D289" s="2"/>
      <c r="E289" s="2"/>
      <c r="F289" s="2"/>
      <c r="G289" s="19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195"/>
      <c r="D290" s="2"/>
      <c r="E290" s="2"/>
      <c r="F290" s="2"/>
      <c r="G290" s="19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195"/>
      <c r="D291" s="2"/>
      <c r="E291" s="2"/>
      <c r="F291" s="2"/>
      <c r="G291" s="19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195"/>
      <c r="D292" s="2"/>
      <c r="E292" s="2"/>
      <c r="F292" s="2"/>
      <c r="G292" s="19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195"/>
      <c r="D293" s="2"/>
      <c r="E293" s="2"/>
      <c r="F293" s="2"/>
      <c r="G293" s="19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195"/>
      <c r="D294" s="2"/>
      <c r="E294" s="2"/>
      <c r="F294" s="2"/>
      <c r="G294" s="19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195"/>
      <c r="D295" s="2"/>
      <c r="E295" s="2"/>
      <c r="F295" s="2"/>
      <c r="G295" s="19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195"/>
      <c r="D296" s="2"/>
      <c r="E296" s="2"/>
      <c r="F296" s="2"/>
      <c r="G296" s="19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195"/>
      <c r="D297" s="2"/>
      <c r="E297" s="2"/>
      <c r="F297" s="2"/>
      <c r="G297" s="19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195"/>
      <c r="D298" s="2"/>
      <c r="E298" s="2"/>
      <c r="F298" s="2"/>
      <c r="G298" s="19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195"/>
      <c r="D299" s="2"/>
      <c r="E299" s="2"/>
      <c r="F299" s="2"/>
      <c r="G299" s="19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195"/>
      <c r="D300" s="2"/>
      <c r="E300" s="2"/>
      <c r="F300" s="2"/>
      <c r="G300" s="19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195"/>
      <c r="D301" s="2"/>
      <c r="E301" s="2"/>
      <c r="F301" s="2"/>
      <c r="G301" s="19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195"/>
      <c r="D302" s="2"/>
      <c r="E302" s="2"/>
      <c r="F302" s="2"/>
      <c r="G302" s="19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195"/>
      <c r="D303" s="2"/>
      <c r="E303" s="2"/>
      <c r="F303" s="2"/>
      <c r="G303" s="19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195"/>
      <c r="D304" s="2"/>
      <c r="E304" s="2"/>
      <c r="F304" s="2"/>
      <c r="G304" s="19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195"/>
      <c r="D305" s="2"/>
      <c r="E305" s="2"/>
      <c r="F305" s="2"/>
      <c r="G305" s="19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195"/>
      <c r="D306" s="2"/>
      <c r="E306" s="2"/>
      <c r="F306" s="2"/>
      <c r="G306" s="19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195"/>
      <c r="D307" s="2"/>
      <c r="E307" s="2"/>
      <c r="F307" s="2"/>
      <c r="G307" s="19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195"/>
      <c r="D308" s="2"/>
      <c r="E308" s="2"/>
      <c r="F308" s="2"/>
      <c r="G308" s="19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195"/>
      <c r="D309" s="2"/>
      <c r="E309" s="2"/>
      <c r="F309" s="2"/>
      <c r="G309" s="19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195"/>
      <c r="D310" s="2"/>
      <c r="E310" s="2"/>
      <c r="F310" s="2"/>
      <c r="G310" s="19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195"/>
      <c r="D311" s="2"/>
      <c r="E311" s="2"/>
      <c r="F311" s="2"/>
      <c r="G311" s="19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195"/>
      <c r="D312" s="2"/>
      <c r="E312" s="2"/>
      <c r="F312" s="2"/>
      <c r="G312" s="19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195"/>
      <c r="D313" s="2"/>
      <c r="E313" s="2"/>
      <c r="F313" s="2"/>
      <c r="G313" s="19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195"/>
      <c r="D314" s="2"/>
      <c r="E314" s="2"/>
      <c r="F314" s="2"/>
      <c r="G314" s="19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195"/>
      <c r="D315" s="2"/>
      <c r="E315" s="2"/>
      <c r="F315" s="2"/>
      <c r="G315" s="19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195"/>
      <c r="D316" s="2"/>
      <c r="E316" s="2"/>
      <c r="F316" s="2"/>
      <c r="G316" s="19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195"/>
      <c r="D317" s="2"/>
      <c r="E317" s="2"/>
      <c r="F317" s="2"/>
      <c r="G317" s="19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195"/>
      <c r="D318" s="2"/>
      <c r="E318" s="2"/>
      <c r="F318" s="2"/>
      <c r="G318" s="19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195"/>
      <c r="D319" s="2"/>
      <c r="E319" s="2"/>
      <c r="F319" s="2"/>
      <c r="G319" s="19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195"/>
      <c r="D320" s="2"/>
      <c r="E320" s="2"/>
      <c r="F320" s="2"/>
      <c r="G320" s="19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195"/>
      <c r="D321" s="2"/>
      <c r="E321" s="2"/>
      <c r="F321" s="2"/>
      <c r="G321" s="19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195"/>
      <c r="D322" s="2"/>
      <c r="E322" s="2"/>
      <c r="F322" s="2"/>
      <c r="G322" s="19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195"/>
      <c r="D323" s="2"/>
      <c r="E323" s="2"/>
      <c r="F323" s="2"/>
      <c r="G323" s="19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195"/>
      <c r="D324" s="2"/>
      <c r="E324" s="2"/>
      <c r="F324" s="2"/>
      <c r="G324" s="19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195"/>
      <c r="D325" s="2"/>
      <c r="E325" s="2"/>
      <c r="F325" s="2"/>
      <c r="G325" s="19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195"/>
      <c r="D326" s="2"/>
      <c r="E326" s="2"/>
      <c r="F326" s="2"/>
      <c r="G326" s="19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195"/>
      <c r="D327" s="2"/>
      <c r="E327" s="2"/>
      <c r="F327" s="2"/>
      <c r="G327" s="19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195"/>
      <c r="D328" s="2"/>
      <c r="E328" s="2"/>
      <c r="F328" s="2"/>
      <c r="G328" s="19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195"/>
      <c r="D329" s="2"/>
      <c r="E329" s="2"/>
      <c r="F329" s="2"/>
      <c r="G329" s="19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195"/>
      <c r="D330" s="2"/>
      <c r="E330" s="2"/>
      <c r="F330" s="2"/>
      <c r="G330" s="19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195"/>
      <c r="D331" s="2"/>
      <c r="E331" s="2"/>
      <c r="F331" s="2"/>
      <c r="G331" s="19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195"/>
      <c r="D332" s="2"/>
      <c r="E332" s="2"/>
      <c r="F332" s="2"/>
      <c r="G332" s="19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195"/>
      <c r="D333" s="2"/>
      <c r="E333" s="2"/>
      <c r="F333" s="2"/>
      <c r="G333" s="19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195"/>
      <c r="D334" s="2"/>
      <c r="E334" s="2"/>
      <c r="F334" s="2"/>
      <c r="G334" s="19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195"/>
      <c r="D335" s="2"/>
      <c r="E335" s="2"/>
      <c r="F335" s="2"/>
      <c r="G335" s="19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195"/>
      <c r="D336" s="2"/>
      <c r="E336" s="2"/>
      <c r="F336" s="2"/>
      <c r="G336" s="19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195"/>
      <c r="D337" s="2"/>
      <c r="E337" s="2"/>
      <c r="F337" s="2"/>
      <c r="G337" s="19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195"/>
      <c r="D338" s="2"/>
      <c r="E338" s="2"/>
      <c r="F338" s="2"/>
      <c r="G338" s="19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195"/>
      <c r="D339" s="2"/>
      <c r="E339" s="2"/>
      <c r="F339" s="2"/>
      <c r="G339" s="19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195"/>
      <c r="D340" s="2"/>
      <c r="E340" s="2"/>
      <c r="F340" s="2"/>
      <c r="G340" s="19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195"/>
      <c r="D341" s="2"/>
      <c r="E341" s="2"/>
      <c r="F341" s="2"/>
      <c r="G341" s="19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195"/>
      <c r="D342" s="2"/>
      <c r="E342" s="2"/>
      <c r="F342" s="2"/>
      <c r="G342" s="19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195"/>
      <c r="D343" s="2"/>
      <c r="E343" s="2"/>
      <c r="F343" s="2"/>
      <c r="G343" s="19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195"/>
      <c r="D344" s="2"/>
      <c r="E344" s="2"/>
      <c r="F344" s="2"/>
      <c r="G344" s="19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195"/>
      <c r="D345" s="2"/>
      <c r="E345" s="2"/>
      <c r="F345" s="2"/>
      <c r="G345" s="19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195"/>
      <c r="D346" s="2"/>
      <c r="E346" s="2"/>
      <c r="F346" s="2"/>
      <c r="G346" s="19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195"/>
      <c r="D347" s="2"/>
      <c r="E347" s="2"/>
      <c r="F347" s="2"/>
      <c r="G347" s="19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195"/>
      <c r="D348" s="2"/>
      <c r="E348" s="2"/>
      <c r="F348" s="2"/>
      <c r="G348" s="19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195"/>
      <c r="D349" s="2"/>
      <c r="E349" s="2"/>
      <c r="F349" s="2"/>
      <c r="G349" s="19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195"/>
      <c r="D350" s="2"/>
      <c r="E350" s="2"/>
      <c r="F350" s="2"/>
      <c r="G350" s="19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195"/>
      <c r="D351" s="2"/>
      <c r="E351" s="2"/>
      <c r="F351" s="2"/>
      <c r="G351" s="19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195"/>
      <c r="D352" s="2"/>
      <c r="E352" s="2"/>
      <c r="F352" s="2"/>
      <c r="G352" s="19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195"/>
      <c r="D353" s="2"/>
      <c r="E353" s="2"/>
      <c r="F353" s="2"/>
      <c r="G353" s="19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195"/>
      <c r="D354" s="2"/>
      <c r="E354" s="2"/>
      <c r="F354" s="2"/>
      <c r="G354" s="19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195"/>
      <c r="D355" s="2"/>
      <c r="E355" s="2"/>
      <c r="F355" s="2"/>
      <c r="G355" s="19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195"/>
      <c r="D356" s="2"/>
      <c r="E356" s="2"/>
      <c r="F356" s="2"/>
      <c r="G356" s="19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195"/>
      <c r="D357" s="2"/>
      <c r="E357" s="2"/>
      <c r="F357" s="2"/>
      <c r="G357" s="19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195"/>
      <c r="D358" s="2"/>
      <c r="E358" s="2"/>
      <c r="F358" s="2"/>
      <c r="G358" s="19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195"/>
      <c r="D359" s="2"/>
      <c r="E359" s="2"/>
      <c r="F359" s="2"/>
      <c r="G359" s="19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195"/>
      <c r="D360" s="2"/>
      <c r="E360" s="2"/>
      <c r="F360" s="2"/>
      <c r="G360" s="19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195"/>
      <c r="D361" s="2"/>
      <c r="E361" s="2"/>
      <c r="F361" s="2"/>
      <c r="G361" s="19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195"/>
      <c r="D362" s="2"/>
      <c r="E362" s="2"/>
      <c r="F362" s="2"/>
      <c r="G362" s="19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195"/>
      <c r="D363" s="2"/>
      <c r="E363" s="2"/>
      <c r="F363" s="2"/>
      <c r="G363" s="19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195"/>
      <c r="D364" s="2"/>
      <c r="E364" s="2"/>
      <c r="F364" s="2"/>
      <c r="G364" s="19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195"/>
      <c r="D365" s="2"/>
      <c r="E365" s="2"/>
      <c r="F365" s="2"/>
      <c r="G365" s="19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195"/>
      <c r="D366" s="2"/>
      <c r="E366" s="2"/>
      <c r="F366" s="2"/>
      <c r="G366" s="19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195"/>
      <c r="D367" s="2"/>
      <c r="E367" s="2"/>
      <c r="F367" s="2"/>
      <c r="G367" s="19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195"/>
      <c r="D368" s="2"/>
      <c r="E368" s="2"/>
      <c r="F368" s="2"/>
      <c r="G368" s="19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195"/>
      <c r="D369" s="2"/>
      <c r="E369" s="2"/>
      <c r="F369" s="2"/>
      <c r="G369" s="19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195"/>
      <c r="D370" s="2"/>
      <c r="E370" s="2"/>
      <c r="F370" s="2"/>
      <c r="G370" s="19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195"/>
      <c r="D371" s="2"/>
      <c r="E371" s="2"/>
      <c r="F371" s="2"/>
      <c r="G371" s="19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195"/>
      <c r="D372" s="2"/>
      <c r="E372" s="2"/>
      <c r="F372" s="2"/>
      <c r="G372" s="19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195"/>
      <c r="D373" s="2"/>
      <c r="E373" s="2"/>
      <c r="F373" s="2"/>
      <c r="G373" s="19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195"/>
      <c r="D374" s="2"/>
      <c r="E374" s="2"/>
      <c r="F374" s="2"/>
      <c r="G374" s="19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195"/>
      <c r="D375" s="2"/>
      <c r="E375" s="2"/>
      <c r="F375" s="2"/>
      <c r="G375" s="19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195"/>
      <c r="D376" s="2"/>
      <c r="E376" s="2"/>
      <c r="F376" s="2"/>
      <c r="G376" s="19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195"/>
      <c r="D377" s="2"/>
      <c r="E377" s="2"/>
      <c r="F377" s="2"/>
      <c r="G377" s="19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195"/>
      <c r="D378" s="2"/>
      <c r="E378" s="2"/>
      <c r="F378" s="2"/>
      <c r="G378" s="19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195"/>
      <c r="D379" s="2"/>
      <c r="E379" s="2"/>
      <c r="F379" s="2"/>
      <c r="G379" s="19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195"/>
      <c r="D380" s="2"/>
      <c r="E380" s="2"/>
      <c r="F380" s="2"/>
      <c r="G380" s="19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195"/>
      <c r="D381" s="2"/>
      <c r="E381" s="2"/>
      <c r="F381" s="2"/>
      <c r="G381" s="19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195"/>
      <c r="D382" s="2"/>
      <c r="E382" s="2"/>
      <c r="F382" s="2"/>
      <c r="G382" s="19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195"/>
      <c r="D383" s="2"/>
      <c r="E383" s="2"/>
      <c r="F383" s="2"/>
      <c r="G383" s="19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195"/>
      <c r="D384" s="2"/>
      <c r="E384" s="2"/>
      <c r="F384" s="2"/>
      <c r="G384" s="19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195"/>
      <c r="D385" s="2"/>
      <c r="E385" s="2"/>
      <c r="F385" s="2"/>
      <c r="G385" s="19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195"/>
      <c r="D386" s="2"/>
      <c r="E386" s="2"/>
      <c r="F386" s="2"/>
      <c r="G386" s="19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195"/>
      <c r="D387" s="2"/>
      <c r="E387" s="2"/>
      <c r="F387" s="2"/>
      <c r="G387" s="19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195"/>
      <c r="D388" s="2"/>
      <c r="E388" s="2"/>
      <c r="F388" s="2"/>
      <c r="G388" s="19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195"/>
      <c r="D389" s="2"/>
      <c r="E389" s="2"/>
      <c r="F389" s="2"/>
      <c r="G389" s="19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195"/>
      <c r="D390" s="2"/>
      <c r="E390" s="2"/>
      <c r="F390" s="2"/>
      <c r="G390" s="19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195"/>
      <c r="D391" s="2"/>
      <c r="E391" s="2"/>
      <c r="F391" s="2"/>
      <c r="G391" s="19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195"/>
      <c r="D392" s="2"/>
      <c r="E392" s="2"/>
      <c r="F392" s="2"/>
      <c r="G392" s="19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195"/>
      <c r="D393" s="2"/>
      <c r="E393" s="2"/>
      <c r="F393" s="2"/>
      <c r="G393" s="19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195"/>
      <c r="D394" s="2"/>
      <c r="E394" s="2"/>
      <c r="F394" s="2"/>
      <c r="G394" s="19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195"/>
      <c r="D395" s="2"/>
      <c r="E395" s="2"/>
      <c r="F395" s="2"/>
      <c r="G395" s="19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195"/>
      <c r="D396" s="2"/>
      <c r="E396" s="2"/>
      <c r="F396" s="2"/>
      <c r="G396" s="19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195"/>
      <c r="D397" s="2"/>
      <c r="E397" s="2"/>
      <c r="F397" s="2"/>
      <c r="G397" s="19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195"/>
      <c r="D398" s="2"/>
      <c r="E398" s="2"/>
      <c r="F398" s="2"/>
      <c r="G398" s="19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195"/>
      <c r="D399" s="2"/>
      <c r="E399" s="2"/>
      <c r="F399" s="2"/>
      <c r="G399" s="19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195"/>
      <c r="D400" s="2"/>
      <c r="E400" s="2"/>
      <c r="F400" s="2"/>
      <c r="G400" s="19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195"/>
      <c r="D401" s="2"/>
      <c r="E401" s="2"/>
      <c r="F401" s="2"/>
      <c r="G401" s="19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195"/>
      <c r="D402" s="2"/>
      <c r="E402" s="2"/>
      <c r="F402" s="2"/>
      <c r="G402" s="19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195"/>
      <c r="D403" s="2"/>
      <c r="E403" s="2"/>
      <c r="F403" s="2"/>
      <c r="G403" s="19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195"/>
      <c r="D404" s="2"/>
      <c r="E404" s="2"/>
      <c r="F404" s="2"/>
      <c r="G404" s="19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195"/>
      <c r="D405" s="2"/>
      <c r="E405" s="2"/>
      <c r="F405" s="2"/>
      <c r="G405" s="19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195"/>
      <c r="D406" s="2"/>
      <c r="E406" s="2"/>
      <c r="F406" s="2"/>
      <c r="G406" s="19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195"/>
      <c r="D407" s="2"/>
      <c r="E407" s="2"/>
      <c r="F407" s="2"/>
      <c r="G407" s="19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195"/>
      <c r="D408" s="2"/>
      <c r="E408" s="2"/>
      <c r="F408" s="2"/>
      <c r="G408" s="19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195"/>
      <c r="D409" s="2"/>
      <c r="E409" s="2"/>
      <c r="F409" s="2"/>
      <c r="G409" s="19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195"/>
      <c r="D410" s="2"/>
      <c r="E410" s="2"/>
      <c r="F410" s="2"/>
      <c r="G410" s="19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195"/>
      <c r="D411" s="2"/>
      <c r="E411" s="2"/>
      <c r="F411" s="2"/>
      <c r="G411" s="19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195"/>
      <c r="D412" s="2"/>
      <c r="E412" s="2"/>
      <c r="F412" s="2"/>
      <c r="G412" s="19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195"/>
      <c r="D413" s="2"/>
      <c r="E413" s="2"/>
      <c r="F413" s="2"/>
      <c r="G413" s="19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195"/>
      <c r="D414" s="2"/>
      <c r="E414" s="2"/>
      <c r="F414" s="2"/>
      <c r="G414" s="19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195"/>
      <c r="D415" s="2"/>
      <c r="E415" s="2"/>
      <c r="F415" s="2"/>
      <c r="G415" s="19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195"/>
      <c r="D416" s="2"/>
      <c r="E416" s="2"/>
      <c r="F416" s="2"/>
      <c r="G416" s="19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195"/>
      <c r="D417" s="2"/>
      <c r="E417" s="2"/>
      <c r="F417" s="2"/>
      <c r="G417" s="19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195"/>
      <c r="D418" s="2"/>
      <c r="E418" s="2"/>
      <c r="F418" s="2"/>
      <c r="G418" s="19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195"/>
      <c r="D419" s="2"/>
      <c r="E419" s="2"/>
      <c r="F419" s="2"/>
      <c r="G419" s="19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195"/>
      <c r="D420" s="2"/>
      <c r="E420" s="2"/>
      <c r="F420" s="2"/>
      <c r="G420" s="19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195"/>
      <c r="D421" s="2"/>
      <c r="E421" s="2"/>
      <c r="F421" s="2"/>
      <c r="G421" s="19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195"/>
      <c r="D422" s="2"/>
      <c r="E422" s="2"/>
      <c r="F422" s="2"/>
      <c r="G422" s="19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195"/>
      <c r="D423" s="2"/>
      <c r="E423" s="2"/>
      <c r="F423" s="2"/>
      <c r="G423" s="19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195"/>
      <c r="D424" s="2"/>
      <c r="E424" s="2"/>
      <c r="F424" s="2"/>
      <c r="G424" s="19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195"/>
      <c r="D425" s="2"/>
      <c r="E425" s="2"/>
      <c r="F425" s="2"/>
      <c r="G425" s="19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195"/>
      <c r="D426" s="2"/>
      <c r="E426" s="2"/>
      <c r="F426" s="2"/>
      <c r="G426" s="19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195"/>
      <c r="D427" s="2"/>
      <c r="E427" s="2"/>
      <c r="F427" s="2"/>
      <c r="G427" s="19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195"/>
      <c r="D428" s="2"/>
      <c r="E428" s="2"/>
      <c r="F428" s="2"/>
      <c r="G428" s="19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195"/>
      <c r="D429" s="2"/>
      <c r="E429" s="2"/>
      <c r="F429" s="2"/>
      <c r="G429" s="19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195"/>
      <c r="D430" s="2"/>
      <c r="E430" s="2"/>
      <c r="F430" s="2"/>
      <c r="G430" s="19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195"/>
      <c r="D431" s="2"/>
      <c r="E431" s="2"/>
      <c r="F431" s="2"/>
      <c r="G431" s="19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195"/>
      <c r="D432" s="2"/>
      <c r="E432" s="2"/>
      <c r="F432" s="2"/>
      <c r="G432" s="19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195"/>
      <c r="D433" s="2"/>
      <c r="E433" s="2"/>
      <c r="F433" s="2"/>
      <c r="G433" s="19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195"/>
      <c r="D434" s="2"/>
      <c r="E434" s="2"/>
      <c r="F434" s="2"/>
      <c r="G434" s="19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195"/>
      <c r="D435" s="2"/>
      <c r="E435" s="2"/>
      <c r="F435" s="2"/>
      <c r="G435" s="19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195"/>
      <c r="D436" s="2"/>
      <c r="E436" s="2"/>
      <c r="F436" s="2"/>
      <c r="G436" s="19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195"/>
      <c r="D437" s="2"/>
      <c r="E437" s="2"/>
      <c r="F437" s="2"/>
      <c r="G437" s="19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195"/>
      <c r="D438" s="2"/>
      <c r="E438" s="2"/>
      <c r="F438" s="2"/>
      <c r="G438" s="19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195"/>
      <c r="D439" s="2"/>
      <c r="E439" s="2"/>
      <c r="F439" s="2"/>
      <c r="G439" s="19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195"/>
      <c r="D440" s="2"/>
      <c r="E440" s="2"/>
      <c r="F440" s="2"/>
      <c r="G440" s="19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195"/>
      <c r="D441" s="2"/>
      <c r="E441" s="2"/>
      <c r="F441" s="2"/>
      <c r="G441" s="19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195"/>
      <c r="D442" s="2"/>
      <c r="E442" s="2"/>
      <c r="F442" s="2"/>
      <c r="G442" s="19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195"/>
      <c r="D443" s="2"/>
      <c r="E443" s="2"/>
      <c r="F443" s="2"/>
      <c r="G443" s="19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195"/>
      <c r="D444" s="2"/>
      <c r="E444" s="2"/>
      <c r="F444" s="2"/>
      <c r="G444" s="19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195"/>
      <c r="D445" s="2"/>
      <c r="E445" s="2"/>
      <c r="F445" s="2"/>
      <c r="G445" s="19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195"/>
      <c r="D446" s="2"/>
      <c r="E446" s="2"/>
      <c r="F446" s="2"/>
      <c r="G446" s="19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195"/>
      <c r="D447" s="2"/>
      <c r="E447" s="2"/>
      <c r="F447" s="2"/>
      <c r="G447" s="19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195"/>
      <c r="D448" s="2"/>
      <c r="E448" s="2"/>
      <c r="F448" s="2"/>
      <c r="G448" s="19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195"/>
      <c r="D449" s="2"/>
      <c r="E449" s="2"/>
      <c r="F449" s="2"/>
      <c r="G449" s="19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195"/>
      <c r="D450" s="2"/>
      <c r="E450" s="2"/>
      <c r="F450" s="2"/>
      <c r="G450" s="19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195"/>
      <c r="D451" s="2"/>
      <c r="E451" s="2"/>
      <c r="F451" s="2"/>
      <c r="G451" s="19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195"/>
      <c r="D452" s="2"/>
      <c r="E452" s="2"/>
      <c r="F452" s="2"/>
      <c r="G452" s="19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195"/>
      <c r="D453" s="2"/>
      <c r="E453" s="2"/>
      <c r="F453" s="2"/>
      <c r="G453" s="19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195"/>
      <c r="D454" s="2"/>
      <c r="E454" s="2"/>
      <c r="F454" s="2"/>
      <c r="G454" s="19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195"/>
      <c r="D455" s="2"/>
      <c r="E455" s="2"/>
      <c r="F455" s="2"/>
      <c r="G455" s="19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195"/>
      <c r="D456" s="2"/>
      <c r="E456" s="2"/>
      <c r="F456" s="2"/>
      <c r="G456" s="19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195"/>
      <c r="D457" s="2"/>
      <c r="E457" s="2"/>
      <c r="F457" s="2"/>
      <c r="G457" s="19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195"/>
      <c r="D458" s="2"/>
      <c r="E458" s="2"/>
      <c r="F458" s="2"/>
      <c r="G458" s="19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195"/>
      <c r="D459" s="2"/>
      <c r="E459" s="2"/>
      <c r="F459" s="2"/>
      <c r="G459" s="19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195"/>
      <c r="D460" s="2"/>
      <c r="E460" s="2"/>
      <c r="F460" s="2"/>
      <c r="G460" s="19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195"/>
      <c r="D461" s="2"/>
      <c r="E461" s="2"/>
      <c r="F461" s="2"/>
      <c r="G461" s="19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195"/>
      <c r="D462" s="2"/>
      <c r="E462" s="2"/>
      <c r="F462" s="2"/>
      <c r="G462" s="19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195"/>
      <c r="D463" s="2"/>
      <c r="E463" s="2"/>
      <c r="F463" s="2"/>
      <c r="G463" s="19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195"/>
      <c r="D464" s="2"/>
      <c r="E464" s="2"/>
      <c r="F464" s="2"/>
      <c r="G464" s="19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195"/>
      <c r="D465" s="2"/>
      <c r="E465" s="2"/>
      <c r="F465" s="2"/>
      <c r="G465" s="19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195"/>
      <c r="D466" s="2"/>
      <c r="E466" s="2"/>
      <c r="F466" s="2"/>
      <c r="G466" s="19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195"/>
      <c r="D467" s="2"/>
      <c r="E467" s="2"/>
      <c r="F467" s="2"/>
      <c r="G467" s="19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195"/>
      <c r="D468" s="2"/>
      <c r="E468" s="2"/>
      <c r="F468" s="2"/>
      <c r="G468" s="19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195"/>
      <c r="D469" s="2"/>
      <c r="E469" s="2"/>
      <c r="F469" s="2"/>
      <c r="G469" s="19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195"/>
      <c r="D470" s="2"/>
      <c r="E470" s="2"/>
      <c r="F470" s="2"/>
      <c r="G470" s="19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195"/>
      <c r="D471" s="2"/>
      <c r="E471" s="2"/>
      <c r="F471" s="2"/>
      <c r="G471" s="19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195"/>
      <c r="D472" s="2"/>
      <c r="E472" s="2"/>
      <c r="F472" s="2"/>
      <c r="G472" s="19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195"/>
      <c r="D473" s="2"/>
      <c r="E473" s="2"/>
      <c r="F473" s="2"/>
      <c r="G473" s="19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195"/>
      <c r="D474" s="2"/>
      <c r="E474" s="2"/>
      <c r="F474" s="2"/>
      <c r="G474" s="19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195"/>
      <c r="D475" s="2"/>
      <c r="E475" s="2"/>
      <c r="F475" s="2"/>
      <c r="G475" s="19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195"/>
      <c r="D476" s="2"/>
      <c r="E476" s="2"/>
      <c r="F476" s="2"/>
      <c r="G476" s="19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195"/>
      <c r="D477" s="2"/>
      <c r="E477" s="2"/>
      <c r="F477" s="2"/>
      <c r="G477" s="19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195"/>
      <c r="D478" s="2"/>
      <c r="E478" s="2"/>
      <c r="F478" s="2"/>
      <c r="G478" s="19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195"/>
      <c r="D479" s="2"/>
      <c r="E479" s="2"/>
      <c r="F479" s="2"/>
      <c r="G479" s="19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195"/>
      <c r="D480" s="2"/>
      <c r="E480" s="2"/>
      <c r="F480" s="2"/>
      <c r="G480" s="19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195"/>
      <c r="D481" s="2"/>
      <c r="E481" s="2"/>
      <c r="F481" s="2"/>
      <c r="G481" s="19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195"/>
      <c r="D482" s="2"/>
      <c r="E482" s="2"/>
      <c r="F482" s="2"/>
      <c r="G482" s="19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195"/>
      <c r="D483" s="2"/>
      <c r="E483" s="2"/>
      <c r="F483" s="2"/>
      <c r="G483" s="19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195"/>
      <c r="D484" s="2"/>
      <c r="E484" s="2"/>
      <c r="F484" s="2"/>
      <c r="G484" s="19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195"/>
      <c r="D485" s="2"/>
      <c r="E485" s="2"/>
      <c r="F485" s="2"/>
      <c r="G485" s="19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195"/>
      <c r="D486" s="2"/>
      <c r="E486" s="2"/>
      <c r="F486" s="2"/>
      <c r="G486" s="19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195"/>
      <c r="D487" s="2"/>
      <c r="E487" s="2"/>
      <c r="F487" s="2"/>
      <c r="G487" s="19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195"/>
      <c r="D488" s="2"/>
      <c r="E488" s="2"/>
      <c r="F488" s="2"/>
      <c r="G488" s="19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195"/>
      <c r="D489" s="2"/>
      <c r="E489" s="2"/>
      <c r="F489" s="2"/>
      <c r="G489" s="19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195"/>
      <c r="D490" s="2"/>
      <c r="E490" s="2"/>
      <c r="F490" s="2"/>
      <c r="G490" s="19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195"/>
      <c r="D491" s="2"/>
      <c r="E491" s="2"/>
      <c r="F491" s="2"/>
      <c r="G491" s="19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195"/>
      <c r="D492" s="2"/>
      <c r="E492" s="2"/>
      <c r="F492" s="2"/>
      <c r="G492" s="19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195"/>
      <c r="D493" s="2"/>
      <c r="E493" s="2"/>
      <c r="F493" s="2"/>
      <c r="G493" s="19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195"/>
      <c r="D494" s="2"/>
      <c r="E494" s="2"/>
      <c r="F494" s="2"/>
      <c r="G494" s="19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195"/>
      <c r="D495" s="2"/>
      <c r="E495" s="2"/>
      <c r="F495" s="2"/>
      <c r="G495" s="19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195"/>
      <c r="D496" s="2"/>
      <c r="E496" s="2"/>
      <c r="F496" s="2"/>
      <c r="G496" s="19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195"/>
      <c r="D497" s="2"/>
      <c r="E497" s="2"/>
      <c r="F497" s="2"/>
      <c r="G497" s="19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195"/>
      <c r="D498" s="2"/>
      <c r="E498" s="2"/>
      <c r="F498" s="2"/>
      <c r="G498" s="19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195"/>
      <c r="D499" s="2"/>
      <c r="E499" s="2"/>
      <c r="F499" s="2"/>
      <c r="G499" s="19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195"/>
      <c r="D500" s="2"/>
      <c r="E500" s="2"/>
      <c r="F500" s="2"/>
      <c r="G500" s="19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195"/>
      <c r="D501" s="2"/>
      <c r="E501" s="2"/>
      <c r="F501" s="2"/>
      <c r="G501" s="19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195"/>
      <c r="D502" s="2"/>
      <c r="E502" s="2"/>
      <c r="F502" s="2"/>
      <c r="G502" s="19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195"/>
      <c r="D503" s="2"/>
      <c r="E503" s="2"/>
      <c r="F503" s="2"/>
      <c r="G503" s="19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195"/>
      <c r="D504" s="2"/>
      <c r="E504" s="2"/>
      <c r="F504" s="2"/>
      <c r="G504" s="19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195"/>
      <c r="D505" s="2"/>
      <c r="E505" s="2"/>
      <c r="F505" s="2"/>
      <c r="G505" s="19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195"/>
      <c r="D506" s="2"/>
      <c r="E506" s="2"/>
      <c r="F506" s="2"/>
      <c r="G506" s="19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195"/>
      <c r="D507" s="2"/>
      <c r="E507" s="2"/>
      <c r="F507" s="2"/>
      <c r="G507" s="19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195"/>
      <c r="D508" s="2"/>
      <c r="E508" s="2"/>
      <c r="F508" s="2"/>
      <c r="G508" s="19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195"/>
      <c r="D509" s="2"/>
      <c r="E509" s="2"/>
      <c r="F509" s="2"/>
      <c r="G509" s="19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195"/>
      <c r="D510" s="2"/>
      <c r="E510" s="2"/>
      <c r="F510" s="2"/>
      <c r="G510" s="19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195"/>
      <c r="D511" s="2"/>
      <c r="E511" s="2"/>
      <c r="F511" s="2"/>
      <c r="G511" s="19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195"/>
      <c r="D512" s="2"/>
      <c r="E512" s="2"/>
      <c r="F512" s="2"/>
      <c r="G512" s="19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195"/>
      <c r="D513" s="2"/>
      <c r="E513" s="2"/>
      <c r="F513" s="2"/>
      <c r="G513" s="19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195"/>
      <c r="D514" s="2"/>
      <c r="E514" s="2"/>
      <c r="F514" s="2"/>
      <c r="G514" s="19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195"/>
      <c r="D515" s="2"/>
      <c r="E515" s="2"/>
      <c r="F515" s="2"/>
      <c r="G515" s="19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195"/>
      <c r="D516" s="2"/>
      <c r="E516" s="2"/>
      <c r="F516" s="2"/>
      <c r="G516" s="19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195"/>
      <c r="D517" s="2"/>
      <c r="E517" s="2"/>
      <c r="F517" s="2"/>
      <c r="G517" s="19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195"/>
      <c r="D518" s="2"/>
      <c r="E518" s="2"/>
      <c r="F518" s="2"/>
      <c r="G518" s="19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195"/>
      <c r="D519" s="2"/>
      <c r="E519" s="2"/>
      <c r="F519" s="2"/>
      <c r="G519" s="19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195"/>
      <c r="D520" s="2"/>
      <c r="E520" s="2"/>
      <c r="F520" s="2"/>
      <c r="G520" s="19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195"/>
      <c r="D521" s="2"/>
      <c r="E521" s="2"/>
      <c r="F521" s="2"/>
      <c r="G521" s="19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195"/>
      <c r="D522" s="2"/>
      <c r="E522" s="2"/>
      <c r="F522" s="2"/>
      <c r="G522" s="19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195"/>
      <c r="D523" s="2"/>
      <c r="E523" s="2"/>
      <c r="F523" s="2"/>
      <c r="G523" s="19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195"/>
      <c r="D524" s="2"/>
      <c r="E524" s="2"/>
      <c r="F524" s="2"/>
      <c r="G524" s="19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195"/>
      <c r="D525" s="2"/>
      <c r="E525" s="2"/>
      <c r="F525" s="2"/>
      <c r="G525" s="19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195"/>
      <c r="D526" s="2"/>
      <c r="E526" s="2"/>
      <c r="F526" s="2"/>
      <c r="G526" s="19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195"/>
      <c r="D527" s="2"/>
      <c r="E527" s="2"/>
      <c r="F527" s="2"/>
      <c r="G527" s="19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195"/>
      <c r="D528" s="2"/>
      <c r="E528" s="2"/>
      <c r="F528" s="2"/>
      <c r="G528" s="19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195"/>
      <c r="D529" s="2"/>
      <c r="E529" s="2"/>
      <c r="F529" s="2"/>
      <c r="G529" s="19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195"/>
      <c r="D530" s="2"/>
      <c r="E530" s="2"/>
      <c r="F530" s="2"/>
      <c r="G530" s="19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195"/>
      <c r="D531" s="2"/>
      <c r="E531" s="2"/>
      <c r="F531" s="2"/>
      <c r="G531" s="19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195"/>
      <c r="D532" s="2"/>
      <c r="E532" s="2"/>
      <c r="F532" s="2"/>
      <c r="G532" s="19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195"/>
      <c r="D533" s="2"/>
      <c r="E533" s="2"/>
      <c r="F533" s="2"/>
      <c r="G533" s="19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195"/>
      <c r="D534" s="2"/>
      <c r="E534" s="2"/>
      <c r="F534" s="2"/>
      <c r="G534" s="19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195"/>
      <c r="D535" s="2"/>
      <c r="E535" s="2"/>
      <c r="F535" s="2"/>
      <c r="G535" s="19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195"/>
      <c r="D536" s="2"/>
      <c r="E536" s="2"/>
      <c r="F536" s="2"/>
      <c r="G536" s="19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195"/>
      <c r="D537" s="2"/>
      <c r="E537" s="2"/>
      <c r="F537" s="2"/>
      <c r="G537" s="19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195"/>
      <c r="D538" s="2"/>
      <c r="E538" s="2"/>
      <c r="F538" s="2"/>
      <c r="G538" s="19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195"/>
      <c r="D539" s="2"/>
      <c r="E539" s="2"/>
      <c r="F539" s="2"/>
      <c r="G539" s="19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195"/>
      <c r="D540" s="2"/>
      <c r="E540" s="2"/>
      <c r="F540" s="2"/>
      <c r="G540" s="19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195"/>
      <c r="D541" s="2"/>
      <c r="E541" s="2"/>
      <c r="F541" s="2"/>
      <c r="G541" s="19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195"/>
      <c r="D542" s="2"/>
      <c r="E542" s="2"/>
      <c r="F542" s="2"/>
      <c r="G542" s="19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195"/>
      <c r="D543" s="2"/>
      <c r="E543" s="2"/>
      <c r="F543" s="2"/>
      <c r="G543" s="19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195"/>
      <c r="D544" s="2"/>
      <c r="E544" s="2"/>
      <c r="F544" s="2"/>
      <c r="G544" s="19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195"/>
      <c r="D545" s="2"/>
      <c r="E545" s="2"/>
      <c r="F545" s="2"/>
      <c r="G545" s="19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195"/>
      <c r="D546" s="2"/>
      <c r="E546" s="2"/>
      <c r="F546" s="2"/>
      <c r="G546" s="19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195"/>
      <c r="D547" s="2"/>
      <c r="E547" s="2"/>
      <c r="F547" s="2"/>
      <c r="G547" s="19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195"/>
      <c r="D548" s="2"/>
      <c r="E548" s="2"/>
      <c r="F548" s="2"/>
      <c r="G548" s="19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195"/>
      <c r="D549" s="2"/>
      <c r="E549" s="2"/>
      <c r="F549" s="2"/>
      <c r="G549" s="19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195"/>
      <c r="D550" s="2"/>
      <c r="E550" s="2"/>
      <c r="F550" s="2"/>
      <c r="G550" s="19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195"/>
      <c r="D551" s="2"/>
      <c r="E551" s="2"/>
      <c r="F551" s="2"/>
      <c r="G551" s="19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195"/>
      <c r="D552" s="2"/>
      <c r="E552" s="2"/>
      <c r="F552" s="2"/>
      <c r="G552" s="19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195"/>
      <c r="D553" s="2"/>
      <c r="E553" s="2"/>
      <c r="F553" s="2"/>
      <c r="G553" s="19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195"/>
      <c r="D554" s="2"/>
      <c r="E554" s="2"/>
      <c r="F554" s="2"/>
      <c r="G554" s="19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195"/>
      <c r="D555" s="2"/>
      <c r="E555" s="2"/>
      <c r="F555" s="2"/>
      <c r="G555" s="19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195"/>
      <c r="D556" s="2"/>
      <c r="E556" s="2"/>
      <c r="F556" s="2"/>
      <c r="G556" s="19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195"/>
      <c r="D557" s="2"/>
      <c r="E557" s="2"/>
      <c r="F557" s="2"/>
      <c r="G557" s="19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195"/>
      <c r="D558" s="2"/>
      <c r="E558" s="2"/>
      <c r="F558" s="2"/>
      <c r="G558" s="19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195"/>
      <c r="D559" s="2"/>
      <c r="E559" s="2"/>
      <c r="F559" s="2"/>
      <c r="G559" s="19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195"/>
      <c r="D560" s="2"/>
      <c r="E560" s="2"/>
      <c r="F560" s="2"/>
      <c r="G560" s="19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195"/>
      <c r="D561" s="2"/>
      <c r="E561" s="2"/>
      <c r="F561" s="2"/>
      <c r="G561" s="19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195"/>
      <c r="D562" s="2"/>
      <c r="E562" s="2"/>
      <c r="F562" s="2"/>
      <c r="G562" s="19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195"/>
      <c r="D563" s="2"/>
      <c r="E563" s="2"/>
      <c r="F563" s="2"/>
      <c r="G563" s="19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195"/>
      <c r="D564" s="2"/>
      <c r="E564" s="2"/>
      <c r="F564" s="2"/>
      <c r="G564" s="19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195"/>
      <c r="D565" s="2"/>
      <c r="E565" s="2"/>
      <c r="F565" s="2"/>
      <c r="G565" s="19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195"/>
      <c r="D566" s="2"/>
      <c r="E566" s="2"/>
      <c r="F566" s="2"/>
      <c r="G566" s="19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195"/>
      <c r="D567" s="2"/>
      <c r="E567" s="2"/>
      <c r="F567" s="2"/>
      <c r="G567" s="19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195"/>
      <c r="D568" s="2"/>
      <c r="E568" s="2"/>
      <c r="F568" s="2"/>
      <c r="G568" s="19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195"/>
      <c r="D569" s="2"/>
      <c r="E569" s="2"/>
      <c r="F569" s="2"/>
      <c r="G569" s="19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195"/>
      <c r="D570" s="2"/>
      <c r="E570" s="2"/>
      <c r="F570" s="2"/>
      <c r="G570" s="19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195"/>
      <c r="D571" s="2"/>
      <c r="E571" s="2"/>
      <c r="F571" s="2"/>
      <c r="G571" s="19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195"/>
      <c r="D572" s="2"/>
      <c r="E572" s="2"/>
      <c r="F572" s="2"/>
      <c r="G572" s="19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195"/>
      <c r="D573" s="2"/>
      <c r="E573" s="2"/>
      <c r="F573" s="2"/>
      <c r="G573" s="19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195"/>
      <c r="D574" s="2"/>
      <c r="E574" s="2"/>
      <c r="F574" s="2"/>
      <c r="G574" s="19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195"/>
      <c r="D575" s="2"/>
      <c r="E575" s="2"/>
      <c r="F575" s="2"/>
      <c r="G575" s="19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195"/>
      <c r="D576" s="2"/>
      <c r="E576" s="2"/>
      <c r="F576" s="2"/>
      <c r="G576" s="19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195"/>
      <c r="D577" s="2"/>
      <c r="E577" s="2"/>
      <c r="F577" s="2"/>
      <c r="G577" s="19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195"/>
      <c r="D578" s="2"/>
      <c r="E578" s="2"/>
      <c r="F578" s="2"/>
      <c r="G578" s="19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195"/>
      <c r="D579" s="2"/>
      <c r="E579" s="2"/>
      <c r="F579" s="2"/>
      <c r="G579" s="19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195"/>
      <c r="D580" s="2"/>
      <c r="E580" s="2"/>
      <c r="F580" s="2"/>
      <c r="G580" s="19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195"/>
      <c r="D581" s="2"/>
      <c r="E581" s="2"/>
      <c r="F581" s="2"/>
      <c r="G581" s="19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195"/>
      <c r="D582" s="2"/>
      <c r="E582" s="2"/>
      <c r="F582" s="2"/>
      <c r="G582" s="19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195"/>
      <c r="D583" s="2"/>
      <c r="E583" s="2"/>
      <c r="F583" s="2"/>
      <c r="G583" s="19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195"/>
      <c r="D584" s="2"/>
      <c r="E584" s="2"/>
      <c r="F584" s="2"/>
      <c r="G584" s="19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195"/>
      <c r="D585" s="2"/>
      <c r="E585" s="2"/>
      <c r="F585" s="2"/>
      <c r="G585" s="19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195"/>
      <c r="D586" s="2"/>
      <c r="E586" s="2"/>
      <c r="F586" s="2"/>
      <c r="G586" s="19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195"/>
      <c r="D587" s="2"/>
      <c r="E587" s="2"/>
      <c r="F587" s="2"/>
      <c r="G587" s="19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195"/>
      <c r="D588" s="2"/>
      <c r="E588" s="2"/>
      <c r="F588" s="2"/>
      <c r="G588" s="19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195"/>
      <c r="D589" s="2"/>
      <c r="E589" s="2"/>
      <c r="F589" s="2"/>
      <c r="G589" s="19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195"/>
      <c r="D590" s="2"/>
      <c r="E590" s="2"/>
      <c r="F590" s="2"/>
      <c r="G590" s="19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195"/>
      <c r="D591" s="2"/>
      <c r="E591" s="2"/>
      <c r="F591" s="2"/>
      <c r="G591" s="19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195"/>
      <c r="D592" s="2"/>
      <c r="E592" s="2"/>
      <c r="F592" s="2"/>
      <c r="G592" s="19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195"/>
      <c r="D593" s="2"/>
      <c r="E593" s="2"/>
      <c r="F593" s="2"/>
      <c r="G593" s="19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195"/>
      <c r="D594" s="2"/>
      <c r="E594" s="2"/>
      <c r="F594" s="2"/>
      <c r="G594" s="19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195"/>
      <c r="D595" s="2"/>
      <c r="E595" s="2"/>
      <c r="F595" s="2"/>
      <c r="G595" s="19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195"/>
      <c r="D596" s="2"/>
      <c r="E596" s="2"/>
      <c r="F596" s="2"/>
      <c r="G596" s="19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195"/>
      <c r="D597" s="2"/>
      <c r="E597" s="2"/>
      <c r="F597" s="2"/>
      <c r="G597" s="19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195"/>
      <c r="D598" s="2"/>
      <c r="E598" s="2"/>
      <c r="F598" s="2"/>
      <c r="G598" s="19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195"/>
      <c r="D599" s="2"/>
      <c r="E599" s="2"/>
      <c r="F599" s="2"/>
      <c r="G599" s="19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195"/>
      <c r="D600" s="2"/>
      <c r="E600" s="2"/>
      <c r="F600" s="2"/>
      <c r="G600" s="19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195"/>
      <c r="D601" s="2"/>
      <c r="E601" s="2"/>
      <c r="F601" s="2"/>
      <c r="G601" s="19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195"/>
      <c r="D602" s="2"/>
      <c r="E602" s="2"/>
      <c r="F602" s="2"/>
      <c r="G602" s="19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195"/>
      <c r="D603" s="2"/>
      <c r="E603" s="2"/>
      <c r="F603" s="2"/>
      <c r="G603" s="19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195"/>
      <c r="D604" s="2"/>
      <c r="E604" s="2"/>
      <c r="F604" s="2"/>
      <c r="G604" s="19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195"/>
      <c r="D605" s="2"/>
      <c r="E605" s="2"/>
      <c r="F605" s="2"/>
      <c r="G605" s="19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195"/>
      <c r="D606" s="2"/>
      <c r="E606" s="2"/>
      <c r="F606" s="2"/>
      <c r="G606" s="19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195"/>
      <c r="D607" s="2"/>
      <c r="E607" s="2"/>
      <c r="F607" s="2"/>
      <c r="G607" s="19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195"/>
      <c r="D608" s="2"/>
      <c r="E608" s="2"/>
      <c r="F608" s="2"/>
      <c r="G608" s="19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195"/>
      <c r="D609" s="2"/>
      <c r="E609" s="2"/>
      <c r="F609" s="2"/>
      <c r="G609" s="19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195"/>
      <c r="D610" s="2"/>
      <c r="E610" s="2"/>
      <c r="F610" s="2"/>
      <c r="G610" s="19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195"/>
      <c r="D611" s="2"/>
      <c r="E611" s="2"/>
      <c r="F611" s="2"/>
      <c r="G611" s="19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195"/>
      <c r="D612" s="2"/>
      <c r="E612" s="2"/>
      <c r="F612" s="2"/>
      <c r="G612" s="19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195"/>
      <c r="D613" s="2"/>
      <c r="E613" s="2"/>
      <c r="F613" s="2"/>
      <c r="G613" s="19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195"/>
      <c r="D614" s="2"/>
      <c r="E614" s="2"/>
      <c r="F614" s="2"/>
      <c r="G614" s="19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195"/>
      <c r="D615" s="2"/>
      <c r="E615" s="2"/>
      <c r="F615" s="2"/>
      <c r="G615" s="19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195"/>
      <c r="D616" s="2"/>
      <c r="E616" s="2"/>
      <c r="F616" s="2"/>
      <c r="G616" s="19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195"/>
      <c r="D617" s="2"/>
      <c r="E617" s="2"/>
      <c r="F617" s="2"/>
      <c r="G617" s="19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195"/>
      <c r="D618" s="2"/>
      <c r="E618" s="2"/>
      <c r="F618" s="2"/>
      <c r="G618" s="19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195"/>
      <c r="D619" s="2"/>
      <c r="E619" s="2"/>
      <c r="F619" s="2"/>
      <c r="G619" s="19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195"/>
      <c r="D620" s="2"/>
      <c r="E620" s="2"/>
      <c r="F620" s="2"/>
      <c r="G620" s="19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195"/>
      <c r="D621" s="2"/>
      <c r="E621" s="2"/>
      <c r="F621" s="2"/>
      <c r="G621" s="19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195"/>
      <c r="D622" s="2"/>
      <c r="E622" s="2"/>
      <c r="F622" s="2"/>
      <c r="G622" s="19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195"/>
      <c r="D623" s="2"/>
      <c r="E623" s="2"/>
      <c r="F623" s="2"/>
      <c r="G623" s="19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195"/>
      <c r="D624" s="2"/>
      <c r="E624" s="2"/>
      <c r="F624" s="2"/>
      <c r="G624" s="19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195"/>
      <c r="D625" s="2"/>
      <c r="E625" s="2"/>
      <c r="F625" s="2"/>
      <c r="G625" s="19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195"/>
      <c r="D626" s="2"/>
      <c r="E626" s="2"/>
      <c r="F626" s="2"/>
      <c r="G626" s="19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195"/>
      <c r="D627" s="2"/>
      <c r="E627" s="2"/>
      <c r="F627" s="2"/>
      <c r="G627" s="19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195"/>
      <c r="D628" s="2"/>
      <c r="E628" s="2"/>
      <c r="F628" s="2"/>
      <c r="G628" s="19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195"/>
      <c r="D629" s="2"/>
      <c r="E629" s="2"/>
      <c r="F629" s="2"/>
      <c r="G629" s="19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195"/>
      <c r="D630" s="2"/>
      <c r="E630" s="2"/>
      <c r="F630" s="2"/>
      <c r="G630" s="19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195"/>
      <c r="D631" s="2"/>
      <c r="E631" s="2"/>
      <c r="F631" s="2"/>
      <c r="G631" s="19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195"/>
      <c r="D632" s="2"/>
      <c r="E632" s="2"/>
      <c r="F632" s="2"/>
      <c r="G632" s="19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195"/>
      <c r="D633" s="2"/>
      <c r="E633" s="2"/>
      <c r="F633" s="2"/>
      <c r="G633" s="19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195"/>
      <c r="D634" s="2"/>
      <c r="E634" s="2"/>
      <c r="F634" s="2"/>
      <c r="G634" s="19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195"/>
      <c r="D635" s="2"/>
      <c r="E635" s="2"/>
      <c r="F635" s="2"/>
      <c r="G635" s="19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195"/>
      <c r="D636" s="2"/>
      <c r="E636" s="2"/>
      <c r="F636" s="2"/>
      <c r="G636" s="19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195"/>
      <c r="D637" s="2"/>
      <c r="E637" s="2"/>
      <c r="F637" s="2"/>
      <c r="G637" s="19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195"/>
      <c r="D638" s="2"/>
      <c r="E638" s="2"/>
      <c r="F638" s="2"/>
      <c r="G638" s="19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195"/>
      <c r="D639" s="2"/>
      <c r="E639" s="2"/>
      <c r="F639" s="2"/>
      <c r="G639" s="19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195"/>
      <c r="D640" s="2"/>
      <c r="E640" s="2"/>
      <c r="F640" s="2"/>
      <c r="G640" s="19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195"/>
      <c r="D641" s="2"/>
      <c r="E641" s="2"/>
      <c r="F641" s="2"/>
      <c r="G641" s="19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195"/>
      <c r="D642" s="2"/>
      <c r="E642" s="2"/>
      <c r="F642" s="2"/>
      <c r="G642" s="19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195"/>
      <c r="D643" s="2"/>
      <c r="E643" s="2"/>
      <c r="F643" s="2"/>
      <c r="G643" s="19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195"/>
      <c r="D644" s="2"/>
      <c r="E644" s="2"/>
      <c r="F644" s="2"/>
      <c r="G644" s="19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195"/>
      <c r="D645" s="2"/>
      <c r="E645" s="2"/>
      <c r="F645" s="2"/>
      <c r="G645" s="19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195"/>
      <c r="D646" s="2"/>
      <c r="E646" s="2"/>
      <c r="F646" s="2"/>
      <c r="G646" s="19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195"/>
      <c r="D647" s="2"/>
      <c r="E647" s="2"/>
      <c r="F647" s="2"/>
      <c r="G647" s="19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195"/>
      <c r="D648" s="2"/>
      <c r="E648" s="2"/>
      <c r="F648" s="2"/>
      <c r="G648" s="19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195"/>
      <c r="D649" s="2"/>
      <c r="E649" s="2"/>
      <c r="F649" s="2"/>
      <c r="G649" s="19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195"/>
      <c r="D650" s="2"/>
      <c r="E650" s="2"/>
      <c r="F650" s="2"/>
      <c r="G650" s="19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195"/>
      <c r="D651" s="2"/>
      <c r="E651" s="2"/>
      <c r="F651" s="2"/>
      <c r="G651" s="19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195"/>
      <c r="D652" s="2"/>
      <c r="E652" s="2"/>
      <c r="F652" s="2"/>
      <c r="G652" s="19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195"/>
      <c r="D653" s="2"/>
      <c r="E653" s="2"/>
      <c r="F653" s="2"/>
      <c r="G653" s="19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195"/>
      <c r="D654" s="2"/>
      <c r="E654" s="2"/>
      <c r="F654" s="2"/>
      <c r="G654" s="19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195"/>
      <c r="D655" s="2"/>
      <c r="E655" s="2"/>
      <c r="F655" s="2"/>
      <c r="G655" s="19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195"/>
      <c r="D656" s="2"/>
      <c r="E656" s="2"/>
      <c r="F656" s="2"/>
      <c r="G656" s="19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195"/>
      <c r="D657" s="2"/>
      <c r="E657" s="2"/>
      <c r="F657" s="2"/>
      <c r="G657" s="19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195"/>
      <c r="D658" s="2"/>
      <c r="E658" s="2"/>
      <c r="F658" s="2"/>
      <c r="G658" s="19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195"/>
      <c r="D659" s="2"/>
      <c r="E659" s="2"/>
      <c r="F659" s="2"/>
      <c r="G659" s="19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195"/>
      <c r="D660" s="2"/>
      <c r="E660" s="2"/>
      <c r="F660" s="2"/>
      <c r="G660" s="19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195"/>
      <c r="D661" s="2"/>
      <c r="E661" s="2"/>
      <c r="F661" s="2"/>
      <c r="G661" s="19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195"/>
      <c r="D662" s="2"/>
      <c r="E662" s="2"/>
      <c r="F662" s="2"/>
      <c r="G662" s="19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195"/>
      <c r="D663" s="2"/>
      <c r="E663" s="2"/>
      <c r="F663" s="2"/>
      <c r="G663" s="19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195"/>
      <c r="D664" s="2"/>
      <c r="E664" s="2"/>
      <c r="F664" s="2"/>
      <c r="G664" s="19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195"/>
      <c r="D665" s="2"/>
      <c r="E665" s="2"/>
      <c r="F665" s="2"/>
      <c r="G665" s="19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195"/>
      <c r="D666" s="2"/>
      <c r="E666" s="2"/>
      <c r="F666" s="2"/>
      <c r="G666" s="19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195"/>
      <c r="D667" s="2"/>
      <c r="E667" s="2"/>
      <c r="F667" s="2"/>
      <c r="G667" s="19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195"/>
      <c r="D668" s="2"/>
      <c r="E668" s="2"/>
      <c r="F668" s="2"/>
      <c r="G668" s="19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195"/>
      <c r="D669" s="2"/>
      <c r="E669" s="2"/>
      <c r="F669" s="2"/>
      <c r="G669" s="19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195"/>
      <c r="D670" s="2"/>
      <c r="E670" s="2"/>
      <c r="F670" s="2"/>
      <c r="G670" s="19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195"/>
      <c r="D671" s="2"/>
      <c r="E671" s="2"/>
      <c r="F671" s="2"/>
      <c r="G671" s="19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195"/>
      <c r="D672" s="2"/>
      <c r="E672" s="2"/>
      <c r="F672" s="2"/>
      <c r="G672" s="19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195"/>
      <c r="D673" s="2"/>
      <c r="E673" s="2"/>
      <c r="F673" s="2"/>
      <c r="G673" s="19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195"/>
      <c r="D674" s="2"/>
      <c r="E674" s="2"/>
      <c r="F674" s="2"/>
      <c r="G674" s="19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195"/>
      <c r="D675" s="2"/>
      <c r="E675" s="2"/>
      <c r="F675" s="2"/>
      <c r="G675" s="19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195"/>
      <c r="D676" s="2"/>
      <c r="E676" s="2"/>
      <c r="F676" s="2"/>
      <c r="G676" s="19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195"/>
      <c r="D677" s="2"/>
      <c r="E677" s="2"/>
      <c r="F677" s="2"/>
      <c r="G677" s="19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195"/>
      <c r="D678" s="2"/>
      <c r="E678" s="2"/>
      <c r="F678" s="2"/>
      <c r="G678" s="19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195"/>
      <c r="D679" s="2"/>
      <c r="E679" s="2"/>
      <c r="F679" s="2"/>
      <c r="G679" s="19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195"/>
      <c r="D680" s="2"/>
      <c r="E680" s="2"/>
      <c r="F680" s="2"/>
      <c r="G680" s="19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195"/>
      <c r="D681" s="2"/>
      <c r="E681" s="2"/>
      <c r="F681" s="2"/>
      <c r="G681" s="19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195"/>
      <c r="D682" s="2"/>
      <c r="E682" s="2"/>
      <c r="F682" s="2"/>
      <c r="G682" s="19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195"/>
      <c r="D683" s="2"/>
      <c r="E683" s="2"/>
      <c r="F683" s="2"/>
      <c r="G683" s="19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195"/>
      <c r="D684" s="2"/>
      <c r="E684" s="2"/>
      <c r="F684" s="2"/>
      <c r="G684" s="19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195"/>
      <c r="D685" s="2"/>
      <c r="E685" s="2"/>
      <c r="F685" s="2"/>
      <c r="G685" s="19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195"/>
      <c r="D686" s="2"/>
      <c r="E686" s="2"/>
      <c r="F686" s="2"/>
      <c r="G686" s="19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195"/>
      <c r="D687" s="2"/>
      <c r="E687" s="2"/>
      <c r="F687" s="2"/>
      <c r="G687" s="19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195"/>
      <c r="D688" s="2"/>
      <c r="E688" s="2"/>
      <c r="F688" s="2"/>
      <c r="G688" s="19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195"/>
      <c r="D689" s="2"/>
      <c r="E689" s="2"/>
      <c r="F689" s="2"/>
      <c r="G689" s="19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195"/>
      <c r="D690" s="2"/>
      <c r="E690" s="2"/>
      <c r="F690" s="2"/>
      <c r="G690" s="19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195"/>
      <c r="D691" s="2"/>
      <c r="E691" s="2"/>
      <c r="F691" s="2"/>
      <c r="G691" s="19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195"/>
      <c r="D692" s="2"/>
      <c r="E692" s="2"/>
      <c r="F692" s="2"/>
      <c r="G692" s="19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195"/>
      <c r="D693" s="2"/>
      <c r="E693" s="2"/>
      <c r="F693" s="2"/>
      <c r="G693" s="19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195"/>
      <c r="D694" s="2"/>
      <c r="E694" s="2"/>
      <c r="F694" s="2"/>
      <c r="G694" s="19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195"/>
      <c r="D695" s="2"/>
      <c r="E695" s="2"/>
      <c r="F695" s="2"/>
      <c r="G695" s="19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195"/>
      <c r="D696" s="2"/>
      <c r="E696" s="2"/>
      <c r="F696" s="2"/>
      <c r="G696" s="19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195"/>
      <c r="D697" s="2"/>
      <c r="E697" s="2"/>
      <c r="F697" s="2"/>
      <c r="G697" s="19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195"/>
      <c r="D698" s="2"/>
      <c r="E698" s="2"/>
      <c r="F698" s="2"/>
      <c r="G698" s="19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195"/>
      <c r="D699" s="2"/>
      <c r="E699" s="2"/>
      <c r="F699" s="2"/>
      <c r="G699" s="19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195"/>
      <c r="D700" s="2"/>
      <c r="E700" s="2"/>
      <c r="F700" s="2"/>
      <c r="G700" s="19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195"/>
      <c r="D701" s="2"/>
      <c r="E701" s="2"/>
      <c r="F701" s="2"/>
      <c r="G701" s="19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195"/>
      <c r="D702" s="2"/>
      <c r="E702" s="2"/>
      <c r="F702" s="2"/>
      <c r="G702" s="19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195"/>
      <c r="D703" s="2"/>
      <c r="E703" s="2"/>
      <c r="F703" s="2"/>
      <c r="G703" s="19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195"/>
      <c r="D704" s="2"/>
      <c r="E704" s="2"/>
      <c r="F704" s="2"/>
      <c r="G704" s="19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195"/>
      <c r="D705" s="2"/>
      <c r="E705" s="2"/>
      <c r="F705" s="2"/>
      <c r="G705" s="19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195"/>
      <c r="D706" s="2"/>
      <c r="E706" s="2"/>
      <c r="F706" s="2"/>
      <c r="G706" s="19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195"/>
      <c r="D707" s="2"/>
      <c r="E707" s="2"/>
      <c r="F707" s="2"/>
      <c r="G707" s="19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195"/>
      <c r="D708" s="2"/>
      <c r="E708" s="2"/>
      <c r="F708" s="2"/>
      <c r="G708" s="19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195"/>
      <c r="D709" s="2"/>
      <c r="E709" s="2"/>
      <c r="F709" s="2"/>
      <c r="G709" s="19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195"/>
      <c r="D710" s="2"/>
      <c r="E710" s="2"/>
      <c r="F710" s="2"/>
      <c r="G710" s="19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195"/>
      <c r="D711" s="2"/>
      <c r="E711" s="2"/>
      <c r="F711" s="2"/>
      <c r="G711" s="19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195"/>
      <c r="D712" s="2"/>
      <c r="E712" s="2"/>
      <c r="F712" s="2"/>
      <c r="G712" s="19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195"/>
      <c r="D713" s="2"/>
      <c r="E713" s="2"/>
      <c r="F713" s="2"/>
      <c r="G713" s="19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195"/>
      <c r="D714" s="2"/>
      <c r="E714" s="2"/>
      <c r="F714" s="2"/>
      <c r="G714" s="19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195"/>
      <c r="D715" s="2"/>
      <c r="E715" s="2"/>
      <c r="F715" s="2"/>
      <c r="G715" s="19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195"/>
      <c r="D716" s="2"/>
      <c r="E716" s="2"/>
      <c r="F716" s="2"/>
      <c r="G716" s="19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195"/>
      <c r="D717" s="2"/>
      <c r="E717" s="2"/>
      <c r="F717" s="2"/>
      <c r="G717" s="19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195"/>
      <c r="D718" s="2"/>
      <c r="E718" s="2"/>
      <c r="F718" s="2"/>
      <c r="G718" s="19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195"/>
      <c r="D719" s="2"/>
      <c r="E719" s="2"/>
      <c r="F719" s="2"/>
      <c r="G719" s="19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195"/>
      <c r="D720" s="2"/>
      <c r="E720" s="2"/>
      <c r="F720" s="2"/>
      <c r="G720" s="19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195"/>
      <c r="D721" s="2"/>
      <c r="E721" s="2"/>
      <c r="F721" s="2"/>
      <c r="G721" s="19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195"/>
      <c r="D722" s="2"/>
      <c r="E722" s="2"/>
      <c r="F722" s="2"/>
      <c r="G722" s="19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195"/>
      <c r="D723" s="2"/>
      <c r="E723" s="2"/>
      <c r="F723" s="2"/>
      <c r="G723" s="19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195"/>
      <c r="D724" s="2"/>
      <c r="E724" s="2"/>
      <c r="F724" s="2"/>
      <c r="G724" s="19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195"/>
      <c r="D725" s="2"/>
      <c r="E725" s="2"/>
      <c r="F725" s="2"/>
      <c r="G725" s="19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195"/>
      <c r="D726" s="2"/>
      <c r="E726" s="2"/>
      <c r="F726" s="2"/>
      <c r="G726" s="19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195"/>
      <c r="D727" s="2"/>
      <c r="E727" s="2"/>
      <c r="F727" s="2"/>
      <c r="G727" s="19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195"/>
      <c r="D728" s="2"/>
      <c r="E728" s="2"/>
      <c r="F728" s="2"/>
      <c r="G728" s="19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195"/>
      <c r="D729" s="2"/>
      <c r="E729" s="2"/>
      <c r="F729" s="2"/>
      <c r="G729" s="19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195"/>
      <c r="D730" s="2"/>
      <c r="E730" s="2"/>
      <c r="F730" s="2"/>
      <c r="G730" s="19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195"/>
      <c r="D731" s="2"/>
      <c r="E731" s="2"/>
      <c r="F731" s="2"/>
      <c r="G731" s="19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195"/>
      <c r="D732" s="2"/>
      <c r="E732" s="2"/>
      <c r="F732" s="2"/>
      <c r="G732" s="19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195"/>
      <c r="D733" s="2"/>
      <c r="E733" s="2"/>
      <c r="F733" s="2"/>
      <c r="G733" s="19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195"/>
      <c r="D734" s="2"/>
      <c r="E734" s="2"/>
      <c r="F734" s="2"/>
      <c r="G734" s="19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195"/>
      <c r="D735" s="2"/>
      <c r="E735" s="2"/>
      <c r="F735" s="2"/>
      <c r="G735" s="19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195"/>
      <c r="D736" s="2"/>
      <c r="E736" s="2"/>
      <c r="F736" s="2"/>
      <c r="G736" s="19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195"/>
      <c r="D737" s="2"/>
      <c r="E737" s="2"/>
      <c r="F737" s="2"/>
      <c r="G737" s="19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195"/>
      <c r="D738" s="2"/>
      <c r="E738" s="2"/>
      <c r="F738" s="2"/>
      <c r="G738" s="19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195"/>
      <c r="D739" s="2"/>
      <c r="E739" s="2"/>
      <c r="F739" s="2"/>
      <c r="G739" s="19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195"/>
      <c r="D740" s="2"/>
      <c r="E740" s="2"/>
      <c r="F740" s="2"/>
      <c r="G740" s="19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195"/>
      <c r="D741" s="2"/>
      <c r="E741" s="2"/>
      <c r="F741" s="2"/>
      <c r="G741" s="19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195"/>
      <c r="D742" s="2"/>
      <c r="E742" s="2"/>
      <c r="F742" s="2"/>
      <c r="G742" s="19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195"/>
      <c r="D743" s="2"/>
      <c r="E743" s="2"/>
      <c r="F743" s="2"/>
      <c r="G743" s="19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195"/>
      <c r="D744" s="2"/>
      <c r="E744" s="2"/>
      <c r="F744" s="2"/>
      <c r="G744" s="19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195"/>
      <c r="D745" s="2"/>
      <c r="E745" s="2"/>
      <c r="F745" s="2"/>
      <c r="G745" s="19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195"/>
      <c r="D746" s="2"/>
      <c r="E746" s="2"/>
      <c r="F746" s="2"/>
      <c r="G746" s="19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195"/>
      <c r="D747" s="2"/>
      <c r="E747" s="2"/>
      <c r="F747" s="2"/>
      <c r="G747" s="19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195"/>
      <c r="D748" s="2"/>
      <c r="E748" s="2"/>
      <c r="F748" s="2"/>
      <c r="G748" s="19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195"/>
      <c r="D749" s="2"/>
      <c r="E749" s="2"/>
      <c r="F749" s="2"/>
      <c r="G749" s="19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195"/>
      <c r="D750" s="2"/>
      <c r="E750" s="2"/>
      <c r="F750" s="2"/>
      <c r="G750" s="19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195"/>
      <c r="D751" s="2"/>
      <c r="E751" s="2"/>
      <c r="F751" s="2"/>
      <c r="G751" s="19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195"/>
      <c r="D752" s="2"/>
      <c r="E752" s="2"/>
      <c r="F752" s="2"/>
      <c r="G752" s="19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195"/>
      <c r="D753" s="2"/>
      <c r="E753" s="2"/>
      <c r="F753" s="2"/>
      <c r="G753" s="19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195"/>
      <c r="D754" s="2"/>
      <c r="E754" s="2"/>
      <c r="F754" s="2"/>
      <c r="G754" s="19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195"/>
      <c r="D755" s="2"/>
      <c r="E755" s="2"/>
      <c r="F755" s="2"/>
      <c r="G755" s="19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195"/>
      <c r="D756" s="2"/>
      <c r="E756" s="2"/>
      <c r="F756" s="2"/>
      <c r="G756" s="19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195"/>
      <c r="D757" s="2"/>
      <c r="E757" s="2"/>
      <c r="F757" s="2"/>
      <c r="G757" s="19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195"/>
      <c r="D758" s="2"/>
      <c r="E758" s="2"/>
      <c r="F758" s="2"/>
      <c r="G758" s="19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195"/>
      <c r="D759" s="2"/>
      <c r="E759" s="2"/>
      <c r="F759" s="2"/>
      <c r="G759" s="19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195"/>
      <c r="D760" s="2"/>
      <c r="E760" s="2"/>
      <c r="F760" s="2"/>
      <c r="G760" s="19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195"/>
      <c r="D761" s="2"/>
      <c r="E761" s="2"/>
      <c r="F761" s="2"/>
      <c r="G761" s="19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195"/>
      <c r="D762" s="2"/>
      <c r="E762" s="2"/>
      <c r="F762" s="2"/>
      <c r="G762" s="19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195"/>
      <c r="D763" s="2"/>
      <c r="E763" s="2"/>
      <c r="F763" s="2"/>
      <c r="G763" s="19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195"/>
      <c r="D764" s="2"/>
      <c r="E764" s="2"/>
      <c r="F764" s="2"/>
      <c r="G764" s="19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195"/>
      <c r="D765" s="2"/>
      <c r="E765" s="2"/>
      <c r="F765" s="2"/>
      <c r="G765" s="19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195"/>
      <c r="D766" s="2"/>
      <c r="E766" s="2"/>
      <c r="F766" s="2"/>
      <c r="G766" s="19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195"/>
      <c r="D767" s="2"/>
      <c r="E767" s="2"/>
      <c r="F767" s="2"/>
      <c r="G767" s="19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195"/>
      <c r="D768" s="2"/>
      <c r="E768" s="2"/>
      <c r="F768" s="2"/>
      <c r="G768" s="19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195"/>
      <c r="D769" s="2"/>
      <c r="E769" s="2"/>
      <c r="F769" s="2"/>
      <c r="G769" s="19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195"/>
      <c r="D770" s="2"/>
      <c r="E770" s="2"/>
      <c r="F770" s="2"/>
      <c r="G770" s="19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195"/>
      <c r="D771" s="2"/>
      <c r="E771" s="2"/>
      <c r="F771" s="2"/>
      <c r="G771" s="19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195"/>
      <c r="D772" s="2"/>
      <c r="E772" s="2"/>
      <c r="F772" s="2"/>
      <c r="G772" s="19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195"/>
      <c r="D773" s="2"/>
      <c r="E773" s="2"/>
      <c r="F773" s="2"/>
      <c r="G773" s="19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195"/>
      <c r="D774" s="2"/>
      <c r="E774" s="2"/>
      <c r="F774" s="2"/>
      <c r="G774" s="19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195"/>
      <c r="D775" s="2"/>
      <c r="E775" s="2"/>
      <c r="F775" s="2"/>
      <c r="G775" s="19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195"/>
      <c r="D776" s="2"/>
      <c r="E776" s="2"/>
      <c r="F776" s="2"/>
      <c r="G776" s="19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195"/>
      <c r="D777" s="2"/>
      <c r="E777" s="2"/>
      <c r="F777" s="2"/>
      <c r="G777" s="19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195"/>
      <c r="D778" s="2"/>
      <c r="E778" s="2"/>
      <c r="F778" s="2"/>
      <c r="G778" s="19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195"/>
      <c r="D779" s="2"/>
      <c r="E779" s="2"/>
      <c r="F779" s="2"/>
      <c r="G779" s="19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195"/>
      <c r="D780" s="2"/>
      <c r="E780" s="2"/>
      <c r="F780" s="2"/>
      <c r="G780" s="19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195"/>
      <c r="D781" s="2"/>
      <c r="E781" s="2"/>
      <c r="F781" s="2"/>
      <c r="G781" s="19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195"/>
      <c r="D782" s="2"/>
      <c r="E782" s="2"/>
      <c r="F782" s="2"/>
      <c r="G782" s="19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195"/>
      <c r="D783" s="2"/>
      <c r="E783" s="2"/>
      <c r="F783" s="2"/>
      <c r="G783" s="19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195"/>
      <c r="D784" s="2"/>
      <c r="E784" s="2"/>
      <c r="F784" s="2"/>
      <c r="G784" s="19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195"/>
      <c r="D785" s="2"/>
      <c r="E785" s="2"/>
      <c r="F785" s="2"/>
      <c r="G785" s="19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195"/>
      <c r="D786" s="2"/>
      <c r="E786" s="2"/>
      <c r="F786" s="2"/>
      <c r="G786" s="19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195"/>
      <c r="D787" s="2"/>
      <c r="E787" s="2"/>
      <c r="F787" s="2"/>
      <c r="G787" s="19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195"/>
      <c r="D788" s="2"/>
      <c r="E788" s="2"/>
      <c r="F788" s="2"/>
      <c r="G788" s="19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195"/>
      <c r="D789" s="2"/>
      <c r="E789" s="2"/>
      <c r="F789" s="2"/>
      <c r="G789" s="19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195"/>
      <c r="D790" s="2"/>
      <c r="E790" s="2"/>
      <c r="F790" s="2"/>
      <c r="G790" s="19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195"/>
      <c r="D791" s="2"/>
      <c r="E791" s="2"/>
      <c r="F791" s="2"/>
      <c r="G791" s="19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195"/>
      <c r="D792" s="2"/>
      <c r="E792" s="2"/>
      <c r="F792" s="2"/>
      <c r="G792" s="19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195"/>
      <c r="D793" s="2"/>
      <c r="E793" s="2"/>
      <c r="F793" s="2"/>
      <c r="G793" s="19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195"/>
      <c r="D794" s="2"/>
      <c r="E794" s="2"/>
      <c r="F794" s="2"/>
      <c r="G794" s="19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195"/>
      <c r="D795" s="2"/>
      <c r="E795" s="2"/>
      <c r="F795" s="2"/>
      <c r="G795" s="19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195"/>
      <c r="D796" s="2"/>
      <c r="E796" s="2"/>
      <c r="F796" s="2"/>
      <c r="G796" s="19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195"/>
      <c r="D797" s="2"/>
      <c r="E797" s="2"/>
      <c r="F797" s="2"/>
      <c r="G797" s="19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195"/>
      <c r="D798" s="2"/>
      <c r="E798" s="2"/>
      <c r="F798" s="2"/>
      <c r="G798" s="19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195"/>
      <c r="D799" s="2"/>
      <c r="E799" s="2"/>
      <c r="F799" s="2"/>
      <c r="G799" s="19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195"/>
      <c r="D800" s="2"/>
      <c r="E800" s="2"/>
      <c r="F800" s="2"/>
      <c r="G800" s="19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195"/>
      <c r="D801" s="2"/>
      <c r="E801" s="2"/>
      <c r="F801" s="2"/>
      <c r="G801" s="19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195"/>
      <c r="D802" s="2"/>
      <c r="E802" s="2"/>
      <c r="F802" s="2"/>
      <c r="G802" s="19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195"/>
      <c r="D803" s="2"/>
      <c r="E803" s="2"/>
      <c r="F803" s="2"/>
      <c r="G803" s="19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195"/>
      <c r="D804" s="2"/>
      <c r="E804" s="2"/>
      <c r="F804" s="2"/>
      <c r="G804" s="19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195"/>
      <c r="D805" s="2"/>
      <c r="E805" s="2"/>
      <c r="F805" s="2"/>
      <c r="G805" s="19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195"/>
      <c r="D806" s="2"/>
      <c r="E806" s="2"/>
      <c r="F806" s="2"/>
      <c r="G806" s="19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195"/>
      <c r="D807" s="2"/>
      <c r="E807" s="2"/>
      <c r="F807" s="2"/>
      <c r="G807" s="19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195"/>
      <c r="D808" s="2"/>
      <c r="E808" s="2"/>
      <c r="F808" s="2"/>
      <c r="G808" s="19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195"/>
      <c r="D809" s="2"/>
      <c r="E809" s="2"/>
      <c r="F809" s="2"/>
      <c r="G809" s="19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195"/>
      <c r="D810" s="2"/>
      <c r="E810" s="2"/>
      <c r="F810" s="2"/>
      <c r="G810" s="19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195"/>
      <c r="D811" s="2"/>
      <c r="E811" s="2"/>
      <c r="F811" s="2"/>
      <c r="G811" s="19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195"/>
      <c r="D812" s="2"/>
      <c r="E812" s="2"/>
      <c r="F812" s="2"/>
      <c r="G812" s="19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195"/>
      <c r="D813" s="2"/>
      <c r="E813" s="2"/>
      <c r="F813" s="2"/>
      <c r="G813" s="19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195"/>
      <c r="D814" s="2"/>
      <c r="E814" s="2"/>
      <c r="F814" s="2"/>
      <c r="G814" s="19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195"/>
      <c r="D815" s="2"/>
      <c r="E815" s="2"/>
      <c r="F815" s="2"/>
      <c r="G815" s="19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195"/>
      <c r="D816" s="2"/>
      <c r="E816" s="2"/>
      <c r="F816" s="2"/>
      <c r="G816" s="19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195"/>
      <c r="D817" s="2"/>
      <c r="E817" s="2"/>
      <c r="F817" s="2"/>
      <c r="G817" s="19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195"/>
      <c r="D818" s="2"/>
      <c r="E818" s="2"/>
      <c r="F818" s="2"/>
      <c r="G818" s="19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195"/>
      <c r="D819" s="2"/>
      <c r="E819" s="2"/>
      <c r="F819" s="2"/>
      <c r="G819" s="19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195"/>
      <c r="D820" s="2"/>
      <c r="E820" s="2"/>
      <c r="F820" s="2"/>
      <c r="G820" s="19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195"/>
      <c r="D821" s="2"/>
      <c r="E821" s="2"/>
      <c r="F821" s="2"/>
      <c r="G821" s="19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195"/>
      <c r="D822" s="2"/>
      <c r="E822" s="2"/>
      <c r="F822" s="2"/>
      <c r="G822" s="19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195"/>
      <c r="D823" s="2"/>
      <c r="E823" s="2"/>
      <c r="F823" s="2"/>
      <c r="G823" s="19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195"/>
      <c r="D824" s="2"/>
      <c r="E824" s="2"/>
      <c r="F824" s="2"/>
      <c r="G824" s="19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195"/>
      <c r="D825" s="2"/>
      <c r="E825" s="2"/>
      <c r="F825" s="2"/>
      <c r="G825" s="19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195"/>
      <c r="D826" s="2"/>
      <c r="E826" s="2"/>
      <c r="F826" s="2"/>
      <c r="G826" s="19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195"/>
      <c r="D827" s="2"/>
      <c r="E827" s="2"/>
      <c r="F827" s="2"/>
      <c r="G827" s="19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195"/>
      <c r="D828" s="2"/>
      <c r="E828" s="2"/>
      <c r="F828" s="2"/>
      <c r="G828" s="19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195"/>
      <c r="D829" s="2"/>
      <c r="E829" s="2"/>
      <c r="F829" s="2"/>
      <c r="G829" s="19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195"/>
      <c r="D830" s="2"/>
      <c r="E830" s="2"/>
      <c r="F830" s="2"/>
      <c r="G830" s="19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195"/>
      <c r="D831" s="2"/>
      <c r="E831" s="2"/>
      <c r="F831" s="2"/>
      <c r="G831" s="19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195"/>
      <c r="D832" s="2"/>
      <c r="E832" s="2"/>
      <c r="F832" s="2"/>
      <c r="G832" s="19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195"/>
      <c r="D833" s="2"/>
      <c r="E833" s="2"/>
      <c r="F833" s="2"/>
      <c r="G833" s="19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195"/>
      <c r="D834" s="2"/>
      <c r="E834" s="2"/>
      <c r="F834" s="2"/>
      <c r="G834" s="19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195"/>
      <c r="D835" s="2"/>
      <c r="E835" s="2"/>
      <c r="F835" s="2"/>
      <c r="G835" s="19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195"/>
      <c r="D836" s="2"/>
      <c r="E836" s="2"/>
      <c r="F836" s="2"/>
      <c r="G836" s="19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195"/>
      <c r="D837" s="2"/>
      <c r="E837" s="2"/>
      <c r="F837" s="2"/>
      <c r="G837" s="19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195"/>
      <c r="D838" s="2"/>
      <c r="E838" s="2"/>
      <c r="F838" s="2"/>
      <c r="G838" s="19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195"/>
      <c r="D839" s="2"/>
      <c r="E839" s="2"/>
      <c r="F839" s="2"/>
      <c r="G839" s="19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195"/>
      <c r="D840" s="2"/>
      <c r="E840" s="2"/>
      <c r="F840" s="2"/>
      <c r="G840" s="19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195"/>
      <c r="D841" s="2"/>
      <c r="E841" s="2"/>
      <c r="F841" s="2"/>
      <c r="G841" s="19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195"/>
      <c r="D842" s="2"/>
      <c r="E842" s="2"/>
      <c r="F842" s="2"/>
      <c r="G842" s="19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195"/>
      <c r="D843" s="2"/>
      <c r="E843" s="2"/>
      <c r="F843" s="2"/>
      <c r="G843" s="19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195"/>
      <c r="D844" s="2"/>
      <c r="E844" s="2"/>
      <c r="F844" s="2"/>
      <c r="G844" s="19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195"/>
      <c r="D845" s="2"/>
      <c r="E845" s="2"/>
      <c r="F845" s="2"/>
      <c r="G845" s="19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195"/>
      <c r="D846" s="2"/>
      <c r="E846" s="2"/>
      <c r="F846" s="2"/>
      <c r="G846" s="19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195"/>
      <c r="D847" s="2"/>
      <c r="E847" s="2"/>
      <c r="F847" s="2"/>
      <c r="G847" s="19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195"/>
      <c r="D848" s="2"/>
      <c r="E848" s="2"/>
      <c r="F848" s="2"/>
      <c r="G848" s="19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195"/>
      <c r="D849" s="2"/>
      <c r="E849" s="2"/>
      <c r="F849" s="2"/>
      <c r="G849" s="19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195"/>
      <c r="D850" s="2"/>
      <c r="E850" s="2"/>
      <c r="F850" s="2"/>
      <c r="G850" s="19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195"/>
      <c r="D851" s="2"/>
      <c r="E851" s="2"/>
      <c r="F851" s="2"/>
      <c r="G851" s="19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195"/>
      <c r="D852" s="2"/>
      <c r="E852" s="2"/>
      <c r="F852" s="2"/>
      <c r="G852" s="19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195"/>
      <c r="D853" s="2"/>
      <c r="E853" s="2"/>
      <c r="F853" s="2"/>
      <c r="G853" s="19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195"/>
      <c r="D854" s="2"/>
      <c r="E854" s="2"/>
      <c r="F854" s="2"/>
      <c r="G854" s="19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195"/>
      <c r="D855" s="2"/>
      <c r="E855" s="2"/>
      <c r="F855" s="2"/>
      <c r="G855" s="19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195"/>
      <c r="D856" s="2"/>
      <c r="E856" s="2"/>
      <c r="F856" s="2"/>
      <c r="G856" s="19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195"/>
      <c r="D857" s="2"/>
      <c r="E857" s="2"/>
      <c r="F857" s="2"/>
      <c r="G857" s="19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195"/>
      <c r="D858" s="2"/>
      <c r="E858" s="2"/>
      <c r="F858" s="2"/>
      <c r="G858" s="19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195"/>
      <c r="D859" s="2"/>
      <c r="E859" s="2"/>
      <c r="F859" s="2"/>
      <c r="G859" s="19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195"/>
      <c r="D860" s="2"/>
      <c r="E860" s="2"/>
      <c r="F860" s="2"/>
      <c r="G860" s="19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195"/>
      <c r="D861" s="2"/>
      <c r="E861" s="2"/>
      <c r="F861" s="2"/>
      <c r="G861" s="19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195"/>
      <c r="D862" s="2"/>
      <c r="E862" s="2"/>
      <c r="F862" s="2"/>
      <c r="G862" s="19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195"/>
      <c r="D863" s="2"/>
      <c r="E863" s="2"/>
      <c r="F863" s="2"/>
      <c r="G863" s="19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195"/>
      <c r="D864" s="2"/>
      <c r="E864" s="2"/>
      <c r="F864" s="2"/>
      <c r="G864" s="19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195"/>
      <c r="D865" s="2"/>
      <c r="E865" s="2"/>
      <c r="F865" s="2"/>
      <c r="G865" s="19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195"/>
      <c r="D866" s="2"/>
      <c r="E866" s="2"/>
      <c r="F866" s="2"/>
      <c r="G866" s="19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195"/>
      <c r="D867" s="2"/>
      <c r="E867" s="2"/>
      <c r="F867" s="2"/>
      <c r="G867" s="19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195"/>
      <c r="D868" s="2"/>
      <c r="E868" s="2"/>
      <c r="F868" s="2"/>
      <c r="G868" s="19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195"/>
      <c r="D869" s="2"/>
      <c r="E869" s="2"/>
      <c r="F869" s="2"/>
      <c r="G869" s="19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195"/>
      <c r="D870" s="2"/>
      <c r="E870" s="2"/>
      <c r="F870" s="2"/>
      <c r="G870" s="19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195"/>
      <c r="D871" s="2"/>
      <c r="E871" s="2"/>
      <c r="F871" s="2"/>
      <c r="G871" s="19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195"/>
      <c r="D872" s="2"/>
      <c r="E872" s="2"/>
      <c r="F872" s="2"/>
      <c r="G872" s="19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195"/>
      <c r="D873" s="2"/>
      <c r="E873" s="2"/>
      <c r="F873" s="2"/>
      <c r="G873" s="19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195"/>
      <c r="D874" s="2"/>
      <c r="E874" s="2"/>
      <c r="F874" s="2"/>
      <c r="G874" s="19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195"/>
      <c r="D875" s="2"/>
      <c r="E875" s="2"/>
      <c r="F875" s="2"/>
      <c r="G875" s="19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195"/>
      <c r="D876" s="2"/>
      <c r="E876" s="2"/>
      <c r="F876" s="2"/>
      <c r="G876" s="19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195"/>
      <c r="D877" s="2"/>
      <c r="E877" s="2"/>
      <c r="F877" s="2"/>
      <c r="G877" s="19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195"/>
      <c r="D878" s="2"/>
      <c r="E878" s="2"/>
      <c r="F878" s="2"/>
      <c r="G878" s="19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195"/>
      <c r="D879" s="2"/>
      <c r="E879" s="2"/>
      <c r="F879" s="2"/>
      <c r="G879" s="19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195"/>
      <c r="D880" s="2"/>
      <c r="E880" s="2"/>
      <c r="F880" s="2"/>
      <c r="G880" s="19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195"/>
      <c r="D881" s="2"/>
      <c r="E881" s="2"/>
      <c r="F881" s="2"/>
      <c r="G881" s="19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195"/>
      <c r="D882" s="2"/>
      <c r="E882" s="2"/>
      <c r="F882" s="2"/>
      <c r="G882" s="19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195"/>
      <c r="D883" s="2"/>
      <c r="E883" s="2"/>
      <c r="F883" s="2"/>
      <c r="G883" s="19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195"/>
      <c r="D884" s="2"/>
      <c r="E884" s="2"/>
      <c r="F884" s="2"/>
      <c r="G884" s="19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195"/>
      <c r="D885" s="2"/>
      <c r="E885" s="2"/>
      <c r="F885" s="2"/>
      <c r="G885" s="19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195"/>
      <c r="D886" s="2"/>
      <c r="E886" s="2"/>
      <c r="F886" s="2"/>
      <c r="G886" s="19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195"/>
      <c r="D887" s="2"/>
      <c r="E887" s="2"/>
      <c r="F887" s="2"/>
      <c r="G887" s="19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195"/>
      <c r="D888" s="2"/>
      <c r="E888" s="2"/>
      <c r="F888" s="2"/>
      <c r="G888" s="19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195"/>
      <c r="D889" s="2"/>
      <c r="E889" s="2"/>
      <c r="F889" s="2"/>
      <c r="G889" s="19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195"/>
      <c r="D890" s="2"/>
      <c r="E890" s="2"/>
      <c r="F890" s="2"/>
      <c r="G890" s="19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195"/>
      <c r="D891" s="2"/>
      <c r="E891" s="2"/>
      <c r="F891" s="2"/>
      <c r="G891" s="19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195"/>
      <c r="D892" s="2"/>
      <c r="E892" s="2"/>
      <c r="F892" s="2"/>
      <c r="G892" s="19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195"/>
      <c r="D893" s="2"/>
      <c r="E893" s="2"/>
      <c r="F893" s="2"/>
      <c r="G893" s="19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195"/>
      <c r="D894" s="2"/>
      <c r="E894" s="2"/>
      <c r="F894" s="2"/>
      <c r="G894" s="19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195"/>
      <c r="D895" s="2"/>
      <c r="E895" s="2"/>
      <c r="F895" s="2"/>
      <c r="G895" s="19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195"/>
      <c r="D896" s="2"/>
      <c r="E896" s="2"/>
      <c r="F896" s="2"/>
      <c r="G896" s="19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195"/>
      <c r="D897" s="2"/>
      <c r="E897" s="2"/>
      <c r="F897" s="2"/>
      <c r="G897" s="19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195"/>
      <c r="D898" s="2"/>
      <c r="E898" s="2"/>
      <c r="F898" s="2"/>
      <c r="G898" s="19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195"/>
      <c r="D899" s="2"/>
      <c r="E899" s="2"/>
      <c r="F899" s="2"/>
      <c r="G899" s="19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195"/>
      <c r="D900" s="2"/>
      <c r="E900" s="2"/>
      <c r="F900" s="2"/>
      <c r="G900" s="19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195"/>
      <c r="D901" s="2"/>
      <c r="E901" s="2"/>
      <c r="F901" s="2"/>
      <c r="G901" s="19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195"/>
      <c r="D902" s="2"/>
      <c r="E902" s="2"/>
      <c r="F902" s="2"/>
      <c r="G902" s="19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195"/>
      <c r="D903" s="2"/>
      <c r="E903" s="2"/>
      <c r="F903" s="2"/>
      <c r="G903" s="19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195"/>
      <c r="D904" s="2"/>
      <c r="E904" s="2"/>
      <c r="F904" s="2"/>
      <c r="G904" s="19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195"/>
      <c r="D905" s="2"/>
      <c r="E905" s="2"/>
      <c r="F905" s="2"/>
      <c r="G905" s="19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195"/>
      <c r="D906" s="2"/>
      <c r="E906" s="2"/>
      <c r="F906" s="2"/>
      <c r="G906" s="19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195"/>
      <c r="D907" s="2"/>
      <c r="E907" s="2"/>
      <c r="F907" s="2"/>
      <c r="G907" s="19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195"/>
      <c r="D908" s="2"/>
      <c r="E908" s="2"/>
      <c r="F908" s="2"/>
      <c r="G908" s="19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195"/>
      <c r="D909" s="2"/>
      <c r="E909" s="2"/>
      <c r="F909" s="2"/>
      <c r="G909" s="19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195"/>
      <c r="D910" s="2"/>
      <c r="E910" s="2"/>
      <c r="F910" s="2"/>
      <c r="G910" s="19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195"/>
      <c r="D911" s="2"/>
      <c r="E911" s="2"/>
      <c r="F911" s="2"/>
      <c r="G911" s="19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195"/>
      <c r="D912" s="2"/>
      <c r="E912" s="2"/>
      <c r="F912" s="2"/>
      <c r="G912" s="19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195"/>
      <c r="D913" s="2"/>
      <c r="E913" s="2"/>
      <c r="F913" s="2"/>
      <c r="G913" s="19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195"/>
      <c r="D914" s="2"/>
      <c r="E914" s="2"/>
      <c r="F914" s="2"/>
      <c r="G914" s="19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195"/>
      <c r="D915" s="2"/>
      <c r="E915" s="2"/>
      <c r="F915" s="2"/>
      <c r="G915" s="19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195"/>
      <c r="D916" s="2"/>
      <c r="E916" s="2"/>
      <c r="F916" s="2"/>
      <c r="G916" s="19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195"/>
      <c r="D917" s="2"/>
      <c r="E917" s="2"/>
      <c r="F917" s="2"/>
      <c r="G917" s="19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195"/>
      <c r="D918" s="2"/>
      <c r="E918" s="2"/>
      <c r="F918" s="2"/>
      <c r="G918" s="19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195"/>
      <c r="D919" s="2"/>
      <c r="E919" s="2"/>
      <c r="F919" s="2"/>
      <c r="G919" s="19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195"/>
      <c r="D920" s="2"/>
      <c r="E920" s="2"/>
      <c r="F920" s="2"/>
      <c r="G920" s="19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195"/>
      <c r="D921" s="2"/>
      <c r="E921" s="2"/>
      <c r="F921" s="2"/>
      <c r="G921" s="19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195"/>
      <c r="D922" s="2"/>
      <c r="E922" s="2"/>
      <c r="F922" s="2"/>
      <c r="G922" s="19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195"/>
      <c r="D923" s="2"/>
      <c r="E923" s="2"/>
      <c r="F923" s="2"/>
      <c r="G923" s="19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195"/>
      <c r="D924" s="2"/>
      <c r="E924" s="2"/>
      <c r="F924" s="2"/>
      <c r="G924" s="19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195"/>
      <c r="D925" s="2"/>
      <c r="E925" s="2"/>
      <c r="F925" s="2"/>
      <c r="G925" s="19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195"/>
      <c r="D926" s="2"/>
      <c r="E926" s="2"/>
      <c r="F926" s="2"/>
      <c r="G926" s="19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195"/>
      <c r="D927" s="2"/>
      <c r="E927" s="2"/>
      <c r="F927" s="2"/>
      <c r="G927" s="19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195"/>
      <c r="D928" s="2"/>
      <c r="E928" s="2"/>
      <c r="F928" s="2"/>
      <c r="G928" s="19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195"/>
      <c r="D929" s="2"/>
      <c r="E929" s="2"/>
      <c r="F929" s="2"/>
      <c r="G929" s="19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195"/>
      <c r="D930" s="2"/>
      <c r="E930" s="2"/>
      <c r="F930" s="2"/>
      <c r="G930" s="19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195"/>
      <c r="D931" s="2"/>
      <c r="E931" s="2"/>
      <c r="F931" s="2"/>
      <c r="G931" s="19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195"/>
      <c r="D932" s="2"/>
      <c r="E932" s="2"/>
      <c r="F932" s="2"/>
      <c r="G932" s="19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195"/>
      <c r="D933" s="2"/>
      <c r="E933" s="2"/>
      <c r="F933" s="2"/>
      <c r="G933" s="19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195"/>
      <c r="D934" s="2"/>
      <c r="E934" s="2"/>
      <c r="F934" s="2"/>
      <c r="G934" s="19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195"/>
      <c r="D935" s="2"/>
      <c r="E935" s="2"/>
      <c r="F935" s="2"/>
      <c r="G935" s="19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195"/>
      <c r="D936" s="2"/>
      <c r="E936" s="2"/>
      <c r="F936" s="2"/>
      <c r="G936" s="19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195"/>
      <c r="D937" s="2"/>
      <c r="E937" s="2"/>
      <c r="F937" s="2"/>
      <c r="G937" s="19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195"/>
      <c r="D938" s="2"/>
      <c r="E938" s="2"/>
      <c r="F938" s="2"/>
      <c r="G938" s="19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195"/>
      <c r="D939" s="2"/>
      <c r="E939" s="2"/>
      <c r="F939" s="2"/>
      <c r="G939" s="19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195"/>
      <c r="D940" s="2"/>
      <c r="E940" s="2"/>
      <c r="F940" s="2"/>
      <c r="G940" s="19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195"/>
      <c r="D941" s="2"/>
      <c r="E941" s="2"/>
      <c r="F941" s="2"/>
      <c r="G941" s="19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195"/>
      <c r="D942" s="2"/>
      <c r="E942" s="2"/>
      <c r="F942" s="2"/>
      <c r="G942" s="19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195"/>
      <c r="D943" s="2"/>
      <c r="E943" s="2"/>
      <c r="F943" s="2"/>
      <c r="G943" s="19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195"/>
      <c r="D944" s="2"/>
      <c r="E944" s="2"/>
      <c r="F944" s="2"/>
      <c r="G944" s="19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195"/>
      <c r="D945" s="2"/>
      <c r="E945" s="2"/>
      <c r="F945" s="2"/>
      <c r="G945" s="19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195"/>
      <c r="D946" s="2"/>
      <c r="E946" s="2"/>
      <c r="F946" s="2"/>
      <c r="G946" s="19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195"/>
      <c r="D947" s="2"/>
      <c r="E947" s="2"/>
      <c r="F947" s="2"/>
      <c r="G947" s="19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195"/>
      <c r="D948" s="2"/>
      <c r="E948" s="2"/>
      <c r="F948" s="2"/>
      <c r="G948" s="19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195"/>
      <c r="D949" s="2"/>
      <c r="E949" s="2"/>
      <c r="F949" s="2"/>
      <c r="G949" s="19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195"/>
      <c r="D950" s="2"/>
      <c r="E950" s="2"/>
      <c r="F950" s="2"/>
      <c r="G950" s="19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195"/>
      <c r="D951" s="2"/>
      <c r="E951" s="2"/>
      <c r="F951" s="2"/>
      <c r="G951" s="19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195"/>
      <c r="D952" s="2"/>
      <c r="E952" s="2"/>
      <c r="F952" s="2"/>
      <c r="G952" s="19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195"/>
      <c r="D953" s="2"/>
      <c r="E953" s="2"/>
      <c r="F953" s="2"/>
      <c r="G953" s="19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195"/>
      <c r="D954" s="2"/>
      <c r="E954" s="2"/>
      <c r="F954" s="2"/>
      <c r="G954" s="19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195"/>
      <c r="D955" s="2"/>
      <c r="E955" s="2"/>
      <c r="F955" s="2"/>
      <c r="G955" s="19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195"/>
      <c r="D956" s="2"/>
      <c r="E956" s="2"/>
      <c r="F956" s="2"/>
      <c r="G956" s="19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195"/>
      <c r="D957" s="2"/>
      <c r="E957" s="2"/>
      <c r="F957" s="2"/>
      <c r="G957" s="19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195"/>
      <c r="D958" s="2"/>
      <c r="E958" s="2"/>
      <c r="F958" s="2"/>
      <c r="G958" s="19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195"/>
      <c r="D959" s="2"/>
      <c r="E959" s="2"/>
      <c r="F959" s="2"/>
      <c r="G959" s="19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195"/>
      <c r="D960" s="2"/>
      <c r="E960" s="2"/>
      <c r="F960" s="2"/>
      <c r="G960" s="19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195"/>
      <c r="D961" s="2"/>
      <c r="E961" s="2"/>
      <c r="F961" s="2"/>
      <c r="G961" s="19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</sheetData>
  <mergeCells count="45">
    <mergeCell ref="F8:F9"/>
    <mergeCell ref="G8:G9"/>
    <mergeCell ref="H8:H9"/>
    <mergeCell ref="I8:AI8"/>
    <mergeCell ref="A1:AI1"/>
    <mergeCell ref="A2:AI2"/>
    <mergeCell ref="A3:AI3"/>
    <mergeCell ref="A4:K4"/>
    <mergeCell ref="A6:K6"/>
    <mergeCell ref="A8:A9"/>
    <mergeCell ref="B8:B9"/>
    <mergeCell ref="D28:D35"/>
    <mergeCell ref="D38:D42"/>
    <mergeCell ref="D43:D44"/>
    <mergeCell ref="D45:D57"/>
    <mergeCell ref="D64:D70"/>
    <mergeCell ref="C8:C9"/>
    <mergeCell ref="E8:E9"/>
    <mergeCell ref="D12:D27"/>
    <mergeCell ref="F12:F27"/>
    <mergeCell ref="G12:G27"/>
    <mergeCell ref="H12:H27"/>
    <mergeCell ref="H28:H35"/>
    <mergeCell ref="F28:F35"/>
    <mergeCell ref="G28:G35"/>
    <mergeCell ref="F38:F42"/>
    <mergeCell ref="G38:G42"/>
    <mergeCell ref="H38:H42"/>
    <mergeCell ref="G43:G44"/>
    <mergeCell ref="H43:H44"/>
    <mergeCell ref="H64:H70"/>
    <mergeCell ref="B113:I113"/>
    <mergeCell ref="A116:C116"/>
    <mergeCell ref="D116:F116"/>
    <mergeCell ref="K117:AG117"/>
    <mergeCell ref="A118:E118"/>
    <mergeCell ref="A123:C123"/>
    <mergeCell ref="A124:C124"/>
    <mergeCell ref="F43:F44"/>
    <mergeCell ref="F45:F57"/>
    <mergeCell ref="G45:G57"/>
    <mergeCell ref="H45:H57"/>
    <mergeCell ref="F64:F70"/>
    <mergeCell ref="G64:G70"/>
    <mergeCell ref="J65:J70"/>
  </mergeCells>
  <printOptions horizontalCentered="1"/>
  <pageMargins bottom="0.75" footer="0.0" header="0.0" left="0.25" right="0.25" top="0.75"/>
  <pageSetup fitToHeight="0" paperSize="14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2024-01-16T01:25:55Z</dcterms:created>
  <dc:creator>Jilbert Isles</dc:creator>
</cp:coreProperties>
</file>