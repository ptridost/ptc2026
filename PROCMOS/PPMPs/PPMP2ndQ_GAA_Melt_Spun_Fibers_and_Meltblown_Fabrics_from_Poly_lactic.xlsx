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ommentsmeta0" ContentType="application/binary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480" yWindow="525" windowWidth="15975" windowHeight="7365"/>
  </bookViews>
  <sheets>
    <sheet name="Q1" sheetId="1" r:id="rId1"/>
    <sheet name="Q2" sheetId="2" r:id="rId2"/>
  </sheets>
  <calcPr calcId="124519"/>
  <extLst>
    <ext uri="GoogleSheetsCustomDataVersion2">
      <go:sheetsCustomData xmlns:go="http://customooxmlschemas.google.com/" r:id="rId6" roundtripDataChecksum="g4zF8kXnc0ICEs4ZVUjWOUV1cXgqzLuYZHktUZd7xuQ="/>
    </ext>
  </extLst>
</workbook>
</file>

<file path=xl/calcChain.xml><?xml version="1.0" encoding="utf-8"?>
<calcChain xmlns="http://schemas.openxmlformats.org/spreadsheetml/2006/main">
  <c r="F34" i="2"/>
  <c r="F33"/>
  <c r="F32"/>
  <c r="F31"/>
  <c r="F12"/>
  <c r="D43" s="1"/>
  <c r="C39" i="1"/>
  <c r="C40" s="1"/>
  <c r="U9"/>
  <c r="D44" i="2" l="1"/>
  <c r="D46" s="1"/>
  <c r="D45"/>
  <c r="C41" i="1"/>
  <c r="C42" s="1"/>
</calcChain>
</file>

<file path=xl/comments1.xml><?xml version="1.0" encoding="utf-8"?>
<comments xmlns="http://schemas.openxmlformats.org/spreadsheetml/2006/main">
  <authors>
    <author/>
  </authors>
  <commentList>
    <comment ref="A46" authorId="0">
      <text>
        <r>
          <rPr>
            <sz val="11"/>
            <color theme="1"/>
            <rFont val="Arial"/>
            <scheme val="minor"/>
          </rPr>
          <t>======
ID#AAABELXhRPE
upmnih    (2021-04-08 04:25:07)
Prepared by: Project Staff/ Research Associate</t>
        </r>
      </text>
    </comment>
    <comment ref="C46" authorId="0">
      <text>
        <r>
          <rPr>
            <sz val="11"/>
            <color theme="1"/>
            <rFont val="Arial"/>
            <scheme val="minor"/>
          </rPr>
          <t>======
ID#AAABELXhRPI
upmnih    (2021-04-08 04:25:07)
Submitted by: Project Leader</t>
        </r>
      </text>
    </comment>
  </commentList>
  <extLst xmlns:r="http://schemas.openxmlformats.org/officeDocument/2006/relationships">
    <ext uri="GoogleSheetsCustomDataVersion2">
      <go:sheetsCustomData xmlns:go="http://customooxmlschemas.google.com/" r:id="rId1" roundtripDataSignature="AMtx7miwAL36E/KSFyUCPtqVPJXaYpwsdQ=="/>
    </ext>
  </extLst>
</comments>
</file>

<file path=xl/sharedStrings.xml><?xml version="1.0" encoding="utf-8"?>
<sst xmlns="http://schemas.openxmlformats.org/spreadsheetml/2006/main" count="290" uniqueCount="171">
  <si>
    <t xml:space="preserve">  PROJECT PROCUREMENT MANAGEMENT PLAN (PPMP) 2024</t>
  </si>
  <si>
    <t>For 1st Quarter of CY 2024</t>
  </si>
  <si>
    <t>END-USER/UNIT: RDD-CDABUS</t>
  </si>
  <si>
    <t>Charged to: RDD-GAA 2024: Melt-Spun Fibers and Meltblown Fabrics from Poly(lactic Acid) and Polypropylene through Incorporation of Plasticizers</t>
  </si>
  <si>
    <t>Projects, Programs and Activities (PAPs)</t>
  </si>
  <si>
    <t>CODE</t>
  </si>
  <si>
    <t>GENERAL DESCRIPTION</t>
  </si>
  <si>
    <t>QUANTITY/</t>
  </si>
  <si>
    <t>UNIT PRICE</t>
  </si>
  <si>
    <t>ESTIMATED BUDGET</t>
  </si>
  <si>
    <t>Mode of Procurement</t>
  </si>
  <si>
    <t>DELIVERY TERM</t>
  </si>
  <si>
    <t>SCHEDULE/MILESTONE OF ACTIVITIES</t>
  </si>
  <si>
    <t>SIZE</t>
  </si>
  <si>
    <t>Jan</t>
  </si>
  <si>
    <t>Feb</t>
  </si>
  <si>
    <t>Mar</t>
  </si>
  <si>
    <t>PR No.</t>
  </si>
  <si>
    <t>RFQ No.</t>
  </si>
  <si>
    <t>PhilGEPS Reference No.</t>
  </si>
  <si>
    <t>AOC No.</t>
  </si>
  <si>
    <t>PO No.</t>
  </si>
  <si>
    <t>COA Received Date</t>
  </si>
  <si>
    <t>NTP No.</t>
  </si>
  <si>
    <t>IAR No.</t>
  </si>
  <si>
    <t>ICS/PAR No.</t>
  </si>
  <si>
    <t>RIS/RSMI No.</t>
  </si>
  <si>
    <t>REMARKS</t>
  </si>
  <si>
    <t>Office Supplies</t>
  </si>
  <si>
    <t>Ultra Fine Felt Tip Pen (blue)</t>
  </si>
  <si>
    <t>20 pieces</t>
  </si>
  <si>
    <t>Shopping</t>
  </si>
  <si>
    <t>Laboratory Supplies</t>
  </si>
  <si>
    <t>Polypropylene resin, MB grade (25 kg)</t>
  </si>
  <si>
    <t>1 bag</t>
  </si>
  <si>
    <t>Small Value Procurement</t>
  </si>
  <si>
    <t>Polypropylene resin, SB grade (25 kg)</t>
  </si>
  <si>
    <t>Poly(lactic acid), fiber-grade (25 kg)</t>
  </si>
  <si>
    <t>Poly(butylene succinate), MW=40000 g/mol</t>
  </si>
  <si>
    <t>1 lot</t>
  </si>
  <si>
    <t>Poly(ethylene glycol), MW=400 g/mol, 500 g</t>
  </si>
  <si>
    <t>3 lots</t>
  </si>
  <si>
    <t>Tributyl acetyl citrate</t>
  </si>
  <si>
    <t>1 kg</t>
  </si>
  <si>
    <t>BHT Antioxidant</t>
  </si>
  <si>
    <t>Irgafos 168 Antioxidant, 500 g</t>
  </si>
  <si>
    <t>Uvinul 3039 Antioxidant, 250 mL</t>
  </si>
  <si>
    <t>Trinuvin 900 UV Stabilizer, 100 g</t>
  </si>
  <si>
    <t>5 lots</t>
  </si>
  <si>
    <t>Calcium Stearate</t>
  </si>
  <si>
    <t>Stearic Acid</t>
  </si>
  <si>
    <t>Office Equipment</t>
  </si>
  <si>
    <t>Laboratory Equipment</t>
  </si>
  <si>
    <t>&lt;-- INSERT ROW IF NEEDED</t>
  </si>
  <si>
    <t>TOTAL BUDGET:</t>
  </si>
  <si>
    <t>+ 10% Provision for Inflation</t>
  </si>
  <si>
    <t xml:space="preserve">+ 10% Contingency  </t>
  </si>
  <si>
    <t xml:space="preserve">TOTAL ESTIMATED BUDGET:  </t>
  </si>
  <si>
    <t>NOTE:      Technical Specifications for each Item/Project being proposed shall be submitted as part of the PPMP</t>
  </si>
  <si>
    <t>Prepared by:</t>
  </si>
  <si>
    <t>Reviewed by:</t>
  </si>
  <si>
    <t>Recommending Approval:</t>
  </si>
  <si>
    <t>Approved by:</t>
  </si>
  <si>
    <t>AUDRIC ZURIEL C. CRUZ</t>
  </si>
  <si>
    <t>MARILOU G. AGUSTIN</t>
  </si>
  <si>
    <t>MERLITA R. ODI</t>
  </si>
  <si>
    <t>JULIUS L. LEAÑO JR., Ph.D.</t>
  </si>
  <si>
    <t>Project Leader</t>
  </si>
  <si>
    <t>Head, Property, Procurement and General Services Section</t>
  </si>
  <si>
    <t>Head, Budget and Treasury Section</t>
  </si>
  <si>
    <t>Director IV</t>
  </si>
  <si>
    <t>Date: ______________________</t>
  </si>
  <si>
    <t>For 2nd Quarter of CY 2024</t>
  </si>
  <si>
    <t>UACS CODE</t>
  </si>
  <si>
    <t>Stock No.</t>
  </si>
  <si>
    <t>Apr</t>
  </si>
  <si>
    <t>May</t>
  </si>
  <si>
    <t>Jun</t>
  </si>
  <si>
    <t>PR No. and Date</t>
  </si>
  <si>
    <t>RFQ No. and Date</t>
  </si>
  <si>
    <t>PhilGEPS Reference No. and Date</t>
  </si>
  <si>
    <t>PhilGEPS Closing Date</t>
  </si>
  <si>
    <t>AOC No. and Date</t>
  </si>
  <si>
    <t>BAC Reso</t>
  </si>
  <si>
    <t>PO No. and Date</t>
  </si>
  <si>
    <t>Name of Payee</t>
  </si>
  <si>
    <t>BURS/ORS Amount</t>
  </si>
  <si>
    <t>Budget Utilization Rate</t>
  </si>
  <si>
    <t>Conforme of PO Date</t>
  </si>
  <si>
    <t>COA Received of PO Date</t>
  </si>
  <si>
    <t>NTP Date</t>
  </si>
  <si>
    <t>Contract Effectivity Date</t>
  </si>
  <si>
    <t>End of Contract</t>
  </si>
  <si>
    <t>Extended End of Contract</t>
  </si>
  <si>
    <t>Delivery Date</t>
  </si>
  <si>
    <t>OR / Invoice and date</t>
  </si>
  <si>
    <t>IAR No. and Date</t>
  </si>
  <si>
    <t>ICS/PAR No. and Date</t>
  </si>
  <si>
    <t>RIS No. and Date</t>
  </si>
  <si>
    <t>RSMI No. and Date</t>
  </si>
  <si>
    <t>DV Release Date</t>
  </si>
  <si>
    <t>DV Amount</t>
  </si>
  <si>
    <t>Disbursement Rate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</si>
  <si>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</si>
  <si>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</si>
  <si>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</si>
  <si>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</si>
  <si>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</si>
  <si>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</si>
  <si>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</si>
  <si>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</si>
  <si>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</si>
  <si>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</si>
  <si>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</si>
  <si>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</si>
  <si>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</si>
  <si>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</si>
  <si>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</si>
  <si>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</si>
  <si>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</si>
  <si>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</si>
  <si>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</si>
  <si>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</si>
  <si>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</si>
  <si>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</si>
  <si>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</si>
  <si>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</si>
  <si>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</si>
  <si>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</si>
  <si>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</si>
  <si>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</si>
  <si>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</si>
  <si>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</si>
  <si>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</si>
  <si>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</si>
  <si>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</si>
  <si>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</si>
  <si>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</si>
  <si>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</si>
  <si>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</si>
  <si>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</si>
  <si>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</si>
  <si>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</si>
  <si>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50203010 02</t>
  </si>
  <si>
    <t>Office Supplies Expenses</t>
  </si>
  <si>
    <t>Whiteboard, double faced, fixed stand (4' x 8')</t>
  </si>
  <si>
    <t>10 pcs</t>
  </si>
  <si>
    <t>Negotiated Procurement - Small Value Procurement</t>
  </si>
  <si>
    <t>15 working days</t>
  </si>
  <si>
    <t>OS-172</t>
  </si>
  <si>
    <t>Whiteboard marker (black), 12 pcs per box</t>
  </si>
  <si>
    <t>5 boxes</t>
  </si>
  <si>
    <t>Whiteboard marker (red), 12 pcs per box</t>
  </si>
  <si>
    <t>50203080 00</t>
  </si>
  <si>
    <t>Medical, Dental Laboratory Supplies Expenses</t>
  </si>
  <si>
    <t>60 working days</t>
  </si>
  <si>
    <t>Peroxide masterbatch (25 kg)</t>
  </si>
  <si>
    <t>Sodium Alginate, analytical grade</t>
  </si>
  <si>
    <t>2 bottles</t>
  </si>
  <si>
    <t>50211990 00</t>
  </si>
  <si>
    <t>Other Professional Services</t>
  </si>
  <si>
    <t>Fiber fineness testing (ASTM D1577)</t>
  </si>
  <si>
    <t>24 samples</t>
  </si>
  <si>
    <t>per schedule</t>
  </si>
  <si>
    <t>SEM Imaging of fibers and fabrics</t>
  </si>
  <si>
    <t>16 samples</t>
  </si>
  <si>
    <t>Thermogravimetric analysis (TGA)</t>
  </si>
  <si>
    <t>Differential scanning calorimetry (DSC)</t>
  </si>
  <si>
    <t>Polymer molecular weight (GPC)</t>
  </si>
  <si>
    <t>8 samples</t>
  </si>
  <si>
    <r>
      <rPr>
        <sz val="11"/>
        <color theme="1"/>
        <rFont val="Arial"/>
      </rPr>
      <t xml:space="preserve">Date: </t>
    </r>
    <r>
      <rPr>
        <u/>
        <sz val="11"/>
        <color theme="1"/>
        <rFont val="Arial"/>
      </rPr>
      <t>May 22, 2024</t>
    </r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</si>
</sst>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22">
    <font>
      <sz val="11"/>
      <color theme="1"/>
      <name val="Arial"/>
      <scheme val="minor"/>
    </font>
    <font>
      <b/>
      <sz val="12"/>
      <color theme="1"/>
      <name val="Arial"/>
    </font>
    <font>
      <sz val="11"/>
      <color theme="1"/>
      <name val="Arial"/>
    </font>
    <font>
      <b/>
      <sz val="11"/>
      <color rgb="FFFF0000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b/>
      <sz val="9"/>
      <color theme="1"/>
      <name val="Arial"/>
    </font>
    <font>
      <b/>
      <sz val="10"/>
      <color theme="1"/>
      <name val="Arial"/>
    </font>
    <font>
      <sz val="11"/>
      <name val="Arial"/>
    </font>
    <font>
      <sz val="9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u/>
      <sz val="9"/>
      <color theme="1"/>
      <name val="Arial"/>
    </font>
    <font>
      <b/>
      <sz val="8"/>
      <color theme="1"/>
      <name val="Arial"/>
    </font>
    <font>
      <u/>
      <sz val="8"/>
      <color theme="1"/>
      <name val="Arial"/>
    </font>
    <font>
      <b/>
      <u/>
      <sz val="10"/>
      <color theme="1"/>
      <name val="Arial"/>
    </font>
    <font>
      <sz val="11"/>
      <color theme="1"/>
      <name val="Calibri"/>
    </font>
    <font>
      <b/>
      <sz val="10"/>
      <color theme="1"/>
      <name val="Verdana"/>
    </font>
    <font>
      <sz val="10"/>
      <color theme="1"/>
      <name val="Calibri"/>
    </font>
    <font>
      <sz val="10"/>
      <color theme="1"/>
      <name val="Verdana"/>
    </font>
    <font>
      <sz val="9"/>
      <color theme="1"/>
      <name val="Arial"/>
      <scheme val="minor"/>
    </font>
    <font>
      <u/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</fills>
  <borders count="3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72">
    <xf numFmtId="0" fontId="0" fillId="0" borderId="0" xfId="0" applyFont="1" applyAlignment="1"/>
    <xf numFmtId="0" fontId="2" fillId="0" borderId="0" xfId="0" applyFont="1"/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" fontId="2" fillId="0" borderId="0" xfId="0" applyNumberFormat="1" applyFont="1" applyAlignment="1">
      <alignment horizontal="right" vertical="center"/>
    </xf>
    <xf numFmtId="0" fontId="5" fillId="0" borderId="0" xfId="0" applyFont="1" applyAlignment="1">
      <alignment vertical="center"/>
    </xf>
    <xf numFmtId="4" fontId="2" fillId="0" borderId="0" xfId="0" applyNumberFormat="1" applyFont="1" applyAlignment="1">
      <alignment horizontal="right"/>
    </xf>
    <xf numFmtId="43" fontId="2" fillId="0" borderId="0" xfId="0" applyNumberFormat="1" applyFont="1"/>
    <xf numFmtId="0" fontId="2" fillId="0" borderId="0" xfId="0" applyFont="1" applyAlignment="1">
      <alignment horizontal="center" wrapText="1"/>
    </xf>
    <xf numFmtId="0" fontId="4" fillId="0" borderId="0" xfId="0" applyFont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0" fontId="9" fillId="0" borderId="0" xfId="0" applyFont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9" fillId="0" borderId="11" xfId="0" applyFont="1" applyBorder="1"/>
    <xf numFmtId="0" fontId="6" fillId="0" borderId="12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3" xfId="0" applyFont="1" applyFill="1" applyBorder="1" applyAlignment="1">
      <alignment horizontal="center" vertical="center" wrapText="1"/>
    </xf>
    <xf numFmtId="4" fontId="6" fillId="2" borderId="13" xfId="0" applyNumberFormat="1" applyFont="1" applyFill="1" applyBorder="1" applyAlignment="1">
      <alignment horizontal="right" vertical="center" wrapText="1"/>
    </xf>
    <xf numFmtId="43" fontId="6" fillId="2" borderId="13" xfId="0" applyNumberFormat="1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49" fontId="2" fillId="0" borderId="15" xfId="0" applyNumberFormat="1" applyFont="1" applyBorder="1"/>
    <xf numFmtId="0" fontId="2" fillId="0" borderId="16" xfId="0" applyFont="1" applyBorder="1" applyAlignment="1">
      <alignment horizontal="center" vertical="center" wrapText="1"/>
    </xf>
    <xf numFmtId="4" fontId="2" fillId="0" borderId="16" xfId="0" applyNumberFormat="1" applyFont="1" applyBorder="1" applyAlignment="1">
      <alignment horizontal="right" vertical="center" wrapText="1"/>
    </xf>
    <xf numFmtId="43" fontId="2" fillId="0" borderId="16" xfId="0" applyNumberFormat="1" applyFont="1" applyBorder="1" applyAlignment="1">
      <alignment horizontal="center" vertical="center" wrapText="1"/>
    </xf>
    <xf numFmtId="0" fontId="2" fillId="0" borderId="17" xfId="0" applyFont="1" applyBorder="1"/>
    <xf numFmtId="0" fontId="2" fillId="0" borderId="16" xfId="0" applyFont="1" applyBorder="1" applyAlignment="1">
      <alignment horizontal="center" vertical="center" wrapText="1"/>
    </xf>
    <xf numFmtId="43" fontId="2" fillId="0" borderId="16" xfId="0" applyNumberFormat="1" applyFont="1" applyBorder="1" applyAlignment="1">
      <alignment horizontal="center" vertical="center" wrapText="1"/>
    </xf>
    <xf numFmtId="0" fontId="10" fillId="2" borderId="18" xfId="0" applyFont="1" applyFill="1" applyBorder="1" applyAlignment="1">
      <alignment horizontal="left" vertical="center"/>
    </xf>
    <xf numFmtId="0" fontId="2" fillId="2" borderId="17" xfId="0" applyFont="1" applyFill="1" applyBorder="1"/>
    <xf numFmtId="4" fontId="2" fillId="2" borderId="17" xfId="0" applyNumberFormat="1" applyFont="1" applyFill="1" applyBorder="1" applyAlignment="1">
      <alignment horizontal="right"/>
    </xf>
    <xf numFmtId="0" fontId="2" fillId="0" borderId="15" xfId="0" applyFont="1" applyBorder="1" applyAlignment="1">
      <alignment horizontal="left" vertical="center"/>
    </xf>
    <xf numFmtId="0" fontId="2" fillId="0" borderId="17" xfId="0" applyFont="1" applyBorder="1" applyAlignment="1">
      <alignment horizontal="center"/>
    </xf>
    <xf numFmtId="4" fontId="2" fillId="0" borderId="17" xfId="0" applyNumberFormat="1" applyFont="1" applyBorder="1" applyAlignment="1">
      <alignment horizontal="right"/>
    </xf>
    <xf numFmtId="49" fontId="2" fillId="0" borderId="15" xfId="0" applyNumberFormat="1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 wrapText="1"/>
    </xf>
    <xf numFmtId="4" fontId="2" fillId="0" borderId="17" xfId="0" applyNumberFormat="1" applyFont="1" applyBorder="1" applyAlignment="1">
      <alignment horizontal="right" vertical="center" wrapText="1"/>
    </xf>
    <xf numFmtId="43" fontId="2" fillId="0" borderId="17" xfId="0" applyNumberFormat="1" applyFont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3" fontId="2" fillId="0" borderId="23" xfId="0" applyNumberFormat="1" applyFont="1" applyBorder="1"/>
    <xf numFmtId="0" fontId="12" fillId="0" borderId="0" xfId="0" applyFont="1" applyAlignment="1">
      <alignment vertical="center"/>
    </xf>
    <xf numFmtId="0" fontId="6" fillId="0" borderId="15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9" fillId="0" borderId="0" xfId="0" applyFont="1" applyAlignment="1">
      <alignment horizontal="left"/>
    </xf>
    <xf numFmtId="0" fontId="6" fillId="0" borderId="17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11" fillId="0" borderId="0" xfId="0" applyFont="1"/>
    <xf numFmtId="43" fontId="11" fillId="0" borderId="0" xfId="0" applyNumberFormat="1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wrapText="1"/>
    </xf>
    <xf numFmtId="4" fontId="7" fillId="0" borderId="0" xfId="0" applyNumberFormat="1" applyFont="1" applyAlignment="1">
      <alignment horizontal="right" vertical="center" wrapText="1"/>
    </xf>
    <xf numFmtId="4" fontId="11" fillId="0" borderId="0" xfId="0" applyNumberFormat="1" applyFont="1" applyAlignment="1">
      <alignment horizontal="right"/>
    </xf>
    <xf numFmtId="0" fontId="7" fillId="0" borderId="0" xfId="0" applyFont="1" applyAlignment="1">
      <alignment wrapText="1"/>
    </xf>
    <xf numFmtId="0" fontId="2" fillId="0" borderId="0" xfId="0" applyFont="1" applyAlignment="1">
      <alignment horizontal="left"/>
    </xf>
    <xf numFmtId="4" fontId="16" fillId="0" borderId="0" xfId="0" applyNumberFormat="1" applyFont="1" applyAlignment="1">
      <alignment horizontal="right"/>
    </xf>
    <xf numFmtId="0" fontId="17" fillId="0" borderId="0" xfId="0" applyFont="1" applyAlignment="1">
      <alignment horizontal="left" vertical="center" wrapText="1"/>
    </xf>
    <xf numFmtId="0" fontId="18" fillId="0" borderId="0" xfId="0" applyFont="1"/>
    <xf numFmtId="0" fontId="17" fillId="0" borderId="0" xfId="0" applyFont="1" applyAlignment="1">
      <alignment wrapText="1"/>
    </xf>
    <xf numFmtId="0" fontId="19" fillId="0" borderId="0" xfId="0" applyFont="1"/>
    <xf numFmtId="0" fontId="6" fillId="0" borderId="28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29" xfId="0" applyFont="1" applyBorder="1" applyAlignment="1">
      <alignment horizontal="center" wrapText="1"/>
    </xf>
    <xf numFmtId="0" fontId="6" fillId="0" borderId="30" xfId="0" applyFont="1" applyBorder="1" applyAlignment="1">
      <alignment horizontal="center" wrapText="1"/>
    </xf>
    <xf numFmtId="0" fontId="6" fillId="0" borderId="8" xfId="0" quotePrefix="1" applyFont="1" applyBorder="1" applyAlignment="1">
      <alignment horizontal="center" wrapText="1"/>
    </xf>
    <xf numFmtId="0" fontId="6" fillId="0" borderId="29" xfId="0" quotePrefix="1" applyFont="1" applyBorder="1" applyAlignment="1">
      <alignment horizontal="center" wrapText="1"/>
    </xf>
    <xf numFmtId="0" fontId="6" fillId="0" borderId="29" xfId="0" quotePrefix="1" applyFont="1" applyBorder="1" applyAlignment="1">
      <alignment horizontal="center" wrapText="1"/>
    </xf>
    <xf numFmtId="4" fontId="6" fillId="0" borderId="29" xfId="0" quotePrefix="1" applyNumberFormat="1" applyFont="1" applyBorder="1" applyAlignment="1">
      <alignment horizontal="center" wrapText="1"/>
    </xf>
    <xf numFmtId="43" fontId="6" fillId="0" borderId="29" xfId="0" quotePrefix="1" applyNumberFormat="1" applyFont="1" applyBorder="1" applyAlignment="1">
      <alignment horizontal="center" wrapText="1"/>
    </xf>
    <xf numFmtId="0" fontId="6" fillId="0" borderId="29" xfId="0" quotePrefix="1" applyFont="1" applyBorder="1" applyAlignment="1">
      <alignment wrapText="1"/>
    </xf>
    <xf numFmtId="0" fontId="6" fillId="0" borderId="29" xfId="0" quotePrefix="1" applyFont="1" applyBorder="1" applyAlignment="1">
      <alignment horizontal="center" wrapText="1"/>
    </xf>
    <xf numFmtId="0" fontId="6" fillId="0" borderId="30" xfId="0" quotePrefix="1" applyFont="1" applyBorder="1" applyAlignment="1">
      <alignment horizontal="center" wrapText="1"/>
    </xf>
    <xf numFmtId="0" fontId="6" fillId="2" borderId="17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9" fontId="9" fillId="0" borderId="17" xfId="0" applyNumberFormat="1" applyFont="1" applyBorder="1" applyAlignment="1">
      <alignment vertical="center"/>
    </xf>
    <xf numFmtId="49" fontId="9" fillId="0" borderId="15" xfId="0" applyNumberFormat="1" applyFont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4" fontId="9" fillId="0" borderId="16" xfId="0" applyNumberFormat="1" applyFont="1" applyBorder="1" applyAlignment="1">
      <alignment horizontal="right" vertical="center" wrapText="1"/>
    </xf>
    <xf numFmtId="43" fontId="9" fillId="0" borderId="16" xfId="0" applyNumberFormat="1" applyFont="1" applyBorder="1" applyAlignment="1">
      <alignment horizontal="right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9" fillId="0" borderId="17" xfId="0" applyFont="1" applyBorder="1" applyAlignment="1">
      <alignment vertical="center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/>
    <xf numFmtId="0" fontId="9" fillId="0" borderId="17" xfId="0" applyFont="1" applyBorder="1" applyAlignment="1">
      <alignment horizontal="center"/>
    </xf>
    <xf numFmtId="0" fontId="9" fillId="0" borderId="17" xfId="0" applyFont="1" applyBorder="1"/>
    <xf numFmtId="49" fontId="9" fillId="0" borderId="17" xfId="0" applyNumberFormat="1" applyFont="1" applyBorder="1"/>
    <xf numFmtId="49" fontId="9" fillId="0" borderId="15" xfId="0" applyNumberFormat="1" applyFont="1" applyBorder="1"/>
    <xf numFmtId="0" fontId="9" fillId="0" borderId="16" xfId="0" applyFont="1" applyBorder="1" applyAlignment="1">
      <alignment horizontal="center" vertical="center" wrapText="1"/>
    </xf>
    <xf numFmtId="4" fontId="9" fillId="0" borderId="16" xfId="0" applyNumberFormat="1" applyFont="1" applyBorder="1" applyAlignment="1">
      <alignment horizontal="right" vertical="center" wrapText="1"/>
    </xf>
    <xf numFmtId="43" fontId="9" fillId="0" borderId="16" xfId="0" applyNumberFormat="1" applyFont="1" applyBorder="1" applyAlignment="1">
      <alignment horizontal="right" vertical="center" wrapText="1"/>
    </xf>
    <xf numFmtId="0" fontId="9" fillId="0" borderId="17" xfId="0" applyFont="1" applyBorder="1" applyAlignment="1">
      <alignment horizontal="center"/>
    </xf>
    <xf numFmtId="0" fontId="9" fillId="0" borderId="17" xfId="0" applyFont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0" fontId="9" fillId="2" borderId="17" xfId="0" applyFont="1" applyFill="1" applyBorder="1"/>
    <xf numFmtId="4" fontId="9" fillId="2" borderId="17" xfId="0" applyNumberFormat="1" applyFont="1" applyFill="1" applyBorder="1" applyAlignment="1">
      <alignment horizontal="right"/>
    </xf>
    <xf numFmtId="0" fontId="9" fillId="2" borderId="17" xfId="0" applyFont="1" applyFill="1" applyBorder="1" applyAlignment="1">
      <alignment horizontal="right"/>
    </xf>
    <xf numFmtId="0" fontId="9" fillId="2" borderId="17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 vertical="center"/>
    </xf>
    <xf numFmtId="49" fontId="9" fillId="0" borderId="17" xfId="0" applyNumberFormat="1" applyFont="1" applyBorder="1" applyAlignment="1">
      <alignment horizontal="left" vertical="center"/>
    </xf>
    <xf numFmtId="49" fontId="9" fillId="0" borderId="15" xfId="0" applyNumberFormat="1" applyFont="1" applyBorder="1" applyAlignment="1">
      <alignment horizontal="left" vertical="center"/>
    </xf>
    <xf numFmtId="0" fontId="9" fillId="0" borderId="17" xfId="0" applyFont="1" applyBorder="1" applyAlignment="1">
      <alignment horizontal="center" wrapText="1"/>
    </xf>
    <xf numFmtId="0" fontId="9" fillId="0" borderId="17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9" fillId="0" borderId="15" xfId="0" applyFont="1" applyBorder="1" applyAlignment="1">
      <alignment horizontal="left" vertical="center"/>
    </xf>
    <xf numFmtId="0" fontId="6" fillId="0" borderId="19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4" fontId="9" fillId="0" borderId="17" xfId="0" applyNumberFormat="1" applyFont="1" applyBorder="1" applyAlignment="1">
      <alignment horizontal="right" vertical="center" wrapText="1"/>
    </xf>
    <xf numFmtId="43" fontId="9" fillId="0" borderId="17" xfId="0" applyNumberFormat="1" applyFont="1" applyBorder="1" applyAlignment="1">
      <alignment horizontal="right" vertical="center" wrapText="1"/>
    </xf>
    <xf numFmtId="0" fontId="6" fillId="2" borderId="17" xfId="0" applyFont="1" applyFill="1" applyBorder="1" applyAlignment="1">
      <alignment horizontal="left" vertical="center"/>
    </xf>
    <xf numFmtId="0" fontId="20" fillId="0" borderId="17" xfId="0" applyFont="1" applyBorder="1" applyAlignment="1"/>
    <xf numFmtId="43" fontId="9" fillId="0" borderId="16" xfId="0" applyNumberFormat="1" applyFont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left" vertical="center"/>
    </xf>
    <xf numFmtId="0" fontId="6" fillId="0" borderId="22" xfId="0" applyFont="1" applyBorder="1" applyAlignment="1">
      <alignment horizontal="left" vertical="center" wrapText="1"/>
    </xf>
    <xf numFmtId="0" fontId="2" fillId="0" borderId="0" xfId="0" applyFont="1" applyAlignme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7" xfId="0" applyFont="1" applyBorder="1"/>
    <xf numFmtId="0" fontId="6" fillId="0" borderId="2" xfId="0" applyFont="1" applyBorder="1" applyAlignment="1">
      <alignment horizontal="center" vertical="center" wrapText="1"/>
    </xf>
    <xf numFmtId="0" fontId="8" fillId="0" borderId="8" xfId="0" applyFont="1" applyBorder="1"/>
    <xf numFmtId="4" fontId="6" fillId="0" borderId="2" xfId="0" applyNumberFormat="1" applyFont="1" applyBorder="1" applyAlignment="1">
      <alignment horizontal="center" vertical="center" wrapText="1"/>
    </xf>
    <xf numFmtId="43" fontId="6" fillId="0" borderId="2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/>
    <xf numFmtId="0" fontId="8" fillId="0" borderId="6" xfId="0" applyFont="1" applyBorder="1"/>
    <xf numFmtId="43" fontId="1" fillId="0" borderId="20" xfId="0" applyNumberFormat="1" applyFont="1" applyBorder="1" applyAlignment="1">
      <alignment horizontal="center"/>
    </xf>
    <xf numFmtId="0" fontId="8" fillId="0" borderId="21" xfId="0" applyFont="1" applyBorder="1"/>
    <xf numFmtId="0" fontId="8" fillId="0" borderId="22" xfId="0" applyFont="1" applyBorder="1"/>
    <xf numFmtId="0" fontId="7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7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7" fillId="0" borderId="2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left" vertical="center" wrapText="1"/>
    </xf>
    <xf numFmtId="43" fontId="1" fillId="0" borderId="0" xfId="0" applyNumberFormat="1" applyFont="1" applyAlignment="1">
      <alignment horizontal="center"/>
    </xf>
    <xf numFmtId="43" fontId="1" fillId="0" borderId="24" xfId="0" applyNumberFormat="1" applyFont="1" applyBorder="1" applyAlignment="1">
      <alignment horizontal="center"/>
    </xf>
    <xf numFmtId="0" fontId="8" fillId="0" borderId="25" xfId="0" applyFont="1" applyBorder="1"/>
    <xf numFmtId="0" fontId="8" fillId="0" borderId="26" xfId="0" applyFont="1" applyBorder="1"/>
    <xf numFmtId="0" fontId="9" fillId="0" borderId="0" xfId="0" applyFont="1" applyAlignment="1">
      <alignment horizontal="left"/>
    </xf>
    <xf numFmtId="0" fontId="2" fillId="0" borderId="0" xfId="0" applyFont="1"/>
    <xf numFmtId="0" fontId="11" fillId="0" borderId="0" xfId="0" applyFont="1" applyAlignment="1">
      <alignment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wrapText="1"/>
    </xf>
    <xf numFmtId="43" fontId="19" fillId="0" borderId="0" xfId="0" applyNumberFormat="1" applyFont="1" applyAlignment="1">
      <alignment horizontal="left" vertical="center" wrapText="1"/>
    </xf>
    <xf numFmtId="43" fontId="11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27" xfId="0" applyFont="1" applyBorder="1" applyAlignment="1">
      <alignment horizontal="center" wrapText="1"/>
    </xf>
    <xf numFmtId="0" fontId="8" fillId="0" borderId="29" xfId="0" applyFont="1" applyBorder="1"/>
    <xf numFmtId="0" fontId="6" fillId="0" borderId="27" xfId="0" applyFont="1" applyBorder="1" applyAlignment="1">
      <alignment wrapText="1"/>
    </xf>
    <xf numFmtId="43" fontId="6" fillId="0" borderId="27" xfId="0" applyNumberFormat="1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4" fontId="6" fillId="0" borderId="27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X1000"/>
  <sheetViews>
    <sheetView tabSelected="1" workbookViewId="0">
      <selection sqref="A1:V1"/>
    </sheetView>
  </sheetViews>
  <sheetFormatPr defaultColWidth="12.625" defaultRowHeight="15" customHeight="1"/>
  <cols>
    <col min="1" max="1" width="7.625" customWidth="1"/>
    <col min="2" max="2" width="39" customWidth="1"/>
    <col min="3" max="3" width="11.625" customWidth="1"/>
    <col min="4" max="4" width="10.125" customWidth="1"/>
    <col min="5" max="5" width="11.125" customWidth="1"/>
    <col min="6" max="6" width="23.125" customWidth="1"/>
    <col min="7" max="7" width="10.375" customWidth="1"/>
    <col min="8" max="12" width="7.625" customWidth="1"/>
    <col min="13" max="13" width="11.375" customWidth="1"/>
    <col min="14" max="15" width="7.625" customWidth="1"/>
    <col min="16" max="16" width="10.125" customWidth="1"/>
    <col min="17" max="17" width="9.125" customWidth="1"/>
    <col min="18" max="18" width="7.625" customWidth="1"/>
    <col min="19" max="19" width="9.5" customWidth="1"/>
    <col min="20" max="21" width="9.875" customWidth="1"/>
    <col min="22" max="22" width="22.625" customWidth="1"/>
    <col min="23" max="24" width="7.625" customWidth="1"/>
  </cols>
  <sheetData>
    <row r="1" spans="1:24" ht="15.7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"/>
      <c r="X1" s="1"/>
    </row>
    <row r="2" spans="1:24" ht="14.25">
      <c r="A2" s="133" t="s">
        <v>1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"/>
      <c r="X2" s="1"/>
    </row>
    <row r="3" spans="1:24">
      <c r="A3" s="134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"/>
      <c r="X3" s="1"/>
    </row>
    <row r="4" spans="1:24">
      <c r="A4" s="2" t="s">
        <v>2</v>
      </c>
      <c r="B4" s="3"/>
      <c r="C4" s="3"/>
      <c r="D4" s="4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1"/>
      <c r="W4" s="1"/>
      <c r="X4" s="1"/>
    </row>
    <row r="5" spans="1:24">
      <c r="A5" s="5"/>
      <c r="B5" s="3"/>
      <c r="C5" s="1"/>
      <c r="D5" s="6"/>
      <c r="E5" s="7"/>
      <c r="F5" s="8"/>
      <c r="G5" s="8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>
      <c r="A6" s="9" t="s">
        <v>3</v>
      </c>
      <c r="B6" s="3"/>
      <c r="C6" s="1"/>
      <c r="D6" s="6"/>
      <c r="E6" s="7"/>
      <c r="F6" s="8"/>
      <c r="G6" s="8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>
      <c r="A7" s="5" t="s">
        <v>4</v>
      </c>
      <c r="B7" s="3"/>
      <c r="C7" s="1"/>
      <c r="D7" s="6"/>
      <c r="E7" s="7"/>
      <c r="F7" s="8"/>
      <c r="G7" s="8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22.5" customHeight="1">
      <c r="A8" s="135" t="s">
        <v>5</v>
      </c>
      <c r="B8" s="137" t="s">
        <v>6</v>
      </c>
      <c r="C8" s="10" t="s">
        <v>7</v>
      </c>
      <c r="D8" s="139" t="s">
        <v>8</v>
      </c>
      <c r="E8" s="140" t="s">
        <v>9</v>
      </c>
      <c r="F8" s="152" t="s">
        <v>10</v>
      </c>
      <c r="G8" s="137" t="s">
        <v>11</v>
      </c>
      <c r="H8" s="141" t="s">
        <v>12</v>
      </c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3"/>
      <c r="W8" s="11"/>
      <c r="X8" s="11"/>
    </row>
    <row r="9" spans="1:24" ht="38.25">
      <c r="A9" s="136"/>
      <c r="B9" s="138"/>
      <c r="C9" s="12" t="s">
        <v>13</v>
      </c>
      <c r="D9" s="138"/>
      <c r="E9" s="138"/>
      <c r="F9" s="138"/>
      <c r="G9" s="138"/>
      <c r="H9" s="13" t="s">
        <v>14</v>
      </c>
      <c r="I9" s="13" t="s">
        <v>15</v>
      </c>
      <c r="J9" s="13" t="s">
        <v>16</v>
      </c>
      <c r="K9" s="13" t="s">
        <v>17</v>
      </c>
      <c r="L9" s="13" t="s">
        <v>18</v>
      </c>
      <c r="M9" s="13" t="s">
        <v>19</v>
      </c>
      <c r="N9" s="13" t="s">
        <v>20</v>
      </c>
      <c r="O9" s="13" t="s">
        <v>21</v>
      </c>
      <c r="P9" s="13" t="s">
        <v>22</v>
      </c>
      <c r="Q9" s="13" t="s">
        <v>23</v>
      </c>
      <c r="R9" s="13" t="s">
        <v>24</v>
      </c>
      <c r="S9" s="13" t="s">
        <v>25</v>
      </c>
      <c r="T9" s="13" t="s">
        <v>26</v>
      </c>
      <c r="U9" s="14" t="str">
        <f>$V$9</f>
        <v>REMARKS</v>
      </c>
      <c r="V9" s="14" t="s">
        <v>27</v>
      </c>
      <c r="W9" s="15"/>
      <c r="X9" s="11"/>
    </row>
    <row r="10" spans="1:24" ht="14.25">
      <c r="A10" s="16"/>
      <c r="B10" s="17" t="s">
        <v>28</v>
      </c>
      <c r="C10" s="18"/>
      <c r="D10" s="19"/>
      <c r="E10" s="20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2"/>
      <c r="V10" s="23"/>
      <c r="W10" s="11"/>
      <c r="X10" s="11"/>
    </row>
    <row r="11" spans="1:24" ht="15.75" customHeight="1">
      <c r="A11" s="24"/>
      <c r="B11" s="25" t="s">
        <v>29</v>
      </c>
      <c r="C11" s="26" t="s">
        <v>30</v>
      </c>
      <c r="D11" s="27">
        <v>90</v>
      </c>
      <c r="E11" s="28">
        <v>1800</v>
      </c>
      <c r="F11" s="29" t="s">
        <v>31</v>
      </c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11"/>
      <c r="X11" s="11"/>
    </row>
    <row r="12" spans="1:24" ht="15.75" customHeight="1">
      <c r="A12" s="24"/>
      <c r="B12" s="25"/>
      <c r="C12" s="30"/>
      <c r="D12" s="27"/>
      <c r="E12" s="31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11"/>
      <c r="X12" s="11"/>
    </row>
    <row r="13" spans="1:24" ht="15.75" customHeight="1">
      <c r="A13" s="24"/>
      <c r="B13" s="32" t="s">
        <v>32</v>
      </c>
      <c r="C13" s="33"/>
      <c r="D13" s="34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11"/>
      <c r="X13" s="11"/>
    </row>
    <row r="14" spans="1:24" ht="15.75" customHeight="1">
      <c r="A14" s="24"/>
      <c r="B14" s="35" t="s">
        <v>33</v>
      </c>
      <c r="C14" s="36" t="s">
        <v>34</v>
      </c>
      <c r="D14" s="27">
        <v>45000</v>
      </c>
      <c r="E14" s="37">
        <v>45000</v>
      </c>
      <c r="F14" s="29" t="s">
        <v>35</v>
      </c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11"/>
      <c r="X14" s="11"/>
    </row>
    <row r="15" spans="1:24" ht="15.75" customHeight="1">
      <c r="A15" s="24"/>
      <c r="B15" s="25" t="s">
        <v>36</v>
      </c>
      <c r="C15" s="30" t="s">
        <v>34</v>
      </c>
      <c r="D15" s="27">
        <v>45000</v>
      </c>
      <c r="E15" s="31">
        <v>45000</v>
      </c>
      <c r="F15" s="29" t="s">
        <v>35</v>
      </c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11"/>
      <c r="X15" s="11"/>
    </row>
    <row r="16" spans="1:24" ht="15.75" customHeight="1">
      <c r="A16" s="24"/>
      <c r="B16" s="38" t="s">
        <v>37</v>
      </c>
      <c r="C16" s="30" t="s">
        <v>34</v>
      </c>
      <c r="D16" s="27">
        <v>50000</v>
      </c>
      <c r="E16" s="31">
        <v>50000</v>
      </c>
      <c r="F16" s="29" t="s">
        <v>35</v>
      </c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11"/>
      <c r="X16" s="11"/>
    </row>
    <row r="17" spans="1:24" ht="15.75" customHeight="1">
      <c r="A17" s="24"/>
      <c r="B17" s="35" t="s">
        <v>38</v>
      </c>
      <c r="C17" s="30" t="s">
        <v>39</v>
      </c>
      <c r="D17" s="27">
        <v>40000</v>
      </c>
      <c r="E17" s="31">
        <v>40000</v>
      </c>
      <c r="F17" s="29" t="s">
        <v>35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11"/>
      <c r="X17" s="11"/>
    </row>
    <row r="18" spans="1:24" ht="15.75" customHeight="1">
      <c r="A18" s="24"/>
      <c r="B18" s="35" t="s">
        <v>40</v>
      </c>
      <c r="C18" s="30" t="s">
        <v>41</v>
      </c>
      <c r="D18" s="27">
        <v>15000</v>
      </c>
      <c r="E18" s="31">
        <v>45000</v>
      </c>
      <c r="F18" s="29" t="s">
        <v>35</v>
      </c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11"/>
      <c r="X18" s="11"/>
    </row>
    <row r="19" spans="1:24" ht="15.75" customHeight="1">
      <c r="A19" s="24"/>
      <c r="B19" s="35" t="s">
        <v>42</v>
      </c>
      <c r="C19" s="30" t="s">
        <v>43</v>
      </c>
      <c r="D19" s="27">
        <v>10000</v>
      </c>
      <c r="E19" s="31">
        <v>10000</v>
      </c>
      <c r="F19" s="29" t="s">
        <v>35</v>
      </c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11"/>
      <c r="X19" s="11"/>
    </row>
    <row r="20" spans="1:24" ht="15.75" customHeight="1">
      <c r="A20" s="24"/>
      <c r="B20" s="35" t="s">
        <v>44</v>
      </c>
      <c r="C20" s="30" t="s">
        <v>43</v>
      </c>
      <c r="D20" s="27">
        <v>10000</v>
      </c>
      <c r="E20" s="31">
        <v>10000</v>
      </c>
      <c r="F20" s="29" t="s">
        <v>35</v>
      </c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11"/>
      <c r="X20" s="11"/>
    </row>
    <row r="21" spans="1:24" ht="15.75" customHeight="1">
      <c r="A21" s="24"/>
      <c r="B21" s="35" t="s">
        <v>45</v>
      </c>
      <c r="C21" s="30" t="s">
        <v>39</v>
      </c>
      <c r="D21" s="27">
        <v>15000</v>
      </c>
      <c r="E21" s="31">
        <v>15000</v>
      </c>
      <c r="F21" s="29" t="s">
        <v>35</v>
      </c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11"/>
      <c r="X21" s="11"/>
    </row>
    <row r="22" spans="1:24" ht="15.75" customHeight="1">
      <c r="A22" s="24"/>
      <c r="B22" s="35" t="s">
        <v>46</v>
      </c>
      <c r="C22" s="30" t="s">
        <v>39</v>
      </c>
      <c r="D22" s="27">
        <v>20000</v>
      </c>
      <c r="E22" s="31">
        <v>20000</v>
      </c>
      <c r="F22" s="29" t="s">
        <v>35</v>
      </c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11"/>
      <c r="X22" s="11"/>
    </row>
    <row r="23" spans="1:24" ht="15.75" customHeight="1">
      <c r="A23" s="24"/>
      <c r="B23" s="35" t="s">
        <v>47</v>
      </c>
      <c r="C23" s="30" t="s">
        <v>48</v>
      </c>
      <c r="D23" s="27">
        <v>7000</v>
      </c>
      <c r="E23" s="31">
        <v>35000</v>
      </c>
      <c r="F23" s="29" t="s">
        <v>35</v>
      </c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11"/>
      <c r="X23" s="11"/>
    </row>
    <row r="24" spans="1:24" ht="15.75" customHeight="1">
      <c r="A24" s="24"/>
      <c r="B24" s="35" t="s">
        <v>49</v>
      </c>
      <c r="C24" s="30" t="s">
        <v>43</v>
      </c>
      <c r="D24" s="27">
        <v>12000</v>
      </c>
      <c r="E24" s="31">
        <v>12000</v>
      </c>
      <c r="F24" s="29" t="s">
        <v>35</v>
      </c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11"/>
      <c r="X24" s="11"/>
    </row>
    <row r="25" spans="1:24" ht="15.75" customHeight="1">
      <c r="A25" s="24"/>
      <c r="B25" s="35" t="s">
        <v>50</v>
      </c>
      <c r="C25" s="30" t="s">
        <v>43</v>
      </c>
      <c r="D25" s="27">
        <v>7000</v>
      </c>
      <c r="E25" s="31">
        <v>7000</v>
      </c>
      <c r="F25" s="29" t="s">
        <v>35</v>
      </c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11"/>
      <c r="X25" s="11"/>
    </row>
    <row r="26" spans="1:24" ht="15.75" hidden="1" customHeight="1">
      <c r="A26" s="24"/>
      <c r="B26" s="35"/>
      <c r="C26" s="30"/>
      <c r="D26" s="27"/>
      <c r="E26" s="31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11"/>
      <c r="X26" s="11"/>
    </row>
    <row r="27" spans="1:24" ht="15.75" hidden="1" customHeight="1">
      <c r="A27" s="39"/>
      <c r="B27" s="40"/>
      <c r="C27" s="41"/>
      <c r="D27" s="42"/>
      <c r="E27" s="43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11"/>
      <c r="X27" s="11"/>
    </row>
    <row r="28" spans="1:24" ht="15.75" hidden="1" customHeight="1">
      <c r="A28" s="24"/>
      <c r="B28" s="32" t="s">
        <v>51</v>
      </c>
      <c r="C28" s="33"/>
      <c r="D28" s="34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11"/>
      <c r="X28" s="11"/>
    </row>
    <row r="29" spans="1:24" ht="15.75" hidden="1" customHeight="1">
      <c r="A29" s="24"/>
      <c r="B29" s="35"/>
      <c r="C29" s="30"/>
      <c r="D29" s="27"/>
      <c r="E29" s="31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11"/>
      <c r="X29" s="11"/>
    </row>
    <row r="30" spans="1:24" ht="15.75" hidden="1" customHeight="1">
      <c r="A30" s="24"/>
      <c r="B30" s="35"/>
      <c r="C30" s="30"/>
      <c r="D30" s="27"/>
      <c r="E30" s="31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11"/>
      <c r="X30" s="11"/>
    </row>
    <row r="31" spans="1:24" ht="15.75" hidden="1" customHeight="1">
      <c r="A31" s="24"/>
      <c r="B31" s="35"/>
      <c r="C31" s="30"/>
      <c r="D31" s="27"/>
      <c r="E31" s="31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11"/>
      <c r="X31" s="11"/>
    </row>
    <row r="32" spans="1:24" ht="15.75" hidden="1" customHeight="1">
      <c r="A32" s="24"/>
      <c r="B32" s="35"/>
      <c r="C32" s="30"/>
      <c r="D32" s="27"/>
      <c r="E32" s="31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11"/>
      <c r="X32" s="11"/>
    </row>
    <row r="33" spans="1:24" ht="15.75" hidden="1" customHeight="1">
      <c r="A33" s="24"/>
      <c r="B33" s="32" t="s">
        <v>52</v>
      </c>
      <c r="C33" s="33"/>
      <c r="D33" s="34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11"/>
      <c r="X33" s="11"/>
    </row>
    <row r="34" spans="1:24" ht="15.75" hidden="1" customHeight="1">
      <c r="A34" s="24"/>
      <c r="B34" s="35"/>
      <c r="C34" s="30"/>
      <c r="D34" s="27"/>
      <c r="E34" s="31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11"/>
      <c r="X34" s="11"/>
    </row>
    <row r="35" spans="1:24" ht="15.75" hidden="1" customHeight="1">
      <c r="A35" s="24"/>
      <c r="B35" s="35"/>
      <c r="C35" s="30"/>
      <c r="D35" s="27"/>
      <c r="E35" s="31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11"/>
      <c r="X35" s="11"/>
    </row>
    <row r="36" spans="1:24" ht="57.75" hidden="1" customHeight="1">
      <c r="A36" s="24"/>
      <c r="B36" s="35"/>
      <c r="C36" s="30"/>
      <c r="D36" s="27"/>
      <c r="E36" s="31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11"/>
      <c r="X36" s="11"/>
    </row>
    <row r="37" spans="1:24" ht="15.75" customHeight="1">
      <c r="A37" s="39"/>
      <c r="B37" s="153" t="s">
        <v>53</v>
      </c>
      <c r="C37" s="145"/>
      <c r="D37" s="145"/>
      <c r="E37" s="145"/>
      <c r="F37" s="145"/>
      <c r="G37" s="145"/>
      <c r="H37" s="145"/>
      <c r="I37" s="146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11"/>
      <c r="X37" s="11"/>
    </row>
    <row r="38" spans="1:24" ht="15.75" customHeight="1">
      <c r="A38" s="44"/>
      <c r="B38" s="45"/>
      <c r="C38" s="1"/>
      <c r="D38" s="6"/>
      <c r="E38" s="46"/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5.75" customHeight="1">
      <c r="A39" s="47" t="s">
        <v>54</v>
      </c>
      <c r="B39" s="3"/>
      <c r="C39" s="154">
        <f>SUM(E11:E27)</f>
        <v>335800</v>
      </c>
      <c r="D39" s="132"/>
      <c r="E39" s="132"/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5.75" hidden="1" customHeight="1">
      <c r="A40" s="48" t="s">
        <v>55</v>
      </c>
      <c r="B40" s="49"/>
      <c r="C40" s="155">
        <f>PRODUCT(C39,0.1)</f>
        <v>33580</v>
      </c>
      <c r="D40" s="156"/>
      <c r="E40" s="157"/>
      <c r="F40" s="8"/>
      <c r="G40" s="8"/>
      <c r="H40" s="158"/>
      <c r="I40" s="132"/>
      <c r="J40" s="158"/>
      <c r="K40" s="132"/>
      <c r="L40" s="132"/>
      <c r="M40" s="132"/>
      <c r="N40" s="132"/>
      <c r="O40" s="132"/>
      <c r="P40" s="132"/>
      <c r="Q40" s="132"/>
      <c r="R40" s="132"/>
      <c r="S40" s="132"/>
      <c r="T40" s="132"/>
      <c r="U40" s="50"/>
      <c r="V40" s="1"/>
      <c r="W40" s="1"/>
      <c r="X40" s="1"/>
    </row>
    <row r="41" spans="1:24" ht="15.75" hidden="1" customHeight="1">
      <c r="A41" s="51" t="s">
        <v>56</v>
      </c>
      <c r="B41" s="52"/>
      <c r="C41" s="144">
        <f>PRODUCT(C39,0.1)</f>
        <v>33580</v>
      </c>
      <c r="D41" s="145"/>
      <c r="E41" s="146"/>
      <c r="F41" s="8"/>
      <c r="G41" s="8"/>
      <c r="H41" s="53"/>
      <c r="I41" s="53"/>
      <c r="J41" s="164"/>
      <c r="K41" s="132"/>
      <c r="L41" s="132"/>
      <c r="M41" s="132"/>
      <c r="N41" s="132"/>
      <c r="O41" s="132"/>
      <c r="P41" s="132"/>
      <c r="Q41" s="132"/>
      <c r="R41" s="132"/>
      <c r="S41" s="132"/>
      <c r="T41" s="132"/>
      <c r="U41" s="54"/>
      <c r="V41" s="1"/>
      <c r="W41" s="1"/>
      <c r="X41" s="1"/>
    </row>
    <row r="42" spans="1:24" ht="15.75" hidden="1" customHeight="1">
      <c r="A42" s="51" t="s">
        <v>57</v>
      </c>
      <c r="B42" s="52"/>
      <c r="C42" s="144">
        <f>SUM(C39:E41)</f>
        <v>402960</v>
      </c>
      <c r="D42" s="145"/>
      <c r="E42" s="146"/>
      <c r="F42" s="8"/>
      <c r="G42" s="8"/>
      <c r="H42" s="53"/>
      <c r="I42" s="53"/>
      <c r="J42" s="164"/>
      <c r="K42" s="132"/>
      <c r="L42" s="132"/>
      <c r="M42" s="132"/>
      <c r="N42" s="132"/>
      <c r="O42" s="132"/>
      <c r="P42" s="132"/>
      <c r="Q42" s="132"/>
      <c r="R42" s="132"/>
      <c r="S42" s="132"/>
      <c r="T42" s="132"/>
      <c r="U42" s="54"/>
      <c r="V42" s="1"/>
      <c r="W42" s="1"/>
      <c r="X42" s="1"/>
    </row>
    <row r="43" spans="1:24" ht="15.75" customHeight="1">
      <c r="A43" s="55"/>
      <c r="B43" s="3"/>
      <c r="C43" s="1"/>
      <c r="D43" s="6"/>
      <c r="E43" s="7"/>
      <c r="F43" s="8"/>
      <c r="G43" s="8"/>
      <c r="H43" s="53"/>
      <c r="I43" s="53"/>
      <c r="J43" s="164"/>
      <c r="K43" s="132"/>
      <c r="L43" s="132"/>
      <c r="M43" s="132"/>
      <c r="N43" s="132"/>
      <c r="O43" s="132"/>
      <c r="P43" s="132"/>
      <c r="Q43" s="132"/>
      <c r="R43" s="132"/>
      <c r="S43" s="132"/>
      <c r="T43" s="132"/>
      <c r="U43" s="54"/>
      <c r="V43" s="1"/>
      <c r="W43" s="1"/>
      <c r="X43" s="1"/>
    </row>
    <row r="44" spans="1:24" ht="15.75" customHeight="1">
      <c r="A44" s="56" t="s">
        <v>58</v>
      </c>
      <c r="B44" s="3"/>
      <c r="C44" s="1"/>
      <c r="D44" s="6"/>
      <c r="E44" s="7"/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5.75" customHeight="1">
      <c r="A45" s="57"/>
      <c r="B45" s="3"/>
      <c r="C45" s="1"/>
      <c r="D45" s="6"/>
      <c r="E45" s="7"/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5.75" customHeight="1">
      <c r="A46" s="58" t="s">
        <v>59</v>
      </c>
      <c r="B46" s="45"/>
      <c r="C46" s="147" t="s">
        <v>60</v>
      </c>
      <c r="D46" s="132"/>
      <c r="E46" s="132"/>
      <c r="F46" s="53"/>
      <c r="G46" s="53"/>
      <c r="H46" s="1"/>
      <c r="I46" s="147" t="s">
        <v>61</v>
      </c>
      <c r="J46" s="132"/>
      <c r="K46" s="132"/>
      <c r="L46" s="132"/>
      <c r="M46" s="132"/>
      <c r="N46" s="132"/>
      <c r="O46" s="1"/>
      <c r="P46" s="1"/>
      <c r="Q46" s="147" t="s">
        <v>62</v>
      </c>
      <c r="R46" s="132"/>
      <c r="S46" s="132"/>
      <c r="T46" s="132"/>
      <c r="U46" s="1"/>
      <c r="V46" s="159"/>
      <c r="W46" s="132"/>
      <c r="X46" s="53"/>
    </row>
    <row r="47" spans="1:24" ht="15.75" customHeight="1">
      <c r="A47" s="58"/>
      <c r="B47" s="45"/>
      <c r="C47" s="59"/>
      <c r="D47" s="60"/>
      <c r="E47" s="59"/>
      <c r="F47" s="53"/>
      <c r="G47" s="53"/>
      <c r="H47" s="1"/>
      <c r="I47" s="5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59"/>
      <c r="W47" s="53"/>
      <c r="X47" s="53"/>
    </row>
    <row r="48" spans="1:24" ht="15.75" customHeight="1">
      <c r="A48" s="45"/>
      <c r="B48" s="45"/>
      <c r="C48" s="53"/>
      <c r="D48" s="61"/>
      <c r="E48" s="62"/>
      <c r="F48" s="53"/>
      <c r="G48" s="53"/>
      <c r="H48" s="1"/>
      <c r="I48" s="53"/>
      <c r="J48" s="62"/>
      <c r="K48" s="62"/>
      <c r="L48" s="62"/>
      <c r="M48" s="62"/>
      <c r="N48" s="62"/>
      <c r="O48" s="62"/>
      <c r="P48" s="62"/>
      <c r="Q48" s="53"/>
      <c r="R48" s="62"/>
      <c r="S48" s="53"/>
      <c r="T48" s="53"/>
      <c r="U48" s="53"/>
      <c r="V48" s="53"/>
      <c r="W48" s="53"/>
      <c r="X48" s="53"/>
    </row>
    <row r="49" spans="1:24" ht="15.75" customHeight="1">
      <c r="A49" s="148" t="s">
        <v>63</v>
      </c>
      <c r="B49" s="132"/>
      <c r="C49" s="149" t="s">
        <v>64</v>
      </c>
      <c r="D49" s="132"/>
      <c r="E49" s="132"/>
      <c r="F49" s="132"/>
      <c r="G49" s="1"/>
      <c r="H49" s="1"/>
      <c r="I49" s="149" t="s">
        <v>65</v>
      </c>
      <c r="J49" s="132"/>
      <c r="K49" s="132"/>
      <c r="L49" s="132"/>
      <c r="M49" s="132"/>
      <c r="N49" s="132"/>
      <c r="O49" s="1"/>
      <c r="P49" s="1"/>
      <c r="Q49" s="149" t="s">
        <v>66</v>
      </c>
      <c r="R49" s="132"/>
      <c r="S49" s="132"/>
      <c r="T49" s="132"/>
      <c r="U49" s="1"/>
      <c r="V49" s="159"/>
      <c r="W49" s="132"/>
      <c r="X49" s="132"/>
    </row>
    <row r="50" spans="1:24" ht="15" customHeight="1">
      <c r="A50" s="150" t="s">
        <v>67</v>
      </c>
      <c r="B50" s="132"/>
      <c r="C50" s="151" t="s">
        <v>68</v>
      </c>
      <c r="D50" s="132"/>
      <c r="E50" s="132"/>
      <c r="F50" s="132"/>
      <c r="G50" s="63"/>
      <c r="H50" s="1"/>
      <c r="I50" s="160" t="s">
        <v>69</v>
      </c>
      <c r="J50" s="132"/>
      <c r="K50" s="132"/>
      <c r="L50" s="132"/>
      <c r="M50" s="132"/>
      <c r="N50" s="132"/>
      <c r="O50" s="1"/>
      <c r="P50" s="1"/>
      <c r="Q50" s="151" t="s">
        <v>70</v>
      </c>
      <c r="R50" s="132"/>
      <c r="S50" s="132"/>
      <c r="T50" s="132"/>
      <c r="U50" s="1"/>
      <c r="V50" s="1"/>
      <c r="W50" s="53"/>
      <c r="X50" s="53"/>
    </row>
    <row r="51" spans="1:24" ht="15.75" customHeight="1">
      <c r="A51" s="1"/>
      <c r="B51" s="1"/>
      <c r="C51" s="1"/>
      <c r="D51" s="6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5.75" customHeight="1">
      <c r="A52" s="1" t="s">
        <v>71</v>
      </c>
      <c r="B52" s="1"/>
      <c r="C52" s="1" t="s">
        <v>71</v>
      </c>
      <c r="D52" s="6"/>
      <c r="E52" s="1"/>
      <c r="F52" s="1"/>
      <c r="G52" s="1"/>
      <c r="H52" s="1"/>
      <c r="I52" s="1" t="s">
        <v>71</v>
      </c>
      <c r="J52" s="1"/>
      <c r="K52" s="1"/>
      <c r="L52" s="1"/>
      <c r="M52" s="1"/>
      <c r="N52" s="1"/>
      <c r="O52" s="1"/>
      <c r="P52" s="1"/>
      <c r="Q52" s="1" t="s">
        <v>71</v>
      </c>
      <c r="R52" s="1"/>
      <c r="S52" s="1"/>
      <c r="T52" s="1"/>
      <c r="U52" s="1"/>
      <c r="V52" s="1"/>
      <c r="W52" s="1"/>
      <c r="X52" s="1"/>
    </row>
    <row r="53" spans="1:24" ht="15.75" customHeight="1">
      <c r="D53" s="64"/>
      <c r="H53" s="161"/>
      <c r="I53" s="132"/>
      <c r="J53" s="132"/>
      <c r="K53" s="132"/>
      <c r="L53" s="132"/>
      <c r="M53" s="132"/>
      <c r="N53" s="132"/>
      <c r="O53" s="132"/>
      <c r="P53" s="132"/>
      <c r="Q53" s="132"/>
      <c r="R53" s="132"/>
      <c r="S53" s="132"/>
      <c r="T53" s="132"/>
    </row>
    <row r="54" spans="1:24" ht="15.75" customHeight="1">
      <c r="D54" s="64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</row>
    <row r="55" spans="1:24" ht="15.75" customHeight="1">
      <c r="D55" s="64"/>
      <c r="H55" s="66"/>
      <c r="I55" s="67"/>
      <c r="J55" s="68"/>
      <c r="K55" s="68"/>
      <c r="L55" s="68"/>
      <c r="M55" s="68"/>
      <c r="N55" s="68"/>
      <c r="O55" s="68"/>
      <c r="P55" s="68"/>
      <c r="Q55" s="68"/>
      <c r="R55" s="68"/>
      <c r="S55" s="68"/>
      <c r="T55" s="68"/>
      <c r="U55" s="68"/>
    </row>
    <row r="56" spans="1:24" ht="15.75" customHeight="1">
      <c r="D56" s="64"/>
      <c r="H56" s="162"/>
      <c r="I56" s="132"/>
      <c r="J56" s="132"/>
      <c r="K56" s="132"/>
      <c r="L56" s="132"/>
      <c r="M56" s="132"/>
      <c r="N56" s="132"/>
      <c r="O56" s="132"/>
      <c r="P56" s="132"/>
      <c r="Q56" s="132"/>
      <c r="R56" s="132"/>
      <c r="S56" s="132"/>
      <c r="T56" s="132"/>
    </row>
    <row r="57" spans="1:24" ht="15.75" customHeight="1">
      <c r="D57" s="64"/>
      <c r="H57" s="163"/>
      <c r="I57" s="132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</row>
    <row r="58" spans="1:24" ht="15.75" customHeight="1">
      <c r="D58" s="64"/>
    </row>
    <row r="59" spans="1:24" ht="15.75" customHeight="1">
      <c r="D59" s="64"/>
    </row>
    <row r="60" spans="1:24" ht="15.75" customHeight="1">
      <c r="D60" s="64"/>
    </row>
    <row r="61" spans="1:24" ht="15.75" customHeight="1">
      <c r="D61" s="64"/>
    </row>
    <row r="62" spans="1:24" ht="15.75" customHeight="1">
      <c r="D62" s="64"/>
    </row>
    <row r="63" spans="1:24" ht="15.75" customHeight="1">
      <c r="D63" s="64"/>
    </row>
    <row r="64" spans="1:24" ht="15.75" customHeight="1">
      <c r="D64" s="64"/>
    </row>
    <row r="65" spans="4:4" ht="15.75" customHeight="1">
      <c r="D65" s="64"/>
    </row>
    <row r="66" spans="4:4" ht="15.75" customHeight="1">
      <c r="D66" s="64"/>
    </row>
    <row r="67" spans="4:4" ht="15.75" customHeight="1">
      <c r="D67" s="64"/>
    </row>
    <row r="68" spans="4:4" ht="15.75" customHeight="1">
      <c r="D68" s="64"/>
    </row>
    <row r="69" spans="4:4" ht="15.75" customHeight="1">
      <c r="D69" s="64"/>
    </row>
    <row r="70" spans="4:4" ht="15.75" customHeight="1">
      <c r="D70" s="64"/>
    </row>
    <row r="71" spans="4:4" ht="15.75" customHeight="1">
      <c r="D71" s="64"/>
    </row>
    <row r="72" spans="4:4" ht="15.75" customHeight="1">
      <c r="D72" s="64"/>
    </row>
    <row r="73" spans="4:4" ht="15.75" customHeight="1">
      <c r="D73" s="64"/>
    </row>
    <row r="74" spans="4:4" ht="15.75" customHeight="1">
      <c r="D74" s="64"/>
    </row>
    <row r="75" spans="4:4" ht="15.75" customHeight="1">
      <c r="D75" s="64"/>
    </row>
    <row r="76" spans="4:4" ht="15.75" customHeight="1">
      <c r="D76" s="64"/>
    </row>
    <row r="77" spans="4:4" ht="15.75" customHeight="1">
      <c r="D77" s="64"/>
    </row>
    <row r="78" spans="4:4" ht="15.75" customHeight="1">
      <c r="D78" s="64"/>
    </row>
    <row r="79" spans="4:4" ht="15.75" customHeight="1">
      <c r="D79" s="64"/>
    </row>
    <row r="80" spans="4:4" ht="15.75" customHeight="1">
      <c r="D80" s="64"/>
    </row>
    <row r="81" spans="4:4" ht="15.75" customHeight="1">
      <c r="D81" s="64"/>
    </row>
    <row r="82" spans="4:4" ht="15.75" customHeight="1">
      <c r="D82" s="64"/>
    </row>
    <row r="83" spans="4:4" ht="15.75" customHeight="1">
      <c r="D83" s="64"/>
    </row>
    <row r="84" spans="4:4" ht="15.75" customHeight="1">
      <c r="D84" s="64"/>
    </row>
    <row r="85" spans="4:4" ht="15.75" customHeight="1">
      <c r="D85" s="64"/>
    </row>
    <row r="86" spans="4:4" ht="15.75" customHeight="1">
      <c r="D86" s="64"/>
    </row>
    <row r="87" spans="4:4" ht="15.75" customHeight="1">
      <c r="D87" s="64"/>
    </row>
    <row r="88" spans="4:4" ht="15.75" customHeight="1">
      <c r="D88" s="64"/>
    </row>
    <row r="89" spans="4:4" ht="15.75" customHeight="1">
      <c r="D89" s="64"/>
    </row>
    <row r="90" spans="4:4" ht="15.75" customHeight="1">
      <c r="D90" s="64"/>
    </row>
    <row r="91" spans="4:4" ht="15.75" customHeight="1">
      <c r="D91" s="64"/>
    </row>
    <row r="92" spans="4:4" ht="15.75" customHeight="1">
      <c r="D92" s="64"/>
    </row>
    <row r="93" spans="4:4" ht="15.75" customHeight="1">
      <c r="D93" s="64"/>
    </row>
    <row r="94" spans="4:4" ht="15.75" customHeight="1">
      <c r="D94" s="64"/>
    </row>
    <row r="95" spans="4:4" ht="15.75" customHeight="1">
      <c r="D95" s="64"/>
    </row>
    <row r="96" spans="4:4" ht="15.75" customHeight="1">
      <c r="D96" s="64"/>
    </row>
    <row r="97" spans="4:4" ht="15.75" customHeight="1">
      <c r="D97" s="64"/>
    </row>
    <row r="98" spans="4:4" ht="15.75" customHeight="1">
      <c r="D98" s="64"/>
    </row>
    <row r="99" spans="4:4" ht="15.75" customHeight="1">
      <c r="D99" s="64"/>
    </row>
    <row r="100" spans="4:4" ht="15.75" customHeight="1">
      <c r="D100" s="64"/>
    </row>
    <row r="101" spans="4:4" ht="15.75" customHeight="1">
      <c r="D101" s="64"/>
    </row>
    <row r="102" spans="4:4" ht="15.75" customHeight="1">
      <c r="D102" s="64"/>
    </row>
    <row r="103" spans="4:4" ht="15.75" customHeight="1">
      <c r="D103" s="64"/>
    </row>
    <row r="104" spans="4:4" ht="15.75" customHeight="1">
      <c r="D104" s="64"/>
    </row>
    <row r="105" spans="4:4" ht="15.75" customHeight="1">
      <c r="D105" s="64"/>
    </row>
    <row r="106" spans="4:4" ht="15.75" customHeight="1">
      <c r="D106" s="64"/>
    </row>
    <row r="107" spans="4:4" ht="15.75" customHeight="1">
      <c r="D107" s="64"/>
    </row>
    <row r="108" spans="4:4" ht="15.75" customHeight="1">
      <c r="D108" s="64"/>
    </row>
    <row r="109" spans="4:4" ht="15.75" customHeight="1">
      <c r="D109" s="64"/>
    </row>
    <row r="110" spans="4:4" ht="15.75" customHeight="1">
      <c r="D110" s="64"/>
    </row>
    <row r="111" spans="4:4" ht="15.75" customHeight="1">
      <c r="D111" s="64"/>
    </row>
    <row r="112" spans="4:4" ht="15.75" customHeight="1">
      <c r="D112" s="64"/>
    </row>
    <row r="113" spans="4:4" ht="15.75" customHeight="1">
      <c r="D113" s="64"/>
    </row>
    <row r="114" spans="4:4" ht="15.75" customHeight="1">
      <c r="D114" s="64"/>
    </row>
    <row r="115" spans="4:4" ht="15.75" customHeight="1">
      <c r="D115" s="64"/>
    </row>
    <row r="116" spans="4:4" ht="15.75" customHeight="1">
      <c r="D116" s="64"/>
    </row>
    <row r="117" spans="4:4" ht="15.75" customHeight="1">
      <c r="D117" s="64"/>
    </row>
    <row r="118" spans="4:4" ht="15.75" customHeight="1">
      <c r="D118" s="64"/>
    </row>
    <row r="119" spans="4:4" ht="15.75" customHeight="1">
      <c r="D119" s="64"/>
    </row>
    <row r="120" spans="4:4" ht="15.75" customHeight="1">
      <c r="D120" s="64"/>
    </row>
    <row r="121" spans="4:4" ht="15.75" customHeight="1">
      <c r="D121" s="64"/>
    </row>
    <row r="122" spans="4:4" ht="15.75" customHeight="1">
      <c r="D122" s="64"/>
    </row>
    <row r="123" spans="4:4" ht="15.75" customHeight="1">
      <c r="D123" s="64"/>
    </row>
    <row r="124" spans="4:4" ht="15.75" customHeight="1">
      <c r="D124" s="64"/>
    </row>
    <row r="125" spans="4:4" ht="15.75" customHeight="1">
      <c r="D125" s="64"/>
    </row>
    <row r="126" spans="4:4" ht="15.75" customHeight="1">
      <c r="D126" s="64"/>
    </row>
    <row r="127" spans="4:4" ht="15.75" customHeight="1">
      <c r="D127" s="64"/>
    </row>
    <row r="128" spans="4:4" ht="15.75" customHeight="1">
      <c r="D128" s="64"/>
    </row>
    <row r="129" spans="4:4" ht="15.75" customHeight="1">
      <c r="D129" s="64"/>
    </row>
    <row r="130" spans="4:4" ht="15.75" customHeight="1">
      <c r="D130" s="64"/>
    </row>
    <row r="131" spans="4:4" ht="15.75" customHeight="1">
      <c r="D131" s="64"/>
    </row>
    <row r="132" spans="4:4" ht="15.75" customHeight="1">
      <c r="D132" s="64"/>
    </row>
    <row r="133" spans="4:4" ht="15.75" customHeight="1">
      <c r="D133" s="64"/>
    </row>
    <row r="134" spans="4:4" ht="15.75" customHeight="1">
      <c r="D134" s="64"/>
    </row>
    <row r="135" spans="4:4" ht="15.75" customHeight="1">
      <c r="D135" s="64"/>
    </row>
    <row r="136" spans="4:4" ht="15.75" customHeight="1">
      <c r="D136" s="64"/>
    </row>
    <row r="137" spans="4:4" ht="15.75" customHeight="1">
      <c r="D137" s="64"/>
    </row>
    <row r="138" spans="4:4" ht="15.75" customHeight="1">
      <c r="D138" s="64"/>
    </row>
    <row r="139" spans="4:4" ht="15.75" customHeight="1">
      <c r="D139" s="64"/>
    </row>
    <row r="140" spans="4:4" ht="15.75" customHeight="1">
      <c r="D140" s="64"/>
    </row>
    <row r="141" spans="4:4" ht="15.75" customHeight="1">
      <c r="D141" s="64"/>
    </row>
    <row r="142" spans="4:4" ht="15.75" customHeight="1">
      <c r="D142" s="64"/>
    </row>
    <row r="143" spans="4:4" ht="15.75" customHeight="1">
      <c r="D143" s="64"/>
    </row>
    <row r="144" spans="4:4" ht="15.75" customHeight="1">
      <c r="D144" s="64"/>
    </row>
    <row r="145" spans="4:4" ht="15.75" customHeight="1">
      <c r="D145" s="64"/>
    </row>
    <row r="146" spans="4:4" ht="15.75" customHeight="1">
      <c r="D146" s="64"/>
    </row>
    <row r="147" spans="4:4" ht="15.75" customHeight="1">
      <c r="D147" s="64"/>
    </row>
    <row r="148" spans="4:4" ht="15.75" customHeight="1">
      <c r="D148" s="64"/>
    </row>
    <row r="149" spans="4:4" ht="15.75" customHeight="1">
      <c r="D149" s="64"/>
    </row>
    <row r="150" spans="4:4" ht="15.75" customHeight="1">
      <c r="D150" s="64"/>
    </row>
    <row r="151" spans="4:4" ht="15.75" customHeight="1">
      <c r="D151" s="64"/>
    </row>
    <row r="152" spans="4:4" ht="15.75" customHeight="1">
      <c r="D152" s="64"/>
    </row>
    <row r="153" spans="4:4" ht="15.75" customHeight="1">
      <c r="D153" s="64"/>
    </row>
    <row r="154" spans="4:4" ht="15.75" customHeight="1">
      <c r="D154" s="64"/>
    </row>
    <row r="155" spans="4:4" ht="15.75" customHeight="1">
      <c r="D155" s="64"/>
    </row>
    <row r="156" spans="4:4" ht="15.75" customHeight="1">
      <c r="D156" s="64"/>
    </row>
    <row r="157" spans="4:4" ht="15.75" customHeight="1">
      <c r="D157" s="64"/>
    </row>
    <row r="158" spans="4:4" ht="15.75" customHeight="1">
      <c r="D158" s="64"/>
    </row>
    <row r="159" spans="4:4" ht="15.75" customHeight="1">
      <c r="D159" s="64"/>
    </row>
    <row r="160" spans="4:4" ht="15.75" customHeight="1">
      <c r="D160" s="64"/>
    </row>
    <row r="161" spans="4:4" ht="15.75" customHeight="1">
      <c r="D161" s="64"/>
    </row>
    <row r="162" spans="4:4" ht="15.75" customHeight="1">
      <c r="D162" s="64"/>
    </row>
    <row r="163" spans="4:4" ht="15.75" customHeight="1">
      <c r="D163" s="64"/>
    </row>
    <row r="164" spans="4:4" ht="15.75" customHeight="1">
      <c r="D164" s="64"/>
    </row>
    <row r="165" spans="4:4" ht="15.75" customHeight="1">
      <c r="D165" s="64"/>
    </row>
    <row r="166" spans="4:4" ht="15.75" customHeight="1">
      <c r="D166" s="64"/>
    </row>
    <row r="167" spans="4:4" ht="15.75" customHeight="1">
      <c r="D167" s="64"/>
    </row>
    <row r="168" spans="4:4" ht="15.75" customHeight="1">
      <c r="D168" s="64"/>
    </row>
    <row r="169" spans="4:4" ht="15.75" customHeight="1">
      <c r="D169" s="64"/>
    </row>
    <row r="170" spans="4:4" ht="15.75" customHeight="1">
      <c r="D170" s="64"/>
    </row>
    <row r="171" spans="4:4" ht="15.75" customHeight="1">
      <c r="D171" s="64"/>
    </row>
    <row r="172" spans="4:4" ht="15.75" customHeight="1">
      <c r="D172" s="64"/>
    </row>
    <row r="173" spans="4:4" ht="15.75" customHeight="1">
      <c r="D173" s="64"/>
    </row>
    <row r="174" spans="4:4" ht="15.75" customHeight="1">
      <c r="D174" s="64"/>
    </row>
    <row r="175" spans="4:4" ht="15.75" customHeight="1">
      <c r="D175" s="64"/>
    </row>
    <row r="176" spans="4:4" ht="15.75" customHeight="1">
      <c r="D176" s="64"/>
    </row>
    <row r="177" spans="4:4" ht="15.75" customHeight="1">
      <c r="D177" s="64"/>
    </row>
    <row r="178" spans="4:4" ht="15.75" customHeight="1">
      <c r="D178" s="64"/>
    </row>
    <row r="179" spans="4:4" ht="15.75" customHeight="1">
      <c r="D179" s="64"/>
    </row>
    <row r="180" spans="4:4" ht="15.75" customHeight="1">
      <c r="D180" s="64"/>
    </row>
    <row r="181" spans="4:4" ht="15.75" customHeight="1">
      <c r="D181" s="64"/>
    </row>
    <row r="182" spans="4:4" ht="15.75" customHeight="1">
      <c r="D182" s="64"/>
    </row>
    <row r="183" spans="4:4" ht="15.75" customHeight="1">
      <c r="D183" s="64"/>
    </row>
    <row r="184" spans="4:4" ht="15.75" customHeight="1">
      <c r="D184" s="64"/>
    </row>
    <row r="185" spans="4:4" ht="15.75" customHeight="1">
      <c r="D185" s="64"/>
    </row>
    <row r="186" spans="4:4" ht="15.75" customHeight="1">
      <c r="D186" s="64"/>
    </row>
    <row r="187" spans="4:4" ht="15.75" customHeight="1">
      <c r="D187" s="64"/>
    </row>
    <row r="188" spans="4:4" ht="15.75" customHeight="1">
      <c r="D188" s="64"/>
    </row>
    <row r="189" spans="4:4" ht="15.75" customHeight="1">
      <c r="D189" s="64"/>
    </row>
    <row r="190" spans="4:4" ht="15.75" customHeight="1">
      <c r="D190" s="64"/>
    </row>
    <row r="191" spans="4:4" ht="15.75" customHeight="1">
      <c r="D191" s="64"/>
    </row>
    <row r="192" spans="4:4" ht="15.75" customHeight="1">
      <c r="D192" s="64"/>
    </row>
    <row r="193" spans="4:4" ht="15.75" customHeight="1">
      <c r="D193" s="64"/>
    </row>
    <row r="194" spans="4:4" ht="15.75" customHeight="1">
      <c r="D194" s="64"/>
    </row>
    <row r="195" spans="4:4" ht="15.75" customHeight="1">
      <c r="D195" s="64"/>
    </row>
    <row r="196" spans="4:4" ht="15.75" customHeight="1">
      <c r="D196" s="64"/>
    </row>
    <row r="197" spans="4:4" ht="15.75" customHeight="1">
      <c r="D197" s="64"/>
    </row>
    <row r="198" spans="4:4" ht="15.75" customHeight="1">
      <c r="D198" s="64"/>
    </row>
    <row r="199" spans="4:4" ht="15.75" customHeight="1">
      <c r="D199" s="64"/>
    </row>
    <row r="200" spans="4:4" ht="15.75" customHeight="1">
      <c r="D200" s="64"/>
    </row>
    <row r="201" spans="4:4" ht="15.75" customHeight="1">
      <c r="D201" s="64"/>
    </row>
    <row r="202" spans="4:4" ht="15.75" customHeight="1">
      <c r="D202" s="64"/>
    </row>
    <row r="203" spans="4:4" ht="15.75" customHeight="1">
      <c r="D203" s="64"/>
    </row>
    <row r="204" spans="4:4" ht="15.75" customHeight="1">
      <c r="D204" s="64"/>
    </row>
    <row r="205" spans="4:4" ht="15.75" customHeight="1">
      <c r="D205" s="64"/>
    </row>
    <row r="206" spans="4:4" ht="15.75" customHeight="1">
      <c r="D206" s="64"/>
    </row>
    <row r="207" spans="4:4" ht="15.75" customHeight="1">
      <c r="D207" s="64"/>
    </row>
    <row r="208" spans="4:4" ht="15.75" customHeight="1">
      <c r="D208" s="64"/>
    </row>
    <row r="209" spans="4:4" ht="15.75" customHeight="1">
      <c r="D209" s="64"/>
    </row>
    <row r="210" spans="4:4" ht="15.75" customHeight="1">
      <c r="D210" s="64"/>
    </row>
    <row r="211" spans="4:4" ht="15.75" customHeight="1">
      <c r="D211" s="64"/>
    </row>
    <row r="212" spans="4:4" ht="15.75" customHeight="1">
      <c r="D212" s="64"/>
    </row>
    <row r="213" spans="4:4" ht="15.75" customHeight="1">
      <c r="D213" s="64"/>
    </row>
    <row r="214" spans="4:4" ht="15.75" customHeight="1">
      <c r="D214" s="64"/>
    </row>
    <row r="215" spans="4:4" ht="15.75" customHeight="1">
      <c r="D215" s="64"/>
    </row>
    <row r="216" spans="4:4" ht="15.75" customHeight="1">
      <c r="D216" s="64"/>
    </row>
    <row r="217" spans="4:4" ht="15.75" customHeight="1">
      <c r="D217" s="64"/>
    </row>
    <row r="218" spans="4:4" ht="15.75" customHeight="1">
      <c r="D218" s="64"/>
    </row>
    <row r="219" spans="4:4" ht="15.75" customHeight="1">
      <c r="D219" s="64"/>
    </row>
    <row r="220" spans="4:4" ht="15.75" customHeight="1">
      <c r="D220" s="64"/>
    </row>
    <row r="221" spans="4:4" ht="15.75" customHeight="1">
      <c r="D221" s="64"/>
    </row>
    <row r="222" spans="4:4" ht="15.75" customHeight="1">
      <c r="D222" s="64"/>
    </row>
    <row r="223" spans="4:4" ht="15.75" customHeight="1">
      <c r="D223" s="64"/>
    </row>
    <row r="224" spans="4:4" ht="15.75" customHeight="1">
      <c r="D224" s="64"/>
    </row>
    <row r="225" spans="4:4" ht="15.75" customHeight="1">
      <c r="D225" s="64"/>
    </row>
    <row r="226" spans="4:4" ht="15.75" customHeight="1">
      <c r="D226" s="64"/>
    </row>
    <row r="227" spans="4:4" ht="15.75" customHeight="1">
      <c r="D227" s="64"/>
    </row>
    <row r="228" spans="4:4" ht="15.75" customHeight="1">
      <c r="D228" s="64"/>
    </row>
    <row r="229" spans="4:4" ht="15.75" customHeight="1">
      <c r="D229" s="64"/>
    </row>
    <row r="230" spans="4:4" ht="15.75" customHeight="1">
      <c r="D230" s="64"/>
    </row>
    <row r="231" spans="4:4" ht="15.75" customHeight="1">
      <c r="D231" s="64"/>
    </row>
    <row r="232" spans="4:4" ht="15.75" customHeight="1">
      <c r="D232" s="64"/>
    </row>
    <row r="233" spans="4:4" ht="15.75" customHeight="1">
      <c r="D233" s="64"/>
    </row>
    <row r="234" spans="4:4" ht="15.75" customHeight="1">
      <c r="D234" s="64"/>
    </row>
    <row r="235" spans="4:4" ht="15.75" customHeight="1">
      <c r="D235" s="64"/>
    </row>
    <row r="236" spans="4:4" ht="15.75" customHeight="1">
      <c r="D236" s="64"/>
    </row>
    <row r="237" spans="4:4" ht="15.75" customHeight="1">
      <c r="D237" s="64"/>
    </row>
    <row r="238" spans="4:4" ht="15.75" customHeight="1">
      <c r="D238" s="64"/>
    </row>
    <row r="239" spans="4:4" ht="15.75" customHeight="1">
      <c r="D239" s="64"/>
    </row>
    <row r="240" spans="4:4" ht="15.75" customHeight="1">
      <c r="D240" s="64"/>
    </row>
    <row r="241" spans="4:4" ht="15.75" customHeight="1">
      <c r="D241" s="64"/>
    </row>
    <row r="242" spans="4:4" ht="15.75" customHeight="1">
      <c r="D242" s="64"/>
    </row>
    <row r="243" spans="4:4" ht="15.75" customHeight="1">
      <c r="D243" s="64"/>
    </row>
    <row r="244" spans="4:4" ht="15.75" customHeight="1">
      <c r="D244" s="64"/>
    </row>
    <row r="245" spans="4:4" ht="15.75" customHeight="1">
      <c r="D245" s="64"/>
    </row>
    <row r="246" spans="4:4" ht="15.75" customHeight="1">
      <c r="D246" s="64"/>
    </row>
    <row r="247" spans="4:4" ht="15.75" customHeight="1">
      <c r="D247" s="64"/>
    </row>
    <row r="248" spans="4:4" ht="15.75" customHeight="1">
      <c r="D248" s="64"/>
    </row>
    <row r="249" spans="4:4" ht="15.75" customHeight="1">
      <c r="D249" s="64"/>
    </row>
    <row r="250" spans="4:4" ht="15.75" customHeight="1">
      <c r="D250" s="64"/>
    </row>
    <row r="251" spans="4:4" ht="15.75" customHeight="1">
      <c r="D251" s="64"/>
    </row>
    <row r="252" spans="4:4" ht="15.75" customHeight="1">
      <c r="D252" s="64"/>
    </row>
    <row r="253" spans="4:4" ht="15.75" customHeight="1"/>
    <row r="254" spans="4:4" ht="15.75" customHeight="1"/>
    <row r="255" spans="4:4" ht="15.75" customHeight="1"/>
    <row r="256" spans="4: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6">
    <mergeCell ref="V46:W46"/>
    <mergeCell ref="H53:T53"/>
    <mergeCell ref="H56:T56"/>
    <mergeCell ref="H57:T57"/>
    <mergeCell ref="J40:T40"/>
    <mergeCell ref="J41:T41"/>
    <mergeCell ref="J42:T42"/>
    <mergeCell ref="J43:T43"/>
    <mergeCell ref="I46:N46"/>
    <mergeCell ref="Q46:T46"/>
    <mergeCell ref="I49:N49"/>
    <mergeCell ref="Q49:T49"/>
    <mergeCell ref="V49:X49"/>
    <mergeCell ref="I50:N50"/>
    <mergeCell ref="Q50:T50"/>
    <mergeCell ref="B37:I37"/>
    <mergeCell ref="C39:E39"/>
    <mergeCell ref="C40:E40"/>
    <mergeCell ref="H40:I40"/>
    <mergeCell ref="C41:E41"/>
    <mergeCell ref="C42:E42"/>
    <mergeCell ref="C46:E46"/>
    <mergeCell ref="A49:B49"/>
    <mergeCell ref="C49:F49"/>
    <mergeCell ref="A50:B50"/>
    <mergeCell ref="C50:F50"/>
    <mergeCell ref="A1:V1"/>
    <mergeCell ref="A2:V2"/>
    <mergeCell ref="A3:V3"/>
    <mergeCell ref="A8:A9"/>
    <mergeCell ref="B8:B9"/>
    <mergeCell ref="D8:D9"/>
    <mergeCell ref="E8:E9"/>
    <mergeCell ref="H8:V8"/>
    <mergeCell ref="F8:F9"/>
    <mergeCell ref="G8:G9"/>
  </mergeCells>
  <pageMargins left="0.7" right="0.7" top="0.75" bottom="0.75" header="0" footer="0"/>
  <pageSetup paperSize="5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1004"/>
  <sheetViews>
    <sheetView workbookViewId="0"/>
  </sheetViews>
  <sheetFormatPr defaultColWidth="12.625" defaultRowHeight="15" customHeight="1"/>
  <cols>
    <col min="1" max="1" width="12.875" customWidth="1"/>
    <col min="2" max="2" width="10.5" customWidth="1"/>
    <col min="3" max="3" width="38.875" customWidth="1"/>
    <col min="4" max="4" width="11.625" customWidth="1"/>
    <col min="5" max="5" width="10.125" customWidth="1"/>
    <col min="6" max="6" width="11.125" customWidth="1"/>
    <col min="7" max="7" width="23.125" customWidth="1"/>
    <col min="8" max="8" width="15.5" customWidth="1"/>
    <col min="9" max="13" width="7.625" customWidth="1"/>
    <col min="14" max="14" width="11.375" customWidth="1"/>
    <col min="15" max="16" width="7.625" customWidth="1"/>
    <col min="17" max="39" width="0.375" customWidth="1"/>
  </cols>
  <sheetData>
    <row r="1" spans="1:40" ht="15.75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"/>
      <c r="Y1" s="1"/>
    </row>
    <row r="2" spans="1:40" ht="14.25">
      <c r="A2" s="133" t="s">
        <v>72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"/>
      <c r="Y2" s="1"/>
    </row>
    <row r="3" spans="1:40">
      <c r="A3" s="134"/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"/>
      <c r="Y3" s="1"/>
    </row>
    <row r="4" spans="1:40">
      <c r="A4" s="2" t="s">
        <v>2</v>
      </c>
      <c r="B4" s="3"/>
      <c r="C4" s="3"/>
      <c r="D4" s="3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1"/>
      <c r="X4" s="1"/>
      <c r="Y4" s="1"/>
    </row>
    <row r="5" spans="1:40">
      <c r="A5" s="5"/>
      <c r="B5" s="3"/>
      <c r="C5" s="3"/>
      <c r="D5" s="1"/>
      <c r="E5" s="6"/>
      <c r="F5" s="7"/>
      <c r="G5" s="8"/>
      <c r="H5" s="8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40">
      <c r="A6" s="9" t="s">
        <v>3</v>
      </c>
      <c r="B6" s="3"/>
      <c r="C6" s="3"/>
      <c r="D6" s="1"/>
      <c r="E6" s="6"/>
      <c r="F6" s="7"/>
      <c r="G6" s="8"/>
      <c r="H6" s="8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40">
      <c r="A7" s="5" t="s">
        <v>4</v>
      </c>
      <c r="B7" s="3"/>
      <c r="C7" s="3"/>
      <c r="D7" s="1"/>
      <c r="E7" s="6"/>
      <c r="F7" s="7"/>
      <c r="G7" s="8"/>
      <c r="H7" s="8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40" ht="22.5" customHeight="1">
      <c r="A8" s="165" t="s">
        <v>73</v>
      </c>
      <c r="B8" s="166" t="s">
        <v>74</v>
      </c>
      <c r="C8" s="166" t="s">
        <v>6</v>
      </c>
      <c r="D8" s="69" t="s">
        <v>7</v>
      </c>
      <c r="E8" s="171" t="s">
        <v>8</v>
      </c>
      <c r="F8" s="169" t="s">
        <v>9</v>
      </c>
      <c r="G8" s="166" t="s">
        <v>10</v>
      </c>
      <c r="H8" s="168" t="s">
        <v>11</v>
      </c>
      <c r="I8" s="170" t="s">
        <v>12</v>
      </c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3"/>
    </row>
    <row r="9" spans="1:40" ht="324">
      <c r="A9" s="136"/>
      <c r="B9" s="167"/>
      <c r="C9" s="167"/>
      <c r="D9" s="70" t="s">
        <v>13</v>
      </c>
      <c r="E9" s="167"/>
      <c r="F9" s="167"/>
      <c r="G9" s="167"/>
      <c r="H9" s="167"/>
      <c r="I9" s="71" t="s">
        <v>14</v>
      </c>
      <c r="J9" s="71" t="s">
        <v>15</v>
      </c>
      <c r="K9" s="71" t="s">
        <v>16</v>
      </c>
      <c r="L9" s="70" t="s">
        <v>75</v>
      </c>
      <c r="M9" s="70" t="s">
        <v>76</v>
      </c>
      <c r="N9" s="70" t="s">
        <v>77</v>
      </c>
      <c r="O9" s="70" t="s">
        <v>78</v>
      </c>
      <c r="P9" s="70" t="s">
        <v>79</v>
      </c>
      <c r="Q9" s="70" t="s">
        <v>80</v>
      </c>
      <c r="R9" s="70" t="s">
        <v>81</v>
      </c>
      <c r="S9" s="70" t="s">
        <v>82</v>
      </c>
      <c r="T9" s="70" t="s">
        <v>83</v>
      </c>
      <c r="U9" s="70" t="s">
        <v>84</v>
      </c>
      <c r="V9" s="70" t="s">
        <v>85</v>
      </c>
      <c r="W9" s="70" t="s">
        <v>86</v>
      </c>
      <c r="X9" s="70" t="s">
        <v>87</v>
      </c>
      <c r="Y9" s="70" t="s">
        <v>88</v>
      </c>
      <c r="Z9" s="72" t="s">
        <v>89</v>
      </c>
      <c r="AA9" s="72" t="s">
        <v>90</v>
      </c>
      <c r="AB9" s="72" t="s">
        <v>91</v>
      </c>
      <c r="AC9" s="72" t="s">
        <v>92</v>
      </c>
      <c r="AD9" s="72" t="s">
        <v>93</v>
      </c>
      <c r="AE9" s="72" t="s">
        <v>94</v>
      </c>
      <c r="AF9" s="72" t="s">
        <v>95</v>
      </c>
      <c r="AG9" s="72" t="s">
        <v>96</v>
      </c>
      <c r="AH9" s="72" t="s">
        <v>97</v>
      </c>
      <c r="AI9" s="72" t="s">
        <v>98</v>
      </c>
      <c r="AJ9" s="72" t="s">
        <v>99</v>
      </c>
      <c r="AK9" s="72" t="s">
        <v>100</v>
      </c>
      <c r="AL9" s="72" t="s">
        <v>101</v>
      </c>
      <c r="AM9" s="72" t="s">
        <v>102</v>
      </c>
      <c r="AN9" s="73" t="s">
        <v>27</v>
      </c>
    </row>
    <row r="10" spans="1:40" ht="48">
      <c r="A10" s="74" t="s">
        <v>103</v>
      </c>
      <c r="B10" s="75" t="s">
        <v>104</v>
      </c>
      <c r="C10" s="76" t="s">
        <v>105</v>
      </c>
      <c r="D10" s="75" t="s">
        <v>106</v>
      </c>
      <c r="E10" s="77" t="s">
        <v>107</v>
      </c>
      <c r="F10" s="78" t="s">
        <v>108</v>
      </c>
      <c r="G10" s="75" t="s">
        <v>109</v>
      </c>
      <c r="H10" s="79" t="s">
        <v>110</v>
      </c>
      <c r="I10" s="75" t="s">
        <v>111</v>
      </c>
      <c r="J10" s="75" t="s">
        <v>112</v>
      </c>
      <c r="K10" s="75" t="s">
        <v>113</v>
      </c>
      <c r="L10" s="75" t="s">
        <v>114</v>
      </c>
      <c r="M10" s="75" t="s">
        <v>115</v>
      </c>
      <c r="N10" s="75" t="s">
        <v>116</v>
      </c>
      <c r="O10" s="75" t="s">
        <v>117</v>
      </c>
      <c r="P10" s="75" t="s">
        <v>118</v>
      </c>
      <c r="Q10" s="75" t="s">
        <v>119</v>
      </c>
      <c r="R10" s="75" t="s">
        <v>120</v>
      </c>
      <c r="S10" s="75" t="s">
        <v>121</v>
      </c>
      <c r="T10" s="75" t="s">
        <v>122</v>
      </c>
      <c r="U10" s="75" t="s">
        <v>123</v>
      </c>
      <c r="V10" s="75" t="s">
        <v>124</v>
      </c>
      <c r="W10" s="75" t="s">
        <v>125</v>
      </c>
      <c r="X10" s="75" t="s">
        <v>126</v>
      </c>
      <c r="Y10" s="75" t="s">
        <v>127</v>
      </c>
      <c r="Z10" s="80" t="s">
        <v>128</v>
      </c>
      <c r="AA10" s="80" t="s">
        <v>129</v>
      </c>
      <c r="AB10" s="80" t="s">
        <v>130</v>
      </c>
      <c r="AC10" s="80" t="s">
        <v>131</v>
      </c>
      <c r="AD10" s="80" t="s">
        <v>132</v>
      </c>
      <c r="AE10" s="80" t="s">
        <v>133</v>
      </c>
      <c r="AF10" s="80" t="s">
        <v>134</v>
      </c>
      <c r="AG10" s="80" t="s">
        <v>135</v>
      </c>
      <c r="AH10" s="80" t="s">
        <v>136</v>
      </c>
      <c r="AI10" s="81" t="s">
        <v>137</v>
      </c>
      <c r="AJ10" s="80" t="s">
        <v>138</v>
      </c>
      <c r="AK10" s="80" t="s">
        <v>139</v>
      </c>
      <c r="AL10" s="81" t="s">
        <v>140</v>
      </c>
      <c r="AM10" s="81" t="s">
        <v>141</v>
      </c>
      <c r="AN10" s="81" t="s">
        <v>142</v>
      </c>
    </row>
    <row r="11" spans="1:40" ht="14.25">
      <c r="A11" s="82" t="s">
        <v>143</v>
      </c>
      <c r="B11" s="83"/>
      <c r="C11" s="84" t="s">
        <v>144</v>
      </c>
      <c r="D11" s="18"/>
      <c r="E11" s="19"/>
      <c r="F11" s="20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85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</row>
    <row r="12" spans="1:40" ht="23.25" customHeight="1">
      <c r="A12" s="16"/>
      <c r="B12" s="87"/>
      <c r="C12" s="88" t="s">
        <v>145</v>
      </c>
      <c r="D12" s="89" t="s">
        <v>146</v>
      </c>
      <c r="E12" s="90">
        <v>10000</v>
      </c>
      <c r="F12" s="91">
        <f>10*E12</f>
        <v>100000</v>
      </c>
      <c r="G12" s="92" t="s">
        <v>147</v>
      </c>
      <c r="H12" s="93" t="s">
        <v>148</v>
      </c>
      <c r="I12" s="94"/>
      <c r="J12" s="93">
        <v>10</v>
      </c>
      <c r="K12" s="94"/>
      <c r="L12" s="94"/>
      <c r="M12" s="94"/>
      <c r="N12" s="94"/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  <c r="AC12" s="94"/>
      <c r="AD12" s="94"/>
      <c r="AE12" s="94"/>
      <c r="AF12" s="94"/>
      <c r="AG12" s="94"/>
      <c r="AH12" s="94"/>
      <c r="AI12" s="94"/>
      <c r="AJ12" s="94"/>
      <c r="AK12" s="94"/>
      <c r="AL12" s="94"/>
      <c r="AM12" s="94"/>
      <c r="AN12" s="94"/>
    </row>
    <row r="13" spans="1:40" ht="15.75" customHeight="1">
      <c r="A13" s="16"/>
      <c r="B13" s="95" t="s">
        <v>149</v>
      </c>
      <c r="C13" s="96" t="s">
        <v>150</v>
      </c>
      <c r="D13" s="89" t="s">
        <v>151</v>
      </c>
      <c r="E13" s="90">
        <v>1000</v>
      </c>
      <c r="F13" s="91">
        <v>5000</v>
      </c>
      <c r="G13" s="97" t="s">
        <v>31</v>
      </c>
      <c r="H13" s="93" t="s">
        <v>148</v>
      </c>
      <c r="I13" s="98"/>
      <c r="J13" s="97">
        <v>5</v>
      </c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</row>
    <row r="14" spans="1:40" ht="15.75" customHeight="1">
      <c r="A14" s="16"/>
      <c r="B14" s="95" t="s">
        <v>149</v>
      </c>
      <c r="C14" s="96" t="s">
        <v>152</v>
      </c>
      <c r="D14" s="89" t="s">
        <v>151</v>
      </c>
      <c r="E14" s="90">
        <v>1000</v>
      </c>
      <c r="F14" s="91">
        <v>5000</v>
      </c>
      <c r="G14" s="97" t="s">
        <v>31</v>
      </c>
      <c r="H14" s="93" t="s">
        <v>148</v>
      </c>
      <c r="I14" s="98"/>
      <c r="J14" s="97">
        <v>5</v>
      </c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</row>
    <row r="15" spans="1:40" ht="15.75" customHeight="1">
      <c r="A15" s="16"/>
      <c r="B15" s="99"/>
      <c r="C15" s="100"/>
      <c r="D15" s="101"/>
      <c r="E15" s="102"/>
      <c r="F15" s="103"/>
      <c r="G15" s="104"/>
      <c r="H15" s="105"/>
      <c r="I15" s="98"/>
      <c r="J15" s="104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</row>
    <row r="16" spans="1:40" ht="15.75" customHeight="1">
      <c r="A16" s="106" t="s">
        <v>153</v>
      </c>
      <c r="B16" s="107"/>
      <c r="C16" s="108" t="s">
        <v>154</v>
      </c>
      <c r="D16" s="109"/>
      <c r="E16" s="110"/>
      <c r="F16" s="111"/>
      <c r="G16" s="112"/>
      <c r="H16" s="113"/>
      <c r="I16" s="109"/>
      <c r="J16" s="112"/>
      <c r="K16" s="109"/>
      <c r="L16" s="109"/>
      <c r="M16" s="109"/>
      <c r="N16" s="109"/>
      <c r="O16" s="109"/>
      <c r="P16" s="109"/>
      <c r="Q16" s="109"/>
      <c r="R16" s="109"/>
      <c r="S16" s="109"/>
      <c r="T16" s="109"/>
      <c r="U16" s="109"/>
      <c r="V16" s="109"/>
      <c r="W16" s="109"/>
      <c r="X16" s="109"/>
      <c r="Y16" s="109"/>
      <c r="Z16" s="109"/>
      <c r="AA16" s="109"/>
      <c r="AB16" s="109"/>
      <c r="AC16" s="109"/>
      <c r="AD16" s="109"/>
      <c r="AE16" s="109"/>
      <c r="AF16" s="109"/>
      <c r="AG16" s="109"/>
      <c r="AH16" s="109"/>
      <c r="AI16" s="109"/>
      <c r="AJ16" s="109"/>
      <c r="AK16" s="109"/>
      <c r="AL16" s="109"/>
      <c r="AM16" s="109"/>
      <c r="AN16" s="109"/>
    </row>
    <row r="17" spans="1:40" ht="24.75" customHeight="1">
      <c r="A17" s="16"/>
      <c r="B17" s="114"/>
      <c r="C17" s="115" t="s">
        <v>37</v>
      </c>
      <c r="D17" s="101" t="s">
        <v>34</v>
      </c>
      <c r="E17" s="102">
        <v>50000</v>
      </c>
      <c r="F17" s="103">
        <v>50000</v>
      </c>
      <c r="G17" s="116" t="s">
        <v>147</v>
      </c>
      <c r="H17" s="93" t="s">
        <v>155</v>
      </c>
      <c r="I17" s="98"/>
      <c r="J17" s="97">
        <v>1</v>
      </c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</row>
    <row r="18" spans="1:40" ht="15.75" customHeight="1">
      <c r="A18" s="16"/>
      <c r="B18" s="117"/>
      <c r="C18" s="118" t="s">
        <v>38</v>
      </c>
      <c r="D18" s="101" t="s">
        <v>39</v>
      </c>
      <c r="E18" s="102">
        <v>40000</v>
      </c>
      <c r="F18" s="103">
        <v>40000</v>
      </c>
      <c r="G18" s="97" t="s">
        <v>31</v>
      </c>
      <c r="H18" s="93" t="s">
        <v>155</v>
      </c>
      <c r="I18" s="98"/>
      <c r="J18" s="97">
        <v>1</v>
      </c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</row>
    <row r="19" spans="1:40" ht="15.75" customHeight="1">
      <c r="A19" s="16"/>
      <c r="B19" s="117"/>
      <c r="C19" s="118" t="s">
        <v>40</v>
      </c>
      <c r="D19" s="101" t="s">
        <v>41</v>
      </c>
      <c r="E19" s="102">
        <v>15000</v>
      </c>
      <c r="F19" s="103">
        <v>45000</v>
      </c>
      <c r="G19" s="97" t="s">
        <v>31</v>
      </c>
      <c r="H19" s="93" t="s">
        <v>155</v>
      </c>
      <c r="I19" s="98"/>
      <c r="J19" s="97">
        <v>3</v>
      </c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</row>
    <row r="20" spans="1:40" ht="15.75" customHeight="1">
      <c r="A20" s="16"/>
      <c r="B20" s="117"/>
      <c r="C20" s="118" t="s">
        <v>42</v>
      </c>
      <c r="D20" s="101" t="s">
        <v>43</v>
      </c>
      <c r="E20" s="102">
        <v>10000</v>
      </c>
      <c r="F20" s="103">
        <v>10000</v>
      </c>
      <c r="G20" s="97" t="s">
        <v>31</v>
      </c>
      <c r="H20" s="93" t="s">
        <v>155</v>
      </c>
      <c r="I20" s="98"/>
      <c r="J20" s="97">
        <v>1</v>
      </c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</row>
    <row r="21" spans="1:40" ht="15.75" customHeight="1">
      <c r="A21" s="16"/>
      <c r="B21" s="117"/>
      <c r="C21" s="118" t="s">
        <v>44</v>
      </c>
      <c r="D21" s="101" t="s">
        <v>43</v>
      </c>
      <c r="E21" s="90">
        <v>40000</v>
      </c>
      <c r="F21" s="91">
        <v>40000</v>
      </c>
      <c r="G21" s="97" t="s">
        <v>31</v>
      </c>
      <c r="H21" s="93" t="s">
        <v>155</v>
      </c>
      <c r="I21" s="98"/>
      <c r="J21" s="97">
        <v>1</v>
      </c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</row>
    <row r="22" spans="1:40" ht="15.75" customHeight="1">
      <c r="A22" s="16"/>
      <c r="B22" s="117"/>
      <c r="C22" s="118" t="s">
        <v>45</v>
      </c>
      <c r="D22" s="101" t="s">
        <v>39</v>
      </c>
      <c r="E22" s="102">
        <v>15000</v>
      </c>
      <c r="F22" s="103">
        <v>15000</v>
      </c>
      <c r="G22" s="97" t="s">
        <v>31</v>
      </c>
      <c r="H22" s="93" t="s">
        <v>155</v>
      </c>
      <c r="I22" s="98"/>
      <c r="J22" s="97">
        <v>1</v>
      </c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</row>
    <row r="23" spans="1:40" ht="15.75" customHeight="1">
      <c r="A23" s="16"/>
      <c r="B23" s="117"/>
      <c r="C23" s="118" t="s">
        <v>46</v>
      </c>
      <c r="D23" s="101" t="s">
        <v>39</v>
      </c>
      <c r="E23" s="90">
        <v>30000</v>
      </c>
      <c r="F23" s="91">
        <v>30000</v>
      </c>
      <c r="G23" s="97" t="s">
        <v>31</v>
      </c>
      <c r="H23" s="93" t="s">
        <v>155</v>
      </c>
      <c r="I23" s="98"/>
      <c r="J23" s="97">
        <v>1</v>
      </c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</row>
    <row r="24" spans="1:40" ht="15.75" customHeight="1">
      <c r="A24" s="16"/>
      <c r="B24" s="117"/>
      <c r="C24" s="118" t="s">
        <v>47</v>
      </c>
      <c r="D24" s="101" t="s">
        <v>48</v>
      </c>
      <c r="E24" s="102">
        <v>7000</v>
      </c>
      <c r="F24" s="103">
        <v>35000</v>
      </c>
      <c r="G24" s="97" t="s">
        <v>31</v>
      </c>
      <c r="H24" s="93" t="s">
        <v>155</v>
      </c>
      <c r="I24" s="98"/>
      <c r="J24" s="97">
        <v>5</v>
      </c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</row>
    <row r="25" spans="1:40" ht="15.75" customHeight="1">
      <c r="A25" s="16"/>
      <c r="B25" s="117"/>
      <c r="C25" s="118" t="s">
        <v>49</v>
      </c>
      <c r="D25" s="101" t="s">
        <v>43</v>
      </c>
      <c r="E25" s="102">
        <v>12000</v>
      </c>
      <c r="F25" s="103">
        <v>12000</v>
      </c>
      <c r="G25" s="97" t="s">
        <v>31</v>
      </c>
      <c r="H25" s="93" t="s">
        <v>155</v>
      </c>
      <c r="I25" s="98"/>
      <c r="J25" s="97">
        <v>1</v>
      </c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</row>
    <row r="26" spans="1:40" ht="14.25">
      <c r="A26" s="16"/>
      <c r="B26" s="117"/>
      <c r="C26" s="118" t="s">
        <v>50</v>
      </c>
      <c r="D26" s="101" t="s">
        <v>43</v>
      </c>
      <c r="E26" s="102">
        <v>7000</v>
      </c>
      <c r="F26" s="103">
        <v>7000</v>
      </c>
      <c r="G26" s="97" t="s">
        <v>31</v>
      </c>
      <c r="H26" s="93" t="s">
        <v>155</v>
      </c>
      <c r="I26" s="98"/>
      <c r="J26" s="97">
        <v>1</v>
      </c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</row>
    <row r="27" spans="1:40" ht="24" customHeight="1">
      <c r="A27" s="16"/>
      <c r="B27" s="119"/>
      <c r="C27" s="120" t="s">
        <v>156</v>
      </c>
      <c r="D27" s="89" t="s">
        <v>34</v>
      </c>
      <c r="E27" s="90">
        <v>80000</v>
      </c>
      <c r="F27" s="91">
        <v>80000</v>
      </c>
      <c r="G27" s="116" t="s">
        <v>147</v>
      </c>
      <c r="H27" s="93" t="s">
        <v>155</v>
      </c>
      <c r="I27" s="98"/>
      <c r="J27" s="97">
        <v>1</v>
      </c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</row>
    <row r="28" spans="1:40" ht="15.75" customHeight="1">
      <c r="A28" s="16"/>
      <c r="B28" s="119"/>
      <c r="C28" s="120" t="s">
        <v>157</v>
      </c>
      <c r="D28" s="89" t="s">
        <v>158</v>
      </c>
      <c r="E28" s="90">
        <v>20000</v>
      </c>
      <c r="F28" s="91">
        <v>40000</v>
      </c>
      <c r="G28" s="97" t="s">
        <v>31</v>
      </c>
      <c r="H28" s="93" t="s">
        <v>155</v>
      </c>
      <c r="I28" s="98"/>
      <c r="J28" s="97">
        <v>2</v>
      </c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</row>
    <row r="29" spans="1:40" ht="15.75" customHeight="1">
      <c r="A29" s="121"/>
      <c r="B29" s="117"/>
      <c r="C29" s="117"/>
      <c r="D29" s="122"/>
      <c r="E29" s="123"/>
      <c r="F29" s="124"/>
      <c r="G29" s="104"/>
      <c r="H29" s="105"/>
      <c r="I29" s="98"/>
      <c r="J29" s="104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</row>
    <row r="30" spans="1:40" ht="15.75" customHeight="1">
      <c r="A30" s="106" t="s">
        <v>159</v>
      </c>
      <c r="B30" s="125"/>
      <c r="C30" s="108" t="s">
        <v>160</v>
      </c>
      <c r="D30" s="109"/>
      <c r="E30" s="110"/>
      <c r="F30" s="111"/>
      <c r="G30" s="112"/>
      <c r="H30" s="113"/>
      <c r="I30" s="109"/>
      <c r="J30" s="112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U30" s="109"/>
      <c r="V30" s="109"/>
      <c r="W30" s="109"/>
      <c r="X30" s="109"/>
      <c r="Y30" s="109"/>
      <c r="Z30" s="109"/>
      <c r="AA30" s="109"/>
      <c r="AB30" s="109"/>
      <c r="AC30" s="109"/>
      <c r="AD30" s="109"/>
      <c r="AE30" s="109"/>
      <c r="AF30" s="109"/>
      <c r="AG30" s="109"/>
      <c r="AH30" s="109"/>
      <c r="AI30" s="109"/>
      <c r="AJ30" s="109"/>
      <c r="AK30" s="109"/>
      <c r="AL30" s="109"/>
      <c r="AM30" s="109"/>
      <c r="AN30" s="109"/>
    </row>
    <row r="31" spans="1:40" ht="15.75" customHeight="1">
      <c r="A31" s="16"/>
      <c r="B31" s="126"/>
      <c r="C31" s="126" t="s">
        <v>161</v>
      </c>
      <c r="D31" s="89" t="s">
        <v>162</v>
      </c>
      <c r="E31" s="90">
        <v>600</v>
      </c>
      <c r="F31" s="103">
        <f>24*E31</f>
        <v>14400</v>
      </c>
      <c r="G31" s="97" t="s">
        <v>31</v>
      </c>
      <c r="H31" s="93" t="s">
        <v>163</v>
      </c>
      <c r="I31" s="98"/>
      <c r="J31" s="97">
        <v>24</v>
      </c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</row>
    <row r="32" spans="1:40" ht="25.5" customHeight="1">
      <c r="A32" s="16"/>
      <c r="B32" s="119"/>
      <c r="C32" s="119" t="s">
        <v>164</v>
      </c>
      <c r="D32" s="89" t="s">
        <v>165</v>
      </c>
      <c r="E32" s="90">
        <v>8000</v>
      </c>
      <c r="F32" s="103">
        <f>E32*16</f>
        <v>128000</v>
      </c>
      <c r="G32" s="116" t="s">
        <v>147</v>
      </c>
      <c r="H32" s="93" t="s">
        <v>163</v>
      </c>
      <c r="I32" s="98"/>
      <c r="J32" s="97">
        <v>16</v>
      </c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</row>
    <row r="33" spans="1:40" ht="15.75" customHeight="1">
      <c r="A33" s="16"/>
      <c r="B33" s="119"/>
      <c r="C33" s="120" t="s">
        <v>166</v>
      </c>
      <c r="D33" s="89" t="s">
        <v>165</v>
      </c>
      <c r="E33" s="90">
        <v>3000</v>
      </c>
      <c r="F33" s="103">
        <f t="shared" ref="F33:F34" si="0">16*E33</f>
        <v>48000</v>
      </c>
      <c r="G33" s="97" t="s">
        <v>31</v>
      </c>
      <c r="H33" s="93" t="s">
        <v>163</v>
      </c>
      <c r="I33" s="98"/>
      <c r="J33" s="97">
        <v>16</v>
      </c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</row>
    <row r="34" spans="1:40" ht="15.75" customHeight="1">
      <c r="A34" s="16"/>
      <c r="B34" s="119"/>
      <c r="C34" s="120" t="s">
        <v>167</v>
      </c>
      <c r="D34" s="89" t="s">
        <v>165</v>
      </c>
      <c r="E34" s="90">
        <v>3000</v>
      </c>
      <c r="F34" s="103">
        <f t="shared" si="0"/>
        <v>48000</v>
      </c>
      <c r="G34" s="97" t="s">
        <v>31</v>
      </c>
      <c r="H34" s="93" t="s">
        <v>163</v>
      </c>
      <c r="I34" s="98"/>
      <c r="J34" s="97">
        <v>16</v>
      </c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</row>
    <row r="35" spans="1:40" ht="24" customHeight="1">
      <c r="A35" s="16"/>
      <c r="B35" s="119"/>
      <c r="C35" s="120" t="s">
        <v>168</v>
      </c>
      <c r="D35" s="89" t="s">
        <v>169</v>
      </c>
      <c r="E35" s="90">
        <v>8000</v>
      </c>
      <c r="F35" s="91">
        <v>64000</v>
      </c>
      <c r="G35" s="116" t="s">
        <v>147</v>
      </c>
      <c r="H35" s="93" t="s">
        <v>163</v>
      </c>
      <c r="I35" s="98"/>
      <c r="J35" s="97">
        <v>8</v>
      </c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8"/>
      <c r="V35" s="98"/>
      <c r="W35" s="98"/>
      <c r="X35" s="98"/>
      <c r="Y35" s="98"/>
      <c r="Z35" s="98"/>
      <c r="AA35" s="98"/>
      <c r="AB35" s="98"/>
      <c r="AC35" s="98"/>
      <c r="AD35" s="98"/>
      <c r="AE35" s="98"/>
      <c r="AF35" s="98"/>
      <c r="AG35" s="98"/>
      <c r="AH35" s="98"/>
      <c r="AI35" s="98"/>
      <c r="AJ35" s="98"/>
      <c r="AK35" s="98"/>
      <c r="AL35" s="98"/>
      <c r="AM35" s="98"/>
      <c r="AN35" s="98"/>
    </row>
    <row r="36" spans="1:40" ht="15.75" customHeight="1">
      <c r="A36" s="16"/>
      <c r="B36" s="119"/>
      <c r="C36" s="120"/>
      <c r="D36" s="101"/>
      <c r="E36" s="102"/>
      <c r="F36" s="127"/>
      <c r="G36" s="104"/>
      <c r="H36" s="105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</row>
    <row r="37" spans="1:40" ht="15.75" customHeight="1">
      <c r="A37" s="107"/>
      <c r="B37" s="107"/>
      <c r="C37" s="128"/>
      <c r="D37" s="109"/>
      <c r="E37" s="110"/>
      <c r="F37" s="109"/>
      <c r="G37" s="112"/>
      <c r="H37" s="113"/>
      <c r="I37" s="109"/>
      <c r="J37" s="109"/>
      <c r="K37" s="109"/>
      <c r="L37" s="109"/>
      <c r="M37" s="109"/>
      <c r="N37" s="109"/>
      <c r="O37" s="109"/>
      <c r="P37" s="109"/>
      <c r="Q37" s="109"/>
      <c r="R37" s="109"/>
      <c r="S37" s="109"/>
      <c r="T37" s="109"/>
      <c r="U37" s="109"/>
      <c r="V37" s="109"/>
      <c r="W37" s="109"/>
      <c r="X37" s="109"/>
      <c r="Y37" s="109"/>
      <c r="Z37" s="109"/>
      <c r="AA37" s="109"/>
      <c r="AB37" s="109"/>
      <c r="AC37" s="109"/>
      <c r="AD37" s="109"/>
      <c r="AE37" s="109"/>
      <c r="AF37" s="109"/>
      <c r="AG37" s="109"/>
      <c r="AH37" s="109"/>
      <c r="AI37" s="109"/>
      <c r="AJ37" s="109"/>
      <c r="AK37" s="109"/>
      <c r="AL37" s="109"/>
      <c r="AM37" s="109"/>
      <c r="AN37" s="109"/>
    </row>
    <row r="38" spans="1:40" ht="15.75" customHeight="1">
      <c r="A38" s="16"/>
      <c r="B38" s="117"/>
      <c r="C38" s="118"/>
      <c r="D38" s="101"/>
      <c r="E38" s="102"/>
      <c r="F38" s="127"/>
      <c r="G38" s="104"/>
      <c r="H38" s="105"/>
      <c r="I38" s="98"/>
      <c r="J38" s="98"/>
      <c r="K38" s="98"/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98"/>
      <c r="AK38" s="98"/>
      <c r="AL38" s="98"/>
      <c r="AM38" s="98"/>
      <c r="AN38" s="98"/>
    </row>
    <row r="39" spans="1:40" ht="15.75" customHeight="1">
      <c r="A39" s="16"/>
      <c r="B39" s="117"/>
      <c r="C39" s="118"/>
      <c r="D39" s="101"/>
      <c r="E39" s="102"/>
      <c r="F39" s="127"/>
      <c r="G39" s="98"/>
      <c r="H39" s="98"/>
      <c r="I39" s="98"/>
      <c r="J39" s="98"/>
      <c r="K39" s="98"/>
      <c r="L39" s="98"/>
      <c r="M39" s="98"/>
      <c r="N39" s="98"/>
      <c r="O39" s="98"/>
      <c r="P39" s="98"/>
      <c r="Q39" s="98"/>
      <c r="R39" s="98"/>
      <c r="S39" s="98"/>
      <c r="T39" s="98"/>
      <c r="U39" s="98"/>
      <c r="V39" s="98"/>
      <c r="W39" s="98"/>
      <c r="X39" s="98"/>
      <c r="Y39" s="98"/>
      <c r="Z39" s="98"/>
      <c r="AA39" s="98"/>
      <c r="AB39" s="98"/>
      <c r="AC39" s="98"/>
      <c r="AD39" s="98"/>
      <c r="AE39" s="98"/>
      <c r="AF39" s="98"/>
      <c r="AG39" s="98"/>
      <c r="AH39" s="98"/>
      <c r="AI39" s="98"/>
      <c r="AJ39" s="98"/>
      <c r="AK39" s="98"/>
      <c r="AL39" s="98"/>
      <c r="AM39" s="98"/>
      <c r="AN39" s="98"/>
    </row>
    <row r="40" spans="1:40" ht="57.75" customHeight="1">
      <c r="A40" s="16"/>
      <c r="B40" s="117"/>
      <c r="C40" s="118"/>
      <c r="D40" s="101"/>
      <c r="E40" s="102"/>
      <c r="F40" s="127"/>
      <c r="G40" s="98"/>
      <c r="H40" s="98"/>
      <c r="I40" s="98"/>
      <c r="J40" s="98"/>
      <c r="K40" s="98"/>
      <c r="L40" s="98"/>
      <c r="M40" s="98"/>
      <c r="N40" s="98"/>
      <c r="O40" s="98"/>
      <c r="P40" s="98"/>
      <c r="Q40" s="98"/>
      <c r="R40" s="98"/>
      <c r="S40" s="98"/>
      <c r="T40" s="98"/>
      <c r="U40" s="98"/>
      <c r="V40" s="98"/>
      <c r="W40" s="98"/>
      <c r="X40" s="98"/>
      <c r="Y40" s="98"/>
      <c r="Z40" s="98"/>
      <c r="AA40" s="98"/>
      <c r="AB40" s="98"/>
      <c r="AC40" s="98"/>
      <c r="AD40" s="98"/>
      <c r="AE40" s="98"/>
      <c r="AF40" s="98"/>
      <c r="AG40" s="98"/>
      <c r="AH40" s="98"/>
      <c r="AI40" s="98"/>
      <c r="AJ40" s="98"/>
      <c r="AK40" s="98"/>
      <c r="AL40" s="98"/>
      <c r="AM40" s="98"/>
      <c r="AN40" s="98"/>
    </row>
    <row r="41" spans="1:40" ht="15.75" customHeight="1">
      <c r="A41" s="121"/>
      <c r="B41" s="129"/>
      <c r="C41" s="153" t="s">
        <v>53</v>
      </c>
      <c r="D41" s="145"/>
      <c r="E41" s="145"/>
      <c r="F41" s="145"/>
      <c r="G41" s="145"/>
      <c r="H41" s="145"/>
      <c r="I41" s="145"/>
      <c r="J41" s="146"/>
      <c r="K41" s="98"/>
      <c r="L41" s="98"/>
      <c r="M41" s="98"/>
      <c r="N41" s="98"/>
      <c r="O41" s="98"/>
      <c r="P41" s="98"/>
      <c r="Q41" s="98"/>
      <c r="R41" s="98"/>
      <c r="S41" s="98"/>
      <c r="T41" s="98"/>
      <c r="U41" s="98"/>
      <c r="V41" s="98"/>
      <c r="W41" s="98"/>
      <c r="X41" s="98"/>
      <c r="Y41" s="98"/>
      <c r="Z41" s="98"/>
      <c r="AA41" s="98"/>
      <c r="AB41" s="98"/>
      <c r="AC41" s="98"/>
      <c r="AD41" s="98"/>
      <c r="AE41" s="98"/>
      <c r="AF41" s="98"/>
      <c r="AG41" s="98"/>
      <c r="AH41" s="98"/>
      <c r="AI41" s="98"/>
      <c r="AJ41" s="98"/>
      <c r="AK41" s="98"/>
      <c r="AL41" s="98"/>
      <c r="AM41" s="98"/>
      <c r="AN41" s="98"/>
    </row>
    <row r="42" spans="1:40" ht="15.75" customHeight="1">
      <c r="A42" s="44"/>
      <c r="B42" s="45"/>
      <c r="C42" s="45"/>
      <c r="D42" s="1"/>
      <c r="E42" s="6"/>
      <c r="F42" s="46"/>
      <c r="G42" s="8"/>
      <c r="H42" s="8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40" ht="15.75" customHeight="1">
      <c r="A43" s="47" t="s">
        <v>54</v>
      </c>
      <c r="B43" s="3"/>
      <c r="C43" s="3"/>
      <c r="D43" s="154">
        <f>SUM(F12:F34)</f>
        <v>752400</v>
      </c>
      <c r="E43" s="132"/>
      <c r="F43" s="132"/>
      <c r="G43" s="8"/>
      <c r="H43" s="8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40" ht="15.75" hidden="1" customHeight="1">
      <c r="A44" s="48" t="s">
        <v>55</v>
      </c>
      <c r="B44" s="49"/>
      <c r="C44" s="49"/>
      <c r="D44" s="155">
        <f>PRODUCT(D43,0.1)</f>
        <v>75240</v>
      </c>
      <c r="E44" s="156"/>
      <c r="F44" s="157"/>
      <c r="G44" s="8"/>
      <c r="H44" s="8"/>
      <c r="I44" s="158"/>
      <c r="J44" s="132"/>
      <c r="K44" s="158"/>
      <c r="L44" s="132"/>
      <c r="M44" s="132"/>
      <c r="N44" s="132"/>
      <c r="O44" s="132"/>
      <c r="P44" s="132"/>
      <c r="Q44" s="132"/>
      <c r="R44" s="132"/>
      <c r="S44" s="132"/>
      <c r="T44" s="132"/>
      <c r="U44" s="132"/>
      <c r="V44" s="50"/>
      <c r="W44" s="1"/>
      <c r="X44" s="1"/>
      <c r="Y44" s="1"/>
    </row>
    <row r="45" spans="1:40" ht="15.75" hidden="1" customHeight="1">
      <c r="A45" s="51" t="s">
        <v>56</v>
      </c>
      <c r="B45" s="52"/>
      <c r="C45" s="52"/>
      <c r="D45" s="144">
        <f>PRODUCT(D43,0.1)</f>
        <v>75240</v>
      </c>
      <c r="E45" s="145"/>
      <c r="F45" s="146"/>
      <c r="G45" s="8"/>
      <c r="H45" s="8"/>
      <c r="I45" s="53"/>
      <c r="J45" s="53"/>
      <c r="K45" s="164"/>
      <c r="L45" s="132"/>
      <c r="M45" s="132"/>
      <c r="N45" s="132"/>
      <c r="O45" s="132"/>
      <c r="P45" s="132"/>
      <c r="Q45" s="132"/>
      <c r="R45" s="132"/>
      <c r="S45" s="132"/>
      <c r="T45" s="132"/>
      <c r="U45" s="132"/>
      <c r="V45" s="54"/>
      <c r="W45" s="1"/>
      <c r="X45" s="1"/>
      <c r="Y45" s="1"/>
    </row>
    <row r="46" spans="1:40" ht="15.75" hidden="1" customHeight="1">
      <c r="A46" s="51" t="s">
        <v>57</v>
      </c>
      <c r="B46" s="52"/>
      <c r="C46" s="52"/>
      <c r="D46" s="144">
        <f>SUM(D43:F45)</f>
        <v>902880</v>
      </c>
      <c r="E46" s="145"/>
      <c r="F46" s="146"/>
      <c r="G46" s="8"/>
      <c r="H46" s="8"/>
      <c r="I46" s="53"/>
      <c r="J46" s="53"/>
      <c r="K46" s="164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54"/>
      <c r="W46" s="1"/>
      <c r="X46" s="1"/>
      <c r="Y46" s="1"/>
    </row>
    <row r="47" spans="1:40" ht="15.75" customHeight="1">
      <c r="A47" s="55"/>
      <c r="B47" s="3"/>
      <c r="C47" s="3"/>
      <c r="D47" s="1"/>
      <c r="E47" s="6"/>
      <c r="F47" s="7"/>
      <c r="G47" s="8"/>
      <c r="H47" s="8"/>
      <c r="I47" s="53"/>
      <c r="J47" s="53"/>
      <c r="K47" s="164"/>
      <c r="L47" s="132"/>
      <c r="M47" s="132"/>
      <c r="N47" s="132"/>
      <c r="O47" s="132"/>
      <c r="P47" s="132"/>
      <c r="Q47" s="132"/>
      <c r="R47" s="132"/>
      <c r="S47" s="132"/>
      <c r="T47" s="132"/>
      <c r="U47" s="132"/>
      <c r="V47" s="54"/>
      <c r="W47" s="1"/>
      <c r="X47" s="1"/>
      <c r="Y47" s="1"/>
    </row>
    <row r="48" spans="1:40" ht="15.75" customHeight="1">
      <c r="A48" s="56" t="s">
        <v>58</v>
      </c>
      <c r="B48" s="3"/>
      <c r="C48" s="3"/>
      <c r="D48" s="1"/>
      <c r="E48" s="6"/>
      <c r="F48" s="7"/>
      <c r="G48" s="8"/>
      <c r="H48" s="8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57"/>
      <c r="B49" s="3"/>
      <c r="C49" s="3"/>
      <c r="D49" s="1"/>
      <c r="E49" s="6"/>
      <c r="F49" s="7"/>
      <c r="G49" s="8"/>
      <c r="H49" s="8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58" t="s">
        <v>59</v>
      </c>
      <c r="B50" s="45"/>
      <c r="C50" s="45"/>
      <c r="D50" s="147" t="s">
        <v>60</v>
      </c>
      <c r="E50" s="132"/>
      <c r="F50" s="132"/>
      <c r="G50" s="53"/>
      <c r="H50" s="53"/>
      <c r="I50" s="1"/>
      <c r="J50" s="147" t="s">
        <v>61</v>
      </c>
      <c r="K50" s="132"/>
      <c r="L50" s="132"/>
      <c r="M50" s="132"/>
      <c r="N50" s="132"/>
      <c r="O50" s="132"/>
      <c r="P50" s="1"/>
      <c r="Q50" s="1"/>
      <c r="R50" s="147" t="s">
        <v>62</v>
      </c>
      <c r="S50" s="132"/>
      <c r="T50" s="132"/>
      <c r="U50" s="132"/>
      <c r="V50" s="1"/>
      <c r="W50" s="159"/>
      <c r="X50" s="132"/>
      <c r="Y50" s="53"/>
    </row>
    <row r="51" spans="1:25" ht="15.75" customHeight="1">
      <c r="A51" s="58"/>
      <c r="B51" s="45"/>
      <c r="C51" s="45"/>
      <c r="D51" s="59"/>
      <c r="E51" s="60"/>
      <c r="F51" s="59"/>
      <c r="G51" s="53"/>
      <c r="H51" s="53"/>
      <c r="I51" s="1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59"/>
      <c r="W51" s="59"/>
      <c r="X51" s="53"/>
      <c r="Y51" s="53"/>
    </row>
    <row r="52" spans="1:25" ht="15.75" customHeight="1">
      <c r="A52" s="45"/>
      <c r="B52" s="45"/>
      <c r="C52" s="45"/>
      <c r="D52" s="53"/>
      <c r="E52" s="61"/>
      <c r="F52" s="62"/>
      <c r="G52" s="53"/>
      <c r="H52" s="53"/>
      <c r="I52" s="1"/>
      <c r="J52" s="53"/>
      <c r="K52" s="62"/>
      <c r="L52" s="62"/>
      <c r="M52" s="62"/>
      <c r="N52" s="62"/>
      <c r="O52" s="62"/>
      <c r="P52" s="62"/>
      <c r="Q52" s="62"/>
      <c r="R52" s="53"/>
      <c r="S52" s="62"/>
      <c r="T52" s="53"/>
      <c r="U52" s="53"/>
      <c r="V52" s="53"/>
      <c r="W52" s="53"/>
      <c r="X52" s="53"/>
      <c r="Y52" s="53"/>
    </row>
    <row r="53" spans="1:25" ht="15.75" customHeight="1">
      <c r="A53" s="148" t="s">
        <v>63</v>
      </c>
      <c r="B53" s="132"/>
      <c r="C53" s="132"/>
      <c r="D53" s="149" t="s">
        <v>64</v>
      </c>
      <c r="E53" s="132"/>
      <c r="F53" s="132"/>
      <c r="G53" s="132"/>
      <c r="H53" s="1"/>
      <c r="I53" s="1"/>
      <c r="J53" s="149" t="s">
        <v>65</v>
      </c>
      <c r="K53" s="132"/>
      <c r="L53" s="132"/>
      <c r="M53" s="132"/>
      <c r="N53" s="132"/>
      <c r="O53" s="132"/>
      <c r="P53" s="1"/>
      <c r="Q53" s="1"/>
      <c r="R53" s="149" t="s">
        <v>66</v>
      </c>
      <c r="S53" s="132"/>
      <c r="T53" s="132"/>
      <c r="U53" s="132"/>
      <c r="V53" s="1"/>
      <c r="W53" s="159"/>
      <c r="X53" s="132"/>
      <c r="Y53" s="132"/>
    </row>
    <row r="54" spans="1:25" ht="15" customHeight="1">
      <c r="A54" s="150" t="s">
        <v>67</v>
      </c>
      <c r="B54" s="132"/>
      <c r="C54" s="132"/>
      <c r="D54" s="151" t="s">
        <v>68</v>
      </c>
      <c r="E54" s="132"/>
      <c r="F54" s="132"/>
      <c r="G54" s="132"/>
      <c r="H54" s="63"/>
      <c r="I54" s="1"/>
      <c r="J54" s="160" t="s">
        <v>69</v>
      </c>
      <c r="K54" s="132"/>
      <c r="L54" s="132"/>
      <c r="M54" s="132"/>
      <c r="N54" s="132"/>
      <c r="O54" s="132"/>
      <c r="P54" s="1"/>
      <c r="Q54" s="1"/>
      <c r="R54" s="151" t="s">
        <v>70</v>
      </c>
      <c r="S54" s="132"/>
      <c r="T54" s="132"/>
      <c r="U54" s="132"/>
      <c r="V54" s="1"/>
      <c r="W54" s="1"/>
      <c r="X54" s="53"/>
      <c r="Y54" s="53"/>
    </row>
    <row r="55" spans="1:25" ht="15.75" customHeight="1">
      <c r="A55" s="1"/>
      <c r="B55" s="1"/>
      <c r="C55" s="1"/>
      <c r="D55" s="1"/>
      <c r="E55" s="6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130" t="s">
        <v>170</v>
      </c>
      <c r="B56" s="1"/>
      <c r="C56" s="1"/>
      <c r="D56" s="1" t="s">
        <v>71</v>
      </c>
      <c r="E56" s="6"/>
      <c r="F56" s="1"/>
      <c r="G56" s="1"/>
      <c r="H56" s="1"/>
      <c r="I56" s="1"/>
      <c r="J56" s="1" t="s">
        <v>71</v>
      </c>
      <c r="K56" s="1"/>
      <c r="L56" s="1"/>
      <c r="M56" s="1"/>
      <c r="N56" s="1"/>
      <c r="O56" s="1"/>
      <c r="P56" s="1"/>
      <c r="Q56" s="1"/>
      <c r="R56" s="1" t="s">
        <v>71</v>
      </c>
      <c r="S56" s="1"/>
      <c r="T56" s="1"/>
      <c r="U56" s="1"/>
      <c r="V56" s="1"/>
      <c r="W56" s="1"/>
      <c r="X56" s="1"/>
      <c r="Y56" s="1"/>
    </row>
    <row r="57" spans="1:25" ht="15.75" customHeight="1">
      <c r="E57" s="64"/>
      <c r="I57" s="161"/>
      <c r="J57" s="132"/>
      <c r="K57" s="132"/>
      <c r="L57" s="132"/>
      <c r="M57" s="132"/>
      <c r="N57" s="132"/>
      <c r="O57" s="132"/>
      <c r="P57" s="132"/>
      <c r="Q57" s="132"/>
      <c r="R57" s="132"/>
      <c r="S57" s="132"/>
      <c r="T57" s="132"/>
      <c r="U57" s="132"/>
    </row>
    <row r="58" spans="1:25" ht="15.75" customHeight="1">
      <c r="E58" s="64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</row>
    <row r="59" spans="1:25" ht="15.75" customHeight="1">
      <c r="E59" s="64"/>
      <c r="I59" s="66"/>
      <c r="J59" s="67"/>
      <c r="K59" s="68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</row>
    <row r="60" spans="1:25" ht="15.75" customHeight="1">
      <c r="E60" s="64"/>
      <c r="I60" s="16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</row>
    <row r="61" spans="1:25" ht="15.75" customHeight="1">
      <c r="E61" s="64"/>
      <c r="I61" s="163"/>
      <c r="J61" s="132"/>
      <c r="K61" s="132"/>
      <c r="L61" s="132"/>
      <c r="M61" s="132"/>
      <c r="N61" s="132"/>
      <c r="O61" s="132"/>
      <c r="P61" s="132"/>
      <c r="Q61" s="132"/>
      <c r="R61" s="132"/>
      <c r="S61" s="132"/>
      <c r="T61" s="132"/>
      <c r="U61" s="132"/>
    </row>
    <row r="62" spans="1:25" ht="15.75" customHeight="1">
      <c r="E62" s="64"/>
    </row>
    <row r="63" spans="1:25" ht="15.75" customHeight="1">
      <c r="E63" s="64"/>
    </row>
    <row r="64" spans="1:25" ht="15.75" customHeight="1">
      <c r="E64" s="64"/>
    </row>
    <row r="65" spans="5:5" ht="15.75" customHeight="1">
      <c r="E65" s="64"/>
    </row>
    <row r="66" spans="5:5" ht="15.75" customHeight="1">
      <c r="E66" s="64"/>
    </row>
    <row r="67" spans="5:5" ht="15.75" customHeight="1">
      <c r="E67" s="64"/>
    </row>
    <row r="68" spans="5:5" ht="15.75" customHeight="1">
      <c r="E68" s="64"/>
    </row>
    <row r="69" spans="5:5" ht="15.75" customHeight="1">
      <c r="E69" s="64"/>
    </row>
    <row r="70" spans="5:5" ht="15.75" customHeight="1">
      <c r="E70" s="64"/>
    </row>
    <row r="71" spans="5:5" ht="15.75" customHeight="1">
      <c r="E71" s="64"/>
    </row>
    <row r="72" spans="5:5" ht="15.75" customHeight="1">
      <c r="E72" s="64"/>
    </row>
    <row r="73" spans="5:5" ht="15.75" customHeight="1">
      <c r="E73" s="64"/>
    </row>
    <row r="74" spans="5:5" ht="15.75" customHeight="1">
      <c r="E74" s="64"/>
    </row>
    <row r="75" spans="5:5" ht="15.75" customHeight="1">
      <c r="E75" s="64"/>
    </row>
    <row r="76" spans="5:5" ht="15.75" customHeight="1">
      <c r="E76" s="64"/>
    </row>
    <row r="77" spans="5:5" ht="15.75" customHeight="1">
      <c r="E77" s="64"/>
    </row>
    <row r="78" spans="5:5" ht="15.75" customHeight="1">
      <c r="E78" s="64"/>
    </row>
    <row r="79" spans="5:5" ht="15.75" customHeight="1">
      <c r="E79" s="64"/>
    </row>
    <row r="80" spans="5:5" ht="15.75" customHeight="1">
      <c r="E80" s="64"/>
    </row>
    <row r="81" spans="5:5" ht="15.75" customHeight="1">
      <c r="E81" s="64"/>
    </row>
    <row r="82" spans="5:5" ht="15.75" customHeight="1">
      <c r="E82" s="64"/>
    </row>
    <row r="83" spans="5:5" ht="15.75" customHeight="1">
      <c r="E83" s="64"/>
    </row>
    <row r="84" spans="5:5" ht="15.75" customHeight="1">
      <c r="E84" s="64"/>
    </row>
    <row r="85" spans="5:5" ht="15.75" customHeight="1">
      <c r="E85" s="64"/>
    </row>
    <row r="86" spans="5:5" ht="15.75" customHeight="1">
      <c r="E86" s="64"/>
    </row>
    <row r="87" spans="5:5" ht="15.75" customHeight="1">
      <c r="E87" s="64"/>
    </row>
    <row r="88" spans="5:5" ht="15.75" customHeight="1">
      <c r="E88" s="64"/>
    </row>
    <row r="89" spans="5:5" ht="15.75" customHeight="1">
      <c r="E89" s="64"/>
    </row>
    <row r="90" spans="5:5" ht="15.75" customHeight="1">
      <c r="E90" s="64"/>
    </row>
    <row r="91" spans="5:5" ht="15.75" customHeight="1">
      <c r="E91" s="64"/>
    </row>
    <row r="92" spans="5:5" ht="15.75" customHeight="1">
      <c r="E92" s="64"/>
    </row>
    <row r="93" spans="5:5" ht="15.75" customHeight="1">
      <c r="E93" s="64"/>
    </row>
    <row r="94" spans="5:5" ht="15.75" customHeight="1">
      <c r="E94" s="64"/>
    </row>
    <row r="95" spans="5:5" ht="15.75" customHeight="1">
      <c r="E95" s="64"/>
    </row>
    <row r="96" spans="5:5" ht="15.75" customHeight="1">
      <c r="E96" s="64"/>
    </row>
    <row r="97" spans="5:5" ht="15.75" customHeight="1">
      <c r="E97" s="64"/>
    </row>
    <row r="98" spans="5:5" ht="15.75" customHeight="1">
      <c r="E98" s="64"/>
    </row>
    <row r="99" spans="5:5" ht="15.75" customHeight="1">
      <c r="E99" s="64"/>
    </row>
    <row r="100" spans="5:5" ht="15.75" customHeight="1">
      <c r="E100" s="64"/>
    </row>
    <row r="101" spans="5:5" ht="15.75" customHeight="1">
      <c r="E101" s="64"/>
    </row>
    <row r="102" spans="5:5" ht="15.75" customHeight="1">
      <c r="E102" s="64"/>
    </row>
    <row r="103" spans="5:5" ht="15.75" customHeight="1">
      <c r="E103" s="64"/>
    </row>
    <row r="104" spans="5:5" ht="15.75" customHeight="1">
      <c r="E104" s="64"/>
    </row>
    <row r="105" spans="5:5" ht="15.75" customHeight="1">
      <c r="E105" s="64"/>
    </row>
    <row r="106" spans="5:5" ht="15.75" customHeight="1">
      <c r="E106" s="64"/>
    </row>
    <row r="107" spans="5:5" ht="15.75" customHeight="1">
      <c r="E107" s="64"/>
    </row>
    <row r="108" spans="5:5" ht="15.75" customHeight="1">
      <c r="E108" s="64"/>
    </row>
    <row r="109" spans="5:5" ht="15.75" customHeight="1">
      <c r="E109" s="64"/>
    </row>
    <row r="110" spans="5:5" ht="15.75" customHeight="1">
      <c r="E110" s="64"/>
    </row>
    <row r="111" spans="5:5" ht="15.75" customHeight="1">
      <c r="E111" s="64"/>
    </row>
    <row r="112" spans="5:5" ht="15.75" customHeight="1">
      <c r="E112" s="64"/>
    </row>
    <row r="113" spans="5:5" ht="15.75" customHeight="1">
      <c r="E113" s="64"/>
    </row>
    <row r="114" spans="5:5" ht="15.75" customHeight="1">
      <c r="E114" s="64"/>
    </row>
    <row r="115" spans="5:5" ht="15.75" customHeight="1">
      <c r="E115" s="64"/>
    </row>
    <row r="116" spans="5:5" ht="15.75" customHeight="1">
      <c r="E116" s="64"/>
    </row>
    <row r="117" spans="5:5" ht="15.75" customHeight="1">
      <c r="E117" s="64"/>
    </row>
    <row r="118" spans="5:5" ht="15.75" customHeight="1">
      <c r="E118" s="64"/>
    </row>
    <row r="119" spans="5:5" ht="15.75" customHeight="1">
      <c r="E119" s="64"/>
    </row>
    <row r="120" spans="5:5" ht="15.75" customHeight="1">
      <c r="E120" s="64"/>
    </row>
    <row r="121" spans="5:5" ht="15.75" customHeight="1">
      <c r="E121" s="64"/>
    </row>
    <row r="122" spans="5:5" ht="15.75" customHeight="1">
      <c r="E122" s="64"/>
    </row>
    <row r="123" spans="5:5" ht="15.75" customHeight="1">
      <c r="E123" s="64"/>
    </row>
    <row r="124" spans="5:5" ht="15.75" customHeight="1">
      <c r="E124" s="64"/>
    </row>
    <row r="125" spans="5:5" ht="15.75" customHeight="1">
      <c r="E125" s="64"/>
    </row>
    <row r="126" spans="5:5" ht="15.75" customHeight="1">
      <c r="E126" s="64"/>
    </row>
    <row r="127" spans="5:5" ht="15.75" customHeight="1">
      <c r="E127" s="64"/>
    </row>
    <row r="128" spans="5:5" ht="15.75" customHeight="1">
      <c r="E128" s="64"/>
    </row>
    <row r="129" spans="5:5" ht="15.75" customHeight="1">
      <c r="E129" s="64"/>
    </row>
    <row r="130" spans="5:5" ht="15.75" customHeight="1">
      <c r="E130" s="64"/>
    </row>
    <row r="131" spans="5:5" ht="15.75" customHeight="1">
      <c r="E131" s="64"/>
    </row>
    <row r="132" spans="5:5" ht="15.75" customHeight="1">
      <c r="E132" s="64"/>
    </row>
    <row r="133" spans="5:5" ht="15.75" customHeight="1">
      <c r="E133" s="64"/>
    </row>
    <row r="134" spans="5:5" ht="15.75" customHeight="1">
      <c r="E134" s="64"/>
    </row>
    <row r="135" spans="5:5" ht="15.75" customHeight="1">
      <c r="E135" s="64"/>
    </row>
    <row r="136" spans="5:5" ht="15.75" customHeight="1">
      <c r="E136" s="64"/>
    </row>
    <row r="137" spans="5:5" ht="15.75" customHeight="1">
      <c r="E137" s="64"/>
    </row>
    <row r="138" spans="5:5" ht="15.75" customHeight="1">
      <c r="E138" s="64"/>
    </row>
    <row r="139" spans="5:5" ht="15.75" customHeight="1">
      <c r="E139" s="64"/>
    </row>
    <row r="140" spans="5:5" ht="15.75" customHeight="1">
      <c r="E140" s="64"/>
    </row>
    <row r="141" spans="5:5" ht="15.75" customHeight="1">
      <c r="E141" s="64"/>
    </row>
    <row r="142" spans="5:5" ht="15.75" customHeight="1">
      <c r="E142" s="64"/>
    </row>
    <row r="143" spans="5:5" ht="15.75" customHeight="1">
      <c r="E143" s="64"/>
    </row>
    <row r="144" spans="5:5" ht="15.75" customHeight="1">
      <c r="E144" s="64"/>
    </row>
    <row r="145" spans="5:5" ht="15.75" customHeight="1">
      <c r="E145" s="64"/>
    </row>
    <row r="146" spans="5:5" ht="15.75" customHeight="1">
      <c r="E146" s="64"/>
    </row>
    <row r="147" spans="5:5" ht="15.75" customHeight="1">
      <c r="E147" s="64"/>
    </row>
    <row r="148" spans="5:5" ht="15.75" customHeight="1">
      <c r="E148" s="64"/>
    </row>
    <row r="149" spans="5:5" ht="15.75" customHeight="1">
      <c r="E149" s="64"/>
    </row>
    <row r="150" spans="5:5" ht="15.75" customHeight="1">
      <c r="E150" s="64"/>
    </row>
    <row r="151" spans="5:5" ht="15.75" customHeight="1">
      <c r="E151" s="64"/>
    </row>
    <row r="152" spans="5:5" ht="15.75" customHeight="1">
      <c r="E152" s="64"/>
    </row>
    <row r="153" spans="5:5" ht="15.75" customHeight="1">
      <c r="E153" s="64"/>
    </row>
    <row r="154" spans="5:5" ht="15.75" customHeight="1">
      <c r="E154" s="64"/>
    </row>
    <row r="155" spans="5:5" ht="15.75" customHeight="1">
      <c r="E155" s="64"/>
    </row>
    <row r="156" spans="5:5" ht="15.75" customHeight="1">
      <c r="E156" s="64"/>
    </row>
    <row r="157" spans="5:5" ht="15.75" customHeight="1">
      <c r="E157" s="64"/>
    </row>
    <row r="158" spans="5:5" ht="15.75" customHeight="1">
      <c r="E158" s="64"/>
    </row>
    <row r="159" spans="5:5" ht="15.75" customHeight="1">
      <c r="E159" s="64"/>
    </row>
    <row r="160" spans="5:5" ht="15.75" customHeight="1">
      <c r="E160" s="64"/>
    </row>
    <row r="161" spans="5:5" ht="15.75" customHeight="1">
      <c r="E161" s="64"/>
    </row>
    <row r="162" spans="5:5" ht="15.75" customHeight="1">
      <c r="E162" s="64"/>
    </row>
    <row r="163" spans="5:5" ht="15.75" customHeight="1">
      <c r="E163" s="64"/>
    </row>
    <row r="164" spans="5:5" ht="15.75" customHeight="1">
      <c r="E164" s="64"/>
    </row>
    <row r="165" spans="5:5" ht="15.75" customHeight="1">
      <c r="E165" s="64"/>
    </row>
    <row r="166" spans="5:5" ht="15.75" customHeight="1">
      <c r="E166" s="64"/>
    </row>
    <row r="167" spans="5:5" ht="15.75" customHeight="1">
      <c r="E167" s="64"/>
    </row>
    <row r="168" spans="5:5" ht="15.75" customHeight="1">
      <c r="E168" s="64"/>
    </row>
    <row r="169" spans="5:5" ht="15.75" customHeight="1">
      <c r="E169" s="64"/>
    </row>
    <row r="170" spans="5:5" ht="15.75" customHeight="1">
      <c r="E170" s="64"/>
    </row>
    <row r="171" spans="5:5" ht="15.75" customHeight="1">
      <c r="E171" s="64"/>
    </row>
    <row r="172" spans="5:5" ht="15.75" customHeight="1">
      <c r="E172" s="64"/>
    </row>
    <row r="173" spans="5:5" ht="15.75" customHeight="1">
      <c r="E173" s="64"/>
    </row>
    <row r="174" spans="5:5" ht="15.75" customHeight="1">
      <c r="E174" s="64"/>
    </row>
    <row r="175" spans="5:5" ht="15.75" customHeight="1">
      <c r="E175" s="64"/>
    </row>
    <row r="176" spans="5:5" ht="15.75" customHeight="1">
      <c r="E176" s="64"/>
    </row>
    <row r="177" spans="5:5" ht="15.75" customHeight="1">
      <c r="E177" s="64"/>
    </row>
    <row r="178" spans="5:5" ht="15.75" customHeight="1">
      <c r="E178" s="64"/>
    </row>
    <row r="179" spans="5:5" ht="15.75" customHeight="1">
      <c r="E179" s="64"/>
    </row>
    <row r="180" spans="5:5" ht="15.75" customHeight="1">
      <c r="E180" s="64"/>
    </row>
    <row r="181" spans="5:5" ht="15.75" customHeight="1">
      <c r="E181" s="64"/>
    </row>
    <row r="182" spans="5:5" ht="15.75" customHeight="1">
      <c r="E182" s="64"/>
    </row>
    <row r="183" spans="5:5" ht="15.75" customHeight="1">
      <c r="E183" s="64"/>
    </row>
    <row r="184" spans="5:5" ht="15.75" customHeight="1">
      <c r="E184" s="64"/>
    </row>
    <row r="185" spans="5:5" ht="15.75" customHeight="1">
      <c r="E185" s="64"/>
    </row>
    <row r="186" spans="5:5" ht="15.75" customHeight="1">
      <c r="E186" s="64"/>
    </row>
    <row r="187" spans="5:5" ht="15.75" customHeight="1">
      <c r="E187" s="64"/>
    </row>
    <row r="188" spans="5:5" ht="15.75" customHeight="1">
      <c r="E188" s="64"/>
    </row>
    <row r="189" spans="5:5" ht="15.75" customHeight="1">
      <c r="E189" s="64"/>
    </row>
    <row r="190" spans="5:5" ht="15.75" customHeight="1">
      <c r="E190" s="64"/>
    </row>
    <row r="191" spans="5:5" ht="15.75" customHeight="1">
      <c r="E191" s="64"/>
    </row>
    <row r="192" spans="5:5" ht="15.75" customHeight="1">
      <c r="E192" s="64"/>
    </row>
    <row r="193" spans="5:5" ht="15.75" customHeight="1">
      <c r="E193" s="64"/>
    </row>
    <row r="194" spans="5:5" ht="15.75" customHeight="1">
      <c r="E194" s="64"/>
    </row>
    <row r="195" spans="5:5" ht="15.75" customHeight="1">
      <c r="E195" s="64"/>
    </row>
    <row r="196" spans="5:5" ht="15.75" customHeight="1">
      <c r="E196" s="64"/>
    </row>
    <row r="197" spans="5:5" ht="15.75" customHeight="1">
      <c r="E197" s="64"/>
    </row>
    <row r="198" spans="5:5" ht="15.75" customHeight="1">
      <c r="E198" s="64"/>
    </row>
    <row r="199" spans="5:5" ht="15.75" customHeight="1">
      <c r="E199" s="64"/>
    </row>
    <row r="200" spans="5:5" ht="15.75" customHeight="1">
      <c r="E200" s="64"/>
    </row>
    <row r="201" spans="5:5" ht="15.75" customHeight="1">
      <c r="E201" s="64"/>
    </row>
    <row r="202" spans="5:5" ht="15.75" customHeight="1">
      <c r="E202" s="64"/>
    </row>
    <row r="203" spans="5:5" ht="15.75" customHeight="1">
      <c r="E203" s="64"/>
    </row>
    <row r="204" spans="5:5" ht="15.75" customHeight="1">
      <c r="E204" s="64"/>
    </row>
    <row r="205" spans="5:5" ht="15.75" customHeight="1">
      <c r="E205" s="64"/>
    </row>
    <row r="206" spans="5:5" ht="15.75" customHeight="1">
      <c r="E206" s="64"/>
    </row>
    <row r="207" spans="5:5" ht="15.75" customHeight="1">
      <c r="E207" s="64"/>
    </row>
    <row r="208" spans="5:5" ht="15.75" customHeight="1">
      <c r="E208" s="64"/>
    </row>
    <row r="209" spans="5:5" ht="15.75" customHeight="1">
      <c r="E209" s="64"/>
    </row>
    <row r="210" spans="5:5" ht="15.75" customHeight="1">
      <c r="E210" s="64"/>
    </row>
    <row r="211" spans="5:5" ht="15.75" customHeight="1">
      <c r="E211" s="64"/>
    </row>
    <row r="212" spans="5:5" ht="15.75" customHeight="1">
      <c r="E212" s="64"/>
    </row>
    <row r="213" spans="5:5" ht="15.75" customHeight="1">
      <c r="E213" s="64"/>
    </row>
    <row r="214" spans="5:5" ht="15.75" customHeight="1">
      <c r="E214" s="64"/>
    </row>
    <row r="215" spans="5:5" ht="15.75" customHeight="1">
      <c r="E215" s="64"/>
    </row>
    <row r="216" spans="5:5" ht="15.75" customHeight="1">
      <c r="E216" s="64"/>
    </row>
    <row r="217" spans="5:5" ht="15.75" customHeight="1">
      <c r="E217" s="64"/>
    </row>
    <row r="218" spans="5:5" ht="15.75" customHeight="1">
      <c r="E218" s="64"/>
    </row>
    <row r="219" spans="5:5" ht="15.75" customHeight="1">
      <c r="E219" s="64"/>
    </row>
    <row r="220" spans="5:5" ht="15.75" customHeight="1">
      <c r="E220" s="64"/>
    </row>
    <row r="221" spans="5:5" ht="15.75" customHeight="1">
      <c r="E221" s="64"/>
    </row>
    <row r="222" spans="5:5" ht="15.75" customHeight="1">
      <c r="E222" s="64"/>
    </row>
    <row r="223" spans="5:5" ht="15.75" customHeight="1">
      <c r="E223" s="64"/>
    </row>
    <row r="224" spans="5:5" ht="15.75" customHeight="1">
      <c r="E224" s="64"/>
    </row>
    <row r="225" spans="5:5" ht="15.75" customHeight="1">
      <c r="E225" s="64"/>
    </row>
    <row r="226" spans="5:5" ht="15.75" customHeight="1">
      <c r="E226" s="64"/>
    </row>
    <row r="227" spans="5:5" ht="15.75" customHeight="1">
      <c r="E227" s="64"/>
    </row>
    <row r="228" spans="5:5" ht="15.75" customHeight="1">
      <c r="E228" s="64"/>
    </row>
    <row r="229" spans="5:5" ht="15.75" customHeight="1">
      <c r="E229" s="64"/>
    </row>
    <row r="230" spans="5:5" ht="15.75" customHeight="1">
      <c r="E230" s="64"/>
    </row>
    <row r="231" spans="5:5" ht="15.75" customHeight="1">
      <c r="E231" s="64"/>
    </row>
    <row r="232" spans="5:5" ht="15.75" customHeight="1">
      <c r="E232" s="64"/>
    </row>
    <row r="233" spans="5:5" ht="15.75" customHeight="1">
      <c r="E233" s="64"/>
    </row>
    <row r="234" spans="5:5" ht="15.75" customHeight="1">
      <c r="E234" s="64"/>
    </row>
    <row r="235" spans="5:5" ht="15.75" customHeight="1">
      <c r="E235" s="64"/>
    </row>
    <row r="236" spans="5:5" ht="15.75" customHeight="1">
      <c r="E236" s="64"/>
    </row>
    <row r="237" spans="5:5" ht="15.75" customHeight="1">
      <c r="E237" s="64"/>
    </row>
    <row r="238" spans="5:5" ht="15.75" customHeight="1">
      <c r="E238" s="64"/>
    </row>
    <row r="239" spans="5:5" ht="15.75" customHeight="1">
      <c r="E239" s="64"/>
    </row>
    <row r="240" spans="5:5" ht="15.75" customHeight="1">
      <c r="E240" s="64"/>
    </row>
    <row r="241" spans="5:5" ht="15.75" customHeight="1">
      <c r="E241" s="64"/>
    </row>
    <row r="242" spans="5:5" ht="15.75" customHeight="1">
      <c r="E242" s="64"/>
    </row>
    <row r="243" spans="5:5" ht="15.75" customHeight="1">
      <c r="E243" s="64"/>
    </row>
    <row r="244" spans="5:5" ht="15.75" customHeight="1">
      <c r="E244" s="64"/>
    </row>
    <row r="245" spans="5:5" ht="15.75" customHeight="1">
      <c r="E245" s="64"/>
    </row>
    <row r="246" spans="5:5" ht="15.75" customHeight="1">
      <c r="E246" s="64"/>
    </row>
    <row r="247" spans="5:5" ht="15.75" customHeight="1">
      <c r="E247" s="64"/>
    </row>
    <row r="248" spans="5:5" ht="15.75" customHeight="1">
      <c r="E248" s="64"/>
    </row>
    <row r="249" spans="5:5" ht="15.75" customHeight="1">
      <c r="E249" s="64"/>
    </row>
    <row r="250" spans="5:5" ht="15.75" customHeight="1">
      <c r="E250" s="64"/>
    </row>
    <row r="251" spans="5:5" ht="15.75" customHeight="1">
      <c r="E251" s="64"/>
    </row>
    <row r="252" spans="5:5" ht="15.75" customHeight="1">
      <c r="E252" s="64"/>
    </row>
    <row r="253" spans="5:5" ht="15.75" customHeight="1">
      <c r="E253" s="64"/>
    </row>
    <row r="254" spans="5:5" ht="15.75" customHeight="1">
      <c r="E254" s="64"/>
    </row>
    <row r="255" spans="5:5" ht="15.75" customHeight="1">
      <c r="E255" s="64"/>
    </row>
    <row r="256" spans="5:5" ht="15.75" customHeight="1">
      <c r="E256" s="64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37">
    <mergeCell ref="E8:E9"/>
    <mergeCell ref="W50:X50"/>
    <mergeCell ref="A1:W1"/>
    <mergeCell ref="A2:W2"/>
    <mergeCell ref="A3:W3"/>
    <mergeCell ref="A8:A9"/>
    <mergeCell ref="B8:B9"/>
    <mergeCell ref="H8:H9"/>
    <mergeCell ref="F8:F9"/>
    <mergeCell ref="G8:G9"/>
    <mergeCell ref="I8:AN8"/>
    <mergeCell ref="C41:J41"/>
    <mergeCell ref="D43:F43"/>
    <mergeCell ref="D44:F44"/>
    <mergeCell ref="I44:J44"/>
    <mergeCell ref="D45:F45"/>
    <mergeCell ref="C8:C9"/>
    <mergeCell ref="I57:U57"/>
    <mergeCell ref="I60:U60"/>
    <mergeCell ref="I61:U61"/>
    <mergeCell ref="K44:U44"/>
    <mergeCell ref="K45:U45"/>
    <mergeCell ref="K46:U46"/>
    <mergeCell ref="K47:U47"/>
    <mergeCell ref="J50:O50"/>
    <mergeCell ref="R50:U50"/>
    <mergeCell ref="J53:O53"/>
    <mergeCell ref="R53:U53"/>
    <mergeCell ref="W53:Y53"/>
    <mergeCell ref="J54:O54"/>
    <mergeCell ref="R54:U54"/>
    <mergeCell ref="D46:F46"/>
    <mergeCell ref="D50:F50"/>
    <mergeCell ref="D53:G53"/>
    <mergeCell ref="D54:G54"/>
    <mergeCell ref="A53:C53"/>
    <mergeCell ref="A54:C54"/>
  </mergeCells>
  <pageMargins left="0.7" right="0.7" top="0.75" bottom="0.75" header="0" footer="0"/>
  <pageSetup paperSize="14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Q1</vt:lpstr>
      <vt:lpstr>Q2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ptridost47@gmail.com</dc:creator>
  <cp:lastModifiedBy>ptri</cp:lastModifiedBy>
  <dcterms:created xsi:type="dcterms:W3CDTF">2024-01-03T07:55:13Z</dcterms:created>
  <dcterms:modified xsi:type="dcterms:W3CDTF">2024-05-23T02:31:47Z</dcterms:modified>
</cp:coreProperties>
</file>