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ptri\Desktop\"/>
    </mc:Choice>
  </mc:AlternateContent>
  <xr:revisionPtr revIDLastSave="0" documentId="13_ncr:1_{179701D6-95EF-4148-BAFB-ACD8D1EF1E21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RYPIC Q2" sheetId="1" r:id="rId1"/>
    <sheet name="RYPIC Q2 as of 04-30-24" sheetId="2" r:id="rId2"/>
  </sheets>
  <definedNames>
    <definedName name="_xlnm.Print_Area" localSheetId="0">'RYPIC Q2'!$A$1:$AJ$43</definedName>
    <definedName name="_xlnm.Print_Area" localSheetId="1">'RYPIC Q2 as of 04-30-24'!$A$1:$AJ$42</definedName>
  </definedNames>
  <calcPr calcId="191029"/>
  <extLst>
    <ext uri="GoogleSheetsCustomDataVersion2">
      <go:sheetsCustomData xmlns:go="http://customooxmlschemas.google.com/" r:id="rId5" roundtripDataChecksum="Xq1NQ4kk9sID13q6fWseuMNAh5ISeNKVAj8ApEqZtI8="/>
    </ext>
  </extLst>
</workbook>
</file>

<file path=xl/calcChain.xml><?xml version="1.0" encoding="utf-8"?>
<calcChain xmlns="http://schemas.openxmlformats.org/spreadsheetml/2006/main">
  <c r="F26" i="2" l="1"/>
  <c r="D31" i="2"/>
  <c r="D30" i="2"/>
  <c r="D32" i="2" s="1"/>
  <c r="F22" i="2"/>
  <c r="F14" i="2"/>
  <c r="F13" i="2"/>
  <c r="F12" i="2"/>
  <c r="F23" i="1"/>
  <c r="F14" i="1"/>
  <c r="F13" i="1"/>
  <c r="F12" i="1"/>
  <c r="F28" i="2" l="1"/>
  <c r="D32" i="1"/>
  <c r="D31" i="1"/>
  <c r="D33" i="1" l="1"/>
  <c r="F29" i="1"/>
</calcChain>
</file>

<file path=xl/sharedStrings.xml><?xml version="1.0" encoding="utf-8"?>
<sst xmlns="http://schemas.openxmlformats.org/spreadsheetml/2006/main" count="256" uniqueCount="120">
  <si>
    <t xml:space="preserve">  PROJECT PROCUREMENT MANAGEMENT PLAN (PPMP) 2024</t>
  </si>
  <si>
    <t>END-USER/UNIT: TSD-MPU</t>
  </si>
  <si>
    <t>Charged to: Establishment of Regional Yarn Production and Innovation Center - Northern Luzon</t>
  </si>
  <si>
    <t>Projects, Programs and Activities (PAPs)</t>
  </si>
  <si>
    <t>UACS CODE</t>
  </si>
  <si>
    <t>Stock No.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</si>
  <si>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</si>
  <si>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</si>
  <si>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</si>
  <si>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</si>
  <si>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</si>
  <si>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</si>
  <si>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</si>
  <si>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</si>
  <si>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PR No. and Date</t>
  </si>
  <si>
    <t>RFQ No. and Date</t>
  </si>
  <si>
    <t>PhilGEPS Reference No. and Date</t>
  </si>
  <si>
    <t>PhilGEPS Closing Date</t>
  </si>
  <si>
    <t>AOC No. and Date</t>
  </si>
  <si>
    <t>PO No. and Date</t>
  </si>
  <si>
    <t>Name of Payee</t>
  </si>
  <si>
    <t>BURS/ORS Amount</t>
  </si>
  <si>
    <t>Budget Utilization Rate</t>
  </si>
  <si>
    <t>Conforme of PO Date</t>
  </si>
  <si>
    <t>COA Received of PO Date</t>
  </si>
  <si>
    <t>NTP Date</t>
  </si>
  <si>
    <t>Contract Effectivity Date</t>
  </si>
  <si>
    <t>End of Contract</t>
  </si>
  <si>
    <t>Extended End of Contract</t>
  </si>
  <si>
    <t>Delivery Date</t>
  </si>
  <si>
    <t>IAR No. and Date</t>
  </si>
  <si>
    <t>ICS/PAR No. and Date</t>
  </si>
  <si>
    <t>RIS No. and Date</t>
  </si>
  <si>
    <t>RSMI No. and Date</t>
  </si>
  <si>
    <t>DV Release Date</t>
  </si>
  <si>
    <t>DV Amount</t>
  </si>
  <si>
    <t>Disbursement Rate</t>
  </si>
  <si>
    <t>REMARKS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</si>
  <si>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</si>
  <si>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</si>
  <si>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</si>
  <si>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</si>
  <si>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</si>
  <si>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</si>
  <si>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</si>
  <si>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</si>
  <si>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</si>
  <si>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</si>
  <si>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</si>
  <si>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</si>
  <si>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</si>
  <si>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</si>
  <si>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</si>
  <si>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</si>
  <si>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</si>
  <si>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</si>
  <si>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</si>
  <si>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</si>
  <si>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</si>
  <si>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</si>
  <si>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</si>
  <si>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</si>
  <si>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</si>
  <si>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</si>
  <si>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</si>
  <si>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</si>
  <si>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</si>
  <si>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</si>
  <si>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</si>
  <si>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</si>
  <si>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</si>
  <si>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</si>
  <si>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</si>
  <si>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50203010 02</t>
  </si>
  <si>
    <t>Office Supplies Expenses</t>
  </si>
  <si>
    <t>1 Lot</t>
  </si>
  <si>
    <t>Shopping</t>
  </si>
  <si>
    <t>OS-011</t>
  </si>
  <si>
    <t>Negotiated Procurement-Small Value Procurement</t>
  </si>
  <si>
    <t>OS-014</t>
  </si>
  <si>
    <t>OS-012</t>
  </si>
  <si>
    <t>OS-013</t>
  </si>
  <si>
    <t>50203080 00</t>
  </si>
  <si>
    <t>Medical, Dental,  and Laboratory Supplies Expenses</t>
  </si>
  <si>
    <t>TOTAL APPROVED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</si>
  <si>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</si>
  <si>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</si>
  <si>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</si>
  <si>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</si>
  <si>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</si>
  <si>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</si>
  <si>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Certified Funds Available:</t>
  </si>
  <si>
    <t>Approved by:</t>
  </si>
  <si>
    <t xml:space="preserve">ENGR. DANIEL LEON J. LAVIN  </t>
  </si>
  <si>
    <t>MARILOU G. AGUSTIN</t>
  </si>
  <si>
    <t>MERLITA R. ODI</t>
  </si>
  <si>
    <t>JULIUS L. LEAÑO JR., Ph.D.</t>
  </si>
  <si>
    <t>Project Leader</t>
  </si>
  <si>
    <t>Head, FAD-PPGSS</t>
  </si>
  <si>
    <t>Head, FAD-BTS</t>
  </si>
  <si>
    <t>Director IV</t>
  </si>
  <si>
    <t>Date: _____________</t>
  </si>
  <si>
    <t>1 lot</t>
  </si>
  <si>
    <t>4-Layer Lateral Filing Cabinet</t>
  </si>
  <si>
    <t>30 working days</t>
  </si>
  <si>
    <t>Apr</t>
  </si>
  <si>
    <t>May</t>
  </si>
  <si>
    <t>Jun</t>
  </si>
  <si>
    <t>Electric Stand Fan</t>
  </si>
  <si>
    <t>High-Back Mesh Office Chair</t>
  </si>
  <si>
    <r>
      <t xml:space="preserve">Date: </t>
    </r>
    <r>
      <rPr>
        <u/>
        <sz val="12"/>
        <color theme="1"/>
        <rFont val="Arial"/>
        <family val="2"/>
      </rPr>
      <t xml:space="preserve">  03 April 2024</t>
    </r>
    <r>
      <rPr>
        <sz val="12"/>
        <color theme="1"/>
        <rFont val="Arial"/>
        <family val="2"/>
      </rPr>
      <t xml:space="preserve">   </t>
    </r>
  </si>
  <si>
    <t>Synthetic Rotary Air Compressor Oil</t>
  </si>
  <si>
    <t>2 pcs.  HP 206A Magenta Original Laser Jet Toner Cartridge</t>
  </si>
  <si>
    <t>2 pcs.  HP 206A Yellow Original Laser Jet Toner Cartridge</t>
  </si>
  <si>
    <t>2 pcs.  HP 206A Cyan Original Laser Jet Toner Cartridge</t>
  </si>
  <si>
    <t>For 2nd Quarter of CY 2024</t>
  </si>
  <si>
    <t>Representation Expenses</t>
  </si>
  <si>
    <t>2 pcs.  HP 206A Black Original Laser Jet Toner Cartridge</t>
  </si>
  <si>
    <t>Meals</t>
  </si>
  <si>
    <r>
      <t xml:space="preserve">Date: </t>
    </r>
    <r>
      <rPr>
        <u/>
        <sz val="12"/>
        <color theme="1"/>
        <rFont val="Arial"/>
        <family val="2"/>
      </rPr>
      <t xml:space="preserve">  30 April 2024</t>
    </r>
    <r>
      <rPr>
        <sz val="12"/>
        <color theme="1"/>
        <rFont val="Arial"/>
        <family val="2"/>
      </rPr>
      <t xml:space="preserve">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</si>
</sst>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₱]#,##0.00"/>
  </numFmts>
  <fonts count="23" x14ac:knownFonts="1">
    <font>
      <sz val="11"/>
      <color theme="1"/>
      <name val="Arial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i/>
      <sz val="12"/>
      <color theme="1"/>
      <name val="Arial"/>
      <family val="2"/>
    </font>
    <font>
      <i/>
      <sz val="12"/>
      <color theme="1"/>
      <name val="Arial"/>
      <family val="2"/>
    </font>
    <font>
      <b/>
      <sz val="9"/>
      <color theme="1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  <scheme val="minor"/>
    </font>
    <font>
      <b/>
      <u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u/>
      <sz val="9"/>
      <color theme="1"/>
      <name val="Arial"/>
      <family val="2"/>
    </font>
    <font>
      <b/>
      <sz val="8"/>
      <color theme="1"/>
      <name val="Arial"/>
      <family val="2"/>
    </font>
    <font>
      <u/>
      <sz val="8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b/>
      <u/>
      <sz val="12"/>
      <color theme="1"/>
      <name val="Arial"/>
      <family val="2"/>
    </font>
    <font>
      <sz val="11"/>
      <color theme="1"/>
      <name val="Calibri"/>
      <family val="2"/>
    </font>
    <font>
      <u/>
      <sz val="12"/>
      <color theme="1"/>
      <name val="Arial"/>
      <family val="2"/>
    </font>
    <font>
      <sz val="9"/>
      <name val="Arial"/>
      <family val="2"/>
    </font>
    <font>
      <sz val="9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E7E6E6"/>
        <bgColor rgb="FFE7E6E6"/>
      </patternFill>
    </fill>
    <fill>
      <patternFill patternType="solid">
        <fgColor theme="0"/>
        <bgColor rgb="FFE7E6E6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" fontId="2" fillId="0" borderId="0" xfId="0" applyNumberFormat="1" applyFont="1" applyAlignment="1">
      <alignment horizontal="right" vertical="center"/>
    </xf>
    <xf numFmtId="0" fontId="5" fillId="0" borderId="0" xfId="0" applyFont="1" applyAlignment="1">
      <alignment vertical="center"/>
    </xf>
    <xf numFmtId="4" fontId="2" fillId="0" borderId="0" xfId="0" applyNumberFormat="1" applyFont="1" applyAlignment="1">
      <alignment horizontal="right"/>
    </xf>
    <xf numFmtId="43" fontId="2" fillId="0" borderId="0" xfId="0" applyNumberFormat="1" applyFont="1"/>
    <xf numFmtId="0" fontId="2" fillId="0" borderId="0" xfId="0" applyFont="1" applyAlignment="1">
      <alignment horizontal="center" wrapText="1"/>
    </xf>
    <xf numFmtId="0" fontId="6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8" fillId="0" borderId="9" xfId="0" applyFont="1" applyBorder="1" applyAlignment="1">
      <alignment vertical="center"/>
    </xf>
    <xf numFmtId="0" fontId="6" fillId="0" borderId="10" xfId="0" quotePrefix="1" applyFont="1" applyBorder="1" applyAlignment="1">
      <alignment horizontal="center" vertical="center" wrapText="1"/>
    </xf>
    <xf numFmtId="0" fontId="6" fillId="0" borderId="8" xfId="0" quotePrefix="1" applyFont="1" applyBorder="1" applyAlignment="1">
      <alignment horizontal="center" vertical="center" wrapText="1"/>
    </xf>
    <xf numFmtId="4" fontId="6" fillId="0" borderId="8" xfId="0" quotePrefix="1" applyNumberFormat="1" applyFont="1" applyBorder="1" applyAlignment="1">
      <alignment horizontal="center" vertical="center" wrapText="1"/>
    </xf>
    <xf numFmtId="43" fontId="6" fillId="0" borderId="8" xfId="0" quotePrefix="1" applyNumberFormat="1" applyFont="1" applyBorder="1" applyAlignment="1">
      <alignment horizontal="center" vertical="center" wrapText="1"/>
    </xf>
    <xf numFmtId="0" fontId="6" fillId="0" borderId="7" xfId="0" quotePrefix="1" applyFont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left" vertical="center" wrapText="1"/>
    </xf>
    <xf numFmtId="0" fontId="6" fillId="2" borderId="13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center" vertical="center" wrapText="1"/>
    </xf>
    <xf numFmtId="4" fontId="6" fillId="2" borderId="14" xfId="0" applyNumberFormat="1" applyFont="1" applyFill="1" applyBorder="1" applyAlignment="1">
      <alignment horizontal="right" vertical="center" wrapText="1"/>
    </xf>
    <xf numFmtId="43" fontId="6" fillId="2" borderId="14" xfId="0" applyNumberFormat="1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8" fillId="0" borderId="0" xfId="0" applyFont="1"/>
    <xf numFmtId="0" fontId="6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3" fontId="8" fillId="0" borderId="17" xfId="0" applyNumberFormat="1" applyFont="1" applyBorder="1" applyAlignment="1">
      <alignment horizontal="center" vertical="center"/>
    </xf>
    <xf numFmtId="0" fontId="8" fillId="0" borderId="17" xfId="0" applyFont="1" applyBorder="1"/>
    <xf numFmtId="4" fontId="8" fillId="0" borderId="18" xfId="0" applyNumberFormat="1" applyFont="1" applyBorder="1" applyAlignment="1">
      <alignment horizontal="right" vertical="center" wrapText="1"/>
    </xf>
    <xf numFmtId="0" fontId="8" fillId="0" borderId="17" xfId="0" applyFont="1" applyBorder="1" applyAlignment="1">
      <alignment horizontal="center" vertical="center"/>
    </xf>
    <xf numFmtId="49" fontId="8" fillId="0" borderId="17" xfId="0" applyNumberFormat="1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43" fontId="8" fillId="0" borderId="18" xfId="0" applyNumberFormat="1" applyFont="1" applyBorder="1" applyAlignment="1">
      <alignment horizontal="center" vertical="center" wrapText="1"/>
    </xf>
    <xf numFmtId="0" fontId="8" fillId="0" borderId="17" xfId="0" applyFont="1" applyBorder="1" applyAlignment="1">
      <alignment vertical="center"/>
    </xf>
    <xf numFmtId="49" fontId="8" fillId="0" borderId="22" xfId="0" applyNumberFormat="1" applyFont="1" applyBorder="1" applyAlignment="1">
      <alignment vertical="center" wrapText="1"/>
    </xf>
    <xf numFmtId="49" fontId="8" fillId="0" borderId="17" xfId="0" applyNumberFormat="1" applyFont="1" applyBorder="1" applyAlignment="1">
      <alignment horizontal="center"/>
    </xf>
    <xf numFmtId="49" fontId="8" fillId="0" borderId="22" xfId="0" applyNumberFormat="1" applyFont="1" applyBorder="1" applyAlignment="1">
      <alignment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left" vertical="center" wrapText="1"/>
    </xf>
    <xf numFmtId="0" fontId="8" fillId="3" borderId="24" xfId="0" applyFont="1" applyFill="1" applyBorder="1" applyAlignment="1">
      <alignment horizontal="center" vertical="center" wrapText="1"/>
    </xf>
    <xf numFmtId="4" fontId="8" fillId="3" borderId="25" xfId="0" applyNumberFormat="1" applyFont="1" applyFill="1" applyBorder="1" applyAlignment="1">
      <alignment horizontal="right" vertical="center" wrapText="1"/>
    </xf>
    <xf numFmtId="43" fontId="8" fillId="3" borderId="25" xfId="0" applyNumberFormat="1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vertical="center"/>
    </xf>
    <xf numFmtId="3" fontId="8" fillId="3" borderId="17" xfId="0" applyNumberFormat="1" applyFont="1" applyFill="1" applyBorder="1" applyAlignment="1">
      <alignment horizontal="center" vertical="center"/>
    </xf>
    <xf numFmtId="0" fontId="8" fillId="3" borderId="17" xfId="0" applyFont="1" applyFill="1" applyBorder="1"/>
    <xf numFmtId="0" fontId="8" fillId="3" borderId="25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64" fontId="12" fillId="0" borderId="27" xfId="0" applyNumberFormat="1" applyFont="1" applyBorder="1"/>
    <xf numFmtId="0" fontId="13" fillId="0" borderId="0" xfId="0" applyFont="1" applyAlignment="1">
      <alignment vertical="center"/>
    </xf>
    <xf numFmtId="0" fontId="6" fillId="0" borderId="22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8" fillId="0" borderId="0" xfId="0" applyFont="1" applyAlignment="1">
      <alignment horizontal="left"/>
    </xf>
    <xf numFmtId="0" fontId="6" fillId="0" borderId="17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11" fillId="0" borderId="0" xfId="0" applyFont="1"/>
    <xf numFmtId="43" fontId="11" fillId="0" borderId="0" xfId="0" applyNumberFormat="1" applyFont="1" applyAlignment="1">
      <alignment horizont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4" fontId="2" fillId="0" borderId="0" xfId="0" applyNumberFormat="1" applyFont="1"/>
    <xf numFmtId="0" fontId="1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/>
    <xf numFmtId="0" fontId="16" fillId="0" borderId="0" xfId="0" applyFont="1"/>
    <xf numFmtId="4" fontId="19" fillId="0" borderId="0" xfId="0" applyNumberFormat="1" applyFont="1" applyAlignment="1">
      <alignment horizontal="right"/>
    </xf>
    <xf numFmtId="0" fontId="6" fillId="0" borderId="23" xfId="0" applyFont="1" applyBorder="1" applyAlignment="1">
      <alignment horizontal="center" vertical="center" wrapText="1"/>
    </xf>
    <xf numFmtId="49" fontId="8" fillId="0" borderId="26" xfId="0" applyNumberFormat="1" applyFont="1" applyBorder="1" applyAlignment="1">
      <alignment wrapText="1"/>
    </xf>
    <xf numFmtId="0" fontId="8" fillId="0" borderId="24" xfId="0" applyFont="1" applyBorder="1" applyAlignment="1">
      <alignment horizontal="center" vertical="center" wrapText="1"/>
    </xf>
    <xf numFmtId="4" fontId="8" fillId="0" borderId="25" xfId="0" applyNumberFormat="1" applyFont="1" applyBorder="1" applyAlignment="1">
      <alignment horizontal="right" vertical="center" wrapText="1"/>
    </xf>
    <xf numFmtId="43" fontId="8" fillId="0" borderId="25" xfId="0" applyNumberFormat="1" applyFont="1" applyBorder="1" applyAlignment="1">
      <alignment horizontal="center" vertical="center" wrapText="1"/>
    </xf>
    <xf numFmtId="3" fontId="8" fillId="4" borderId="17" xfId="0" applyNumberFormat="1" applyFont="1" applyFill="1" applyBorder="1" applyAlignment="1">
      <alignment horizontal="center" vertical="center"/>
    </xf>
    <xf numFmtId="0" fontId="8" fillId="4" borderId="17" xfId="0" applyFont="1" applyFill="1" applyBorder="1"/>
    <xf numFmtId="0" fontId="8" fillId="5" borderId="0" xfId="0" applyFont="1" applyFill="1"/>
    <xf numFmtId="0" fontId="0" fillId="5" borderId="0" xfId="0" applyFill="1"/>
    <xf numFmtId="0" fontId="7" fillId="0" borderId="21" xfId="0" applyFont="1" applyBorder="1"/>
    <xf numFmtId="0" fontId="8" fillId="0" borderId="30" xfId="0" applyFont="1" applyBorder="1" applyAlignment="1">
      <alignment vertical="center" wrapText="1"/>
    </xf>
    <xf numFmtId="4" fontId="8" fillId="0" borderId="34" xfId="0" applyNumberFormat="1" applyFont="1" applyBorder="1" applyAlignment="1">
      <alignment horizontal="right" vertical="center" wrapText="1"/>
    </xf>
    <xf numFmtId="43" fontId="8" fillId="0" borderId="19" xfId="0" applyNumberFormat="1" applyFont="1" applyBorder="1" applyAlignment="1">
      <alignment horizontal="center" vertical="center" wrapText="1"/>
    </xf>
    <xf numFmtId="43" fontId="8" fillId="0" borderId="33" xfId="0" applyNumberFormat="1" applyFont="1" applyBorder="1" applyAlignment="1">
      <alignment vertical="center" wrapText="1"/>
    </xf>
    <xf numFmtId="0" fontId="8" fillId="0" borderId="26" xfId="0" applyFont="1" applyBorder="1" applyAlignment="1">
      <alignment horizontal="center" vertical="center" wrapText="1"/>
    </xf>
    <xf numFmtId="3" fontId="8" fillId="0" borderId="32" xfId="0" applyNumberFormat="1" applyFont="1" applyBorder="1" applyAlignment="1">
      <alignment horizontal="center" vertical="center"/>
    </xf>
    <xf numFmtId="0" fontId="8" fillId="0" borderId="26" xfId="0" applyFont="1" applyBorder="1" applyAlignment="1">
      <alignment vertical="center"/>
    </xf>
    <xf numFmtId="0" fontId="8" fillId="0" borderId="33" xfId="0" applyFont="1" applyBorder="1" applyAlignment="1">
      <alignment vertical="center"/>
    </xf>
    <xf numFmtId="0" fontId="8" fillId="0" borderId="33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wrapText="1"/>
    </xf>
    <xf numFmtId="0" fontId="7" fillId="0" borderId="33" xfId="0" applyFont="1" applyBorder="1" applyAlignment="1">
      <alignment horizontal="center"/>
    </xf>
    <xf numFmtId="4" fontId="21" fillId="0" borderId="33" xfId="0" applyNumberFormat="1" applyFont="1" applyBorder="1"/>
    <xf numFmtId="0" fontId="21" fillId="0" borderId="33" xfId="0" applyFont="1" applyBorder="1" applyAlignment="1">
      <alignment horizontal="center" vertical="center"/>
    </xf>
    <xf numFmtId="4" fontId="21" fillId="0" borderId="33" xfId="0" applyNumberFormat="1" applyFont="1" applyBorder="1" applyAlignment="1">
      <alignment horizontal="right" vertical="center"/>
    </xf>
    <xf numFmtId="0" fontId="8" fillId="0" borderId="30" xfId="0" applyFont="1" applyBorder="1" applyAlignment="1">
      <alignment horizontal="left" vertical="center" wrapText="1"/>
    </xf>
    <xf numFmtId="0" fontId="8" fillId="0" borderId="32" xfId="0" applyFont="1" applyBorder="1" applyAlignment="1">
      <alignment vertical="center"/>
    </xf>
    <xf numFmtId="4" fontId="8" fillId="0" borderId="19" xfId="0" applyNumberFormat="1" applyFont="1" applyBorder="1" applyAlignment="1">
      <alignment horizontal="right" vertical="center" wrapText="1"/>
    </xf>
    <xf numFmtId="0" fontId="21" fillId="0" borderId="33" xfId="0" applyFont="1" applyBorder="1" applyAlignment="1">
      <alignment vertical="center"/>
    </xf>
    <xf numFmtId="0" fontId="8" fillId="0" borderId="28" xfId="0" applyFont="1" applyBorder="1" applyAlignment="1">
      <alignment vertical="top" wrapText="1"/>
    </xf>
    <xf numFmtId="0" fontId="7" fillId="0" borderId="33" xfId="0" applyFont="1" applyBorder="1"/>
    <xf numFmtId="4" fontId="8" fillId="0" borderId="33" xfId="0" applyNumberFormat="1" applyFont="1" applyBorder="1"/>
    <xf numFmtId="0" fontId="21" fillId="0" borderId="33" xfId="0" applyFont="1" applyBorder="1" applyAlignment="1">
      <alignment horizontal="center"/>
    </xf>
    <xf numFmtId="4" fontId="21" fillId="0" borderId="33" xfId="0" applyNumberFormat="1" applyFont="1" applyBorder="1" applyAlignment="1">
      <alignment vertical="center"/>
    </xf>
    <xf numFmtId="0" fontId="8" fillId="0" borderId="35" xfId="0" applyFont="1" applyBorder="1" applyAlignment="1">
      <alignment vertical="center" wrapText="1"/>
    </xf>
    <xf numFmtId="0" fontId="22" fillId="0" borderId="33" xfId="0" applyFont="1" applyBorder="1" applyAlignment="1">
      <alignment horizontal="left" vertical="center" wrapText="1"/>
    </xf>
    <xf numFmtId="4" fontId="8" fillId="0" borderId="33" xfId="0" applyNumberFormat="1" applyFont="1" applyBorder="1" applyAlignment="1">
      <alignment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top" wrapText="1"/>
    </xf>
    <xf numFmtId="0" fontId="6" fillId="4" borderId="33" xfId="0" applyFont="1" applyFill="1" applyBorder="1" applyAlignment="1">
      <alignment horizontal="center" vertical="center" wrapText="1"/>
    </xf>
    <xf numFmtId="0" fontId="6" fillId="4" borderId="29" xfId="0" applyFont="1" applyFill="1" applyBorder="1" applyAlignment="1">
      <alignment horizontal="left" vertical="center" wrapText="1"/>
    </xf>
    <xf numFmtId="0" fontId="8" fillId="4" borderId="21" xfId="0" applyFont="1" applyFill="1" applyBorder="1" applyAlignment="1">
      <alignment vertical="center"/>
    </xf>
    <xf numFmtId="0" fontId="8" fillId="4" borderId="33" xfId="0" applyFont="1" applyFill="1" applyBorder="1" applyAlignment="1">
      <alignment horizontal="center" vertical="center" wrapText="1"/>
    </xf>
    <xf numFmtId="4" fontId="8" fillId="4" borderId="33" xfId="0" applyNumberFormat="1" applyFont="1" applyFill="1" applyBorder="1" applyAlignment="1">
      <alignment horizontal="right" vertical="center" wrapText="1"/>
    </xf>
    <xf numFmtId="43" fontId="8" fillId="4" borderId="33" xfId="0" applyNumberFormat="1" applyFont="1" applyFill="1" applyBorder="1" applyAlignment="1">
      <alignment horizontal="center" vertical="center" wrapText="1"/>
    </xf>
    <xf numFmtId="0" fontId="8" fillId="4" borderId="29" xfId="0" applyFont="1" applyFill="1" applyBorder="1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0" fontId="0" fillId="0" borderId="0" xfId="0"/>
    <xf numFmtId="43" fontId="11" fillId="0" borderId="0" xfId="0" applyNumberFormat="1" applyFont="1" applyAlignment="1">
      <alignment horizontal="center"/>
    </xf>
    <xf numFmtId="43" fontId="1" fillId="0" borderId="0" xfId="0" applyNumberFormat="1" applyFont="1" applyAlignment="1">
      <alignment horizontal="center"/>
    </xf>
    <xf numFmtId="43" fontId="1" fillId="0" borderId="28" xfId="0" applyNumberFormat="1" applyFont="1" applyBorder="1" applyAlignment="1">
      <alignment horizontal="center"/>
    </xf>
    <xf numFmtId="0" fontId="7" fillId="0" borderId="29" xfId="0" applyFont="1" applyBorder="1"/>
    <xf numFmtId="0" fontId="7" fillId="0" borderId="21" xfId="0" applyFont="1" applyBorder="1"/>
    <xf numFmtId="0" fontId="8" fillId="0" borderId="0" xfId="0" applyFont="1" applyAlignment="1">
      <alignment horizontal="left"/>
    </xf>
    <xf numFmtId="0" fontId="21" fillId="0" borderId="36" xfId="0" applyFont="1" applyBorder="1" applyAlignment="1">
      <alignment horizontal="center" vertical="center" wrapText="1"/>
    </xf>
    <xf numFmtId="0" fontId="21" fillId="0" borderId="37" xfId="0" applyFont="1" applyBorder="1" applyAlignment="1">
      <alignment horizontal="center" vertical="center" wrapText="1"/>
    </xf>
    <xf numFmtId="0" fontId="21" fillId="0" borderId="38" xfId="0" applyFont="1" applyBorder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6" fillId="0" borderId="2" xfId="0" applyFont="1" applyBorder="1" applyAlignment="1">
      <alignment horizontal="center" vertical="center" wrapText="1"/>
    </xf>
    <xf numFmtId="0" fontId="7" fillId="0" borderId="7" xfId="0" applyFont="1" applyBorder="1"/>
    <xf numFmtId="43" fontId="1" fillId="0" borderId="30" xfId="0" applyNumberFormat="1" applyFont="1" applyBorder="1" applyAlignment="1">
      <alignment horizontal="center"/>
    </xf>
    <xf numFmtId="0" fontId="7" fillId="0" borderId="31" xfId="0" applyFont="1" applyBorder="1"/>
    <xf numFmtId="0" fontId="7" fillId="0" borderId="32" xfId="0" applyFont="1" applyBorder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6" xfId="0" applyFont="1" applyBorder="1"/>
    <xf numFmtId="4" fontId="6" fillId="0" borderId="2" xfId="0" applyNumberFormat="1" applyFont="1" applyBorder="1" applyAlignment="1">
      <alignment horizontal="center" vertical="center" wrapText="1"/>
    </xf>
    <xf numFmtId="43" fontId="6" fillId="0" borderId="2" xfId="0" applyNumberFormat="1" applyFont="1" applyBorder="1" applyAlignment="1">
      <alignment horizontal="center" vertical="center" wrapText="1"/>
    </xf>
    <xf numFmtId="4" fontId="21" fillId="0" borderId="33" xfId="0" applyNumberFormat="1" applyFont="1" applyBorder="1" applyAlignment="1">
      <alignment horizontal="right" vertical="center"/>
    </xf>
    <xf numFmtId="0" fontId="8" fillId="0" borderId="25" xfId="0" applyFont="1" applyBorder="1" applyAlignment="1">
      <alignment horizontal="center" vertical="center" wrapText="1"/>
    </xf>
    <xf numFmtId="0" fontId="7" fillId="0" borderId="19" xfId="0" applyFont="1" applyBorder="1"/>
    <xf numFmtId="0" fontId="7" fillId="0" borderId="26" xfId="0" applyFont="1" applyBorder="1"/>
    <xf numFmtId="0" fontId="21" fillId="0" borderId="33" xfId="0" applyFont="1" applyBorder="1" applyAlignment="1">
      <alignment horizontal="left" vertical="center"/>
    </xf>
    <xf numFmtId="3" fontId="8" fillId="0" borderId="39" xfId="0" applyNumberFormat="1" applyFont="1" applyBorder="1" applyAlignment="1">
      <alignment horizontal="center" vertical="center"/>
    </xf>
    <xf numFmtId="3" fontId="8" fillId="0" borderId="40" xfId="0" applyNumberFormat="1" applyFont="1" applyBorder="1" applyAlignment="1">
      <alignment horizontal="center" vertical="center"/>
    </xf>
    <xf numFmtId="3" fontId="8" fillId="0" borderId="41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7" fillId="0" borderId="4" xfId="0" applyFont="1" applyBorder="1"/>
    <xf numFmtId="0" fontId="7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937"/>
  <sheetViews>
    <sheetView view="pageBreakPreview" topLeftCell="B13" zoomScaleNormal="100" zoomScaleSheetLayoutView="100" workbookViewId="0">
      <selection activeCell="C12" sqref="C12"/>
    </sheetView>
  </sheetViews>
  <sheetFormatPr defaultColWidth="12.58203125" defaultRowHeight="15" customHeight="1" x14ac:dyDescent="0.3"/>
  <cols>
    <col min="1" max="1" width="10.6640625" customWidth="1"/>
    <col min="2" max="2" width="11.08203125" customWidth="1"/>
    <col min="3" max="3" width="56.9140625" customWidth="1"/>
    <col min="4" max="4" width="11.58203125" customWidth="1"/>
    <col min="5" max="5" width="10.08203125" customWidth="1"/>
    <col min="6" max="6" width="16.9140625" customWidth="1"/>
    <col min="7" max="7" width="28.1640625" customWidth="1"/>
    <col min="8" max="8" width="15.33203125" customWidth="1"/>
    <col min="9" max="13" width="7.58203125" customWidth="1"/>
    <col min="14" max="34" width="0.4140625" customWidth="1"/>
    <col min="35" max="35" width="22.58203125" customWidth="1"/>
    <col min="36" max="37" width="7.58203125" customWidth="1"/>
  </cols>
  <sheetData>
    <row r="1" spans="1:39" ht="15.5" x14ac:dyDescent="0.3">
      <c r="A1" s="135" t="s">
        <v>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"/>
      <c r="AK1" s="1"/>
    </row>
    <row r="2" spans="1:39" ht="14" x14ac:dyDescent="0.3">
      <c r="A2" s="136" t="s">
        <v>115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"/>
      <c r="AK2" s="1"/>
    </row>
    <row r="3" spans="1:39" ht="14" x14ac:dyDescent="0.3">
      <c r="A3" s="137"/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9"/>
      <c r="AE3" s="119"/>
      <c r="AF3" s="119"/>
      <c r="AG3" s="119"/>
      <c r="AH3" s="119"/>
      <c r="AI3" s="119"/>
      <c r="AJ3" s="1"/>
      <c r="AK3" s="1"/>
    </row>
    <row r="4" spans="1:39" ht="15.5" x14ac:dyDescent="0.3">
      <c r="A4" s="2" t="s">
        <v>1</v>
      </c>
      <c r="B4" s="3"/>
      <c r="C4" s="3"/>
      <c r="D4" s="3"/>
      <c r="E4" s="4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1"/>
      <c r="AJ4" s="1"/>
      <c r="AK4" s="1"/>
    </row>
    <row r="5" spans="1:39" ht="15.5" x14ac:dyDescent="0.3">
      <c r="A5" s="5"/>
      <c r="B5" s="3"/>
      <c r="C5" s="3"/>
      <c r="D5" s="1"/>
      <c r="E5" s="6"/>
      <c r="F5" s="7"/>
      <c r="G5" s="8"/>
      <c r="H5" s="8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9" ht="15.5" x14ac:dyDescent="0.3">
      <c r="A6" s="2" t="s">
        <v>2</v>
      </c>
      <c r="B6" s="3"/>
      <c r="C6" s="3"/>
      <c r="D6" s="1"/>
      <c r="E6" s="6"/>
      <c r="F6" s="7"/>
      <c r="G6" s="8"/>
      <c r="H6" s="8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9" ht="15.5" x14ac:dyDescent="0.3">
      <c r="A7" s="5" t="s">
        <v>3</v>
      </c>
      <c r="B7" s="3"/>
      <c r="C7" s="3"/>
      <c r="D7" s="1"/>
      <c r="E7" s="6"/>
      <c r="F7" s="7"/>
      <c r="G7" s="8"/>
      <c r="H7" s="8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9" ht="22.5" customHeight="1" x14ac:dyDescent="0.3">
      <c r="A8" s="138" t="s">
        <v>4</v>
      </c>
      <c r="B8" s="130" t="s">
        <v>5</v>
      </c>
      <c r="C8" s="130" t="s">
        <v>6</v>
      </c>
      <c r="D8" s="9" t="s">
        <v>7</v>
      </c>
      <c r="E8" s="140" t="s">
        <v>8</v>
      </c>
      <c r="F8" s="141" t="s">
        <v>9</v>
      </c>
      <c r="G8" s="130" t="s">
        <v>10</v>
      </c>
      <c r="H8" s="130" t="s">
        <v>11</v>
      </c>
      <c r="I8" s="150" t="s">
        <v>12</v>
      </c>
      <c r="J8" s="151"/>
      <c r="K8" s="151"/>
      <c r="L8" s="151"/>
      <c r="M8" s="151"/>
      <c r="N8" s="151"/>
      <c r="O8" s="151"/>
      <c r="P8" s="151"/>
      <c r="Q8" s="151"/>
      <c r="R8" s="151"/>
      <c r="S8" s="151"/>
      <c r="T8" s="151"/>
      <c r="U8" s="151"/>
      <c r="V8" s="151"/>
      <c r="W8" s="151"/>
      <c r="X8" s="151"/>
      <c r="Y8" s="151"/>
      <c r="Z8" s="151"/>
      <c r="AA8" s="151"/>
      <c r="AB8" s="151"/>
      <c r="AC8" s="151"/>
      <c r="AD8" s="151"/>
      <c r="AE8" s="151"/>
      <c r="AF8" s="151"/>
      <c r="AG8" s="151"/>
      <c r="AH8" s="151"/>
      <c r="AI8" s="152"/>
      <c r="AJ8" s="10"/>
      <c r="AK8" s="10"/>
      <c r="AL8" s="11"/>
      <c r="AM8" s="11"/>
    </row>
    <row r="9" spans="1:39" ht="23" x14ac:dyDescent="0.3">
      <c r="A9" s="139"/>
      <c r="B9" s="131"/>
      <c r="C9" s="131"/>
      <c r="D9" s="12" t="s">
        <v>13</v>
      </c>
      <c r="E9" s="131"/>
      <c r="F9" s="131"/>
      <c r="G9" s="131"/>
      <c r="H9" s="131"/>
      <c r="I9" s="12" t="s">
        <v>105</v>
      </c>
      <c r="J9" s="12" t="s">
        <v>106</v>
      </c>
      <c r="K9" s="12" t="s">
        <v>107</v>
      </c>
      <c r="L9" s="13" t="s">
        <v>14</v>
      </c>
      <c r="M9" s="13" t="s">
        <v>15</v>
      </c>
      <c r="N9" s="12" t="s">
        <v>16</v>
      </c>
      <c r="O9" s="12" t="s">
        <v>17</v>
      </c>
      <c r="P9" s="12" t="s">
        <v>18</v>
      </c>
      <c r="Q9" s="12" t="s">
        <v>19</v>
      </c>
      <c r="R9" s="12" t="s">
        <v>20</v>
      </c>
      <c r="S9" s="12" t="s">
        <v>21</v>
      </c>
      <c r="T9" s="12" t="s">
        <v>22</v>
      </c>
      <c r="U9" s="12" t="s">
        <v>23</v>
      </c>
      <c r="V9" s="12" t="s">
        <v>24</v>
      </c>
      <c r="W9" s="12" t="s">
        <v>25</v>
      </c>
      <c r="X9" s="12" t="s">
        <v>26</v>
      </c>
      <c r="Y9" s="12" t="s">
        <v>27</v>
      </c>
      <c r="Z9" s="12" t="s">
        <v>28</v>
      </c>
      <c r="AA9" s="12" t="s">
        <v>29</v>
      </c>
      <c r="AB9" s="12" t="s">
        <v>30</v>
      </c>
      <c r="AC9" s="12" t="s">
        <v>31</v>
      </c>
      <c r="AD9" s="12" t="s">
        <v>32</v>
      </c>
      <c r="AE9" s="12" t="s">
        <v>33</v>
      </c>
      <c r="AF9" s="12" t="s">
        <v>34</v>
      </c>
      <c r="AG9" s="12" t="s">
        <v>35</v>
      </c>
      <c r="AH9" s="12" t="s">
        <v>36</v>
      </c>
      <c r="AI9" s="14" t="s">
        <v>37</v>
      </c>
      <c r="AJ9" s="15"/>
      <c r="AK9" s="10"/>
      <c r="AL9" s="11"/>
      <c r="AM9" s="11"/>
    </row>
    <row r="10" spans="1:39" ht="46" x14ac:dyDescent="0.3">
      <c r="A10" s="16" t="s">
        <v>38</v>
      </c>
      <c r="B10" s="17" t="s">
        <v>39</v>
      </c>
      <c r="C10" s="17" t="s">
        <v>40</v>
      </c>
      <c r="D10" s="17" t="s">
        <v>41</v>
      </c>
      <c r="E10" s="18" t="s">
        <v>42</v>
      </c>
      <c r="F10" s="19" t="s">
        <v>43</v>
      </c>
      <c r="G10" s="17" t="s">
        <v>44</v>
      </c>
      <c r="H10" s="17" t="s">
        <v>45</v>
      </c>
      <c r="I10" s="17" t="s">
        <v>46</v>
      </c>
      <c r="J10" s="17" t="s">
        <v>47</v>
      </c>
      <c r="K10" s="17" t="s">
        <v>48</v>
      </c>
      <c r="L10" s="17" t="s">
        <v>49</v>
      </c>
      <c r="M10" s="17" t="s">
        <v>50</v>
      </c>
      <c r="N10" s="17" t="s">
        <v>51</v>
      </c>
      <c r="O10" s="17" t="s">
        <v>52</v>
      </c>
      <c r="P10" s="17" t="s">
        <v>53</v>
      </c>
      <c r="Q10" s="17" t="s">
        <v>54</v>
      </c>
      <c r="R10" s="17" t="s">
        <v>55</v>
      </c>
      <c r="S10" s="17" t="s">
        <v>56</v>
      </c>
      <c r="T10" s="17" t="s">
        <v>57</v>
      </c>
      <c r="U10" s="17" t="s">
        <v>58</v>
      </c>
      <c r="V10" s="17" t="s">
        <v>59</v>
      </c>
      <c r="W10" s="17" t="s">
        <v>60</v>
      </c>
      <c r="X10" s="17" t="s">
        <v>61</v>
      </c>
      <c r="Y10" s="17" t="s">
        <v>62</v>
      </c>
      <c r="Z10" s="17" t="s">
        <v>63</v>
      </c>
      <c r="AA10" s="17" t="s">
        <v>64</v>
      </c>
      <c r="AB10" s="17" t="s">
        <v>65</v>
      </c>
      <c r="AC10" s="17" t="s">
        <v>66</v>
      </c>
      <c r="AD10" s="17" t="s">
        <v>67</v>
      </c>
      <c r="AE10" s="17" t="s">
        <v>68</v>
      </c>
      <c r="AF10" s="17" t="s">
        <v>69</v>
      </c>
      <c r="AG10" s="17" t="s">
        <v>70</v>
      </c>
      <c r="AH10" s="17" t="s">
        <v>71</v>
      </c>
      <c r="AI10" s="20" t="s">
        <v>72</v>
      </c>
      <c r="AJ10" s="10"/>
      <c r="AK10" s="10"/>
      <c r="AL10" s="11"/>
      <c r="AM10" s="11"/>
    </row>
    <row r="11" spans="1:39" ht="18.75" customHeight="1" x14ac:dyDescent="0.3">
      <c r="A11" s="21" t="s">
        <v>73</v>
      </c>
      <c r="B11" s="22"/>
      <c r="C11" s="23" t="s">
        <v>74</v>
      </c>
      <c r="D11" s="24"/>
      <c r="E11" s="25"/>
      <c r="F11" s="26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7"/>
      <c r="AJ11" s="28"/>
      <c r="AK11" s="28"/>
    </row>
    <row r="12" spans="1:39" ht="15.75" customHeight="1" x14ac:dyDescent="0.3">
      <c r="A12" s="29"/>
      <c r="B12" s="30"/>
      <c r="C12" s="82" t="s">
        <v>103</v>
      </c>
      <c r="D12" s="90">
        <v>1</v>
      </c>
      <c r="E12" s="83">
        <v>12800</v>
      </c>
      <c r="F12" s="85">
        <f>E12</f>
        <v>12800</v>
      </c>
      <c r="G12" s="91" t="s">
        <v>76</v>
      </c>
      <c r="H12" s="89" t="s">
        <v>104</v>
      </c>
      <c r="I12" s="87">
        <v>1</v>
      </c>
      <c r="J12" s="32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28"/>
      <c r="AK12" s="28"/>
    </row>
    <row r="13" spans="1:39" ht="15.75" customHeight="1" x14ac:dyDescent="0.3">
      <c r="A13" s="29"/>
      <c r="B13" s="30"/>
      <c r="C13" s="82" t="s">
        <v>108</v>
      </c>
      <c r="D13" s="92">
        <v>2</v>
      </c>
      <c r="E13" s="83">
        <v>2400</v>
      </c>
      <c r="F13" s="93">
        <f>E13*2</f>
        <v>4800</v>
      </c>
      <c r="G13" s="91" t="s">
        <v>76</v>
      </c>
      <c r="H13" s="89" t="s">
        <v>104</v>
      </c>
      <c r="I13" s="87">
        <v>2</v>
      </c>
      <c r="J13" s="32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28"/>
      <c r="AK13" s="28"/>
    </row>
    <row r="14" spans="1:39" ht="15.75" customHeight="1" x14ac:dyDescent="0.3">
      <c r="A14" s="29"/>
      <c r="B14" s="30"/>
      <c r="C14" s="105" t="s">
        <v>109</v>
      </c>
      <c r="D14" s="94">
        <v>2</v>
      </c>
      <c r="E14" s="83">
        <v>5500</v>
      </c>
      <c r="F14" s="95">
        <f>E14*2</f>
        <v>11000</v>
      </c>
      <c r="G14" s="91" t="s">
        <v>76</v>
      </c>
      <c r="H14" s="89" t="s">
        <v>104</v>
      </c>
      <c r="I14" s="87">
        <v>2</v>
      </c>
      <c r="J14" s="32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28"/>
      <c r="AK14" s="28"/>
    </row>
    <row r="15" spans="1:39" ht="15.75" customHeight="1" x14ac:dyDescent="0.3">
      <c r="A15" s="29"/>
      <c r="B15" s="30" t="s">
        <v>77</v>
      </c>
      <c r="C15" s="106" t="s">
        <v>117</v>
      </c>
      <c r="D15" s="126" t="s">
        <v>75</v>
      </c>
      <c r="E15" s="107">
        <v>5400</v>
      </c>
      <c r="F15" s="142">
        <v>46800</v>
      </c>
      <c r="G15" s="143" t="s">
        <v>78</v>
      </c>
      <c r="H15" s="146" t="s">
        <v>104</v>
      </c>
      <c r="I15" s="147">
        <v>1</v>
      </c>
      <c r="J15" s="32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28"/>
      <c r="AK15" s="28"/>
    </row>
    <row r="16" spans="1:39" ht="13.5" customHeight="1" x14ac:dyDescent="0.3">
      <c r="A16" s="37"/>
      <c r="B16" s="30" t="s">
        <v>79</v>
      </c>
      <c r="C16" s="106" t="s">
        <v>114</v>
      </c>
      <c r="D16" s="127"/>
      <c r="E16" s="107">
        <v>6000</v>
      </c>
      <c r="F16" s="142"/>
      <c r="G16" s="144"/>
      <c r="H16" s="146"/>
      <c r="I16" s="148"/>
      <c r="J16" s="32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28"/>
      <c r="AK16" s="28"/>
    </row>
    <row r="17" spans="1:37" ht="13.5" customHeight="1" x14ac:dyDescent="0.3">
      <c r="A17" s="37"/>
      <c r="B17" s="30" t="s">
        <v>80</v>
      </c>
      <c r="C17" s="106" t="s">
        <v>112</v>
      </c>
      <c r="D17" s="127"/>
      <c r="E17" s="107">
        <v>6000</v>
      </c>
      <c r="F17" s="142"/>
      <c r="G17" s="144"/>
      <c r="H17" s="146"/>
      <c r="I17" s="148"/>
      <c r="J17" s="32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28"/>
      <c r="AK17" s="28"/>
    </row>
    <row r="18" spans="1:37" ht="13.5" customHeight="1" x14ac:dyDescent="0.3">
      <c r="A18" s="29"/>
      <c r="B18" s="30" t="s">
        <v>81</v>
      </c>
      <c r="C18" s="106" t="s">
        <v>113</v>
      </c>
      <c r="D18" s="128"/>
      <c r="E18" s="107">
        <v>6000</v>
      </c>
      <c r="F18" s="142"/>
      <c r="G18" s="145"/>
      <c r="H18" s="146"/>
      <c r="I18" s="149"/>
      <c r="J18" s="32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28"/>
      <c r="AK18" s="28"/>
    </row>
    <row r="19" spans="1:37" ht="13.5" customHeight="1" x14ac:dyDescent="0.3">
      <c r="A19" s="29"/>
      <c r="B19" s="36"/>
      <c r="C19" s="40"/>
      <c r="D19" s="31"/>
      <c r="E19" s="98"/>
      <c r="F19" s="84"/>
      <c r="G19" s="86"/>
      <c r="H19" s="88"/>
      <c r="I19" s="32"/>
      <c r="J19" s="32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28"/>
      <c r="AK19" s="28"/>
    </row>
    <row r="20" spans="1:37" ht="13.5" customHeight="1" x14ac:dyDescent="0.3">
      <c r="A20" s="29"/>
      <c r="B20" s="41"/>
      <c r="C20" s="42"/>
      <c r="D20" s="31"/>
      <c r="E20" s="34"/>
      <c r="F20" s="38"/>
      <c r="G20" s="30"/>
      <c r="H20" s="39"/>
      <c r="I20" s="32"/>
      <c r="J20" s="32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28"/>
      <c r="AK20" s="28"/>
    </row>
    <row r="21" spans="1:37" ht="13.5" customHeight="1" x14ac:dyDescent="0.3">
      <c r="A21" s="72"/>
      <c r="B21" s="41"/>
      <c r="C21" s="73"/>
      <c r="D21" s="74"/>
      <c r="E21" s="75"/>
      <c r="F21" s="76"/>
      <c r="G21" s="30"/>
      <c r="H21" s="39"/>
      <c r="I21" s="32"/>
      <c r="J21" s="32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28"/>
      <c r="AK21" s="28"/>
    </row>
    <row r="22" spans="1:37" ht="13.5" customHeight="1" x14ac:dyDescent="0.3">
      <c r="A22" s="43" t="s">
        <v>82</v>
      </c>
      <c r="B22" s="44"/>
      <c r="C22" s="45" t="s">
        <v>83</v>
      </c>
      <c r="D22" s="46"/>
      <c r="E22" s="47"/>
      <c r="F22" s="48"/>
      <c r="G22" s="52"/>
      <c r="H22" s="49"/>
      <c r="I22" s="50"/>
      <c r="J22" s="50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28"/>
      <c r="AK22" s="28"/>
    </row>
    <row r="23" spans="1:37" ht="14" x14ac:dyDescent="0.3">
      <c r="A23" s="72"/>
      <c r="B23" s="30"/>
      <c r="C23" s="96" t="s">
        <v>111</v>
      </c>
      <c r="D23" s="103">
        <v>3</v>
      </c>
      <c r="E23" s="104">
        <v>20000</v>
      </c>
      <c r="F23" s="104">
        <f>E23*3</f>
        <v>60000</v>
      </c>
      <c r="G23" s="99"/>
      <c r="H23" s="89" t="s">
        <v>104</v>
      </c>
      <c r="I23" s="32">
        <v>3</v>
      </c>
      <c r="J23" s="32"/>
      <c r="K23" s="35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28"/>
      <c r="AK23" s="28"/>
    </row>
    <row r="24" spans="1:37" ht="14" x14ac:dyDescent="0.3">
      <c r="A24" s="72"/>
      <c r="B24" s="30"/>
      <c r="C24" s="96"/>
      <c r="D24" s="99"/>
      <c r="E24" s="99"/>
      <c r="F24" s="99"/>
      <c r="G24" s="99"/>
      <c r="H24" s="97"/>
      <c r="I24" s="32"/>
      <c r="J24" s="32"/>
      <c r="K24" s="35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28"/>
      <c r="AK24" s="28"/>
    </row>
    <row r="25" spans="1:37" ht="13.5" customHeight="1" x14ac:dyDescent="0.3">
      <c r="A25" s="43"/>
      <c r="B25" s="108"/>
      <c r="C25" s="45" t="s">
        <v>116</v>
      </c>
      <c r="D25" s="46"/>
      <c r="E25" s="47"/>
      <c r="F25" s="48"/>
      <c r="G25" s="52"/>
      <c r="H25" s="49"/>
      <c r="I25" s="50"/>
      <c r="J25" s="50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28"/>
      <c r="AK25" s="28"/>
    </row>
    <row r="26" spans="1:37" s="80" customFormat="1" ht="13.5" customHeight="1" x14ac:dyDescent="0.3">
      <c r="A26" s="111"/>
      <c r="B26" s="111"/>
      <c r="C26" s="117" t="s">
        <v>118</v>
      </c>
      <c r="D26" s="114" t="s">
        <v>102</v>
      </c>
      <c r="E26" s="115">
        <v>11000</v>
      </c>
      <c r="F26" s="116">
        <v>11000</v>
      </c>
      <c r="G26" s="114"/>
      <c r="H26" s="113"/>
      <c r="I26" s="77">
        <v>1</v>
      </c>
      <c r="J26" s="77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9"/>
      <c r="AK26" s="79"/>
    </row>
    <row r="27" spans="1:37" s="80" customFormat="1" ht="13.5" customHeight="1" x14ac:dyDescent="0.3">
      <c r="A27" s="111"/>
      <c r="B27" s="111"/>
      <c r="C27" s="112"/>
      <c r="D27" s="114"/>
      <c r="E27" s="115"/>
      <c r="F27" s="116"/>
      <c r="G27" s="114"/>
      <c r="H27" s="113"/>
      <c r="I27" s="77"/>
      <c r="J27" s="77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9"/>
      <c r="AK27" s="79"/>
    </row>
    <row r="28" spans="1:37" ht="13.5" customHeight="1" x14ac:dyDescent="0.3">
      <c r="A28" s="109"/>
      <c r="B28" s="110"/>
      <c r="C28" s="100"/>
      <c r="D28" s="101"/>
      <c r="E28" s="102"/>
      <c r="F28" s="101"/>
      <c r="G28" s="101"/>
      <c r="H28" s="81"/>
      <c r="I28" s="32"/>
      <c r="J28" s="32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28"/>
      <c r="AK28" s="28"/>
    </row>
    <row r="29" spans="1:37" ht="15.75" customHeight="1" x14ac:dyDescent="0.3">
      <c r="A29" s="53" t="s">
        <v>84</v>
      </c>
      <c r="B29" s="54"/>
      <c r="C29" s="54"/>
      <c r="D29" s="1"/>
      <c r="E29" s="6"/>
      <c r="F29" s="55">
        <f>SUM(F12:F28)</f>
        <v>146400</v>
      </c>
      <c r="G29" s="8"/>
      <c r="H29" s="8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ht="15.75" customHeight="1" x14ac:dyDescent="0.35">
      <c r="A30" s="56"/>
      <c r="B30" s="3"/>
      <c r="C30" s="3"/>
      <c r="D30" s="121"/>
      <c r="E30" s="119"/>
      <c r="F30" s="119"/>
      <c r="G30" s="8"/>
      <c r="H30" s="8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ht="15.75" hidden="1" customHeight="1" x14ac:dyDescent="0.35">
      <c r="A31" s="57" t="s">
        <v>85</v>
      </c>
      <c r="B31" s="58"/>
      <c r="C31" s="58"/>
      <c r="D31" s="122">
        <f>PRODUCT(D30,0.1)</f>
        <v>0.1</v>
      </c>
      <c r="E31" s="123"/>
      <c r="F31" s="124"/>
      <c r="G31" s="8"/>
      <c r="H31" s="8"/>
      <c r="I31" s="125"/>
      <c r="J31" s="119"/>
      <c r="K31" s="125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19"/>
      <c r="AD31" s="119"/>
      <c r="AE31" s="119"/>
      <c r="AF31" s="119"/>
      <c r="AG31" s="119"/>
      <c r="AH31" s="59"/>
      <c r="AI31" s="1"/>
      <c r="AJ31" s="1"/>
      <c r="AK31" s="1"/>
    </row>
    <row r="32" spans="1:37" ht="15.75" hidden="1" customHeight="1" x14ac:dyDescent="0.35">
      <c r="A32" s="60" t="s">
        <v>86</v>
      </c>
      <c r="B32" s="61"/>
      <c r="C32" s="61"/>
      <c r="D32" s="132">
        <f>PRODUCT(D30,0.1)</f>
        <v>0.1</v>
      </c>
      <c r="E32" s="133"/>
      <c r="F32" s="134"/>
      <c r="G32" s="8"/>
      <c r="H32" s="8"/>
      <c r="I32" s="62"/>
      <c r="J32" s="62"/>
      <c r="K32" s="120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63"/>
      <c r="AI32" s="1"/>
      <c r="AJ32" s="1"/>
      <c r="AK32" s="1"/>
    </row>
    <row r="33" spans="1:37" ht="15.75" hidden="1" customHeight="1" x14ac:dyDescent="0.35">
      <c r="A33" s="60" t="s">
        <v>87</v>
      </c>
      <c r="B33" s="61"/>
      <c r="C33" s="61"/>
      <c r="D33" s="132">
        <f>SUM(D30:F32)</f>
        <v>0.2</v>
      </c>
      <c r="E33" s="133"/>
      <c r="F33" s="134"/>
      <c r="G33" s="8"/>
      <c r="H33" s="8"/>
      <c r="I33" s="62"/>
      <c r="J33" s="62"/>
      <c r="K33" s="120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63"/>
      <c r="AI33" s="1"/>
      <c r="AJ33" s="1"/>
      <c r="AK33" s="1"/>
    </row>
    <row r="34" spans="1:37" ht="15.75" customHeight="1" x14ac:dyDescent="0.3">
      <c r="A34" s="64"/>
      <c r="B34" s="3"/>
      <c r="C34" s="3"/>
      <c r="D34" s="1"/>
      <c r="E34" s="6"/>
      <c r="F34" s="7"/>
      <c r="G34" s="8"/>
      <c r="H34" s="8"/>
      <c r="I34" s="62"/>
      <c r="J34" s="62"/>
      <c r="K34" s="120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63"/>
      <c r="AI34" s="1"/>
      <c r="AJ34" s="1"/>
      <c r="AK34" s="1"/>
    </row>
    <row r="35" spans="1:37" ht="15.75" customHeight="1" x14ac:dyDescent="0.3">
      <c r="A35" s="65" t="s">
        <v>88</v>
      </c>
      <c r="B35" s="3"/>
      <c r="C35" s="3"/>
      <c r="D35" s="1"/>
      <c r="E35" s="6"/>
      <c r="F35" s="7"/>
      <c r="G35" s="8"/>
      <c r="H35" s="8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ht="15.75" customHeight="1" x14ac:dyDescent="0.3">
      <c r="A36" s="10"/>
      <c r="B36" s="3"/>
      <c r="C36" s="3"/>
      <c r="D36" s="1"/>
      <c r="E36" s="66"/>
      <c r="F36" s="7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ht="15.75" customHeight="1" x14ac:dyDescent="0.3">
      <c r="A37" s="67" t="s">
        <v>89</v>
      </c>
      <c r="B37" s="68"/>
      <c r="C37" s="68"/>
      <c r="D37" s="69" t="s">
        <v>90</v>
      </c>
      <c r="E37" s="66"/>
      <c r="F37" s="7"/>
      <c r="G37" s="69" t="s">
        <v>91</v>
      </c>
      <c r="H37" s="1"/>
      <c r="I37" s="1"/>
      <c r="J37" s="69" t="s">
        <v>92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ht="15.75" customHeight="1" x14ac:dyDescent="0.3">
      <c r="A38" s="67"/>
      <c r="B38" s="68"/>
      <c r="C38" s="68"/>
      <c r="D38" s="1"/>
      <c r="E38" s="66"/>
      <c r="F38" s="7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ht="15.75" customHeight="1" x14ac:dyDescent="0.3">
      <c r="A39" s="68"/>
      <c r="B39" s="68"/>
      <c r="C39" s="68"/>
      <c r="D39" s="1"/>
      <c r="E39" s="66"/>
      <c r="F39" s="7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ht="15.75" customHeight="1" x14ac:dyDescent="0.3">
      <c r="A40" s="129" t="s">
        <v>93</v>
      </c>
      <c r="B40" s="119"/>
      <c r="C40" s="119"/>
      <c r="D40" s="69" t="s">
        <v>94</v>
      </c>
      <c r="E40" s="66"/>
      <c r="F40" s="7"/>
      <c r="G40" s="69" t="s">
        <v>95</v>
      </c>
      <c r="H40" s="1"/>
      <c r="I40" s="1"/>
      <c r="J40" s="69" t="s">
        <v>96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ht="15" customHeight="1" x14ac:dyDescent="0.3">
      <c r="A41" s="118" t="s">
        <v>97</v>
      </c>
      <c r="B41" s="119"/>
      <c r="C41" s="119"/>
      <c r="D41" s="1" t="s">
        <v>98</v>
      </c>
      <c r="E41" s="66"/>
      <c r="F41" s="7"/>
      <c r="G41" s="1" t="s">
        <v>99</v>
      </c>
      <c r="H41" s="1"/>
      <c r="I41" s="1"/>
      <c r="J41" s="1" t="s">
        <v>100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ht="15.75" customHeight="1" x14ac:dyDescent="0.35">
      <c r="A42" s="70"/>
      <c r="B42" s="70"/>
      <c r="C42" s="70"/>
      <c r="D42" s="1"/>
      <c r="E42" s="66"/>
      <c r="F42" s="7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ht="15.75" customHeight="1" x14ac:dyDescent="0.35">
      <c r="A43" s="70" t="s">
        <v>110</v>
      </c>
      <c r="B43" s="70"/>
      <c r="C43" s="70"/>
      <c r="D43" s="1" t="s">
        <v>101</v>
      </c>
      <c r="E43" s="66"/>
      <c r="F43" s="7"/>
      <c r="G43" s="1" t="s">
        <v>101</v>
      </c>
      <c r="H43" s="1"/>
      <c r="I43" s="1"/>
      <c r="J43" s="1" t="s">
        <v>101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ht="15.75" customHeight="1" x14ac:dyDescent="0.3">
      <c r="D44" s="1"/>
      <c r="E44" s="66"/>
      <c r="F44" s="7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ht="15.75" customHeight="1" x14ac:dyDescent="0.3">
      <c r="D45" s="1"/>
      <c r="E45" s="66"/>
      <c r="F45" s="7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ht="15.75" customHeight="1" x14ac:dyDescent="0.3">
      <c r="D46" s="1"/>
      <c r="E46" s="66"/>
      <c r="F46" s="7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ht="15.75" customHeight="1" x14ac:dyDescent="0.3">
      <c r="D47" s="1"/>
      <c r="E47" s="66"/>
      <c r="F47" s="7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ht="15.75" customHeight="1" x14ac:dyDescent="0.3">
      <c r="D48" s="1"/>
      <c r="E48" s="6"/>
      <c r="F48" s="7"/>
      <c r="G48" s="8"/>
      <c r="H48" s="8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4:37" ht="15.75" customHeight="1" x14ac:dyDescent="0.3">
      <c r="D49" s="1"/>
      <c r="E49" s="6"/>
      <c r="F49" s="7"/>
      <c r="G49" s="8"/>
      <c r="H49" s="8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4:37" ht="15.75" customHeight="1" x14ac:dyDescent="0.3">
      <c r="D50" s="1"/>
      <c r="E50" s="6"/>
      <c r="F50" s="7"/>
      <c r="G50" s="8"/>
      <c r="H50" s="8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4:37" ht="15.75" customHeight="1" x14ac:dyDescent="0.35">
      <c r="E51" s="71"/>
    </row>
    <row r="52" spans="4:37" ht="15.75" customHeight="1" x14ac:dyDescent="0.35">
      <c r="E52" s="71"/>
    </row>
    <row r="53" spans="4:37" ht="15.75" customHeight="1" x14ac:dyDescent="0.35">
      <c r="E53" s="71"/>
    </row>
    <row r="54" spans="4:37" ht="15.75" customHeight="1" x14ac:dyDescent="0.35">
      <c r="E54" s="71"/>
    </row>
    <row r="55" spans="4:37" ht="15.75" customHeight="1" x14ac:dyDescent="0.35">
      <c r="E55" s="71"/>
    </row>
    <row r="56" spans="4:37" ht="15.75" customHeight="1" x14ac:dyDescent="0.35">
      <c r="E56" s="71"/>
    </row>
    <row r="57" spans="4:37" ht="15.75" customHeight="1" x14ac:dyDescent="0.35">
      <c r="E57" s="71"/>
    </row>
    <row r="58" spans="4:37" ht="15.75" customHeight="1" x14ac:dyDescent="0.35">
      <c r="E58" s="71"/>
    </row>
    <row r="59" spans="4:37" ht="15.75" customHeight="1" x14ac:dyDescent="0.35">
      <c r="E59" s="71"/>
    </row>
    <row r="60" spans="4:37" ht="15.75" customHeight="1" x14ac:dyDescent="0.35">
      <c r="E60" s="71"/>
    </row>
    <row r="61" spans="4:37" ht="15.75" customHeight="1" x14ac:dyDescent="0.35">
      <c r="E61" s="71"/>
    </row>
    <row r="62" spans="4:37" ht="15.75" customHeight="1" x14ac:dyDescent="0.35">
      <c r="E62" s="71"/>
    </row>
    <row r="63" spans="4:37" ht="15.75" customHeight="1" x14ac:dyDescent="0.35">
      <c r="E63" s="71"/>
    </row>
    <row r="64" spans="4:37" ht="15.75" customHeight="1" x14ac:dyDescent="0.35">
      <c r="E64" s="71"/>
    </row>
    <row r="65" spans="5:5" ht="15.75" customHeight="1" x14ac:dyDescent="0.35">
      <c r="E65" s="71"/>
    </row>
    <row r="66" spans="5:5" ht="15.75" customHeight="1" x14ac:dyDescent="0.35">
      <c r="E66" s="71"/>
    </row>
    <row r="67" spans="5:5" ht="15.75" customHeight="1" x14ac:dyDescent="0.35">
      <c r="E67" s="71"/>
    </row>
    <row r="68" spans="5:5" ht="15.75" customHeight="1" x14ac:dyDescent="0.35">
      <c r="E68" s="71"/>
    </row>
    <row r="69" spans="5:5" ht="15.75" customHeight="1" x14ac:dyDescent="0.35">
      <c r="E69" s="71"/>
    </row>
    <row r="70" spans="5:5" ht="15.75" customHeight="1" x14ac:dyDescent="0.35">
      <c r="E70" s="71"/>
    </row>
    <row r="71" spans="5:5" ht="15.75" customHeight="1" x14ac:dyDescent="0.35">
      <c r="E71" s="71"/>
    </row>
    <row r="72" spans="5:5" ht="15.75" customHeight="1" x14ac:dyDescent="0.35">
      <c r="E72" s="71"/>
    </row>
    <row r="73" spans="5:5" ht="15.75" customHeight="1" x14ac:dyDescent="0.35">
      <c r="E73" s="71"/>
    </row>
    <row r="74" spans="5:5" ht="15.75" customHeight="1" x14ac:dyDescent="0.35">
      <c r="E74" s="71"/>
    </row>
    <row r="75" spans="5:5" ht="15.75" customHeight="1" x14ac:dyDescent="0.35">
      <c r="E75" s="71"/>
    </row>
    <row r="76" spans="5:5" ht="15.75" customHeight="1" x14ac:dyDescent="0.35">
      <c r="E76" s="71"/>
    </row>
    <row r="77" spans="5:5" ht="15.75" customHeight="1" x14ac:dyDescent="0.35">
      <c r="E77" s="71"/>
    </row>
    <row r="78" spans="5:5" ht="15.75" customHeight="1" x14ac:dyDescent="0.35">
      <c r="E78" s="71"/>
    </row>
    <row r="79" spans="5:5" ht="15.75" customHeight="1" x14ac:dyDescent="0.35">
      <c r="E79" s="71"/>
    </row>
    <row r="80" spans="5:5" ht="15.75" customHeight="1" x14ac:dyDescent="0.35">
      <c r="E80" s="71"/>
    </row>
    <row r="81" spans="5:5" ht="15.75" customHeight="1" x14ac:dyDescent="0.35">
      <c r="E81" s="71"/>
    </row>
    <row r="82" spans="5:5" ht="15.75" customHeight="1" x14ac:dyDescent="0.35">
      <c r="E82" s="71"/>
    </row>
    <row r="83" spans="5:5" ht="15.75" customHeight="1" x14ac:dyDescent="0.35">
      <c r="E83" s="71"/>
    </row>
    <row r="84" spans="5:5" ht="15.75" customHeight="1" x14ac:dyDescent="0.35">
      <c r="E84" s="71"/>
    </row>
    <row r="85" spans="5:5" ht="15.75" customHeight="1" x14ac:dyDescent="0.35">
      <c r="E85" s="71"/>
    </row>
    <row r="86" spans="5:5" ht="15.75" customHeight="1" x14ac:dyDescent="0.35">
      <c r="E86" s="71"/>
    </row>
    <row r="87" spans="5:5" ht="15.75" customHeight="1" x14ac:dyDescent="0.35">
      <c r="E87" s="71"/>
    </row>
    <row r="88" spans="5:5" ht="15.75" customHeight="1" x14ac:dyDescent="0.35">
      <c r="E88" s="71"/>
    </row>
    <row r="89" spans="5:5" ht="15.75" customHeight="1" x14ac:dyDescent="0.35">
      <c r="E89" s="71"/>
    </row>
    <row r="90" spans="5:5" ht="15.75" customHeight="1" x14ac:dyDescent="0.35">
      <c r="E90" s="71"/>
    </row>
    <row r="91" spans="5:5" ht="15.75" customHeight="1" x14ac:dyDescent="0.35">
      <c r="E91" s="71"/>
    </row>
    <row r="92" spans="5:5" ht="15.75" customHeight="1" x14ac:dyDescent="0.35">
      <c r="E92" s="71"/>
    </row>
    <row r="93" spans="5:5" ht="15.75" customHeight="1" x14ac:dyDescent="0.35">
      <c r="E93" s="71"/>
    </row>
    <row r="94" spans="5:5" ht="15.75" customHeight="1" x14ac:dyDescent="0.35">
      <c r="E94" s="71"/>
    </row>
    <row r="95" spans="5:5" ht="15.75" customHeight="1" x14ac:dyDescent="0.35">
      <c r="E95" s="71"/>
    </row>
    <row r="96" spans="5:5" ht="15.75" customHeight="1" x14ac:dyDescent="0.35">
      <c r="E96" s="71"/>
    </row>
    <row r="97" spans="5:5" ht="15.75" customHeight="1" x14ac:dyDescent="0.35">
      <c r="E97" s="71"/>
    </row>
    <row r="98" spans="5:5" ht="15.75" customHeight="1" x14ac:dyDescent="0.35">
      <c r="E98" s="71"/>
    </row>
    <row r="99" spans="5:5" ht="15.75" customHeight="1" x14ac:dyDescent="0.35">
      <c r="E99" s="71"/>
    </row>
    <row r="100" spans="5:5" ht="15.75" customHeight="1" x14ac:dyDescent="0.35">
      <c r="E100" s="71"/>
    </row>
    <row r="101" spans="5:5" ht="15.75" customHeight="1" x14ac:dyDescent="0.35">
      <c r="E101" s="71"/>
    </row>
    <row r="102" spans="5:5" ht="15.75" customHeight="1" x14ac:dyDescent="0.35">
      <c r="E102" s="71"/>
    </row>
    <row r="103" spans="5:5" ht="15.75" customHeight="1" x14ac:dyDescent="0.35">
      <c r="E103" s="71"/>
    </row>
    <row r="104" spans="5:5" ht="15.75" customHeight="1" x14ac:dyDescent="0.35">
      <c r="E104" s="71"/>
    </row>
    <row r="105" spans="5:5" ht="15.75" customHeight="1" x14ac:dyDescent="0.35">
      <c r="E105" s="71"/>
    </row>
    <row r="106" spans="5:5" ht="15.75" customHeight="1" x14ac:dyDescent="0.35">
      <c r="E106" s="71"/>
    </row>
    <row r="107" spans="5:5" ht="15.75" customHeight="1" x14ac:dyDescent="0.35">
      <c r="E107" s="71"/>
    </row>
    <row r="108" spans="5:5" ht="15.75" customHeight="1" x14ac:dyDescent="0.35">
      <c r="E108" s="71"/>
    </row>
    <row r="109" spans="5:5" ht="15.75" customHeight="1" x14ac:dyDescent="0.35">
      <c r="E109" s="71"/>
    </row>
    <row r="110" spans="5:5" ht="15.75" customHeight="1" x14ac:dyDescent="0.35">
      <c r="E110" s="71"/>
    </row>
    <row r="111" spans="5:5" ht="15.75" customHeight="1" x14ac:dyDescent="0.35">
      <c r="E111" s="71"/>
    </row>
    <row r="112" spans="5:5" ht="15.75" customHeight="1" x14ac:dyDescent="0.35">
      <c r="E112" s="71"/>
    </row>
    <row r="113" spans="5:5" ht="15.75" customHeight="1" x14ac:dyDescent="0.35">
      <c r="E113" s="71"/>
    </row>
    <row r="114" spans="5:5" ht="15.75" customHeight="1" x14ac:dyDescent="0.35">
      <c r="E114" s="71"/>
    </row>
    <row r="115" spans="5:5" ht="15.75" customHeight="1" x14ac:dyDescent="0.35">
      <c r="E115" s="71"/>
    </row>
    <row r="116" spans="5:5" ht="15.75" customHeight="1" x14ac:dyDescent="0.35">
      <c r="E116" s="71"/>
    </row>
    <row r="117" spans="5:5" ht="15.75" customHeight="1" x14ac:dyDescent="0.35">
      <c r="E117" s="71"/>
    </row>
    <row r="118" spans="5:5" ht="15.75" customHeight="1" x14ac:dyDescent="0.35">
      <c r="E118" s="71"/>
    </row>
    <row r="119" spans="5:5" ht="15.75" customHeight="1" x14ac:dyDescent="0.35">
      <c r="E119" s="71"/>
    </row>
    <row r="120" spans="5:5" ht="15.75" customHeight="1" x14ac:dyDescent="0.35">
      <c r="E120" s="71"/>
    </row>
    <row r="121" spans="5:5" ht="15.75" customHeight="1" x14ac:dyDescent="0.35">
      <c r="E121" s="71"/>
    </row>
    <row r="122" spans="5:5" ht="15.75" customHeight="1" x14ac:dyDescent="0.35">
      <c r="E122" s="71"/>
    </row>
    <row r="123" spans="5:5" ht="15.75" customHeight="1" x14ac:dyDescent="0.35">
      <c r="E123" s="71"/>
    </row>
    <row r="124" spans="5:5" ht="15.75" customHeight="1" x14ac:dyDescent="0.35">
      <c r="E124" s="71"/>
    </row>
    <row r="125" spans="5:5" ht="15.75" customHeight="1" x14ac:dyDescent="0.35">
      <c r="E125" s="71"/>
    </row>
    <row r="126" spans="5:5" ht="15.75" customHeight="1" x14ac:dyDescent="0.35">
      <c r="E126" s="71"/>
    </row>
    <row r="127" spans="5:5" ht="15.75" customHeight="1" x14ac:dyDescent="0.35">
      <c r="E127" s="71"/>
    </row>
    <row r="128" spans="5:5" ht="15.75" customHeight="1" x14ac:dyDescent="0.35">
      <c r="E128" s="71"/>
    </row>
    <row r="129" spans="5:5" ht="15.75" customHeight="1" x14ac:dyDescent="0.35">
      <c r="E129" s="71"/>
    </row>
    <row r="130" spans="5:5" ht="15.75" customHeight="1" x14ac:dyDescent="0.35">
      <c r="E130" s="71"/>
    </row>
    <row r="131" spans="5:5" ht="15.75" customHeight="1" x14ac:dyDescent="0.35">
      <c r="E131" s="71"/>
    </row>
    <row r="132" spans="5:5" ht="15.75" customHeight="1" x14ac:dyDescent="0.35">
      <c r="E132" s="71"/>
    </row>
    <row r="133" spans="5:5" ht="15.75" customHeight="1" x14ac:dyDescent="0.35">
      <c r="E133" s="71"/>
    </row>
    <row r="134" spans="5:5" ht="15.75" customHeight="1" x14ac:dyDescent="0.35">
      <c r="E134" s="71"/>
    </row>
    <row r="135" spans="5:5" ht="15.75" customHeight="1" x14ac:dyDescent="0.35">
      <c r="E135" s="71"/>
    </row>
    <row r="136" spans="5:5" ht="15.75" customHeight="1" x14ac:dyDescent="0.35">
      <c r="E136" s="71"/>
    </row>
    <row r="137" spans="5:5" ht="15.75" customHeight="1" x14ac:dyDescent="0.35">
      <c r="E137" s="71"/>
    </row>
    <row r="138" spans="5:5" ht="15.75" customHeight="1" x14ac:dyDescent="0.35">
      <c r="E138" s="71"/>
    </row>
    <row r="139" spans="5:5" ht="15.75" customHeight="1" x14ac:dyDescent="0.35">
      <c r="E139" s="71"/>
    </row>
    <row r="140" spans="5:5" ht="15.75" customHeight="1" x14ac:dyDescent="0.35">
      <c r="E140" s="71"/>
    </row>
    <row r="141" spans="5:5" ht="15.75" customHeight="1" x14ac:dyDescent="0.35">
      <c r="E141" s="71"/>
    </row>
    <row r="142" spans="5:5" ht="15.75" customHeight="1" x14ac:dyDescent="0.35">
      <c r="E142" s="71"/>
    </row>
    <row r="143" spans="5:5" ht="15.75" customHeight="1" x14ac:dyDescent="0.35">
      <c r="E143" s="71"/>
    </row>
    <row r="144" spans="5:5" ht="15.75" customHeight="1" x14ac:dyDescent="0.35">
      <c r="E144" s="71"/>
    </row>
    <row r="145" spans="5:5" ht="15.75" customHeight="1" x14ac:dyDescent="0.35">
      <c r="E145" s="71"/>
    </row>
    <row r="146" spans="5:5" ht="15.75" customHeight="1" x14ac:dyDescent="0.35">
      <c r="E146" s="71"/>
    </row>
    <row r="147" spans="5:5" ht="15.75" customHeight="1" x14ac:dyDescent="0.35">
      <c r="E147" s="71"/>
    </row>
    <row r="148" spans="5:5" ht="15.75" customHeight="1" x14ac:dyDescent="0.35">
      <c r="E148" s="71"/>
    </row>
    <row r="149" spans="5:5" ht="15.75" customHeight="1" x14ac:dyDescent="0.35">
      <c r="E149" s="71"/>
    </row>
    <row r="150" spans="5:5" ht="15.75" customHeight="1" x14ac:dyDescent="0.35">
      <c r="E150" s="71"/>
    </row>
    <row r="151" spans="5:5" ht="15.75" customHeight="1" x14ac:dyDescent="0.35">
      <c r="E151" s="71"/>
    </row>
    <row r="152" spans="5:5" ht="15.75" customHeight="1" x14ac:dyDescent="0.35">
      <c r="E152" s="71"/>
    </row>
    <row r="153" spans="5:5" ht="15.75" customHeight="1" x14ac:dyDescent="0.35">
      <c r="E153" s="71"/>
    </row>
    <row r="154" spans="5:5" ht="15.75" customHeight="1" x14ac:dyDescent="0.35">
      <c r="E154" s="71"/>
    </row>
    <row r="155" spans="5:5" ht="15.75" customHeight="1" x14ac:dyDescent="0.35">
      <c r="E155" s="71"/>
    </row>
    <row r="156" spans="5:5" ht="15.75" customHeight="1" x14ac:dyDescent="0.35">
      <c r="E156" s="71"/>
    </row>
    <row r="157" spans="5:5" ht="15.75" customHeight="1" x14ac:dyDescent="0.35">
      <c r="E157" s="71"/>
    </row>
    <row r="158" spans="5:5" ht="15.75" customHeight="1" x14ac:dyDescent="0.35">
      <c r="E158" s="71"/>
    </row>
    <row r="159" spans="5:5" ht="15.75" customHeight="1" x14ac:dyDescent="0.35">
      <c r="E159" s="71"/>
    </row>
    <row r="160" spans="5:5" ht="15.75" customHeight="1" x14ac:dyDescent="0.35">
      <c r="E160" s="71"/>
    </row>
    <row r="161" spans="5:5" ht="15.75" customHeight="1" x14ac:dyDescent="0.35">
      <c r="E161" s="71"/>
    </row>
    <row r="162" spans="5:5" ht="15.75" customHeight="1" x14ac:dyDescent="0.35">
      <c r="E162" s="71"/>
    </row>
    <row r="163" spans="5:5" ht="15.75" customHeight="1" x14ac:dyDescent="0.35">
      <c r="E163" s="71"/>
    </row>
    <row r="164" spans="5:5" ht="15.75" customHeight="1" x14ac:dyDescent="0.35">
      <c r="E164" s="71"/>
    </row>
    <row r="165" spans="5:5" ht="15.75" customHeight="1" x14ac:dyDescent="0.35">
      <c r="E165" s="71"/>
    </row>
    <row r="166" spans="5:5" ht="15.75" customHeight="1" x14ac:dyDescent="0.35">
      <c r="E166" s="71"/>
    </row>
    <row r="167" spans="5:5" ht="15.75" customHeight="1" x14ac:dyDescent="0.35">
      <c r="E167" s="71"/>
    </row>
    <row r="168" spans="5:5" ht="15.75" customHeight="1" x14ac:dyDescent="0.35">
      <c r="E168" s="71"/>
    </row>
    <row r="169" spans="5:5" ht="15.75" customHeight="1" x14ac:dyDescent="0.35">
      <c r="E169" s="71"/>
    </row>
    <row r="170" spans="5:5" ht="15.75" customHeight="1" x14ac:dyDescent="0.35">
      <c r="E170" s="71"/>
    </row>
    <row r="171" spans="5:5" ht="15.75" customHeight="1" x14ac:dyDescent="0.35">
      <c r="E171" s="71"/>
    </row>
    <row r="172" spans="5:5" ht="15.75" customHeight="1" x14ac:dyDescent="0.35">
      <c r="E172" s="71"/>
    </row>
    <row r="173" spans="5:5" ht="15.75" customHeight="1" x14ac:dyDescent="0.35">
      <c r="E173" s="71"/>
    </row>
    <row r="174" spans="5:5" ht="15.75" customHeight="1" x14ac:dyDescent="0.35">
      <c r="E174" s="71"/>
    </row>
    <row r="175" spans="5:5" ht="15.75" customHeight="1" x14ac:dyDescent="0.35">
      <c r="E175" s="71"/>
    </row>
    <row r="176" spans="5:5" ht="15.75" customHeight="1" x14ac:dyDescent="0.35">
      <c r="E176" s="71"/>
    </row>
    <row r="177" spans="5:5" ht="15.75" customHeight="1" x14ac:dyDescent="0.35">
      <c r="E177" s="71"/>
    </row>
    <row r="178" spans="5:5" ht="15.75" customHeight="1" x14ac:dyDescent="0.35">
      <c r="E178" s="71"/>
    </row>
    <row r="179" spans="5:5" ht="15.75" customHeight="1" x14ac:dyDescent="0.35">
      <c r="E179" s="71"/>
    </row>
    <row r="180" spans="5:5" ht="15.75" customHeight="1" x14ac:dyDescent="0.35">
      <c r="E180" s="71"/>
    </row>
    <row r="181" spans="5:5" ht="15.75" customHeight="1" x14ac:dyDescent="0.35">
      <c r="E181" s="71"/>
    </row>
    <row r="182" spans="5:5" ht="15.75" customHeight="1" x14ac:dyDescent="0.35">
      <c r="E182" s="71"/>
    </row>
    <row r="183" spans="5:5" ht="15.75" customHeight="1" x14ac:dyDescent="0.35">
      <c r="E183" s="71"/>
    </row>
    <row r="184" spans="5:5" ht="15.75" customHeight="1" x14ac:dyDescent="0.35">
      <c r="E184" s="71"/>
    </row>
    <row r="185" spans="5:5" ht="15.75" customHeight="1" x14ac:dyDescent="0.35">
      <c r="E185" s="71"/>
    </row>
    <row r="186" spans="5:5" ht="15.75" customHeight="1" x14ac:dyDescent="0.35">
      <c r="E186" s="71"/>
    </row>
    <row r="187" spans="5:5" ht="15.75" customHeight="1" x14ac:dyDescent="0.35">
      <c r="E187" s="71"/>
    </row>
    <row r="188" spans="5:5" ht="15.75" customHeight="1" x14ac:dyDescent="0.35">
      <c r="E188" s="71"/>
    </row>
    <row r="189" spans="5:5" ht="15.75" customHeight="1" x14ac:dyDescent="0.35">
      <c r="E189" s="71"/>
    </row>
    <row r="190" spans="5:5" ht="15.75" customHeight="1" x14ac:dyDescent="0.35">
      <c r="E190" s="71"/>
    </row>
    <row r="191" spans="5:5" ht="15.75" customHeight="1" x14ac:dyDescent="0.35">
      <c r="E191" s="71"/>
    </row>
    <row r="192" spans="5:5" ht="15.75" customHeight="1" x14ac:dyDescent="0.35">
      <c r="E192" s="71"/>
    </row>
    <row r="193" spans="5:5" ht="15.75" customHeight="1" x14ac:dyDescent="0.35">
      <c r="E193" s="71"/>
    </row>
    <row r="194" spans="5:5" ht="15.75" customHeight="1" x14ac:dyDescent="0.35">
      <c r="E194" s="71"/>
    </row>
    <row r="195" spans="5:5" ht="15.75" customHeight="1" x14ac:dyDescent="0.35">
      <c r="E195" s="71"/>
    </row>
    <row r="196" spans="5:5" ht="15.75" customHeight="1" x14ac:dyDescent="0.35">
      <c r="E196" s="71"/>
    </row>
    <row r="197" spans="5:5" ht="15.75" customHeight="1" x14ac:dyDescent="0.35">
      <c r="E197" s="71"/>
    </row>
    <row r="198" spans="5:5" ht="15.75" customHeight="1" x14ac:dyDescent="0.35">
      <c r="E198" s="71"/>
    </row>
    <row r="199" spans="5:5" ht="15.75" customHeight="1" x14ac:dyDescent="0.35">
      <c r="E199" s="71"/>
    </row>
    <row r="200" spans="5:5" ht="15.75" customHeight="1" x14ac:dyDescent="0.35">
      <c r="E200" s="71"/>
    </row>
    <row r="201" spans="5:5" ht="15.75" customHeight="1" x14ac:dyDescent="0.35">
      <c r="E201" s="71"/>
    </row>
    <row r="202" spans="5:5" ht="15.75" customHeight="1" x14ac:dyDescent="0.35">
      <c r="E202" s="71"/>
    </row>
    <row r="203" spans="5:5" ht="15.75" customHeight="1" x14ac:dyDescent="0.35">
      <c r="E203" s="71"/>
    </row>
    <row r="204" spans="5:5" ht="15.75" customHeight="1" x14ac:dyDescent="0.35">
      <c r="E204" s="71"/>
    </row>
    <row r="205" spans="5:5" ht="15.75" customHeight="1" x14ac:dyDescent="0.35">
      <c r="E205" s="71"/>
    </row>
    <row r="206" spans="5:5" ht="15.75" customHeight="1" x14ac:dyDescent="0.35">
      <c r="E206" s="71"/>
    </row>
    <row r="207" spans="5:5" ht="15.75" customHeight="1" x14ac:dyDescent="0.35">
      <c r="E207" s="71"/>
    </row>
    <row r="208" spans="5:5" ht="15.75" customHeight="1" x14ac:dyDescent="0.35">
      <c r="E208" s="71"/>
    </row>
    <row r="209" spans="5:5" ht="15.75" customHeight="1" x14ac:dyDescent="0.35">
      <c r="E209" s="71"/>
    </row>
    <row r="210" spans="5:5" ht="15.75" customHeight="1" x14ac:dyDescent="0.35">
      <c r="E210" s="71"/>
    </row>
    <row r="211" spans="5:5" ht="15.75" customHeight="1" x14ac:dyDescent="0.35">
      <c r="E211" s="71"/>
    </row>
    <row r="212" spans="5:5" ht="15.75" customHeight="1" x14ac:dyDescent="0.35">
      <c r="E212" s="71"/>
    </row>
    <row r="213" spans="5:5" ht="15.75" customHeight="1" x14ac:dyDescent="0.35">
      <c r="E213" s="71"/>
    </row>
    <row r="214" spans="5:5" ht="15.75" customHeight="1" x14ac:dyDescent="0.35">
      <c r="E214" s="71"/>
    </row>
    <row r="215" spans="5:5" ht="15.75" customHeight="1" x14ac:dyDescent="0.35">
      <c r="E215" s="71"/>
    </row>
    <row r="216" spans="5:5" ht="15.75" customHeight="1" x14ac:dyDescent="0.35">
      <c r="E216" s="71"/>
    </row>
    <row r="217" spans="5:5" ht="15.75" customHeight="1" x14ac:dyDescent="0.35">
      <c r="E217" s="71"/>
    </row>
    <row r="218" spans="5:5" ht="15.75" customHeight="1" x14ac:dyDescent="0.35">
      <c r="E218" s="71"/>
    </row>
    <row r="219" spans="5:5" ht="15.75" customHeight="1" x14ac:dyDescent="0.35">
      <c r="E219" s="71"/>
    </row>
    <row r="220" spans="5:5" ht="15.75" customHeight="1" x14ac:dyDescent="0.35">
      <c r="E220" s="71"/>
    </row>
    <row r="221" spans="5:5" ht="15.75" customHeight="1" x14ac:dyDescent="0.35">
      <c r="E221" s="71"/>
    </row>
    <row r="222" spans="5:5" ht="15.75" customHeight="1" x14ac:dyDescent="0.35">
      <c r="E222" s="71"/>
    </row>
    <row r="223" spans="5:5" ht="15.75" customHeight="1" x14ac:dyDescent="0.35">
      <c r="E223" s="71"/>
    </row>
    <row r="224" spans="5:5" ht="15.75" customHeight="1" x14ac:dyDescent="0.35">
      <c r="E224" s="71"/>
    </row>
    <row r="225" spans="5:5" ht="15.75" customHeight="1" x14ac:dyDescent="0.35">
      <c r="E225" s="71"/>
    </row>
    <row r="226" spans="5:5" ht="15.75" customHeight="1" x14ac:dyDescent="0.35">
      <c r="E226" s="71"/>
    </row>
    <row r="227" spans="5:5" ht="15.75" customHeight="1" x14ac:dyDescent="0.35">
      <c r="E227" s="71"/>
    </row>
    <row r="228" spans="5:5" ht="15.75" customHeight="1" x14ac:dyDescent="0.35">
      <c r="E228" s="71"/>
    </row>
    <row r="229" spans="5:5" ht="15.75" customHeight="1" x14ac:dyDescent="0.35">
      <c r="E229" s="71"/>
    </row>
    <row r="230" spans="5:5" ht="15.75" customHeight="1" x14ac:dyDescent="0.35">
      <c r="E230" s="71"/>
    </row>
    <row r="231" spans="5:5" ht="15.75" customHeight="1" x14ac:dyDescent="0.35">
      <c r="E231" s="71"/>
    </row>
    <row r="232" spans="5:5" ht="15.75" customHeight="1" x14ac:dyDescent="0.35">
      <c r="E232" s="71"/>
    </row>
    <row r="233" spans="5:5" ht="15.75" customHeight="1" x14ac:dyDescent="0.35">
      <c r="E233" s="71"/>
    </row>
    <row r="234" spans="5:5" ht="15.75" customHeight="1" x14ac:dyDescent="0.35">
      <c r="E234" s="71"/>
    </row>
    <row r="235" spans="5:5" ht="15.75" customHeight="1" x14ac:dyDescent="0.35">
      <c r="E235" s="71"/>
    </row>
    <row r="236" spans="5:5" ht="15.75" customHeight="1" x14ac:dyDescent="0.35">
      <c r="E236" s="71"/>
    </row>
    <row r="237" spans="5:5" ht="15.75" customHeight="1" x14ac:dyDescent="0.35">
      <c r="E237" s="71"/>
    </row>
    <row r="238" spans="5:5" ht="15.75" customHeight="1" x14ac:dyDescent="0.35">
      <c r="E238" s="71"/>
    </row>
    <row r="239" spans="5:5" ht="15.75" customHeight="1" x14ac:dyDescent="0.35">
      <c r="E239" s="71"/>
    </row>
    <row r="240" spans="5:5" ht="15.75" customHeight="1" x14ac:dyDescent="0.35">
      <c r="E240" s="71"/>
    </row>
    <row r="241" spans="5:5" ht="15.75" customHeight="1" x14ac:dyDescent="0.35">
      <c r="E241" s="71"/>
    </row>
    <row r="242" spans="5:5" ht="15.75" customHeight="1" x14ac:dyDescent="0.35">
      <c r="E242" s="71"/>
    </row>
    <row r="243" spans="5:5" ht="15.75" customHeight="1" x14ac:dyDescent="0.35">
      <c r="E243" s="71"/>
    </row>
    <row r="244" spans="5:5" ht="15.75" customHeight="1" x14ac:dyDescent="0.3"/>
    <row r="245" spans="5:5" ht="15.75" customHeight="1" x14ac:dyDescent="0.3"/>
    <row r="246" spans="5:5" ht="15.75" customHeight="1" x14ac:dyDescent="0.3"/>
    <row r="247" spans="5:5" ht="15.75" customHeight="1" x14ac:dyDescent="0.3"/>
    <row r="248" spans="5:5" ht="15.75" customHeight="1" x14ac:dyDescent="0.3"/>
    <row r="249" spans="5:5" ht="15.75" customHeight="1" x14ac:dyDescent="0.3"/>
    <row r="250" spans="5:5" ht="15.75" customHeight="1" x14ac:dyDescent="0.3"/>
    <row r="251" spans="5:5" ht="15.75" customHeight="1" x14ac:dyDescent="0.3"/>
    <row r="252" spans="5:5" ht="15.75" customHeight="1" x14ac:dyDescent="0.3"/>
    <row r="253" spans="5:5" ht="15.75" customHeight="1" x14ac:dyDescent="0.3"/>
    <row r="254" spans="5:5" ht="15.75" customHeight="1" x14ac:dyDescent="0.3"/>
    <row r="255" spans="5:5" ht="15.75" customHeight="1" x14ac:dyDescent="0.3"/>
    <row r="256" spans="5:5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</sheetData>
  <mergeCells count="27">
    <mergeCell ref="I15:I18"/>
    <mergeCell ref="I8:AI8"/>
    <mergeCell ref="A1:AI1"/>
    <mergeCell ref="A2:AI2"/>
    <mergeCell ref="A3:AI3"/>
    <mergeCell ref="A8:A9"/>
    <mergeCell ref="B8:B9"/>
    <mergeCell ref="C8:C9"/>
    <mergeCell ref="E8:E9"/>
    <mergeCell ref="F8:F9"/>
    <mergeCell ref="G8:G9"/>
    <mergeCell ref="D15:D18"/>
    <mergeCell ref="A40:C40"/>
    <mergeCell ref="H8:H9"/>
    <mergeCell ref="D32:F32"/>
    <mergeCell ref="D33:F33"/>
    <mergeCell ref="F15:F18"/>
    <mergeCell ref="G15:G18"/>
    <mergeCell ref="H15:H18"/>
    <mergeCell ref="A41:C41"/>
    <mergeCell ref="K33:AG33"/>
    <mergeCell ref="K34:AG34"/>
    <mergeCell ref="D30:F30"/>
    <mergeCell ref="D31:F31"/>
    <mergeCell ref="I31:J31"/>
    <mergeCell ref="K31:AG31"/>
    <mergeCell ref="K32:AG32"/>
  </mergeCells>
  <pageMargins left="0.46" right="0.28999999999999998" top="0.51" bottom="0.36" header="0" footer="0"/>
  <pageSetup paperSize="41" scale="60" fitToHeight="0" orientation="landscape" r:id="rId1"/>
  <colBreaks count="1" manualBreakCount="1"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5357F-F242-43A3-90AF-06B2373FB893}">
  <dimension ref="A1:AM936"/>
  <sheetViews>
    <sheetView tabSelected="1" view="pageBreakPreview" topLeftCell="A13" zoomScaleNormal="100" zoomScaleSheetLayoutView="100" workbookViewId="0">
      <selection activeCell="C29" sqref="C29"/>
    </sheetView>
  </sheetViews>
  <sheetFormatPr defaultColWidth="12.58203125" defaultRowHeight="15" customHeight="1" x14ac:dyDescent="0.3"/>
  <cols>
    <col min="1" max="1" width="10.6640625" customWidth="1"/>
    <col min="2" max="2" width="11.08203125" customWidth="1"/>
    <col min="3" max="3" width="56.9140625" customWidth="1"/>
    <col min="4" max="4" width="11.58203125" customWidth="1"/>
    <col min="5" max="5" width="10.08203125" customWidth="1"/>
    <col min="6" max="6" width="16.9140625" customWidth="1"/>
    <col min="7" max="7" width="28.1640625" customWidth="1"/>
    <col min="8" max="8" width="15.33203125" customWidth="1"/>
    <col min="9" max="13" width="7.58203125" customWidth="1"/>
    <col min="14" max="34" width="0.4140625" customWidth="1"/>
    <col min="35" max="35" width="22.58203125" customWidth="1"/>
    <col min="36" max="37" width="7.58203125" customWidth="1"/>
  </cols>
  <sheetData>
    <row r="1" spans="1:39" ht="15.5" x14ac:dyDescent="0.3">
      <c r="A1" s="135" t="s">
        <v>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"/>
      <c r="AK1" s="1"/>
    </row>
    <row r="2" spans="1:39" ht="14" x14ac:dyDescent="0.3">
      <c r="A2" s="136" t="s">
        <v>115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"/>
      <c r="AK2" s="1"/>
    </row>
    <row r="3" spans="1:39" ht="14" x14ac:dyDescent="0.3">
      <c r="A3" s="137"/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9"/>
      <c r="AE3" s="119"/>
      <c r="AF3" s="119"/>
      <c r="AG3" s="119"/>
      <c r="AH3" s="119"/>
      <c r="AI3" s="119"/>
      <c r="AJ3" s="1"/>
      <c r="AK3" s="1"/>
    </row>
    <row r="4" spans="1:39" ht="15.5" x14ac:dyDescent="0.3">
      <c r="A4" s="2" t="s">
        <v>1</v>
      </c>
      <c r="B4" s="3"/>
      <c r="C4" s="3"/>
      <c r="D4" s="3"/>
      <c r="E4" s="4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1"/>
      <c r="AJ4" s="1"/>
      <c r="AK4" s="1"/>
    </row>
    <row r="5" spans="1:39" ht="15.5" x14ac:dyDescent="0.3">
      <c r="A5" s="5"/>
      <c r="B5" s="3"/>
      <c r="C5" s="3"/>
      <c r="D5" s="1"/>
      <c r="E5" s="6"/>
      <c r="F5" s="7"/>
      <c r="G5" s="8"/>
      <c r="H5" s="8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9" ht="15.5" x14ac:dyDescent="0.3">
      <c r="A6" s="2" t="s">
        <v>2</v>
      </c>
      <c r="B6" s="3"/>
      <c r="C6" s="3"/>
      <c r="D6" s="1"/>
      <c r="E6" s="6"/>
      <c r="F6" s="7"/>
      <c r="G6" s="8"/>
      <c r="H6" s="8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9" ht="16" thickBot="1" x14ac:dyDescent="0.35">
      <c r="A7" s="5" t="s">
        <v>3</v>
      </c>
      <c r="B7" s="3"/>
      <c r="C7" s="3"/>
      <c r="D7" s="1"/>
      <c r="E7" s="6"/>
      <c r="F7" s="7"/>
      <c r="G7" s="8"/>
      <c r="H7" s="8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9" ht="22.5" customHeight="1" x14ac:dyDescent="0.3">
      <c r="A8" s="138" t="s">
        <v>4</v>
      </c>
      <c r="B8" s="130" t="s">
        <v>5</v>
      </c>
      <c r="C8" s="130" t="s">
        <v>6</v>
      </c>
      <c r="D8" s="9" t="s">
        <v>7</v>
      </c>
      <c r="E8" s="140" t="s">
        <v>8</v>
      </c>
      <c r="F8" s="141" t="s">
        <v>9</v>
      </c>
      <c r="G8" s="130" t="s">
        <v>10</v>
      </c>
      <c r="H8" s="130" t="s">
        <v>11</v>
      </c>
      <c r="I8" s="150" t="s">
        <v>12</v>
      </c>
      <c r="J8" s="151"/>
      <c r="K8" s="151"/>
      <c r="L8" s="151"/>
      <c r="M8" s="151"/>
      <c r="N8" s="151"/>
      <c r="O8" s="151"/>
      <c r="P8" s="151"/>
      <c r="Q8" s="151"/>
      <c r="R8" s="151"/>
      <c r="S8" s="151"/>
      <c r="T8" s="151"/>
      <c r="U8" s="151"/>
      <c r="V8" s="151"/>
      <c r="W8" s="151"/>
      <c r="X8" s="151"/>
      <c r="Y8" s="151"/>
      <c r="Z8" s="151"/>
      <c r="AA8" s="151"/>
      <c r="AB8" s="151"/>
      <c r="AC8" s="151"/>
      <c r="AD8" s="151"/>
      <c r="AE8" s="151"/>
      <c r="AF8" s="151"/>
      <c r="AG8" s="151"/>
      <c r="AH8" s="151"/>
      <c r="AI8" s="152"/>
      <c r="AJ8" s="10"/>
      <c r="AK8" s="10"/>
      <c r="AL8" s="11"/>
      <c r="AM8" s="11"/>
    </row>
    <row r="9" spans="1:39" ht="23.5" thickBot="1" x14ac:dyDescent="0.35">
      <c r="A9" s="139"/>
      <c r="B9" s="131"/>
      <c r="C9" s="131"/>
      <c r="D9" s="12" t="s">
        <v>13</v>
      </c>
      <c r="E9" s="131"/>
      <c r="F9" s="131"/>
      <c r="G9" s="131"/>
      <c r="H9" s="131"/>
      <c r="I9" s="12" t="s">
        <v>105</v>
      </c>
      <c r="J9" s="12" t="s">
        <v>106</v>
      </c>
      <c r="K9" s="12" t="s">
        <v>107</v>
      </c>
      <c r="L9" s="13" t="s">
        <v>14</v>
      </c>
      <c r="M9" s="13" t="s">
        <v>15</v>
      </c>
      <c r="N9" s="12" t="s">
        <v>16</v>
      </c>
      <c r="O9" s="12" t="s">
        <v>17</v>
      </c>
      <c r="P9" s="12" t="s">
        <v>18</v>
      </c>
      <c r="Q9" s="12" t="s">
        <v>19</v>
      </c>
      <c r="R9" s="12" t="s">
        <v>20</v>
      </c>
      <c r="S9" s="12" t="s">
        <v>21</v>
      </c>
      <c r="T9" s="12" t="s">
        <v>22</v>
      </c>
      <c r="U9" s="12" t="s">
        <v>23</v>
      </c>
      <c r="V9" s="12" t="s">
        <v>24</v>
      </c>
      <c r="W9" s="12" t="s">
        <v>25</v>
      </c>
      <c r="X9" s="12" t="s">
        <v>26</v>
      </c>
      <c r="Y9" s="12" t="s">
        <v>27</v>
      </c>
      <c r="Z9" s="12" t="s">
        <v>28</v>
      </c>
      <c r="AA9" s="12" t="s">
        <v>29</v>
      </c>
      <c r="AB9" s="12" t="s">
        <v>30</v>
      </c>
      <c r="AC9" s="12" t="s">
        <v>31</v>
      </c>
      <c r="AD9" s="12" t="s">
        <v>32</v>
      </c>
      <c r="AE9" s="12" t="s">
        <v>33</v>
      </c>
      <c r="AF9" s="12" t="s">
        <v>34</v>
      </c>
      <c r="AG9" s="12" t="s">
        <v>35</v>
      </c>
      <c r="AH9" s="12" t="s">
        <v>36</v>
      </c>
      <c r="AI9" s="14" t="s">
        <v>37</v>
      </c>
      <c r="AJ9" s="15"/>
      <c r="AK9" s="10"/>
      <c r="AL9" s="11"/>
      <c r="AM9" s="11"/>
    </row>
    <row r="10" spans="1:39" ht="46.5" thickBot="1" x14ac:dyDescent="0.35">
      <c r="A10" s="16" t="s">
        <v>38</v>
      </c>
      <c r="B10" s="17" t="s">
        <v>39</v>
      </c>
      <c r="C10" s="17" t="s">
        <v>40</v>
      </c>
      <c r="D10" s="17" t="s">
        <v>41</v>
      </c>
      <c r="E10" s="18" t="s">
        <v>42</v>
      </c>
      <c r="F10" s="19" t="s">
        <v>43</v>
      </c>
      <c r="G10" s="17" t="s">
        <v>44</v>
      </c>
      <c r="H10" s="17" t="s">
        <v>45</v>
      </c>
      <c r="I10" s="17" t="s">
        <v>46</v>
      </c>
      <c r="J10" s="17" t="s">
        <v>47</v>
      </c>
      <c r="K10" s="17" t="s">
        <v>48</v>
      </c>
      <c r="L10" s="17" t="s">
        <v>49</v>
      </c>
      <c r="M10" s="17" t="s">
        <v>50</v>
      </c>
      <c r="N10" s="17" t="s">
        <v>51</v>
      </c>
      <c r="O10" s="17" t="s">
        <v>52</v>
      </c>
      <c r="P10" s="17" t="s">
        <v>53</v>
      </c>
      <c r="Q10" s="17" t="s">
        <v>54</v>
      </c>
      <c r="R10" s="17" t="s">
        <v>55</v>
      </c>
      <c r="S10" s="17" t="s">
        <v>56</v>
      </c>
      <c r="T10" s="17" t="s">
        <v>57</v>
      </c>
      <c r="U10" s="17" t="s">
        <v>58</v>
      </c>
      <c r="V10" s="17" t="s">
        <v>59</v>
      </c>
      <c r="W10" s="17" t="s">
        <v>60</v>
      </c>
      <c r="X10" s="17" t="s">
        <v>61</v>
      </c>
      <c r="Y10" s="17" t="s">
        <v>62</v>
      </c>
      <c r="Z10" s="17" t="s">
        <v>63</v>
      </c>
      <c r="AA10" s="17" t="s">
        <v>64</v>
      </c>
      <c r="AB10" s="17" t="s">
        <v>65</v>
      </c>
      <c r="AC10" s="17" t="s">
        <v>66</v>
      </c>
      <c r="AD10" s="17" t="s">
        <v>67</v>
      </c>
      <c r="AE10" s="17" t="s">
        <v>68</v>
      </c>
      <c r="AF10" s="17" t="s">
        <v>69</v>
      </c>
      <c r="AG10" s="17" t="s">
        <v>70</v>
      </c>
      <c r="AH10" s="17" t="s">
        <v>71</v>
      </c>
      <c r="AI10" s="20" t="s">
        <v>72</v>
      </c>
      <c r="AJ10" s="10"/>
      <c r="AK10" s="10"/>
      <c r="AL10" s="11"/>
      <c r="AM10" s="11"/>
    </row>
    <row r="11" spans="1:39" ht="18.75" customHeight="1" x14ac:dyDescent="0.3">
      <c r="A11" s="21" t="s">
        <v>73</v>
      </c>
      <c r="B11" s="22"/>
      <c r="C11" s="23" t="s">
        <v>74</v>
      </c>
      <c r="D11" s="24"/>
      <c r="E11" s="25"/>
      <c r="F11" s="26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7"/>
      <c r="AJ11" s="28"/>
      <c r="AK11" s="28"/>
    </row>
    <row r="12" spans="1:39" ht="15.75" customHeight="1" x14ac:dyDescent="0.3">
      <c r="A12" s="29"/>
      <c r="B12" s="30"/>
      <c r="C12" s="82" t="s">
        <v>103</v>
      </c>
      <c r="D12" s="90">
        <v>1</v>
      </c>
      <c r="E12" s="83">
        <v>12800</v>
      </c>
      <c r="F12" s="85">
        <f>E12</f>
        <v>12800</v>
      </c>
      <c r="G12" s="91" t="s">
        <v>76</v>
      </c>
      <c r="H12" s="89" t="s">
        <v>104</v>
      </c>
      <c r="I12" s="87">
        <v>1</v>
      </c>
      <c r="J12" s="32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28"/>
      <c r="AK12" s="28"/>
    </row>
    <row r="13" spans="1:39" ht="15.75" customHeight="1" x14ac:dyDescent="0.3">
      <c r="A13" s="29"/>
      <c r="B13" s="30"/>
      <c r="C13" s="82" t="s">
        <v>108</v>
      </c>
      <c r="D13" s="92">
        <v>2</v>
      </c>
      <c r="E13" s="83">
        <v>2400</v>
      </c>
      <c r="F13" s="93">
        <f>E13*2</f>
        <v>4800</v>
      </c>
      <c r="G13" s="91" t="s">
        <v>76</v>
      </c>
      <c r="H13" s="89" t="s">
        <v>104</v>
      </c>
      <c r="I13" s="87">
        <v>2</v>
      </c>
      <c r="J13" s="32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28"/>
      <c r="AK13" s="28"/>
    </row>
    <row r="14" spans="1:39" ht="15.75" customHeight="1" x14ac:dyDescent="0.3">
      <c r="A14" s="29"/>
      <c r="B14" s="30"/>
      <c r="C14" s="105" t="s">
        <v>109</v>
      </c>
      <c r="D14" s="94">
        <v>2</v>
      </c>
      <c r="E14" s="83">
        <v>5500</v>
      </c>
      <c r="F14" s="95">
        <f>E14*2</f>
        <v>11000</v>
      </c>
      <c r="G14" s="91" t="s">
        <v>76</v>
      </c>
      <c r="H14" s="89" t="s">
        <v>104</v>
      </c>
      <c r="I14" s="87">
        <v>2</v>
      </c>
      <c r="J14" s="32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28"/>
      <c r="AK14" s="28"/>
    </row>
    <row r="15" spans="1:39" ht="15.75" customHeight="1" x14ac:dyDescent="0.3">
      <c r="A15" s="29"/>
      <c r="B15" s="30" t="s">
        <v>77</v>
      </c>
      <c r="C15" s="106" t="s">
        <v>117</v>
      </c>
      <c r="D15" s="126" t="s">
        <v>75</v>
      </c>
      <c r="E15" s="107">
        <v>5400</v>
      </c>
      <c r="F15" s="142">
        <v>46800</v>
      </c>
      <c r="G15" s="143" t="s">
        <v>78</v>
      </c>
      <c r="H15" s="146" t="s">
        <v>104</v>
      </c>
      <c r="I15" s="147">
        <v>1</v>
      </c>
      <c r="J15" s="32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28"/>
      <c r="AK15" s="28"/>
    </row>
    <row r="16" spans="1:39" ht="13.5" customHeight="1" x14ac:dyDescent="0.3">
      <c r="A16" s="37"/>
      <c r="B16" s="30" t="s">
        <v>79</v>
      </c>
      <c r="C16" s="106" t="s">
        <v>114</v>
      </c>
      <c r="D16" s="127"/>
      <c r="E16" s="107">
        <v>6000</v>
      </c>
      <c r="F16" s="142"/>
      <c r="G16" s="144"/>
      <c r="H16" s="146"/>
      <c r="I16" s="148"/>
      <c r="J16" s="32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28"/>
      <c r="AK16" s="28"/>
    </row>
    <row r="17" spans="1:37" ht="13.5" customHeight="1" x14ac:dyDescent="0.3">
      <c r="A17" s="37"/>
      <c r="B17" s="30" t="s">
        <v>80</v>
      </c>
      <c r="C17" s="106" t="s">
        <v>112</v>
      </c>
      <c r="D17" s="127"/>
      <c r="E17" s="107">
        <v>6000</v>
      </c>
      <c r="F17" s="142"/>
      <c r="G17" s="144"/>
      <c r="H17" s="146"/>
      <c r="I17" s="148"/>
      <c r="J17" s="32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28"/>
      <c r="AK17" s="28"/>
    </row>
    <row r="18" spans="1:37" ht="13.5" customHeight="1" x14ac:dyDescent="0.3">
      <c r="A18" s="29"/>
      <c r="B18" s="30" t="s">
        <v>81</v>
      </c>
      <c r="C18" s="106" t="s">
        <v>113</v>
      </c>
      <c r="D18" s="128"/>
      <c r="E18" s="107">
        <v>6000</v>
      </c>
      <c r="F18" s="142"/>
      <c r="G18" s="145"/>
      <c r="H18" s="146"/>
      <c r="I18" s="149"/>
      <c r="J18" s="32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28"/>
      <c r="AK18" s="28"/>
    </row>
    <row r="19" spans="1:37" ht="13.5" customHeight="1" x14ac:dyDescent="0.3">
      <c r="A19" s="29"/>
      <c r="B19" s="36"/>
      <c r="C19" s="40"/>
      <c r="D19" s="31"/>
      <c r="E19" s="98"/>
      <c r="F19" s="84"/>
      <c r="G19" s="86"/>
      <c r="H19" s="88"/>
      <c r="I19" s="32"/>
      <c r="J19" s="32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28"/>
      <c r="AK19" s="28"/>
    </row>
    <row r="20" spans="1:37" ht="13.5" customHeight="1" x14ac:dyDescent="0.3">
      <c r="A20" s="72"/>
      <c r="B20" s="41"/>
      <c r="C20" s="73"/>
      <c r="D20" s="74"/>
      <c r="E20" s="75"/>
      <c r="F20" s="76"/>
      <c r="G20" s="30"/>
      <c r="H20" s="39"/>
      <c r="I20" s="32"/>
      <c r="J20" s="32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28"/>
      <c r="AK20" s="28"/>
    </row>
    <row r="21" spans="1:37" ht="13.5" customHeight="1" x14ac:dyDescent="0.3">
      <c r="A21" s="43" t="s">
        <v>82</v>
      </c>
      <c r="B21" s="44"/>
      <c r="C21" s="45" t="s">
        <v>83</v>
      </c>
      <c r="D21" s="46"/>
      <c r="E21" s="47"/>
      <c r="F21" s="48"/>
      <c r="G21" s="52"/>
      <c r="H21" s="49"/>
      <c r="I21" s="50"/>
      <c r="J21" s="50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28"/>
      <c r="AK21" s="28"/>
    </row>
    <row r="22" spans="1:37" ht="14" x14ac:dyDescent="0.3">
      <c r="A22" s="72"/>
      <c r="B22" s="30"/>
      <c r="C22" s="96" t="s">
        <v>111</v>
      </c>
      <c r="D22" s="103">
        <v>3</v>
      </c>
      <c r="E22" s="104">
        <v>20000</v>
      </c>
      <c r="F22" s="104">
        <f>E22*3</f>
        <v>60000</v>
      </c>
      <c r="G22" s="99"/>
      <c r="H22" s="89" t="s">
        <v>104</v>
      </c>
      <c r="I22" s="32">
        <v>3</v>
      </c>
      <c r="J22" s="32"/>
      <c r="K22" s="35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28"/>
      <c r="AK22" s="28"/>
    </row>
    <row r="23" spans="1:37" ht="14" x14ac:dyDescent="0.3">
      <c r="A23" s="72"/>
      <c r="B23" s="30"/>
      <c r="C23" s="96"/>
      <c r="D23" s="99"/>
      <c r="E23" s="99"/>
      <c r="F23" s="99"/>
      <c r="G23" s="99"/>
      <c r="H23" s="97"/>
      <c r="I23" s="32"/>
      <c r="J23" s="32"/>
      <c r="K23" s="35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28"/>
      <c r="AK23" s="28"/>
    </row>
    <row r="24" spans="1:37" ht="13.5" customHeight="1" x14ac:dyDescent="0.3">
      <c r="A24" s="43"/>
      <c r="B24" s="108"/>
      <c r="C24" s="45" t="s">
        <v>116</v>
      </c>
      <c r="D24" s="46"/>
      <c r="E24" s="47"/>
      <c r="F24" s="48"/>
      <c r="G24" s="52"/>
      <c r="H24" s="49"/>
      <c r="I24" s="50"/>
      <c r="J24" s="50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28"/>
      <c r="AK24" s="28"/>
    </row>
    <row r="25" spans="1:37" s="80" customFormat="1" ht="13.5" customHeight="1" x14ac:dyDescent="0.3">
      <c r="A25" s="111"/>
      <c r="B25" s="111"/>
      <c r="C25" s="117" t="s">
        <v>118</v>
      </c>
      <c r="D25" s="114" t="s">
        <v>102</v>
      </c>
      <c r="E25" s="115">
        <v>11000</v>
      </c>
      <c r="F25" s="116">
        <v>11000</v>
      </c>
      <c r="G25" s="114"/>
      <c r="H25" s="113"/>
      <c r="I25" s="77">
        <v>1</v>
      </c>
      <c r="J25" s="77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9"/>
      <c r="AK25" s="79"/>
    </row>
    <row r="26" spans="1:37" s="80" customFormat="1" ht="13.5" customHeight="1" x14ac:dyDescent="0.3">
      <c r="A26" s="111"/>
      <c r="B26" s="111"/>
      <c r="C26" s="117" t="s">
        <v>118</v>
      </c>
      <c r="D26" s="114" t="s">
        <v>102</v>
      </c>
      <c r="E26" s="115">
        <v>37000</v>
      </c>
      <c r="F26" s="116">
        <f>E26</f>
        <v>37000</v>
      </c>
      <c r="G26" s="114"/>
      <c r="H26" s="113"/>
      <c r="I26" s="77"/>
      <c r="J26" s="77">
        <v>1</v>
      </c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9"/>
      <c r="AK26" s="79"/>
    </row>
    <row r="27" spans="1:37" ht="13.5" customHeight="1" x14ac:dyDescent="0.3">
      <c r="A27" s="109"/>
      <c r="B27" s="110"/>
      <c r="C27" s="100"/>
      <c r="D27" s="101"/>
      <c r="E27" s="102"/>
      <c r="F27" s="101"/>
      <c r="G27" s="101"/>
      <c r="H27" s="81"/>
      <c r="I27" s="32"/>
      <c r="J27" s="32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28"/>
      <c r="AK27" s="28"/>
    </row>
    <row r="28" spans="1:37" ht="15.75" customHeight="1" thickBot="1" x14ac:dyDescent="0.35">
      <c r="A28" s="53" t="s">
        <v>84</v>
      </c>
      <c r="B28" s="54"/>
      <c r="C28" s="54"/>
      <c r="D28" s="1"/>
      <c r="E28" s="6"/>
      <c r="F28" s="55">
        <f>SUM(F12:F27)</f>
        <v>183400</v>
      </c>
      <c r="G28" s="8"/>
      <c r="H28" s="8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ht="15.75" customHeight="1" thickTop="1" x14ac:dyDescent="0.35">
      <c r="A29" s="56"/>
      <c r="B29" s="3"/>
      <c r="C29" s="3"/>
      <c r="D29" s="121"/>
      <c r="E29" s="119"/>
      <c r="F29" s="119"/>
      <c r="G29" s="8"/>
      <c r="H29" s="8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ht="15.75" hidden="1" customHeight="1" x14ac:dyDescent="0.35">
      <c r="A30" s="57" t="s">
        <v>85</v>
      </c>
      <c r="B30" s="58"/>
      <c r="C30" s="58"/>
      <c r="D30" s="122">
        <f>PRODUCT(D29,0.1)</f>
        <v>0.1</v>
      </c>
      <c r="E30" s="123"/>
      <c r="F30" s="124"/>
      <c r="G30" s="8"/>
      <c r="H30" s="8"/>
      <c r="I30" s="125"/>
      <c r="J30" s="119"/>
      <c r="K30" s="125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119"/>
      <c r="AH30" s="59"/>
      <c r="AI30" s="1"/>
      <c r="AJ30" s="1"/>
      <c r="AK30" s="1"/>
    </row>
    <row r="31" spans="1:37" ht="15.75" hidden="1" customHeight="1" x14ac:dyDescent="0.35">
      <c r="A31" s="60" t="s">
        <v>86</v>
      </c>
      <c r="B31" s="61"/>
      <c r="C31" s="61"/>
      <c r="D31" s="132">
        <f>PRODUCT(D29,0.1)</f>
        <v>0.1</v>
      </c>
      <c r="E31" s="133"/>
      <c r="F31" s="134"/>
      <c r="G31" s="8"/>
      <c r="H31" s="8"/>
      <c r="I31" s="62"/>
      <c r="J31" s="62"/>
      <c r="K31" s="120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19"/>
      <c r="AD31" s="119"/>
      <c r="AE31" s="119"/>
      <c r="AF31" s="119"/>
      <c r="AG31" s="119"/>
      <c r="AH31" s="63"/>
      <c r="AI31" s="1"/>
      <c r="AJ31" s="1"/>
      <c r="AK31" s="1"/>
    </row>
    <row r="32" spans="1:37" ht="15.75" hidden="1" customHeight="1" x14ac:dyDescent="0.35">
      <c r="A32" s="60" t="s">
        <v>87</v>
      </c>
      <c r="B32" s="61"/>
      <c r="C32" s="61"/>
      <c r="D32" s="132">
        <f>SUM(D29:F31)</f>
        <v>0.2</v>
      </c>
      <c r="E32" s="133"/>
      <c r="F32" s="134"/>
      <c r="G32" s="8"/>
      <c r="H32" s="8"/>
      <c r="I32" s="62"/>
      <c r="J32" s="62"/>
      <c r="K32" s="120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63"/>
      <c r="AI32" s="1"/>
      <c r="AJ32" s="1"/>
      <c r="AK32" s="1"/>
    </row>
    <row r="33" spans="1:37" ht="15.75" customHeight="1" x14ac:dyDescent="0.3">
      <c r="A33" s="64"/>
      <c r="B33" s="3"/>
      <c r="C33" s="3"/>
      <c r="D33" s="1"/>
      <c r="E33" s="6"/>
      <c r="F33" s="7"/>
      <c r="G33" s="8"/>
      <c r="H33" s="8"/>
      <c r="I33" s="62"/>
      <c r="J33" s="62"/>
      <c r="K33" s="120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63"/>
      <c r="AI33" s="1"/>
      <c r="AJ33" s="1"/>
      <c r="AK33" s="1"/>
    </row>
    <row r="34" spans="1:37" ht="15.75" customHeight="1" x14ac:dyDescent="0.3">
      <c r="A34" s="65" t="s">
        <v>88</v>
      </c>
      <c r="B34" s="3"/>
      <c r="C34" s="3"/>
      <c r="D34" s="1"/>
      <c r="E34" s="6"/>
      <c r="F34" s="7"/>
      <c r="G34" s="8"/>
      <c r="H34" s="8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ht="15.75" customHeight="1" x14ac:dyDescent="0.3">
      <c r="A35" s="10"/>
      <c r="B35" s="3"/>
      <c r="C35" s="3"/>
      <c r="D35" s="1"/>
      <c r="E35" s="66"/>
      <c r="F35" s="7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ht="15.75" customHeight="1" x14ac:dyDescent="0.3">
      <c r="A36" s="67" t="s">
        <v>89</v>
      </c>
      <c r="B36" s="68"/>
      <c r="C36" s="68"/>
      <c r="D36" s="69" t="s">
        <v>90</v>
      </c>
      <c r="E36" s="66"/>
      <c r="F36" s="7"/>
      <c r="G36" s="69" t="s">
        <v>91</v>
      </c>
      <c r="H36" s="1"/>
      <c r="I36" s="1"/>
      <c r="J36" s="69" t="s">
        <v>92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ht="15.75" customHeight="1" x14ac:dyDescent="0.3">
      <c r="A37" s="67"/>
      <c r="B37" s="68"/>
      <c r="C37" s="68"/>
      <c r="D37" s="1"/>
      <c r="E37" s="66"/>
      <c r="F37" s="7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ht="15.75" customHeight="1" x14ac:dyDescent="0.3">
      <c r="A38" s="68"/>
      <c r="B38" s="68"/>
      <c r="C38" s="68"/>
      <c r="D38" s="1"/>
      <c r="E38" s="66"/>
      <c r="F38" s="7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ht="15.75" customHeight="1" x14ac:dyDescent="0.3">
      <c r="A39" s="129" t="s">
        <v>93</v>
      </c>
      <c r="B39" s="119"/>
      <c r="C39" s="119"/>
      <c r="D39" s="69" t="s">
        <v>94</v>
      </c>
      <c r="E39" s="66"/>
      <c r="F39" s="7"/>
      <c r="G39" s="69" t="s">
        <v>95</v>
      </c>
      <c r="H39" s="1"/>
      <c r="I39" s="1"/>
      <c r="J39" s="69" t="s">
        <v>96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ht="15" customHeight="1" x14ac:dyDescent="0.3">
      <c r="A40" s="118" t="s">
        <v>97</v>
      </c>
      <c r="B40" s="119"/>
      <c r="C40" s="119"/>
      <c r="D40" s="1" t="s">
        <v>98</v>
      </c>
      <c r="E40" s="66"/>
      <c r="F40" s="7"/>
      <c r="G40" s="1" t="s">
        <v>99</v>
      </c>
      <c r="H40" s="1"/>
      <c r="I40" s="1"/>
      <c r="J40" s="1" t="s">
        <v>100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ht="15.75" customHeight="1" x14ac:dyDescent="0.35">
      <c r="A41" s="70"/>
      <c r="B41" s="70"/>
      <c r="C41" s="70"/>
      <c r="D41" s="1"/>
      <c r="E41" s="66"/>
      <c r="F41" s="7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ht="15.75" customHeight="1" x14ac:dyDescent="0.35">
      <c r="A42" s="70" t="s">
        <v>119</v>
      </c>
      <c r="B42" s="70"/>
      <c r="C42" s="70"/>
      <c r="D42" s="1" t="s">
        <v>101</v>
      </c>
      <c r="E42" s="66"/>
      <c r="F42" s="7"/>
      <c r="G42" s="1" t="s">
        <v>101</v>
      </c>
      <c r="H42" s="1"/>
      <c r="I42" s="1"/>
      <c r="J42" s="1" t="s">
        <v>101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ht="15.75" customHeight="1" x14ac:dyDescent="0.3">
      <c r="D43" s="1"/>
      <c r="E43" s="66"/>
      <c r="F43" s="7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ht="15.75" customHeight="1" x14ac:dyDescent="0.3">
      <c r="D44" s="1"/>
      <c r="E44" s="66"/>
      <c r="F44" s="7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ht="15.75" customHeight="1" x14ac:dyDescent="0.3">
      <c r="D45" s="1"/>
      <c r="E45" s="66"/>
      <c r="F45" s="7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ht="15.75" customHeight="1" x14ac:dyDescent="0.3">
      <c r="D46" s="1"/>
      <c r="E46" s="66"/>
      <c r="F46" s="7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ht="15.75" customHeight="1" x14ac:dyDescent="0.3">
      <c r="D47" s="1"/>
      <c r="E47" s="6"/>
      <c r="F47" s="7"/>
      <c r="G47" s="8"/>
      <c r="H47" s="8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ht="15.75" customHeight="1" x14ac:dyDescent="0.3">
      <c r="D48" s="1"/>
      <c r="E48" s="6"/>
      <c r="F48" s="7"/>
      <c r="G48" s="8"/>
      <c r="H48" s="8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4:37" ht="15.75" customHeight="1" x14ac:dyDescent="0.3">
      <c r="D49" s="1"/>
      <c r="E49" s="6"/>
      <c r="F49" s="7"/>
      <c r="G49" s="8"/>
      <c r="H49" s="8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4:37" ht="15.75" customHeight="1" x14ac:dyDescent="0.35">
      <c r="E50" s="71"/>
    </row>
    <row r="51" spans="4:37" ht="15.75" customHeight="1" x14ac:dyDescent="0.35">
      <c r="E51" s="71"/>
    </row>
    <row r="52" spans="4:37" ht="15.75" customHeight="1" x14ac:dyDescent="0.35">
      <c r="E52" s="71"/>
    </row>
    <row r="53" spans="4:37" ht="15.75" customHeight="1" x14ac:dyDescent="0.35">
      <c r="E53" s="71"/>
    </row>
    <row r="54" spans="4:37" ht="15.75" customHeight="1" x14ac:dyDescent="0.35">
      <c r="E54" s="71"/>
    </row>
    <row r="55" spans="4:37" ht="15.75" customHeight="1" x14ac:dyDescent="0.35">
      <c r="E55" s="71"/>
    </row>
    <row r="56" spans="4:37" ht="15.75" customHeight="1" x14ac:dyDescent="0.35">
      <c r="E56" s="71"/>
    </row>
    <row r="57" spans="4:37" ht="15.75" customHeight="1" x14ac:dyDescent="0.35">
      <c r="E57" s="71"/>
    </row>
    <row r="58" spans="4:37" ht="15.75" customHeight="1" x14ac:dyDescent="0.35">
      <c r="E58" s="71"/>
    </row>
    <row r="59" spans="4:37" ht="15.75" customHeight="1" x14ac:dyDescent="0.35">
      <c r="E59" s="71"/>
    </row>
    <row r="60" spans="4:37" ht="15.75" customHeight="1" x14ac:dyDescent="0.35">
      <c r="E60" s="71"/>
    </row>
    <row r="61" spans="4:37" ht="15.75" customHeight="1" x14ac:dyDescent="0.35">
      <c r="E61" s="71"/>
    </row>
    <row r="62" spans="4:37" ht="15.75" customHeight="1" x14ac:dyDescent="0.35">
      <c r="E62" s="71"/>
    </row>
    <row r="63" spans="4:37" ht="15.75" customHeight="1" x14ac:dyDescent="0.35">
      <c r="E63" s="71"/>
    </row>
    <row r="64" spans="4:37" ht="15.75" customHeight="1" x14ac:dyDescent="0.35">
      <c r="E64" s="71"/>
    </row>
    <row r="65" spans="5:5" ht="15.75" customHeight="1" x14ac:dyDescent="0.35">
      <c r="E65" s="71"/>
    </row>
    <row r="66" spans="5:5" ht="15.75" customHeight="1" x14ac:dyDescent="0.35">
      <c r="E66" s="71"/>
    </row>
    <row r="67" spans="5:5" ht="15.75" customHeight="1" x14ac:dyDescent="0.35">
      <c r="E67" s="71"/>
    </row>
    <row r="68" spans="5:5" ht="15.75" customHeight="1" x14ac:dyDescent="0.35">
      <c r="E68" s="71"/>
    </row>
    <row r="69" spans="5:5" ht="15.75" customHeight="1" x14ac:dyDescent="0.35">
      <c r="E69" s="71"/>
    </row>
    <row r="70" spans="5:5" ht="15.75" customHeight="1" x14ac:dyDescent="0.35">
      <c r="E70" s="71"/>
    </row>
    <row r="71" spans="5:5" ht="15.75" customHeight="1" x14ac:dyDescent="0.35">
      <c r="E71" s="71"/>
    </row>
    <row r="72" spans="5:5" ht="15.75" customHeight="1" x14ac:dyDescent="0.35">
      <c r="E72" s="71"/>
    </row>
    <row r="73" spans="5:5" ht="15.75" customHeight="1" x14ac:dyDescent="0.35">
      <c r="E73" s="71"/>
    </row>
    <row r="74" spans="5:5" ht="15.75" customHeight="1" x14ac:dyDescent="0.35">
      <c r="E74" s="71"/>
    </row>
    <row r="75" spans="5:5" ht="15.75" customHeight="1" x14ac:dyDescent="0.35">
      <c r="E75" s="71"/>
    </row>
    <row r="76" spans="5:5" ht="15.75" customHeight="1" x14ac:dyDescent="0.35">
      <c r="E76" s="71"/>
    </row>
    <row r="77" spans="5:5" ht="15.75" customHeight="1" x14ac:dyDescent="0.35">
      <c r="E77" s="71"/>
    </row>
    <row r="78" spans="5:5" ht="15.75" customHeight="1" x14ac:dyDescent="0.35">
      <c r="E78" s="71"/>
    </row>
    <row r="79" spans="5:5" ht="15.75" customHeight="1" x14ac:dyDescent="0.35">
      <c r="E79" s="71"/>
    </row>
    <row r="80" spans="5:5" ht="15.75" customHeight="1" x14ac:dyDescent="0.35">
      <c r="E80" s="71"/>
    </row>
    <row r="81" spans="5:5" ht="15.75" customHeight="1" x14ac:dyDescent="0.35">
      <c r="E81" s="71"/>
    </row>
    <row r="82" spans="5:5" ht="15.75" customHeight="1" x14ac:dyDescent="0.35">
      <c r="E82" s="71"/>
    </row>
    <row r="83" spans="5:5" ht="15.75" customHeight="1" x14ac:dyDescent="0.35">
      <c r="E83" s="71"/>
    </row>
    <row r="84" spans="5:5" ht="15.75" customHeight="1" x14ac:dyDescent="0.35">
      <c r="E84" s="71"/>
    </row>
    <row r="85" spans="5:5" ht="15.75" customHeight="1" x14ac:dyDescent="0.35">
      <c r="E85" s="71"/>
    </row>
    <row r="86" spans="5:5" ht="15.75" customHeight="1" x14ac:dyDescent="0.35">
      <c r="E86" s="71"/>
    </row>
    <row r="87" spans="5:5" ht="15.75" customHeight="1" x14ac:dyDescent="0.35">
      <c r="E87" s="71"/>
    </row>
    <row r="88" spans="5:5" ht="15.75" customHeight="1" x14ac:dyDescent="0.35">
      <c r="E88" s="71"/>
    </row>
    <row r="89" spans="5:5" ht="15.75" customHeight="1" x14ac:dyDescent="0.35">
      <c r="E89" s="71"/>
    </row>
    <row r="90" spans="5:5" ht="15.75" customHeight="1" x14ac:dyDescent="0.35">
      <c r="E90" s="71"/>
    </row>
    <row r="91" spans="5:5" ht="15.75" customHeight="1" x14ac:dyDescent="0.35">
      <c r="E91" s="71"/>
    </row>
    <row r="92" spans="5:5" ht="15.75" customHeight="1" x14ac:dyDescent="0.35">
      <c r="E92" s="71"/>
    </row>
    <row r="93" spans="5:5" ht="15.75" customHeight="1" x14ac:dyDescent="0.35">
      <c r="E93" s="71"/>
    </row>
    <row r="94" spans="5:5" ht="15.75" customHeight="1" x14ac:dyDescent="0.35">
      <c r="E94" s="71"/>
    </row>
    <row r="95" spans="5:5" ht="15.75" customHeight="1" x14ac:dyDescent="0.35">
      <c r="E95" s="71"/>
    </row>
    <row r="96" spans="5:5" ht="15.75" customHeight="1" x14ac:dyDescent="0.35">
      <c r="E96" s="71"/>
    </row>
    <row r="97" spans="5:5" ht="15.75" customHeight="1" x14ac:dyDescent="0.35">
      <c r="E97" s="71"/>
    </row>
    <row r="98" spans="5:5" ht="15.75" customHeight="1" x14ac:dyDescent="0.35">
      <c r="E98" s="71"/>
    </row>
    <row r="99" spans="5:5" ht="15.75" customHeight="1" x14ac:dyDescent="0.35">
      <c r="E99" s="71"/>
    </row>
    <row r="100" spans="5:5" ht="15.75" customHeight="1" x14ac:dyDescent="0.35">
      <c r="E100" s="71"/>
    </row>
    <row r="101" spans="5:5" ht="15.75" customHeight="1" x14ac:dyDescent="0.35">
      <c r="E101" s="71"/>
    </row>
    <row r="102" spans="5:5" ht="15.75" customHeight="1" x14ac:dyDescent="0.35">
      <c r="E102" s="71"/>
    </row>
    <row r="103" spans="5:5" ht="15.75" customHeight="1" x14ac:dyDescent="0.35">
      <c r="E103" s="71"/>
    </row>
    <row r="104" spans="5:5" ht="15.75" customHeight="1" x14ac:dyDescent="0.35">
      <c r="E104" s="71"/>
    </row>
    <row r="105" spans="5:5" ht="15.75" customHeight="1" x14ac:dyDescent="0.35">
      <c r="E105" s="71"/>
    </row>
    <row r="106" spans="5:5" ht="15.75" customHeight="1" x14ac:dyDescent="0.35">
      <c r="E106" s="71"/>
    </row>
    <row r="107" spans="5:5" ht="15.75" customHeight="1" x14ac:dyDescent="0.35">
      <c r="E107" s="71"/>
    </row>
    <row r="108" spans="5:5" ht="15.75" customHeight="1" x14ac:dyDescent="0.35">
      <c r="E108" s="71"/>
    </row>
    <row r="109" spans="5:5" ht="15.75" customHeight="1" x14ac:dyDescent="0.35">
      <c r="E109" s="71"/>
    </row>
    <row r="110" spans="5:5" ht="15.75" customHeight="1" x14ac:dyDescent="0.35">
      <c r="E110" s="71"/>
    </row>
    <row r="111" spans="5:5" ht="15.75" customHeight="1" x14ac:dyDescent="0.35">
      <c r="E111" s="71"/>
    </row>
    <row r="112" spans="5:5" ht="15.75" customHeight="1" x14ac:dyDescent="0.35">
      <c r="E112" s="71"/>
    </row>
    <row r="113" spans="5:5" ht="15.75" customHeight="1" x14ac:dyDescent="0.35">
      <c r="E113" s="71"/>
    </row>
    <row r="114" spans="5:5" ht="15.75" customHeight="1" x14ac:dyDescent="0.35">
      <c r="E114" s="71"/>
    </row>
    <row r="115" spans="5:5" ht="15.75" customHeight="1" x14ac:dyDescent="0.35">
      <c r="E115" s="71"/>
    </row>
    <row r="116" spans="5:5" ht="15.75" customHeight="1" x14ac:dyDescent="0.35">
      <c r="E116" s="71"/>
    </row>
    <row r="117" spans="5:5" ht="15.75" customHeight="1" x14ac:dyDescent="0.35">
      <c r="E117" s="71"/>
    </row>
    <row r="118" spans="5:5" ht="15.75" customHeight="1" x14ac:dyDescent="0.35">
      <c r="E118" s="71"/>
    </row>
    <row r="119" spans="5:5" ht="15.75" customHeight="1" x14ac:dyDescent="0.35">
      <c r="E119" s="71"/>
    </row>
    <row r="120" spans="5:5" ht="15.75" customHeight="1" x14ac:dyDescent="0.35">
      <c r="E120" s="71"/>
    </row>
    <row r="121" spans="5:5" ht="15.75" customHeight="1" x14ac:dyDescent="0.35">
      <c r="E121" s="71"/>
    </row>
    <row r="122" spans="5:5" ht="15.75" customHeight="1" x14ac:dyDescent="0.35">
      <c r="E122" s="71"/>
    </row>
    <row r="123" spans="5:5" ht="15.75" customHeight="1" x14ac:dyDescent="0.35">
      <c r="E123" s="71"/>
    </row>
    <row r="124" spans="5:5" ht="15.75" customHeight="1" x14ac:dyDescent="0.35">
      <c r="E124" s="71"/>
    </row>
    <row r="125" spans="5:5" ht="15.75" customHeight="1" x14ac:dyDescent="0.35">
      <c r="E125" s="71"/>
    </row>
    <row r="126" spans="5:5" ht="15.75" customHeight="1" x14ac:dyDescent="0.35">
      <c r="E126" s="71"/>
    </row>
    <row r="127" spans="5:5" ht="15.75" customHeight="1" x14ac:dyDescent="0.35">
      <c r="E127" s="71"/>
    </row>
    <row r="128" spans="5:5" ht="15.75" customHeight="1" x14ac:dyDescent="0.35">
      <c r="E128" s="71"/>
    </row>
    <row r="129" spans="5:5" ht="15.75" customHeight="1" x14ac:dyDescent="0.35">
      <c r="E129" s="71"/>
    </row>
    <row r="130" spans="5:5" ht="15.75" customHeight="1" x14ac:dyDescent="0.35">
      <c r="E130" s="71"/>
    </row>
    <row r="131" spans="5:5" ht="15.75" customHeight="1" x14ac:dyDescent="0.35">
      <c r="E131" s="71"/>
    </row>
    <row r="132" spans="5:5" ht="15.75" customHeight="1" x14ac:dyDescent="0.35">
      <c r="E132" s="71"/>
    </row>
    <row r="133" spans="5:5" ht="15.75" customHeight="1" x14ac:dyDescent="0.35">
      <c r="E133" s="71"/>
    </row>
    <row r="134" spans="5:5" ht="15.75" customHeight="1" x14ac:dyDescent="0.35">
      <c r="E134" s="71"/>
    </row>
    <row r="135" spans="5:5" ht="15.75" customHeight="1" x14ac:dyDescent="0.35">
      <c r="E135" s="71"/>
    </row>
    <row r="136" spans="5:5" ht="15.75" customHeight="1" x14ac:dyDescent="0.35">
      <c r="E136" s="71"/>
    </row>
    <row r="137" spans="5:5" ht="15.75" customHeight="1" x14ac:dyDescent="0.35">
      <c r="E137" s="71"/>
    </row>
    <row r="138" spans="5:5" ht="15.75" customHeight="1" x14ac:dyDescent="0.35">
      <c r="E138" s="71"/>
    </row>
    <row r="139" spans="5:5" ht="15.75" customHeight="1" x14ac:dyDescent="0.35">
      <c r="E139" s="71"/>
    </row>
    <row r="140" spans="5:5" ht="15.75" customHeight="1" x14ac:dyDescent="0.35">
      <c r="E140" s="71"/>
    </row>
    <row r="141" spans="5:5" ht="15.75" customHeight="1" x14ac:dyDescent="0.35">
      <c r="E141" s="71"/>
    </row>
    <row r="142" spans="5:5" ht="15.75" customHeight="1" x14ac:dyDescent="0.35">
      <c r="E142" s="71"/>
    </row>
    <row r="143" spans="5:5" ht="15.75" customHeight="1" x14ac:dyDescent="0.35">
      <c r="E143" s="71"/>
    </row>
    <row r="144" spans="5:5" ht="15.75" customHeight="1" x14ac:dyDescent="0.35">
      <c r="E144" s="71"/>
    </row>
    <row r="145" spans="5:5" ht="15.75" customHeight="1" x14ac:dyDescent="0.35">
      <c r="E145" s="71"/>
    </row>
    <row r="146" spans="5:5" ht="15.75" customHeight="1" x14ac:dyDescent="0.35">
      <c r="E146" s="71"/>
    </row>
    <row r="147" spans="5:5" ht="15.75" customHeight="1" x14ac:dyDescent="0.35">
      <c r="E147" s="71"/>
    </row>
    <row r="148" spans="5:5" ht="15.75" customHeight="1" x14ac:dyDescent="0.35">
      <c r="E148" s="71"/>
    </row>
    <row r="149" spans="5:5" ht="15.75" customHeight="1" x14ac:dyDescent="0.35">
      <c r="E149" s="71"/>
    </row>
    <row r="150" spans="5:5" ht="15.75" customHeight="1" x14ac:dyDescent="0.35">
      <c r="E150" s="71"/>
    </row>
    <row r="151" spans="5:5" ht="15.75" customHeight="1" x14ac:dyDescent="0.35">
      <c r="E151" s="71"/>
    </row>
    <row r="152" spans="5:5" ht="15.75" customHeight="1" x14ac:dyDescent="0.35">
      <c r="E152" s="71"/>
    </row>
    <row r="153" spans="5:5" ht="15.75" customHeight="1" x14ac:dyDescent="0.35">
      <c r="E153" s="71"/>
    </row>
    <row r="154" spans="5:5" ht="15.75" customHeight="1" x14ac:dyDescent="0.35">
      <c r="E154" s="71"/>
    </row>
    <row r="155" spans="5:5" ht="15.75" customHeight="1" x14ac:dyDescent="0.35">
      <c r="E155" s="71"/>
    </row>
    <row r="156" spans="5:5" ht="15.75" customHeight="1" x14ac:dyDescent="0.35">
      <c r="E156" s="71"/>
    </row>
    <row r="157" spans="5:5" ht="15.75" customHeight="1" x14ac:dyDescent="0.35">
      <c r="E157" s="71"/>
    </row>
    <row r="158" spans="5:5" ht="15.75" customHeight="1" x14ac:dyDescent="0.35">
      <c r="E158" s="71"/>
    </row>
    <row r="159" spans="5:5" ht="15.75" customHeight="1" x14ac:dyDescent="0.35">
      <c r="E159" s="71"/>
    </row>
    <row r="160" spans="5:5" ht="15.75" customHeight="1" x14ac:dyDescent="0.35">
      <c r="E160" s="71"/>
    </row>
    <row r="161" spans="5:5" ht="15.75" customHeight="1" x14ac:dyDescent="0.35">
      <c r="E161" s="71"/>
    </row>
    <row r="162" spans="5:5" ht="15.75" customHeight="1" x14ac:dyDescent="0.35">
      <c r="E162" s="71"/>
    </row>
    <row r="163" spans="5:5" ht="15.75" customHeight="1" x14ac:dyDescent="0.35">
      <c r="E163" s="71"/>
    </row>
    <row r="164" spans="5:5" ht="15.75" customHeight="1" x14ac:dyDescent="0.35">
      <c r="E164" s="71"/>
    </row>
    <row r="165" spans="5:5" ht="15.75" customHeight="1" x14ac:dyDescent="0.35">
      <c r="E165" s="71"/>
    </row>
    <row r="166" spans="5:5" ht="15.75" customHeight="1" x14ac:dyDescent="0.35">
      <c r="E166" s="71"/>
    </row>
    <row r="167" spans="5:5" ht="15.75" customHeight="1" x14ac:dyDescent="0.35">
      <c r="E167" s="71"/>
    </row>
    <row r="168" spans="5:5" ht="15.75" customHeight="1" x14ac:dyDescent="0.35">
      <c r="E168" s="71"/>
    </row>
    <row r="169" spans="5:5" ht="15.75" customHeight="1" x14ac:dyDescent="0.35">
      <c r="E169" s="71"/>
    </row>
    <row r="170" spans="5:5" ht="15.75" customHeight="1" x14ac:dyDescent="0.35">
      <c r="E170" s="71"/>
    </row>
    <row r="171" spans="5:5" ht="15.75" customHeight="1" x14ac:dyDescent="0.35">
      <c r="E171" s="71"/>
    </row>
    <row r="172" spans="5:5" ht="15.75" customHeight="1" x14ac:dyDescent="0.35">
      <c r="E172" s="71"/>
    </row>
    <row r="173" spans="5:5" ht="15.75" customHeight="1" x14ac:dyDescent="0.35">
      <c r="E173" s="71"/>
    </row>
    <row r="174" spans="5:5" ht="15.75" customHeight="1" x14ac:dyDescent="0.35">
      <c r="E174" s="71"/>
    </row>
    <row r="175" spans="5:5" ht="15.75" customHeight="1" x14ac:dyDescent="0.35">
      <c r="E175" s="71"/>
    </row>
    <row r="176" spans="5:5" ht="15.75" customHeight="1" x14ac:dyDescent="0.35">
      <c r="E176" s="71"/>
    </row>
    <row r="177" spans="5:5" ht="15.75" customHeight="1" x14ac:dyDescent="0.35">
      <c r="E177" s="71"/>
    </row>
    <row r="178" spans="5:5" ht="15.75" customHeight="1" x14ac:dyDescent="0.35">
      <c r="E178" s="71"/>
    </row>
    <row r="179" spans="5:5" ht="15.75" customHeight="1" x14ac:dyDescent="0.35">
      <c r="E179" s="71"/>
    </row>
    <row r="180" spans="5:5" ht="15.75" customHeight="1" x14ac:dyDescent="0.35">
      <c r="E180" s="71"/>
    </row>
    <row r="181" spans="5:5" ht="15.75" customHeight="1" x14ac:dyDescent="0.35">
      <c r="E181" s="71"/>
    </row>
    <row r="182" spans="5:5" ht="15.75" customHeight="1" x14ac:dyDescent="0.35">
      <c r="E182" s="71"/>
    </row>
    <row r="183" spans="5:5" ht="15.75" customHeight="1" x14ac:dyDescent="0.35">
      <c r="E183" s="71"/>
    </row>
    <row r="184" spans="5:5" ht="15.75" customHeight="1" x14ac:dyDescent="0.35">
      <c r="E184" s="71"/>
    </row>
    <row r="185" spans="5:5" ht="15.75" customHeight="1" x14ac:dyDescent="0.35">
      <c r="E185" s="71"/>
    </row>
    <row r="186" spans="5:5" ht="15.75" customHeight="1" x14ac:dyDescent="0.35">
      <c r="E186" s="71"/>
    </row>
    <row r="187" spans="5:5" ht="15.75" customHeight="1" x14ac:dyDescent="0.35">
      <c r="E187" s="71"/>
    </row>
    <row r="188" spans="5:5" ht="15.75" customHeight="1" x14ac:dyDescent="0.35">
      <c r="E188" s="71"/>
    </row>
    <row r="189" spans="5:5" ht="15.75" customHeight="1" x14ac:dyDescent="0.35">
      <c r="E189" s="71"/>
    </row>
    <row r="190" spans="5:5" ht="15.75" customHeight="1" x14ac:dyDescent="0.35">
      <c r="E190" s="71"/>
    </row>
    <row r="191" spans="5:5" ht="15.75" customHeight="1" x14ac:dyDescent="0.35">
      <c r="E191" s="71"/>
    </row>
    <row r="192" spans="5:5" ht="15.75" customHeight="1" x14ac:dyDescent="0.35">
      <c r="E192" s="71"/>
    </row>
    <row r="193" spans="5:5" ht="15.75" customHeight="1" x14ac:dyDescent="0.35">
      <c r="E193" s="71"/>
    </row>
    <row r="194" spans="5:5" ht="15.75" customHeight="1" x14ac:dyDescent="0.35">
      <c r="E194" s="71"/>
    </row>
    <row r="195" spans="5:5" ht="15.75" customHeight="1" x14ac:dyDescent="0.35">
      <c r="E195" s="71"/>
    </row>
    <row r="196" spans="5:5" ht="15.75" customHeight="1" x14ac:dyDescent="0.35">
      <c r="E196" s="71"/>
    </row>
    <row r="197" spans="5:5" ht="15.75" customHeight="1" x14ac:dyDescent="0.35">
      <c r="E197" s="71"/>
    </row>
    <row r="198" spans="5:5" ht="15.75" customHeight="1" x14ac:dyDescent="0.35">
      <c r="E198" s="71"/>
    </row>
    <row r="199" spans="5:5" ht="15.75" customHeight="1" x14ac:dyDescent="0.35">
      <c r="E199" s="71"/>
    </row>
    <row r="200" spans="5:5" ht="15.75" customHeight="1" x14ac:dyDescent="0.35">
      <c r="E200" s="71"/>
    </row>
    <row r="201" spans="5:5" ht="15.75" customHeight="1" x14ac:dyDescent="0.35">
      <c r="E201" s="71"/>
    </row>
    <row r="202" spans="5:5" ht="15.75" customHeight="1" x14ac:dyDescent="0.35">
      <c r="E202" s="71"/>
    </row>
    <row r="203" spans="5:5" ht="15.75" customHeight="1" x14ac:dyDescent="0.35">
      <c r="E203" s="71"/>
    </row>
    <row r="204" spans="5:5" ht="15.75" customHeight="1" x14ac:dyDescent="0.35">
      <c r="E204" s="71"/>
    </row>
    <row r="205" spans="5:5" ht="15.75" customHeight="1" x14ac:dyDescent="0.35">
      <c r="E205" s="71"/>
    </row>
    <row r="206" spans="5:5" ht="15.75" customHeight="1" x14ac:dyDescent="0.35">
      <c r="E206" s="71"/>
    </row>
    <row r="207" spans="5:5" ht="15.75" customHeight="1" x14ac:dyDescent="0.35">
      <c r="E207" s="71"/>
    </row>
    <row r="208" spans="5:5" ht="15.75" customHeight="1" x14ac:dyDescent="0.35">
      <c r="E208" s="71"/>
    </row>
    <row r="209" spans="5:5" ht="15.75" customHeight="1" x14ac:dyDescent="0.35">
      <c r="E209" s="71"/>
    </row>
    <row r="210" spans="5:5" ht="15.75" customHeight="1" x14ac:dyDescent="0.35">
      <c r="E210" s="71"/>
    </row>
    <row r="211" spans="5:5" ht="15.75" customHeight="1" x14ac:dyDescent="0.35">
      <c r="E211" s="71"/>
    </row>
    <row r="212" spans="5:5" ht="15.75" customHeight="1" x14ac:dyDescent="0.35">
      <c r="E212" s="71"/>
    </row>
    <row r="213" spans="5:5" ht="15.75" customHeight="1" x14ac:dyDescent="0.35">
      <c r="E213" s="71"/>
    </row>
    <row r="214" spans="5:5" ht="15.75" customHeight="1" x14ac:dyDescent="0.35">
      <c r="E214" s="71"/>
    </row>
    <row r="215" spans="5:5" ht="15.75" customHeight="1" x14ac:dyDescent="0.35">
      <c r="E215" s="71"/>
    </row>
    <row r="216" spans="5:5" ht="15.75" customHeight="1" x14ac:dyDescent="0.35">
      <c r="E216" s="71"/>
    </row>
    <row r="217" spans="5:5" ht="15.75" customHeight="1" x14ac:dyDescent="0.35">
      <c r="E217" s="71"/>
    </row>
    <row r="218" spans="5:5" ht="15.75" customHeight="1" x14ac:dyDescent="0.35">
      <c r="E218" s="71"/>
    </row>
    <row r="219" spans="5:5" ht="15.75" customHeight="1" x14ac:dyDescent="0.35">
      <c r="E219" s="71"/>
    </row>
    <row r="220" spans="5:5" ht="15.75" customHeight="1" x14ac:dyDescent="0.35">
      <c r="E220" s="71"/>
    </row>
    <row r="221" spans="5:5" ht="15.75" customHeight="1" x14ac:dyDescent="0.35">
      <c r="E221" s="71"/>
    </row>
    <row r="222" spans="5:5" ht="15.75" customHeight="1" x14ac:dyDescent="0.35">
      <c r="E222" s="71"/>
    </row>
    <row r="223" spans="5:5" ht="15.75" customHeight="1" x14ac:dyDescent="0.35">
      <c r="E223" s="71"/>
    </row>
    <row r="224" spans="5:5" ht="15.75" customHeight="1" x14ac:dyDescent="0.35">
      <c r="E224" s="71"/>
    </row>
    <row r="225" spans="5:5" ht="15.75" customHeight="1" x14ac:dyDescent="0.35">
      <c r="E225" s="71"/>
    </row>
    <row r="226" spans="5:5" ht="15.75" customHeight="1" x14ac:dyDescent="0.35">
      <c r="E226" s="71"/>
    </row>
    <row r="227" spans="5:5" ht="15.75" customHeight="1" x14ac:dyDescent="0.35">
      <c r="E227" s="71"/>
    </row>
    <row r="228" spans="5:5" ht="15.75" customHeight="1" x14ac:dyDescent="0.35">
      <c r="E228" s="71"/>
    </row>
    <row r="229" spans="5:5" ht="15.75" customHeight="1" x14ac:dyDescent="0.35">
      <c r="E229" s="71"/>
    </row>
    <row r="230" spans="5:5" ht="15.75" customHeight="1" x14ac:dyDescent="0.35">
      <c r="E230" s="71"/>
    </row>
    <row r="231" spans="5:5" ht="15.75" customHeight="1" x14ac:dyDescent="0.35">
      <c r="E231" s="71"/>
    </row>
    <row r="232" spans="5:5" ht="15.75" customHeight="1" x14ac:dyDescent="0.35">
      <c r="E232" s="71"/>
    </row>
    <row r="233" spans="5:5" ht="15.75" customHeight="1" x14ac:dyDescent="0.35">
      <c r="E233" s="71"/>
    </row>
    <row r="234" spans="5:5" ht="15.75" customHeight="1" x14ac:dyDescent="0.35">
      <c r="E234" s="71"/>
    </row>
    <row r="235" spans="5:5" ht="15.75" customHeight="1" x14ac:dyDescent="0.35">
      <c r="E235" s="71"/>
    </row>
    <row r="236" spans="5:5" ht="15.75" customHeight="1" x14ac:dyDescent="0.35">
      <c r="E236" s="71"/>
    </row>
    <row r="237" spans="5:5" ht="15.75" customHeight="1" x14ac:dyDescent="0.35">
      <c r="E237" s="71"/>
    </row>
    <row r="238" spans="5:5" ht="15.75" customHeight="1" x14ac:dyDescent="0.35">
      <c r="E238" s="71"/>
    </row>
    <row r="239" spans="5:5" ht="15.75" customHeight="1" x14ac:dyDescent="0.35">
      <c r="E239" s="71"/>
    </row>
    <row r="240" spans="5:5" ht="15.75" customHeight="1" x14ac:dyDescent="0.35">
      <c r="E240" s="71"/>
    </row>
    <row r="241" spans="5:5" ht="15.75" customHeight="1" x14ac:dyDescent="0.35">
      <c r="E241" s="71"/>
    </row>
    <row r="242" spans="5:5" ht="15.75" customHeight="1" x14ac:dyDescent="0.35">
      <c r="E242" s="71"/>
    </row>
    <row r="243" spans="5:5" ht="15.75" customHeight="1" x14ac:dyDescent="0.3"/>
    <row r="244" spans="5:5" ht="15.75" customHeight="1" x14ac:dyDescent="0.3"/>
    <row r="245" spans="5:5" ht="15.75" customHeight="1" x14ac:dyDescent="0.3"/>
    <row r="246" spans="5:5" ht="15.75" customHeight="1" x14ac:dyDescent="0.3"/>
    <row r="247" spans="5:5" ht="15.75" customHeight="1" x14ac:dyDescent="0.3"/>
    <row r="248" spans="5:5" ht="15.75" customHeight="1" x14ac:dyDescent="0.3"/>
    <row r="249" spans="5:5" ht="15.75" customHeight="1" x14ac:dyDescent="0.3"/>
    <row r="250" spans="5:5" ht="15.75" customHeight="1" x14ac:dyDescent="0.3"/>
    <row r="251" spans="5:5" ht="15.75" customHeight="1" x14ac:dyDescent="0.3"/>
    <row r="252" spans="5:5" ht="15.75" customHeight="1" x14ac:dyDescent="0.3"/>
    <row r="253" spans="5:5" ht="15.75" customHeight="1" x14ac:dyDescent="0.3"/>
    <row r="254" spans="5:5" ht="15.75" customHeight="1" x14ac:dyDescent="0.3"/>
    <row r="255" spans="5:5" ht="15.75" customHeight="1" x14ac:dyDescent="0.3"/>
    <row r="256" spans="5:5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</sheetData>
  <mergeCells count="27">
    <mergeCell ref="A1:AI1"/>
    <mergeCell ref="A2:AI2"/>
    <mergeCell ref="A3:AI3"/>
    <mergeCell ref="A8:A9"/>
    <mergeCell ref="B8:B9"/>
    <mergeCell ref="C8:C9"/>
    <mergeCell ref="E8:E9"/>
    <mergeCell ref="F8:F9"/>
    <mergeCell ref="G8:G9"/>
    <mergeCell ref="H8:H9"/>
    <mergeCell ref="I8:AI8"/>
    <mergeCell ref="D15:D18"/>
    <mergeCell ref="F15:F18"/>
    <mergeCell ref="G15:G18"/>
    <mergeCell ref="H15:H18"/>
    <mergeCell ref="I15:I18"/>
    <mergeCell ref="D29:F29"/>
    <mergeCell ref="D30:F30"/>
    <mergeCell ref="I30:J30"/>
    <mergeCell ref="K30:AG30"/>
    <mergeCell ref="D31:F31"/>
    <mergeCell ref="K31:AG31"/>
    <mergeCell ref="D32:F32"/>
    <mergeCell ref="K32:AG32"/>
    <mergeCell ref="K33:AG33"/>
    <mergeCell ref="A39:C39"/>
    <mergeCell ref="A40:C40"/>
  </mergeCells>
  <pageMargins left="0.46" right="0.28999999999999998" top="0.51" bottom="0.36" header="0" footer="0"/>
  <pageSetup paperSize="41" scale="60" fitToHeight="0" orientation="landscape" r:id="rId1"/>
  <colBreaks count="1" manualBreakCount="1"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RYPIC Q2</vt:lpstr>
      <vt:lpstr>RYPIC Q2 as of 04-30-24</vt:lpstr>
      <vt:lpstr>'RYPIC Q2'!Print_Area</vt:lpstr>
      <vt:lpstr>'RYPIC Q2 as of 04-30-24'!Print_Area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ptridost47@gmail.com</dc:creator>
  <cp:lastModifiedBy>Lejsam Lois Dela Cruz</cp:lastModifiedBy>
  <cp:lastPrinted>2024-02-27T03:14:58Z</cp:lastPrinted>
  <dcterms:created xsi:type="dcterms:W3CDTF">2024-01-03T07:55:13Z</dcterms:created>
  <dcterms:modified xsi:type="dcterms:W3CDTF">2024-05-08T06:49:50Z</dcterms:modified>
</cp:coreProperties>
</file>