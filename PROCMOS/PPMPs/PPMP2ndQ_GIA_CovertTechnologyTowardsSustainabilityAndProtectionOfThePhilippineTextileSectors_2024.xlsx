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PC\Documents\PPMP 2024 (APP)\"/>
    </mc:Choice>
  </mc:AlternateContent>
  <xr:revisionPtr revIDLastSave="0" documentId="13_ncr:1_{DC4A7490-8A6A-41FF-8D64-CAAC2ACF4F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3" sheetId="1" r:id="rId1"/>
  </sheets>
  <calcPr calcId="191029"/>
  <extLst>
    <ext uri="GoogleSheetsCustomDataVersion2">
      <go:sheetsCustomData xmlns:go="http://customooxmlschemas.google.com/" r:id="rId8" roundtripDataChecksum="GUIkYdmcOu4ayJ8aU6Jt65YvgHJxDOAOeAKT/ic9Y4g="/>
    </ext>
  </extLst>
</workbook>
</file>

<file path=xl/calcChain.xml><?xml version="1.0" encoding="utf-8"?>
<calcChain xmlns="http://schemas.openxmlformats.org/spreadsheetml/2006/main">
  <c r="E89" i="1" l="1"/>
  <c r="E88" i="1"/>
  <c r="E87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D58" i="1"/>
  <c r="D57" i="1"/>
  <c r="D56" i="1"/>
  <c r="E55" i="1"/>
  <c r="C101" i="1" s="1"/>
  <c r="D55" i="1"/>
  <c r="U9" i="1"/>
  <c r="C102" i="1" l="1"/>
  <c r="C103" i="1"/>
  <c r="C10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08" authorId="0" shapeId="0" xr:uid="{00000000-0006-0000-0000-000002000000}">
      <text>
        <r>
          <rPr>
            <sz val="11"/>
            <color theme="1"/>
            <rFont val="Arial"/>
            <scheme val="minor"/>
          </rPr>
          <t>======
ID#AAABEI9sJY4
upmnih    (2021-04-08 04:25:07)
Prepared by: Project Staff/ Research Associate</t>
        </r>
      </text>
    </comment>
    <comment ref="C108" authorId="0" shapeId="0" xr:uid="{00000000-0006-0000-0000-000001000000}">
      <text>
        <r>
          <rPr>
            <sz val="11"/>
            <color theme="1"/>
            <rFont val="Arial"/>
            <scheme val="minor"/>
          </rPr>
          <t>======
ID#AAABEI9sJY8
upmnih    (2021-04-08 04:25:07)
Submitted by: Project Leader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h3iLmHqUEXYgqZbMV4dkXbSZKbQ=="/>
    </ext>
  </extLst>
</comments>
</file>

<file path=xl/sharedStrings.xml><?xml version="1.0" encoding="utf-8"?>
<sst xmlns="http://schemas.openxmlformats.org/spreadsheetml/2006/main" count="174" uniqueCount="138">
  <si>
    <t>END-USER/UNIT: RDD-NFUS</t>
  </si>
  <si>
    <t>Charged to: Covert Technology Towards Sustainability and Protection of the Philippine Textile Sectors - Year 2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</si>
  <si>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</si>
  <si>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</si>
  <si>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</si>
  <si>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</si>
  <si>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</si>
  <si>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</si>
  <si>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</si>
  <si>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</si>
  <si>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</si>
  <si>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</si>
  <si>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April</t>
  </si>
  <si>
    <t>May</t>
  </si>
  <si>
    <t>June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</si>
  <si>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</si>
  <si>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</si>
  <si>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</si>
  <si>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</si>
  <si>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</si>
  <si>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</si>
  <si>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</si>
  <si>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</si>
  <si>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</si>
  <si>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</si>
  <si>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</si>
  <si>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Traveling Expenses</t>
  </si>
  <si>
    <t>Autosweep RFID Load</t>
  </si>
  <si>
    <t>3 lot</t>
  </si>
  <si>
    <t>Small Value Procurement</t>
  </si>
  <si>
    <t>Training Expenses</t>
  </si>
  <si>
    <t>Proper Laboratory Practices Training</t>
  </si>
  <si>
    <t>1 lot</t>
  </si>
  <si>
    <t>Negotiated Procurement</t>
  </si>
  <si>
    <t>Laboratory Supplies Expenses</t>
  </si>
  <si>
    <t>4btl. Absolute Ethanol, CAS No. 64-17-5, AR Grade, ≥98.5%, 4L</t>
  </si>
  <si>
    <t>2 btl. Dimethylformamide, CAS No. 68-12-2, AR Grade, ≥99.8%, 4L</t>
  </si>
  <si>
    <t>1 btl. Dimethylsulfoxide, CAS No. 67-68-5, AR Grade, ≥99.9%, 2.5L</t>
  </si>
  <si>
    <t>2 btl. Ethyl Acetate, CAS No.141-78-6, AR Grade, ≥99.8%, 4L</t>
  </si>
  <si>
    <t>2 btl. Glacial Acetic Acid, CAS No. 64-19-7, AR Grade, ≥99.8%, 2.5L</t>
  </si>
  <si>
    <t>2 btl. Hexane, CAS No. 110-54-3, AR Grade, ≥98.5%, 4L</t>
  </si>
  <si>
    <t>1 btl. Sodium Lauryl Sulfate, CAS No. 151-21-3, ≥95%, 500g</t>
  </si>
  <si>
    <t>2 btl. Formic Acid, CAS No. 64-18-6,ACS Grade, ≥88.% 2.5L</t>
  </si>
  <si>
    <t>2 btl. Urea, CAS No.57-13-6, ACS Grade, ≥95%, 500g</t>
  </si>
  <si>
    <t>2 btl. Citric Acid, CAS No. 5949-29-1 , ACS Grade, ≥95%, 500g</t>
  </si>
  <si>
    <t>2 btl. Sodium Phosphate Dibasic, CAS No. 7558-79-4, 500g</t>
  </si>
  <si>
    <t>2 btl. Sodium Sulfate, CAS No. 7757-82-6, ≥99%, 500g</t>
  </si>
  <si>
    <t>1btl. Europium (III) Oxide, CAS No.1308-96-9, ≥ 99.5%, 25g</t>
  </si>
  <si>
    <t>1btl. Aluminum Oxide Pellets, 3mm, CAS No. 1344-28-1, 95%, 250g</t>
  </si>
  <si>
    <t>1btl. Chitosan, CAS No.9012-76-4, ≥75% deacetylation, 100g</t>
  </si>
  <si>
    <t>1btl. Cyrene, CAS No. 53716-82-8, AR Grade, ≥ 98.5%, 100mL</t>
  </si>
  <si>
    <t xml:space="preserve">2btl. PDDA, CAS No. 26062-79-3, Mw 200,000-350,000, 20 wt.%, 1L
</t>
  </si>
  <si>
    <t xml:space="preserve">2btl. Poly (4-stryneresulfonic acid), MW ~75,000, 18 wt% 100g
</t>
  </si>
  <si>
    <t>2 btl. Quinine Sulfate, CAS No.207671-44-1, ≥99%, 25g</t>
  </si>
  <si>
    <t>50 box, Lint Free Wipes, 280 wipes/box</t>
  </si>
  <si>
    <t>3 pack, Syringe Filter, 0.22 um pore, PTFE material, 33mm diameter, 100pcs/pack</t>
  </si>
  <si>
    <t>3 pack, Centrifuge Tubes, conical bottom, 50ml, 100pcs/pack</t>
  </si>
  <si>
    <t>10 unit, Centrifuge Tubes Rack,15mL, 50 well</t>
  </si>
  <si>
    <t>2 box, Syringe 10ml, 100pcs/box</t>
  </si>
  <si>
    <t>2 box, Syringe 50ml, 100pcs/box</t>
  </si>
  <si>
    <t>2 unit, Retort Ring with clamp and bosshead, 60mm diameter</t>
  </si>
  <si>
    <t>2 unit, Retort Stand</t>
  </si>
  <si>
    <t>2 unit, Separatory Funnel with stopper and PTFE Stopcock, squibb style</t>
  </si>
  <si>
    <t>2 box, Scintilating Vials, 25ml with Cap, 100pcs/box</t>
  </si>
  <si>
    <t>10 unit, Magnetic Stir Bar,PTFE, 30mm length</t>
  </si>
  <si>
    <t>10 unit, Magnetic Stir Bar,PTFE, 70mm length</t>
  </si>
  <si>
    <t>20 box, Laboratory Cover Film, 4 in x 125 feet</t>
  </si>
  <si>
    <t>1 box, Dialysis Tubing, MWCO 1 kDA, 10mm diameter, 10m</t>
  </si>
  <si>
    <t>1 box, Dialysis Tubing, MWCO 10 kDA, 10mm diameter, 10m</t>
  </si>
  <si>
    <t>2 set, Agate Mortar and Pestle, 50mm OD</t>
  </si>
  <si>
    <t>2 set, Agate Mortar and Pestle, 89mm OD</t>
  </si>
  <si>
    <t>5 box, Smart Spatula, 5 1/2 in, package of 300pcs</t>
  </si>
  <si>
    <t>5 box, Smart Spatula, 12 1/2 in, package of 300pcs</t>
  </si>
  <si>
    <t>5 box, Smart Spatula, 8 17/64 in, package of 300pcs</t>
  </si>
  <si>
    <t>Office Supplies Expenses</t>
  </si>
  <si>
    <t>20 pc Ink Toner 001 Black</t>
  </si>
  <si>
    <t>20 pc Ink Toner 001 Magenta</t>
  </si>
  <si>
    <t>20 pc Ink Toner 001 Cyan</t>
  </si>
  <si>
    <t>20 pc Ink Toner 001 Yellow</t>
  </si>
  <si>
    <t>30 Reams Paper, Multi-purpose, Legal, 70 gsm</t>
  </si>
  <si>
    <t>30 Reams Paper, Multi-purpose, A4, 70 gsm</t>
  </si>
  <si>
    <t>3 packs White folder, legal size</t>
  </si>
  <si>
    <t>3 packs White folder, A4</t>
  </si>
  <si>
    <t>6 boxes Gel Ink Pen 0.5mm</t>
  </si>
  <si>
    <t>20 pcks Note pad, stick on, yellow, (3"x3") min</t>
  </si>
  <si>
    <t>20 pcks Note pad, stick on, green, (3"x3") min</t>
  </si>
  <si>
    <t>20 pcks Note pad, stick on, pink, (3"x3") min</t>
  </si>
  <si>
    <t>10 boxes Stapler, standard type</t>
  </si>
  <si>
    <t>10 boxes Staple wire No.35</t>
  </si>
  <si>
    <t>10 boxes Sign pen - blue</t>
  </si>
  <si>
    <t>30 boxes Fastener, metal</t>
  </si>
  <si>
    <t>6 boxes Rubber Band</t>
  </si>
  <si>
    <t>10 Jars GLUE, All Purpose</t>
  </si>
  <si>
    <t>7 pieces Scissors</t>
  </si>
  <si>
    <t>7 pieces Mouse Pad (Black)</t>
  </si>
  <si>
    <t>3 packs Pink Paper A4</t>
  </si>
  <si>
    <t>2 pieces Self Inking Stamp (PAID)</t>
  </si>
  <si>
    <t>2 pieces Self Inking Stamp (8 Digit Numbers)</t>
  </si>
  <si>
    <t>2 pieces Self Inking Stamp (Date Stamp 12 years)</t>
  </si>
  <si>
    <t>10 pieces Eraser, Plastic/Rubber</t>
  </si>
  <si>
    <t>2 packs Electronic Calculator_Desktop</t>
  </si>
  <si>
    <t>20 boxes Interfolded Paper Towels, 2 ply, 100 pulls,per box</t>
  </si>
  <si>
    <t>20 packsTissue Paper, 3 ply, 24 rolls per pack</t>
  </si>
  <si>
    <t>20 pieces RULER, plastic, 450mm</t>
  </si>
  <si>
    <t>Other Supplies and Materials</t>
  </si>
  <si>
    <t>100 kg Decorticated Banana Fibers</t>
  </si>
  <si>
    <t>300 kg Ginned Cotton Fiber</t>
  </si>
  <si>
    <t>3 unit Office Cubicle Partitions</t>
  </si>
  <si>
    <t>3 pc Mesh Chair</t>
  </si>
  <si>
    <t>4 unit Split Type Airconditioner with Installation</t>
  </si>
  <si>
    <t>Outsourced Testing Services</t>
  </si>
  <si>
    <t>TEM-EDS</t>
  </si>
  <si>
    <t>TGA Analysis</t>
  </si>
  <si>
    <t>Viscosity</t>
  </si>
  <si>
    <t>Particle Size Analyzer</t>
  </si>
  <si>
    <t>Other Professional Services</t>
  </si>
  <si>
    <t>Weaving Service</t>
  </si>
  <si>
    <t>Delivery Services of Yarns</t>
  </si>
  <si>
    <t>Equipment Outlay</t>
  </si>
  <si>
    <t>Hydrothermal Reactor System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</si>
  <si>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</si>
  <si>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</si>
  <si>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</si>
  <si>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</si>
  <si>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</si>
  <si>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</si>
  <si>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</si>
  <si>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</si>
  <si>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</si>
  <si>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JULIUS L. LEAÑO JR., Ph.D.</t>
  </si>
  <si>
    <t>MARILOU G. AGUSTIN</t>
  </si>
  <si>
    <t>MERLITA R. ODI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</si>
  <si>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</si>
  <si>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</si>
  <si>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</si>
  <si>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</si>
  <si>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</si>
  <si>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>For 3nd Quarter of CY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</si>
</sst>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3" x14ac:knownFonts="1">
    <font>
      <sz val="11"/>
      <color theme="1"/>
      <name val="Arial"/>
      <scheme val="minor"/>
    </font>
    <font>
      <b/>
      <sz val="12"/>
      <color theme="1"/>
      <name val="Arial"/>
    </font>
    <font>
      <sz val="11"/>
      <color theme="1"/>
      <name val="Arial"/>
    </font>
    <font>
      <b/>
      <sz val="11"/>
      <color rgb="FFFF0000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b/>
      <sz val="9"/>
      <color theme="1"/>
      <name val="Arial"/>
    </font>
    <font>
      <b/>
      <sz val="10"/>
      <color theme="1"/>
      <name val="Arial"/>
    </font>
    <font>
      <sz val="11"/>
      <name val="Arial"/>
    </font>
    <font>
      <sz val="9"/>
      <color theme="1"/>
      <name val="Arial"/>
    </font>
    <font>
      <b/>
      <sz val="11"/>
      <color theme="1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theme="1"/>
      <name val="Arial"/>
      <scheme val="minor"/>
    </font>
    <font>
      <sz val="11"/>
      <color theme="1"/>
      <name val="Calibri"/>
    </font>
    <font>
      <sz val="10"/>
      <color theme="1"/>
      <name val="Arial"/>
    </font>
    <font>
      <b/>
      <u/>
      <sz val="9"/>
      <color theme="1"/>
      <name val="Arial"/>
    </font>
    <font>
      <b/>
      <sz val="8"/>
      <color theme="1"/>
      <name val="Arial"/>
    </font>
    <font>
      <u/>
      <sz val="8"/>
      <color theme="1"/>
      <name val="Arial"/>
    </font>
    <font>
      <b/>
      <sz val="10"/>
      <color theme="1"/>
      <name val="Verdana"/>
    </font>
    <font>
      <sz val="10"/>
      <color theme="1"/>
      <name val="Calibri"/>
    </font>
    <font>
      <sz val="10"/>
      <color theme="1"/>
      <name val="Verdana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4" fontId="2" fillId="0" borderId="0" xfId="0" applyNumberFormat="1" applyFont="1" applyAlignment="1">
      <alignment horizontal="right"/>
    </xf>
    <xf numFmtId="43" fontId="2" fillId="0" borderId="0" xfId="0" applyNumberFormat="1" applyFont="1"/>
    <xf numFmtId="0" fontId="2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9" fillId="0" borderId="0" xfId="0" applyFont="1"/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9" fillId="0" borderId="12" xfId="0" applyFont="1" applyBorder="1"/>
    <xf numFmtId="0" fontId="6" fillId="0" borderId="13" xfId="0" applyFont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4" fontId="10" fillId="2" borderId="14" xfId="0" applyNumberFormat="1" applyFont="1" applyFill="1" applyBorder="1" applyAlignment="1">
      <alignment horizontal="right" vertical="center" wrapText="1"/>
    </xf>
    <xf numFmtId="43" fontId="10" fillId="2" borderId="14" xfId="0" applyNumberFormat="1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4" fontId="2" fillId="0" borderId="0" xfId="0" applyNumberFormat="1" applyFont="1"/>
    <xf numFmtId="0" fontId="10" fillId="0" borderId="15" xfId="0" applyFont="1" applyBorder="1" applyAlignment="1">
      <alignment horizontal="center" vertical="center" wrapText="1"/>
    </xf>
    <xf numFmtId="4" fontId="10" fillId="0" borderId="15" xfId="0" applyNumberFormat="1" applyFont="1" applyBorder="1" applyAlignment="1">
      <alignment horizontal="right" vertical="center" wrapText="1"/>
    </xf>
    <xf numFmtId="43" fontId="10" fillId="0" borderId="15" xfId="0" applyNumberFormat="1" applyFont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4" fontId="10" fillId="2" borderId="15" xfId="0" applyNumberFormat="1" applyFont="1" applyFill="1" applyBorder="1" applyAlignment="1">
      <alignment horizontal="right" vertical="center" wrapText="1"/>
    </xf>
    <xf numFmtId="43" fontId="10" fillId="2" borderId="15" xfId="0" applyNumberFormat="1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10" fillId="2" borderId="23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2" fillId="2" borderId="18" xfId="0" applyFont="1" applyFill="1" applyBorder="1"/>
    <xf numFmtId="4" fontId="2" fillId="2" borderId="18" xfId="0" applyNumberFormat="1" applyFont="1" applyFill="1" applyBorder="1" applyAlignment="1">
      <alignment horizontal="right"/>
    </xf>
    <xf numFmtId="0" fontId="10" fillId="2" borderId="18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43" fontId="12" fillId="0" borderId="18" xfId="0" applyNumberFormat="1" applyFont="1" applyBorder="1" applyAlignment="1">
      <alignment horizontal="right"/>
    </xf>
    <xf numFmtId="43" fontId="12" fillId="0" borderId="9" xfId="0" applyNumberFormat="1" applyFont="1" applyBorder="1" applyAlignment="1">
      <alignment horizontal="right"/>
    </xf>
    <xf numFmtId="43" fontId="12" fillId="0" borderId="2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center" vertical="center" wrapText="1"/>
    </xf>
    <xf numFmtId="4" fontId="2" fillId="2" borderId="14" xfId="0" applyNumberFormat="1" applyFont="1" applyFill="1" applyBorder="1" applyAlignment="1">
      <alignment horizontal="right" vertical="center" wrapText="1"/>
    </xf>
    <xf numFmtId="43" fontId="2" fillId="2" borderId="14" xfId="0" applyNumberFormat="1" applyFont="1" applyFill="1" applyBorder="1" applyAlignment="1">
      <alignment horizontal="center" vertical="center" wrapText="1"/>
    </xf>
    <xf numFmtId="0" fontId="2" fillId="2" borderId="14" xfId="0" applyFont="1" applyFill="1" applyBorder="1"/>
    <xf numFmtId="0" fontId="2" fillId="2" borderId="22" xfId="0" applyFont="1" applyFill="1" applyBorder="1"/>
    <xf numFmtId="0" fontId="10" fillId="2" borderId="22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4" fontId="2" fillId="0" borderId="18" xfId="0" applyNumberFormat="1" applyFont="1" applyBorder="1" applyAlignment="1">
      <alignment horizontal="right" vertical="center" wrapText="1"/>
    </xf>
    <xf numFmtId="4" fontId="2" fillId="0" borderId="9" xfId="0" applyNumberFormat="1" applyFont="1" applyBorder="1" applyAlignment="1">
      <alignment horizontal="right" vertical="center" wrapText="1"/>
    </xf>
    <xf numFmtId="0" fontId="2" fillId="0" borderId="25" xfId="0" applyFont="1" applyBorder="1"/>
    <xf numFmtId="0" fontId="2" fillId="0" borderId="15" xfId="0" applyFont="1" applyBorder="1" applyAlignment="1">
      <alignment horizontal="center" vertical="center" wrapText="1"/>
    </xf>
    <xf numFmtId="4" fontId="2" fillId="0" borderId="29" xfId="0" applyNumberFormat="1" applyFont="1" applyBorder="1" applyAlignment="1">
      <alignment horizontal="center"/>
    </xf>
    <xf numFmtId="43" fontId="2" fillId="0" borderId="34" xfId="0" applyNumberFormat="1" applyFont="1" applyBorder="1" applyAlignment="1">
      <alignment horizontal="center" wrapText="1"/>
    </xf>
    <xf numFmtId="43" fontId="2" fillId="0" borderId="29" xfId="0" applyNumberFormat="1" applyFont="1" applyBorder="1" applyAlignment="1">
      <alignment horizontal="center" wrapText="1"/>
    </xf>
    <xf numFmtId="4" fontId="14" fillId="0" borderId="29" xfId="0" applyNumberFormat="1" applyFont="1" applyBorder="1" applyAlignment="1">
      <alignment horizontal="center"/>
    </xf>
    <xf numFmtId="4" fontId="2" fillId="0" borderId="32" xfId="0" applyNumberFormat="1" applyFont="1" applyBorder="1" applyAlignment="1">
      <alignment horizontal="center"/>
    </xf>
    <xf numFmtId="43" fontId="2" fillId="0" borderId="32" xfId="0" applyNumberFormat="1" applyFont="1" applyBorder="1" applyAlignment="1">
      <alignment horizontal="center" wrapText="1"/>
    </xf>
    <xf numFmtId="0" fontId="2" fillId="2" borderId="22" xfId="0" applyFont="1" applyFill="1" applyBorder="1" applyAlignment="1">
      <alignment horizontal="center" vertical="center" wrapText="1"/>
    </xf>
    <xf numFmtId="4" fontId="2" fillId="2" borderId="39" xfId="0" applyNumberFormat="1" applyFont="1" applyFill="1" applyBorder="1" applyAlignment="1">
      <alignment horizontal="right" vertical="center" wrapText="1"/>
    </xf>
    <xf numFmtId="43" fontId="2" fillId="2" borderId="39" xfId="0" applyNumberFormat="1" applyFont="1" applyFill="1" applyBorder="1" applyAlignment="1">
      <alignment horizontal="center" vertical="center" wrapText="1"/>
    </xf>
    <xf numFmtId="4" fontId="2" fillId="0" borderId="15" xfId="0" applyNumberFormat="1" applyFont="1" applyBorder="1" applyAlignment="1">
      <alignment horizontal="right" vertical="center" wrapText="1"/>
    </xf>
    <xf numFmtId="43" fontId="2" fillId="0" borderId="15" xfId="0" applyNumberFormat="1" applyFont="1" applyBorder="1" applyAlignment="1">
      <alignment horizontal="center" vertical="center" wrapText="1"/>
    </xf>
    <xf numFmtId="0" fontId="2" fillId="0" borderId="18" xfId="0" applyFont="1" applyBorder="1"/>
    <xf numFmtId="0" fontId="10" fillId="0" borderId="18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43" fontId="2" fillId="0" borderId="9" xfId="0" applyNumberFormat="1" applyFont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10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2" borderId="15" xfId="0" applyFont="1" applyFill="1" applyBorder="1"/>
    <xf numFmtId="0" fontId="2" fillId="2" borderId="19" xfId="0" applyFont="1" applyFill="1" applyBorder="1" applyAlignment="1">
      <alignment horizontal="center" vertical="center" wrapText="1"/>
    </xf>
    <xf numFmtId="4" fontId="2" fillId="2" borderId="19" xfId="0" applyNumberFormat="1" applyFont="1" applyFill="1" applyBorder="1" applyAlignment="1">
      <alignment horizontal="right" vertical="center" wrapText="1"/>
    </xf>
    <xf numFmtId="43" fontId="2" fillId="2" borderId="19" xfId="0" applyNumberFormat="1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43" fontId="2" fillId="0" borderId="18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43" fontId="2" fillId="0" borderId="41" xfId="0" applyNumberFormat="1" applyFont="1" applyBorder="1"/>
    <xf numFmtId="0" fontId="16" fillId="0" borderId="0" xfId="0" applyFont="1" applyAlignment="1">
      <alignment vertical="center"/>
    </xf>
    <xf numFmtId="0" fontId="6" fillId="0" borderId="22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9" fillId="0" borderId="0" xfId="0" applyFont="1" applyAlignment="1">
      <alignment horizontal="left"/>
    </xf>
    <xf numFmtId="0" fontId="6" fillId="0" borderId="18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15" fillId="0" borderId="0" xfId="0" applyFont="1"/>
    <xf numFmtId="43" fontId="15" fillId="0" borderId="0" xfId="0" applyNumberFormat="1" applyFont="1" applyAlignment="1">
      <alignment horizont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4" fontId="7" fillId="0" borderId="0" xfId="0" applyNumberFormat="1" applyFont="1" applyAlignment="1">
      <alignment horizontal="right" vertical="center" wrapText="1"/>
    </xf>
    <xf numFmtId="4" fontId="15" fillId="0" borderId="0" xfId="0" applyNumberFormat="1" applyFont="1" applyAlignment="1">
      <alignment horizontal="right"/>
    </xf>
    <xf numFmtId="0" fontId="7" fillId="0" borderId="0" xfId="0" applyFont="1" applyAlignment="1">
      <alignment wrapText="1"/>
    </xf>
    <xf numFmtId="0" fontId="2" fillId="0" borderId="0" xfId="0" applyFont="1" applyAlignment="1">
      <alignment horizontal="left"/>
    </xf>
    <xf numFmtId="4" fontId="14" fillId="0" borderId="0" xfId="0" applyNumberFormat="1" applyFont="1" applyAlignment="1">
      <alignment horizontal="right"/>
    </xf>
    <xf numFmtId="0" fontId="19" fillId="0" borderId="0" xfId="0" applyFont="1" applyAlignment="1">
      <alignment horizontal="left" vertical="center" wrapText="1"/>
    </xf>
    <xf numFmtId="0" fontId="20" fillId="0" borderId="0" xfId="0" applyFont="1"/>
    <xf numFmtId="0" fontId="19" fillId="0" borderId="0" xfId="0" applyFont="1" applyAlignment="1">
      <alignment wrapText="1"/>
    </xf>
    <xf numFmtId="0" fontId="2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7" xfId="0" applyFont="1" applyBorder="1"/>
    <xf numFmtId="0" fontId="6" fillId="0" borderId="2" xfId="0" applyFont="1" applyBorder="1" applyAlignment="1">
      <alignment horizontal="center" vertical="center" wrapText="1"/>
    </xf>
    <xf numFmtId="0" fontId="8" fillId="0" borderId="8" xfId="0" applyFont="1" applyBorder="1"/>
    <xf numFmtId="4" fontId="6" fillId="0" borderId="2" xfId="0" applyNumberFormat="1" applyFont="1" applyBorder="1" applyAlignment="1">
      <alignment horizontal="center" vertical="center" wrapText="1"/>
    </xf>
    <xf numFmtId="43" fontId="6" fillId="0" borderId="2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  <xf numFmtId="0" fontId="2" fillId="0" borderId="15" xfId="0" applyFont="1" applyBorder="1" applyAlignment="1">
      <alignment horizontal="center"/>
    </xf>
    <xf numFmtId="0" fontId="8" fillId="0" borderId="14" xfId="0" applyFont="1" applyBorder="1"/>
    <xf numFmtId="0" fontId="2" fillId="0" borderId="27" xfId="0" applyFont="1" applyBorder="1" applyAlignment="1">
      <alignment horizontal="center"/>
    </xf>
    <xf numFmtId="0" fontId="8" fillId="0" borderId="21" xfId="0" applyFont="1" applyBorder="1"/>
    <xf numFmtId="0" fontId="8" fillId="0" borderId="28" xfId="0" applyFont="1" applyBorder="1"/>
    <xf numFmtId="0" fontId="10" fillId="0" borderId="15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4" xfId="0" applyFont="1" applyBorder="1"/>
    <xf numFmtId="0" fontId="10" fillId="0" borderId="14" xfId="0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15" xfId="0" applyFont="1" applyBorder="1"/>
    <xf numFmtId="0" fontId="10" fillId="0" borderId="15" xfId="0" applyFont="1" applyBorder="1" applyAlignment="1">
      <alignment horizontal="center" vertical="center"/>
    </xf>
    <xf numFmtId="0" fontId="13" fillId="0" borderId="14" xfId="0" applyFont="1" applyBorder="1"/>
    <xf numFmtId="0" fontId="8" fillId="0" borderId="22" xfId="0" applyFont="1" applyBorder="1"/>
    <xf numFmtId="0" fontId="2" fillId="0" borderId="15" xfId="0" applyFont="1" applyBorder="1" applyAlignment="1">
      <alignment horizontal="center" vertical="center" wrapText="1"/>
    </xf>
    <xf numFmtId="0" fontId="8" fillId="0" borderId="39" xfId="0" applyFont="1" applyBorder="1"/>
    <xf numFmtId="43" fontId="1" fillId="0" borderId="0" xfId="0" applyNumberFormat="1" applyFont="1" applyAlignment="1">
      <alignment horizontal="center"/>
    </xf>
    <xf numFmtId="43" fontId="1" fillId="0" borderId="16" xfId="0" applyNumberFormat="1" applyFont="1" applyBorder="1" applyAlignment="1">
      <alignment horizontal="center"/>
    </xf>
    <xf numFmtId="0" fontId="8" fillId="0" borderId="40" xfId="0" applyFont="1" applyBorder="1"/>
    <xf numFmtId="0" fontId="8" fillId="0" borderId="29" xfId="0" applyFont="1" applyBorder="1"/>
    <xf numFmtId="0" fontId="9" fillId="0" borderId="0" xfId="0" applyFont="1" applyAlignment="1">
      <alignment horizontal="left"/>
    </xf>
    <xf numFmtId="43" fontId="1" fillId="0" borderId="23" xfId="0" applyNumberFormat="1" applyFont="1" applyBorder="1" applyAlignment="1">
      <alignment horizontal="center"/>
    </xf>
    <xf numFmtId="0" fontId="8" fillId="0" borderId="43" xfId="0" applyFont="1" applyBorder="1"/>
    <xf numFmtId="0" fontId="8" fillId="0" borderId="44" xfId="0" applyFont="1" applyBorder="1"/>
    <xf numFmtId="43" fontId="15" fillId="0" borderId="0" xfId="0" applyNumberFormat="1" applyFont="1" applyAlignment="1">
      <alignment horizontal="center"/>
    </xf>
    <xf numFmtId="0" fontId="7" fillId="0" borderId="0" xfId="0" applyFont="1" applyAlignment="1">
      <alignment horizontal="left" wrapText="1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2" fillId="0" borderId="0" xfId="0" applyFont="1"/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wrapText="1"/>
    </xf>
    <xf numFmtId="43" fontId="21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2" fillId="0" borderId="35" xfId="0" applyFont="1" applyBorder="1"/>
    <xf numFmtId="0" fontId="8" fillId="0" borderId="25" xfId="0" applyFont="1" applyBorder="1"/>
    <xf numFmtId="0" fontId="8" fillId="0" borderId="32" xfId="0" applyFont="1" applyBorder="1"/>
    <xf numFmtId="0" fontId="2" fillId="0" borderId="30" xfId="0" applyFont="1" applyBorder="1" applyAlignment="1">
      <alignment horizontal="center" vertical="center" wrapText="1"/>
    </xf>
    <xf numFmtId="0" fontId="8" fillId="0" borderId="20" xfId="0" applyFont="1" applyBorder="1"/>
    <xf numFmtId="0" fontId="8" fillId="0" borderId="33" xfId="0" applyFont="1" applyBorder="1"/>
    <xf numFmtId="43" fontId="2" fillId="0" borderId="31" xfId="0" applyNumberFormat="1" applyFont="1" applyBorder="1" applyAlignment="1">
      <alignment horizontal="center" vertical="center" wrapText="1"/>
    </xf>
    <xf numFmtId="0" fontId="2" fillId="0" borderId="36" xfId="0" applyFont="1" applyBorder="1"/>
    <xf numFmtId="0" fontId="8" fillId="0" borderId="37" xfId="0" applyFont="1" applyBorder="1"/>
    <xf numFmtId="0" fontId="8" fillId="0" borderId="38" xfId="0" applyFont="1" applyBorder="1"/>
    <xf numFmtId="0" fontId="8" fillId="0" borderId="17" xfId="0" applyFont="1" applyBorder="1"/>
    <xf numFmtId="4" fontId="2" fillId="0" borderId="15" xfId="0" applyNumberFormat="1" applyFont="1" applyBorder="1" applyAlignment="1">
      <alignment horizontal="right" vertical="center" wrapText="1"/>
    </xf>
    <xf numFmtId="0" fontId="11" fillId="0" borderId="18" xfId="0" applyFont="1" applyBorder="1" applyAlignment="1">
      <alignment vertical="top" wrapText="1"/>
    </xf>
    <xf numFmtId="0" fontId="2" fillId="0" borderId="29" xfId="0" applyFont="1" applyBorder="1" applyAlignment="1">
      <alignment vertical="top" wrapText="1"/>
    </xf>
    <xf numFmtId="0" fontId="10" fillId="2" borderId="14" xfId="0" applyFont="1" applyFill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10" fillId="2" borderId="22" xfId="0" applyFont="1" applyFill="1" applyBorder="1" applyAlignment="1">
      <alignment horizontal="left" vertical="top" wrapText="1"/>
    </xf>
    <xf numFmtId="0" fontId="22" fillId="0" borderId="22" xfId="0" applyFont="1" applyBorder="1" applyAlignment="1">
      <alignment horizontal="left" vertical="top" wrapText="1"/>
    </xf>
    <xf numFmtId="0" fontId="10" fillId="2" borderId="26" xfId="0" applyFont="1" applyFill="1" applyBorder="1" applyAlignment="1">
      <alignment horizontal="left" vertical="top"/>
    </xf>
    <xf numFmtId="0" fontId="11" fillId="0" borderId="9" xfId="0" applyFont="1" applyBorder="1" applyAlignment="1">
      <alignment vertical="top" wrapText="1"/>
    </xf>
    <xf numFmtId="0" fontId="11" fillId="0" borderId="22" xfId="0" applyFont="1" applyBorder="1" applyAlignment="1">
      <alignment vertical="top" wrapText="1"/>
    </xf>
    <xf numFmtId="0" fontId="10" fillId="2" borderId="29" xfId="0" applyFont="1" applyFill="1" applyBorder="1" applyAlignment="1">
      <alignment horizontal="left" vertical="top"/>
    </xf>
    <xf numFmtId="0" fontId="2" fillId="0" borderId="29" xfId="0" applyFont="1" applyBorder="1" applyAlignment="1">
      <alignment horizontal="left" vertical="top"/>
    </xf>
    <xf numFmtId="0" fontId="2" fillId="0" borderId="32" xfId="0" applyFont="1" applyBorder="1" applyAlignment="1">
      <alignment horizontal="left" vertical="top"/>
    </xf>
    <xf numFmtId="0" fontId="2" fillId="0" borderId="34" xfId="0" applyFont="1" applyBorder="1" applyAlignment="1">
      <alignment vertical="top"/>
    </xf>
    <xf numFmtId="0" fontId="2" fillId="0" borderId="29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0" fontId="2" fillId="0" borderId="40" xfId="0" applyFont="1" applyBorder="1" applyAlignment="1">
      <alignment horizontal="left" vertical="top"/>
    </xf>
    <xf numFmtId="0" fontId="2" fillId="0" borderId="41" xfId="0" applyFont="1" applyBorder="1" applyAlignment="1">
      <alignment horizontal="left" vertical="top"/>
    </xf>
    <xf numFmtId="0" fontId="10" fillId="2" borderId="4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9"/>
  <sheetViews>
    <sheetView tabSelected="1" topLeftCell="A79" workbookViewId="0">
      <selection activeCell="B17" sqref="B17"/>
    </sheetView>
  </sheetViews>
  <sheetFormatPr defaultColWidth="12.625" defaultRowHeight="15" customHeight="1" x14ac:dyDescent="0.2"/>
  <cols>
    <col min="1" max="1" width="7.625" customWidth="1"/>
    <col min="2" max="2" width="57.5" customWidth="1"/>
    <col min="3" max="4" width="11.625" customWidth="1"/>
    <col min="5" max="5" width="14" customWidth="1"/>
    <col min="6" max="6" width="23.25" customWidth="1"/>
    <col min="7" max="7" width="10.375" customWidth="1"/>
    <col min="8" max="12" width="7.625" customWidth="1"/>
    <col min="13" max="13" width="11.375" customWidth="1"/>
    <col min="14" max="15" width="7.625" customWidth="1"/>
    <col min="16" max="16" width="10.25" customWidth="1"/>
    <col min="17" max="17" width="9.25" customWidth="1"/>
    <col min="18" max="18" width="7.625" customWidth="1"/>
    <col min="19" max="19" width="9.5" customWidth="1"/>
    <col min="20" max="21" width="9.875" customWidth="1"/>
    <col min="22" max="22" width="22.625" customWidth="1"/>
    <col min="23" max="24" width="7.625" customWidth="1"/>
  </cols>
  <sheetData>
    <row r="1" spans="1:25" ht="15.75" x14ac:dyDescent="0.2">
      <c r="A1" s="109"/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"/>
      <c r="X1" s="1"/>
    </row>
    <row r="2" spans="1:25" ht="14.25" x14ac:dyDescent="0.2">
      <c r="A2" s="111" t="s">
        <v>137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"/>
      <c r="X2" s="1"/>
    </row>
    <row r="3" spans="1:25" x14ac:dyDescent="0.25">
      <c r="A3" s="112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"/>
      <c r="X3" s="1"/>
    </row>
    <row r="4" spans="1:25" x14ac:dyDescent="0.2">
      <c r="A4" s="2" t="s">
        <v>0</v>
      </c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"/>
      <c r="W4" s="1"/>
      <c r="X4" s="1"/>
    </row>
    <row r="5" spans="1:25" x14ac:dyDescent="0.2">
      <c r="A5" s="5"/>
      <c r="B5" s="3"/>
      <c r="C5" s="1"/>
      <c r="D5" s="6"/>
      <c r="E5" s="7"/>
      <c r="F5" s="8"/>
      <c r="G5" s="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5" x14ac:dyDescent="0.2">
      <c r="A6" s="2" t="s">
        <v>1</v>
      </c>
      <c r="B6" s="3"/>
      <c r="C6" s="1"/>
      <c r="D6" s="6"/>
      <c r="E6" s="7"/>
      <c r="F6" s="8"/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5" x14ac:dyDescent="0.2">
      <c r="A7" s="5" t="s">
        <v>2</v>
      </c>
      <c r="B7" s="3"/>
      <c r="C7" s="1"/>
      <c r="D7" s="6"/>
      <c r="E7" s="7"/>
      <c r="F7" s="8"/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5" ht="22.5" customHeight="1" x14ac:dyDescent="0.2">
      <c r="A8" s="113" t="s">
        <v>3</v>
      </c>
      <c r="B8" s="115" t="s">
        <v>4</v>
      </c>
      <c r="C8" s="9" t="s">
        <v>5</v>
      </c>
      <c r="D8" s="117" t="s">
        <v>6</v>
      </c>
      <c r="E8" s="118" t="s">
        <v>7</v>
      </c>
      <c r="F8" s="134" t="s">
        <v>8</v>
      </c>
      <c r="G8" s="115" t="s">
        <v>9</v>
      </c>
      <c r="H8" s="119" t="s">
        <v>10</v>
      </c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1"/>
      <c r="W8" s="10"/>
      <c r="X8" s="10"/>
    </row>
    <row r="9" spans="1:25" ht="39" thickBot="1" x14ac:dyDescent="0.25">
      <c r="A9" s="114"/>
      <c r="B9" s="116"/>
      <c r="C9" s="11" t="s">
        <v>11</v>
      </c>
      <c r="D9" s="116"/>
      <c r="E9" s="116"/>
      <c r="F9" s="116"/>
      <c r="G9" s="116"/>
      <c r="H9" s="12" t="s">
        <v>12</v>
      </c>
      <c r="I9" s="12" t="s">
        <v>13</v>
      </c>
      <c r="J9" s="12" t="s">
        <v>14</v>
      </c>
      <c r="K9" s="12" t="s">
        <v>15</v>
      </c>
      <c r="L9" s="12" t="s">
        <v>16</v>
      </c>
      <c r="M9" s="12" t="s">
        <v>17</v>
      </c>
      <c r="N9" s="12" t="s">
        <v>18</v>
      </c>
      <c r="O9" s="12" t="s">
        <v>19</v>
      </c>
      <c r="P9" s="12" t="s">
        <v>20</v>
      </c>
      <c r="Q9" s="12" t="s">
        <v>21</v>
      </c>
      <c r="R9" s="12" t="s">
        <v>22</v>
      </c>
      <c r="S9" s="12" t="s">
        <v>23</v>
      </c>
      <c r="T9" s="12" t="s">
        <v>24</v>
      </c>
      <c r="U9" s="13" t="str">
        <f>$V$9</f>
        <v>REMARKS</v>
      </c>
      <c r="V9" s="14" t="s">
        <v>25</v>
      </c>
      <c r="W9" s="15"/>
      <c r="X9" s="10"/>
    </row>
    <row r="10" spans="1:25" x14ac:dyDescent="0.2">
      <c r="A10" s="16"/>
      <c r="B10" s="174" t="s">
        <v>26</v>
      </c>
      <c r="C10" s="17"/>
      <c r="D10" s="18"/>
      <c r="E10" s="19"/>
      <c r="F10" s="20"/>
      <c r="G10" s="20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21"/>
      <c r="V10" s="22"/>
      <c r="W10" s="10"/>
      <c r="X10" s="10"/>
      <c r="Y10" s="23"/>
    </row>
    <row r="11" spans="1:25" x14ac:dyDescent="0.2">
      <c r="A11" s="16"/>
      <c r="B11" s="175" t="s">
        <v>27</v>
      </c>
      <c r="C11" s="24" t="s">
        <v>28</v>
      </c>
      <c r="D11" s="25">
        <v>10000</v>
      </c>
      <c r="E11" s="26">
        <v>30000</v>
      </c>
      <c r="F11" s="27" t="s">
        <v>29</v>
      </c>
      <c r="G11" s="24"/>
      <c r="H11" s="24">
        <v>1</v>
      </c>
      <c r="I11" s="24">
        <v>1</v>
      </c>
      <c r="J11" s="24">
        <v>1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8"/>
      <c r="V11" s="29"/>
      <c r="W11" s="10"/>
      <c r="X11" s="10"/>
      <c r="Y11" s="23"/>
    </row>
    <row r="12" spans="1:25" x14ac:dyDescent="0.2">
      <c r="A12" s="16"/>
      <c r="B12" s="176" t="s">
        <v>30</v>
      </c>
      <c r="C12" s="17"/>
      <c r="D12" s="30"/>
      <c r="E12" s="31"/>
      <c r="F12" s="32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33"/>
      <c r="V12" s="34"/>
      <c r="W12" s="10"/>
      <c r="X12" s="10"/>
      <c r="Y12" s="23"/>
    </row>
    <row r="13" spans="1:25" x14ac:dyDescent="0.2">
      <c r="A13" s="16"/>
      <c r="B13" s="177" t="s">
        <v>31</v>
      </c>
      <c r="C13" s="24" t="s">
        <v>32</v>
      </c>
      <c r="D13" s="25">
        <v>60000</v>
      </c>
      <c r="E13" s="26">
        <v>60000</v>
      </c>
      <c r="F13" s="27" t="s">
        <v>33</v>
      </c>
      <c r="G13" s="24"/>
      <c r="H13" s="24"/>
      <c r="I13" s="24"/>
      <c r="J13" s="24">
        <v>1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8"/>
      <c r="V13" s="29"/>
      <c r="W13" s="10"/>
      <c r="X13" s="10"/>
      <c r="Y13" s="23"/>
    </row>
    <row r="14" spans="1:25" ht="15.75" customHeight="1" x14ac:dyDescent="0.25">
      <c r="A14" s="35"/>
      <c r="B14" s="178" t="s">
        <v>34</v>
      </c>
      <c r="C14" s="36"/>
      <c r="D14" s="37"/>
      <c r="E14" s="36"/>
      <c r="F14" s="36"/>
      <c r="G14" s="36"/>
      <c r="H14" s="38"/>
      <c r="I14" s="38"/>
      <c r="J14" s="38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40"/>
      <c r="W14" s="10"/>
      <c r="X14" s="10"/>
      <c r="Y14" s="23"/>
    </row>
    <row r="15" spans="1:25" ht="15.75" customHeight="1" x14ac:dyDescent="0.25">
      <c r="A15" s="35"/>
      <c r="B15" s="172" t="s">
        <v>35</v>
      </c>
      <c r="C15" s="133" t="s">
        <v>32</v>
      </c>
      <c r="D15" s="41">
        <v>4500</v>
      </c>
      <c r="E15" s="41">
        <v>18000</v>
      </c>
      <c r="F15" s="133" t="s">
        <v>33</v>
      </c>
      <c r="G15" s="135"/>
      <c r="H15" s="136"/>
      <c r="I15" s="136">
        <v>1</v>
      </c>
      <c r="J15" s="127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4"/>
      <c r="W15" s="10"/>
      <c r="X15" s="10"/>
    </row>
    <row r="16" spans="1:25" ht="15.75" customHeight="1" x14ac:dyDescent="0.25">
      <c r="A16" s="35"/>
      <c r="B16" s="172" t="s">
        <v>36</v>
      </c>
      <c r="C16" s="123"/>
      <c r="D16" s="41">
        <v>3000</v>
      </c>
      <c r="E16" s="41">
        <v>6000</v>
      </c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5"/>
      <c r="W16" s="10"/>
      <c r="X16" s="10"/>
    </row>
    <row r="17" spans="1:24" ht="17.25" customHeight="1" x14ac:dyDescent="0.25">
      <c r="A17" s="35"/>
      <c r="B17" s="172" t="s">
        <v>37</v>
      </c>
      <c r="C17" s="123"/>
      <c r="D17" s="41">
        <v>11000</v>
      </c>
      <c r="E17" s="41">
        <v>11000</v>
      </c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5"/>
      <c r="W17" s="10"/>
      <c r="X17" s="10"/>
    </row>
    <row r="18" spans="1:24" ht="15.75" customHeight="1" x14ac:dyDescent="0.25">
      <c r="A18" s="35"/>
      <c r="B18" s="172" t="s">
        <v>38</v>
      </c>
      <c r="C18" s="123"/>
      <c r="D18" s="41">
        <v>3600</v>
      </c>
      <c r="E18" s="41">
        <v>7200</v>
      </c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5"/>
      <c r="W18" s="10"/>
      <c r="X18" s="10"/>
    </row>
    <row r="19" spans="1:24" ht="16.5" customHeight="1" x14ac:dyDescent="0.25">
      <c r="A19" s="35"/>
      <c r="B19" s="172" t="s">
        <v>39</v>
      </c>
      <c r="C19" s="123"/>
      <c r="D19" s="41">
        <v>1500</v>
      </c>
      <c r="E19" s="41">
        <v>3000</v>
      </c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5"/>
      <c r="W19" s="10"/>
      <c r="X19" s="10"/>
    </row>
    <row r="20" spans="1:24" x14ac:dyDescent="0.25">
      <c r="A20" s="35"/>
      <c r="B20" s="172" t="s">
        <v>40</v>
      </c>
      <c r="C20" s="123"/>
      <c r="D20" s="41">
        <v>1700</v>
      </c>
      <c r="E20" s="41">
        <v>3400</v>
      </c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5"/>
      <c r="W20" s="10"/>
      <c r="X20" s="10"/>
    </row>
    <row r="21" spans="1:24" ht="15" customHeight="1" x14ac:dyDescent="0.25">
      <c r="A21" s="35"/>
      <c r="B21" s="172" t="s">
        <v>41</v>
      </c>
      <c r="C21" s="123"/>
      <c r="D21" s="41">
        <v>4200</v>
      </c>
      <c r="E21" s="41">
        <v>4200</v>
      </c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5"/>
      <c r="W21" s="10"/>
      <c r="X21" s="10"/>
    </row>
    <row r="22" spans="1:24" x14ac:dyDescent="0.25">
      <c r="A22" s="35"/>
      <c r="B22" s="172" t="s">
        <v>42</v>
      </c>
      <c r="C22" s="123"/>
      <c r="D22" s="41">
        <v>10000</v>
      </c>
      <c r="E22" s="41">
        <v>20000</v>
      </c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5"/>
      <c r="W22" s="10"/>
      <c r="X22" s="10"/>
    </row>
    <row r="23" spans="1:24" x14ac:dyDescent="0.25">
      <c r="A23" s="35"/>
      <c r="B23" s="172" t="s">
        <v>43</v>
      </c>
      <c r="C23" s="123"/>
      <c r="D23" s="41">
        <v>2000</v>
      </c>
      <c r="E23" s="41">
        <v>4000</v>
      </c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5"/>
      <c r="W23" s="10"/>
      <c r="X23" s="10"/>
    </row>
    <row r="24" spans="1:24" ht="17.25" customHeight="1" x14ac:dyDescent="0.25">
      <c r="A24" s="35"/>
      <c r="B24" s="172" t="s">
        <v>44</v>
      </c>
      <c r="C24" s="123"/>
      <c r="D24" s="41">
        <v>3000</v>
      </c>
      <c r="E24" s="41">
        <v>6000</v>
      </c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5"/>
      <c r="W24" s="10"/>
      <c r="X24" s="10"/>
    </row>
    <row r="25" spans="1:24" x14ac:dyDescent="0.25">
      <c r="A25" s="35"/>
      <c r="B25" s="172" t="s">
        <v>45</v>
      </c>
      <c r="C25" s="123"/>
      <c r="D25" s="41">
        <v>2500</v>
      </c>
      <c r="E25" s="41">
        <v>5000</v>
      </c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5"/>
      <c r="W25" s="10"/>
      <c r="X25" s="10"/>
    </row>
    <row r="26" spans="1:24" ht="15.75" thickBot="1" x14ac:dyDescent="0.3">
      <c r="A26" s="35"/>
      <c r="B26" s="179" t="s">
        <v>46</v>
      </c>
      <c r="C26" s="116"/>
      <c r="D26" s="42">
        <v>3000</v>
      </c>
      <c r="E26" s="42">
        <v>6000</v>
      </c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26"/>
      <c r="W26" s="10"/>
      <c r="X26" s="10"/>
    </row>
    <row r="27" spans="1:24" x14ac:dyDescent="0.25">
      <c r="A27" s="35"/>
      <c r="B27" s="180" t="s">
        <v>47</v>
      </c>
      <c r="C27" s="132" t="s">
        <v>32</v>
      </c>
      <c r="D27" s="43">
        <v>50000</v>
      </c>
      <c r="E27" s="43">
        <v>50000</v>
      </c>
      <c r="F27" s="132" t="s">
        <v>33</v>
      </c>
      <c r="G27" s="130"/>
      <c r="H27" s="131"/>
      <c r="I27" s="131"/>
      <c r="J27" s="131">
        <v>1</v>
      </c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9"/>
      <c r="W27" s="10"/>
      <c r="X27" s="10"/>
    </row>
    <row r="28" spans="1:24" ht="15" customHeight="1" x14ac:dyDescent="0.25">
      <c r="A28" s="35"/>
      <c r="B28" s="172" t="s">
        <v>48</v>
      </c>
      <c r="C28" s="123"/>
      <c r="D28" s="41">
        <v>13000</v>
      </c>
      <c r="E28" s="41">
        <v>13000</v>
      </c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5"/>
      <c r="W28" s="10"/>
      <c r="X28" s="10"/>
    </row>
    <row r="29" spans="1:24" x14ac:dyDescent="0.25">
      <c r="A29" s="35"/>
      <c r="B29" s="172" t="s">
        <v>49</v>
      </c>
      <c r="C29" s="123"/>
      <c r="D29" s="41">
        <v>30000</v>
      </c>
      <c r="E29" s="41">
        <v>30000</v>
      </c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5"/>
      <c r="W29" s="10"/>
      <c r="X29" s="10"/>
    </row>
    <row r="30" spans="1:24" ht="13.5" customHeight="1" x14ac:dyDescent="0.25">
      <c r="A30" s="35"/>
      <c r="B30" s="172" t="s">
        <v>50</v>
      </c>
      <c r="C30" s="123"/>
      <c r="D30" s="41">
        <v>15000</v>
      </c>
      <c r="E30" s="41">
        <v>15000</v>
      </c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5"/>
      <c r="W30" s="10"/>
      <c r="X30" s="10"/>
    </row>
    <row r="31" spans="1:24" ht="12.75" customHeight="1" x14ac:dyDescent="0.25">
      <c r="A31" s="35"/>
      <c r="B31" s="172" t="s">
        <v>51</v>
      </c>
      <c r="C31" s="123"/>
      <c r="D31" s="41">
        <v>9000</v>
      </c>
      <c r="E31" s="41">
        <v>18000</v>
      </c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5"/>
      <c r="W31" s="10"/>
      <c r="X31" s="10"/>
    </row>
    <row r="32" spans="1:24" ht="14.25" customHeight="1" x14ac:dyDescent="0.25">
      <c r="A32" s="35"/>
      <c r="B32" s="172" t="s">
        <v>52</v>
      </c>
      <c r="C32" s="123"/>
      <c r="D32" s="41">
        <v>9000</v>
      </c>
      <c r="E32" s="41">
        <v>18000</v>
      </c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5"/>
      <c r="W32" s="10"/>
      <c r="X32" s="10"/>
    </row>
    <row r="33" spans="1:24" ht="15.75" thickBot="1" x14ac:dyDescent="0.3">
      <c r="A33" s="35"/>
      <c r="B33" s="179" t="s">
        <v>53</v>
      </c>
      <c r="C33" s="116"/>
      <c r="D33" s="42">
        <v>45000</v>
      </c>
      <c r="E33" s="42">
        <v>90000</v>
      </c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26"/>
      <c r="W33" s="10"/>
      <c r="X33" s="10"/>
    </row>
    <row r="34" spans="1:24" x14ac:dyDescent="0.25">
      <c r="A34" s="35"/>
      <c r="B34" s="180" t="s">
        <v>54</v>
      </c>
      <c r="C34" s="132" t="s">
        <v>32</v>
      </c>
      <c r="D34" s="43">
        <v>300</v>
      </c>
      <c r="E34" s="43">
        <v>15000</v>
      </c>
      <c r="F34" s="132" t="s">
        <v>33</v>
      </c>
      <c r="G34" s="130"/>
      <c r="H34" s="131"/>
      <c r="I34" s="131"/>
      <c r="J34" s="131">
        <v>1</v>
      </c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9"/>
      <c r="W34" s="10"/>
      <c r="X34" s="10"/>
    </row>
    <row r="35" spans="1:24" ht="28.5" x14ac:dyDescent="0.25">
      <c r="A35" s="35"/>
      <c r="B35" s="172" t="s">
        <v>55</v>
      </c>
      <c r="C35" s="123"/>
      <c r="D35" s="41">
        <v>5000</v>
      </c>
      <c r="E35" s="41">
        <v>15000</v>
      </c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5"/>
      <c r="W35" s="10"/>
      <c r="X35" s="10"/>
    </row>
    <row r="36" spans="1:24" ht="14.25" customHeight="1" x14ac:dyDescent="0.25">
      <c r="A36" s="35"/>
      <c r="B36" s="172" t="s">
        <v>56</v>
      </c>
      <c r="C36" s="123"/>
      <c r="D36" s="41">
        <v>2000</v>
      </c>
      <c r="E36" s="41">
        <v>6000</v>
      </c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5"/>
      <c r="W36" s="10"/>
      <c r="X36" s="10"/>
    </row>
    <row r="37" spans="1:24" x14ac:dyDescent="0.25">
      <c r="A37" s="35"/>
      <c r="B37" s="172" t="s">
        <v>57</v>
      </c>
      <c r="C37" s="123"/>
      <c r="D37" s="41">
        <v>500</v>
      </c>
      <c r="E37" s="41">
        <v>5000</v>
      </c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5"/>
      <c r="W37" s="10"/>
      <c r="X37" s="10"/>
    </row>
    <row r="38" spans="1:24" x14ac:dyDescent="0.25">
      <c r="A38" s="35"/>
      <c r="B38" s="172" t="s">
        <v>58</v>
      </c>
      <c r="C38" s="123"/>
      <c r="D38" s="41">
        <v>1500</v>
      </c>
      <c r="E38" s="41">
        <v>3000</v>
      </c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5"/>
      <c r="W38" s="10"/>
      <c r="X38" s="10"/>
    </row>
    <row r="39" spans="1:24" x14ac:dyDescent="0.25">
      <c r="A39" s="35"/>
      <c r="B39" s="172" t="s">
        <v>59</v>
      </c>
      <c r="C39" s="123"/>
      <c r="D39" s="41">
        <v>2000</v>
      </c>
      <c r="E39" s="41">
        <v>4000</v>
      </c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5"/>
      <c r="W39" s="10"/>
      <c r="X39" s="10"/>
    </row>
    <row r="40" spans="1:24" ht="15" customHeight="1" x14ac:dyDescent="0.25">
      <c r="A40" s="35"/>
      <c r="B40" s="172" t="s">
        <v>60</v>
      </c>
      <c r="C40" s="123"/>
      <c r="D40" s="41">
        <v>2500</v>
      </c>
      <c r="E40" s="41">
        <v>5000</v>
      </c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5"/>
      <c r="W40" s="10"/>
      <c r="X40" s="10"/>
    </row>
    <row r="41" spans="1:24" x14ac:dyDescent="0.25">
      <c r="A41" s="35"/>
      <c r="B41" s="172" t="s">
        <v>61</v>
      </c>
      <c r="C41" s="123"/>
      <c r="D41" s="41">
        <v>5000</v>
      </c>
      <c r="E41" s="41">
        <v>10000</v>
      </c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5"/>
      <c r="W41" s="10"/>
      <c r="X41" s="10"/>
    </row>
    <row r="42" spans="1:24" ht="28.5" x14ac:dyDescent="0.25">
      <c r="A42" s="35"/>
      <c r="B42" s="172" t="s">
        <v>62</v>
      </c>
      <c r="C42" s="123"/>
      <c r="D42" s="41">
        <v>8000</v>
      </c>
      <c r="E42" s="41">
        <v>16000</v>
      </c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5"/>
      <c r="W42" s="10"/>
      <c r="X42" s="10"/>
    </row>
    <row r="43" spans="1:24" x14ac:dyDescent="0.25">
      <c r="A43" s="35"/>
      <c r="B43" s="172" t="s">
        <v>63</v>
      </c>
      <c r="C43" s="123"/>
      <c r="D43" s="41">
        <v>2000</v>
      </c>
      <c r="E43" s="41">
        <v>4000</v>
      </c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5"/>
      <c r="W43" s="10"/>
      <c r="X43" s="10"/>
    </row>
    <row r="44" spans="1:24" x14ac:dyDescent="0.25">
      <c r="A44" s="35"/>
      <c r="B44" s="172" t="s">
        <v>64</v>
      </c>
      <c r="C44" s="123"/>
      <c r="D44" s="41">
        <v>200</v>
      </c>
      <c r="E44" s="41">
        <v>2000</v>
      </c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5"/>
      <c r="W44" s="10"/>
      <c r="X44" s="10"/>
    </row>
    <row r="45" spans="1:24" x14ac:dyDescent="0.25">
      <c r="A45" s="35"/>
      <c r="B45" s="172" t="s">
        <v>65</v>
      </c>
      <c r="C45" s="123"/>
      <c r="D45" s="41">
        <v>250</v>
      </c>
      <c r="E45" s="41">
        <v>2500</v>
      </c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5"/>
      <c r="W45" s="10"/>
      <c r="X45" s="10"/>
    </row>
    <row r="46" spans="1:24" x14ac:dyDescent="0.25">
      <c r="A46" s="35"/>
      <c r="B46" s="172" t="s">
        <v>66</v>
      </c>
      <c r="C46" s="123"/>
      <c r="D46" s="41">
        <v>3000</v>
      </c>
      <c r="E46" s="41">
        <v>60000</v>
      </c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5"/>
      <c r="W46" s="10"/>
      <c r="X46" s="10"/>
    </row>
    <row r="47" spans="1:24" x14ac:dyDescent="0.25">
      <c r="A47" s="35"/>
      <c r="B47" s="172" t="s">
        <v>67</v>
      </c>
      <c r="C47" s="123"/>
      <c r="D47" s="41">
        <v>30000</v>
      </c>
      <c r="E47" s="41">
        <v>30000</v>
      </c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5"/>
      <c r="W47" s="10"/>
      <c r="X47" s="10"/>
    </row>
    <row r="48" spans="1:24" ht="15" customHeight="1" thickBot="1" x14ac:dyDescent="0.3">
      <c r="A48" s="35"/>
      <c r="B48" s="179" t="s">
        <v>68</v>
      </c>
      <c r="C48" s="116"/>
      <c r="D48" s="42">
        <v>30000</v>
      </c>
      <c r="E48" s="42">
        <v>30000</v>
      </c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26"/>
      <c r="W48" s="10"/>
      <c r="X48" s="10"/>
    </row>
    <row r="49" spans="1:26" x14ac:dyDescent="0.25">
      <c r="A49" s="35"/>
      <c r="B49" s="180" t="s">
        <v>69</v>
      </c>
      <c r="C49" s="132" t="s">
        <v>32</v>
      </c>
      <c r="D49" s="43">
        <v>20000</v>
      </c>
      <c r="E49" s="43">
        <v>40000</v>
      </c>
      <c r="F49" s="132" t="s">
        <v>33</v>
      </c>
      <c r="G49" s="130"/>
      <c r="H49" s="131"/>
      <c r="I49" s="131"/>
      <c r="J49" s="131">
        <v>1</v>
      </c>
      <c r="K49" s="137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9"/>
      <c r="W49" s="10"/>
      <c r="X49" s="10"/>
    </row>
    <row r="50" spans="1:26" x14ac:dyDescent="0.25">
      <c r="A50" s="35"/>
      <c r="B50" s="172" t="s">
        <v>70</v>
      </c>
      <c r="C50" s="123"/>
      <c r="D50" s="41">
        <v>30000</v>
      </c>
      <c r="E50" s="41">
        <v>60000</v>
      </c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5"/>
      <c r="W50" s="10"/>
      <c r="X50" s="10"/>
    </row>
    <row r="51" spans="1:26" x14ac:dyDescent="0.25">
      <c r="A51" s="35"/>
      <c r="B51" s="172" t="s">
        <v>71</v>
      </c>
      <c r="C51" s="123"/>
      <c r="D51" s="41">
        <v>3500</v>
      </c>
      <c r="E51" s="41">
        <v>17500</v>
      </c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5"/>
      <c r="W51" s="10"/>
      <c r="X51" s="10"/>
    </row>
    <row r="52" spans="1:26" x14ac:dyDescent="0.25">
      <c r="A52" s="35"/>
      <c r="B52" s="172" t="s">
        <v>72</v>
      </c>
      <c r="C52" s="123"/>
      <c r="D52" s="41">
        <v>5000</v>
      </c>
      <c r="E52" s="41">
        <v>25000</v>
      </c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5"/>
      <c r="W52" s="10"/>
      <c r="X52" s="10"/>
    </row>
    <row r="53" spans="1:26" ht="15.75" thickBot="1" x14ac:dyDescent="0.3">
      <c r="A53" s="35"/>
      <c r="B53" s="179" t="s">
        <v>73</v>
      </c>
      <c r="C53" s="116"/>
      <c r="D53" s="42">
        <v>4000</v>
      </c>
      <c r="E53" s="42">
        <v>20000</v>
      </c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26"/>
      <c r="W53" s="10"/>
      <c r="X53" s="10"/>
    </row>
    <row r="54" spans="1:26" ht="15.75" customHeight="1" x14ac:dyDescent="0.25">
      <c r="A54" s="35"/>
      <c r="B54" s="181" t="s">
        <v>74</v>
      </c>
      <c r="C54" s="44"/>
      <c r="D54" s="45"/>
      <c r="E54" s="46"/>
      <c r="F54" s="47"/>
      <c r="G54" s="48"/>
      <c r="H54" s="49"/>
      <c r="I54" s="49"/>
      <c r="J54" s="49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1"/>
      <c r="W54" s="10"/>
      <c r="X54" s="10"/>
      <c r="Y54" s="23"/>
    </row>
    <row r="55" spans="1:26" ht="15.75" customHeight="1" x14ac:dyDescent="0.2">
      <c r="A55" s="35"/>
      <c r="B55" s="182" t="s">
        <v>75</v>
      </c>
      <c r="C55" s="163" t="s">
        <v>32</v>
      </c>
      <c r="D55" s="52">
        <f t="shared" ref="D55:D58" si="0">650*20</f>
        <v>13000</v>
      </c>
      <c r="E55" s="166">
        <f>13000*4</f>
        <v>52000</v>
      </c>
      <c r="F55" s="133" t="s">
        <v>33</v>
      </c>
      <c r="G55" s="135"/>
      <c r="H55" s="127"/>
      <c r="I55" s="127"/>
      <c r="J55" s="136">
        <v>1</v>
      </c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4"/>
      <c r="W55" s="10"/>
      <c r="X55" s="10"/>
      <c r="Y55" s="23"/>
    </row>
    <row r="56" spans="1:26" ht="15.75" customHeight="1" x14ac:dyDescent="0.2">
      <c r="A56" s="35"/>
      <c r="B56" s="182" t="s">
        <v>76</v>
      </c>
      <c r="C56" s="164"/>
      <c r="D56" s="52">
        <f t="shared" si="0"/>
        <v>13000</v>
      </c>
      <c r="E56" s="161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5"/>
      <c r="W56" s="10"/>
      <c r="X56" s="10"/>
      <c r="Y56" s="23"/>
    </row>
    <row r="57" spans="1:26" ht="15.75" customHeight="1" x14ac:dyDescent="0.2">
      <c r="A57" s="35"/>
      <c r="B57" s="182" t="s">
        <v>77</v>
      </c>
      <c r="C57" s="164"/>
      <c r="D57" s="52">
        <f t="shared" si="0"/>
        <v>13000</v>
      </c>
      <c r="E57" s="161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5"/>
      <c r="W57" s="10"/>
      <c r="X57" s="10"/>
      <c r="Y57" s="23"/>
    </row>
    <row r="58" spans="1:26" ht="15.75" customHeight="1" thickBot="1" x14ac:dyDescent="0.25">
      <c r="A58" s="35"/>
      <c r="B58" s="183" t="s">
        <v>78</v>
      </c>
      <c r="C58" s="165"/>
      <c r="D58" s="53">
        <f t="shared" si="0"/>
        <v>13000</v>
      </c>
      <c r="E58" s="162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26"/>
      <c r="W58" s="10"/>
      <c r="X58" s="10"/>
      <c r="Y58" s="23"/>
    </row>
    <row r="59" spans="1:26" ht="15.75" customHeight="1" x14ac:dyDescent="0.2">
      <c r="A59" s="54"/>
      <c r="B59" s="184" t="s">
        <v>79</v>
      </c>
      <c r="C59" s="139" t="s">
        <v>32</v>
      </c>
      <c r="D59" s="56">
        <v>300</v>
      </c>
      <c r="E59" s="57">
        <f t="shared" ref="E59:E60" si="1">D59*30</f>
        <v>9000</v>
      </c>
      <c r="F59" s="133" t="s">
        <v>29</v>
      </c>
      <c r="G59" s="160"/>
      <c r="H59" s="160"/>
      <c r="I59" s="160"/>
      <c r="J59" s="136">
        <v>1</v>
      </c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7"/>
      <c r="W59" s="1"/>
      <c r="X59" s="1"/>
      <c r="Y59" s="23"/>
      <c r="Z59" s="1"/>
    </row>
    <row r="60" spans="1:26" ht="15.75" customHeight="1" x14ac:dyDescent="0.2">
      <c r="A60" s="54"/>
      <c r="B60" s="185" t="s">
        <v>80</v>
      </c>
      <c r="C60" s="123"/>
      <c r="D60" s="56">
        <v>250</v>
      </c>
      <c r="E60" s="58">
        <f t="shared" si="1"/>
        <v>7500</v>
      </c>
      <c r="F60" s="123"/>
      <c r="G60" s="161"/>
      <c r="H60" s="161"/>
      <c r="I60" s="161"/>
      <c r="J60" s="123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8"/>
      <c r="W60" s="1"/>
      <c r="X60" s="1"/>
      <c r="Y60" s="23"/>
      <c r="Z60" s="1"/>
    </row>
    <row r="61" spans="1:26" ht="15.75" customHeight="1" x14ac:dyDescent="0.2">
      <c r="A61" s="54"/>
      <c r="B61" s="185" t="s">
        <v>81</v>
      </c>
      <c r="C61" s="123"/>
      <c r="D61" s="56">
        <v>300</v>
      </c>
      <c r="E61" s="58">
        <f t="shared" ref="E61:E62" si="2">D61*3</f>
        <v>900</v>
      </c>
      <c r="F61" s="123"/>
      <c r="G61" s="161"/>
      <c r="H61" s="161"/>
      <c r="I61" s="161"/>
      <c r="J61" s="123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8"/>
      <c r="W61" s="1"/>
      <c r="X61" s="1"/>
      <c r="Y61" s="23"/>
      <c r="Z61" s="1"/>
    </row>
    <row r="62" spans="1:26" ht="15.75" customHeight="1" x14ac:dyDescent="0.2">
      <c r="A62" s="54"/>
      <c r="B62" s="185" t="s">
        <v>82</v>
      </c>
      <c r="C62" s="123"/>
      <c r="D62" s="56">
        <v>300</v>
      </c>
      <c r="E62" s="58">
        <f t="shared" si="2"/>
        <v>900</v>
      </c>
      <c r="F62" s="123"/>
      <c r="G62" s="161"/>
      <c r="H62" s="161"/>
      <c r="I62" s="161"/>
      <c r="J62" s="123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8"/>
      <c r="W62" s="1"/>
      <c r="X62" s="1"/>
      <c r="Y62" s="23"/>
      <c r="Z62" s="1"/>
    </row>
    <row r="63" spans="1:26" ht="15.75" customHeight="1" x14ac:dyDescent="0.2">
      <c r="A63" s="54"/>
      <c r="B63" s="185" t="s">
        <v>83</v>
      </c>
      <c r="C63" s="123"/>
      <c r="D63" s="56">
        <v>300</v>
      </c>
      <c r="E63" s="58">
        <f>D63*6</f>
        <v>1800</v>
      </c>
      <c r="F63" s="123"/>
      <c r="G63" s="161"/>
      <c r="H63" s="161"/>
      <c r="I63" s="161"/>
      <c r="J63" s="123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8"/>
      <c r="W63" s="1"/>
      <c r="X63" s="1"/>
      <c r="Y63" s="23"/>
      <c r="Z63" s="1"/>
    </row>
    <row r="64" spans="1:26" ht="15.75" customHeight="1" x14ac:dyDescent="0.2">
      <c r="A64" s="54"/>
      <c r="B64" s="185" t="s">
        <v>84</v>
      </c>
      <c r="C64" s="123"/>
      <c r="D64" s="56">
        <v>60</v>
      </c>
      <c r="E64" s="58">
        <f t="shared" ref="E64:E66" si="3">D64*50</f>
        <v>3000</v>
      </c>
      <c r="F64" s="123"/>
      <c r="G64" s="161"/>
      <c r="H64" s="161"/>
      <c r="I64" s="161"/>
      <c r="J64" s="123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8"/>
      <c r="W64" s="1"/>
      <c r="X64" s="1"/>
      <c r="Y64" s="23"/>
      <c r="Z64" s="1"/>
    </row>
    <row r="65" spans="1:26" ht="15.75" customHeight="1" x14ac:dyDescent="0.2">
      <c r="A65" s="54"/>
      <c r="B65" s="185" t="s">
        <v>85</v>
      </c>
      <c r="C65" s="123"/>
      <c r="D65" s="56">
        <v>60</v>
      </c>
      <c r="E65" s="58">
        <f t="shared" si="3"/>
        <v>3000</v>
      </c>
      <c r="F65" s="123"/>
      <c r="G65" s="161"/>
      <c r="H65" s="161"/>
      <c r="I65" s="161"/>
      <c r="J65" s="123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8"/>
      <c r="W65" s="1"/>
      <c r="X65" s="1"/>
      <c r="Y65" s="23"/>
      <c r="Z65" s="1"/>
    </row>
    <row r="66" spans="1:26" ht="15.75" customHeight="1" x14ac:dyDescent="0.2">
      <c r="A66" s="54"/>
      <c r="B66" s="185" t="s">
        <v>86</v>
      </c>
      <c r="C66" s="123"/>
      <c r="D66" s="56">
        <v>60</v>
      </c>
      <c r="E66" s="58">
        <f t="shared" si="3"/>
        <v>3000</v>
      </c>
      <c r="F66" s="123"/>
      <c r="G66" s="161"/>
      <c r="H66" s="161"/>
      <c r="I66" s="161"/>
      <c r="J66" s="123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8"/>
      <c r="W66" s="1"/>
      <c r="X66" s="1"/>
      <c r="Y66" s="23"/>
      <c r="Z66" s="1"/>
    </row>
    <row r="67" spans="1:26" ht="15.75" customHeight="1" x14ac:dyDescent="0.2">
      <c r="A67" s="54"/>
      <c r="B67" s="185" t="s">
        <v>87</v>
      </c>
      <c r="C67" s="123"/>
      <c r="D67" s="56">
        <v>150</v>
      </c>
      <c r="E67" s="58">
        <f>D67*10</f>
        <v>1500</v>
      </c>
      <c r="F67" s="123"/>
      <c r="G67" s="161"/>
      <c r="H67" s="161"/>
      <c r="I67" s="161"/>
      <c r="J67" s="123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8"/>
      <c r="W67" s="1"/>
      <c r="X67" s="1"/>
      <c r="Y67" s="23"/>
      <c r="Z67" s="1"/>
    </row>
    <row r="68" spans="1:26" ht="15.75" customHeight="1" x14ac:dyDescent="0.2">
      <c r="A68" s="54"/>
      <c r="B68" s="185" t="s">
        <v>88</v>
      </c>
      <c r="C68" s="123"/>
      <c r="D68" s="56">
        <v>150</v>
      </c>
      <c r="E68" s="58">
        <f>D68*50</f>
        <v>7500</v>
      </c>
      <c r="F68" s="123"/>
      <c r="G68" s="161"/>
      <c r="H68" s="161"/>
      <c r="I68" s="161"/>
      <c r="J68" s="123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8"/>
      <c r="W68" s="1"/>
      <c r="X68" s="1"/>
      <c r="Y68" s="23"/>
      <c r="Z68" s="1"/>
    </row>
    <row r="69" spans="1:26" ht="15.75" customHeight="1" x14ac:dyDescent="0.2">
      <c r="A69" s="54"/>
      <c r="B69" s="185" t="s">
        <v>89</v>
      </c>
      <c r="C69" s="123"/>
      <c r="D69" s="56">
        <v>300</v>
      </c>
      <c r="E69" s="58">
        <f>D69*5</f>
        <v>1500</v>
      </c>
      <c r="F69" s="123"/>
      <c r="G69" s="161"/>
      <c r="H69" s="161"/>
      <c r="I69" s="161"/>
      <c r="J69" s="123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8"/>
      <c r="W69" s="1"/>
      <c r="X69" s="1"/>
      <c r="Y69" s="23"/>
      <c r="Z69" s="1"/>
    </row>
    <row r="70" spans="1:26" ht="15.75" customHeight="1" x14ac:dyDescent="0.2">
      <c r="A70" s="54"/>
      <c r="B70" s="185" t="s">
        <v>90</v>
      </c>
      <c r="C70" s="123"/>
      <c r="D70" s="56">
        <v>100</v>
      </c>
      <c r="E70" s="58">
        <f>D70*30</f>
        <v>3000</v>
      </c>
      <c r="F70" s="123"/>
      <c r="G70" s="161"/>
      <c r="H70" s="161"/>
      <c r="I70" s="161"/>
      <c r="J70" s="123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8"/>
      <c r="W70" s="1"/>
      <c r="X70" s="1"/>
      <c r="Y70" s="23"/>
      <c r="Z70" s="1"/>
    </row>
    <row r="71" spans="1:26" ht="15.75" customHeight="1" x14ac:dyDescent="0.2">
      <c r="A71" s="54"/>
      <c r="B71" s="185" t="s">
        <v>91</v>
      </c>
      <c r="C71" s="123"/>
      <c r="D71" s="56">
        <v>150</v>
      </c>
      <c r="E71" s="58">
        <f>D71*6</f>
        <v>900</v>
      </c>
      <c r="F71" s="123"/>
      <c r="G71" s="161"/>
      <c r="H71" s="161"/>
      <c r="I71" s="161"/>
      <c r="J71" s="123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8"/>
      <c r="W71" s="1"/>
      <c r="X71" s="1"/>
      <c r="Y71" s="23"/>
      <c r="Z71" s="1"/>
    </row>
    <row r="72" spans="1:26" ht="15.75" customHeight="1" x14ac:dyDescent="0.2">
      <c r="A72" s="54"/>
      <c r="B72" s="185" t="s">
        <v>92</v>
      </c>
      <c r="C72" s="123"/>
      <c r="D72" s="56">
        <v>70</v>
      </c>
      <c r="E72" s="58">
        <f>D72*10</f>
        <v>700</v>
      </c>
      <c r="F72" s="123"/>
      <c r="G72" s="161"/>
      <c r="H72" s="161"/>
      <c r="I72" s="161"/>
      <c r="J72" s="123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8"/>
      <c r="W72" s="1"/>
      <c r="X72" s="1"/>
      <c r="Y72" s="23"/>
      <c r="Z72" s="1"/>
    </row>
    <row r="73" spans="1:26" ht="15.75" customHeight="1" x14ac:dyDescent="0.25">
      <c r="A73" s="54"/>
      <c r="B73" s="185" t="s">
        <v>93</v>
      </c>
      <c r="C73" s="123"/>
      <c r="D73" s="59">
        <v>70</v>
      </c>
      <c r="E73" s="58">
        <f t="shared" ref="E73:E74" si="4">D73*7</f>
        <v>490</v>
      </c>
      <c r="F73" s="123"/>
      <c r="G73" s="161"/>
      <c r="H73" s="161"/>
      <c r="I73" s="161"/>
      <c r="J73" s="123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8"/>
      <c r="W73" s="1"/>
      <c r="X73" s="1"/>
      <c r="Y73" s="23"/>
      <c r="Z73" s="1"/>
    </row>
    <row r="74" spans="1:26" ht="15.75" customHeight="1" x14ac:dyDescent="0.2">
      <c r="A74" s="54"/>
      <c r="B74" s="185" t="s">
        <v>94</v>
      </c>
      <c r="C74" s="123"/>
      <c r="D74" s="56">
        <v>200</v>
      </c>
      <c r="E74" s="58">
        <f t="shared" si="4"/>
        <v>1400</v>
      </c>
      <c r="F74" s="123"/>
      <c r="G74" s="161"/>
      <c r="H74" s="161"/>
      <c r="I74" s="161"/>
      <c r="J74" s="123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8"/>
      <c r="W74" s="1"/>
      <c r="X74" s="1"/>
      <c r="Y74" s="23"/>
      <c r="Z74" s="1"/>
    </row>
    <row r="75" spans="1:26" ht="15.75" customHeight="1" x14ac:dyDescent="0.2">
      <c r="A75" s="54"/>
      <c r="B75" s="185" t="s">
        <v>95</v>
      </c>
      <c r="C75" s="123"/>
      <c r="D75" s="56">
        <v>300</v>
      </c>
      <c r="E75" s="58">
        <f>D75*3</f>
        <v>900</v>
      </c>
      <c r="F75" s="123"/>
      <c r="G75" s="161"/>
      <c r="H75" s="161"/>
      <c r="I75" s="161"/>
      <c r="J75" s="123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8"/>
      <c r="W75" s="1"/>
      <c r="X75" s="1"/>
      <c r="Y75" s="23"/>
      <c r="Z75" s="1"/>
    </row>
    <row r="76" spans="1:26" ht="15.75" customHeight="1" x14ac:dyDescent="0.2">
      <c r="A76" s="54"/>
      <c r="B76" s="185" t="s">
        <v>96</v>
      </c>
      <c r="C76" s="123"/>
      <c r="D76" s="56">
        <v>500</v>
      </c>
      <c r="E76" s="58">
        <f t="shared" ref="E76:E78" si="5">D76*2</f>
        <v>1000</v>
      </c>
      <c r="F76" s="123"/>
      <c r="G76" s="161"/>
      <c r="H76" s="161"/>
      <c r="I76" s="161"/>
      <c r="J76" s="123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8"/>
      <c r="W76" s="1"/>
      <c r="X76" s="1"/>
      <c r="Y76" s="23"/>
      <c r="Z76" s="1"/>
    </row>
    <row r="77" spans="1:26" ht="15.75" customHeight="1" x14ac:dyDescent="0.2">
      <c r="A77" s="54"/>
      <c r="B77" s="185" t="s">
        <v>97</v>
      </c>
      <c r="C77" s="123"/>
      <c r="D77" s="56">
        <v>500</v>
      </c>
      <c r="E77" s="58">
        <f t="shared" si="5"/>
        <v>1000</v>
      </c>
      <c r="F77" s="123"/>
      <c r="G77" s="161"/>
      <c r="H77" s="161"/>
      <c r="I77" s="161"/>
      <c r="J77" s="123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8"/>
      <c r="W77" s="1"/>
      <c r="X77" s="1"/>
      <c r="Y77" s="23"/>
      <c r="Z77" s="1"/>
    </row>
    <row r="78" spans="1:26" ht="15.75" customHeight="1" x14ac:dyDescent="0.2">
      <c r="A78" s="54"/>
      <c r="B78" s="185" t="s">
        <v>98</v>
      </c>
      <c r="C78" s="123"/>
      <c r="D78" s="56">
        <v>500</v>
      </c>
      <c r="E78" s="58">
        <f t="shared" si="5"/>
        <v>1000</v>
      </c>
      <c r="F78" s="123"/>
      <c r="G78" s="161"/>
      <c r="H78" s="161"/>
      <c r="I78" s="161"/>
      <c r="J78" s="123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8"/>
      <c r="W78" s="1"/>
      <c r="X78" s="1"/>
      <c r="Y78" s="23"/>
      <c r="Z78" s="1"/>
    </row>
    <row r="79" spans="1:26" ht="15.75" customHeight="1" x14ac:dyDescent="0.2">
      <c r="A79" s="54"/>
      <c r="B79" s="185" t="s">
        <v>99</v>
      </c>
      <c r="C79" s="123"/>
      <c r="D79" s="56">
        <v>10</v>
      </c>
      <c r="E79" s="58">
        <f>D79*10</f>
        <v>100</v>
      </c>
      <c r="F79" s="123"/>
      <c r="G79" s="161"/>
      <c r="H79" s="161"/>
      <c r="I79" s="161"/>
      <c r="J79" s="123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8"/>
      <c r="W79" s="1"/>
      <c r="X79" s="1"/>
      <c r="Y79" s="23"/>
      <c r="Z79" s="1"/>
    </row>
    <row r="80" spans="1:26" ht="15.75" customHeight="1" x14ac:dyDescent="0.2">
      <c r="A80" s="54"/>
      <c r="B80" s="185" t="s">
        <v>100</v>
      </c>
      <c r="C80" s="123"/>
      <c r="D80" s="56">
        <v>250</v>
      </c>
      <c r="E80" s="58">
        <f>D80*2</f>
        <v>500</v>
      </c>
      <c r="F80" s="123"/>
      <c r="G80" s="161"/>
      <c r="H80" s="161"/>
      <c r="I80" s="161"/>
      <c r="J80" s="123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8"/>
      <c r="W80" s="1"/>
      <c r="X80" s="1"/>
      <c r="Y80" s="23"/>
      <c r="Z80" s="1"/>
    </row>
    <row r="81" spans="1:26" ht="13.5" customHeight="1" x14ac:dyDescent="0.2">
      <c r="A81" s="54"/>
      <c r="B81" s="173" t="s">
        <v>101</v>
      </c>
      <c r="C81" s="123"/>
      <c r="D81" s="56">
        <v>40</v>
      </c>
      <c r="E81" s="58">
        <f t="shared" ref="E81:E83" si="6">D81*20</f>
        <v>800</v>
      </c>
      <c r="F81" s="123"/>
      <c r="G81" s="161"/>
      <c r="H81" s="161"/>
      <c r="I81" s="161"/>
      <c r="J81" s="123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8"/>
      <c r="W81" s="1"/>
      <c r="X81" s="1"/>
      <c r="Y81" s="23"/>
      <c r="Z81" s="1"/>
    </row>
    <row r="82" spans="1:26" ht="15.75" customHeight="1" x14ac:dyDescent="0.2">
      <c r="A82" s="54"/>
      <c r="B82" s="185" t="s">
        <v>102</v>
      </c>
      <c r="C82" s="123"/>
      <c r="D82" s="56">
        <v>400</v>
      </c>
      <c r="E82" s="58">
        <f t="shared" si="6"/>
        <v>8000</v>
      </c>
      <c r="F82" s="123"/>
      <c r="G82" s="161"/>
      <c r="H82" s="161"/>
      <c r="I82" s="161"/>
      <c r="J82" s="123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8"/>
      <c r="W82" s="1"/>
      <c r="X82" s="1"/>
      <c r="Y82" s="23"/>
      <c r="Z82" s="1"/>
    </row>
    <row r="83" spans="1:26" ht="15.75" customHeight="1" thickBot="1" x14ac:dyDescent="0.25">
      <c r="A83" s="54"/>
      <c r="B83" s="186" t="s">
        <v>103</v>
      </c>
      <c r="C83" s="116"/>
      <c r="D83" s="60">
        <v>20</v>
      </c>
      <c r="E83" s="61">
        <f t="shared" si="6"/>
        <v>400</v>
      </c>
      <c r="F83" s="116"/>
      <c r="G83" s="162"/>
      <c r="H83" s="162"/>
      <c r="I83" s="162"/>
      <c r="J83" s="116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9"/>
      <c r="W83" s="1"/>
      <c r="X83" s="1"/>
      <c r="Y83" s="23"/>
      <c r="Z83" s="1"/>
    </row>
    <row r="84" spans="1:26" ht="15.75" customHeight="1" x14ac:dyDescent="0.25">
      <c r="A84" s="35"/>
      <c r="B84" s="181" t="s">
        <v>104</v>
      </c>
      <c r="C84" s="62"/>
      <c r="D84" s="63"/>
      <c r="E84" s="64"/>
      <c r="F84" s="48"/>
      <c r="G84" s="48"/>
      <c r="H84" s="49"/>
      <c r="I84" s="49"/>
      <c r="J84" s="49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1"/>
      <c r="W84" s="10"/>
      <c r="X84" s="10"/>
      <c r="Y84" s="23"/>
    </row>
    <row r="85" spans="1:26" ht="15.75" customHeight="1" x14ac:dyDescent="0.25">
      <c r="A85" s="35"/>
      <c r="B85" s="187" t="s">
        <v>105</v>
      </c>
      <c r="C85" s="55" t="s">
        <v>32</v>
      </c>
      <c r="D85" s="65">
        <v>400</v>
      </c>
      <c r="E85" s="66">
        <v>40000</v>
      </c>
      <c r="F85" s="27" t="s">
        <v>33</v>
      </c>
      <c r="G85" s="67"/>
      <c r="H85" s="68"/>
      <c r="I85" s="68">
        <v>1</v>
      </c>
      <c r="J85" s="68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70"/>
      <c r="W85" s="10"/>
      <c r="X85" s="10"/>
    </row>
    <row r="86" spans="1:26" ht="15.75" customHeight="1" x14ac:dyDescent="0.25">
      <c r="A86" s="35"/>
      <c r="B86" s="187" t="s">
        <v>106</v>
      </c>
      <c r="C86" s="55" t="s">
        <v>32</v>
      </c>
      <c r="D86" s="65">
        <v>300</v>
      </c>
      <c r="E86" s="66">
        <v>90000</v>
      </c>
      <c r="F86" s="27" t="s">
        <v>33</v>
      </c>
      <c r="G86" s="67"/>
      <c r="H86" s="68"/>
      <c r="I86" s="68">
        <v>1</v>
      </c>
      <c r="J86" s="68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70"/>
      <c r="W86" s="10"/>
      <c r="X86" s="10"/>
    </row>
    <row r="87" spans="1:26" ht="15.75" customHeight="1" x14ac:dyDescent="0.2">
      <c r="A87" s="35"/>
      <c r="B87" s="187" t="s">
        <v>107</v>
      </c>
      <c r="C87" s="139" t="s">
        <v>32</v>
      </c>
      <c r="D87" s="65">
        <v>28000</v>
      </c>
      <c r="E87" s="66">
        <f t="shared" ref="E87:E88" si="7">D87*3</f>
        <v>84000</v>
      </c>
      <c r="F87" s="133" t="s">
        <v>33</v>
      </c>
      <c r="G87" s="135"/>
      <c r="H87" s="127"/>
      <c r="I87" s="136"/>
      <c r="J87" s="136">
        <v>1</v>
      </c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4"/>
      <c r="W87" s="10"/>
      <c r="X87" s="10"/>
    </row>
    <row r="88" spans="1:26" ht="15.75" customHeight="1" x14ac:dyDescent="0.2">
      <c r="A88" s="35"/>
      <c r="B88" s="187" t="s">
        <v>108</v>
      </c>
      <c r="C88" s="123"/>
      <c r="D88" s="65">
        <v>5000</v>
      </c>
      <c r="E88" s="66">
        <f t="shared" si="7"/>
        <v>15000</v>
      </c>
      <c r="F88" s="140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70"/>
      <c r="W88" s="10"/>
      <c r="X88" s="10"/>
    </row>
    <row r="89" spans="1:26" ht="15.75" customHeight="1" thickBot="1" x14ac:dyDescent="0.3">
      <c r="A89" s="35"/>
      <c r="B89" s="188" t="s">
        <v>109</v>
      </c>
      <c r="C89" s="71" t="s">
        <v>32</v>
      </c>
      <c r="D89" s="53">
        <v>43600</v>
      </c>
      <c r="E89" s="72">
        <f>D89*4</f>
        <v>174400</v>
      </c>
      <c r="F89" s="73" t="s">
        <v>33</v>
      </c>
      <c r="G89" s="74"/>
      <c r="H89" s="75"/>
      <c r="I89" s="75">
        <v>1</v>
      </c>
      <c r="J89" s="75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7"/>
      <c r="W89" s="10"/>
      <c r="X89" s="10"/>
    </row>
    <row r="90" spans="1:26" ht="15.75" customHeight="1" x14ac:dyDescent="0.25">
      <c r="A90" s="35"/>
      <c r="B90" s="189" t="s">
        <v>110</v>
      </c>
      <c r="C90" s="44"/>
      <c r="D90" s="45"/>
      <c r="E90" s="46"/>
      <c r="F90" s="78"/>
      <c r="G90" s="48"/>
      <c r="H90" s="49"/>
      <c r="I90" s="49"/>
      <c r="J90" s="49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1"/>
      <c r="W90" s="10"/>
      <c r="X90" s="10"/>
    </row>
    <row r="91" spans="1:26" ht="15.75" customHeight="1" x14ac:dyDescent="0.25">
      <c r="A91" s="35"/>
      <c r="B91" s="187" t="s">
        <v>111</v>
      </c>
      <c r="C91" s="55" t="s">
        <v>32</v>
      </c>
      <c r="D91" s="65">
        <v>78000</v>
      </c>
      <c r="E91" s="65">
        <v>78000</v>
      </c>
      <c r="F91" s="27" t="s">
        <v>33</v>
      </c>
      <c r="G91" s="67"/>
      <c r="H91" s="68"/>
      <c r="I91" s="68"/>
      <c r="J91" s="68">
        <v>1</v>
      </c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70"/>
      <c r="W91" s="10"/>
      <c r="X91" s="10"/>
    </row>
    <row r="92" spans="1:26" ht="15.75" customHeight="1" x14ac:dyDescent="0.25">
      <c r="A92" s="35"/>
      <c r="B92" s="187" t="s">
        <v>112</v>
      </c>
      <c r="C92" s="55" t="s">
        <v>32</v>
      </c>
      <c r="D92" s="65">
        <v>30000</v>
      </c>
      <c r="E92" s="65">
        <v>30000</v>
      </c>
      <c r="F92" s="27" t="s">
        <v>33</v>
      </c>
      <c r="G92" s="67"/>
      <c r="H92" s="68"/>
      <c r="I92" s="68"/>
      <c r="J92" s="68">
        <v>1</v>
      </c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70"/>
      <c r="W92" s="10"/>
      <c r="X92" s="10"/>
    </row>
    <row r="93" spans="1:26" ht="15.75" customHeight="1" x14ac:dyDescent="0.2">
      <c r="A93" s="35"/>
      <c r="B93" s="187" t="s">
        <v>113</v>
      </c>
      <c r="C93" s="139" t="s">
        <v>32</v>
      </c>
      <c r="D93" s="171">
        <v>42000</v>
      </c>
      <c r="E93" s="171">
        <v>42000</v>
      </c>
      <c r="F93" s="133" t="s">
        <v>33</v>
      </c>
      <c r="G93" s="135"/>
      <c r="H93" s="127"/>
      <c r="I93" s="127"/>
      <c r="J93" s="136">
        <v>1</v>
      </c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4"/>
      <c r="W93" s="10"/>
      <c r="X93" s="10"/>
    </row>
    <row r="94" spans="1:26" ht="15.75" customHeight="1" x14ac:dyDescent="0.2">
      <c r="A94" s="35"/>
      <c r="B94" s="187" t="s">
        <v>114</v>
      </c>
      <c r="C94" s="123"/>
      <c r="D94" s="123"/>
      <c r="E94" s="123"/>
      <c r="F94" s="140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70"/>
      <c r="W94" s="10"/>
      <c r="X94" s="10"/>
    </row>
    <row r="95" spans="1:26" ht="15.75" customHeight="1" x14ac:dyDescent="0.25">
      <c r="A95" s="35"/>
      <c r="B95" s="178" t="s">
        <v>115</v>
      </c>
      <c r="C95" s="79"/>
      <c r="D95" s="80"/>
      <c r="E95" s="81"/>
      <c r="F95" s="36"/>
      <c r="G95" s="36"/>
      <c r="H95" s="38"/>
      <c r="I95" s="38"/>
      <c r="J95" s="38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40"/>
      <c r="W95" s="10"/>
      <c r="X95" s="10"/>
    </row>
    <row r="96" spans="1:26" ht="15.75" customHeight="1" x14ac:dyDescent="0.25">
      <c r="A96" s="35"/>
      <c r="B96" s="182" t="s">
        <v>116</v>
      </c>
      <c r="C96" s="82" t="s">
        <v>32</v>
      </c>
      <c r="D96" s="52">
        <v>50000</v>
      </c>
      <c r="E96" s="83">
        <v>50000</v>
      </c>
      <c r="F96" s="27" t="s">
        <v>33</v>
      </c>
      <c r="G96" s="67"/>
      <c r="H96" s="68"/>
      <c r="I96" s="68"/>
      <c r="J96" s="68">
        <v>1</v>
      </c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70"/>
      <c r="W96" s="10"/>
      <c r="X96" s="10"/>
    </row>
    <row r="97" spans="1:24" ht="15.75" customHeight="1" x14ac:dyDescent="0.25">
      <c r="A97" s="35"/>
      <c r="B97" s="182" t="s">
        <v>117</v>
      </c>
      <c r="C97" s="82" t="s">
        <v>32</v>
      </c>
      <c r="D97" s="65">
        <v>10000</v>
      </c>
      <c r="E97" s="66">
        <v>10000</v>
      </c>
      <c r="F97" s="27" t="s">
        <v>33</v>
      </c>
      <c r="G97" s="67"/>
      <c r="H97" s="68">
        <v>1</v>
      </c>
      <c r="I97" s="68"/>
      <c r="J97" s="68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70"/>
      <c r="W97" s="10"/>
      <c r="X97" s="10"/>
    </row>
    <row r="98" spans="1:24" ht="15.75" customHeight="1" x14ac:dyDescent="0.25">
      <c r="A98" s="35"/>
      <c r="B98" s="178" t="s">
        <v>118</v>
      </c>
      <c r="C98" s="79"/>
      <c r="D98" s="80"/>
      <c r="E98" s="81"/>
      <c r="F98" s="36"/>
      <c r="G98" s="36"/>
      <c r="H98" s="38"/>
      <c r="I98" s="38"/>
      <c r="J98" s="38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40"/>
      <c r="W98" s="10"/>
      <c r="X98" s="10"/>
    </row>
    <row r="99" spans="1:24" ht="15.75" customHeight="1" thickBot="1" x14ac:dyDescent="0.3">
      <c r="A99" s="35"/>
      <c r="B99" s="183" t="s">
        <v>119</v>
      </c>
      <c r="C99" s="71" t="s">
        <v>32</v>
      </c>
      <c r="D99" s="53">
        <v>7000000</v>
      </c>
      <c r="E99" s="72">
        <v>7000000</v>
      </c>
      <c r="F99" s="73" t="s">
        <v>33</v>
      </c>
      <c r="G99" s="74"/>
      <c r="H99" s="75"/>
      <c r="I99" s="75"/>
      <c r="J99" s="75">
        <v>1</v>
      </c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7"/>
      <c r="W99" s="10"/>
      <c r="X99" s="10"/>
    </row>
    <row r="100" spans="1:24" ht="15.75" customHeight="1" thickBot="1" x14ac:dyDescent="0.25">
      <c r="A100" s="84"/>
      <c r="B100" s="85"/>
      <c r="C100" s="1"/>
      <c r="D100" s="6"/>
      <c r="E100" s="86"/>
      <c r="F100" s="8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customHeight="1" x14ac:dyDescent="0.25">
      <c r="A101" s="87" t="s">
        <v>120</v>
      </c>
      <c r="B101" s="3"/>
      <c r="C101" s="141">
        <f>SUM(E10:E99)</f>
        <v>8512990</v>
      </c>
      <c r="D101" s="110"/>
      <c r="E101" s="110"/>
      <c r="F101" s="8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hidden="1" customHeight="1" x14ac:dyDescent="0.25">
      <c r="A102" s="88" t="s">
        <v>121</v>
      </c>
      <c r="B102" s="89"/>
      <c r="C102" s="142">
        <f>PRODUCT(C101,0.1)</f>
        <v>851299</v>
      </c>
      <c r="D102" s="143"/>
      <c r="E102" s="144"/>
      <c r="F102" s="8"/>
      <c r="G102" s="8"/>
      <c r="H102" s="145"/>
      <c r="I102" s="110"/>
      <c r="J102" s="145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90"/>
      <c r="V102" s="1"/>
      <c r="W102" s="1"/>
      <c r="X102" s="1"/>
    </row>
    <row r="103" spans="1:24" ht="15.75" hidden="1" customHeight="1" x14ac:dyDescent="0.25">
      <c r="A103" s="91" t="s">
        <v>122</v>
      </c>
      <c r="B103" s="92"/>
      <c r="C103" s="146">
        <f>PRODUCT(C101,0.1)</f>
        <v>851299</v>
      </c>
      <c r="D103" s="147"/>
      <c r="E103" s="148"/>
      <c r="F103" s="8"/>
      <c r="G103" s="8"/>
      <c r="H103" s="93"/>
      <c r="I103" s="93"/>
      <c r="J103" s="149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94"/>
      <c r="V103" s="1"/>
      <c r="W103" s="1"/>
      <c r="X103" s="1"/>
    </row>
    <row r="104" spans="1:24" ht="15.75" hidden="1" customHeight="1" x14ac:dyDescent="0.25">
      <c r="A104" s="91" t="s">
        <v>123</v>
      </c>
      <c r="B104" s="92"/>
      <c r="C104" s="146">
        <f>SUM(C101:E103)</f>
        <v>10215588</v>
      </c>
      <c r="D104" s="147"/>
      <c r="E104" s="148"/>
      <c r="F104" s="8"/>
      <c r="G104" s="8"/>
      <c r="H104" s="93"/>
      <c r="I104" s="93"/>
      <c r="J104" s="149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94"/>
      <c r="V104" s="1"/>
      <c r="W104" s="1"/>
      <c r="X104" s="1"/>
    </row>
    <row r="105" spans="1:24" ht="15.75" customHeight="1" x14ac:dyDescent="0.2">
      <c r="A105" s="95"/>
      <c r="B105" s="3"/>
      <c r="C105" s="1"/>
      <c r="D105" s="6"/>
      <c r="E105" s="7"/>
      <c r="F105" s="8"/>
      <c r="G105" s="8"/>
      <c r="H105" s="93"/>
      <c r="I105" s="93"/>
      <c r="J105" s="149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94"/>
      <c r="V105" s="1"/>
      <c r="W105" s="1"/>
      <c r="X105" s="1"/>
    </row>
    <row r="106" spans="1:24" ht="15.75" customHeight="1" x14ac:dyDescent="0.2">
      <c r="A106" s="96" t="s">
        <v>124</v>
      </c>
      <c r="B106" s="3"/>
      <c r="C106" s="1"/>
      <c r="D106" s="6"/>
      <c r="E106" s="7"/>
      <c r="F106" s="8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customHeight="1" x14ac:dyDescent="0.2">
      <c r="A107" s="97"/>
      <c r="B107" s="3"/>
      <c r="C107" s="1"/>
      <c r="D107" s="6"/>
      <c r="E107" s="7"/>
      <c r="F107" s="8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customHeight="1" x14ac:dyDescent="0.2">
      <c r="A108" s="98" t="s">
        <v>125</v>
      </c>
      <c r="B108" s="85"/>
      <c r="C108" s="158" t="s">
        <v>126</v>
      </c>
      <c r="D108" s="110"/>
      <c r="E108" s="110"/>
      <c r="F108" s="93"/>
      <c r="G108" s="93"/>
      <c r="H108" s="1"/>
      <c r="I108" s="158" t="s">
        <v>127</v>
      </c>
      <c r="J108" s="110"/>
      <c r="K108" s="110"/>
      <c r="L108" s="110"/>
      <c r="M108" s="110"/>
      <c r="N108" s="110"/>
      <c r="O108" s="1"/>
      <c r="P108" s="1"/>
      <c r="Q108" s="158" t="s">
        <v>128</v>
      </c>
      <c r="R108" s="110"/>
      <c r="S108" s="110"/>
      <c r="T108" s="110"/>
      <c r="U108" s="1"/>
      <c r="V108" s="154"/>
      <c r="W108" s="110"/>
      <c r="X108" s="93"/>
    </row>
    <row r="109" spans="1:24" ht="15.75" customHeight="1" x14ac:dyDescent="0.2">
      <c r="A109" s="98"/>
      <c r="B109" s="85"/>
      <c r="C109" s="99"/>
      <c r="D109" s="100"/>
      <c r="E109" s="99"/>
      <c r="F109" s="93"/>
      <c r="G109" s="93"/>
      <c r="H109" s="1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3"/>
      <c r="X109" s="93"/>
    </row>
    <row r="110" spans="1:24" ht="15.75" customHeight="1" x14ac:dyDescent="0.2">
      <c r="A110" s="85"/>
      <c r="B110" s="85"/>
      <c r="C110" s="93"/>
      <c r="D110" s="101"/>
      <c r="E110" s="102"/>
      <c r="F110" s="93"/>
      <c r="G110" s="93"/>
      <c r="H110" s="1"/>
      <c r="I110" s="93"/>
      <c r="J110" s="102"/>
      <c r="K110" s="102"/>
      <c r="L110" s="102"/>
      <c r="M110" s="102"/>
      <c r="N110" s="102"/>
      <c r="O110" s="102"/>
      <c r="P110" s="102"/>
      <c r="Q110" s="93"/>
      <c r="R110" s="102"/>
      <c r="S110" s="93"/>
      <c r="T110" s="93"/>
      <c r="U110" s="93"/>
      <c r="V110" s="93"/>
      <c r="W110" s="93"/>
      <c r="X110" s="93"/>
    </row>
    <row r="111" spans="1:24" ht="15.75" customHeight="1" x14ac:dyDescent="0.2">
      <c r="A111" s="159" t="s">
        <v>129</v>
      </c>
      <c r="B111" s="110"/>
      <c r="C111" s="150" t="s">
        <v>130</v>
      </c>
      <c r="D111" s="110"/>
      <c r="E111" s="110"/>
      <c r="F111" s="110"/>
      <c r="G111" s="1"/>
      <c r="H111" s="1"/>
      <c r="I111" s="150" t="s">
        <v>131</v>
      </c>
      <c r="J111" s="110"/>
      <c r="K111" s="110"/>
      <c r="L111" s="110"/>
      <c r="M111" s="110"/>
      <c r="N111" s="110"/>
      <c r="O111" s="1"/>
      <c r="P111" s="1"/>
      <c r="Q111" s="150" t="s">
        <v>129</v>
      </c>
      <c r="R111" s="110"/>
      <c r="S111" s="110"/>
      <c r="T111" s="110"/>
      <c r="U111" s="1"/>
      <c r="V111" s="154"/>
      <c r="W111" s="110"/>
      <c r="X111" s="110"/>
    </row>
    <row r="112" spans="1:24" ht="15" customHeight="1" x14ac:dyDescent="0.2">
      <c r="A112" s="151" t="s">
        <v>132</v>
      </c>
      <c r="B112" s="110"/>
      <c r="C112" s="152" t="s">
        <v>133</v>
      </c>
      <c r="D112" s="110"/>
      <c r="E112" s="110"/>
      <c r="F112" s="110"/>
      <c r="G112" s="103"/>
      <c r="H112" s="1"/>
      <c r="I112" s="153" t="s">
        <v>134</v>
      </c>
      <c r="J112" s="110"/>
      <c r="K112" s="110"/>
      <c r="L112" s="110"/>
      <c r="M112" s="110"/>
      <c r="N112" s="110"/>
      <c r="O112" s="1"/>
      <c r="P112" s="1"/>
      <c r="Q112" s="152" t="s">
        <v>135</v>
      </c>
      <c r="R112" s="110"/>
      <c r="S112" s="110"/>
      <c r="T112" s="110"/>
      <c r="U112" s="1"/>
      <c r="V112" s="1"/>
      <c r="W112" s="93"/>
      <c r="X112" s="93"/>
    </row>
    <row r="113" spans="1:24" ht="15.75" customHeight="1" x14ac:dyDescent="0.2">
      <c r="A113" s="1"/>
      <c r="B113" s="1"/>
      <c r="C113" s="1"/>
      <c r="D113" s="6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customHeight="1" x14ac:dyDescent="0.2">
      <c r="A114" s="1" t="s">
        <v>136</v>
      </c>
      <c r="B114" s="1"/>
      <c r="C114" s="1" t="s">
        <v>136</v>
      </c>
      <c r="D114" s="6"/>
      <c r="E114" s="1"/>
      <c r="F114" s="1"/>
      <c r="G114" s="1"/>
      <c r="H114" s="1"/>
      <c r="I114" s="1" t="s">
        <v>136</v>
      </c>
      <c r="J114" s="1"/>
      <c r="K114" s="1"/>
      <c r="L114" s="1"/>
      <c r="M114" s="1"/>
      <c r="N114" s="1"/>
      <c r="O114" s="1"/>
      <c r="P114" s="1"/>
      <c r="Q114" s="1" t="s">
        <v>136</v>
      </c>
      <c r="R114" s="1"/>
      <c r="S114" s="1"/>
      <c r="T114" s="1"/>
      <c r="U114" s="1"/>
      <c r="V114" s="1"/>
      <c r="W114" s="1"/>
      <c r="X114" s="1"/>
    </row>
    <row r="115" spans="1:24" ht="15.75" customHeight="1" x14ac:dyDescent="0.25">
      <c r="D115" s="104"/>
      <c r="H115" s="155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</row>
    <row r="116" spans="1:24" ht="15.75" customHeight="1" x14ac:dyDescent="0.25">
      <c r="D116" s="104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</row>
    <row r="117" spans="1:24" ht="15.75" customHeight="1" x14ac:dyDescent="0.25">
      <c r="D117" s="104"/>
      <c r="H117" s="106"/>
      <c r="I117" s="107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</row>
    <row r="118" spans="1:24" ht="15.75" customHeight="1" x14ac:dyDescent="0.25">
      <c r="D118" s="104"/>
      <c r="H118" s="156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</row>
    <row r="119" spans="1:24" ht="15.75" customHeight="1" x14ac:dyDescent="0.25">
      <c r="D119" s="104"/>
      <c r="H119" s="157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</row>
    <row r="120" spans="1:24" ht="15.75" customHeight="1" x14ac:dyDescent="0.25">
      <c r="D120" s="104"/>
    </row>
    <row r="121" spans="1:24" ht="15.75" customHeight="1" x14ac:dyDescent="0.25">
      <c r="D121" s="104"/>
    </row>
    <row r="122" spans="1:24" ht="15.75" customHeight="1" x14ac:dyDescent="0.25">
      <c r="D122" s="104"/>
    </row>
    <row r="123" spans="1:24" ht="15.75" customHeight="1" x14ac:dyDescent="0.25">
      <c r="D123" s="104"/>
    </row>
    <row r="124" spans="1:24" ht="15.75" customHeight="1" x14ac:dyDescent="0.25">
      <c r="D124" s="104"/>
    </row>
    <row r="125" spans="1:24" ht="15.75" customHeight="1" x14ac:dyDescent="0.25">
      <c r="D125" s="104"/>
    </row>
    <row r="126" spans="1:24" ht="15.75" customHeight="1" x14ac:dyDescent="0.25">
      <c r="D126" s="104"/>
    </row>
    <row r="127" spans="1:24" ht="15.75" customHeight="1" x14ac:dyDescent="0.25">
      <c r="D127" s="104"/>
    </row>
    <row r="128" spans="1:24" ht="15.75" customHeight="1" x14ac:dyDescent="0.25">
      <c r="D128" s="104"/>
    </row>
    <row r="129" spans="4:4" ht="15.75" customHeight="1" x14ac:dyDescent="0.25">
      <c r="D129" s="104"/>
    </row>
    <row r="130" spans="4:4" ht="15.75" customHeight="1" x14ac:dyDescent="0.25">
      <c r="D130" s="104"/>
    </row>
    <row r="131" spans="4:4" ht="15.75" customHeight="1" x14ac:dyDescent="0.25">
      <c r="D131" s="104"/>
    </row>
    <row r="132" spans="4:4" ht="15.75" customHeight="1" x14ac:dyDescent="0.25">
      <c r="D132" s="104"/>
    </row>
    <row r="133" spans="4:4" ht="15.75" customHeight="1" x14ac:dyDescent="0.25">
      <c r="D133" s="104"/>
    </row>
    <row r="134" spans="4:4" ht="15.75" customHeight="1" x14ac:dyDescent="0.25">
      <c r="D134" s="104"/>
    </row>
    <row r="135" spans="4:4" ht="15.75" customHeight="1" x14ac:dyDescent="0.25">
      <c r="D135" s="104"/>
    </row>
    <row r="136" spans="4:4" ht="15.75" customHeight="1" x14ac:dyDescent="0.25">
      <c r="D136" s="104"/>
    </row>
    <row r="137" spans="4:4" ht="15.75" customHeight="1" x14ac:dyDescent="0.25">
      <c r="D137" s="104"/>
    </row>
    <row r="138" spans="4:4" ht="15.75" customHeight="1" x14ac:dyDescent="0.25">
      <c r="D138" s="104"/>
    </row>
    <row r="139" spans="4:4" ht="15.75" customHeight="1" x14ac:dyDescent="0.25">
      <c r="D139" s="104"/>
    </row>
    <row r="140" spans="4:4" ht="15.75" customHeight="1" x14ac:dyDescent="0.25">
      <c r="D140" s="104"/>
    </row>
    <row r="141" spans="4:4" ht="15.75" customHeight="1" x14ac:dyDescent="0.25">
      <c r="D141" s="104"/>
    </row>
    <row r="142" spans="4:4" ht="15.75" customHeight="1" x14ac:dyDescent="0.25">
      <c r="D142" s="104"/>
    </row>
    <row r="143" spans="4:4" ht="15.75" customHeight="1" x14ac:dyDescent="0.25">
      <c r="D143" s="104"/>
    </row>
    <row r="144" spans="4:4" ht="15.75" customHeight="1" x14ac:dyDescent="0.25">
      <c r="D144" s="104"/>
    </row>
    <row r="145" spans="4:4" ht="15.75" customHeight="1" x14ac:dyDescent="0.25">
      <c r="D145" s="104"/>
    </row>
    <row r="146" spans="4:4" ht="15.75" customHeight="1" x14ac:dyDescent="0.25">
      <c r="D146" s="104"/>
    </row>
    <row r="147" spans="4:4" ht="15.75" customHeight="1" x14ac:dyDescent="0.25">
      <c r="D147" s="104"/>
    </row>
    <row r="148" spans="4:4" ht="15.75" customHeight="1" x14ac:dyDescent="0.25">
      <c r="D148" s="104"/>
    </row>
    <row r="149" spans="4:4" ht="15.75" customHeight="1" x14ac:dyDescent="0.25">
      <c r="D149" s="104"/>
    </row>
    <row r="150" spans="4:4" ht="15.75" customHeight="1" x14ac:dyDescent="0.25">
      <c r="D150" s="104"/>
    </row>
    <row r="151" spans="4:4" ht="15.75" customHeight="1" x14ac:dyDescent="0.25">
      <c r="D151" s="104"/>
    </row>
    <row r="152" spans="4:4" ht="15.75" customHeight="1" x14ac:dyDescent="0.25">
      <c r="D152" s="104"/>
    </row>
    <row r="153" spans="4:4" ht="15.75" customHeight="1" x14ac:dyDescent="0.25">
      <c r="D153" s="104"/>
    </row>
    <row r="154" spans="4:4" ht="15.75" customHeight="1" x14ac:dyDescent="0.25">
      <c r="D154" s="104"/>
    </row>
    <row r="155" spans="4:4" ht="15.75" customHeight="1" x14ac:dyDescent="0.25">
      <c r="D155" s="104"/>
    </row>
    <row r="156" spans="4:4" ht="15.75" customHeight="1" x14ac:dyDescent="0.25">
      <c r="D156" s="104"/>
    </row>
    <row r="157" spans="4:4" ht="15.75" customHeight="1" x14ac:dyDescent="0.25">
      <c r="D157" s="104"/>
    </row>
    <row r="158" spans="4:4" ht="15.75" customHeight="1" x14ac:dyDescent="0.25">
      <c r="D158" s="104"/>
    </row>
    <row r="159" spans="4:4" ht="15.75" customHeight="1" x14ac:dyDescent="0.25">
      <c r="D159" s="104"/>
    </row>
    <row r="160" spans="4:4" ht="15.75" customHeight="1" x14ac:dyDescent="0.25">
      <c r="D160" s="104"/>
    </row>
    <row r="161" spans="4:4" ht="15.75" customHeight="1" x14ac:dyDescent="0.25">
      <c r="D161" s="104"/>
    </row>
    <row r="162" spans="4:4" ht="15.75" customHeight="1" x14ac:dyDescent="0.25">
      <c r="D162" s="104"/>
    </row>
    <row r="163" spans="4:4" ht="15.75" customHeight="1" x14ac:dyDescent="0.25">
      <c r="D163" s="104"/>
    </row>
    <row r="164" spans="4:4" ht="15.75" customHeight="1" x14ac:dyDescent="0.25">
      <c r="D164" s="104"/>
    </row>
    <row r="165" spans="4:4" ht="15.75" customHeight="1" x14ac:dyDescent="0.25">
      <c r="D165" s="104"/>
    </row>
    <row r="166" spans="4:4" ht="15.75" customHeight="1" x14ac:dyDescent="0.25">
      <c r="D166" s="104"/>
    </row>
    <row r="167" spans="4:4" ht="15.75" customHeight="1" x14ac:dyDescent="0.25">
      <c r="D167" s="104"/>
    </row>
    <row r="168" spans="4:4" ht="15.75" customHeight="1" x14ac:dyDescent="0.25">
      <c r="D168" s="104"/>
    </row>
    <row r="169" spans="4:4" ht="15.75" customHeight="1" x14ac:dyDescent="0.25">
      <c r="D169" s="104"/>
    </row>
    <row r="170" spans="4:4" ht="15.75" customHeight="1" x14ac:dyDescent="0.25">
      <c r="D170" s="104"/>
    </row>
    <row r="171" spans="4:4" ht="15.75" customHeight="1" x14ac:dyDescent="0.25">
      <c r="D171" s="104"/>
    </row>
    <row r="172" spans="4:4" ht="15.75" customHeight="1" x14ac:dyDescent="0.25">
      <c r="D172" s="104"/>
    </row>
    <row r="173" spans="4:4" ht="15.75" customHeight="1" x14ac:dyDescent="0.25">
      <c r="D173" s="104"/>
    </row>
    <row r="174" spans="4:4" ht="15.75" customHeight="1" x14ac:dyDescent="0.25">
      <c r="D174" s="104"/>
    </row>
    <row r="175" spans="4:4" ht="15.75" customHeight="1" x14ac:dyDescent="0.25">
      <c r="D175" s="104"/>
    </row>
    <row r="176" spans="4:4" ht="15.75" customHeight="1" x14ac:dyDescent="0.25">
      <c r="D176" s="104"/>
    </row>
    <row r="177" spans="4:4" ht="15.75" customHeight="1" x14ac:dyDescent="0.25">
      <c r="D177" s="104"/>
    </row>
    <row r="178" spans="4:4" ht="15.75" customHeight="1" x14ac:dyDescent="0.25">
      <c r="D178" s="104"/>
    </row>
    <row r="179" spans="4:4" ht="15.75" customHeight="1" x14ac:dyDescent="0.25">
      <c r="D179" s="104"/>
    </row>
    <row r="180" spans="4:4" ht="15.75" customHeight="1" x14ac:dyDescent="0.25">
      <c r="D180" s="104"/>
    </row>
    <row r="181" spans="4:4" ht="15.75" customHeight="1" x14ac:dyDescent="0.25">
      <c r="D181" s="104"/>
    </row>
    <row r="182" spans="4:4" ht="15.75" customHeight="1" x14ac:dyDescent="0.25">
      <c r="D182" s="104"/>
    </row>
    <row r="183" spans="4:4" ht="15.75" customHeight="1" x14ac:dyDescent="0.25">
      <c r="D183" s="104"/>
    </row>
    <row r="184" spans="4:4" ht="15.75" customHeight="1" x14ac:dyDescent="0.25">
      <c r="D184" s="104"/>
    </row>
    <row r="185" spans="4:4" ht="15.75" customHeight="1" x14ac:dyDescent="0.25">
      <c r="D185" s="104"/>
    </row>
    <row r="186" spans="4:4" ht="15.75" customHeight="1" x14ac:dyDescent="0.25">
      <c r="D186" s="104"/>
    </row>
    <row r="187" spans="4:4" ht="15.75" customHeight="1" x14ac:dyDescent="0.25">
      <c r="D187" s="104"/>
    </row>
    <row r="188" spans="4:4" ht="15.75" customHeight="1" x14ac:dyDescent="0.25">
      <c r="D188" s="104"/>
    </row>
    <row r="189" spans="4:4" ht="15.75" customHeight="1" x14ac:dyDescent="0.25">
      <c r="D189" s="104"/>
    </row>
    <row r="190" spans="4:4" ht="15.75" customHeight="1" x14ac:dyDescent="0.25">
      <c r="D190" s="104"/>
    </row>
    <row r="191" spans="4:4" ht="15.75" customHeight="1" x14ac:dyDescent="0.25">
      <c r="D191" s="104"/>
    </row>
    <row r="192" spans="4:4" ht="15.75" customHeight="1" x14ac:dyDescent="0.25">
      <c r="D192" s="104"/>
    </row>
    <row r="193" spans="4:4" ht="15.75" customHeight="1" x14ac:dyDescent="0.25">
      <c r="D193" s="104"/>
    </row>
    <row r="194" spans="4:4" ht="15.75" customHeight="1" x14ac:dyDescent="0.25">
      <c r="D194" s="104"/>
    </row>
    <row r="195" spans="4:4" ht="15.75" customHeight="1" x14ac:dyDescent="0.25">
      <c r="D195" s="104"/>
    </row>
    <row r="196" spans="4:4" ht="15.75" customHeight="1" x14ac:dyDescent="0.25">
      <c r="D196" s="104"/>
    </row>
    <row r="197" spans="4:4" ht="15.75" customHeight="1" x14ac:dyDescent="0.25">
      <c r="D197" s="104"/>
    </row>
    <row r="198" spans="4:4" ht="15.75" customHeight="1" x14ac:dyDescent="0.25">
      <c r="D198" s="104"/>
    </row>
    <row r="199" spans="4:4" ht="15.75" customHeight="1" x14ac:dyDescent="0.25">
      <c r="D199" s="104"/>
    </row>
    <row r="200" spans="4:4" ht="15.75" customHeight="1" x14ac:dyDescent="0.25">
      <c r="D200" s="104"/>
    </row>
    <row r="201" spans="4:4" ht="15.75" customHeight="1" x14ac:dyDescent="0.25">
      <c r="D201" s="104"/>
    </row>
    <row r="202" spans="4:4" ht="15.75" customHeight="1" x14ac:dyDescent="0.25">
      <c r="D202" s="104"/>
    </row>
    <row r="203" spans="4:4" ht="15.75" customHeight="1" x14ac:dyDescent="0.25">
      <c r="D203" s="104"/>
    </row>
    <row r="204" spans="4:4" ht="15.75" customHeight="1" x14ac:dyDescent="0.25">
      <c r="D204" s="104"/>
    </row>
    <row r="205" spans="4:4" ht="15.75" customHeight="1" x14ac:dyDescent="0.25">
      <c r="D205" s="104"/>
    </row>
    <row r="206" spans="4:4" ht="15.75" customHeight="1" x14ac:dyDescent="0.25">
      <c r="D206" s="104"/>
    </row>
    <row r="207" spans="4:4" ht="15.75" customHeight="1" x14ac:dyDescent="0.25">
      <c r="D207" s="104"/>
    </row>
    <row r="208" spans="4:4" ht="15.75" customHeight="1" x14ac:dyDescent="0.25">
      <c r="D208" s="104"/>
    </row>
    <row r="209" spans="4:4" ht="15.75" customHeight="1" x14ac:dyDescent="0.25">
      <c r="D209" s="104"/>
    </row>
    <row r="210" spans="4:4" ht="15.75" customHeight="1" x14ac:dyDescent="0.25">
      <c r="D210" s="104"/>
    </row>
    <row r="211" spans="4:4" ht="15.75" customHeight="1" x14ac:dyDescent="0.25">
      <c r="D211" s="104"/>
    </row>
    <row r="212" spans="4:4" ht="15.75" customHeight="1" x14ac:dyDescent="0.25">
      <c r="D212" s="104"/>
    </row>
    <row r="213" spans="4:4" ht="15.75" customHeight="1" x14ac:dyDescent="0.25">
      <c r="D213" s="104"/>
    </row>
    <row r="214" spans="4:4" ht="15.75" customHeight="1" x14ac:dyDescent="0.25">
      <c r="D214" s="104"/>
    </row>
    <row r="215" spans="4:4" ht="15.75" customHeight="1" x14ac:dyDescent="0.25">
      <c r="D215" s="104"/>
    </row>
    <row r="216" spans="4:4" ht="15.75" customHeight="1" x14ac:dyDescent="0.25">
      <c r="D216" s="104"/>
    </row>
    <row r="217" spans="4:4" ht="15.75" customHeight="1" x14ac:dyDescent="0.25">
      <c r="D217" s="104"/>
    </row>
    <row r="218" spans="4:4" ht="15.75" customHeight="1" x14ac:dyDescent="0.25">
      <c r="D218" s="104"/>
    </row>
    <row r="219" spans="4:4" ht="15.75" customHeight="1" x14ac:dyDescent="0.25">
      <c r="D219" s="104"/>
    </row>
    <row r="220" spans="4:4" ht="15.75" customHeight="1" x14ac:dyDescent="0.25">
      <c r="D220" s="104"/>
    </row>
    <row r="221" spans="4:4" ht="15.75" customHeight="1" x14ac:dyDescent="0.25">
      <c r="D221" s="104"/>
    </row>
    <row r="222" spans="4:4" ht="15.75" customHeight="1" x14ac:dyDescent="0.25">
      <c r="D222" s="104"/>
    </row>
    <row r="223" spans="4:4" ht="15.75" customHeight="1" x14ac:dyDescent="0.25">
      <c r="D223" s="104"/>
    </row>
    <row r="224" spans="4:4" ht="15.75" customHeight="1" x14ac:dyDescent="0.25">
      <c r="D224" s="104"/>
    </row>
    <row r="225" spans="4:4" ht="15.75" customHeight="1" x14ac:dyDescent="0.25">
      <c r="D225" s="104"/>
    </row>
    <row r="226" spans="4:4" ht="15.75" customHeight="1" x14ac:dyDescent="0.25">
      <c r="D226" s="104"/>
    </row>
    <row r="227" spans="4:4" ht="15.75" customHeight="1" x14ac:dyDescent="0.25">
      <c r="D227" s="104"/>
    </row>
    <row r="228" spans="4:4" ht="15.75" customHeight="1" x14ac:dyDescent="0.25">
      <c r="D228" s="104"/>
    </row>
    <row r="229" spans="4:4" ht="15.75" customHeight="1" x14ac:dyDescent="0.25">
      <c r="D229" s="104"/>
    </row>
    <row r="230" spans="4:4" ht="15.75" customHeight="1" x14ac:dyDescent="0.25">
      <c r="D230" s="104"/>
    </row>
    <row r="231" spans="4:4" ht="15.75" customHeight="1" x14ac:dyDescent="0.25">
      <c r="D231" s="104"/>
    </row>
    <row r="232" spans="4:4" ht="15.75" customHeight="1" x14ac:dyDescent="0.25">
      <c r="D232" s="104"/>
    </row>
    <row r="233" spans="4:4" ht="15.75" customHeight="1" x14ac:dyDescent="0.25">
      <c r="D233" s="104"/>
    </row>
    <row r="234" spans="4:4" ht="15.75" customHeight="1" x14ac:dyDescent="0.25">
      <c r="D234" s="104"/>
    </row>
    <row r="235" spans="4:4" ht="15.75" customHeight="1" x14ac:dyDescent="0.25">
      <c r="D235" s="104"/>
    </row>
    <row r="236" spans="4:4" ht="15.75" customHeight="1" x14ac:dyDescent="0.25">
      <c r="D236" s="104"/>
    </row>
    <row r="237" spans="4:4" ht="15.75" customHeight="1" x14ac:dyDescent="0.25">
      <c r="D237" s="104"/>
    </row>
    <row r="238" spans="4:4" ht="15.75" customHeight="1" x14ac:dyDescent="0.25">
      <c r="D238" s="104"/>
    </row>
    <row r="239" spans="4:4" ht="15.75" customHeight="1" x14ac:dyDescent="0.25">
      <c r="D239" s="104"/>
    </row>
    <row r="240" spans="4:4" ht="15.75" customHeight="1" x14ac:dyDescent="0.25">
      <c r="D240" s="104"/>
    </row>
    <row r="241" spans="4:4" ht="15.75" customHeight="1" x14ac:dyDescent="0.25">
      <c r="D241" s="104"/>
    </row>
    <row r="242" spans="4:4" ht="15.75" customHeight="1" x14ac:dyDescent="0.25">
      <c r="D242" s="104"/>
    </row>
    <row r="243" spans="4:4" ht="15.75" customHeight="1" x14ac:dyDescent="0.25">
      <c r="D243" s="104"/>
    </row>
    <row r="244" spans="4:4" ht="15.75" customHeight="1" x14ac:dyDescent="0.25">
      <c r="D244" s="104"/>
    </row>
    <row r="245" spans="4:4" ht="15.75" customHeight="1" x14ac:dyDescent="0.25">
      <c r="D245" s="104"/>
    </row>
    <row r="246" spans="4:4" ht="15.75" customHeight="1" x14ac:dyDescent="0.25">
      <c r="D246" s="104"/>
    </row>
    <row r="247" spans="4:4" ht="15.75" customHeight="1" x14ac:dyDescent="0.25">
      <c r="D247" s="104"/>
    </row>
    <row r="248" spans="4:4" ht="15.75" customHeight="1" x14ac:dyDescent="0.25">
      <c r="D248" s="104"/>
    </row>
    <row r="249" spans="4:4" ht="15.75" customHeight="1" x14ac:dyDescent="0.25">
      <c r="D249" s="104"/>
    </row>
    <row r="250" spans="4:4" ht="15.75" customHeight="1" x14ac:dyDescent="0.25">
      <c r="D250" s="104"/>
    </row>
    <row r="251" spans="4:4" ht="15.75" customHeight="1" x14ac:dyDescent="0.25">
      <c r="D251" s="104"/>
    </row>
    <row r="252" spans="4:4" ht="15.75" customHeight="1" x14ac:dyDescent="0.25">
      <c r="D252" s="104"/>
    </row>
    <row r="253" spans="4:4" ht="15.75" customHeight="1" x14ac:dyDescent="0.25">
      <c r="D253" s="104"/>
    </row>
    <row r="254" spans="4:4" ht="15.75" customHeight="1" x14ac:dyDescent="0.25">
      <c r="D254" s="104"/>
    </row>
    <row r="255" spans="4:4" ht="15.75" customHeight="1" x14ac:dyDescent="0.25">
      <c r="D255" s="104"/>
    </row>
    <row r="256" spans="4:4" ht="15.75" customHeight="1" x14ac:dyDescent="0.25">
      <c r="D256" s="104"/>
    </row>
    <row r="257" spans="4:4" ht="15.75" customHeight="1" x14ac:dyDescent="0.25">
      <c r="D257" s="104"/>
    </row>
    <row r="258" spans="4:4" ht="15.75" customHeight="1" x14ac:dyDescent="0.25">
      <c r="D258" s="104"/>
    </row>
    <row r="259" spans="4:4" ht="15.75" customHeight="1" x14ac:dyDescent="0.25">
      <c r="D259" s="104"/>
    </row>
    <row r="260" spans="4:4" ht="15.75" customHeight="1" x14ac:dyDescent="0.25">
      <c r="D260" s="104"/>
    </row>
    <row r="261" spans="4:4" ht="15.75" customHeight="1" x14ac:dyDescent="0.25">
      <c r="D261" s="104"/>
    </row>
    <row r="262" spans="4:4" ht="15.75" customHeight="1" x14ac:dyDescent="0.25">
      <c r="D262" s="104"/>
    </row>
    <row r="263" spans="4:4" ht="15.75" customHeight="1" x14ac:dyDescent="0.25">
      <c r="D263" s="104"/>
    </row>
    <row r="264" spans="4:4" ht="15.75" customHeight="1" x14ac:dyDescent="0.25">
      <c r="D264" s="104"/>
    </row>
    <row r="265" spans="4:4" ht="15.75" customHeight="1" x14ac:dyDescent="0.25">
      <c r="D265" s="104"/>
    </row>
    <row r="266" spans="4:4" ht="15.75" customHeight="1" x14ac:dyDescent="0.25">
      <c r="D266" s="104"/>
    </row>
    <row r="267" spans="4:4" ht="15.75" customHeight="1" x14ac:dyDescent="0.25">
      <c r="D267" s="104"/>
    </row>
    <row r="268" spans="4:4" ht="15.75" customHeight="1" x14ac:dyDescent="0.25">
      <c r="D268" s="104"/>
    </row>
    <row r="269" spans="4:4" ht="15.75" customHeight="1" x14ac:dyDescent="0.25">
      <c r="D269" s="104"/>
    </row>
    <row r="270" spans="4:4" ht="15.75" customHeight="1" x14ac:dyDescent="0.25">
      <c r="D270" s="104"/>
    </row>
    <row r="271" spans="4:4" ht="15.75" customHeight="1" x14ac:dyDescent="0.25">
      <c r="D271" s="104"/>
    </row>
    <row r="272" spans="4:4" ht="15.75" customHeight="1" x14ac:dyDescent="0.25">
      <c r="D272" s="104"/>
    </row>
    <row r="273" spans="4:4" ht="15.75" customHeight="1" x14ac:dyDescent="0.25">
      <c r="D273" s="104"/>
    </row>
    <row r="274" spans="4:4" ht="15.75" customHeight="1" x14ac:dyDescent="0.25">
      <c r="D274" s="104"/>
    </row>
    <row r="275" spans="4:4" ht="15.75" customHeight="1" x14ac:dyDescent="0.25">
      <c r="D275" s="104"/>
    </row>
    <row r="276" spans="4:4" ht="15.75" customHeight="1" x14ac:dyDescent="0.25">
      <c r="D276" s="104"/>
    </row>
    <row r="277" spans="4:4" ht="15.75" customHeight="1" x14ac:dyDescent="0.25">
      <c r="D277" s="104"/>
    </row>
    <row r="278" spans="4:4" ht="15.75" customHeight="1" x14ac:dyDescent="0.25">
      <c r="D278" s="104"/>
    </row>
    <row r="279" spans="4:4" ht="15.75" customHeight="1" x14ac:dyDescent="0.25">
      <c r="D279" s="104"/>
    </row>
    <row r="280" spans="4:4" ht="15.75" customHeight="1" x14ac:dyDescent="0.25">
      <c r="D280" s="104"/>
    </row>
    <row r="281" spans="4:4" ht="15.75" customHeight="1" x14ac:dyDescent="0.25">
      <c r="D281" s="104"/>
    </row>
    <row r="282" spans="4:4" ht="15.75" customHeight="1" x14ac:dyDescent="0.25">
      <c r="D282" s="104"/>
    </row>
    <row r="283" spans="4:4" ht="15.75" customHeight="1" x14ac:dyDescent="0.25">
      <c r="D283" s="104"/>
    </row>
    <row r="284" spans="4:4" ht="15.75" customHeight="1" x14ac:dyDescent="0.25">
      <c r="D284" s="104"/>
    </row>
    <row r="285" spans="4:4" ht="15.75" customHeight="1" x14ac:dyDescent="0.25">
      <c r="D285" s="104"/>
    </row>
    <row r="286" spans="4:4" ht="15.75" customHeight="1" x14ac:dyDescent="0.25">
      <c r="D286" s="104"/>
    </row>
    <row r="287" spans="4:4" ht="15.75" customHeight="1" x14ac:dyDescent="0.25">
      <c r="D287" s="104"/>
    </row>
    <row r="288" spans="4:4" ht="15.75" customHeight="1" x14ac:dyDescent="0.25">
      <c r="D288" s="104"/>
    </row>
    <row r="289" spans="4:4" ht="15.75" customHeight="1" x14ac:dyDescent="0.25">
      <c r="D289" s="104"/>
    </row>
    <row r="290" spans="4:4" ht="15.75" customHeight="1" x14ac:dyDescent="0.25">
      <c r="D290" s="104"/>
    </row>
    <row r="291" spans="4:4" ht="15.75" customHeight="1" x14ac:dyDescent="0.25">
      <c r="D291" s="104"/>
    </row>
    <row r="292" spans="4:4" ht="15.75" customHeight="1" x14ac:dyDescent="0.25">
      <c r="D292" s="104"/>
    </row>
    <row r="293" spans="4:4" ht="15.75" customHeight="1" x14ac:dyDescent="0.25">
      <c r="D293" s="104"/>
    </row>
    <row r="294" spans="4:4" ht="15.75" customHeight="1" x14ac:dyDescent="0.25">
      <c r="D294" s="104"/>
    </row>
    <row r="295" spans="4:4" ht="15.75" customHeight="1" x14ac:dyDescent="0.25">
      <c r="D295" s="104"/>
    </row>
    <row r="296" spans="4:4" ht="15.75" customHeight="1" x14ac:dyDescent="0.25">
      <c r="D296" s="104"/>
    </row>
    <row r="297" spans="4:4" ht="15.75" customHeight="1" x14ac:dyDescent="0.25">
      <c r="D297" s="104"/>
    </row>
    <row r="298" spans="4:4" ht="15.75" customHeight="1" x14ac:dyDescent="0.25">
      <c r="D298" s="104"/>
    </row>
    <row r="299" spans="4:4" ht="15.75" customHeight="1" x14ac:dyDescent="0.25">
      <c r="D299" s="104"/>
    </row>
    <row r="300" spans="4:4" ht="15.75" customHeight="1" x14ac:dyDescent="0.25">
      <c r="D300" s="104"/>
    </row>
    <row r="301" spans="4:4" ht="15.75" customHeight="1" x14ac:dyDescent="0.25">
      <c r="D301" s="104"/>
    </row>
    <row r="302" spans="4:4" ht="15.75" customHeight="1" x14ac:dyDescent="0.25">
      <c r="D302" s="104"/>
    </row>
    <row r="303" spans="4:4" ht="15.75" customHeight="1" x14ac:dyDescent="0.25">
      <c r="D303" s="104"/>
    </row>
    <row r="304" spans="4:4" ht="15.75" customHeight="1" x14ac:dyDescent="0.25">
      <c r="D304" s="104"/>
    </row>
    <row r="305" spans="4:4" ht="15.75" customHeight="1" x14ac:dyDescent="0.25">
      <c r="D305" s="104"/>
    </row>
    <row r="306" spans="4:4" ht="15.75" customHeight="1" x14ac:dyDescent="0.25">
      <c r="D306" s="104"/>
    </row>
    <row r="307" spans="4:4" ht="15.75" customHeight="1" x14ac:dyDescent="0.25">
      <c r="D307" s="104"/>
    </row>
    <row r="308" spans="4:4" ht="15.75" customHeight="1" x14ac:dyDescent="0.25">
      <c r="D308" s="104"/>
    </row>
    <row r="309" spans="4:4" ht="15.75" customHeight="1" x14ac:dyDescent="0.25">
      <c r="D309" s="104"/>
    </row>
    <row r="310" spans="4:4" ht="15.75" customHeight="1" x14ac:dyDescent="0.25">
      <c r="D310" s="104"/>
    </row>
    <row r="311" spans="4:4" ht="15.75" customHeight="1" x14ac:dyDescent="0.25">
      <c r="D311" s="104"/>
    </row>
    <row r="312" spans="4:4" ht="15.75" customHeight="1" x14ac:dyDescent="0.25">
      <c r="D312" s="104"/>
    </row>
    <row r="313" spans="4:4" ht="15.75" customHeight="1" x14ac:dyDescent="0.25">
      <c r="D313" s="104"/>
    </row>
    <row r="314" spans="4:4" ht="15.75" customHeight="1" x14ac:dyDescent="0.25">
      <c r="D314" s="104"/>
    </row>
    <row r="315" spans="4:4" ht="15.75" customHeight="1" x14ac:dyDescent="0.2"/>
    <row r="316" spans="4:4" ht="15.75" customHeight="1" x14ac:dyDescent="0.2"/>
    <row r="317" spans="4:4" ht="15.75" customHeight="1" x14ac:dyDescent="0.2"/>
    <row r="318" spans="4:4" ht="15.75" customHeight="1" x14ac:dyDescent="0.2"/>
    <row r="319" spans="4:4" ht="15.75" customHeight="1" x14ac:dyDescent="0.2"/>
    <row r="320" spans="4:4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</sheetData>
  <mergeCells count="182">
    <mergeCell ref="C93:C94"/>
    <mergeCell ref="D93:D94"/>
    <mergeCell ref="E93:E94"/>
    <mergeCell ref="F93:F94"/>
    <mergeCell ref="G93:G94"/>
    <mergeCell ref="H93:H94"/>
    <mergeCell ref="I93:I94"/>
    <mergeCell ref="F55:F58"/>
    <mergeCell ref="N59:N83"/>
    <mergeCell ref="O59:O83"/>
    <mergeCell ref="S87:S88"/>
    <mergeCell ref="T87:T88"/>
    <mergeCell ref="U87:U88"/>
    <mergeCell ref="V87:V88"/>
    <mergeCell ref="S93:S94"/>
    <mergeCell ref="T93:T94"/>
    <mergeCell ref="U93:U94"/>
    <mergeCell ref="V93:V94"/>
    <mergeCell ref="V108:W108"/>
    <mergeCell ref="A111:B111"/>
    <mergeCell ref="F59:F83"/>
    <mergeCell ref="G59:G83"/>
    <mergeCell ref="H59:H83"/>
    <mergeCell ref="I59:I83"/>
    <mergeCell ref="C55:C58"/>
    <mergeCell ref="E55:E58"/>
    <mergeCell ref="G55:G58"/>
    <mergeCell ref="H55:H58"/>
    <mergeCell ref="I55:I58"/>
    <mergeCell ref="J55:J58"/>
    <mergeCell ref="J59:J83"/>
    <mergeCell ref="C59:C83"/>
    <mergeCell ref="P59:P83"/>
    <mergeCell ref="Q59:Q83"/>
    <mergeCell ref="R59:R83"/>
    <mergeCell ref="S59:S83"/>
    <mergeCell ref="T59:T83"/>
    <mergeCell ref="U59:U83"/>
    <mergeCell ref="V59:V83"/>
    <mergeCell ref="K59:K83"/>
    <mergeCell ref="L59:L83"/>
    <mergeCell ref="M59:M83"/>
    <mergeCell ref="A112:B112"/>
    <mergeCell ref="C112:F112"/>
    <mergeCell ref="I112:N112"/>
    <mergeCell ref="Q111:T111"/>
    <mergeCell ref="V111:X111"/>
    <mergeCell ref="Q112:T112"/>
    <mergeCell ref="H115:T115"/>
    <mergeCell ref="H118:T118"/>
    <mergeCell ref="H119:T119"/>
    <mergeCell ref="C101:E101"/>
    <mergeCell ref="C102:E102"/>
    <mergeCell ref="H102:I102"/>
    <mergeCell ref="J102:T102"/>
    <mergeCell ref="C103:E103"/>
    <mergeCell ref="J103:T103"/>
    <mergeCell ref="C104:E104"/>
    <mergeCell ref="C111:F111"/>
    <mergeCell ref="I111:N111"/>
    <mergeCell ref="J104:T104"/>
    <mergeCell ref="J105:T105"/>
    <mergeCell ref="C108:E108"/>
    <mergeCell ref="I108:N108"/>
    <mergeCell ref="Q108:T108"/>
    <mergeCell ref="Q93:Q94"/>
    <mergeCell ref="R93:R94"/>
    <mergeCell ref="J93:J94"/>
    <mergeCell ref="K93:K94"/>
    <mergeCell ref="L93:L94"/>
    <mergeCell ref="M93:M94"/>
    <mergeCell ref="N93:N94"/>
    <mergeCell ref="O93:O94"/>
    <mergeCell ref="P93:P94"/>
    <mergeCell ref="L87:L88"/>
    <mergeCell ref="M87:M88"/>
    <mergeCell ref="N87:N88"/>
    <mergeCell ref="O87:O88"/>
    <mergeCell ref="P87:P88"/>
    <mergeCell ref="Q87:Q88"/>
    <mergeCell ref="R87:R88"/>
    <mergeCell ref="C87:C88"/>
    <mergeCell ref="F87:F88"/>
    <mergeCell ref="G87:G88"/>
    <mergeCell ref="H87:H88"/>
    <mergeCell ref="I87:I88"/>
    <mergeCell ref="J87:J88"/>
    <mergeCell ref="K87:K88"/>
    <mergeCell ref="R55:R58"/>
    <mergeCell ref="S55:S58"/>
    <mergeCell ref="T55:T58"/>
    <mergeCell ref="U55:U58"/>
    <mergeCell ref="V55:V58"/>
    <mergeCell ref="K55:K58"/>
    <mergeCell ref="L55:L58"/>
    <mergeCell ref="M55:M58"/>
    <mergeCell ref="N55:N58"/>
    <mergeCell ref="O55:O58"/>
    <mergeCell ref="P55:P58"/>
    <mergeCell ref="Q55:Q58"/>
    <mergeCell ref="C15:C26"/>
    <mergeCell ref="G15:G26"/>
    <mergeCell ref="H15:H26"/>
    <mergeCell ref="I15:I26"/>
    <mergeCell ref="I27:I33"/>
    <mergeCell ref="S49:S53"/>
    <mergeCell ref="T49:T53"/>
    <mergeCell ref="U49:U53"/>
    <mergeCell ref="V49:V53"/>
    <mergeCell ref="L49:L53"/>
    <mergeCell ref="M49:M53"/>
    <mergeCell ref="N49:N53"/>
    <mergeCell ref="O49:O53"/>
    <mergeCell ref="P49:P53"/>
    <mergeCell ref="Q49:Q53"/>
    <mergeCell ref="R49:R53"/>
    <mergeCell ref="C49:C53"/>
    <mergeCell ref="F49:F53"/>
    <mergeCell ref="G49:G53"/>
    <mergeCell ref="H49:H53"/>
    <mergeCell ref="I49:I53"/>
    <mergeCell ref="J49:J53"/>
    <mergeCell ref="K49:K53"/>
    <mergeCell ref="C27:C33"/>
    <mergeCell ref="C34:C48"/>
    <mergeCell ref="R34:R48"/>
    <mergeCell ref="S34:S48"/>
    <mergeCell ref="T34:T48"/>
    <mergeCell ref="U34:U48"/>
    <mergeCell ref="V34:V48"/>
    <mergeCell ref="K34:K48"/>
    <mergeCell ref="L34:L48"/>
    <mergeCell ref="M34:M48"/>
    <mergeCell ref="N34:N48"/>
    <mergeCell ref="O34:O48"/>
    <mergeCell ref="P34:P48"/>
    <mergeCell ref="Q34:Q48"/>
    <mergeCell ref="F27:F33"/>
    <mergeCell ref="F34:F48"/>
    <mergeCell ref="G34:G48"/>
    <mergeCell ref="H34:H48"/>
    <mergeCell ref="I34:I48"/>
    <mergeCell ref="J34:J48"/>
    <mergeCell ref="O27:O33"/>
    <mergeCell ref="P27:P33"/>
    <mergeCell ref="Q27:Q33"/>
    <mergeCell ref="R27:R33"/>
    <mergeCell ref="S27:S33"/>
    <mergeCell ref="T27:T33"/>
    <mergeCell ref="U27:U33"/>
    <mergeCell ref="V27:V33"/>
    <mergeCell ref="G27:G33"/>
    <mergeCell ref="H27:H33"/>
    <mergeCell ref="J27:J33"/>
    <mergeCell ref="K27:K33"/>
    <mergeCell ref="L27:L33"/>
    <mergeCell ref="M27:M33"/>
    <mergeCell ref="N27:N33"/>
    <mergeCell ref="A1:V1"/>
    <mergeCell ref="A2:V2"/>
    <mergeCell ref="A3:V3"/>
    <mergeCell ref="A8:A9"/>
    <mergeCell ref="B8:B9"/>
    <mergeCell ref="D8:D9"/>
    <mergeCell ref="E8:E9"/>
    <mergeCell ref="H8:V8"/>
    <mergeCell ref="Q15:Q26"/>
    <mergeCell ref="R15:R26"/>
    <mergeCell ref="S15:S26"/>
    <mergeCell ref="T15:T26"/>
    <mergeCell ref="U15:U26"/>
    <mergeCell ref="V15:V26"/>
    <mergeCell ref="J15:J26"/>
    <mergeCell ref="K15:K26"/>
    <mergeCell ref="L15:L26"/>
    <mergeCell ref="M15:M26"/>
    <mergeCell ref="N15:N26"/>
    <mergeCell ref="O15:O26"/>
    <mergeCell ref="P15:P26"/>
    <mergeCell ref="F15:F26"/>
    <mergeCell ref="F8:F9"/>
    <mergeCell ref="G8:G9"/>
  </mergeCells>
  <pageMargins left="1.3516819571865444" right="0.57247706422018352" top="1" bottom="1" header="0" footer="0"/>
  <pageSetup orientation="landscape"/>
  <rowBreaks count="1" manualBreakCount="1">
    <brk id="97" man="1"/>
  </rowBreaks>
  <colBreaks count="1" manualBreakCount="1">
    <brk id="22" man="1"/>
  </colBreak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Mary Grace Ballesteros</cp:lastModifiedBy>
  <dcterms:created xsi:type="dcterms:W3CDTF">2024-01-03T07:55:13Z</dcterms:created>
  <dcterms:modified xsi:type="dcterms:W3CDTF">2024-04-19T06:05:27Z</dcterms:modified>
</cp:coreProperties>
</file>