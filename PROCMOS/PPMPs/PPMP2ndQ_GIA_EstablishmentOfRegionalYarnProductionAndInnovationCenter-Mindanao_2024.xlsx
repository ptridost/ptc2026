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13_ncr:1_{2EADD23C-1F24-4E18-9E60-40BED9F6C3F2}" xr6:coauthVersionLast="47" xr6:coauthVersionMax="47" xr10:uidLastSave="{00000000-0000-0000-0000-000000000000}"/>
  <bookViews>
    <workbookView xWindow="-110" yWindow="-110" windowWidth="19420" windowHeight="10420" firstSheet="2" activeTab="4" xr2:uid="{16695A98-AE2F-463F-AAF8-981DA9C24897}"/>
  </bookViews>
  <sheets>
    <sheet name="3rd Quarter as of 07-01-24" sheetId="1" r:id="rId1"/>
    <sheet name="3rd Quarter as of 07-04-24" sheetId="2" r:id="rId2"/>
    <sheet name="3rd Quarter as of 07-09-24" sheetId="3" r:id="rId3"/>
    <sheet name="3rd Quarter as of 07-11-24" sheetId="4" r:id="rId4"/>
    <sheet name="3rd Quarter as of 07-19-24" sheetId="6" r:id="rId5"/>
    <sheet name="MY COPY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4" i="6" l="1"/>
  <c r="F115" i="6"/>
  <c r="F113" i="6"/>
  <c r="F169" i="6"/>
  <c r="F168" i="6"/>
  <c r="F167" i="6"/>
  <c r="F165" i="6"/>
  <c r="F164" i="6"/>
  <c r="F160" i="6"/>
  <c r="F156" i="6"/>
  <c r="F155" i="6"/>
  <c r="F153" i="6"/>
  <c r="F151" i="6"/>
  <c r="F150" i="6"/>
  <c r="F147" i="6"/>
  <c r="F144" i="6"/>
  <c r="F143" i="6"/>
  <c r="F142" i="6"/>
  <c r="F141" i="6"/>
  <c r="F139" i="6"/>
  <c r="F138" i="6"/>
  <c r="F137" i="6"/>
  <c r="F133" i="6"/>
  <c r="F132" i="6"/>
  <c r="F130" i="6"/>
  <c r="F129" i="6"/>
  <c r="F128" i="6"/>
  <c r="F127" i="6"/>
  <c r="F126" i="6"/>
  <c r="F125" i="6"/>
  <c r="F123" i="6"/>
  <c r="F121" i="6"/>
  <c r="F120" i="6"/>
  <c r="F118" i="6"/>
  <c r="F117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6" i="6"/>
  <c r="E92" i="6"/>
  <c r="E91" i="6"/>
  <c r="F90" i="6"/>
  <c r="F89" i="6"/>
  <c r="F88" i="6"/>
  <c r="F86" i="6"/>
  <c r="F85" i="6"/>
  <c r="F82" i="6"/>
  <c r="F81" i="6"/>
  <c r="F80" i="6"/>
  <c r="F79" i="6"/>
  <c r="F78" i="6"/>
  <c r="F77" i="6"/>
  <c r="F76" i="6"/>
  <c r="F75" i="6"/>
  <c r="F74" i="6"/>
  <c r="F70" i="6"/>
  <c r="F69" i="6"/>
  <c r="F68" i="6"/>
  <c r="F66" i="6"/>
  <c r="F64" i="6"/>
  <c r="F63" i="6"/>
  <c r="F61" i="6"/>
  <c r="F59" i="6"/>
  <c r="F58" i="6"/>
  <c r="F55" i="6"/>
  <c r="F27" i="6"/>
  <c r="F23" i="6"/>
  <c r="F22" i="6"/>
  <c r="F21" i="6"/>
  <c r="F18" i="6"/>
  <c r="F16" i="6"/>
  <c r="F13" i="6"/>
  <c r="F12" i="6"/>
  <c r="D172" i="5"/>
  <c r="F166" i="5"/>
  <c r="F165" i="5"/>
  <c r="F164" i="5"/>
  <c r="F162" i="5"/>
  <c r="F161" i="5"/>
  <c r="F157" i="5"/>
  <c r="F153" i="5"/>
  <c r="F152" i="5"/>
  <c r="F150" i="5"/>
  <c r="F148" i="5"/>
  <c r="F147" i="5"/>
  <c r="F144" i="5"/>
  <c r="F141" i="5"/>
  <c r="F140" i="5"/>
  <c r="F139" i="5"/>
  <c r="F138" i="5"/>
  <c r="F136" i="5"/>
  <c r="F135" i="5"/>
  <c r="F134" i="5"/>
  <c r="F130" i="5"/>
  <c r="F129" i="5"/>
  <c r="F127" i="5"/>
  <c r="F126" i="5"/>
  <c r="F125" i="5"/>
  <c r="F124" i="5"/>
  <c r="F123" i="5"/>
  <c r="F122" i="5"/>
  <c r="F120" i="5"/>
  <c r="F118" i="5"/>
  <c r="F117" i="5"/>
  <c r="F115" i="5"/>
  <c r="F114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6" i="5"/>
  <c r="E92" i="5"/>
  <c r="F91" i="5"/>
  <c r="E91" i="5"/>
  <c r="F90" i="5"/>
  <c r="F89" i="5"/>
  <c r="F88" i="5"/>
  <c r="F86" i="5"/>
  <c r="F85" i="5"/>
  <c r="F82" i="5"/>
  <c r="F81" i="5"/>
  <c r="F80" i="5"/>
  <c r="F79" i="5"/>
  <c r="F78" i="5"/>
  <c r="F77" i="5"/>
  <c r="F76" i="5"/>
  <c r="F75" i="5"/>
  <c r="F74" i="5"/>
  <c r="F70" i="5"/>
  <c r="F69" i="5"/>
  <c r="F68" i="5"/>
  <c r="F66" i="5"/>
  <c r="F64" i="5"/>
  <c r="F63" i="5"/>
  <c r="F61" i="5"/>
  <c r="F59" i="5"/>
  <c r="F58" i="5"/>
  <c r="F55" i="5"/>
  <c r="F27" i="5"/>
  <c r="F23" i="5"/>
  <c r="F22" i="5"/>
  <c r="F21" i="5"/>
  <c r="F18" i="5"/>
  <c r="F16" i="5"/>
  <c r="F13" i="5"/>
  <c r="F12" i="5"/>
  <c r="F59" i="4"/>
  <c r="F136" i="4"/>
  <c r="F144" i="4"/>
  <c r="F115" i="4"/>
  <c r="F135" i="4"/>
  <c r="F166" i="4"/>
  <c r="F165" i="4"/>
  <c r="F164" i="4"/>
  <c r="F162" i="4"/>
  <c r="F161" i="4"/>
  <c r="F157" i="4"/>
  <c r="F153" i="4"/>
  <c r="F152" i="4"/>
  <c r="F150" i="4"/>
  <c r="F148" i="4"/>
  <c r="F147" i="4"/>
  <c r="F141" i="4"/>
  <c r="F140" i="4"/>
  <c r="F139" i="4"/>
  <c r="F138" i="4"/>
  <c r="F134" i="4"/>
  <c r="F130" i="4"/>
  <c r="F129" i="4"/>
  <c r="F127" i="4"/>
  <c r="F126" i="4"/>
  <c r="F125" i="4"/>
  <c r="F124" i="4"/>
  <c r="F123" i="4"/>
  <c r="F122" i="4"/>
  <c r="F120" i="4"/>
  <c r="F118" i="4"/>
  <c r="F117" i="4"/>
  <c r="F114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6" i="4"/>
  <c r="E92" i="4"/>
  <c r="E91" i="4"/>
  <c r="F90" i="4"/>
  <c r="F89" i="4"/>
  <c r="F88" i="4"/>
  <c r="F86" i="4"/>
  <c r="F85" i="4"/>
  <c r="F82" i="4"/>
  <c r="F81" i="4"/>
  <c r="F80" i="4"/>
  <c r="F79" i="4"/>
  <c r="F78" i="4"/>
  <c r="F77" i="4"/>
  <c r="F76" i="4"/>
  <c r="F75" i="4"/>
  <c r="F74" i="4"/>
  <c r="F70" i="4"/>
  <c r="F69" i="4"/>
  <c r="F68" i="4"/>
  <c r="F66" i="4"/>
  <c r="F64" i="4"/>
  <c r="F63" i="4"/>
  <c r="F61" i="4"/>
  <c r="F58" i="4"/>
  <c r="F55" i="4"/>
  <c r="F27" i="4"/>
  <c r="F23" i="4"/>
  <c r="F22" i="4"/>
  <c r="F21" i="4"/>
  <c r="F18" i="4"/>
  <c r="F16" i="4"/>
  <c r="F13" i="4"/>
  <c r="F12" i="4"/>
  <c r="F162" i="3"/>
  <c r="F161" i="3"/>
  <c r="F160" i="3"/>
  <c r="F158" i="3"/>
  <c r="F157" i="3"/>
  <c r="F153" i="3"/>
  <c r="F149" i="3"/>
  <c r="F148" i="3"/>
  <c r="F146" i="3"/>
  <c r="F144" i="3"/>
  <c r="F143" i="3"/>
  <c r="F137" i="3"/>
  <c r="F136" i="3"/>
  <c r="F135" i="3"/>
  <c r="F134" i="3"/>
  <c r="F132" i="3"/>
  <c r="F128" i="3"/>
  <c r="F127" i="3"/>
  <c r="F125" i="3"/>
  <c r="F124" i="3"/>
  <c r="F123" i="3"/>
  <c r="F122" i="3"/>
  <c r="F121" i="3"/>
  <c r="F120" i="3"/>
  <c r="F118" i="3"/>
  <c r="F116" i="3"/>
  <c r="F115" i="3"/>
  <c r="F113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5" i="3"/>
  <c r="E91" i="3"/>
  <c r="E90" i="3"/>
  <c r="F89" i="3"/>
  <c r="F88" i="3"/>
  <c r="F87" i="3"/>
  <c r="F85" i="3"/>
  <c r="F84" i="3"/>
  <c r="F81" i="3"/>
  <c r="F80" i="3"/>
  <c r="F79" i="3"/>
  <c r="F78" i="3"/>
  <c r="F77" i="3"/>
  <c r="F76" i="3"/>
  <c r="F75" i="3"/>
  <c r="F74" i="3"/>
  <c r="F73" i="3"/>
  <c r="F69" i="3"/>
  <c r="F68" i="3"/>
  <c r="F67" i="3"/>
  <c r="F65" i="3"/>
  <c r="F63" i="3"/>
  <c r="F62" i="3"/>
  <c r="F60" i="3"/>
  <c r="F58" i="3"/>
  <c r="F55" i="3"/>
  <c r="F27" i="3"/>
  <c r="F23" i="3"/>
  <c r="F22" i="3"/>
  <c r="F21" i="3"/>
  <c r="F18" i="3"/>
  <c r="F16" i="3"/>
  <c r="F13" i="3"/>
  <c r="F12" i="3"/>
  <c r="F62" i="2"/>
  <c r="F116" i="2"/>
  <c r="F118" i="2"/>
  <c r="F116" i="1"/>
  <c r="F160" i="2"/>
  <c r="F159" i="2"/>
  <c r="F157" i="2"/>
  <c r="F156" i="2"/>
  <c r="F152" i="2"/>
  <c r="F148" i="2"/>
  <c r="F147" i="2"/>
  <c r="F145" i="2"/>
  <c r="F143" i="2"/>
  <c r="F142" i="2"/>
  <c r="F137" i="2"/>
  <c r="F136" i="2"/>
  <c r="F135" i="2"/>
  <c r="F134" i="2"/>
  <c r="F132" i="2"/>
  <c r="F128" i="2"/>
  <c r="F127" i="2"/>
  <c r="F125" i="2"/>
  <c r="F124" i="2"/>
  <c r="F123" i="2"/>
  <c r="F122" i="2"/>
  <c r="F121" i="2"/>
  <c r="F120" i="2"/>
  <c r="F115" i="2"/>
  <c r="F113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5" i="2"/>
  <c r="E91" i="2"/>
  <c r="E90" i="2"/>
  <c r="F90" i="2" s="1"/>
  <c r="F89" i="2"/>
  <c r="F88" i="2"/>
  <c r="F87" i="2"/>
  <c r="F85" i="2"/>
  <c r="F84" i="2"/>
  <c r="F81" i="2"/>
  <c r="F80" i="2"/>
  <c r="F79" i="2"/>
  <c r="F78" i="2"/>
  <c r="F77" i="2"/>
  <c r="F76" i="2"/>
  <c r="F75" i="2"/>
  <c r="F74" i="2"/>
  <c r="F73" i="2"/>
  <c r="F69" i="2"/>
  <c r="F68" i="2"/>
  <c r="F67" i="2"/>
  <c r="F65" i="2"/>
  <c r="F63" i="2"/>
  <c r="F60" i="2"/>
  <c r="F58" i="2"/>
  <c r="F55" i="2"/>
  <c r="F27" i="2"/>
  <c r="F23" i="2"/>
  <c r="F22" i="2"/>
  <c r="F21" i="2"/>
  <c r="F18" i="2"/>
  <c r="F16" i="2"/>
  <c r="F13" i="2"/>
  <c r="F12" i="2"/>
  <c r="F13" i="1"/>
  <c r="F16" i="1"/>
  <c r="F122" i="1"/>
  <c r="F137" i="1"/>
  <c r="F160" i="1"/>
  <c r="F159" i="1"/>
  <c r="F157" i="1"/>
  <c r="F156" i="1"/>
  <c r="F152" i="1"/>
  <c r="F148" i="1"/>
  <c r="F147" i="1"/>
  <c r="F145" i="1"/>
  <c r="F143" i="1"/>
  <c r="F142" i="1"/>
  <c r="F136" i="1"/>
  <c r="F135" i="1"/>
  <c r="F134" i="1"/>
  <c r="F132" i="1"/>
  <c r="F128" i="1"/>
  <c r="F127" i="1"/>
  <c r="F125" i="1"/>
  <c r="F124" i="1"/>
  <c r="F123" i="1"/>
  <c r="F121" i="1"/>
  <c r="F120" i="1"/>
  <c r="F118" i="1"/>
  <c r="F115" i="1"/>
  <c r="F113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5" i="1"/>
  <c r="E91" i="1"/>
  <c r="E90" i="1"/>
  <c r="F90" i="1" s="1"/>
  <c r="F89" i="1"/>
  <c r="F88" i="1"/>
  <c r="F87" i="1"/>
  <c r="F85" i="1"/>
  <c r="F84" i="1"/>
  <c r="F81" i="1"/>
  <c r="F80" i="1"/>
  <c r="F79" i="1"/>
  <c r="F78" i="1"/>
  <c r="F77" i="1"/>
  <c r="F76" i="1"/>
  <c r="F75" i="1"/>
  <c r="F74" i="1"/>
  <c r="F73" i="1"/>
  <c r="F69" i="1"/>
  <c r="F68" i="1"/>
  <c r="F67" i="1"/>
  <c r="F65" i="1"/>
  <c r="F63" i="1"/>
  <c r="F60" i="1"/>
  <c r="F58" i="1"/>
  <c r="F55" i="1"/>
  <c r="F27" i="1"/>
  <c r="F23" i="1"/>
  <c r="F22" i="1"/>
  <c r="F21" i="1"/>
  <c r="F18" i="1"/>
  <c r="F12" i="1"/>
  <c r="F91" i="6" l="1"/>
  <c r="D175" i="6"/>
  <c r="D173" i="5"/>
  <c r="D175" i="5" s="1"/>
  <c r="D174" i="5"/>
  <c r="F91" i="4"/>
  <c r="D172" i="4"/>
  <c r="D174" i="4" s="1"/>
  <c r="F90" i="3"/>
  <c r="D168" i="3" s="1"/>
  <c r="D170" i="3" s="1"/>
  <c r="D166" i="2"/>
  <c r="D168" i="2" s="1"/>
  <c r="D166" i="1"/>
  <c r="D168" i="1" s="1"/>
  <c r="D177" i="6" l="1"/>
  <c r="D176" i="6"/>
  <c r="D173" i="4"/>
  <c r="D175" i="4" s="1"/>
  <c r="D169" i="3"/>
  <c r="D171" i="3"/>
  <c r="D167" i="2"/>
  <c r="D169" i="2" s="1"/>
  <c r="D167" i="1"/>
  <c r="D169" i="1" s="1"/>
  <c r="D178" i="6" l="1"/>
</calcChain>
</file>

<file path=xl/sharedStrings.xml><?xml version="1.0" encoding="utf-8"?>
<sst xmlns="http://schemas.openxmlformats.org/spreadsheetml/2006/main" count="2664" uniqueCount="326">
  <si>
    <t xml:space="preserve">  PROJECT PROCUREMENT MANAGEMENT PLAN (PPMP) 2024</t>
  </si>
  <si>
    <t>For 2nd Quarter of CY 2024</t>
  </si>
  <si>
    <t>End-User/Unit: TSD-MPU</t>
  </si>
  <si>
    <t>Charged to: Regional Yarn Production and Innovation Center (RYPIC) - Mindanao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</si>
  <si>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</si>
  <si>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</si>
  <si>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</si>
  <si>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</si>
  <si>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</si>
  <si>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</si>
  <si>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</si>
  <si>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</si>
  <si>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</si>
  <si>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</si>
  <si>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</si>
  <si>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</si>
  <si>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</si>
  <si>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</si>
  <si>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</si>
  <si>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</si>
  <si>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</si>
  <si>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</si>
  <si>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</si>
  <si>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</si>
  <si>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</si>
  <si>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</si>
  <si>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</si>
  <si>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</si>
  <si>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</si>
  <si>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</si>
  <si>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</si>
  <si>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</si>
  <si>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</si>
  <si>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</si>
  <si>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</si>
  <si>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</si>
  <si>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</si>
  <si>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</si>
  <si>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</si>
  <si>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</si>
  <si>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</si>
  <si>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</si>
  <si>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</si>
  <si>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</si>
  <si>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</si>
  <si>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</si>
  <si>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</si>
  <si>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</si>
  <si>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</si>
  <si>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</si>
  <si>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</si>
  <si>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</si>
  <si>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</si>
  <si>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</si>
  <si>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</si>
  <si>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</si>
  <si>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</si>
  <si>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</si>
  <si>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</si>
  <si>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</si>
  <si>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</si>
  <si>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</si>
  <si>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</si>
  <si>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</si>
  <si>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</si>
  <si>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</si>
  <si>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</si>
  <si>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</si>
  <si>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</si>
  <si>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</si>
  <si>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</si>
  <si>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</si>
  <si>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</si>
  <si>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</si>
  <si>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</si>
  <si>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</si>
  <si>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27 pieces RYPIC Mindanao Polo Shirt</t>
  </si>
  <si>
    <t>1 lot</t>
  </si>
  <si>
    <t>Shopping</t>
  </si>
  <si>
    <t>30 working days</t>
  </si>
  <si>
    <t>4 pieces Universal Extension Wheel / Cord</t>
  </si>
  <si>
    <t>6 pieces Individual Switch Extension Cord, 4 gang</t>
  </si>
  <si>
    <t>10 units Stand Fan</t>
  </si>
  <si>
    <t>10 packs Heavy duty clear plastic bag: size 40" x 60"; 50pcs per pack</t>
  </si>
  <si>
    <t>15 working days</t>
  </si>
  <si>
    <t>10 packs Heavy duty clear plastic bag: size 25" x 50"; 50pcs per pack</t>
  </si>
  <si>
    <t>10 packs Heavy duty clear plastic bag: size 20" x 40"; 50pcs per pack</t>
  </si>
  <si>
    <t>15 pieces ID Card Holder with Lace Lanyard</t>
  </si>
  <si>
    <t>15 pieces</t>
  </si>
  <si>
    <t>Petty Cash Fund</t>
  </si>
  <si>
    <t>120 pieces Brown Kraft Paper Bag</t>
  </si>
  <si>
    <t>120 pieces</t>
  </si>
  <si>
    <t xml:space="preserve">2 units Bundy Clock </t>
  </si>
  <si>
    <t>2 units Ribbon for Bundy Clock</t>
  </si>
  <si>
    <t>2 packs Attendance Time Card, 200pcs/pack</t>
  </si>
  <si>
    <t>2 units Attendance Rack, 24 slots</t>
  </si>
  <si>
    <t>6 pieces CALCULATOR, compact, 12 digits</t>
  </si>
  <si>
    <t>100 pieces NOTEPAD stick on 3" x 3" yellow</t>
  </si>
  <si>
    <t>10 pieces RULER, plastic, 450mm</t>
  </si>
  <si>
    <t>100 pieces SIGN PEN, BLUE, liquid/gel ink, 0.5mm needle tip</t>
  </si>
  <si>
    <t>6 pieces STAPLER, w/ Remover : NO.35</t>
  </si>
  <si>
    <t>20 boxes STAPLE WIRE NO.35 : max 5000's/box</t>
  </si>
  <si>
    <t>4 pieces White Board (3x4 ft)</t>
  </si>
  <si>
    <t>50 pieces MARKER, whiteboard, blue</t>
  </si>
  <si>
    <t>4 pieces Tape dispenser, table top</t>
  </si>
  <si>
    <t xml:space="preserve">30 rolls TAPE, masking, 24mm </t>
  </si>
  <si>
    <t>30 rolls TAPE, masking, 48mm</t>
  </si>
  <si>
    <t>10 boxes BATTERY, dry cell, size: AA</t>
  </si>
  <si>
    <t>10 boxes BATTERY, dry cell, size: AAA</t>
  </si>
  <si>
    <t>10 pairs SCISSORS, symmetrical, blade length: 65mm min</t>
  </si>
  <si>
    <t>100 boxes CLIP, BACKFOLD, all metal, clamping: 19mm (-1mm)</t>
  </si>
  <si>
    <t>50 boxes CLIP, BACKFOLD, all metal, clamping: 25mm (-1mm)</t>
  </si>
  <si>
    <t>50 boxes CLIP, BACKFOLD, all metal, clamping: 50mm (-1mm)</t>
  </si>
  <si>
    <t>4 pieces 3 Layer Desk File Organizer Document Paper Tray (27cm×35cm×28cm)</t>
  </si>
  <si>
    <t>20 pieces DATA FILE BOX, magazine box made of chipboard, with closed ends</t>
  </si>
  <si>
    <t>20 boxes PAPER CLIP, vinyl/plastic coat, length: 32mm min</t>
  </si>
  <si>
    <t>20 boxes PAPER CLIP, vinyl/plastic coat, length: 50mm min</t>
  </si>
  <si>
    <t>100 pcs Brown Document Envelope, A4/Short</t>
  </si>
  <si>
    <t>100 pcs Brown Document Envelope, Legal/Long (10" x 15")</t>
  </si>
  <si>
    <t>50 books RECORD BOOK, 500 pages, size: 214mm x 278mm min</t>
  </si>
  <si>
    <t>100 reams PAPER, multicopy, A4, 80 gsm</t>
  </si>
  <si>
    <t>100 reams PAPER, multicopy, legal, 80 gsm</t>
  </si>
  <si>
    <t>4 boxes RUBBER BAND, 70mm min lay flat length (#18)</t>
  </si>
  <si>
    <t>10 boxes PENCIL, lead w/ eraser, wood cased, hardness</t>
  </si>
  <si>
    <t>2 pieces Office Table</t>
  </si>
  <si>
    <t>2 pieces Office Chair</t>
  </si>
  <si>
    <t>4 pieces Lockers/Cabinet</t>
  </si>
  <si>
    <t>4 pieces Full Body Mannequin</t>
  </si>
  <si>
    <t>4 pieces</t>
  </si>
  <si>
    <t>50203210 03</t>
  </si>
  <si>
    <t>Semi- Expendable - ICT Equipment</t>
  </si>
  <si>
    <t>2 units All-in-One Tank Printer</t>
  </si>
  <si>
    <t>Negotiated Procurement - Small Value Procurement</t>
  </si>
  <si>
    <t>2 units Color Duplex Document Scanner</t>
  </si>
  <si>
    <t>2 lots CCTV Security System</t>
  </si>
  <si>
    <t>2 units High Speed Satelite based Internet Set</t>
  </si>
  <si>
    <t>2 units</t>
  </si>
  <si>
    <t>50203090 00</t>
  </si>
  <si>
    <t xml:space="preserve">Fuel, Oil and Lubricants Expenses </t>
  </si>
  <si>
    <t>Direct Retail</t>
  </si>
  <si>
    <t>50299040 00</t>
  </si>
  <si>
    <t>Transportation and Delivery Expense</t>
  </si>
  <si>
    <t>10 lots Transport of Materials</t>
  </si>
  <si>
    <t>2 lots Trucking Services</t>
  </si>
  <si>
    <t>2 lots</t>
  </si>
  <si>
    <t>Negotiated Procurement - Small Value Procurement / Shopping</t>
  </si>
  <si>
    <t>50203990 00</t>
  </si>
  <si>
    <t>Other Supplies Expenses</t>
  </si>
  <si>
    <t>27 pieces</t>
  </si>
  <si>
    <t>20 pieces Polo Shirt (Fern Green)</t>
  </si>
  <si>
    <t>20 pieces</t>
  </si>
  <si>
    <t>100 pieces Welcome Leis</t>
  </si>
  <si>
    <t>100 pieces</t>
  </si>
  <si>
    <t>300 pieces Participants ID Case with Lanyard</t>
  </si>
  <si>
    <t>300 pieces</t>
  </si>
  <si>
    <t>1000 pieces Corrugated box with print</t>
  </si>
  <si>
    <t>1000 pieces</t>
  </si>
  <si>
    <t>4 units Push Cart</t>
  </si>
  <si>
    <t>4 units</t>
  </si>
  <si>
    <t>4 units Hydraulic Hand Pallet Truck</t>
  </si>
  <si>
    <t>2 units Water Dispenser</t>
  </si>
  <si>
    <t>2 pieces Wet and Dry Vacuum Cleaner</t>
  </si>
  <si>
    <t>4 pieces 240 L Mobile Trash Bin with Cover</t>
  </si>
  <si>
    <t>20 pieces Light bulbs</t>
  </si>
  <si>
    <t>3 pieces Folding tables</t>
  </si>
  <si>
    <t>20 pieces Chairs</t>
  </si>
  <si>
    <t>2 units Aluminum multi-purpose ladder</t>
  </si>
  <si>
    <t>400 pieces Customized Tote Bags</t>
  </si>
  <si>
    <t>400 pieces</t>
  </si>
  <si>
    <t>100 pieces Customized Tote Bags</t>
  </si>
  <si>
    <t>2 pieces Claw hammer with wood handle and steel hammer head (13")</t>
  </si>
  <si>
    <t>1 piece Crosscut Hand Saw with PVC handle, 22HHT</t>
  </si>
  <si>
    <t>1 piece Electric drill</t>
  </si>
  <si>
    <t>1 piece Angle grinder</t>
  </si>
  <si>
    <t>1 box Cutting disc (for iron)</t>
  </si>
  <si>
    <t>4 pieces Tile cutter disc</t>
  </si>
  <si>
    <t>1 piece Circular saw</t>
  </si>
  <si>
    <t>4 boxes Tocks screw, (2.5 inch)</t>
  </si>
  <si>
    <t>30 pieces Industrial silicone</t>
  </si>
  <si>
    <t>3 pieces Silicone gun</t>
  </si>
  <si>
    <t>16 gallons Enamel paint, white</t>
  </si>
  <si>
    <t>5 pieces Paint brush, 2 inches</t>
  </si>
  <si>
    <t>40 pieces Sand paper, 100 grit</t>
  </si>
  <si>
    <t>14 feet Sand paper, 36 grit</t>
  </si>
  <si>
    <t>4 kilos Nail, 3 inches</t>
  </si>
  <si>
    <t>4 kilos Nail, 2 inches</t>
  </si>
  <si>
    <t>8 pieces Cotton knitted work gloves with rubber coated palm</t>
  </si>
  <si>
    <t>160 pieces Gemilina Lumber, 1x2</t>
  </si>
  <si>
    <t>2 pieces Male plug</t>
  </si>
  <si>
    <t>150 meters Electrical wire</t>
  </si>
  <si>
    <t>30 meters Trapal, 8" width</t>
  </si>
  <si>
    <t>80 pieces Phenolic Board, 1/2 inch</t>
  </si>
  <si>
    <t>50205020 01</t>
  </si>
  <si>
    <t>Telephone Expenses – Mobile</t>
  </si>
  <si>
    <t xml:space="preserve">2 lots Telephone and Internet Installation </t>
  </si>
  <si>
    <t>Direct Contracting</t>
  </si>
  <si>
    <t>50203080 00</t>
  </si>
  <si>
    <t>Medical, Dental  Laboratory Supplies Expenses</t>
  </si>
  <si>
    <t>1 unit Air Compressor</t>
  </si>
  <si>
    <t xml:space="preserve">1 unit </t>
  </si>
  <si>
    <t>30 pairs Laboratory Shoes, random sizes</t>
  </si>
  <si>
    <t>30 pairs</t>
  </si>
  <si>
    <t>500 pieces Rags</t>
  </si>
  <si>
    <t>500 pieces</t>
  </si>
  <si>
    <t>200 packs Anionic Detergent, 1kg/pack</t>
  </si>
  <si>
    <t>200 packs</t>
  </si>
  <si>
    <t>60 working days</t>
  </si>
  <si>
    <t xml:space="preserve">1500 kilograms Decorticated Banana </t>
  </si>
  <si>
    <t xml:space="preserve">150 kilograms Decorticated Abaca </t>
  </si>
  <si>
    <t>150 kls</t>
  </si>
  <si>
    <t>1500 kilograms Banana Pseudostem (Cavendish)</t>
  </si>
  <si>
    <t>150 kilograms Abaca Leaf Sheaths</t>
  </si>
  <si>
    <t>300 kilograms Bamboo Culm (Kawayang Tinik)</t>
  </si>
  <si>
    <t>300 kls</t>
  </si>
  <si>
    <t>1000 kilograms Cotton Lint</t>
  </si>
  <si>
    <t>1000 kls</t>
  </si>
  <si>
    <t>Printing and Publication Expenses</t>
  </si>
  <si>
    <t>50299030 00</t>
  </si>
  <si>
    <t>Travelling Expenses</t>
  </si>
  <si>
    <t>Representation Expenses</t>
  </si>
  <si>
    <t>10 lots Meals</t>
  </si>
  <si>
    <t>10 lots</t>
  </si>
  <si>
    <t>Shopping / Petty Cash Fund</t>
  </si>
  <si>
    <t>Rental of Venue with Meals and Accommodation for
the Operational Planning Workshop</t>
  </si>
  <si>
    <t>Meals</t>
  </si>
  <si>
    <t>50215010 01</t>
  </si>
  <si>
    <t>Taxes, Duties, and Licenses</t>
  </si>
  <si>
    <t xml:space="preserve">1 lot RYPC Cotabato Operations Manual </t>
  </si>
  <si>
    <t>2 lots Notary Public</t>
  </si>
  <si>
    <t>50604050 14</t>
  </si>
  <si>
    <t>Technical &amp; Scientific Equipment-Equipment Outlay</t>
  </si>
  <si>
    <t>1 set Yarn Mercerizing Machine</t>
  </si>
  <si>
    <t xml:space="preserve">Public Bidding </t>
  </si>
  <si>
    <t>90 working days</t>
  </si>
  <si>
    <t>Repair and Maintenance Expenses</t>
  </si>
  <si>
    <t>Relocation of Treatment Machine</t>
  </si>
  <si>
    <t>5 working days</t>
  </si>
  <si>
    <t>Preventive maintenance and general cleaning of:</t>
  </si>
  <si>
    <t>5 units of Floor Mounted Aircon</t>
  </si>
  <si>
    <t>1 unit of Split Type Aircon</t>
  </si>
  <si>
    <t>50211990 00</t>
  </si>
  <si>
    <t>Other Professional Services</t>
  </si>
  <si>
    <t>DYEING SERVICE</t>
  </si>
  <si>
    <t>45 working days</t>
  </si>
  <si>
    <t>1) Dyeing and Finishing Services of 860 meters (237.5 kg) of woven fabric for Men's Tops of Civil Service Commission</t>
  </si>
  <si>
    <t>2) Dyeing and Finishing Services of 1114 meters (280.4 kg) of woven fabric for Women's Tops of Civil Service Commission</t>
  </si>
  <si>
    <t>3) Dyeing and Finishing Services of 928 meters (326.1 kg) of woven fabric for Womens Bottoms of Civil Service Commission</t>
  </si>
  <si>
    <t>1 lot Signage (NTFIH)</t>
  </si>
  <si>
    <t>Public Bidding</t>
  </si>
  <si>
    <t>1 lot Signage (RYPIC)</t>
  </si>
  <si>
    <t>Indirect Cost</t>
  </si>
  <si>
    <t xml:space="preserve">1 unit Microwave Oven </t>
  </si>
  <si>
    <t>1 unit</t>
  </si>
  <si>
    <t>2 units Multifunction Printer</t>
  </si>
  <si>
    <t>OSMI-111</t>
  </si>
  <si>
    <t xml:space="preserve">2 pcs HP 215A Black LaserJet Toner Cartridge
(~1,050 yield)
</t>
  </si>
  <si>
    <t>OSMI-110</t>
  </si>
  <si>
    <t>1 pc HP 215A Cyan LaserJet Toner Cartridge (~850
yield)</t>
  </si>
  <si>
    <t>OSMI-108</t>
  </si>
  <si>
    <t>1 pc HP 215A Yellow LaserJet Toner Cartridge (~850
yield)</t>
  </si>
  <si>
    <t>OSMI-109</t>
  </si>
  <si>
    <t xml:space="preserve">1 pc HP 215A Magenta LaserJet Toner Cartridge
(~850 yield)
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</si>
  <si>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</si>
  <si>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</si>
  <si>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</si>
  <si>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</si>
  <si>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</si>
  <si>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</si>
  <si>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</si>
  <si>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</si>
  <si>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</si>
  <si>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</si>
  <si>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</si>
  <si>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</si>
  <si>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</si>
  <si>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</si>
  <si>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</si>
  <si>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</si>
  <si>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</si>
  <si>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</si>
  <si>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6th Revision</t>
  </si>
  <si>
    <t>JUL</t>
  </si>
  <si>
    <t>AUG</t>
  </si>
  <si>
    <t>SEP</t>
  </si>
  <si>
    <r>
      <t xml:space="preserve">Date: </t>
    </r>
    <r>
      <rPr>
        <u/>
        <sz val="11"/>
        <color theme="1"/>
        <rFont val="Arial"/>
        <family val="2"/>
      </rPr>
      <t>July 01, 2024</t>
    </r>
  </si>
  <si>
    <t>2 lot</t>
  </si>
  <si>
    <t>10 pax</t>
  </si>
  <si>
    <t>1 lot Accommodation for NTFIH Inauguration Delegates</t>
  </si>
  <si>
    <t>32 pieces</t>
  </si>
  <si>
    <t>32 pieces Working clothes with embroidered DOST-PTRI logo, white shirt</t>
  </si>
  <si>
    <t>20 lots Courier Fee of Documents</t>
  </si>
  <si>
    <t>20 lots</t>
  </si>
  <si>
    <t>20 drums Diesel fuel 210L/ drum</t>
  </si>
  <si>
    <t>2 lots Van Rental</t>
  </si>
  <si>
    <t>2 lots Transport Services for NTFIH Inauguration Delegates</t>
  </si>
  <si>
    <t>1500 kls</t>
  </si>
  <si>
    <t>500 kls</t>
  </si>
  <si>
    <t xml:space="preserve">500 kilograms Decorticated Pineapple </t>
  </si>
  <si>
    <t>2 lots Tarpaulin Printing and Printing of Programme</t>
  </si>
  <si>
    <t>Airfare for NTFIH Inauguration Delegates</t>
  </si>
  <si>
    <t>2 pieces Air Blow Gun</t>
  </si>
  <si>
    <t>2 rolls Air Hose</t>
  </si>
  <si>
    <t>2 units Digital Weighing Scale, max weight: 30kgs</t>
  </si>
  <si>
    <t>2 units Digital Clamp Meter Tester</t>
  </si>
  <si>
    <t xml:space="preserve">2 units </t>
  </si>
  <si>
    <t>2 units Digital Weighing Scale, max weight: 40kgs</t>
  </si>
  <si>
    <t>40 packs Heavy duty clear plastic bag: size 40" x 60"; 50pcs per pack</t>
  </si>
  <si>
    <t>40 packs Heavy duty clear plastic bag: size 25" x 50"; 50pcs per pack</t>
  </si>
  <si>
    <t>40 packs Heavy duty clear plastic bag: size 20" x 40"; 50pcs per pack</t>
  </si>
  <si>
    <t>20 pairs Re-usable rubber gloves</t>
  </si>
  <si>
    <t>200 pieces Welcome Leis</t>
  </si>
  <si>
    <t>Meals for NTFIH Inauguration</t>
  </si>
  <si>
    <t>Toner Cartridge for SHARP AR-7024</t>
  </si>
  <si>
    <t>2 pieces</t>
  </si>
  <si>
    <t>2 pieces Toner Cartridge for SHARP AR-7024</t>
  </si>
  <si>
    <t>2 pax</t>
  </si>
  <si>
    <t xml:space="preserve">20 lots Monthly Internet Subscription </t>
  </si>
  <si>
    <t>Meals for the NTFIH Inauguration</t>
  </si>
  <si>
    <t>150 pieces Brown Kraft Paper Bag</t>
  </si>
  <si>
    <t>150 pieces</t>
  </si>
  <si>
    <t>\</t>
  </si>
  <si>
    <t>100 pieces Customized Full-Fabric Notebook</t>
  </si>
  <si>
    <t>10 boxes N95 Particulate Respirator, 20's</t>
  </si>
  <si>
    <t>50 pairs 45CM industrial gloves acid and chemical resistant 18inches heavy duty</t>
  </si>
  <si>
    <t xml:space="preserve">50 pairs </t>
  </si>
  <si>
    <t>10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</si>
</sst>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0"/>
      <color theme="1"/>
      <name val="Arial"/>
      <family val="2"/>
    </font>
    <font>
      <i/>
      <sz val="8"/>
      <color theme="1"/>
      <name val="Arial"/>
      <family val="2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9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10"/>
      <color theme="1"/>
      <name val="Calibri"/>
      <family val="2"/>
    </font>
    <font>
      <b/>
      <sz val="9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92D050"/>
        <bgColor rgb="FFD8D8D8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61">
    <xf numFmtId="0" fontId="0" fillId="0" borderId="0" xfId="0"/>
    <xf numFmtId="0" fontId="0" fillId="0" borderId="0" xfId="2" applyFont="1"/>
    <xf numFmtId="0" fontId="3" fillId="0" borderId="0" xfId="2" applyFont="1"/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/>
    <xf numFmtId="0" fontId="7" fillId="0" borderId="0" xfId="2" applyFont="1" applyAlignment="1">
      <alignment vertical="center"/>
    </xf>
    <xf numFmtId="0" fontId="4" fillId="0" borderId="0" xfId="2" applyFont="1" applyAlignment="1">
      <alignment horizontal="right"/>
    </xf>
    <xf numFmtId="4" fontId="4" fillId="0" borderId="0" xfId="2" applyNumberFormat="1" applyFont="1" applyAlignment="1">
      <alignment horizontal="right"/>
    </xf>
    <xf numFmtId="43" fontId="4" fillId="0" borderId="0" xfId="2" applyNumberFormat="1" applyFont="1"/>
    <xf numFmtId="0" fontId="4" fillId="0" borderId="0" xfId="2" applyFont="1" applyAlignment="1">
      <alignment horizontal="center" wrapText="1"/>
    </xf>
    <xf numFmtId="0" fontId="3" fillId="0" borderId="0" xfId="2" applyFont="1" applyAlignment="1">
      <alignment vertical="center"/>
    </xf>
    <xf numFmtId="0" fontId="7" fillId="0" borderId="1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4" fontId="3" fillId="0" borderId="1" xfId="2" applyNumberFormat="1" applyFont="1" applyBorder="1" applyAlignment="1">
      <alignment vertical="center"/>
    </xf>
    <xf numFmtId="43" fontId="3" fillId="0" borderId="1" xfId="2" applyNumberFormat="1" applyFont="1" applyBorder="1" applyAlignment="1">
      <alignment vertical="center"/>
    </xf>
    <xf numFmtId="0" fontId="8" fillId="0" borderId="4" xfId="2" applyFont="1" applyBorder="1" applyAlignment="1">
      <alignment horizontal="center" vertical="center" wrapText="1"/>
    </xf>
    <xf numFmtId="0" fontId="9" fillId="0" borderId="4" xfId="2" applyFont="1" applyBorder="1"/>
    <xf numFmtId="0" fontId="10" fillId="0" borderId="0" xfId="2" applyFont="1"/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/>
    </xf>
    <xf numFmtId="0" fontId="10" fillId="0" borderId="9" xfId="2" applyFont="1" applyBorder="1"/>
    <xf numFmtId="0" fontId="8" fillId="0" borderId="6" xfId="2" quotePrefix="1" applyFont="1" applyBorder="1" applyAlignment="1">
      <alignment horizontal="center" vertical="center" wrapText="1"/>
    </xf>
    <xf numFmtId="0" fontId="8" fillId="0" borderId="7" xfId="2" quotePrefix="1" applyFont="1" applyBorder="1" applyAlignment="1">
      <alignment horizontal="center" vertical="center" wrapText="1"/>
    </xf>
    <xf numFmtId="4" fontId="8" fillId="0" borderId="7" xfId="2" quotePrefix="1" applyNumberFormat="1" applyFont="1" applyBorder="1" applyAlignment="1">
      <alignment horizontal="center" vertical="center" wrapText="1"/>
    </xf>
    <xf numFmtId="43" fontId="8" fillId="0" borderId="7" xfId="2" quotePrefix="1" applyNumberFormat="1" applyFont="1" applyBorder="1" applyAlignment="1">
      <alignment horizontal="center" vertical="center" wrapText="1"/>
    </xf>
    <xf numFmtId="0" fontId="8" fillId="0" borderId="8" xfId="2" quotePrefix="1" applyFont="1" applyBorder="1" applyAlignment="1">
      <alignment horizontal="center" vertical="center" wrapText="1"/>
    </xf>
    <xf numFmtId="0" fontId="8" fillId="2" borderId="10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vertical="center"/>
    </xf>
    <xf numFmtId="0" fontId="11" fillId="2" borderId="4" xfId="2" applyFont="1" applyFill="1" applyBorder="1" applyAlignment="1">
      <alignment vertical="center" wrapText="1"/>
    </xf>
    <xf numFmtId="4" fontId="3" fillId="2" borderId="4" xfId="2" applyNumberFormat="1" applyFont="1" applyFill="1" applyBorder="1" applyAlignment="1">
      <alignment vertical="center"/>
    </xf>
    <xf numFmtId="43" fontId="3" fillId="2" borderId="4" xfId="2" applyNumberFormat="1" applyFont="1" applyFill="1" applyBorder="1" applyAlignment="1">
      <alignment vertical="center"/>
    </xf>
    <xf numFmtId="0" fontId="3" fillId="2" borderId="11" xfId="2" applyFont="1" applyFill="1" applyBorder="1" applyAlignment="1">
      <alignment vertical="center"/>
    </xf>
    <xf numFmtId="0" fontId="3" fillId="3" borderId="10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10" fillId="3" borderId="4" xfId="2" applyFont="1" applyFill="1" applyBorder="1" applyAlignment="1">
      <alignment vertical="center"/>
    </xf>
    <xf numFmtId="0" fontId="10" fillId="3" borderId="4" xfId="2" applyFont="1" applyFill="1" applyBorder="1" applyAlignment="1">
      <alignment horizontal="center" vertical="center"/>
    </xf>
    <xf numFmtId="4" fontId="10" fillId="3" borderId="4" xfId="2" applyNumberFormat="1" applyFont="1" applyFill="1" applyBorder="1" applyAlignment="1">
      <alignment horizontal="right" vertical="center"/>
    </xf>
    <xf numFmtId="0" fontId="10" fillId="3" borderId="4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vertical="center"/>
    </xf>
    <xf numFmtId="0" fontId="10" fillId="3" borderId="9" xfId="2" applyFont="1" applyFill="1" applyBorder="1"/>
    <xf numFmtId="0" fontId="10" fillId="3" borderId="0" xfId="2" applyFont="1" applyFill="1"/>
    <xf numFmtId="0" fontId="3" fillId="3" borderId="0" xfId="2" applyFont="1" applyFill="1"/>
    <xf numFmtId="0" fontId="3" fillId="0" borderId="10" xfId="2" applyFont="1" applyBorder="1" applyAlignment="1">
      <alignment vertical="center"/>
    </xf>
    <xf numFmtId="49" fontId="3" fillId="0" borderId="4" xfId="2" applyNumberFormat="1" applyFont="1" applyBorder="1" applyAlignment="1">
      <alignment vertical="center"/>
    </xf>
    <xf numFmtId="4" fontId="10" fillId="0" borderId="4" xfId="2" applyNumberFormat="1" applyFont="1" applyBorder="1" applyAlignment="1">
      <alignment horizontal="right" vertical="center" wrapText="1"/>
    </xf>
    <xf numFmtId="0" fontId="10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vertical="center"/>
    </xf>
    <xf numFmtId="0" fontId="3" fillId="0" borderId="11" xfId="2" applyFont="1" applyBorder="1" applyAlignment="1">
      <alignment vertical="center"/>
    </xf>
    <xf numFmtId="0" fontId="10" fillId="0" borderId="13" xfId="2" applyFont="1" applyBorder="1" applyAlignment="1">
      <alignment horizontal="center" vertical="center" wrapText="1"/>
    </xf>
    <xf numFmtId="49" fontId="10" fillId="0" borderId="13" xfId="2" applyNumberFormat="1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3" xfId="2" applyFont="1" applyBorder="1" applyAlignment="1">
      <alignment vertical="center"/>
    </xf>
    <xf numFmtId="0" fontId="10" fillId="0" borderId="15" xfId="2" applyFont="1" applyBorder="1" applyAlignment="1">
      <alignment horizontal="center" vertical="center"/>
    </xf>
    <xf numFmtId="4" fontId="10" fillId="0" borderId="16" xfId="2" applyNumberFormat="1" applyFont="1" applyBorder="1" applyAlignment="1">
      <alignment horizontal="right" vertical="center" wrapText="1"/>
    </xf>
    <xf numFmtId="43" fontId="10" fillId="0" borderId="13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/>
    </xf>
    <xf numFmtId="43" fontId="10" fillId="0" borderId="14" xfId="2" applyNumberFormat="1" applyFont="1" applyBorder="1" applyAlignment="1">
      <alignment horizontal="center" vertical="center"/>
    </xf>
    <xf numFmtId="0" fontId="10" fillId="0" borderId="14" xfId="2" applyFont="1" applyBorder="1" applyAlignment="1">
      <alignment horizontal="center"/>
    </xf>
    <xf numFmtId="0" fontId="10" fillId="0" borderId="3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3" fillId="0" borderId="0" xfId="2" applyFont="1"/>
    <xf numFmtId="0" fontId="15" fillId="0" borderId="15" xfId="2" applyFont="1" applyBorder="1" applyAlignment="1">
      <alignment vertical="center" wrapText="1"/>
    </xf>
    <xf numFmtId="49" fontId="15" fillId="0" borderId="4" xfId="2" applyNumberFormat="1" applyFont="1" applyBorder="1" applyAlignment="1">
      <alignment vertical="center" wrapText="1"/>
    </xf>
    <xf numFmtId="0" fontId="16" fillId="0" borderId="4" xfId="2" applyFont="1" applyBorder="1" applyAlignment="1">
      <alignment horizontal="center" vertical="center" wrapText="1"/>
    </xf>
    <xf numFmtId="4" fontId="16" fillId="0" borderId="4" xfId="2" applyNumberFormat="1" applyFont="1" applyBorder="1" applyAlignment="1">
      <alignment horizontal="right" vertical="center" wrapText="1"/>
    </xf>
    <xf numFmtId="4" fontId="16" fillId="0" borderId="4" xfId="2" applyNumberFormat="1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5" fillId="0" borderId="4" xfId="2" applyFont="1" applyBorder="1" applyAlignment="1">
      <alignment vertical="center" wrapText="1"/>
    </xf>
    <xf numFmtId="0" fontId="16" fillId="0" borderId="0" xfId="2" applyFont="1" applyAlignment="1">
      <alignment vertical="center" wrapText="1"/>
    </xf>
    <xf numFmtId="0" fontId="18" fillId="0" borderId="0" xfId="2" applyFont="1" applyAlignment="1">
      <alignment vertical="center" wrapText="1"/>
    </xf>
    <xf numFmtId="0" fontId="1" fillId="0" borderId="0" xfId="2"/>
    <xf numFmtId="49" fontId="3" fillId="2" borderId="4" xfId="2" applyNumberFormat="1" applyFont="1" applyFill="1" applyBorder="1" applyAlignment="1">
      <alignment vertical="center"/>
    </xf>
    <xf numFmtId="43" fontId="9" fillId="0" borderId="4" xfId="1" applyFont="1" applyBorder="1" applyAlignment="1">
      <alignment vertical="center"/>
    </xf>
    <xf numFmtId="0" fontId="19" fillId="0" borderId="4" xfId="2" applyFont="1" applyBorder="1" applyAlignment="1">
      <alignment horizontal="center" wrapText="1"/>
    </xf>
    <xf numFmtId="0" fontId="12" fillId="0" borderId="4" xfId="2" applyFont="1" applyBorder="1" applyAlignment="1">
      <alignment horizontal="center" vertical="center"/>
    </xf>
    <xf numFmtId="4" fontId="10" fillId="0" borderId="4" xfId="2" applyNumberFormat="1" applyFont="1" applyBorder="1" applyAlignment="1">
      <alignment horizontal="right" vertical="center"/>
    </xf>
    <xf numFmtId="0" fontId="10" fillId="4" borderId="4" xfId="2" applyFont="1" applyFill="1" applyBorder="1" applyAlignment="1">
      <alignment horizontal="center" vertical="center" wrapText="1"/>
    </xf>
    <xf numFmtId="0" fontId="3" fillId="4" borderId="10" xfId="2" applyFont="1" applyFill="1" applyBorder="1" applyAlignment="1">
      <alignment vertical="center"/>
    </xf>
    <xf numFmtId="49" fontId="3" fillId="4" borderId="4" xfId="2" applyNumberFormat="1" applyFont="1" applyFill="1" applyBorder="1" applyAlignment="1">
      <alignment vertical="center"/>
    </xf>
    <xf numFmtId="4" fontId="10" fillId="4" borderId="4" xfId="2" applyNumberFormat="1" applyFont="1" applyFill="1" applyBorder="1" applyAlignment="1">
      <alignment horizontal="right" vertical="center" wrapText="1"/>
    </xf>
    <xf numFmtId="4" fontId="10" fillId="4" borderId="4" xfId="2" applyNumberFormat="1" applyFont="1" applyFill="1" applyBorder="1" applyAlignment="1">
      <alignment horizontal="right" vertical="center"/>
    </xf>
    <xf numFmtId="0" fontId="10" fillId="4" borderId="4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vertical="center"/>
    </xf>
    <xf numFmtId="0" fontId="3" fillId="4" borderId="11" xfId="2" applyFont="1" applyFill="1" applyBorder="1" applyAlignment="1">
      <alignment vertical="center"/>
    </xf>
    <xf numFmtId="0" fontId="8" fillId="3" borderId="10" xfId="2" applyFont="1" applyFill="1" applyBorder="1" applyAlignment="1">
      <alignment horizontal="center" vertical="center" wrapText="1"/>
    </xf>
    <xf numFmtId="49" fontId="3" fillId="3" borderId="4" xfId="2" applyNumberFormat="1" applyFont="1" applyFill="1" applyBorder="1" applyAlignment="1">
      <alignment vertical="center"/>
    </xf>
    <xf numFmtId="4" fontId="3" fillId="3" borderId="4" xfId="2" applyNumberFormat="1" applyFont="1" applyFill="1" applyBorder="1" applyAlignment="1">
      <alignment vertical="center"/>
    </xf>
    <xf numFmtId="43" fontId="10" fillId="3" borderId="4" xfId="2" applyNumberFormat="1" applyFont="1" applyFill="1" applyBorder="1" applyAlignment="1">
      <alignment vertical="center"/>
    </xf>
    <xf numFmtId="0" fontId="13" fillId="3" borderId="0" xfId="2" applyFont="1" applyFill="1"/>
    <xf numFmtId="0" fontId="16" fillId="4" borderId="4" xfId="2" applyFont="1" applyFill="1" applyBorder="1" applyAlignment="1">
      <alignment horizontal="center" vertical="center" wrapText="1"/>
    </xf>
    <xf numFmtId="0" fontId="15" fillId="0" borderId="0" xfId="2" applyFont="1" applyAlignment="1">
      <alignment vertical="center" wrapText="1"/>
    </xf>
    <xf numFmtId="0" fontId="10" fillId="0" borderId="19" xfId="2" applyFont="1" applyBorder="1" applyAlignment="1">
      <alignment horizontal="center" vertical="center"/>
    </xf>
    <xf numFmtId="49" fontId="10" fillId="3" borderId="4" xfId="2" applyNumberFormat="1" applyFont="1" applyFill="1" applyBorder="1" applyAlignment="1">
      <alignment vertical="center" wrapText="1"/>
    </xf>
    <xf numFmtId="4" fontId="10" fillId="3" borderId="4" xfId="2" applyNumberFormat="1" applyFont="1" applyFill="1" applyBorder="1" applyAlignment="1">
      <alignment vertical="center"/>
    </xf>
    <xf numFmtId="43" fontId="10" fillId="3" borderId="4" xfId="2" applyNumberFormat="1" applyFont="1" applyFill="1" applyBorder="1" applyAlignment="1">
      <alignment horizontal="right" vertical="center"/>
    </xf>
    <xf numFmtId="3" fontId="10" fillId="0" borderId="4" xfId="2" applyNumberFormat="1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4" fontId="10" fillId="0" borderId="19" xfId="2" applyNumberFormat="1" applyFont="1" applyBorder="1" applyAlignment="1">
      <alignment horizontal="right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4" fontId="10" fillId="0" borderId="21" xfId="2" applyNumberFormat="1" applyFont="1" applyBorder="1" applyAlignment="1">
      <alignment horizontal="right" vertical="center"/>
    </xf>
    <xf numFmtId="0" fontId="12" fillId="0" borderId="22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4" fontId="10" fillId="3" borderId="4" xfId="2" applyNumberFormat="1" applyFont="1" applyFill="1" applyBorder="1" applyAlignment="1">
      <alignment horizontal="right" vertical="center" wrapText="1"/>
    </xf>
    <xf numFmtId="0" fontId="8" fillId="5" borderId="10" xfId="2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vertical="center"/>
    </xf>
    <xf numFmtId="0" fontId="12" fillId="5" borderId="4" xfId="2" applyFont="1" applyFill="1" applyBorder="1" applyAlignment="1">
      <alignment vertical="center"/>
    </xf>
    <xf numFmtId="4" fontId="12" fillId="5" borderId="4" xfId="2" applyNumberFormat="1" applyFont="1" applyFill="1" applyBorder="1" applyAlignment="1">
      <alignment vertical="center"/>
    </xf>
    <xf numFmtId="0" fontId="3" fillId="5" borderId="11" xfId="2" applyFont="1" applyFill="1" applyBorder="1" applyAlignment="1">
      <alignment vertical="center"/>
    </xf>
    <xf numFmtId="0" fontId="0" fillId="6" borderId="0" xfId="2" applyFont="1" applyFill="1"/>
    <xf numFmtId="0" fontId="10" fillId="3" borderId="4" xfId="2" applyFont="1" applyFill="1" applyBorder="1" applyAlignment="1">
      <alignment vertical="center" wrapText="1"/>
    </xf>
    <xf numFmtId="0" fontId="11" fillId="7" borderId="23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left" vertical="center" wrapText="1"/>
    </xf>
    <xf numFmtId="0" fontId="12" fillId="7" borderId="23" xfId="2" applyFont="1" applyFill="1" applyBorder="1" applyAlignment="1">
      <alignment horizontal="center" vertical="center" wrapText="1"/>
    </xf>
    <xf numFmtId="4" fontId="12" fillId="7" borderId="23" xfId="2" applyNumberFormat="1" applyFont="1" applyFill="1" applyBorder="1" applyAlignment="1">
      <alignment horizontal="right" vertical="center" wrapText="1"/>
    </xf>
    <xf numFmtId="43" fontId="12" fillId="7" borderId="23" xfId="2" applyNumberFormat="1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vertical="center"/>
    </xf>
    <xf numFmtId="3" fontId="12" fillId="7" borderId="13" xfId="2" applyNumberFormat="1" applyFont="1" applyFill="1" applyBorder="1" applyAlignment="1">
      <alignment horizontal="center" vertical="center"/>
    </xf>
    <xf numFmtId="0" fontId="12" fillId="7" borderId="13" xfId="2" applyFont="1" applyFill="1" applyBorder="1"/>
    <xf numFmtId="0" fontId="12" fillId="6" borderId="0" xfId="2" applyFont="1" applyFill="1"/>
    <xf numFmtId="0" fontId="1" fillId="6" borderId="0" xfId="2" applyFill="1"/>
    <xf numFmtId="0" fontId="12" fillId="7" borderId="13" xfId="2" applyFont="1" applyFill="1" applyBorder="1" applyAlignment="1">
      <alignment horizontal="center"/>
    </xf>
    <xf numFmtId="0" fontId="11" fillId="7" borderId="0" xfId="2" applyFont="1" applyFill="1" applyAlignment="1">
      <alignment horizontal="center" vertical="center" wrapText="1"/>
    </xf>
    <xf numFmtId="4" fontId="12" fillId="7" borderId="26" xfId="2" applyNumberFormat="1" applyFont="1" applyFill="1" applyBorder="1" applyAlignment="1">
      <alignment horizontal="right" vertical="center" wrapText="1"/>
    </xf>
    <xf numFmtId="43" fontId="12" fillId="7" borderId="26" xfId="2" applyNumberFormat="1" applyFont="1" applyFill="1" applyBorder="1" applyAlignment="1">
      <alignment horizontal="center" vertical="center" wrapText="1"/>
    </xf>
    <xf numFmtId="3" fontId="12" fillId="7" borderId="4" xfId="2" applyNumberFormat="1" applyFont="1" applyFill="1" applyBorder="1" applyAlignment="1">
      <alignment horizontal="center" vertical="center"/>
    </xf>
    <xf numFmtId="0" fontId="12" fillId="7" borderId="4" xfId="2" applyFont="1" applyFill="1" applyBorder="1" applyAlignment="1">
      <alignment horizontal="center"/>
    </xf>
    <xf numFmtId="0" fontId="12" fillId="7" borderId="4" xfId="2" applyFont="1" applyFill="1" applyBorder="1"/>
    <xf numFmtId="0" fontId="12" fillId="7" borderId="5" xfId="2" applyFont="1" applyFill="1" applyBorder="1"/>
    <xf numFmtId="0" fontId="12" fillId="0" borderId="13" xfId="2" applyFont="1" applyBorder="1" applyAlignment="1">
      <alignment horizontal="center" vertical="center"/>
    </xf>
    <xf numFmtId="43" fontId="12" fillId="5" borderId="4" xfId="2" applyNumberFormat="1" applyFont="1" applyFill="1" applyBorder="1" applyAlignment="1">
      <alignment vertical="center"/>
    </xf>
    <xf numFmtId="0" fontId="3" fillId="5" borderId="3" xfId="2" applyFont="1" applyFill="1" applyBorder="1" applyAlignment="1">
      <alignment vertical="center"/>
    </xf>
    <xf numFmtId="0" fontId="12" fillId="5" borderId="3" xfId="2" applyFont="1" applyFill="1" applyBorder="1" applyAlignment="1">
      <alignment horizontal="center" vertical="center"/>
    </xf>
    <xf numFmtId="0" fontId="10" fillId="6" borderId="9" xfId="2" applyFont="1" applyFill="1" applyBorder="1"/>
    <xf numFmtId="0" fontId="10" fillId="6" borderId="0" xfId="2" applyFont="1" applyFill="1"/>
    <xf numFmtId="3" fontId="3" fillId="2" borderId="4" xfId="2" applyNumberFormat="1" applyFont="1" applyFill="1" applyBorder="1" applyAlignment="1">
      <alignment vertical="center"/>
    </xf>
    <xf numFmtId="4" fontId="10" fillId="0" borderId="13" xfId="2" applyNumberFormat="1" applyFont="1" applyBorder="1" applyAlignment="1">
      <alignment vertical="center"/>
    </xf>
    <xf numFmtId="0" fontId="8" fillId="2" borderId="27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left" vertical="center"/>
    </xf>
    <xf numFmtId="0" fontId="10" fillId="2" borderId="12" xfId="2" applyFont="1" applyFill="1" applyBorder="1" applyAlignment="1">
      <alignment horizontal="right" vertical="center"/>
    </xf>
    <xf numFmtId="4" fontId="10" fillId="2" borderId="12" xfId="2" applyNumberFormat="1" applyFont="1" applyFill="1" applyBorder="1" applyAlignment="1">
      <alignment horizontal="right" vertical="center"/>
    </xf>
    <xf numFmtId="0" fontId="10" fillId="2" borderId="12" xfId="2" applyFont="1" applyFill="1" applyBorder="1" applyAlignment="1">
      <alignment vertical="center"/>
    </xf>
    <xf numFmtId="0" fontId="10" fillId="2" borderId="12" xfId="2" applyFont="1" applyFill="1" applyBorder="1" applyAlignment="1">
      <alignment vertical="center" wrapText="1"/>
    </xf>
    <xf numFmtId="0" fontId="10" fillId="2" borderId="12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vertical="center"/>
    </xf>
    <xf numFmtId="0" fontId="10" fillId="0" borderId="27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left" vertical="center"/>
    </xf>
    <xf numFmtId="4" fontId="10" fillId="0" borderId="13" xfId="2" applyNumberFormat="1" applyFont="1" applyBorder="1" applyAlignment="1">
      <alignment horizontal="center" vertical="center"/>
    </xf>
    <xf numFmtId="0" fontId="10" fillId="0" borderId="29" xfId="2" applyFont="1" applyBorder="1" applyAlignment="1">
      <alignment vertical="center"/>
    </xf>
    <xf numFmtId="0" fontId="10" fillId="0" borderId="30" xfId="2" applyFont="1" applyBorder="1"/>
    <xf numFmtId="0" fontId="10" fillId="0" borderId="5" xfId="2" applyFont="1" applyBorder="1"/>
    <xf numFmtId="0" fontId="3" fillId="0" borderId="5" xfId="2" applyFont="1" applyBorder="1"/>
    <xf numFmtId="0" fontId="10" fillId="3" borderId="6" xfId="2" applyFont="1" applyFill="1" applyBorder="1" applyAlignment="1">
      <alignment horizontal="center" vertical="center" wrapText="1"/>
    </xf>
    <xf numFmtId="0" fontId="8" fillId="3" borderId="31" xfId="2" applyFont="1" applyFill="1" applyBorder="1" applyAlignment="1">
      <alignment horizontal="left" vertical="center"/>
    </xf>
    <xf numFmtId="0" fontId="10" fillId="3" borderId="31" xfId="2" applyFont="1" applyFill="1" applyBorder="1" applyAlignment="1">
      <alignment horizontal="left" vertical="center"/>
    </xf>
    <xf numFmtId="0" fontId="10" fillId="3" borderId="31" xfId="2" applyFont="1" applyFill="1" applyBorder="1" applyAlignment="1">
      <alignment horizontal="center" vertical="center"/>
    </xf>
    <xf numFmtId="0" fontId="10" fillId="3" borderId="31" xfId="2" applyFont="1" applyFill="1" applyBorder="1" applyAlignment="1">
      <alignment vertical="center"/>
    </xf>
    <xf numFmtId="0" fontId="10" fillId="3" borderId="32" xfId="2" applyFont="1" applyFill="1" applyBorder="1" applyAlignment="1">
      <alignment vertical="center"/>
    </xf>
    <xf numFmtId="0" fontId="10" fillId="3" borderId="31" xfId="2" applyFont="1" applyFill="1" applyBorder="1" applyAlignment="1">
      <alignment horizontal="left" vertical="top" wrapText="1"/>
    </xf>
    <xf numFmtId="0" fontId="10" fillId="3" borderId="31" xfId="2" applyFont="1" applyFill="1" applyBorder="1" applyAlignment="1">
      <alignment horizontal="left" vertical="center" wrapText="1"/>
    </xf>
    <xf numFmtId="0" fontId="8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right"/>
    </xf>
    <xf numFmtId="4" fontId="10" fillId="0" borderId="0" xfId="2" applyNumberFormat="1" applyFont="1" applyAlignment="1">
      <alignment horizontal="right"/>
    </xf>
    <xf numFmtId="43" fontId="10" fillId="0" borderId="0" xfId="2" applyNumberFormat="1" applyFont="1"/>
    <xf numFmtId="0" fontId="10" fillId="0" borderId="0" xfId="2" applyFont="1" applyAlignment="1">
      <alignment horizontal="center" wrapText="1"/>
    </xf>
    <xf numFmtId="0" fontId="23" fillId="0" borderId="0" xfId="2" applyFont="1" applyAlignment="1">
      <alignment vertical="center"/>
    </xf>
    <xf numFmtId="0" fontId="8" fillId="0" borderId="15" xfId="2" applyFont="1" applyBorder="1" applyAlignment="1">
      <alignment vertical="center"/>
    </xf>
    <xf numFmtId="0" fontId="10" fillId="0" borderId="15" xfId="2" applyFont="1" applyBorder="1" applyAlignment="1">
      <alignment vertical="center"/>
    </xf>
    <xf numFmtId="0" fontId="10" fillId="0" borderId="0" xfId="2" applyFont="1" applyAlignment="1">
      <alignment horizontal="left"/>
    </xf>
    <xf numFmtId="0" fontId="8" fillId="0" borderId="13" xfId="2" applyFont="1" applyBorder="1" applyAlignment="1">
      <alignment vertical="center"/>
    </xf>
    <xf numFmtId="43" fontId="10" fillId="0" borderId="0" xfId="2" applyNumberFormat="1" applyFont="1" applyAlignment="1">
      <alignment horizontal="center"/>
    </xf>
    <xf numFmtId="0" fontId="24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4" fontId="25" fillId="0" borderId="0" xfId="2" applyNumberFormat="1" applyFont="1" applyAlignment="1">
      <alignment horizontal="left"/>
    </xf>
    <xf numFmtId="4" fontId="3" fillId="0" borderId="0" xfId="2" applyNumberFormat="1" applyFont="1" applyAlignment="1">
      <alignment horizontal="right"/>
    </xf>
    <xf numFmtId="43" fontId="3" fillId="0" borderId="0" xfId="2" applyNumberFormat="1" applyFont="1"/>
    <xf numFmtId="0" fontId="25" fillId="0" borderId="0" xfId="2" applyFont="1"/>
    <xf numFmtId="0" fontId="20" fillId="0" borderId="0" xfId="2" applyFont="1"/>
    <xf numFmtId="0" fontId="3" fillId="0" borderId="0" xfId="2" applyFont="1" applyAlignment="1">
      <alignment horizontal="right"/>
    </xf>
    <xf numFmtId="0" fontId="3" fillId="0" borderId="0" xfId="2" applyFont="1" applyAlignment="1">
      <alignment horizontal="center" wrapText="1"/>
    </xf>
    <xf numFmtId="4" fontId="3" fillId="0" borderId="0" xfId="2" applyNumberFormat="1" applyFont="1"/>
    <xf numFmtId="0" fontId="22" fillId="0" borderId="0" xfId="2" applyFont="1" applyAlignment="1">
      <alignment horizontal="left"/>
    </xf>
    <xf numFmtId="4" fontId="13" fillId="0" borderId="0" xfId="2" applyNumberFormat="1" applyFont="1" applyAlignment="1">
      <alignment horizontal="right"/>
    </xf>
    <xf numFmtId="0" fontId="3" fillId="0" borderId="0" xfId="2" applyFont="1" applyAlignment="1">
      <alignment horizontal="center"/>
    </xf>
    <xf numFmtId="4" fontId="10" fillId="0" borderId="3" xfId="2" applyNumberFormat="1" applyFont="1" applyBorder="1" applyAlignment="1">
      <alignment horizontal="right" vertical="center"/>
    </xf>
    <xf numFmtId="0" fontId="10" fillId="7" borderId="5" xfId="2" applyFont="1" applyFill="1" applyBorder="1" applyAlignment="1">
      <alignment horizontal="left" vertical="center" wrapText="1"/>
    </xf>
    <xf numFmtId="0" fontId="11" fillId="7" borderId="24" xfId="2" applyFont="1" applyFill="1" applyBorder="1" applyAlignment="1">
      <alignment horizontal="center" vertical="center" wrapText="1"/>
    </xf>
    <xf numFmtId="0" fontId="10" fillId="7" borderId="37" xfId="2" applyFont="1" applyFill="1" applyBorder="1" applyAlignment="1">
      <alignment horizontal="left" vertical="center" wrapText="1"/>
    </xf>
    <xf numFmtId="0" fontId="19" fillId="0" borderId="4" xfId="2" applyFont="1" applyBorder="1" applyAlignment="1">
      <alignment horizontal="center" vertical="center"/>
    </xf>
    <xf numFmtId="49" fontId="12" fillId="6" borderId="4" xfId="2" applyNumberFormat="1" applyFont="1" applyFill="1" applyBorder="1" applyAlignment="1">
      <alignment vertical="center"/>
    </xf>
    <xf numFmtId="49" fontId="12" fillId="6" borderId="13" xfId="2" applyNumberFormat="1" applyFont="1" applyFill="1" applyBorder="1" applyAlignment="1">
      <alignment vertical="center"/>
    </xf>
    <xf numFmtId="49" fontId="10" fillId="6" borderId="4" xfId="2" applyNumberFormat="1" applyFont="1" applyFill="1" applyBorder="1" applyAlignment="1">
      <alignment vertical="center"/>
    </xf>
    <xf numFmtId="49" fontId="10" fillId="6" borderId="4" xfId="2" quotePrefix="1" applyNumberFormat="1" applyFont="1" applyFill="1" applyBorder="1" applyAlignment="1">
      <alignment vertical="center"/>
    </xf>
    <xf numFmtId="49" fontId="10" fillId="6" borderId="4" xfId="2" quotePrefix="1" applyNumberFormat="1" applyFont="1" applyFill="1" applyBorder="1" applyAlignment="1">
      <alignment vertical="center" wrapText="1"/>
    </xf>
    <xf numFmtId="49" fontId="10" fillId="6" borderId="4" xfId="2" applyNumberFormat="1" applyFont="1" applyFill="1" applyBorder="1" applyAlignment="1">
      <alignment vertical="center" wrapText="1"/>
    </xf>
    <xf numFmtId="0" fontId="10" fillId="6" borderId="5" xfId="2" applyFont="1" applyFill="1" applyBorder="1" applyAlignment="1">
      <alignment vertical="center"/>
    </xf>
    <xf numFmtId="0" fontId="12" fillId="6" borderId="5" xfId="2" applyFont="1" applyFill="1" applyBorder="1" applyAlignment="1">
      <alignment vertical="center"/>
    </xf>
    <xf numFmtId="49" fontId="16" fillId="6" borderId="4" xfId="2" applyNumberFormat="1" applyFont="1" applyFill="1" applyBorder="1" applyAlignment="1">
      <alignment vertical="center" wrapText="1"/>
    </xf>
    <xf numFmtId="49" fontId="10" fillId="8" borderId="4" xfId="2" applyNumberFormat="1" applyFont="1" applyFill="1" applyBorder="1" applyAlignment="1">
      <alignment vertical="center"/>
    </xf>
    <xf numFmtId="0" fontId="10" fillId="6" borderId="4" xfId="2" applyFont="1" applyFill="1" applyBorder="1" applyAlignment="1">
      <alignment vertical="center"/>
    </xf>
    <xf numFmtId="0" fontId="12" fillId="8" borderId="4" xfId="2" applyFont="1" applyFill="1" applyBorder="1" applyAlignment="1">
      <alignment vertical="center"/>
    </xf>
    <xf numFmtId="0" fontId="21" fillId="6" borderId="4" xfId="2" applyFont="1" applyFill="1" applyBorder="1" applyAlignment="1">
      <alignment vertical="center"/>
    </xf>
    <xf numFmtId="49" fontId="22" fillId="6" borderId="4" xfId="2" applyNumberFormat="1" applyFont="1" applyFill="1" applyBorder="1" applyAlignment="1">
      <alignment vertical="center"/>
    </xf>
    <xf numFmtId="0" fontId="10" fillId="6" borderId="4" xfId="2" applyFont="1" applyFill="1" applyBorder="1" applyAlignment="1">
      <alignment vertical="center" wrapText="1"/>
    </xf>
    <xf numFmtId="0" fontId="10" fillId="6" borderId="13" xfId="2" applyFont="1" applyFill="1" applyBorder="1" applyAlignment="1">
      <alignment horizontal="left" vertical="center"/>
    </xf>
    <xf numFmtId="0" fontId="10" fillId="6" borderId="0" xfId="2" applyFont="1" applyFill="1" applyAlignment="1">
      <alignment vertical="center"/>
    </xf>
    <xf numFmtId="49" fontId="8" fillId="9" borderId="4" xfId="2" applyNumberFormat="1" applyFont="1" applyFill="1" applyBorder="1" applyAlignment="1">
      <alignment vertical="center" wrapText="1"/>
    </xf>
    <xf numFmtId="0" fontId="10" fillId="8" borderId="4" xfId="2" applyFont="1" applyFill="1" applyBorder="1" applyAlignment="1">
      <alignment vertical="center"/>
    </xf>
    <xf numFmtId="0" fontId="8" fillId="9" borderId="4" xfId="2" applyFont="1" applyFill="1" applyBorder="1" applyAlignment="1">
      <alignment vertical="center"/>
    </xf>
    <xf numFmtId="0" fontId="10" fillId="5" borderId="4" xfId="2" applyFont="1" applyFill="1" applyBorder="1" applyAlignment="1">
      <alignment vertical="center"/>
    </xf>
    <xf numFmtId="0" fontId="11" fillId="9" borderId="4" xfId="2" applyFont="1" applyFill="1" applyBorder="1" applyAlignment="1">
      <alignment vertical="center"/>
    </xf>
    <xf numFmtId="0" fontId="8" fillId="9" borderId="12" xfId="2" applyFont="1" applyFill="1" applyBorder="1" applyAlignment="1">
      <alignment horizontal="left" vertical="center"/>
    </xf>
    <xf numFmtId="0" fontId="10" fillId="3" borderId="20" xfId="2" applyFont="1" applyFill="1" applyBorder="1" applyAlignment="1">
      <alignment horizontal="center" vertical="center"/>
    </xf>
    <xf numFmtId="0" fontId="10" fillId="3" borderId="20" xfId="2" applyFont="1" applyFill="1" applyBorder="1" applyAlignment="1">
      <alignment vertical="center"/>
    </xf>
    <xf numFmtId="0" fontId="10" fillId="3" borderId="19" xfId="2" applyFont="1" applyFill="1" applyBorder="1" applyAlignment="1">
      <alignment horizontal="center" vertical="center"/>
    </xf>
    <xf numFmtId="4" fontId="10" fillId="3" borderId="20" xfId="2" applyNumberFormat="1" applyFont="1" applyFill="1" applyBorder="1" applyAlignment="1">
      <alignment horizontal="center" vertical="center"/>
    </xf>
    <xf numFmtId="0" fontId="10" fillId="3" borderId="20" xfId="2" applyFont="1" applyFill="1" applyBorder="1" applyAlignment="1">
      <alignment horizontal="center" vertical="center" wrapText="1"/>
    </xf>
    <xf numFmtId="0" fontId="10" fillId="3" borderId="19" xfId="2" applyFont="1" applyFill="1" applyBorder="1" applyAlignment="1">
      <alignment vertical="center"/>
    </xf>
    <xf numFmtId="49" fontId="11" fillId="9" borderId="4" xfId="2" applyNumberFormat="1" applyFont="1" applyFill="1" applyBorder="1" applyAlignment="1">
      <alignment vertical="center"/>
    </xf>
    <xf numFmtId="0" fontId="8" fillId="9" borderId="4" xfId="2" applyFont="1" applyFill="1" applyBorder="1" applyAlignment="1">
      <alignment vertical="center" wrapText="1"/>
    </xf>
    <xf numFmtId="49" fontId="8" fillId="9" borderId="4" xfId="2" applyNumberFormat="1" applyFont="1" applyFill="1" applyBorder="1" applyAlignment="1">
      <alignment vertical="center"/>
    </xf>
    <xf numFmtId="4" fontId="27" fillId="0" borderId="15" xfId="2" applyNumberFormat="1" applyFont="1" applyBorder="1"/>
    <xf numFmtId="4" fontId="10" fillId="0" borderId="5" xfId="2" applyNumberFormat="1" applyFont="1" applyBorder="1" applyAlignment="1">
      <alignment horizontal="right" vertical="center" wrapText="1"/>
    </xf>
    <xf numFmtId="4" fontId="10" fillId="0" borderId="29" xfId="2" applyNumberFormat="1" applyFont="1" applyBorder="1" applyAlignment="1">
      <alignment horizontal="right" vertical="center" wrapText="1"/>
    </xf>
    <xf numFmtId="0" fontId="19" fillId="0" borderId="4" xfId="2" applyFont="1" applyBorder="1" applyAlignment="1">
      <alignment horizontal="center"/>
    </xf>
    <xf numFmtId="43" fontId="19" fillId="0" borderId="4" xfId="1" applyFont="1" applyBorder="1" applyAlignment="1">
      <alignment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/>
    </xf>
    <xf numFmtId="4" fontId="10" fillId="3" borderId="21" xfId="2" applyNumberFormat="1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 wrapText="1"/>
    </xf>
    <xf numFmtId="0" fontId="10" fillId="3" borderId="20" xfId="2" applyFont="1" applyFill="1" applyBorder="1" applyAlignment="1">
      <alignment horizontal="left" vertical="center" wrapText="1"/>
    </xf>
    <xf numFmtId="0" fontId="10" fillId="3" borderId="21" xfId="2" applyFont="1" applyFill="1" applyBorder="1" applyAlignment="1">
      <alignment horizontal="left" vertical="center" wrapText="1"/>
    </xf>
    <xf numFmtId="0" fontId="10" fillId="3" borderId="19" xfId="2" applyFont="1" applyFill="1" applyBorder="1" applyAlignment="1">
      <alignment horizontal="left" vertical="center"/>
    </xf>
    <xf numFmtId="0" fontId="10" fillId="3" borderId="41" xfId="2" applyFont="1" applyFill="1" applyBorder="1" applyAlignment="1">
      <alignment horizontal="center" vertical="center" wrapText="1"/>
    </xf>
    <xf numFmtId="0" fontId="8" fillId="3" borderId="20" xfId="2" applyFont="1" applyFill="1" applyBorder="1" applyAlignment="1">
      <alignment horizontal="left" vertical="center"/>
    </xf>
    <xf numFmtId="0" fontId="10" fillId="3" borderId="40" xfId="2" applyFont="1" applyFill="1" applyBorder="1" applyAlignment="1">
      <alignment horizontal="center" vertical="center" wrapText="1"/>
    </xf>
    <xf numFmtId="0" fontId="8" fillId="3" borderId="19" xfId="2" applyFont="1" applyFill="1" applyBorder="1" applyAlignment="1">
      <alignment horizontal="left" vertical="center"/>
    </xf>
    <xf numFmtId="0" fontId="10" fillId="3" borderId="20" xfId="2" applyFont="1" applyFill="1" applyBorder="1" applyAlignment="1">
      <alignment horizontal="left" vertical="top" wrapText="1"/>
    </xf>
    <xf numFmtId="0" fontId="10" fillId="3" borderId="21" xfId="2" applyFont="1" applyFill="1" applyBorder="1" applyAlignment="1">
      <alignment horizontal="left" vertical="center"/>
    </xf>
    <xf numFmtId="0" fontId="10" fillId="3" borderId="42" xfId="2" applyFont="1" applyFill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left" vertical="center"/>
    </xf>
    <xf numFmtId="43" fontId="10" fillId="0" borderId="19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center"/>
    </xf>
    <xf numFmtId="49" fontId="12" fillId="10" borderId="4" xfId="2" applyNumberFormat="1" applyFont="1" applyFill="1" applyBorder="1" applyAlignment="1">
      <alignment vertical="center"/>
    </xf>
    <xf numFmtId="49" fontId="12" fillId="10" borderId="13" xfId="2" applyNumberFormat="1" applyFont="1" applyFill="1" applyBorder="1" applyAlignment="1">
      <alignment vertical="center"/>
    </xf>
    <xf numFmtId="49" fontId="10" fillId="10" borderId="4" xfId="2" applyNumberFormat="1" applyFont="1" applyFill="1" applyBorder="1" applyAlignment="1">
      <alignment vertical="center"/>
    </xf>
    <xf numFmtId="49" fontId="10" fillId="11" borderId="4" xfId="2" applyNumberFormat="1" applyFont="1" applyFill="1" applyBorder="1" applyAlignment="1">
      <alignment vertical="center"/>
    </xf>
    <xf numFmtId="49" fontId="10" fillId="12" borderId="4" xfId="2" applyNumberFormat="1" applyFont="1" applyFill="1" applyBorder="1" applyAlignment="1">
      <alignment vertical="center"/>
    </xf>
    <xf numFmtId="49" fontId="10" fillId="13" borderId="4" xfId="2" applyNumberFormat="1" applyFont="1" applyFill="1" applyBorder="1" applyAlignment="1">
      <alignment vertical="center"/>
    </xf>
    <xf numFmtId="49" fontId="10" fillId="14" borderId="4" xfId="2" quotePrefix="1" applyNumberFormat="1" applyFont="1" applyFill="1" applyBorder="1" applyAlignment="1">
      <alignment vertical="center"/>
    </xf>
    <xf numFmtId="49" fontId="10" fillId="14" borderId="4" xfId="2" applyNumberFormat="1" applyFont="1" applyFill="1" applyBorder="1" applyAlignment="1">
      <alignment vertical="center"/>
    </xf>
    <xf numFmtId="49" fontId="10" fillId="14" borderId="4" xfId="2" quotePrefix="1" applyNumberFormat="1" applyFont="1" applyFill="1" applyBorder="1" applyAlignment="1">
      <alignment vertical="center" wrapText="1"/>
    </xf>
    <xf numFmtId="49" fontId="10" fillId="14" borderId="4" xfId="2" applyNumberFormat="1" applyFont="1" applyFill="1" applyBorder="1" applyAlignment="1">
      <alignment vertical="center" wrapText="1"/>
    </xf>
    <xf numFmtId="0" fontId="10" fillId="10" borderId="5" xfId="2" applyFont="1" applyFill="1" applyBorder="1" applyAlignment="1">
      <alignment vertical="center"/>
    </xf>
    <xf numFmtId="0" fontId="12" fillId="10" borderId="5" xfId="2" applyFont="1" applyFill="1" applyBorder="1" applyAlignment="1">
      <alignment vertical="center"/>
    </xf>
    <xf numFmtId="49" fontId="16" fillId="15" borderId="4" xfId="2" applyNumberFormat="1" applyFont="1" applyFill="1" applyBorder="1" applyAlignment="1">
      <alignment vertical="center" wrapText="1"/>
    </xf>
    <xf numFmtId="49" fontId="10" fillId="16" borderId="4" xfId="2" applyNumberFormat="1" applyFont="1" applyFill="1" applyBorder="1" applyAlignment="1">
      <alignment vertical="center"/>
    </xf>
    <xf numFmtId="0" fontId="10" fillId="10" borderId="4" xfId="2" applyFont="1" applyFill="1" applyBorder="1" applyAlignment="1">
      <alignment vertical="center"/>
    </xf>
    <xf numFmtId="49" fontId="16" fillId="17" borderId="4" xfId="2" applyNumberFormat="1" applyFont="1" applyFill="1" applyBorder="1" applyAlignment="1">
      <alignment vertical="center" wrapText="1"/>
    </xf>
    <xf numFmtId="0" fontId="10" fillId="18" borderId="4" xfId="2" applyFont="1" applyFill="1" applyBorder="1" applyAlignment="1">
      <alignment vertical="center"/>
    </xf>
    <xf numFmtId="49" fontId="10" fillId="19" borderId="4" xfId="2" applyNumberFormat="1" applyFont="1" applyFill="1" applyBorder="1" applyAlignment="1">
      <alignment vertical="center"/>
    </xf>
    <xf numFmtId="0" fontId="10" fillId="19" borderId="4" xfId="2" applyFont="1" applyFill="1" applyBorder="1" applyAlignment="1">
      <alignment vertical="center"/>
    </xf>
    <xf numFmtId="49" fontId="10" fillId="20" borderId="4" xfId="2" applyNumberFormat="1" applyFont="1" applyFill="1" applyBorder="1" applyAlignment="1">
      <alignment vertical="center" wrapText="1"/>
    </xf>
    <xf numFmtId="49" fontId="10" fillId="21" borderId="4" xfId="2" applyNumberFormat="1" applyFont="1" applyFill="1" applyBorder="1" applyAlignment="1">
      <alignment vertical="center" wrapText="1"/>
    </xf>
    <xf numFmtId="49" fontId="19" fillId="11" borderId="4" xfId="2" applyNumberFormat="1" applyFont="1" applyFill="1" applyBorder="1" applyAlignment="1">
      <alignment vertical="center"/>
    </xf>
    <xf numFmtId="0" fontId="10" fillId="22" borderId="4" xfId="2" applyFont="1" applyFill="1" applyBorder="1" applyAlignment="1">
      <alignment vertical="center"/>
    </xf>
    <xf numFmtId="0" fontId="28" fillId="6" borderId="4" xfId="2" applyFont="1" applyFill="1" applyBorder="1" applyAlignment="1">
      <alignment vertical="center"/>
    </xf>
    <xf numFmtId="49" fontId="28" fillId="6" borderId="4" xfId="2" applyNumberFormat="1" applyFont="1" applyFill="1" applyBorder="1" applyAlignment="1">
      <alignment vertical="center"/>
    </xf>
    <xf numFmtId="0" fontId="8" fillId="0" borderId="2" xfId="2" applyFont="1" applyBorder="1" applyAlignment="1">
      <alignment horizontal="center" vertical="center" wrapText="1"/>
    </xf>
    <xf numFmtId="0" fontId="9" fillId="0" borderId="6" xfId="2" applyFont="1" applyBorder="1"/>
    <xf numFmtId="0" fontId="8" fillId="0" borderId="3" xfId="2" applyFont="1" applyBorder="1" applyAlignment="1">
      <alignment horizontal="center" vertical="center" wrapText="1"/>
    </xf>
    <xf numFmtId="0" fontId="9" fillId="0" borderId="7" xfId="2" applyFont="1" applyBorder="1"/>
    <xf numFmtId="4" fontId="8" fillId="0" borderId="3" xfId="2" applyNumberFormat="1" applyFont="1" applyBorder="1" applyAlignment="1">
      <alignment horizontal="center" vertical="center" wrapText="1"/>
    </xf>
    <xf numFmtId="43" fontId="8" fillId="0" borderId="3" xfId="2" applyNumberFormat="1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0" fillId="0" borderId="0" xfId="2" applyFont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 wrapText="1"/>
    </xf>
    <xf numFmtId="0" fontId="6" fillId="0" borderId="0" xfId="2" applyFont="1" applyAlignment="1">
      <alignment vertical="center"/>
    </xf>
    <xf numFmtId="0" fontId="8" fillId="0" borderId="5" xfId="2" applyFont="1" applyBorder="1" applyAlignment="1">
      <alignment horizontal="center" vertical="center" wrapText="1"/>
    </xf>
    <xf numFmtId="0" fontId="9" fillId="0" borderId="5" xfId="2" applyFont="1" applyBorder="1"/>
    <xf numFmtId="0" fontId="9" fillId="0" borderId="4" xfId="2" applyFont="1" applyBorder="1"/>
    <xf numFmtId="0" fontId="10" fillId="0" borderId="38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9" fillId="0" borderId="14" xfId="2" applyFont="1" applyBorder="1"/>
    <xf numFmtId="0" fontId="9" fillId="0" borderId="15" xfId="2" applyFont="1" applyBorder="1"/>
    <xf numFmtId="4" fontId="10" fillId="0" borderId="14" xfId="2" applyNumberFormat="1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4" fontId="12" fillId="0" borderId="39" xfId="2" applyNumberFormat="1" applyFont="1" applyBorder="1" applyAlignment="1">
      <alignment horizontal="center" vertical="center" wrapText="1"/>
    </xf>
    <xf numFmtId="4" fontId="12" fillId="0" borderId="36" xfId="2" applyNumberFormat="1" applyFont="1" applyBorder="1" applyAlignment="1">
      <alignment horizontal="center" vertical="center" wrapText="1"/>
    </xf>
    <xf numFmtId="4" fontId="12" fillId="0" borderId="25" xfId="2" applyNumberFormat="1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/>
    </xf>
    <xf numFmtId="43" fontId="13" fillId="0" borderId="12" xfId="2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9" fillId="0" borderId="3" xfId="2" applyFont="1" applyBorder="1"/>
    <xf numFmtId="4" fontId="10" fillId="0" borderId="3" xfId="2" applyNumberFormat="1" applyFont="1" applyBorder="1" applyAlignment="1">
      <alignment horizontal="center" vertical="center"/>
    </xf>
    <xf numFmtId="4" fontId="10" fillId="0" borderId="12" xfId="2" applyNumberFormat="1" applyFont="1" applyBorder="1" applyAlignment="1">
      <alignment horizontal="center" vertical="center"/>
    </xf>
    <xf numFmtId="4" fontId="10" fillId="0" borderId="3" xfId="2" applyNumberFormat="1" applyFont="1" applyBorder="1" applyAlignment="1">
      <alignment horizontal="right" vertical="center"/>
    </xf>
    <xf numFmtId="0" fontId="10" fillId="0" borderId="12" xfId="2" applyFont="1" applyBorder="1" applyAlignment="1">
      <alignment horizontal="center" vertical="center" wrapText="1"/>
    </xf>
    <xf numFmtId="0" fontId="12" fillId="7" borderId="24" xfId="2" applyFont="1" applyFill="1" applyBorder="1" applyAlignment="1">
      <alignment horizontal="center" vertical="center" wrapText="1"/>
    </xf>
    <xf numFmtId="0" fontId="12" fillId="7" borderId="36" xfId="2" applyFont="1" applyFill="1" applyBorder="1" applyAlignment="1">
      <alignment horizontal="center" vertical="center" wrapText="1"/>
    </xf>
    <xf numFmtId="0" fontId="12" fillId="7" borderId="25" xfId="2" applyFont="1" applyFill="1" applyBorder="1" applyAlignment="1">
      <alignment horizontal="center" vertical="center" wrapText="1"/>
    </xf>
    <xf numFmtId="43" fontId="12" fillId="7" borderId="24" xfId="2" applyNumberFormat="1" applyFont="1" applyFill="1" applyBorder="1" applyAlignment="1">
      <alignment horizontal="center" vertical="center" wrapText="1"/>
    </xf>
    <xf numFmtId="43" fontId="12" fillId="7" borderId="36" xfId="2" applyNumberFormat="1" applyFont="1" applyFill="1" applyBorder="1" applyAlignment="1">
      <alignment horizontal="center" vertical="center" wrapText="1"/>
    </xf>
    <xf numFmtId="43" fontId="12" fillId="7" borderId="25" xfId="2" applyNumberFormat="1" applyFont="1" applyFill="1" applyBorder="1" applyAlignment="1">
      <alignment horizontal="center" vertical="center" wrapText="1"/>
    </xf>
    <xf numFmtId="4" fontId="10" fillId="0" borderId="3" xfId="2" applyNumberFormat="1" applyFont="1" applyBorder="1" applyAlignment="1">
      <alignment horizontal="right" vertical="center" wrapText="1"/>
    </xf>
    <xf numFmtId="43" fontId="10" fillId="3" borderId="12" xfId="2" applyNumberFormat="1" applyFont="1" applyFill="1" applyBorder="1" applyAlignment="1">
      <alignment horizontal="center" vertical="center"/>
    </xf>
    <xf numFmtId="43" fontId="10" fillId="3" borderId="14" xfId="2" applyNumberFormat="1" applyFont="1" applyFill="1" applyBorder="1" applyAlignment="1">
      <alignment horizontal="center" vertical="center"/>
    </xf>
    <xf numFmtId="0" fontId="10" fillId="0" borderId="14" xfId="2" applyFont="1" applyBorder="1" applyAlignment="1">
      <alignment horizontal="center" vertical="center" wrapText="1"/>
    </xf>
    <xf numFmtId="4" fontId="10" fillId="0" borderId="15" xfId="2" applyNumberFormat="1" applyFont="1" applyBorder="1" applyAlignment="1">
      <alignment horizontal="center" vertical="center"/>
    </xf>
    <xf numFmtId="0" fontId="10" fillId="4" borderId="3" xfId="2" applyFont="1" applyFill="1" applyBorder="1" applyAlignment="1">
      <alignment horizontal="center" vertical="center"/>
    </xf>
    <xf numFmtId="4" fontId="10" fillId="4" borderId="3" xfId="2" applyNumberFormat="1" applyFont="1" applyFill="1" applyBorder="1" applyAlignment="1">
      <alignment horizontal="right" vertical="center"/>
    </xf>
    <xf numFmtId="0" fontId="12" fillId="4" borderId="3" xfId="2" applyFont="1" applyFill="1" applyBorder="1" applyAlignment="1">
      <alignment horizontal="center" vertical="center" wrapText="1"/>
    </xf>
    <xf numFmtId="0" fontId="10" fillId="4" borderId="12" xfId="2" applyFont="1" applyFill="1" applyBorder="1" applyAlignment="1">
      <alignment horizontal="center" vertical="center"/>
    </xf>
    <xf numFmtId="4" fontId="10" fillId="0" borderId="12" xfId="2" applyNumberFormat="1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/>
    </xf>
    <xf numFmtId="3" fontId="10" fillId="0" borderId="12" xfId="2" applyNumberFormat="1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9" fillId="0" borderId="31" xfId="2" applyFont="1" applyBorder="1"/>
    <xf numFmtId="4" fontId="10" fillId="3" borderId="14" xfId="2" applyNumberFormat="1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 wrapText="1"/>
    </xf>
    <xf numFmtId="164" fontId="8" fillId="0" borderId="33" xfId="2" applyNumberFormat="1" applyFont="1" applyBorder="1" applyAlignment="1">
      <alignment horizontal="right"/>
    </xf>
    <xf numFmtId="0" fontId="9" fillId="0" borderId="33" xfId="2" applyFont="1" applyBorder="1"/>
    <xf numFmtId="43" fontId="8" fillId="0" borderId="34" xfId="2" applyNumberFormat="1" applyFont="1" applyBorder="1" applyAlignment="1">
      <alignment horizontal="right"/>
    </xf>
    <xf numFmtId="0" fontId="10" fillId="0" borderId="0" xfId="2" applyFont="1" applyAlignment="1">
      <alignment horizontal="left"/>
    </xf>
    <xf numFmtId="43" fontId="8" fillId="0" borderId="29" xfId="2" applyNumberFormat="1" applyFont="1" applyBorder="1" applyAlignment="1">
      <alignment horizontal="right"/>
    </xf>
    <xf numFmtId="0" fontId="9" fillId="0" borderId="35" xfId="2" applyFont="1" applyBorder="1"/>
    <xf numFmtId="0" fontId="9" fillId="0" borderId="16" xfId="2" applyFont="1" applyBorder="1"/>
    <xf numFmtId="43" fontId="10" fillId="0" borderId="0" xfId="2" applyNumberFormat="1" applyFont="1" applyAlignment="1">
      <alignment horizontal="center"/>
    </xf>
    <xf numFmtId="0" fontId="25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3" fontId="10" fillId="0" borderId="15" xfId="2" applyNumberFormat="1" applyFont="1" applyBorder="1" applyAlignment="1">
      <alignment horizontal="center" vertical="center"/>
    </xf>
    <xf numFmtId="4" fontId="10" fillId="0" borderId="12" xfId="2" applyNumberFormat="1" applyFont="1" applyBorder="1" applyAlignment="1">
      <alignment horizontal="right" vertical="center"/>
    </xf>
    <xf numFmtId="0" fontId="9" fillId="0" borderId="14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4" fontId="10" fillId="3" borderId="16" xfId="2" applyNumberFormat="1" applyFont="1" applyFill="1" applyBorder="1" applyAlignment="1">
      <alignment vertical="center"/>
    </xf>
    <xf numFmtId="0" fontId="10" fillId="0" borderId="20" xfId="2" applyFont="1" applyBorder="1" applyAlignment="1">
      <alignment horizontal="center" vertical="center"/>
    </xf>
    <xf numFmtId="4" fontId="10" fillId="3" borderId="43" xfId="2" applyNumberFormat="1" applyFont="1" applyFill="1" applyBorder="1" applyAlignment="1">
      <alignment vertical="center"/>
    </xf>
    <xf numFmtId="43" fontId="10" fillId="3" borderId="20" xfId="2" applyNumberFormat="1" applyFont="1" applyFill="1" applyBorder="1" applyAlignment="1">
      <alignment horizontal="center" vertical="center"/>
    </xf>
    <xf numFmtId="0" fontId="10" fillId="0" borderId="20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/>
    </xf>
    <xf numFmtId="4" fontId="10" fillId="3" borderId="22" xfId="2" applyNumberFormat="1" applyFont="1" applyFill="1" applyBorder="1" applyAlignment="1">
      <alignment vertical="center"/>
    </xf>
    <xf numFmtId="43" fontId="10" fillId="3" borderId="22" xfId="2" applyNumberFormat="1" applyFont="1" applyFill="1" applyBorder="1" applyAlignment="1">
      <alignment horizontal="center" vertical="center"/>
    </xf>
    <xf numFmtId="0" fontId="10" fillId="0" borderId="22" xfId="2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9DF2803-C370-4F25-8ECA-2D02BE1DF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2DCB-5645-4C10-BDB6-66500CDD687E}">
  <sheetPr>
    <pageSetUpPr fitToPage="1"/>
  </sheetPr>
  <dimension ref="A1:AM1053"/>
  <sheetViews>
    <sheetView topLeftCell="A50" workbookViewId="0">
      <selection activeCell="C116" sqref="C116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197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198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197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199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199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199" t="s">
        <v>83</v>
      </c>
      <c r="D18" s="296" t="s">
        <v>77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10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199" t="s">
        <v>85</v>
      </c>
      <c r="D19" s="297"/>
      <c r="E19" s="46">
        <v>6500</v>
      </c>
      <c r="F19" s="297"/>
      <c r="G19" s="297"/>
      <c r="H19" s="297"/>
      <c r="I19" s="47">
        <v>10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199" t="s">
        <v>86</v>
      </c>
      <c r="D20" s="298"/>
      <c r="E20" s="46">
        <v>7000</v>
      </c>
      <c r="F20" s="298"/>
      <c r="G20" s="298"/>
      <c r="H20" s="298"/>
      <c r="I20" s="47">
        <v>10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199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199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199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199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199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199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00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78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199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199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00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199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199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00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00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00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199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199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00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00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199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00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00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00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01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02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00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00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00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00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00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00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00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00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00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03" t="s">
        <v>124</v>
      </c>
      <c r="D55" s="305" t="s">
        <v>77</v>
      </c>
      <c r="E55" s="46">
        <v>7000</v>
      </c>
      <c r="F55" s="310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04" t="s">
        <v>125</v>
      </c>
      <c r="D56" s="297"/>
      <c r="E56" s="46">
        <v>4000</v>
      </c>
      <c r="F56" s="297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04" t="s">
        <v>126</v>
      </c>
      <c r="D57" s="298"/>
      <c r="E57" s="46">
        <v>13500</v>
      </c>
      <c r="F57" s="298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05" t="s">
        <v>127</v>
      </c>
      <c r="D58" s="68" t="s">
        <v>128</v>
      </c>
      <c r="E58" s="69">
        <v>15000</v>
      </c>
      <c r="F58" s="70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28" t="s">
        <v>129</v>
      </c>
      <c r="B59" s="78"/>
      <c r="C59" s="228" t="s">
        <v>130</v>
      </c>
      <c r="D59" s="29"/>
      <c r="E59" s="31"/>
      <c r="F59" s="31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3"/>
      <c r="AJ59" s="22"/>
      <c r="AK59" s="18"/>
    </row>
    <row r="60" spans="1:39" ht="15.75" customHeight="1" x14ac:dyDescent="0.35">
      <c r="A60" s="44"/>
      <c r="B60" s="45"/>
      <c r="C60" s="199" t="s">
        <v>131</v>
      </c>
      <c r="D60" s="307" t="s">
        <v>77</v>
      </c>
      <c r="E60" s="46">
        <v>49000</v>
      </c>
      <c r="F60" s="311">
        <f>E60*2+E61*2</f>
        <v>178000</v>
      </c>
      <c r="G60" s="291" t="s">
        <v>132</v>
      </c>
      <c r="H60" s="307" t="s">
        <v>79</v>
      </c>
      <c r="I60" s="47">
        <v>2</v>
      </c>
      <c r="J60" s="47"/>
      <c r="K60" s="47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22"/>
      <c r="AK60" s="18"/>
    </row>
    <row r="61" spans="1:39" ht="15.75" customHeight="1" x14ac:dyDescent="0.35">
      <c r="A61" s="44"/>
      <c r="B61" s="45"/>
      <c r="C61" s="199" t="s">
        <v>133</v>
      </c>
      <c r="D61" s="289"/>
      <c r="E61" s="46">
        <v>40000</v>
      </c>
      <c r="F61" s="289"/>
      <c r="G61" s="289"/>
      <c r="H61" s="289"/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197" t="s">
        <v>134</v>
      </c>
      <c r="D62" s="17"/>
      <c r="E62" s="46"/>
      <c r="F62" s="17"/>
      <c r="G62" s="17"/>
      <c r="H62" s="17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26.25" customHeight="1" x14ac:dyDescent="0.35">
      <c r="A63" s="44"/>
      <c r="B63" s="45"/>
      <c r="C63" s="199" t="s">
        <v>135</v>
      </c>
      <c r="D63" s="196" t="s">
        <v>136</v>
      </c>
      <c r="E63" s="46">
        <v>80000</v>
      </c>
      <c r="F63" s="79">
        <f>E63*2</f>
        <v>160000</v>
      </c>
      <c r="G63" s="80" t="s">
        <v>132</v>
      </c>
      <c r="H63" s="47" t="s">
        <v>79</v>
      </c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15.75" customHeight="1" x14ac:dyDescent="0.35">
      <c r="A64" s="28" t="s">
        <v>137</v>
      </c>
      <c r="B64" s="78"/>
      <c r="C64" s="214" t="s">
        <v>138</v>
      </c>
      <c r="D64" s="29"/>
      <c r="E64" s="31"/>
      <c r="F64" s="3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3"/>
      <c r="AJ64" s="41"/>
      <c r="AK64" s="42"/>
      <c r="AL64" s="43"/>
      <c r="AM64" s="43"/>
    </row>
    <row r="65" spans="1:39" ht="15.75" customHeight="1" x14ac:dyDescent="0.35">
      <c r="A65" s="44"/>
      <c r="B65" s="45"/>
      <c r="C65" s="199" t="s">
        <v>292</v>
      </c>
      <c r="D65" s="81" t="s">
        <v>77</v>
      </c>
      <c r="E65" s="82">
        <v>17000</v>
      </c>
      <c r="F65" s="82">
        <f>E65*30</f>
        <v>510000</v>
      </c>
      <c r="G65" s="58" t="s">
        <v>139</v>
      </c>
      <c r="H65" s="47" t="s">
        <v>79</v>
      </c>
      <c r="I65" s="47"/>
      <c r="J65" s="47">
        <v>20</v>
      </c>
      <c r="K65" s="47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22"/>
      <c r="AK65" s="18"/>
    </row>
    <row r="66" spans="1:39" ht="15.75" customHeight="1" x14ac:dyDescent="0.35">
      <c r="A66" s="28" t="s">
        <v>140</v>
      </c>
      <c r="B66" s="29"/>
      <c r="C66" s="227" t="s">
        <v>141</v>
      </c>
      <c r="D66" s="29"/>
      <c r="E66" s="31"/>
      <c r="F66" s="32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3"/>
      <c r="AJ66" s="22"/>
      <c r="AK66" s="18"/>
    </row>
    <row r="67" spans="1:39" ht="18" customHeight="1" x14ac:dyDescent="0.35">
      <c r="A67" s="44"/>
      <c r="B67" s="45"/>
      <c r="C67" s="199" t="s">
        <v>142</v>
      </c>
      <c r="D67" s="58" t="s">
        <v>221</v>
      </c>
      <c r="E67" s="46">
        <v>4500</v>
      </c>
      <c r="F67" s="82">
        <f>E67*10</f>
        <v>45000</v>
      </c>
      <c r="G67" s="83" t="s">
        <v>89</v>
      </c>
      <c r="H67" s="47"/>
      <c r="I67" s="47">
        <v>8</v>
      </c>
      <c r="J67" s="47">
        <v>2</v>
      </c>
      <c r="K67" s="47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1"/>
      <c r="AK67" s="42"/>
      <c r="AL67" s="43"/>
      <c r="AM67" s="43"/>
    </row>
    <row r="68" spans="1:39" ht="38.25" customHeight="1" x14ac:dyDescent="0.35">
      <c r="A68" s="44"/>
      <c r="B68" s="45"/>
      <c r="C68" s="199" t="s">
        <v>143</v>
      </c>
      <c r="D68" s="58" t="s">
        <v>144</v>
      </c>
      <c r="E68" s="46">
        <v>50000</v>
      </c>
      <c r="F68" s="82">
        <f>E68*2</f>
        <v>100000</v>
      </c>
      <c r="G68" s="58" t="s">
        <v>145</v>
      </c>
      <c r="H68" s="47"/>
      <c r="I68" s="47">
        <v>1</v>
      </c>
      <c r="J68" s="47">
        <v>1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22"/>
      <c r="AK68" s="18"/>
    </row>
    <row r="69" spans="1:39" ht="18" customHeight="1" x14ac:dyDescent="0.35">
      <c r="A69" s="84"/>
      <c r="B69" s="85"/>
      <c r="C69" s="206" t="s">
        <v>290</v>
      </c>
      <c r="D69" s="83" t="s">
        <v>291</v>
      </c>
      <c r="E69" s="86">
        <v>400</v>
      </c>
      <c r="F69" s="87">
        <f>E69*15</f>
        <v>6000</v>
      </c>
      <c r="G69" s="83" t="s">
        <v>89</v>
      </c>
      <c r="H69" s="88"/>
      <c r="I69" s="47">
        <v>8</v>
      </c>
      <c r="J69" s="47">
        <v>8</v>
      </c>
      <c r="K69" s="47">
        <v>4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90"/>
      <c r="AJ69" s="22"/>
      <c r="AK69" s="18"/>
    </row>
    <row r="70" spans="1:39" ht="22.5" customHeight="1" x14ac:dyDescent="0.35">
      <c r="A70" s="91"/>
      <c r="B70" s="92"/>
      <c r="C70" s="99" t="s">
        <v>293</v>
      </c>
      <c r="D70" s="37" t="s">
        <v>285</v>
      </c>
      <c r="E70" s="93"/>
      <c r="F70" s="94">
        <v>50000</v>
      </c>
      <c r="G70" s="83"/>
      <c r="H70" s="35"/>
      <c r="I70" s="47">
        <v>1</v>
      </c>
      <c r="J70" s="47"/>
      <c r="K70" s="47">
        <v>1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40"/>
      <c r="AJ70" s="41"/>
      <c r="AK70" s="42"/>
      <c r="AL70" s="95"/>
      <c r="AM70" s="95"/>
    </row>
    <row r="71" spans="1:39" ht="22.5" customHeight="1" x14ac:dyDescent="0.35">
      <c r="A71" s="91"/>
      <c r="B71" s="92"/>
      <c r="C71" s="99" t="s">
        <v>294</v>
      </c>
      <c r="D71" s="37" t="s">
        <v>144</v>
      </c>
      <c r="E71" s="93"/>
      <c r="F71" s="94">
        <v>50000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3.25" customHeight="1" x14ac:dyDescent="0.35">
      <c r="A72" s="28" t="s">
        <v>146</v>
      </c>
      <c r="B72" s="78"/>
      <c r="C72" s="214" t="s">
        <v>147</v>
      </c>
      <c r="D72" s="29"/>
      <c r="E72" s="31"/>
      <c r="F72" s="32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33"/>
      <c r="AJ72" s="22"/>
      <c r="AK72" s="18"/>
    </row>
    <row r="73" spans="1:39" ht="22.5" customHeight="1" x14ac:dyDescent="0.35">
      <c r="A73" s="44"/>
      <c r="B73" s="48"/>
      <c r="C73" s="207" t="s">
        <v>76</v>
      </c>
      <c r="D73" s="47" t="s">
        <v>148</v>
      </c>
      <c r="E73" s="82">
        <v>700</v>
      </c>
      <c r="F73" s="82">
        <f>E73*27</f>
        <v>18900</v>
      </c>
      <c r="G73" s="58" t="s">
        <v>78</v>
      </c>
      <c r="H73" s="47" t="s">
        <v>79</v>
      </c>
      <c r="I73" s="47"/>
      <c r="J73" s="48"/>
      <c r="K73" s="47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22"/>
      <c r="AK73" s="18"/>
      <c r="AL73" s="2"/>
      <c r="AM73" s="2"/>
    </row>
    <row r="74" spans="1:39" ht="22.5" customHeight="1" x14ac:dyDescent="0.35">
      <c r="A74" s="44"/>
      <c r="B74" s="48"/>
      <c r="C74" s="207" t="s">
        <v>289</v>
      </c>
      <c r="D74" s="47" t="s">
        <v>288</v>
      </c>
      <c r="E74" s="82">
        <v>350</v>
      </c>
      <c r="F74" s="82">
        <f>E74*35</f>
        <v>12250</v>
      </c>
      <c r="G74" s="58" t="s">
        <v>132</v>
      </c>
      <c r="H74" s="47" t="s">
        <v>84</v>
      </c>
      <c r="I74" s="47">
        <v>32</v>
      </c>
      <c r="J74" s="47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s="77" customFormat="1" ht="18.75" customHeight="1" x14ac:dyDescent="0.35">
      <c r="A75" s="66"/>
      <c r="B75" s="67"/>
      <c r="C75" s="205" t="s">
        <v>149</v>
      </c>
      <c r="D75" s="68" t="s">
        <v>150</v>
      </c>
      <c r="E75" s="69">
        <v>250</v>
      </c>
      <c r="F75" s="69">
        <f>250*20</f>
        <v>5000</v>
      </c>
      <c r="G75" s="96" t="s">
        <v>89</v>
      </c>
      <c r="H75" s="68" t="s">
        <v>84</v>
      </c>
      <c r="I75" s="68"/>
      <c r="J75" s="68"/>
      <c r="K75" s="68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5"/>
      <c r="AK75" s="75"/>
      <c r="AL75" s="97"/>
      <c r="AM75" s="97"/>
    </row>
    <row r="76" spans="1:39" s="77" customFormat="1" ht="18.75" customHeight="1" x14ac:dyDescent="0.35">
      <c r="A76" s="66"/>
      <c r="B76" s="67"/>
      <c r="C76" s="205" t="s">
        <v>151</v>
      </c>
      <c r="D76" s="68" t="s">
        <v>152</v>
      </c>
      <c r="E76" s="69">
        <v>300</v>
      </c>
      <c r="F76" s="69">
        <f>E76*100</f>
        <v>30000</v>
      </c>
      <c r="G76" s="96" t="s">
        <v>89</v>
      </c>
      <c r="H76" s="68" t="s">
        <v>84</v>
      </c>
      <c r="I76" s="68"/>
      <c r="J76" s="68">
        <v>100</v>
      </c>
      <c r="K76" s="6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05" t="s">
        <v>153</v>
      </c>
      <c r="D77" s="68" t="s">
        <v>154</v>
      </c>
      <c r="E77" s="69">
        <v>70</v>
      </c>
      <c r="F77" s="69">
        <f>300*70</f>
        <v>21000</v>
      </c>
      <c r="G77" s="96" t="s">
        <v>89</v>
      </c>
      <c r="H77" s="68" t="s">
        <v>84</v>
      </c>
      <c r="I77" s="68">
        <v>50</v>
      </c>
      <c r="J77" s="68">
        <v>50</v>
      </c>
      <c r="K77" s="6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ht="22.5" customHeight="1" x14ac:dyDescent="0.35">
      <c r="A78" s="44"/>
      <c r="B78" s="48"/>
      <c r="C78" s="207" t="s">
        <v>155</v>
      </c>
      <c r="D78" s="47" t="s">
        <v>156</v>
      </c>
      <c r="E78" s="82">
        <v>200</v>
      </c>
      <c r="F78" s="82">
        <f>E78*1000</f>
        <v>200000</v>
      </c>
      <c r="G78" s="58" t="s">
        <v>132</v>
      </c>
      <c r="H78" s="47" t="s">
        <v>84</v>
      </c>
      <c r="I78" s="47"/>
      <c r="J78" s="47"/>
      <c r="K78" s="47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22"/>
      <c r="AK78" s="18"/>
      <c r="AL78" s="2"/>
      <c r="AM78" s="2"/>
    </row>
    <row r="79" spans="1:39" ht="15.75" customHeight="1" x14ac:dyDescent="0.35">
      <c r="A79" s="44"/>
      <c r="B79" s="45"/>
      <c r="C79" s="199" t="s">
        <v>157</v>
      </c>
      <c r="D79" s="81" t="s">
        <v>158</v>
      </c>
      <c r="E79" s="46">
        <v>4000</v>
      </c>
      <c r="F79" s="82">
        <f>E79</f>
        <v>4000</v>
      </c>
      <c r="G79" s="58"/>
      <c r="H79" s="47"/>
      <c r="I79" s="47">
        <v>2</v>
      </c>
      <c r="J79" s="4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199" t="s">
        <v>159</v>
      </c>
      <c r="D80" s="47" t="s">
        <v>158</v>
      </c>
      <c r="E80" s="46">
        <v>26000</v>
      </c>
      <c r="F80" s="82">
        <f>E80*4</f>
        <v>104000</v>
      </c>
      <c r="G80" s="58" t="s">
        <v>78</v>
      </c>
      <c r="H80" s="47" t="s">
        <v>84</v>
      </c>
      <c r="I80" s="47">
        <v>2</v>
      </c>
      <c r="J80" s="47"/>
      <c r="K80" s="47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20.25" customHeight="1" x14ac:dyDescent="0.35">
      <c r="A81" s="44"/>
      <c r="B81" s="45"/>
      <c r="C81" s="199" t="s">
        <v>160</v>
      </c>
      <c r="D81" s="293" t="s">
        <v>77</v>
      </c>
      <c r="E81" s="46">
        <v>15000</v>
      </c>
      <c r="F81" s="310">
        <f>E81*2+E82*2+E83*4</f>
        <v>71000</v>
      </c>
      <c r="G81" s="312" t="s">
        <v>132</v>
      </c>
      <c r="H81" s="293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15.75" customHeight="1" x14ac:dyDescent="0.35">
      <c r="A82" s="44"/>
      <c r="B82" s="45"/>
      <c r="C82" s="197" t="s">
        <v>161</v>
      </c>
      <c r="D82" s="297"/>
      <c r="E82" s="46">
        <v>6500</v>
      </c>
      <c r="F82" s="297"/>
      <c r="G82" s="297"/>
      <c r="H82" s="297"/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</row>
    <row r="83" spans="1:39" ht="15.75" customHeight="1" x14ac:dyDescent="0.35">
      <c r="A83" s="44"/>
      <c r="B83" s="45"/>
      <c r="C83" s="199" t="s">
        <v>162</v>
      </c>
      <c r="D83" s="298"/>
      <c r="E83" s="46">
        <v>7000</v>
      </c>
      <c r="F83" s="298"/>
      <c r="G83" s="298"/>
      <c r="H83" s="298"/>
      <c r="I83" s="47">
        <v>4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163</v>
      </c>
      <c r="D84" s="47" t="s">
        <v>150</v>
      </c>
      <c r="E84" s="46">
        <v>500</v>
      </c>
      <c r="F84" s="46">
        <f>E84*20</f>
        <v>10000</v>
      </c>
      <c r="G84" s="58" t="s">
        <v>78</v>
      </c>
      <c r="H84" s="47" t="s">
        <v>84</v>
      </c>
      <c r="I84" s="47">
        <v>20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  <c r="AL84" s="2"/>
      <c r="AM84" s="2"/>
    </row>
    <row r="85" spans="1:39" ht="15.75" customHeight="1" x14ac:dyDescent="0.35">
      <c r="A85" s="44"/>
      <c r="B85" s="45"/>
      <c r="C85" s="199" t="s">
        <v>164</v>
      </c>
      <c r="D85" s="307" t="s">
        <v>77</v>
      </c>
      <c r="E85" s="46">
        <v>10000</v>
      </c>
      <c r="F85" s="319">
        <f>(E85*3)+(E86*20)</f>
        <v>70000</v>
      </c>
      <c r="G85" s="291" t="s">
        <v>78</v>
      </c>
      <c r="H85" s="47" t="s">
        <v>84</v>
      </c>
      <c r="I85" s="47">
        <v>3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65"/>
      <c r="AM85" s="65"/>
    </row>
    <row r="86" spans="1:39" ht="15.75" customHeight="1" x14ac:dyDescent="0.35">
      <c r="A86" s="44"/>
      <c r="B86" s="48"/>
      <c r="C86" s="207" t="s">
        <v>165</v>
      </c>
      <c r="D86" s="289"/>
      <c r="E86" s="46">
        <v>2000</v>
      </c>
      <c r="F86" s="289"/>
      <c r="G86" s="289"/>
      <c r="H86" s="47" t="s">
        <v>84</v>
      </c>
      <c r="I86" s="47">
        <v>20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166</v>
      </c>
      <c r="D87" s="98" t="s">
        <v>136</v>
      </c>
      <c r="E87" s="46">
        <v>10000</v>
      </c>
      <c r="F87" s="46">
        <f>E87*2</f>
        <v>20000</v>
      </c>
      <c r="G87" s="58" t="s">
        <v>78</v>
      </c>
      <c r="H87" s="47" t="s">
        <v>84</v>
      </c>
      <c r="I87" s="47">
        <v>1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91"/>
      <c r="B88" s="92"/>
      <c r="C88" s="99" t="s">
        <v>167</v>
      </c>
      <c r="D88" s="47" t="s">
        <v>168</v>
      </c>
      <c r="E88" s="100">
        <v>200</v>
      </c>
      <c r="F88" s="101">
        <f>E88*400</f>
        <v>80000</v>
      </c>
      <c r="G88" s="58" t="s">
        <v>78</v>
      </c>
      <c r="H88" s="47" t="s">
        <v>84</v>
      </c>
      <c r="I88" s="37">
        <v>100</v>
      </c>
      <c r="J88" s="37">
        <v>200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40"/>
      <c r="AJ88" s="41"/>
      <c r="AK88" s="42"/>
      <c r="AL88" s="95"/>
      <c r="AM88" s="95"/>
    </row>
    <row r="89" spans="1:39" ht="15.75" customHeight="1" x14ac:dyDescent="0.35">
      <c r="A89" s="91"/>
      <c r="B89" s="92"/>
      <c r="C89" s="99" t="s">
        <v>169</v>
      </c>
      <c r="D89" s="47" t="s">
        <v>152</v>
      </c>
      <c r="E89" s="100">
        <v>400</v>
      </c>
      <c r="F89" s="101">
        <f>E89*100</f>
        <v>40000</v>
      </c>
      <c r="G89" s="58" t="s">
        <v>78</v>
      </c>
      <c r="H89" s="81" t="s">
        <v>84</v>
      </c>
      <c r="I89" s="35"/>
      <c r="J89" s="37"/>
      <c r="K89" s="37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99" t="s">
        <v>170</v>
      </c>
      <c r="D90" s="293" t="s">
        <v>77</v>
      </c>
      <c r="E90" s="100">
        <f>550*2</f>
        <v>1100</v>
      </c>
      <c r="F90" s="320">
        <f>SUM(E90:E111)</f>
        <v>124711</v>
      </c>
      <c r="G90" s="312" t="s">
        <v>132</v>
      </c>
      <c r="H90" s="296" t="s">
        <v>84</v>
      </c>
      <c r="I90" s="35"/>
      <c r="J90" s="37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99" t="s">
        <v>171</v>
      </c>
      <c r="D91" s="294"/>
      <c r="E91" s="100">
        <f>600</f>
        <v>600</v>
      </c>
      <c r="F91" s="321"/>
      <c r="G91" s="322"/>
      <c r="H91" s="300"/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99" t="s">
        <v>172</v>
      </c>
      <c r="D92" s="294"/>
      <c r="E92" s="100">
        <v>6785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99" t="s">
        <v>173</v>
      </c>
      <c r="D93" s="294"/>
      <c r="E93" s="100">
        <v>3055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99" t="s">
        <v>174</v>
      </c>
      <c r="D94" s="294"/>
      <c r="E94" s="100">
        <v>1055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99" t="s">
        <v>175</v>
      </c>
      <c r="D95" s="294"/>
      <c r="E95" s="100">
        <f>455*4</f>
        <v>1820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99" t="s">
        <v>176</v>
      </c>
      <c r="D96" s="294"/>
      <c r="E96" s="100">
        <v>2100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99" t="s">
        <v>177</v>
      </c>
      <c r="D97" s="294"/>
      <c r="E97" s="100">
        <f>355*4</f>
        <v>1420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99" t="s">
        <v>178</v>
      </c>
      <c r="D98" s="294"/>
      <c r="E98" s="100">
        <f>325*30</f>
        <v>9750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99" t="s">
        <v>179</v>
      </c>
      <c r="D99" s="294"/>
      <c r="E99" s="100">
        <f>285*3</f>
        <v>855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99" t="s">
        <v>180</v>
      </c>
      <c r="D100" s="294"/>
      <c r="E100" s="100">
        <f>250*16</f>
        <v>4000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99" t="s">
        <v>181</v>
      </c>
      <c r="D101" s="294"/>
      <c r="E101" s="100">
        <f>65*5</f>
        <v>325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99" t="s">
        <v>182</v>
      </c>
      <c r="D102" s="294"/>
      <c r="E102" s="100">
        <f>35*40</f>
        <v>1400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99" t="s">
        <v>183</v>
      </c>
      <c r="D103" s="294"/>
      <c r="E103" s="100">
        <f>170*14</f>
        <v>2380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99" t="s">
        <v>184</v>
      </c>
      <c r="D104" s="294"/>
      <c r="E104" s="100">
        <f>80*4</f>
        <v>320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99" t="s">
        <v>185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99" t="s">
        <v>186</v>
      </c>
      <c r="D106" s="294"/>
      <c r="E106" s="100">
        <f>72*8</f>
        <v>576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99" t="s">
        <v>187</v>
      </c>
      <c r="D107" s="294"/>
      <c r="E107" s="100">
        <f>85*160</f>
        <v>13600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99" t="s">
        <v>188</v>
      </c>
      <c r="D108" s="294"/>
      <c r="E108" s="100">
        <f>50*2</f>
        <v>100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99" t="s">
        <v>189</v>
      </c>
      <c r="D109" s="294"/>
      <c r="E109" s="100">
        <f>60*150</f>
        <v>9000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99" t="s">
        <v>190</v>
      </c>
      <c r="D110" s="294"/>
      <c r="E110" s="100">
        <f>85*30</f>
        <v>2550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99" t="s">
        <v>191</v>
      </c>
      <c r="D111" s="294"/>
      <c r="E111" s="100">
        <f>770*80</f>
        <v>61600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28" t="s">
        <v>192</v>
      </c>
      <c r="B112" s="78"/>
      <c r="C112" s="214" t="s">
        <v>193</v>
      </c>
      <c r="D112" s="29"/>
      <c r="E112" s="31"/>
      <c r="F112" s="32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3"/>
      <c r="AJ112" s="22"/>
      <c r="AK112" s="18"/>
    </row>
    <row r="113" spans="1:39" ht="15.75" customHeight="1" x14ac:dyDescent="0.35">
      <c r="A113" s="44"/>
      <c r="B113" s="45"/>
      <c r="C113" s="199" t="s">
        <v>194</v>
      </c>
      <c r="D113" s="58" t="s">
        <v>144</v>
      </c>
      <c r="E113" s="46">
        <v>10000</v>
      </c>
      <c r="F113" s="82">
        <f>E113*2</f>
        <v>20000</v>
      </c>
      <c r="G113" s="58" t="s">
        <v>195</v>
      </c>
      <c r="H113" s="47" t="s">
        <v>79</v>
      </c>
      <c r="I113" s="47">
        <v>1</v>
      </c>
      <c r="J113" s="47">
        <v>1</v>
      </c>
      <c r="K113" s="47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22"/>
      <c r="AK113" s="18"/>
    </row>
    <row r="114" spans="1:39" ht="15.75" customHeight="1" x14ac:dyDescent="0.35">
      <c r="A114" s="28" t="s">
        <v>196</v>
      </c>
      <c r="B114" s="78"/>
      <c r="C114" s="226" t="s">
        <v>197</v>
      </c>
      <c r="D114" s="29"/>
      <c r="E114" s="31"/>
      <c r="F114" s="3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3"/>
      <c r="AJ114" s="41"/>
      <c r="AK114" s="42"/>
      <c r="AL114" s="43"/>
      <c r="AM114" s="43"/>
    </row>
    <row r="115" spans="1:39" ht="15.75" customHeight="1" x14ac:dyDescent="0.35">
      <c r="A115" s="44"/>
      <c r="B115" s="45"/>
      <c r="C115" s="199" t="s">
        <v>198</v>
      </c>
      <c r="D115" s="102" t="s">
        <v>199</v>
      </c>
      <c r="E115" s="46">
        <v>25000</v>
      </c>
      <c r="F115" s="82">
        <f t="shared" ref="F115" si="0">E115*1</f>
        <v>25000</v>
      </c>
      <c r="G115" s="58" t="s">
        <v>78</v>
      </c>
      <c r="H115" s="47" t="s">
        <v>84</v>
      </c>
      <c r="I115" s="47">
        <v>1</v>
      </c>
      <c r="J115" s="4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22"/>
      <c r="AK115" s="18"/>
      <c r="AL115" s="65"/>
      <c r="AM115" s="65"/>
    </row>
    <row r="116" spans="1:39" ht="15.75" customHeight="1" x14ac:dyDescent="0.35">
      <c r="A116" s="44"/>
      <c r="B116" s="45"/>
      <c r="C116" s="199" t="s">
        <v>302</v>
      </c>
      <c r="D116" s="102" t="s">
        <v>304</v>
      </c>
      <c r="E116" s="46">
        <v>6500</v>
      </c>
      <c r="F116" s="310">
        <f>(E116*2)+(E117*2)</f>
        <v>20000</v>
      </c>
      <c r="G116" s="58" t="s">
        <v>78</v>
      </c>
      <c r="H116" s="47" t="s">
        <v>84</v>
      </c>
      <c r="I116" s="47">
        <v>1</v>
      </c>
      <c r="J116" s="4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22"/>
      <c r="AK116" s="18"/>
    </row>
    <row r="117" spans="1:39" ht="15.75" customHeight="1" x14ac:dyDescent="0.35">
      <c r="A117" s="44"/>
      <c r="B117" s="45"/>
      <c r="C117" s="199" t="s">
        <v>303</v>
      </c>
      <c r="D117" s="102" t="s">
        <v>136</v>
      </c>
      <c r="E117" s="46">
        <v>3500</v>
      </c>
      <c r="F117" s="323"/>
      <c r="G117" s="58" t="s">
        <v>78</v>
      </c>
      <c r="H117" s="47" t="s">
        <v>84</v>
      </c>
      <c r="I117" s="47">
        <v>1</v>
      </c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</row>
    <row r="118" spans="1:39" ht="15.75" customHeight="1" x14ac:dyDescent="0.35">
      <c r="A118" s="44"/>
      <c r="B118" s="45"/>
      <c r="C118" s="200" t="s">
        <v>200</v>
      </c>
      <c r="D118" s="102" t="s">
        <v>201</v>
      </c>
      <c r="E118" s="46">
        <v>500</v>
      </c>
      <c r="F118" s="82">
        <f>E118*30</f>
        <v>15000</v>
      </c>
      <c r="G118" s="58" t="s">
        <v>78</v>
      </c>
      <c r="H118" s="47" t="s">
        <v>84</v>
      </c>
      <c r="I118" s="47">
        <v>30</v>
      </c>
      <c r="J118" s="47"/>
      <c r="K118" s="47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44"/>
      <c r="B119" s="45"/>
      <c r="C119" s="200"/>
      <c r="D119" s="102"/>
      <c r="E119" s="46"/>
      <c r="F119" s="82"/>
      <c r="G119" s="58"/>
      <c r="H119" s="47"/>
      <c r="I119" s="47"/>
      <c r="J119" s="47"/>
      <c r="K119" s="47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22"/>
      <c r="AK119" s="18"/>
    </row>
    <row r="120" spans="1:39" ht="15.75" customHeight="1" x14ac:dyDescent="0.35">
      <c r="A120" s="44"/>
      <c r="B120" s="45"/>
      <c r="C120" s="200" t="s">
        <v>202</v>
      </c>
      <c r="D120" s="102" t="s">
        <v>203</v>
      </c>
      <c r="E120" s="46">
        <v>50</v>
      </c>
      <c r="F120" s="82">
        <f>E120*500</f>
        <v>25000</v>
      </c>
      <c r="G120" s="58" t="s">
        <v>78</v>
      </c>
      <c r="H120" s="47" t="s">
        <v>84</v>
      </c>
      <c r="I120" s="47">
        <v>500</v>
      </c>
      <c r="J120" s="47"/>
      <c r="K120" s="47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</row>
    <row r="121" spans="1:39" ht="26.25" customHeight="1" x14ac:dyDescent="0.35">
      <c r="A121" s="44"/>
      <c r="B121" s="45"/>
      <c r="C121" s="199" t="s">
        <v>204</v>
      </c>
      <c r="D121" s="47" t="s">
        <v>205</v>
      </c>
      <c r="E121" s="46">
        <v>50000</v>
      </c>
      <c r="F121" s="82">
        <f>E121</f>
        <v>50000</v>
      </c>
      <c r="G121" s="103" t="s">
        <v>132</v>
      </c>
      <c r="H121" s="81" t="s">
        <v>206</v>
      </c>
      <c r="I121" s="47"/>
      <c r="J121" s="47">
        <v>200</v>
      </c>
      <c r="K121" s="47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26.25" customHeight="1" x14ac:dyDescent="0.35">
      <c r="A122" s="44"/>
      <c r="B122" s="45"/>
      <c r="C122" s="215" t="s">
        <v>297</v>
      </c>
      <c r="D122" s="62" t="s">
        <v>296</v>
      </c>
      <c r="E122" s="46">
        <v>500</v>
      </c>
      <c r="F122" s="192">
        <f>E122*500</f>
        <v>250000</v>
      </c>
      <c r="G122" s="103" t="s">
        <v>132</v>
      </c>
      <c r="H122" s="81"/>
      <c r="I122" s="47">
        <v>500</v>
      </c>
      <c r="J122" s="47"/>
      <c r="K122" s="47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26.25" customHeight="1" x14ac:dyDescent="0.35">
      <c r="A123" s="84"/>
      <c r="B123" s="89"/>
      <c r="C123" s="208" t="s">
        <v>207</v>
      </c>
      <c r="D123" s="98" t="s">
        <v>295</v>
      </c>
      <c r="E123" s="86">
        <v>250</v>
      </c>
      <c r="F123" s="104">
        <f>E123*1500</f>
        <v>375000</v>
      </c>
      <c r="G123" s="105" t="s">
        <v>132</v>
      </c>
      <c r="H123" s="47" t="s">
        <v>84</v>
      </c>
      <c r="I123" s="88">
        <v>1500</v>
      </c>
      <c r="J123" s="88"/>
      <c r="K123" s="88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90"/>
      <c r="AJ123" s="41"/>
      <c r="AK123" s="42"/>
      <c r="AL123" s="43"/>
      <c r="AM123" s="43"/>
    </row>
    <row r="124" spans="1:39" ht="26.25" customHeight="1" x14ac:dyDescent="0.35">
      <c r="A124" s="84"/>
      <c r="B124" s="89"/>
      <c r="C124" s="208" t="s">
        <v>208</v>
      </c>
      <c r="D124" s="106" t="s">
        <v>209</v>
      </c>
      <c r="E124" s="86">
        <v>200</v>
      </c>
      <c r="F124" s="107">
        <f>E124*150</f>
        <v>30000</v>
      </c>
      <c r="G124" s="108" t="s">
        <v>132</v>
      </c>
      <c r="H124" s="47" t="s">
        <v>84</v>
      </c>
      <c r="I124" s="88">
        <v>150</v>
      </c>
      <c r="J124" s="88"/>
      <c r="K124" s="88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90"/>
      <c r="AJ124" s="41"/>
      <c r="AK124" s="42"/>
      <c r="AL124" s="43"/>
      <c r="AM124" s="43"/>
    </row>
    <row r="125" spans="1:39" ht="15.75" customHeight="1" x14ac:dyDescent="0.35">
      <c r="A125" s="84"/>
      <c r="B125" s="89"/>
      <c r="C125" s="208" t="s">
        <v>210</v>
      </c>
      <c r="D125" s="324" t="s">
        <v>77</v>
      </c>
      <c r="E125" s="86">
        <v>300</v>
      </c>
      <c r="F125" s="325">
        <f>SUM(E125*1500)+(E126*150)</f>
        <v>487500</v>
      </c>
      <c r="G125" s="326" t="s">
        <v>132</v>
      </c>
      <c r="H125" s="324" t="s">
        <v>84</v>
      </c>
      <c r="I125" s="88">
        <v>1500</v>
      </c>
      <c r="J125" s="88"/>
      <c r="K125" s="88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90"/>
      <c r="AJ125" s="41"/>
      <c r="AK125" s="42"/>
      <c r="AL125" s="43"/>
      <c r="AM125" s="43"/>
    </row>
    <row r="126" spans="1:39" ht="15.75" customHeight="1" x14ac:dyDescent="0.35">
      <c r="A126" s="84"/>
      <c r="B126" s="89"/>
      <c r="C126" s="208" t="s">
        <v>211</v>
      </c>
      <c r="D126" s="289"/>
      <c r="E126" s="86">
        <v>250</v>
      </c>
      <c r="F126" s="289"/>
      <c r="G126" s="289"/>
      <c r="H126" s="289"/>
      <c r="I126" s="88">
        <v>150</v>
      </c>
      <c r="J126" s="88"/>
      <c r="K126" s="8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90"/>
      <c r="AJ126" s="41"/>
      <c r="AK126" s="42"/>
      <c r="AL126" s="43"/>
      <c r="AM126" s="43"/>
    </row>
    <row r="127" spans="1:39" ht="22.5" customHeight="1" x14ac:dyDescent="0.35">
      <c r="A127" s="44"/>
      <c r="B127" s="48"/>
      <c r="C127" s="207" t="s">
        <v>212</v>
      </c>
      <c r="D127" s="47" t="s">
        <v>213</v>
      </c>
      <c r="E127" s="46">
        <v>200</v>
      </c>
      <c r="F127" s="82">
        <f>E127*300</f>
        <v>60000</v>
      </c>
      <c r="G127" s="58" t="s">
        <v>132</v>
      </c>
      <c r="H127" s="47" t="s">
        <v>84</v>
      </c>
      <c r="I127" s="47">
        <v>300</v>
      </c>
      <c r="J127" s="47"/>
      <c r="K127" s="47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9"/>
      <c r="AJ127" s="22"/>
      <c r="AK127" s="18"/>
      <c r="AL127" s="2"/>
      <c r="AM127" s="2"/>
    </row>
    <row r="128" spans="1:39" ht="27" customHeight="1" x14ac:dyDescent="0.35">
      <c r="A128" s="44"/>
      <c r="B128" s="48"/>
      <c r="C128" s="207" t="s">
        <v>214</v>
      </c>
      <c r="D128" s="53" t="s">
        <v>215</v>
      </c>
      <c r="E128" s="46">
        <v>110</v>
      </c>
      <c r="F128" s="82">
        <f>E128*1000</f>
        <v>110000</v>
      </c>
      <c r="G128" s="58" t="s">
        <v>132</v>
      </c>
      <c r="H128" s="47" t="s">
        <v>84</v>
      </c>
      <c r="I128" s="47">
        <v>1000</v>
      </c>
      <c r="J128" s="47"/>
      <c r="K128" s="47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9"/>
      <c r="AJ128" s="22"/>
      <c r="AK128" s="18"/>
      <c r="AL128" s="2"/>
      <c r="AM128" s="2"/>
    </row>
    <row r="129" spans="1:39" ht="15.75" customHeight="1" x14ac:dyDescent="0.35">
      <c r="A129" s="28"/>
      <c r="B129" s="29"/>
      <c r="C129" s="216" t="s">
        <v>216</v>
      </c>
      <c r="D129" s="29"/>
      <c r="E129" s="31"/>
      <c r="F129" s="3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33"/>
      <c r="AJ129" s="41"/>
      <c r="AK129" s="42"/>
      <c r="AL129" s="43"/>
      <c r="AM129" s="43"/>
    </row>
    <row r="130" spans="1:39" ht="15.75" customHeight="1" x14ac:dyDescent="0.35">
      <c r="A130" s="109"/>
      <c r="B130" s="48"/>
      <c r="C130" s="207" t="s">
        <v>298</v>
      </c>
      <c r="D130" s="37" t="s">
        <v>144</v>
      </c>
      <c r="E130" s="110">
        <v>5000</v>
      </c>
      <c r="F130" s="110">
        <v>5000</v>
      </c>
      <c r="G130" s="58" t="s">
        <v>89</v>
      </c>
      <c r="H130" s="48"/>
      <c r="I130" s="37">
        <v>1</v>
      </c>
      <c r="J130" s="37">
        <v>1</v>
      </c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9"/>
      <c r="AJ130" s="22"/>
      <c r="AK130" s="18"/>
      <c r="AL130" s="2"/>
      <c r="AM130" s="2"/>
    </row>
    <row r="131" spans="1:39" ht="15.75" customHeight="1" x14ac:dyDescent="0.35">
      <c r="A131" s="28" t="s">
        <v>217</v>
      </c>
      <c r="B131" s="29"/>
      <c r="C131" s="216" t="s">
        <v>218</v>
      </c>
      <c r="D131" s="29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3"/>
      <c r="AJ131" s="41"/>
      <c r="AK131" s="42"/>
      <c r="AL131" s="43"/>
      <c r="AM131" s="43"/>
    </row>
    <row r="132" spans="1:39" s="116" customFormat="1" ht="15.75" customHeight="1" x14ac:dyDescent="0.35">
      <c r="A132" s="111"/>
      <c r="B132" s="112"/>
      <c r="C132" s="217" t="s">
        <v>299</v>
      </c>
      <c r="D132" s="37" t="s">
        <v>286</v>
      </c>
      <c r="E132" s="110">
        <v>25000</v>
      </c>
      <c r="F132" s="114">
        <f>E132*6</f>
        <v>150000</v>
      </c>
      <c r="G132" s="112"/>
      <c r="H132" s="112"/>
      <c r="I132" s="37">
        <v>10</v>
      </c>
      <c r="J132" s="112"/>
      <c r="K132" s="37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5"/>
      <c r="AJ132" s="41"/>
      <c r="AK132" s="42"/>
      <c r="AL132" s="43"/>
      <c r="AM132" s="43"/>
    </row>
    <row r="133" spans="1:39" ht="15.75" customHeight="1" x14ac:dyDescent="0.35">
      <c r="A133" s="28" t="s">
        <v>217</v>
      </c>
      <c r="B133" s="29"/>
      <c r="C133" s="216" t="s">
        <v>219</v>
      </c>
      <c r="D133" s="29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3"/>
      <c r="AJ133" s="41"/>
      <c r="AK133" s="42"/>
      <c r="AL133" s="43"/>
      <c r="AM133" s="43"/>
    </row>
    <row r="134" spans="1:39" ht="15.75" customHeight="1" x14ac:dyDescent="0.35">
      <c r="A134" s="34"/>
      <c r="B134" s="35"/>
      <c r="C134" s="36" t="s">
        <v>220</v>
      </c>
      <c r="D134" s="37" t="s">
        <v>221</v>
      </c>
      <c r="E134" s="110">
        <v>5000</v>
      </c>
      <c r="F134" s="110">
        <f>E134*10</f>
        <v>50000</v>
      </c>
      <c r="G134" s="39" t="s">
        <v>222</v>
      </c>
      <c r="H134" s="37"/>
      <c r="I134" s="37">
        <v>3</v>
      </c>
      <c r="J134" s="37">
        <v>3</v>
      </c>
      <c r="K134" s="37">
        <v>4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40"/>
      <c r="AJ134" s="41"/>
      <c r="AK134" s="42"/>
      <c r="AL134" s="43"/>
      <c r="AM134" s="43"/>
    </row>
    <row r="135" spans="1:39" ht="26.25" customHeight="1" x14ac:dyDescent="0.35">
      <c r="A135" s="34"/>
      <c r="B135" s="35"/>
      <c r="C135" s="117" t="s">
        <v>223</v>
      </c>
      <c r="D135" s="37" t="s">
        <v>77</v>
      </c>
      <c r="E135" s="110">
        <v>150000</v>
      </c>
      <c r="F135" s="110">
        <f>E135</f>
        <v>150000</v>
      </c>
      <c r="G135" s="58" t="s">
        <v>132</v>
      </c>
      <c r="H135" s="37"/>
      <c r="I135" s="37"/>
      <c r="J135" s="37">
        <v>1</v>
      </c>
      <c r="K135" s="39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40"/>
      <c r="AJ135" s="41"/>
      <c r="AK135" s="42"/>
      <c r="AL135" s="43"/>
      <c r="AM135" s="43"/>
    </row>
    <row r="136" spans="1:39" s="127" customFormat="1" ht="13.5" customHeight="1" x14ac:dyDescent="0.35">
      <c r="A136" s="118"/>
      <c r="B136" s="118"/>
      <c r="C136" s="119" t="s">
        <v>224</v>
      </c>
      <c r="D136" s="120" t="s">
        <v>77</v>
      </c>
      <c r="E136" s="121">
        <v>37000</v>
      </c>
      <c r="F136" s="122">
        <f>E136</f>
        <v>37000</v>
      </c>
      <c r="G136" s="120"/>
      <c r="H136" s="123"/>
      <c r="I136" s="124"/>
      <c r="J136" s="124">
        <v>1</v>
      </c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6"/>
      <c r="AK136" s="126"/>
    </row>
    <row r="137" spans="1:39" s="127" customFormat="1" ht="13.5" customHeight="1" x14ac:dyDescent="0.35">
      <c r="A137" s="118"/>
      <c r="B137" s="118"/>
      <c r="C137" s="119" t="s">
        <v>224</v>
      </c>
      <c r="D137" s="313" t="s">
        <v>77</v>
      </c>
      <c r="E137" s="121">
        <v>200000</v>
      </c>
      <c r="F137" s="316">
        <f>E137+E138+E139</f>
        <v>300000</v>
      </c>
      <c r="G137" s="313" t="s">
        <v>222</v>
      </c>
      <c r="H137" s="123"/>
      <c r="I137" s="124">
        <v>1</v>
      </c>
      <c r="J137" s="124"/>
      <c r="K137" s="128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6"/>
      <c r="AK137" s="126"/>
    </row>
    <row r="138" spans="1:39" s="127" customFormat="1" ht="13.5" customHeight="1" x14ac:dyDescent="0.35">
      <c r="A138" s="118"/>
      <c r="B138" s="118"/>
      <c r="C138" s="119" t="s">
        <v>224</v>
      </c>
      <c r="D138" s="314"/>
      <c r="E138" s="121">
        <v>50000</v>
      </c>
      <c r="F138" s="317"/>
      <c r="G138" s="314"/>
      <c r="H138" s="123"/>
      <c r="I138" s="124">
        <v>1</v>
      </c>
      <c r="J138" s="124"/>
      <c r="K138" s="128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6"/>
      <c r="AK138" s="126"/>
    </row>
    <row r="139" spans="1:39" s="127" customFormat="1" ht="13.5" customHeight="1" x14ac:dyDescent="0.35">
      <c r="A139" s="118"/>
      <c r="B139" s="118"/>
      <c r="C139" s="193" t="s">
        <v>224</v>
      </c>
      <c r="D139" s="315"/>
      <c r="E139" s="121">
        <v>50000</v>
      </c>
      <c r="F139" s="318"/>
      <c r="G139" s="315"/>
      <c r="H139" s="123"/>
      <c r="I139" s="124">
        <v>1</v>
      </c>
      <c r="J139" s="124"/>
      <c r="K139" s="128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6"/>
      <c r="AK139" s="126"/>
    </row>
    <row r="140" spans="1:39" s="127" customFormat="1" ht="13.5" customHeight="1" x14ac:dyDescent="0.35">
      <c r="A140" s="129"/>
      <c r="B140" s="194"/>
      <c r="C140" s="195" t="s">
        <v>287</v>
      </c>
      <c r="D140" s="120" t="s">
        <v>77</v>
      </c>
      <c r="E140" s="130">
        <v>100000</v>
      </c>
      <c r="F140" s="131">
        <v>85000</v>
      </c>
      <c r="G140" s="120"/>
      <c r="H140" s="123"/>
      <c r="I140" s="132">
        <v>1</v>
      </c>
      <c r="J140" s="132"/>
      <c r="K140" s="133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5"/>
      <c r="AJ140" s="126"/>
      <c r="AK140" s="126"/>
    </row>
    <row r="141" spans="1:39" ht="15.75" customHeight="1" x14ac:dyDescent="0.35">
      <c r="A141" s="28" t="s">
        <v>225</v>
      </c>
      <c r="B141" s="29"/>
      <c r="C141" s="216" t="s">
        <v>226</v>
      </c>
      <c r="D141" s="29"/>
      <c r="E141" s="31"/>
      <c r="F141" s="3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33"/>
      <c r="AJ141" s="41"/>
      <c r="AK141" s="42"/>
      <c r="AL141" s="43"/>
      <c r="AM141" s="43"/>
    </row>
    <row r="142" spans="1:39" ht="15.75" customHeight="1" x14ac:dyDescent="0.35">
      <c r="A142" s="34"/>
      <c r="B142" s="35"/>
      <c r="C142" s="36" t="s">
        <v>227</v>
      </c>
      <c r="D142" s="37" t="s">
        <v>285</v>
      </c>
      <c r="E142" s="110">
        <v>2500</v>
      </c>
      <c r="F142" s="110">
        <f>E142*1</f>
        <v>2500</v>
      </c>
      <c r="G142" s="39" t="s">
        <v>222</v>
      </c>
      <c r="H142" s="37" t="s">
        <v>79</v>
      </c>
      <c r="I142" s="88"/>
      <c r="J142" s="88">
        <v>1</v>
      </c>
      <c r="K142" s="88">
        <v>1</v>
      </c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40"/>
      <c r="AJ142" s="41"/>
      <c r="AK142" s="42"/>
      <c r="AL142" s="95"/>
      <c r="AM142" s="95"/>
    </row>
    <row r="143" spans="1:39" ht="15.75" customHeight="1" x14ac:dyDescent="0.35">
      <c r="A143" s="44"/>
      <c r="B143" s="48"/>
      <c r="C143" s="207" t="s">
        <v>228</v>
      </c>
      <c r="D143" s="47" t="s">
        <v>144</v>
      </c>
      <c r="E143" s="46">
        <v>350</v>
      </c>
      <c r="F143" s="46">
        <f>E143*2</f>
        <v>700</v>
      </c>
      <c r="G143" s="58" t="s">
        <v>89</v>
      </c>
      <c r="H143" s="47" t="s">
        <v>79</v>
      </c>
      <c r="I143" s="88">
        <v>1</v>
      </c>
      <c r="J143" s="88">
        <v>1</v>
      </c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9"/>
      <c r="AJ143" s="22"/>
      <c r="AK143" s="18"/>
    </row>
    <row r="144" spans="1:39" ht="15.75" customHeight="1" x14ac:dyDescent="0.35">
      <c r="A144" s="28" t="s">
        <v>229</v>
      </c>
      <c r="B144" s="29"/>
      <c r="C144" s="216" t="s">
        <v>230</v>
      </c>
      <c r="D144" s="29"/>
      <c r="E144" s="31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33"/>
      <c r="AJ144" s="22"/>
      <c r="AK144" s="18"/>
    </row>
    <row r="145" spans="1:39" ht="15.75" customHeight="1" x14ac:dyDescent="0.35">
      <c r="A145" s="44"/>
      <c r="B145" s="48"/>
      <c r="C145" s="207" t="s">
        <v>231</v>
      </c>
      <c r="D145" s="88" t="s">
        <v>77</v>
      </c>
      <c r="E145" s="46">
        <v>3000000</v>
      </c>
      <c r="F145" s="46">
        <f>E145*1</f>
        <v>3000000</v>
      </c>
      <c r="G145" s="58" t="s">
        <v>232</v>
      </c>
      <c r="H145" s="47" t="s">
        <v>233</v>
      </c>
      <c r="I145" s="47">
        <v>1</v>
      </c>
      <c r="J145" s="4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9"/>
      <c r="AJ145" s="22"/>
      <c r="AK145" s="18"/>
    </row>
    <row r="146" spans="1:39" ht="15.75" customHeight="1" x14ac:dyDescent="0.35">
      <c r="A146" s="28"/>
      <c r="B146" s="29"/>
      <c r="C146" s="218" t="s">
        <v>234</v>
      </c>
      <c r="D146" s="29"/>
      <c r="E146" s="31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3"/>
      <c r="AJ146" s="22"/>
      <c r="AK146" s="18"/>
    </row>
    <row r="147" spans="1:39" s="116" customFormat="1" ht="15.75" customHeight="1" x14ac:dyDescent="0.35">
      <c r="A147" s="111"/>
      <c r="B147" s="112"/>
      <c r="C147" s="113" t="s">
        <v>235</v>
      </c>
      <c r="D147" s="136" t="s">
        <v>77</v>
      </c>
      <c r="E147" s="100">
        <v>400000</v>
      </c>
      <c r="F147" s="137">
        <f>E147</f>
        <v>400000</v>
      </c>
      <c r="G147" s="138"/>
      <c r="H147" s="139" t="s">
        <v>236</v>
      </c>
      <c r="I147" s="47">
        <v>1</v>
      </c>
      <c r="J147" s="112"/>
      <c r="K147" s="47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5"/>
      <c r="AJ147" s="140"/>
      <c r="AK147" s="141"/>
    </row>
    <row r="148" spans="1:39" ht="15.75" customHeight="1" x14ac:dyDescent="0.35">
      <c r="A148" s="109"/>
      <c r="B148" s="48"/>
      <c r="C148" s="209" t="s">
        <v>237</v>
      </c>
      <c r="D148" s="327" t="s">
        <v>77</v>
      </c>
      <c r="E148" s="328">
        <v>12500</v>
      </c>
      <c r="F148" s="328">
        <f>E148*1</f>
        <v>12500</v>
      </c>
      <c r="G148" s="329"/>
      <c r="H148" s="293" t="s">
        <v>236</v>
      </c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9"/>
      <c r="AJ148" s="22"/>
      <c r="AK148" s="18"/>
    </row>
    <row r="149" spans="1:39" ht="15.75" customHeight="1" x14ac:dyDescent="0.35">
      <c r="A149" s="109"/>
      <c r="B149" s="48"/>
      <c r="C149" s="207" t="s">
        <v>238</v>
      </c>
      <c r="D149" s="297"/>
      <c r="E149" s="297"/>
      <c r="F149" s="297"/>
      <c r="G149" s="297"/>
      <c r="H149" s="297"/>
      <c r="I149" s="48"/>
      <c r="J149" s="4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9"/>
      <c r="AJ149" s="22"/>
      <c r="AK149" s="18"/>
    </row>
    <row r="150" spans="1:39" ht="15.75" customHeight="1" x14ac:dyDescent="0.35">
      <c r="A150" s="44"/>
      <c r="B150" s="48"/>
      <c r="C150" s="207" t="s">
        <v>239</v>
      </c>
      <c r="D150" s="298"/>
      <c r="E150" s="298"/>
      <c r="F150" s="298"/>
      <c r="G150" s="298"/>
      <c r="H150" s="298"/>
      <c r="I150" s="47"/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9"/>
      <c r="AJ150" s="22"/>
      <c r="AK150" s="18"/>
    </row>
    <row r="151" spans="1:39" ht="15.75" customHeight="1" x14ac:dyDescent="0.35">
      <c r="A151" s="28" t="s">
        <v>240</v>
      </c>
      <c r="B151" s="29"/>
      <c r="C151" s="214" t="s">
        <v>241</v>
      </c>
      <c r="D151" s="29"/>
      <c r="E151" s="31"/>
      <c r="F151" s="32"/>
      <c r="G151" s="29"/>
      <c r="H151" s="29"/>
      <c r="I151" s="142"/>
      <c r="J151" s="14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3"/>
      <c r="AJ151" s="41"/>
      <c r="AK151" s="42"/>
      <c r="AL151" s="43"/>
      <c r="AM151" s="43"/>
    </row>
    <row r="152" spans="1:39" ht="15.75" customHeight="1" x14ac:dyDescent="0.35">
      <c r="A152" s="44"/>
      <c r="B152" s="48"/>
      <c r="C152" s="210" t="s">
        <v>242</v>
      </c>
      <c r="D152" s="312" t="s">
        <v>77</v>
      </c>
      <c r="E152" s="310">
        <v>200000</v>
      </c>
      <c r="F152" s="310">
        <f>E152</f>
        <v>200000</v>
      </c>
      <c r="G152" s="291" t="s">
        <v>132</v>
      </c>
      <c r="H152" s="291" t="s">
        <v>243</v>
      </c>
      <c r="I152" s="330"/>
      <c r="J152" s="102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9"/>
      <c r="AJ152" s="22"/>
      <c r="AK152" s="18"/>
      <c r="AL152" s="2"/>
      <c r="AM152" s="2"/>
    </row>
    <row r="153" spans="1:39" ht="22.5" customHeight="1" x14ac:dyDescent="0.35">
      <c r="A153" s="44"/>
      <c r="B153" s="48"/>
      <c r="C153" s="211" t="s">
        <v>244</v>
      </c>
      <c r="D153" s="297"/>
      <c r="E153" s="297"/>
      <c r="F153" s="297"/>
      <c r="G153" s="308"/>
      <c r="H153" s="308"/>
      <c r="I153" s="297"/>
      <c r="J153" s="102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  <c r="AL153" s="2"/>
      <c r="AM153" s="2"/>
    </row>
    <row r="154" spans="1:39" ht="24" customHeight="1" x14ac:dyDescent="0.35">
      <c r="A154" s="44"/>
      <c r="B154" s="48"/>
      <c r="C154" s="202" t="s">
        <v>245</v>
      </c>
      <c r="D154" s="297"/>
      <c r="E154" s="297"/>
      <c r="F154" s="297"/>
      <c r="G154" s="308"/>
      <c r="H154" s="308"/>
      <c r="I154" s="297"/>
      <c r="J154" s="102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9"/>
      <c r="AJ154" s="22"/>
      <c r="AK154" s="18"/>
      <c r="AL154" s="2"/>
      <c r="AM154" s="2"/>
    </row>
    <row r="155" spans="1:39" ht="24" customHeight="1" x14ac:dyDescent="0.35">
      <c r="A155" s="44"/>
      <c r="B155" s="48"/>
      <c r="C155" s="202" t="s">
        <v>246</v>
      </c>
      <c r="D155" s="298"/>
      <c r="E155" s="298"/>
      <c r="F155" s="298"/>
      <c r="G155" s="308"/>
      <c r="H155" s="308"/>
      <c r="I155" s="298"/>
      <c r="J155" s="102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9"/>
      <c r="AJ155" s="22"/>
      <c r="AK155" s="18"/>
    </row>
    <row r="156" spans="1:39" ht="15.75" customHeight="1" x14ac:dyDescent="0.35">
      <c r="A156" s="44"/>
      <c r="B156" s="45"/>
      <c r="C156" s="199" t="s">
        <v>247</v>
      </c>
      <c r="D156" s="136" t="s">
        <v>77</v>
      </c>
      <c r="E156" s="46">
        <v>542000</v>
      </c>
      <c r="F156" s="143">
        <f t="shared" ref="F156:F157" si="1">E156</f>
        <v>542000</v>
      </c>
      <c r="G156" s="312" t="s">
        <v>248</v>
      </c>
      <c r="H156" s="296" t="s">
        <v>79</v>
      </c>
      <c r="I156" s="47">
        <v>1</v>
      </c>
      <c r="J156" s="47"/>
      <c r="K156" s="47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9"/>
      <c r="AJ156" s="22"/>
      <c r="AK156" s="18"/>
      <c r="AL156" s="2"/>
      <c r="AM156" s="2"/>
    </row>
    <row r="157" spans="1:39" ht="15.75" customHeight="1" x14ac:dyDescent="0.35">
      <c r="A157" s="44"/>
      <c r="B157" s="45"/>
      <c r="C157" s="199" t="s">
        <v>249</v>
      </c>
      <c r="D157" s="53" t="s">
        <v>77</v>
      </c>
      <c r="E157" s="46">
        <v>550000</v>
      </c>
      <c r="F157" s="229">
        <f t="shared" si="1"/>
        <v>550000</v>
      </c>
      <c r="G157" s="331"/>
      <c r="H157" s="332"/>
      <c r="I157" s="47">
        <v>1</v>
      </c>
      <c r="J157" s="47"/>
      <c r="K157" s="47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  <c r="AL157" s="2"/>
      <c r="AM157" s="2"/>
    </row>
    <row r="158" spans="1:39" ht="15.75" customHeight="1" x14ac:dyDescent="0.35">
      <c r="A158" s="144" t="s">
        <v>229</v>
      </c>
      <c r="B158" s="145"/>
      <c r="C158" s="219" t="s">
        <v>250</v>
      </c>
      <c r="D158" s="146"/>
      <c r="E158" s="147"/>
      <c r="F158" s="148"/>
      <c r="G158" s="149"/>
      <c r="H158" s="150"/>
      <c r="I158" s="150"/>
      <c r="J158" s="150"/>
      <c r="K158" s="150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51"/>
      <c r="AJ158" s="22"/>
      <c r="AK158" s="18"/>
    </row>
    <row r="159" spans="1:39" ht="22.5" customHeight="1" x14ac:dyDescent="0.35">
      <c r="A159" s="152"/>
      <c r="B159" s="153"/>
      <c r="C159" s="212" t="s">
        <v>251</v>
      </c>
      <c r="D159" s="53" t="s">
        <v>252</v>
      </c>
      <c r="E159" s="154">
        <v>15000</v>
      </c>
      <c r="F159" s="154">
        <f t="shared" ref="F159:F160" si="2">E159</f>
        <v>15000</v>
      </c>
      <c r="G159" s="50" t="s">
        <v>132</v>
      </c>
      <c r="H159" s="53" t="s">
        <v>243</v>
      </c>
      <c r="I159" s="53"/>
      <c r="J159" s="53"/>
      <c r="K159" s="53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155"/>
      <c r="AJ159" s="156"/>
      <c r="AK159" s="157"/>
      <c r="AL159" s="158"/>
      <c r="AM159" s="158"/>
    </row>
    <row r="160" spans="1:39" ht="24.75" customHeight="1" thickBot="1" x14ac:dyDescent="0.4">
      <c r="A160" s="159"/>
      <c r="B160" s="160"/>
      <c r="C160" s="161" t="s">
        <v>253</v>
      </c>
      <c r="D160" s="220" t="s">
        <v>136</v>
      </c>
      <c r="E160" s="223">
        <v>35000</v>
      </c>
      <c r="F160" s="223">
        <f t="shared" si="2"/>
        <v>35000</v>
      </c>
      <c r="G160" s="224" t="s">
        <v>132</v>
      </c>
      <c r="H160" s="220" t="s">
        <v>84</v>
      </c>
      <c r="I160" s="222"/>
      <c r="J160" s="222"/>
      <c r="K160" s="222"/>
      <c r="L160" s="225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4"/>
      <c r="AJ160" s="41"/>
      <c r="AK160" s="42"/>
      <c r="AL160" s="43"/>
      <c r="AM160" s="43"/>
    </row>
    <row r="161" spans="1:39" ht="27" customHeight="1" thickBot="1" x14ac:dyDescent="0.4">
      <c r="A161" s="159" t="s">
        <v>254</v>
      </c>
      <c r="B161" s="160"/>
      <c r="C161" s="165" t="s">
        <v>255</v>
      </c>
      <c r="D161" s="333" t="s">
        <v>77</v>
      </c>
      <c r="E161" s="335">
        <v>20000</v>
      </c>
      <c r="F161" s="335">
        <v>20000</v>
      </c>
      <c r="G161" s="336" t="s">
        <v>132</v>
      </c>
      <c r="H161" s="333" t="s">
        <v>84</v>
      </c>
      <c r="I161" s="220"/>
      <c r="J161" s="220"/>
      <c r="K161" s="220"/>
      <c r="L161" s="221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4"/>
      <c r="AJ161" s="41"/>
      <c r="AK161" s="42"/>
      <c r="AL161" s="43"/>
      <c r="AM161" s="43"/>
    </row>
    <row r="162" spans="1:39" ht="25.5" customHeight="1" thickBot="1" x14ac:dyDescent="0.4">
      <c r="A162" s="159" t="s">
        <v>256</v>
      </c>
      <c r="B162" s="160"/>
      <c r="C162" s="166" t="s">
        <v>257</v>
      </c>
      <c r="D162" s="297"/>
      <c r="E162" s="297"/>
      <c r="F162" s="297"/>
      <c r="G162" s="297"/>
      <c r="H162" s="297"/>
      <c r="I162" s="220"/>
      <c r="J162" s="220"/>
      <c r="K162" s="220"/>
      <c r="L162" s="221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4"/>
      <c r="AJ162" s="41"/>
      <c r="AK162" s="42"/>
      <c r="AL162" s="43"/>
      <c r="AM162" s="43"/>
    </row>
    <row r="163" spans="1:39" ht="27" customHeight="1" thickBot="1" x14ac:dyDescent="0.4">
      <c r="A163" s="159" t="s">
        <v>258</v>
      </c>
      <c r="B163" s="160"/>
      <c r="C163" s="166" t="s">
        <v>259</v>
      </c>
      <c r="D163" s="297"/>
      <c r="E163" s="297"/>
      <c r="F163" s="297"/>
      <c r="G163" s="297"/>
      <c r="H163" s="297"/>
      <c r="I163" s="220"/>
      <c r="J163" s="220"/>
      <c r="K163" s="220"/>
      <c r="L163" s="221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4"/>
      <c r="AJ163" s="41"/>
      <c r="AK163" s="42"/>
      <c r="AL163" s="43"/>
      <c r="AM163" s="43"/>
    </row>
    <row r="164" spans="1:39" ht="27.75" customHeight="1" thickBot="1" x14ac:dyDescent="0.4">
      <c r="A164" s="159" t="s">
        <v>260</v>
      </c>
      <c r="B164" s="160"/>
      <c r="C164" s="165" t="s">
        <v>261</v>
      </c>
      <c r="D164" s="334"/>
      <c r="E164" s="334"/>
      <c r="F164" s="334"/>
      <c r="G164" s="334"/>
      <c r="H164" s="334"/>
      <c r="I164" s="162"/>
      <c r="J164" s="162"/>
      <c r="K164" s="162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4"/>
      <c r="AJ164" s="41"/>
      <c r="AK164" s="42"/>
      <c r="AL164" s="43"/>
      <c r="AM164" s="43"/>
    </row>
    <row r="165" spans="1:39" ht="15.75" customHeight="1" x14ac:dyDescent="0.35">
      <c r="A165" s="167"/>
      <c r="B165" s="168"/>
      <c r="C165" s="213"/>
      <c r="D165" s="169"/>
      <c r="E165" s="170"/>
      <c r="F165" s="171"/>
      <c r="G165" s="172"/>
      <c r="H165" s="172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2"/>
      <c r="AK165" s="2"/>
    </row>
    <row r="166" spans="1:39" ht="15.75" customHeight="1" thickBot="1" x14ac:dyDescent="0.4">
      <c r="A166" s="173" t="s">
        <v>262</v>
      </c>
      <c r="B166" s="168"/>
      <c r="C166" s="168"/>
      <c r="D166" s="337">
        <f>SUM(F12:F163)</f>
        <v>9541811</v>
      </c>
      <c r="E166" s="338"/>
      <c r="F166" s="338"/>
      <c r="G166" s="172"/>
      <c r="H166" s="172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2"/>
      <c r="AK166" s="2"/>
    </row>
    <row r="167" spans="1:39" ht="15.75" hidden="1" customHeight="1" x14ac:dyDescent="0.35">
      <c r="A167" s="174" t="s">
        <v>263</v>
      </c>
      <c r="B167" s="175"/>
      <c r="C167" s="175"/>
      <c r="D167" s="339">
        <f>PRODUCT(D166,0.1)</f>
        <v>954181.10000000009</v>
      </c>
      <c r="E167" s="288"/>
      <c r="F167" s="289"/>
      <c r="G167" s="172"/>
      <c r="H167" s="172"/>
      <c r="I167" s="340"/>
      <c r="J167" s="283"/>
      <c r="K167" s="340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176"/>
      <c r="AI167" s="18"/>
      <c r="AJ167" s="2"/>
      <c r="AK167" s="2"/>
    </row>
    <row r="168" spans="1:39" ht="15.75" hidden="1" customHeight="1" x14ac:dyDescent="0.35">
      <c r="A168" s="177" t="s">
        <v>264</v>
      </c>
      <c r="B168" s="54"/>
      <c r="C168" s="54"/>
      <c r="D168" s="341">
        <f>PRODUCT(D166,0.1)</f>
        <v>954181.10000000009</v>
      </c>
      <c r="E168" s="342"/>
      <c r="F168" s="343"/>
      <c r="G168" s="172"/>
      <c r="H168" s="172"/>
      <c r="I168" s="18"/>
      <c r="J168" s="18"/>
      <c r="K168" s="344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178"/>
      <c r="AI168" s="18"/>
      <c r="AJ168" s="2"/>
      <c r="AK168" s="2"/>
    </row>
    <row r="169" spans="1:39" ht="15.75" hidden="1" customHeight="1" x14ac:dyDescent="0.35">
      <c r="A169" s="177" t="s">
        <v>265</v>
      </c>
      <c r="B169" s="54"/>
      <c r="C169" s="54"/>
      <c r="D169" s="341">
        <f>SUM(D166:F168)</f>
        <v>11450173.199999999</v>
      </c>
      <c r="E169" s="342"/>
      <c r="F169" s="343"/>
      <c r="G169" s="172"/>
      <c r="H169" s="172"/>
      <c r="I169" s="18"/>
      <c r="J169" s="18"/>
      <c r="K169" s="344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178"/>
      <c r="AI169" s="18"/>
      <c r="AJ169" s="2"/>
      <c r="AK169" s="2"/>
    </row>
    <row r="170" spans="1:39" ht="15.75" customHeight="1" thickTop="1" x14ac:dyDescent="0.35">
      <c r="A170" s="167"/>
      <c r="B170" s="168"/>
      <c r="C170" s="168"/>
      <c r="D170" s="169"/>
      <c r="E170" s="170"/>
      <c r="F170" s="171"/>
      <c r="G170" s="172"/>
      <c r="H170" s="172"/>
      <c r="I170" s="18"/>
      <c r="J170" s="18"/>
      <c r="K170" s="344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178"/>
      <c r="AI170" s="18"/>
      <c r="AJ170" s="2"/>
      <c r="AK170" s="2"/>
    </row>
    <row r="171" spans="1:39" ht="15.75" customHeight="1" x14ac:dyDescent="0.35">
      <c r="A171" s="179" t="s">
        <v>266</v>
      </c>
      <c r="B171" s="168"/>
      <c r="C171" s="168"/>
      <c r="D171" s="169"/>
      <c r="E171" s="170"/>
      <c r="F171" s="171"/>
      <c r="G171" s="172"/>
      <c r="H171" s="17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2"/>
      <c r="AK171" s="2"/>
    </row>
    <row r="172" spans="1:39" ht="15.75" customHeight="1" x14ac:dyDescent="0.35">
      <c r="A172" s="168"/>
      <c r="B172" s="168"/>
      <c r="C172" s="168"/>
      <c r="D172" s="169"/>
      <c r="E172" s="170"/>
      <c r="F172" s="171"/>
      <c r="G172" s="172"/>
      <c r="H172" s="17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2"/>
      <c r="AK172" s="2"/>
    </row>
    <row r="173" spans="1:39" ht="15.75" customHeight="1" x14ac:dyDescent="0.35">
      <c r="A173" s="180" t="s">
        <v>267</v>
      </c>
      <c r="B173" s="11"/>
      <c r="C173" s="11"/>
      <c r="D173" s="181" t="s">
        <v>268</v>
      </c>
      <c r="E173" s="182"/>
      <c r="F173" s="183"/>
      <c r="G173" s="184" t="s">
        <v>269</v>
      </c>
      <c r="H173" s="2"/>
      <c r="I173" s="2"/>
      <c r="J173" s="184" t="s">
        <v>270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185"/>
    </row>
    <row r="174" spans="1:39" ht="15.75" customHeight="1" x14ac:dyDescent="0.35">
      <c r="A174" s="180"/>
      <c r="B174" s="11"/>
      <c r="C174" s="11"/>
      <c r="D174" s="186"/>
      <c r="E174" s="182"/>
      <c r="F174" s="183"/>
      <c r="G174" s="187"/>
      <c r="H174" s="18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185"/>
      <c r="AK174" s="185"/>
    </row>
    <row r="175" spans="1:39" ht="15.75" customHeight="1" x14ac:dyDescent="0.35">
      <c r="A175" s="11"/>
      <c r="B175" s="11"/>
      <c r="C175" s="11"/>
      <c r="D175" s="186"/>
      <c r="E175" s="182"/>
      <c r="F175" s="183"/>
      <c r="G175" s="187"/>
      <c r="H175" s="18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185"/>
      <c r="AK175" s="185"/>
    </row>
    <row r="176" spans="1:39" ht="15.75" customHeight="1" x14ac:dyDescent="0.35">
      <c r="A176" s="345" t="s">
        <v>271</v>
      </c>
      <c r="B176" s="283"/>
      <c r="C176" s="283"/>
      <c r="D176" s="184" t="s">
        <v>272</v>
      </c>
      <c r="E176" s="188"/>
      <c r="F176" s="183"/>
      <c r="G176" s="184" t="s">
        <v>273</v>
      </c>
      <c r="H176" s="2"/>
      <c r="I176" s="2"/>
      <c r="J176" s="184" t="s">
        <v>274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" customHeight="1" x14ac:dyDescent="0.35">
      <c r="A177" s="346" t="s">
        <v>275</v>
      </c>
      <c r="B177" s="283"/>
      <c r="C177" s="283"/>
      <c r="D177" s="2" t="s">
        <v>276</v>
      </c>
      <c r="E177" s="188"/>
      <c r="F177" s="183"/>
      <c r="G177" s="2" t="s">
        <v>277</v>
      </c>
      <c r="H177" s="2"/>
      <c r="I177" s="2"/>
      <c r="J177" s="2" t="s">
        <v>278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185"/>
      <c r="AK177" s="185"/>
    </row>
    <row r="178" spans="1:37" ht="15.75" customHeight="1" x14ac:dyDescent="0.35">
      <c r="A178" s="2"/>
      <c r="B178" s="2"/>
      <c r="C178" s="2"/>
      <c r="D178" s="2"/>
      <c r="E178" s="188"/>
      <c r="F178" s="18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5">
      <c r="A179" s="2" t="s">
        <v>284</v>
      </c>
      <c r="B179" s="2"/>
      <c r="C179" s="2"/>
      <c r="D179" s="2" t="s">
        <v>279</v>
      </c>
      <c r="E179" s="188"/>
      <c r="F179" s="183"/>
      <c r="G179" s="2" t="s">
        <v>279</v>
      </c>
      <c r="H179" s="2"/>
      <c r="I179" s="2"/>
      <c r="J179" s="2" t="s">
        <v>279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5">
      <c r="D180" s="2"/>
      <c r="E180" s="188"/>
      <c r="F180" s="18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7" ht="15.75" customHeight="1" x14ac:dyDescent="0.35">
      <c r="D181" s="189" t="s">
        <v>280</v>
      </c>
      <c r="E181" s="182"/>
      <c r="F181" s="183"/>
      <c r="G181" s="187"/>
      <c r="H181" s="18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7" ht="15.75" customHeight="1" x14ac:dyDescent="0.35">
      <c r="A182" s="18"/>
      <c r="B182" s="18"/>
      <c r="C182" s="18"/>
      <c r="D182" s="169"/>
      <c r="E182" s="170"/>
      <c r="F182" s="171"/>
      <c r="G182" s="172"/>
      <c r="H182" s="172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</row>
    <row r="183" spans="1:37" ht="15.75" customHeight="1" x14ac:dyDescent="0.35">
      <c r="A183" s="18"/>
      <c r="B183" s="18"/>
      <c r="C183" s="18"/>
      <c r="D183" s="169"/>
      <c r="E183" s="170"/>
      <c r="F183" s="171"/>
      <c r="G183" s="172"/>
      <c r="H183" s="17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</row>
    <row r="184" spans="1:37" ht="15.75" customHeight="1" x14ac:dyDescent="0.35">
      <c r="D184" s="186"/>
      <c r="E184" s="182"/>
      <c r="F184" s="183"/>
      <c r="G184" s="187"/>
      <c r="H184" s="18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7" ht="15.75" customHeight="1" x14ac:dyDescent="0.35">
      <c r="D185" s="186"/>
      <c r="E185" s="182"/>
      <c r="F185" s="183"/>
      <c r="G185" s="187"/>
      <c r="H185" s="18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7" ht="15.75" customHeight="1" x14ac:dyDescent="0.35">
      <c r="D186" s="186"/>
      <c r="E186" s="182"/>
      <c r="F186" s="183"/>
      <c r="G186" s="187"/>
      <c r="H186" s="18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7" ht="15.75" customHeight="1" x14ac:dyDescent="0.35">
      <c r="D187" s="186"/>
      <c r="E187" s="182"/>
      <c r="F187" s="183"/>
      <c r="G187" s="187"/>
      <c r="H187" s="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7" ht="15.75" customHeight="1" x14ac:dyDescent="0.35">
      <c r="D188" s="186"/>
      <c r="E188" s="182"/>
      <c r="F188" s="183"/>
      <c r="G188" s="187"/>
      <c r="H188" s="18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7" ht="15.75" customHeight="1" x14ac:dyDescent="0.35">
      <c r="D189" s="186"/>
      <c r="E189" s="182"/>
      <c r="F189" s="183"/>
      <c r="G189" s="187"/>
      <c r="H189" s="18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7" ht="15.75" customHeight="1" x14ac:dyDescent="0.35">
      <c r="D190" s="186"/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D191" s="186"/>
      <c r="E191" s="182"/>
      <c r="F191" s="183"/>
      <c r="G191" s="187"/>
      <c r="H191" s="18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7" ht="15.75" customHeight="1" x14ac:dyDescent="0.35">
      <c r="D192" s="186"/>
      <c r="E192" s="190"/>
      <c r="H192" s="191"/>
    </row>
    <row r="193" spans="4:8" ht="15.75" customHeight="1" x14ac:dyDescent="0.35">
      <c r="D193" s="186"/>
      <c r="E193" s="190"/>
      <c r="H193" s="191"/>
    </row>
    <row r="194" spans="4:8" ht="15.75" customHeight="1" x14ac:dyDescent="0.35">
      <c r="D194" s="186"/>
      <c r="E194" s="190"/>
      <c r="H194" s="191"/>
    </row>
    <row r="195" spans="4:8" ht="15.75" customHeight="1" x14ac:dyDescent="0.35">
      <c r="D195" s="186"/>
      <c r="E195" s="190"/>
      <c r="H195" s="191"/>
    </row>
    <row r="196" spans="4:8" ht="15.75" customHeight="1" x14ac:dyDescent="0.35">
      <c r="D196" s="186"/>
      <c r="E196" s="190"/>
      <c r="H196" s="191"/>
    </row>
    <row r="197" spans="4:8" ht="15.75" customHeight="1" x14ac:dyDescent="0.35">
      <c r="D197" s="186"/>
      <c r="E197" s="190"/>
      <c r="H197" s="191"/>
    </row>
    <row r="198" spans="4:8" ht="15.75" customHeight="1" x14ac:dyDescent="0.35">
      <c r="D198" s="186"/>
      <c r="E198" s="190"/>
      <c r="H198" s="191"/>
    </row>
    <row r="199" spans="4:8" ht="15.75" customHeight="1" x14ac:dyDescent="0.35">
      <c r="D199" s="186"/>
      <c r="E199" s="190"/>
      <c r="H199" s="191"/>
    </row>
    <row r="200" spans="4:8" ht="15.75" customHeight="1" x14ac:dyDescent="0.35">
      <c r="D200" s="186"/>
      <c r="E200" s="190"/>
      <c r="H200" s="191"/>
    </row>
    <row r="201" spans="4:8" ht="15.75" customHeight="1" x14ac:dyDescent="0.35">
      <c r="D201" s="186"/>
      <c r="E201" s="190"/>
      <c r="H201" s="191"/>
    </row>
    <row r="202" spans="4:8" ht="15.75" customHeight="1" x14ac:dyDescent="0.35">
      <c r="D202" s="186"/>
      <c r="E202" s="190"/>
      <c r="H202" s="191"/>
    </row>
    <row r="203" spans="4:8" ht="15.75" customHeight="1" x14ac:dyDescent="0.35">
      <c r="D203" s="186"/>
      <c r="E203" s="190"/>
      <c r="H203" s="191"/>
    </row>
    <row r="204" spans="4:8" ht="15.75" customHeight="1" x14ac:dyDescent="0.35">
      <c r="D204" s="186"/>
      <c r="E204" s="190"/>
      <c r="H204" s="191"/>
    </row>
    <row r="205" spans="4:8" ht="15.75" customHeight="1" x14ac:dyDescent="0.35">
      <c r="D205" s="186"/>
      <c r="E205" s="190"/>
      <c r="H205" s="191"/>
    </row>
    <row r="206" spans="4:8" ht="15.75" customHeight="1" x14ac:dyDescent="0.35">
      <c r="D206" s="186"/>
      <c r="E206" s="190"/>
      <c r="H206" s="191"/>
    </row>
    <row r="207" spans="4:8" ht="15.75" customHeight="1" x14ac:dyDescent="0.35">
      <c r="D207" s="186"/>
      <c r="E207" s="190"/>
      <c r="H207" s="191"/>
    </row>
    <row r="208" spans="4:8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/>
    <row r="381" spans="4:8" ht="15.75" customHeight="1" x14ac:dyDescent="0.35"/>
    <row r="382" spans="4:8" ht="15.75" customHeight="1" x14ac:dyDescent="0.35"/>
    <row r="383" spans="4:8" ht="15.75" customHeight="1" x14ac:dyDescent="0.35"/>
    <row r="384" spans="4:8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</sheetData>
  <mergeCells count="87">
    <mergeCell ref="D169:F169"/>
    <mergeCell ref="K169:AG169"/>
    <mergeCell ref="K170:AG170"/>
    <mergeCell ref="A176:C176"/>
    <mergeCell ref="A177:C177"/>
    <mergeCell ref="D166:F166"/>
    <mergeCell ref="D167:F167"/>
    <mergeCell ref="I167:J167"/>
    <mergeCell ref="K167:AG167"/>
    <mergeCell ref="D168:F168"/>
    <mergeCell ref="K168:AG168"/>
    <mergeCell ref="I152:I155"/>
    <mergeCell ref="G156:G157"/>
    <mergeCell ref="H156:H157"/>
    <mergeCell ref="D161:D164"/>
    <mergeCell ref="E161:E164"/>
    <mergeCell ref="F161:F164"/>
    <mergeCell ref="G161:G164"/>
    <mergeCell ref="H161:H164"/>
    <mergeCell ref="D152:D155"/>
    <mergeCell ref="E152:E155"/>
    <mergeCell ref="F152:F155"/>
    <mergeCell ref="G152:G155"/>
    <mergeCell ref="H152:H155"/>
    <mergeCell ref="F125:F126"/>
    <mergeCell ref="G125:G126"/>
    <mergeCell ref="H125:H126"/>
    <mergeCell ref="D148:D150"/>
    <mergeCell ref="E148:E150"/>
    <mergeCell ref="F148:F150"/>
    <mergeCell ref="G148:G150"/>
    <mergeCell ref="H148:H150"/>
    <mergeCell ref="D81:D83"/>
    <mergeCell ref="F81:F83"/>
    <mergeCell ref="G81:G83"/>
    <mergeCell ref="H81:H83"/>
    <mergeCell ref="D137:D139"/>
    <mergeCell ref="F137:F139"/>
    <mergeCell ref="G137:G139"/>
    <mergeCell ref="D85:D86"/>
    <mergeCell ref="F85:F86"/>
    <mergeCell ref="G85:G86"/>
    <mergeCell ref="D90:D111"/>
    <mergeCell ref="F90:F111"/>
    <mergeCell ref="G90:G111"/>
    <mergeCell ref="F116:F117"/>
    <mergeCell ref="H90:H111"/>
    <mergeCell ref="D125:D126"/>
    <mergeCell ref="D55:D57"/>
    <mergeCell ref="F55:F57"/>
    <mergeCell ref="G55:G57"/>
    <mergeCell ref="H55:H57"/>
    <mergeCell ref="D60:D61"/>
    <mergeCell ref="F60:F61"/>
    <mergeCell ref="G60:G61"/>
    <mergeCell ref="H60:H61"/>
    <mergeCell ref="D23:D26"/>
    <mergeCell ref="F23:F26"/>
    <mergeCell ref="G23:G26"/>
    <mergeCell ref="H23:H26"/>
    <mergeCell ref="D27:D54"/>
    <mergeCell ref="F27:F54"/>
    <mergeCell ref="G27:G54"/>
    <mergeCell ref="H27:H54"/>
    <mergeCell ref="I8:AI8"/>
    <mergeCell ref="G13:G17"/>
    <mergeCell ref="H13:H17"/>
    <mergeCell ref="D18:D20"/>
    <mergeCell ref="F18:F20"/>
    <mergeCell ref="G18:G20"/>
    <mergeCell ref="H18:H20"/>
    <mergeCell ref="D13:D15"/>
    <mergeCell ref="D16:D17"/>
    <mergeCell ref="F13:F15"/>
    <mergeCell ref="F16:F17"/>
    <mergeCell ref="G8:G9"/>
    <mergeCell ref="H8:H9"/>
    <mergeCell ref="A1:AI1"/>
    <mergeCell ref="A2:AI2"/>
    <mergeCell ref="A3:AI3"/>
    <mergeCell ref="A4:G4"/>
    <mergeCell ref="A6:G6"/>
    <mergeCell ref="A8:A9"/>
    <mergeCell ref="B8:B9"/>
    <mergeCell ref="C8:C9"/>
    <mergeCell ref="E8:E9"/>
    <mergeCell ref="F8:F9"/>
  </mergeCells>
  <pageMargins left="0.7" right="0.36" top="0.27999999999999997" bottom="0.6" header="0" footer="0"/>
  <pageSetup paperSize="1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7805-B092-4E04-B857-CB483B873847}">
  <sheetPr>
    <pageSetUpPr fitToPage="1"/>
  </sheetPr>
  <dimension ref="A1:AM1053"/>
  <sheetViews>
    <sheetView topLeftCell="A56" workbookViewId="0">
      <selection activeCell="E65" sqref="E65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197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198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197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199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199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199" t="s">
        <v>306</v>
      </c>
      <c r="D18" s="293" t="s">
        <v>144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40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199" t="s">
        <v>307</v>
      </c>
      <c r="D19" s="297"/>
      <c r="E19" s="46">
        <v>6500</v>
      </c>
      <c r="F19" s="297"/>
      <c r="G19" s="297"/>
      <c r="H19" s="297"/>
      <c r="I19" s="47">
        <v>40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199" t="s">
        <v>308</v>
      </c>
      <c r="D20" s="298"/>
      <c r="E20" s="46">
        <v>7000</v>
      </c>
      <c r="F20" s="298"/>
      <c r="G20" s="298"/>
      <c r="H20" s="298"/>
      <c r="I20" s="47">
        <v>40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199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199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199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199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199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199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00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78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199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199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00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199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199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00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00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00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199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199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00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00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199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00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00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00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01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02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00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00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00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00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00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00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00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00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00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03" t="s">
        <v>124</v>
      </c>
      <c r="D55" s="305" t="s">
        <v>77</v>
      </c>
      <c r="E55" s="46">
        <v>7000</v>
      </c>
      <c r="F55" s="310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04" t="s">
        <v>125</v>
      </c>
      <c r="D56" s="297"/>
      <c r="E56" s="46">
        <v>4000</v>
      </c>
      <c r="F56" s="297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04" t="s">
        <v>126</v>
      </c>
      <c r="D57" s="298"/>
      <c r="E57" s="46">
        <v>13500</v>
      </c>
      <c r="F57" s="298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05" t="s">
        <v>127</v>
      </c>
      <c r="D58" s="68" t="s">
        <v>128</v>
      </c>
      <c r="E58" s="69">
        <v>15000</v>
      </c>
      <c r="F58" s="70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28" t="s">
        <v>129</v>
      </c>
      <c r="B59" s="78"/>
      <c r="C59" s="228" t="s">
        <v>130</v>
      </c>
      <c r="D59" s="29"/>
      <c r="E59" s="31"/>
      <c r="F59" s="31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3"/>
      <c r="AJ59" s="22"/>
      <c r="AK59" s="18"/>
    </row>
    <row r="60" spans="1:39" ht="15.75" customHeight="1" x14ac:dyDescent="0.35">
      <c r="A60" s="44"/>
      <c r="B60" s="45"/>
      <c r="C60" s="199" t="s">
        <v>131</v>
      </c>
      <c r="D60" s="307" t="s">
        <v>77</v>
      </c>
      <c r="E60" s="46">
        <v>49000</v>
      </c>
      <c r="F60" s="311">
        <f>E60*2+E61*2</f>
        <v>178000</v>
      </c>
      <c r="G60" s="291" t="s">
        <v>132</v>
      </c>
      <c r="H60" s="307" t="s">
        <v>79</v>
      </c>
      <c r="I60" s="47">
        <v>2</v>
      </c>
      <c r="J60" s="47"/>
      <c r="K60" s="47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22"/>
      <c r="AK60" s="18"/>
    </row>
    <row r="61" spans="1:39" ht="15.75" customHeight="1" x14ac:dyDescent="0.35">
      <c r="A61" s="44"/>
      <c r="B61" s="45"/>
      <c r="C61" s="199" t="s">
        <v>133</v>
      </c>
      <c r="D61" s="289"/>
      <c r="E61" s="46">
        <v>40000</v>
      </c>
      <c r="F61" s="289"/>
      <c r="G61" s="289"/>
      <c r="H61" s="289"/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197" t="s">
        <v>134</v>
      </c>
      <c r="D62" s="232" t="s">
        <v>144</v>
      </c>
      <c r="E62" s="46">
        <v>70000</v>
      </c>
      <c r="F62" s="233">
        <f>E62*2</f>
        <v>140000</v>
      </c>
      <c r="G62" s="17"/>
      <c r="H62" s="17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26.25" customHeight="1" x14ac:dyDescent="0.35">
      <c r="A63" s="44"/>
      <c r="B63" s="45"/>
      <c r="C63" s="199" t="s">
        <v>135</v>
      </c>
      <c r="D63" s="196" t="s">
        <v>136</v>
      </c>
      <c r="E63" s="46">
        <v>80000</v>
      </c>
      <c r="F63" s="233">
        <f>E63*2</f>
        <v>160000</v>
      </c>
      <c r="G63" s="80" t="s">
        <v>132</v>
      </c>
      <c r="H63" s="47" t="s">
        <v>79</v>
      </c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15.75" customHeight="1" x14ac:dyDescent="0.35">
      <c r="A64" s="28" t="s">
        <v>137</v>
      </c>
      <c r="B64" s="78"/>
      <c r="C64" s="214" t="s">
        <v>138</v>
      </c>
      <c r="D64" s="29"/>
      <c r="E64" s="31"/>
      <c r="F64" s="3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3"/>
      <c r="AJ64" s="41"/>
      <c r="AK64" s="42"/>
      <c r="AL64" s="43"/>
      <c r="AM64" s="43"/>
    </row>
    <row r="65" spans="1:39" ht="15.75" customHeight="1" x14ac:dyDescent="0.35">
      <c r="A65" s="44"/>
      <c r="B65" s="45"/>
      <c r="C65" s="199" t="s">
        <v>292</v>
      </c>
      <c r="D65" s="81" t="s">
        <v>77</v>
      </c>
      <c r="E65" s="82">
        <v>17000</v>
      </c>
      <c r="F65" s="82">
        <f>E65*30</f>
        <v>510000</v>
      </c>
      <c r="G65" s="58" t="s">
        <v>139</v>
      </c>
      <c r="H65" s="47" t="s">
        <v>79</v>
      </c>
      <c r="I65" s="47"/>
      <c r="J65" s="47">
        <v>20</v>
      </c>
      <c r="K65" s="47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22"/>
      <c r="AK65" s="18"/>
    </row>
    <row r="66" spans="1:39" ht="15.75" customHeight="1" x14ac:dyDescent="0.35">
      <c r="A66" s="28" t="s">
        <v>140</v>
      </c>
      <c r="B66" s="29"/>
      <c r="C66" s="227" t="s">
        <v>141</v>
      </c>
      <c r="D66" s="29"/>
      <c r="E66" s="31"/>
      <c r="F66" s="32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3"/>
      <c r="AJ66" s="22"/>
      <c r="AK66" s="18"/>
    </row>
    <row r="67" spans="1:39" ht="18" customHeight="1" x14ac:dyDescent="0.35">
      <c r="A67" s="44"/>
      <c r="B67" s="45"/>
      <c r="C67" s="199" t="s">
        <v>142</v>
      </c>
      <c r="D67" s="58" t="s">
        <v>221</v>
      </c>
      <c r="E67" s="46">
        <v>4500</v>
      </c>
      <c r="F67" s="82">
        <f>E67*10</f>
        <v>45000</v>
      </c>
      <c r="G67" s="83" t="s">
        <v>89</v>
      </c>
      <c r="H67" s="47"/>
      <c r="I67" s="47">
        <v>8</v>
      </c>
      <c r="J67" s="47">
        <v>2</v>
      </c>
      <c r="K67" s="47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1"/>
      <c r="AK67" s="42"/>
      <c r="AL67" s="43"/>
      <c r="AM67" s="43"/>
    </row>
    <row r="68" spans="1:39" ht="38.25" customHeight="1" x14ac:dyDescent="0.35">
      <c r="A68" s="44"/>
      <c r="B68" s="45"/>
      <c r="C68" s="199" t="s">
        <v>143</v>
      </c>
      <c r="D68" s="58" t="s">
        <v>144</v>
      </c>
      <c r="E68" s="46">
        <v>50000</v>
      </c>
      <c r="F68" s="82">
        <f>E68*2</f>
        <v>100000</v>
      </c>
      <c r="G68" s="58" t="s">
        <v>145</v>
      </c>
      <c r="H68" s="47"/>
      <c r="I68" s="47">
        <v>1</v>
      </c>
      <c r="J68" s="47">
        <v>1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22"/>
      <c r="AK68" s="18"/>
    </row>
    <row r="69" spans="1:39" ht="18" customHeight="1" x14ac:dyDescent="0.35">
      <c r="A69" s="84"/>
      <c r="B69" s="85"/>
      <c r="C69" s="206" t="s">
        <v>290</v>
      </c>
      <c r="D69" s="83" t="s">
        <v>291</v>
      </c>
      <c r="E69" s="86">
        <v>400</v>
      </c>
      <c r="F69" s="87">
        <f>E69*15</f>
        <v>6000</v>
      </c>
      <c r="G69" s="83" t="s">
        <v>89</v>
      </c>
      <c r="H69" s="88"/>
      <c r="I69" s="47">
        <v>8</v>
      </c>
      <c r="J69" s="47">
        <v>8</v>
      </c>
      <c r="K69" s="47">
        <v>4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90"/>
      <c r="AJ69" s="22"/>
      <c r="AK69" s="18"/>
    </row>
    <row r="70" spans="1:39" ht="22.5" customHeight="1" x14ac:dyDescent="0.35">
      <c r="A70" s="91"/>
      <c r="B70" s="92"/>
      <c r="C70" s="99" t="s">
        <v>293</v>
      </c>
      <c r="D70" s="37" t="s">
        <v>285</v>
      </c>
      <c r="E70" s="93"/>
      <c r="F70" s="94">
        <v>50000</v>
      </c>
      <c r="G70" s="83"/>
      <c r="H70" s="35"/>
      <c r="I70" s="47">
        <v>1</v>
      </c>
      <c r="J70" s="47"/>
      <c r="K70" s="47">
        <v>1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40"/>
      <c r="AJ70" s="41"/>
      <c r="AK70" s="42"/>
      <c r="AL70" s="95"/>
      <c r="AM70" s="95"/>
    </row>
    <row r="71" spans="1:39" ht="22.5" customHeight="1" x14ac:dyDescent="0.35">
      <c r="A71" s="91"/>
      <c r="B71" s="92"/>
      <c r="C71" s="99" t="s">
        <v>294</v>
      </c>
      <c r="D71" s="37" t="s">
        <v>144</v>
      </c>
      <c r="E71" s="93"/>
      <c r="F71" s="94">
        <v>80000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3.25" customHeight="1" x14ac:dyDescent="0.35">
      <c r="A72" s="28" t="s">
        <v>146</v>
      </c>
      <c r="B72" s="78"/>
      <c r="C72" s="214" t="s">
        <v>147</v>
      </c>
      <c r="D72" s="29"/>
      <c r="E72" s="31"/>
      <c r="F72" s="32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33"/>
      <c r="AJ72" s="22"/>
      <c r="AK72" s="18"/>
    </row>
    <row r="73" spans="1:39" ht="22.5" customHeight="1" x14ac:dyDescent="0.35">
      <c r="A73" s="44"/>
      <c r="B73" s="48"/>
      <c r="C73" s="207" t="s">
        <v>76</v>
      </c>
      <c r="D73" s="47" t="s">
        <v>148</v>
      </c>
      <c r="E73" s="82">
        <v>700</v>
      </c>
      <c r="F73" s="82">
        <f>E73*27</f>
        <v>18900</v>
      </c>
      <c r="G73" s="58" t="s">
        <v>78</v>
      </c>
      <c r="H73" s="47" t="s">
        <v>79</v>
      </c>
      <c r="I73" s="47"/>
      <c r="J73" s="48"/>
      <c r="K73" s="47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22"/>
      <c r="AK73" s="18"/>
      <c r="AL73" s="2"/>
      <c r="AM73" s="2"/>
    </row>
    <row r="74" spans="1:39" ht="22.5" customHeight="1" x14ac:dyDescent="0.35">
      <c r="A74" s="44"/>
      <c r="B74" s="48"/>
      <c r="C74" s="207" t="s">
        <v>289</v>
      </c>
      <c r="D74" s="47" t="s">
        <v>288</v>
      </c>
      <c r="E74" s="82">
        <v>350</v>
      </c>
      <c r="F74" s="82">
        <f>E74*35</f>
        <v>12250</v>
      </c>
      <c r="G74" s="58" t="s">
        <v>132</v>
      </c>
      <c r="H74" s="47" t="s">
        <v>84</v>
      </c>
      <c r="I74" s="47">
        <v>32</v>
      </c>
      <c r="J74" s="47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s="77" customFormat="1" ht="18.75" customHeight="1" x14ac:dyDescent="0.35">
      <c r="A75" s="66"/>
      <c r="B75" s="67"/>
      <c r="C75" s="205" t="s">
        <v>149</v>
      </c>
      <c r="D75" s="68" t="s">
        <v>150</v>
      </c>
      <c r="E75" s="69">
        <v>250</v>
      </c>
      <c r="F75" s="69">
        <f>250*20</f>
        <v>5000</v>
      </c>
      <c r="G75" s="96" t="s">
        <v>89</v>
      </c>
      <c r="H75" s="68" t="s">
        <v>84</v>
      </c>
      <c r="I75" s="68"/>
      <c r="J75" s="68"/>
      <c r="K75" s="68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5"/>
      <c r="AK75" s="75"/>
      <c r="AL75" s="97"/>
      <c r="AM75" s="97"/>
    </row>
    <row r="76" spans="1:39" s="77" customFormat="1" ht="18.75" customHeight="1" x14ac:dyDescent="0.35">
      <c r="A76" s="66"/>
      <c r="B76" s="67"/>
      <c r="C76" s="205" t="s">
        <v>151</v>
      </c>
      <c r="D76" s="68" t="s">
        <v>152</v>
      </c>
      <c r="E76" s="69">
        <v>300</v>
      </c>
      <c r="F76" s="69">
        <f>E76*100</f>
        <v>30000</v>
      </c>
      <c r="G76" s="96" t="s">
        <v>89</v>
      </c>
      <c r="H76" s="68" t="s">
        <v>84</v>
      </c>
      <c r="I76" s="68"/>
      <c r="J76" s="68">
        <v>100</v>
      </c>
      <c r="K76" s="6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05" t="s">
        <v>153</v>
      </c>
      <c r="D77" s="68" t="s">
        <v>154</v>
      </c>
      <c r="E77" s="69">
        <v>70</v>
      </c>
      <c r="F77" s="69">
        <f>300*70</f>
        <v>21000</v>
      </c>
      <c r="G77" s="96" t="s">
        <v>89</v>
      </c>
      <c r="H77" s="68" t="s">
        <v>84</v>
      </c>
      <c r="I77" s="68">
        <v>50</v>
      </c>
      <c r="J77" s="68">
        <v>50</v>
      </c>
      <c r="K77" s="6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ht="22.5" customHeight="1" x14ac:dyDescent="0.35">
      <c r="A78" s="44"/>
      <c r="B78" s="48"/>
      <c r="C78" s="207" t="s">
        <v>155</v>
      </c>
      <c r="D78" s="47" t="s">
        <v>156</v>
      </c>
      <c r="E78" s="82">
        <v>200</v>
      </c>
      <c r="F78" s="82">
        <f>E78*1000</f>
        <v>200000</v>
      </c>
      <c r="G78" s="58" t="s">
        <v>132</v>
      </c>
      <c r="H78" s="47" t="s">
        <v>84</v>
      </c>
      <c r="I78" s="47"/>
      <c r="J78" s="47"/>
      <c r="K78" s="47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22"/>
      <c r="AK78" s="18"/>
      <c r="AL78" s="2"/>
      <c r="AM78" s="2"/>
    </row>
    <row r="79" spans="1:39" ht="15.75" customHeight="1" x14ac:dyDescent="0.35">
      <c r="A79" s="44"/>
      <c r="B79" s="45"/>
      <c r="C79" s="199" t="s">
        <v>157</v>
      </c>
      <c r="D79" s="81" t="s">
        <v>158</v>
      </c>
      <c r="E79" s="46">
        <v>4000</v>
      </c>
      <c r="F79" s="82">
        <f>E79</f>
        <v>4000</v>
      </c>
      <c r="G79" s="58"/>
      <c r="H79" s="47"/>
      <c r="I79" s="47">
        <v>2</v>
      </c>
      <c r="J79" s="4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199" t="s">
        <v>159</v>
      </c>
      <c r="D80" s="47" t="s">
        <v>158</v>
      </c>
      <c r="E80" s="46">
        <v>26000</v>
      </c>
      <c r="F80" s="82">
        <f>E80*4</f>
        <v>104000</v>
      </c>
      <c r="G80" s="58" t="s">
        <v>78</v>
      </c>
      <c r="H80" s="47" t="s">
        <v>84</v>
      </c>
      <c r="I80" s="47">
        <v>2</v>
      </c>
      <c r="J80" s="47"/>
      <c r="K80" s="47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20.25" customHeight="1" x14ac:dyDescent="0.35">
      <c r="A81" s="44"/>
      <c r="B81" s="45"/>
      <c r="C81" s="199" t="s">
        <v>160</v>
      </c>
      <c r="D81" s="293" t="s">
        <v>77</v>
      </c>
      <c r="E81" s="46">
        <v>15000</v>
      </c>
      <c r="F81" s="310">
        <f>E81*2+E82*2+E83*4</f>
        <v>71000</v>
      </c>
      <c r="G81" s="312" t="s">
        <v>132</v>
      </c>
      <c r="H81" s="293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15.75" customHeight="1" x14ac:dyDescent="0.35">
      <c r="A82" s="44"/>
      <c r="B82" s="45"/>
      <c r="C82" s="197" t="s">
        <v>161</v>
      </c>
      <c r="D82" s="297"/>
      <c r="E82" s="46">
        <v>6500</v>
      </c>
      <c r="F82" s="297"/>
      <c r="G82" s="297"/>
      <c r="H82" s="297"/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</row>
    <row r="83" spans="1:39" ht="15.75" customHeight="1" x14ac:dyDescent="0.35">
      <c r="A83" s="44"/>
      <c r="B83" s="45"/>
      <c r="C83" s="199" t="s">
        <v>162</v>
      </c>
      <c r="D83" s="298"/>
      <c r="E83" s="46">
        <v>7000</v>
      </c>
      <c r="F83" s="298"/>
      <c r="G83" s="298"/>
      <c r="H83" s="298"/>
      <c r="I83" s="47">
        <v>4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163</v>
      </c>
      <c r="D84" s="47" t="s">
        <v>150</v>
      </c>
      <c r="E84" s="46">
        <v>500</v>
      </c>
      <c r="F84" s="46">
        <f>E84*20</f>
        <v>10000</v>
      </c>
      <c r="G84" s="58" t="s">
        <v>78</v>
      </c>
      <c r="H84" s="47" t="s">
        <v>84</v>
      </c>
      <c r="I84" s="47">
        <v>20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  <c r="AL84" s="2"/>
      <c r="AM84" s="2"/>
    </row>
    <row r="85" spans="1:39" ht="15.75" customHeight="1" x14ac:dyDescent="0.35">
      <c r="A85" s="44"/>
      <c r="B85" s="45"/>
      <c r="C85" s="199" t="s">
        <v>164</v>
      </c>
      <c r="D85" s="307" t="s">
        <v>77</v>
      </c>
      <c r="E85" s="46">
        <v>10000</v>
      </c>
      <c r="F85" s="319">
        <f>(E85*3)+(E86*20)</f>
        <v>70000</v>
      </c>
      <c r="G85" s="291" t="s">
        <v>78</v>
      </c>
      <c r="H85" s="47" t="s">
        <v>84</v>
      </c>
      <c r="I85" s="47">
        <v>3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65"/>
      <c r="AM85" s="65"/>
    </row>
    <row r="86" spans="1:39" ht="15.75" customHeight="1" x14ac:dyDescent="0.35">
      <c r="A86" s="44"/>
      <c r="B86" s="48"/>
      <c r="C86" s="207" t="s">
        <v>165</v>
      </c>
      <c r="D86" s="289"/>
      <c r="E86" s="46">
        <v>2000</v>
      </c>
      <c r="F86" s="289"/>
      <c r="G86" s="289"/>
      <c r="H86" s="47" t="s">
        <v>84</v>
      </c>
      <c r="I86" s="47">
        <v>20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166</v>
      </c>
      <c r="D87" s="98" t="s">
        <v>136</v>
      </c>
      <c r="E87" s="46">
        <v>10000</v>
      </c>
      <c r="F87" s="46">
        <f>E87*2</f>
        <v>20000</v>
      </c>
      <c r="G87" s="58" t="s">
        <v>78</v>
      </c>
      <c r="H87" s="47" t="s">
        <v>84</v>
      </c>
      <c r="I87" s="47">
        <v>1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91"/>
      <c r="B88" s="92"/>
      <c r="C88" s="99" t="s">
        <v>167</v>
      </c>
      <c r="D88" s="47" t="s">
        <v>168</v>
      </c>
      <c r="E88" s="100">
        <v>200</v>
      </c>
      <c r="F88" s="101">
        <f>E88*400</f>
        <v>80000</v>
      </c>
      <c r="G88" s="58" t="s">
        <v>78</v>
      </c>
      <c r="H88" s="47" t="s">
        <v>84</v>
      </c>
      <c r="I88" s="37">
        <v>100</v>
      </c>
      <c r="J88" s="37">
        <v>200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40"/>
      <c r="AJ88" s="41"/>
      <c r="AK88" s="42"/>
      <c r="AL88" s="95"/>
      <c r="AM88" s="95"/>
    </row>
    <row r="89" spans="1:39" ht="15.75" customHeight="1" x14ac:dyDescent="0.35">
      <c r="A89" s="91"/>
      <c r="B89" s="92"/>
      <c r="C89" s="99" t="s">
        <v>169</v>
      </c>
      <c r="D89" s="47" t="s">
        <v>152</v>
      </c>
      <c r="E89" s="100">
        <v>400</v>
      </c>
      <c r="F89" s="101">
        <f>E89*100</f>
        <v>40000</v>
      </c>
      <c r="G89" s="58" t="s">
        <v>78</v>
      </c>
      <c r="H89" s="81" t="s">
        <v>84</v>
      </c>
      <c r="I89" s="35"/>
      <c r="J89" s="37"/>
      <c r="K89" s="37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99" t="s">
        <v>170</v>
      </c>
      <c r="D90" s="293" t="s">
        <v>77</v>
      </c>
      <c r="E90" s="100">
        <f>550*2</f>
        <v>1100</v>
      </c>
      <c r="F90" s="320">
        <f>SUM(E90:E111)</f>
        <v>124711</v>
      </c>
      <c r="G90" s="312" t="s">
        <v>132</v>
      </c>
      <c r="H90" s="296" t="s">
        <v>84</v>
      </c>
      <c r="I90" s="35"/>
      <c r="J90" s="37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99" t="s">
        <v>171</v>
      </c>
      <c r="D91" s="294"/>
      <c r="E91" s="100">
        <f>600</f>
        <v>600</v>
      </c>
      <c r="F91" s="321"/>
      <c r="G91" s="322"/>
      <c r="H91" s="300"/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99" t="s">
        <v>172</v>
      </c>
      <c r="D92" s="294"/>
      <c r="E92" s="100">
        <v>6785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99" t="s">
        <v>173</v>
      </c>
      <c r="D93" s="294"/>
      <c r="E93" s="100">
        <v>3055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99" t="s">
        <v>174</v>
      </c>
      <c r="D94" s="294"/>
      <c r="E94" s="100">
        <v>1055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99" t="s">
        <v>175</v>
      </c>
      <c r="D95" s="294"/>
      <c r="E95" s="100">
        <f>455*4</f>
        <v>1820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99" t="s">
        <v>176</v>
      </c>
      <c r="D96" s="294"/>
      <c r="E96" s="100">
        <v>2100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99" t="s">
        <v>177</v>
      </c>
      <c r="D97" s="294"/>
      <c r="E97" s="100">
        <f>355*4</f>
        <v>1420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99" t="s">
        <v>178</v>
      </c>
      <c r="D98" s="294"/>
      <c r="E98" s="100">
        <f>325*30</f>
        <v>9750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99" t="s">
        <v>179</v>
      </c>
      <c r="D99" s="294"/>
      <c r="E99" s="100">
        <f>285*3</f>
        <v>855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99" t="s">
        <v>180</v>
      </c>
      <c r="D100" s="294"/>
      <c r="E100" s="100">
        <f>250*16</f>
        <v>4000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99" t="s">
        <v>181</v>
      </c>
      <c r="D101" s="294"/>
      <c r="E101" s="100">
        <f>65*5</f>
        <v>325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99" t="s">
        <v>182</v>
      </c>
      <c r="D102" s="294"/>
      <c r="E102" s="100">
        <f>35*40</f>
        <v>1400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99" t="s">
        <v>183</v>
      </c>
      <c r="D103" s="294"/>
      <c r="E103" s="100">
        <f>170*14</f>
        <v>2380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99" t="s">
        <v>184</v>
      </c>
      <c r="D104" s="294"/>
      <c r="E104" s="100">
        <f>80*4</f>
        <v>320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99" t="s">
        <v>185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99" t="s">
        <v>186</v>
      </c>
      <c r="D106" s="294"/>
      <c r="E106" s="100">
        <f>72*8</f>
        <v>576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99" t="s">
        <v>187</v>
      </c>
      <c r="D107" s="294"/>
      <c r="E107" s="100">
        <f>85*160</f>
        <v>13600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99" t="s">
        <v>188</v>
      </c>
      <c r="D108" s="294"/>
      <c r="E108" s="100">
        <f>50*2</f>
        <v>100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99" t="s">
        <v>189</v>
      </c>
      <c r="D109" s="294"/>
      <c r="E109" s="100">
        <f>60*150</f>
        <v>9000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99" t="s">
        <v>190</v>
      </c>
      <c r="D110" s="294"/>
      <c r="E110" s="100">
        <f>85*30</f>
        <v>2550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99" t="s">
        <v>191</v>
      </c>
      <c r="D111" s="294"/>
      <c r="E111" s="100">
        <f>770*80</f>
        <v>61600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28" t="s">
        <v>192</v>
      </c>
      <c r="B112" s="78"/>
      <c r="C112" s="214" t="s">
        <v>193</v>
      </c>
      <c r="D112" s="29"/>
      <c r="E112" s="31"/>
      <c r="F112" s="32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3"/>
      <c r="AJ112" s="22"/>
      <c r="AK112" s="18"/>
    </row>
    <row r="113" spans="1:39" ht="15.75" customHeight="1" x14ac:dyDescent="0.35">
      <c r="A113" s="44"/>
      <c r="B113" s="45"/>
      <c r="C113" s="199" t="s">
        <v>194</v>
      </c>
      <c r="D113" s="58" t="s">
        <v>144</v>
      </c>
      <c r="E113" s="46">
        <v>10000</v>
      </c>
      <c r="F113" s="82">
        <f>E113*2</f>
        <v>20000</v>
      </c>
      <c r="G113" s="58" t="s">
        <v>195</v>
      </c>
      <c r="H113" s="47" t="s">
        <v>79</v>
      </c>
      <c r="I113" s="47">
        <v>1</v>
      </c>
      <c r="J113" s="47">
        <v>1</v>
      </c>
      <c r="K113" s="47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22"/>
      <c r="AK113" s="18"/>
    </row>
    <row r="114" spans="1:39" ht="15.75" customHeight="1" x14ac:dyDescent="0.35">
      <c r="A114" s="28" t="s">
        <v>196</v>
      </c>
      <c r="B114" s="78"/>
      <c r="C114" s="226" t="s">
        <v>197</v>
      </c>
      <c r="D114" s="29"/>
      <c r="E114" s="31"/>
      <c r="F114" s="3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3"/>
      <c r="AJ114" s="41"/>
      <c r="AK114" s="42"/>
      <c r="AL114" s="43"/>
      <c r="AM114" s="43"/>
    </row>
    <row r="115" spans="1:39" ht="15.75" customHeight="1" x14ac:dyDescent="0.35">
      <c r="A115" s="44"/>
      <c r="B115" s="45"/>
      <c r="C115" s="199" t="s">
        <v>198</v>
      </c>
      <c r="D115" s="102" t="s">
        <v>199</v>
      </c>
      <c r="E115" s="46">
        <v>25000</v>
      </c>
      <c r="F115" s="82">
        <f t="shared" ref="F115" si="0">E115*1</f>
        <v>25000</v>
      </c>
      <c r="G115" s="58" t="s">
        <v>78</v>
      </c>
      <c r="H115" s="47" t="s">
        <v>84</v>
      </c>
      <c r="I115" s="47">
        <v>1</v>
      </c>
      <c r="J115" s="4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22"/>
      <c r="AK115" s="18"/>
      <c r="AL115" s="65"/>
      <c r="AM115" s="65"/>
    </row>
    <row r="116" spans="1:39" ht="15.75" customHeight="1" x14ac:dyDescent="0.35">
      <c r="A116" s="44"/>
      <c r="B116" s="45"/>
      <c r="C116" s="199" t="s">
        <v>305</v>
      </c>
      <c r="D116" s="330" t="s">
        <v>144</v>
      </c>
      <c r="E116" s="46">
        <v>4000</v>
      </c>
      <c r="F116" s="310">
        <f>(E116*2)+(E117*2)</f>
        <v>16000</v>
      </c>
      <c r="G116" s="58" t="s">
        <v>78</v>
      </c>
      <c r="H116" s="47" t="s">
        <v>84</v>
      </c>
      <c r="I116" s="47">
        <v>2</v>
      </c>
      <c r="J116" s="4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22"/>
      <c r="AK116" s="18"/>
    </row>
    <row r="117" spans="1:39" ht="15.75" customHeight="1" x14ac:dyDescent="0.35">
      <c r="A117" s="44"/>
      <c r="B117" s="45"/>
      <c r="C117" s="199" t="s">
        <v>303</v>
      </c>
      <c r="D117" s="347"/>
      <c r="E117" s="46">
        <v>4000</v>
      </c>
      <c r="F117" s="323"/>
      <c r="G117" s="58" t="s">
        <v>78</v>
      </c>
      <c r="H117" s="47" t="s">
        <v>84</v>
      </c>
      <c r="I117" s="47">
        <v>2</v>
      </c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</row>
    <row r="118" spans="1:39" ht="15.75" customHeight="1" x14ac:dyDescent="0.35">
      <c r="A118" s="44"/>
      <c r="B118" s="45"/>
      <c r="C118" s="200" t="s">
        <v>200</v>
      </c>
      <c r="D118" s="330" t="s">
        <v>144</v>
      </c>
      <c r="E118" s="46">
        <v>500</v>
      </c>
      <c r="F118" s="310">
        <f>(E118*30)+(E119*20)</f>
        <v>45000</v>
      </c>
      <c r="G118" s="58" t="s">
        <v>78</v>
      </c>
      <c r="H118" s="47" t="s">
        <v>84</v>
      </c>
      <c r="I118" s="47">
        <v>30</v>
      </c>
      <c r="J118" s="47"/>
      <c r="K118" s="47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44"/>
      <c r="B119" s="45"/>
      <c r="C119" s="200" t="s">
        <v>309</v>
      </c>
      <c r="D119" s="347"/>
      <c r="E119" s="46">
        <v>1500</v>
      </c>
      <c r="F119" s="323"/>
      <c r="G119" s="58"/>
      <c r="H119" s="47"/>
      <c r="I119" s="47"/>
      <c r="J119" s="47"/>
      <c r="K119" s="47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22"/>
      <c r="AK119" s="18"/>
    </row>
    <row r="120" spans="1:39" ht="15.75" customHeight="1" x14ac:dyDescent="0.35">
      <c r="A120" s="44"/>
      <c r="B120" s="45"/>
      <c r="C120" s="200" t="s">
        <v>202</v>
      </c>
      <c r="D120" s="102" t="s">
        <v>203</v>
      </c>
      <c r="E120" s="46">
        <v>50</v>
      </c>
      <c r="F120" s="82">
        <f>E120*500</f>
        <v>25000</v>
      </c>
      <c r="G120" s="58" t="s">
        <v>78</v>
      </c>
      <c r="H120" s="47" t="s">
        <v>84</v>
      </c>
      <c r="I120" s="47">
        <v>500</v>
      </c>
      <c r="J120" s="47"/>
      <c r="K120" s="47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</row>
    <row r="121" spans="1:39" ht="26.25" customHeight="1" x14ac:dyDescent="0.35">
      <c r="A121" s="44"/>
      <c r="B121" s="45"/>
      <c r="C121" s="199" t="s">
        <v>204</v>
      </c>
      <c r="D121" s="47" t="s">
        <v>205</v>
      </c>
      <c r="E121" s="46">
        <v>50000</v>
      </c>
      <c r="F121" s="82">
        <f>E121</f>
        <v>50000</v>
      </c>
      <c r="G121" s="103" t="s">
        <v>132</v>
      </c>
      <c r="H121" s="81" t="s">
        <v>206</v>
      </c>
      <c r="I121" s="47"/>
      <c r="J121" s="47">
        <v>200</v>
      </c>
      <c r="K121" s="47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26.25" customHeight="1" x14ac:dyDescent="0.35">
      <c r="A122" s="44"/>
      <c r="B122" s="45"/>
      <c r="C122" s="215" t="s">
        <v>297</v>
      </c>
      <c r="D122" s="62" t="s">
        <v>296</v>
      </c>
      <c r="E122" s="46">
        <v>500</v>
      </c>
      <c r="F122" s="192">
        <f>E122*500</f>
        <v>250000</v>
      </c>
      <c r="G122" s="103" t="s">
        <v>132</v>
      </c>
      <c r="H122" s="81"/>
      <c r="I122" s="47">
        <v>500</v>
      </c>
      <c r="J122" s="47"/>
      <c r="K122" s="47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26.25" customHeight="1" x14ac:dyDescent="0.35">
      <c r="A123" s="84"/>
      <c r="B123" s="89"/>
      <c r="C123" s="208" t="s">
        <v>207</v>
      </c>
      <c r="D123" s="98" t="s">
        <v>295</v>
      </c>
      <c r="E123" s="86">
        <v>250</v>
      </c>
      <c r="F123" s="104">
        <f>E123*1500</f>
        <v>375000</v>
      </c>
      <c r="G123" s="105" t="s">
        <v>132</v>
      </c>
      <c r="H123" s="47" t="s">
        <v>84</v>
      </c>
      <c r="I123" s="88">
        <v>1500</v>
      </c>
      <c r="J123" s="88"/>
      <c r="K123" s="88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90"/>
      <c r="AJ123" s="41"/>
      <c r="AK123" s="42"/>
      <c r="AL123" s="43"/>
      <c r="AM123" s="43"/>
    </row>
    <row r="124" spans="1:39" ht="26.25" customHeight="1" x14ac:dyDescent="0.35">
      <c r="A124" s="84"/>
      <c r="B124" s="89"/>
      <c r="C124" s="208" t="s">
        <v>208</v>
      </c>
      <c r="D124" s="106" t="s">
        <v>209</v>
      </c>
      <c r="E124" s="86">
        <v>200</v>
      </c>
      <c r="F124" s="107">
        <f>E124*150</f>
        <v>30000</v>
      </c>
      <c r="G124" s="108" t="s">
        <v>132</v>
      </c>
      <c r="H124" s="47" t="s">
        <v>84</v>
      </c>
      <c r="I124" s="88">
        <v>150</v>
      </c>
      <c r="J124" s="88"/>
      <c r="K124" s="88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90"/>
      <c r="AJ124" s="41"/>
      <c r="AK124" s="42"/>
      <c r="AL124" s="43"/>
      <c r="AM124" s="43"/>
    </row>
    <row r="125" spans="1:39" ht="15.75" customHeight="1" x14ac:dyDescent="0.35">
      <c r="A125" s="84"/>
      <c r="B125" s="89"/>
      <c r="C125" s="208" t="s">
        <v>210</v>
      </c>
      <c r="D125" s="324" t="s">
        <v>77</v>
      </c>
      <c r="E125" s="86">
        <v>300</v>
      </c>
      <c r="F125" s="325">
        <f>SUM(E125*1500)+(E126*150)</f>
        <v>487500</v>
      </c>
      <c r="G125" s="326" t="s">
        <v>132</v>
      </c>
      <c r="H125" s="324" t="s">
        <v>84</v>
      </c>
      <c r="I125" s="88">
        <v>1500</v>
      </c>
      <c r="J125" s="88"/>
      <c r="K125" s="88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90"/>
      <c r="AJ125" s="41"/>
      <c r="AK125" s="42"/>
      <c r="AL125" s="43"/>
      <c r="AM125" s="43"/>
    </row>
    <row r="126" spans="1:39" ht="15.75" customHeight="1" x14ac:dyDescent="0.35">
      <c r="A126" s="84"/>
      <c r="B126" s="89"/>
      <c r="C126" s="208" t="s">
        <v>211</v>
      </c>
      <c r="D126" s="289"/>
      <c r="E126" s="86">
        <v>250</v>
      </c>
      <c r="F126" s="289"/>
      <c r="G126" s="289"/>
      <c r="H126" s="289"/>
      <c r="I126" s="88">
        <v>150</v>
      </c>
      <c r="J126" s="88"/>
      <c r="K126" s="8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90"/>
      <c r="AJ126" s="41"/>
      <c r="AK126" s="42"/>
      <c r="AL126" s="43"/>
      <c r="AM126" s="43"/>
    </row>
    <row r="127" spans="1:39" ht="22.5" customHeight="1" x14ac:dyDescent="0.35">
      <c r="A127" s="44"/>
      <c r="B127" s="48"/>
      <c r="C127" s="207" t="s">
        <v>212</v>
      </c>
      <c r="D127" s="47" t="s">
        <v>213</v>
      </c>
      <c r="E127" s="46">
        <v>200</v>
      </c>
      <c r="F127" s="82">
        <f>E127*300</f>
        <v>60000</v>
      </c>
      <c r="G127" s="58" t="s">
        <v>132</v>
      </c>
      <c r="H127" s="47" t="s">
        <v>84</v>
      </c>
      <c r="I127" s="47">
        <v>300</v>
      </c>
      <c r="J127" s="47"/>
      <c r="K127" s="47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9"/>
      <c r="AJ127" s="22"/>
      <c r="AK127" s="18"/>
      <c r="AL127" s="2"/>
      <c r="AM127" s="2"/>
    </row>
    <row r="128" spans="1:39" ht="27" customHeight="1" x14ac:dyDescent="0.35">
      <c r="A128" s="44"/>
      <c r="B128" s="48"/>
      <c r="C128" s="207" t="s">
        <v>214</v>
      </c>
      <c r="D128" s="53" t="s">
        <v>215</v>
      </c>
      <c r="E128" s="46">
        <v>110</v>
      </c>
      <c r="F128" s="82">
        <f>E128*1000</f>
        <v>110000</v>
      </c>
      <c r="G128" s="58" t="s">
        <v>132</v>
      </c>
      <c r="H128" s="47" t="s">
        <v>84</v>
      </c>
      <c r="I128" s="47">
        <v>1000</v>
      </c>
      <c r="J128" s="47"/>
      <c r="K128" s="47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9"/>
      <c r="AJ128" s="22"/>
      <c r="AK128" s="18"/>
      <c r="AL128" s="2"/>
      <c r="AM128" s="2"/>
    </row>
    <row r="129" spans="1:39" ht="15.75" customHeight="1" x14ac:dyDescent="0.35">
      <c r="A129" s="28"/>
      <c r="B129" s="29"/>
      <c r="C129" s="216" t="s">
        <v>216</v>
      </c>
      <c r="D129" s="29"/>
      <c r="E129" s="31"/>
      <c r="F129" s="3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33"/>
      <c r="AJ129" s="41"/>
      <c r="AK129" s="42"/>
      <c r="AL129" s="43"/>
      <c r="AM129" s="43"/>
    </row>
    <row r="130" spans="1:39" ht="15.75" customHeight="1" x14ac:dyDescent="0.35">
      <c r="A130" s="109"/>
      <c r="B130" s="48"/>
      <c r="C130" s="207" t="s">
        <v>298</v>
      </c>
      <c r="D130" s="37" t="s">
        <v>144</v>
      </c>
      <c r="E130" s="110">
        <v>5000</v>
      </c>
      <c r="F130" s="110">
        <v>5000</v>
      </c>
      <c r="G130" s="58" t="s">
        <v>89</v>
      </c>
      <c r="H130" s="48"/>
      <c r="I130" s="37">
        <v>1</v>
      </c>
      <c r="J130" s="37">
        <v>1</v>
      </c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9"/>
      <c r="AJ130" s="22"/>
      <c r="AK130" s="18"/>
      <c r="AL130" s="2"/>
      <c r="AM130" s="2"/>
    </row>
    <row r="131" spans="1:39" ht="15.75" customHeight="1" x14ac:dyDescent="0.35">
      <c r="A131" s="28" t="s">
        <v>217</v>
      </c>
      <c r="B131" s="29"/>
      <c r="C131" s="216" t="s">
        <v>218</v>
      </c>
      <c r="D131" s="29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3"/>
      <c r="AJ131" s="41"/>
      <c r="AK131" s="42"/>
      <c r="AL131" s="43"/>
      <c r="AM131" s="43"/>
    </row>
    <row r="132" spans="1:39" s="116" customFormat="1" ht="15.75" customHeight="1" x14ac:dyDescent="0.35">
      <c r="A132" s="111"/>
      <c r="B132" s="112"/>
      <c r="C132" s="217" t="s">
        <v>299</v>
      </c>
      <c r="D132" s="37" t="s">
        <v>286</v>
      </c>
      <c r="E132" s="110">
        <v>25000</v>
      </c>
      <c r="F132" s="114">
        <f>E132*6</f>
        <v>150000</v>
      </c>
      <c r="G132" s="112"/>
      <c r="H132" s="112"/>
      <c r="I132" s="37">
        <v>10</v>
      </c>
      <c r="J132" s="112"/>
      <c r="K132" s="37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5"/>
      <c r="AJ132" s="41"/>
      <c r="AK132" s="42"/>
      <c r="AL132" s="43"/>
      <c r="AM132" s="43"/>
    </row>
    <row r="133" spans="1:39" ht="15.75" customHeight="1" x14ac:dyDescent="0.35">
      <c r="A133" s="28" t="s">
        <v>217</v>
      </c>
      <c r="B133" s="29"/>
      <c r="C133" s="216" t="s">
        <v>219</v>
      </c>
      <c r="D133" s="29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3"/>
      <c r="AJ133" s="41"/>
      <c r="AK133" s="42"/>
      <c r="AL133" s="43"/>
      <c r="AM133" s="43"/>
    </row>
    <row r="134" spans="1:39" ht="15.75" customHeight="1" x14ac:dyDescent="0.35">
      <c r="A134" s="34"/>
      <c r="B134" s="35"/>
      <c r="C134" s="36" t="s">
        <v>220</v>
      </c>
      <c r="D134" s="37" t="s">
        <v>221</v>
      </c>
      <c r="E134" s="110">
        <v>5000</v>
      </c>
      <c r="F134" s="110">
        <f>E134*10</f>
        <v>50000</v>
      </c>
      <c r="G134" s="39" t="s">
        <v>222</v>
      </c>
      <c r="H134" s="37"/>
      <c r="I134" s="37">
        <v>3</v>
      </c>
      <c r="J134" s="37">
        <v>3</v>
      </c>
      <c r="K134" s="37">
        <v>4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40"/>
      <c r="AJ134" s="41"/>
      <c r="AK134" s="42"/>
      <c r="AL134" s="43"/>
      <c r="AM134" s="43"/>
    </row>
    <row r="135" spans="1:39" ht="26.25" customHeight="1" x14ac:dyDescent="0.35">
      <c r="A135" s="34"/>
      <c r="B135" s="35"/>
      <c r="C135" s="117" t="s">
        <v>223</v>
      </c>
      <c r="D135" s="37" t="s">
        <v>77</v>
      </c>
      <c r="E135" s="110">
        <v>150000</v>
      </c>
      <c r="F135" s="110">
        <f>E135</f>
        <v>150000</v>
      </c>
      <c r="G135" s="58" t="s">
        <v>132</v>
      </c>
      <c r="H135" s="37"/>
      <c r="I135" s="37"/>
      <c r="J135" s="37">
        <v>1</v>
      </c>
      <c r="K135" s="39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40"/>
      <c r="AJ135" s="41"/>
      <c r="AK135" s="42"/>
      <c r="AL135" s="43"/>
      <c r="AM135" s="43"/>
    </row>
    <row r="136" spans="1:39" s="127" customFormat="1" ht="13.5" customHeight="1" x14ac:dyDescent="0.35">
      <c r="A136" s="118"/>
      <c r="B136" s="118"/>
      <c r="C136" s="119" t="s">
        <v>224</v>
      </c>
      <c r="D136" s="120" t="s">
        <v>77</v>
      </c>
      <c r="E136" s="121">
        <v>37000</v>
      </c>
      <c r="F136" s="122">
        <f>E136</f>
        <v>37000</v>
      </c>
      <c r="G136" s="120"/>
      <c r="H136" s="123"/>
      <c r="I136" s="124"/>
      <c r="J136" s="124">
        <v>1</v>
      </c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6"/>
      <c r="AK136" s="126"/>
    </row>
    <row r="137" spans="1:39" s="127" customFormat="1" ht="13.5" customHeight="1" x14ac:dyDescent="0.35">
      <c r="A137" s="118"/>
      <c r="B137" s="118"/>
      <c r="C137" s="119" t="s">
        <v>224</v>
      </c>
      <c r="D137" s="313" t="s">
        <v>77</v>
      </c>
      <c r="E137" s="121">
        <v>200000</v>
      </c>
      <c r="F137" s="316">
        <f>E137+E138+E139</f>
        <v>300000</v>
      </c>
      <c r="G137" s="313" t="s">
        <v>222</v>
      </c>
      <c r="H137" s="123"/>
      <c r="I137" s="124">
        <v>1</v>
      </c>
      <c r="J137" s="124"/>
      <c r="K137" s="128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6"/>
      <c r="AK137" s="126"/>
    </row>
    <row r="138" spans="1:39" s="127" customFormat="1" ht="13.5" customHeight="1" x14ac:dyDescent="0.35">
      <c r="A138" s="118"/>
      <c r="B138" s="118"/>
      <c r="C138" s="119" t="s">
        <v>224</v>
      </c>
      <c r="D138" s="314"/>
      <c r="E138" s="121">
        <v>50000</v>
      </c>
      <c r="F138" s="317"/>
      <c r="G138" s="314"/>
      <c r="H138" s="123"/>
      <c r="I138" s="124">
        <v>1</v>
      </c>
      <c r="J138" s="124"/>
      <c r="K138" s="128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6"/>
      <c r="AK138" s="126"/>
    </row>
    <row r="139" spans="1:39" s="127" customFormat="1" ht="13.5" customHeight="1" x14ac:dyDescent="0.35">
      <c r="A139" s="118"/>
      <c r="B139" s="118"/>
      <c r="C139" s="193" t="s">
        <v>224</v>
      </c>
      <c r="D139" s="315"/>
      <c r="E139" s="121">
        <v>50000</v>
      </c>
      <c r="F139" s="318"/>
      <c r="G139" s="315"/>
      <c r="H139" s="123"/>
      <c r="I139" s="124">
        <v>1</v>
      </c>
      <c r="J139" s="124"/>
      <c r="K139" s="128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6"/>
      <c r="AK139" s="126"/>
    </row>
    <row r="140" spans="1:39" s="127" customFormat="1" ht="13.5" customHeight="1" x14ac:dyDescent="0.35">
      <c r="A140" s="129"/>
      <c r="B140" s="194"/>
      <c r="C140" s="195" t="s">
        <v>287</v>
      </c>
      <c r="D140" s="120" t="s">
        <v>77</v>
      </c>
      <c r="E140" s="130">
        <v>100000</v>
      </c>
      <c r="F140" s="131">
        <v>85000</v>
      </c>
      <c r="G140" s="120"/>
      <c r="H140" s="123"/>
      <c r="I140" s="132">
        <v>1</v>
      </c>
      <c r="J140" s="132"/>
      <c r="K140" s="133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5"/>
      <c r="AJ140" s="126"/>
      <c r="AK140" s="126"/>
    </row>
    <row r="141" spans="1:39" ht="15.75" customHeight="1" x14ac:dyDescent="0.35">
      <c r="A141" s="28" t="s">
        <v>225</v>
      </c>
      <c r="B141" s="29"/>
      <c r="C141" s="216" t="s">
        <v>226</v>
      </c>
      <c r="D141" s="29"/>
      <c r="E141" s="31"/>
      <c r="F141" s="3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33"/>
      <c r="AJ141" s="41"/>
      <c r="AK141" s="42"/>
      <c r="AL141" s="43"/>
      <c r="AM141" s="43"/>
    </row>
    <row r="142" spans="1:39" ht="15.75" customHeight="1" x14ac:dyDescent="0.35">
      <c r="A142" s="34"/>
      <c r="B142" s="35"/>
      <c r="C142" s="36" t="s">
        <v>227</v>
      </c>
      <c r="D142" s="37" t="s">
        <v>285</v>
      </c>
      <c r="E142" s="110">
        <v>2500</v>
      </c>
      <c r="F142" s="110">
        <f>E142*1</f>
        <v>2500</v>
      </c>
      <c r="G142" s="39" t="s">
        <v>222</v>
      </c>
      <c r="H142" s="37" t="s">
        <v>79</v>
      </c>
      <c r="I142" s="88"/>
      <c r="J142" s="88">
        <v>1</v>
      </c>
      <c r="K142" s="88">
        <v>1</v>
      </c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40"/>
      <c r="AJ142" s="41"/>
      <c r="AK142" s="42"/>
      <c r="AL142" s="95"/>
      <c r="AM142" s="95"/>
    </row>
    <row r="143" spans="1:39" ht="15.75" customHeight="1" x14ac:dyDescent="0.35">
      <c r="A143" s="44"/>
      <c r="B143" s="48"/>
      <c r="C143" s="207" t="s">
        <v>228</v>
      </c>
      <c r="D143" s="47" t="s">
        <v>144</v>
      </c>
      <c r="E143" s="46">
        <v>350</v>
      </c>
      <c r="F143" s="46">
        <f>E143*2</f>
        <v>700</v>
      </c>
      <c r="G143" s="58" t="s">
        <v>89</v>
      </c>
      <c r="H143" s="47" t="s">
        <v>79</v>
      </c>
      <c r="I143" s="88">
        <v>1</v>
      </c>
      <c r="J143" s="88">
        <v>1</v>
      </c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9"/>
      <c r="AJ143" s="22"/>
      <c r="AK143" s="18"/>
    </row>
    <row r="144" spans="1:39" ht="15.75" customHeight="1" x14ac:dyDescent="0.35">
      <c r="A144" s="28" t="s">
        <v>229</v>
      </c>
      <c r="B144" s="29"/>
      <c r="C144" s="216" t="s">
        <v>230</v>
      </c>
      <c r="D144" s="29"/>
      <c r="E144" s="31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33"/>
      <c r="AJ144" s="22"/>
      <c r="AK144" s="18"/>
    </row>
    <row r="145" spans="1:39" ht="15.75" customHeight="1" x14ac:dyDescent="0.35">
      <c r="A145" s="44"/>
      <c r="B145" s="48"/>
      <c r="C145" s="207" t="s">
        <v>231</v>
      </c>
      <c r="D145" s="88" t="s">
        <v>77</v>
      </c>
      <c r="E145" s="46">
        <v>3000000</v>
      </c>
      <c r="F145" s="46">
        <f>E145*1</f>
        <v>3000000</v>
      </c>
      <c r="G145" s="58" t="s">
        <v>232</v>
      </c>
      <c r="H145" s="47" t="s">
        <v>233</v>
      </c>
      <c r="I145" s="47">
        <v>1</v>
      </c>
      <c r="J145" s="4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9"/>
      <c r="AJ145" s="22"/>
      <c r="AK145" s="18"/>
    </row>
    <row r="146" spans="1:39" ht="15.75" customHeight="1" x14ac:dyDescent="0.35">
      <c r="A146" s="28"/>
      <c r="B146" s="29"/>
      <c r="C146" s="218" t="s">
        <v>234</v>
      </c>
      <c r="D146" s="29"/>
      <c r="E146" s="31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3"/>
      <c r="AJ146" s="22"/>
      <c r="AK146" s="18"/>
    </row>
    <row r="147" spans="1:39" s="116" customFormat="1" ht="15.75" customHeight="1" x14ac:dyDescent="0.35">
      <c r="A147" s="111"/>
      <c r="B147" s="112"/>
      <c r="C147" s="113" t="s">
        <v>235</v>
      </c>
      <c r="D147" s="136" t="s">
        <v>77</v>
      </c>
      <c r="E147" s="100">
        <v>400000</v>
      </c>
      <c r="F147" s="137">
        <f>E147</f>
        <v>400000</v>
      </c>
      <c r="G147" s="138"/>
      <c r="H147" s="139" t="s">
        <v>236</v>
      </c>
      <c r="I147" s="47">
        <v>1</v>
      </c>
      <c r="J147" s="112"/>
      <c r="K147" s="47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5"/>
      <c r="AJ147" s="140"/>
      <c r="AK147" s="141"/>
    </row>
    <row r="148" spans="1:39" ht="15.75" customHeight="1" x14ac:dyDescent="0.35">
      <c r="A148" s="109"/>
      <c r="B148" s="48"/>
      <c r="C148" s="209" t="s">
        <v>237</v>
      </c>
      <c r="D148" s="327" t="s">
        <v>77</v>
      </c>
      <c r="E148" s="328">
        <v>12500</v>
      </c>
      <c r="F148" s="328">
        <f>E148*1</f>
        <v>12500</v>
      </c>
      <c r="G148" s="329"/>
      <c r="H148" s="293" t="s">
        <v>236</v>
      </c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9"/>
      <c r="AJ148" s="22"/>
      <c r="AK148" s="18"/>
    </row>
    <row r="149" spans="1:39" ht="15.75" customHeight="1" x14ac:dyDescent="0.35">
      <c r="A149" s="109"/>
      <c r="B149" s="48"/>
      <c r="C149" s="207" t="s">
        <v>238</v>
      </c>
      <c r="D149" s="297"/>
      <c r="E149" s="297"/>
      <c r="F149" s="297"/>
      <c r="G149" s="297"/>
      <c r="H149" s="297"/>
      <c r="I149" s="48"/>
      <c r="J149" s="4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9"/>
      <c r="AJ149" s="22"/>
      <c r="AK149" s="18"/>
    </row>
    <row r="150" spans="1:39" ht="15.75" customHeight="1" x14ac:dyDescent="0.35">
      <c r="A150" s="44"/>
      <c r="B150" s="48"/>
      <c r="C150" s="207" t="s">
        <v>239</v>
      </c>
      <c r="D150" s="298"/>
      <c r="E150" s="298"/>
      <c r="F150" s="298"/>
      <c r="G150" s="298"/>
      <c r="H150" s="298"/>
      <c r="I150" s="47"/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9"/>
      <c r="AJ150" s="22"/>
      <c r="AK150" s="18"/>
    </row>
    <row r="151" spans="1:39" ht="15.75" customHeight="1" x14ac:dyDescent="0.35">
      <c r="A151" s="28" t="s">
        <v>240</v>
      </c>
      <c r="B151" s="29"/>
      <c r="C151" s="214" t="s">
        <v>241</v>
      </c>
      <c r="D151" s="29"/>
      <c r="E151" s="31"/>
      <c r="F151" s="32"/>
      <c r="G151" s="29"/>
      <c r="H151" s="29"/>
      <c r="I151" s="142"/>
      <c r="J151" s="14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3"/>
      <c r="AJ151" s="41"/>
      <c r="AK151" s="42"/>
      <c r="AL151" s="43"/>
      <c r="AM151" s="43"/>
    </row>
    <row r="152" spans="1:39" ht="15.75" customHeight="1" x14ac:dyDescent="0.35">
      <c r="A152" s="44"/>
      <c r="B152" s="48"/>
      <c r="C152" s="210" t="s">
        <v>242</v>
      </c>
      <c r="D152" s="312" t="s">
        <v>77</v>
      </c>
      <c r="E152" s="310">
        <v>200000</v>
      </c>
      <c r="F152" s="310">
        <f>E152</f>
        <v>200000</v>
      </c>
      <c r="G152" s="291" t="s">
        <v>132</v>
      </c>
      <c r="H152" s="291" t="s">
        <v>243</v>
      </c>
      <c r="I152" s="330"/>
      <c r="J152" s="102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9"/>
      <c r="AJ152" s="22"/>
      <c r="AK152" s="18"/>
      <c r="AL152" s="2"/>
      <c r="AM152" s="2"/>
    </row>
    <row r="153" spans="1:39" ht="22.5" customHeight="1" x14ac:dyDescent="0.35">
      <c r="A153" s="44"/>
      <c r="B153" s="48"/>
      <c r="C153" s="211" t="s">
        <v>244</v>
      </c>
      <c r="D153" s="297"/>
      <c r="E153" s="297"/>
      <c r="F153" s="297"/>
      <c r="G153" s="308"/>
      <c r="H153" s="308"/>
      <c r="I153" s="297"/>
      <c r="J153" s="102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  <c r="AL153" s="2"/>
      <c r="AM153" s="2"/>
    </row>
    <row r="154" spans="1:39" ht="24" customHeight="1" x14ac:dyDescent="0.35">
      <c r="A154" s="44"/>
      <c r="B154" s="48"/>
      <c r="C154" s="202" t="s">
        <v>245</v>
      </c>
      <c r="D154" s="297"/>
      <c r="E154" s="297"/>
      <c r="F154" s="297"/>
      <c r="G154" s="308"/>
      <c r="H154" s="308"/>
      <c r="I154" s="297"/>
      <c r="J154" s="102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9"/>
      <c r="AJ154" s="22"/>
      <c r="AK154" s="18"/>
      <c r="AL154" s="2"/>
      <c r="AM154" s="2"/>
    </row>
    <row r="155" spans="1:39" ht="24" customHeight="1" x14ac:dyDescent="0.35">
      <c r="A155" s="44"/>
      <c r="B155" s="48"/>
      <c r="C155" s="202" t="s">
        <v>246</v>
      </c>
      <c r="D155" s="298"/>
      <c r="E155" s="298"/>
      <c r="F155" s="298"/>
      <c r="G155" s="308"/>
      <c r="H155" s="308"/>
      <c r="I155" s="298"/>
      <c r="J155" s="102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9"/>
      <c r="AJ155" s="22"/>
      <c r="AK155" s="18"/>
    </row>
    <row r="156" spans="1:39" ht="15.75" customHeight="1" x14ac:dyDescent="0.35">
      <c r="A156" s="44"/>
      <c r="B156" s="45"/>
      <c r="C156" s="199" t="s">
        <v>247</v>
      </c>
      <c r="D156" s="136" t="s">
        <v>77</v>
      </c>
      <c r="E156" s="46">
        <v>542000</v>
      </c>
      <c r="F156" s="143">
        <f t="shared" ref="F156:F157" si="1">E156</f>
        <v>542000</v>
      </c>
      <c r="G156" s="312" t="s">
        <v>248</v>
      </c>
      <c r="H156" s="296" t="s">
        <v>79</v>
      </c>
      <c r="I156" s="47">
        <v>1</v>
      </c>
      <c r="J156" s="47"/>
      <c r="K156" s="47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9"/>
      <c r="AJ156" s="22"/>
      <c r="AK156" s="18"/>
      <c r="AL156" s="2"/>
      <c r="AM156" s="2"/>
    </row>
    <row r="157" spans="1:39" ht="15.75" customHeight="1" x14ac:dyDescent="0.35">
      <c r="A157" s="44"/>
      <c r="B157" s="45"/>
      <c r="C157" s="199" t="s">
        <v>249</v>
      </c>
      <c r="D157" s="53" t="s">
        <v>77</v>
      </c>
      <c r="E157" s="46">
        <v>550000</v>
      </c>
      <c r="F157" s="229">
        <f t="shared" si="1"/>
        <v>550000</v>
      </c>
      <c r="G157" s="331"/>
      <c r="H157" s="332"/>
      <c r="I157" s="47">
        <v>1</v>
      </c>
      <c r="J157" s="47"/>
      <c r="K157" s="47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  <c r="AL157" s="2"/>
      <c r="AM157" s="2"/>
    </row>
    <row r="158" spans="1:39" ht="15.75" customHeight="1" x14ac:dyDescent="0.35">
      <c r="A158" s="144" t="s">
        <v>229</v>
      </c>
      <c r="B158" s="145"/>
      <c r="C158" s="219" t="s">
        <v>250</v>
      </c>
      <c r="D158" s="146"/>
      <c r="E158" s="147"/>
      <c r="F158" s="148"/>
      <c r="G158" s="149"/>
      <c r="H158" s="150"/>
      <c r="I158" s="150"/>
      <c r="J158" s="150"/>
      <c r="K158" s="150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51"/>
      <c r="AJ158" s="22"/>
      <c r="AK158" s="18"/>
    </row>
    <row r="159" spans="1:39" ht="22.5" customHeight="1" x14ac:dyDescent="0.35">
      <c r="A159" s="152"/>
      <c r="B159" s="153"/>
      <c r="C159" s="212" t="s">
        <v>251</v>
      </c>
      <c r="D159" s="53" t="s">
        <v>252</v>
      </c>
      <c r="E159" s="154">
        <v>15000</v>
      </c>
      <c r="F159" s="154">
        <f t="shared" ref="F159:F160" si="2">E159</f>
        <v>15000</v>
      </c>
      <c r="G159" s="50" t="s">
        <v>132</v>
      </c>
      <c r="H159" s="53" t="s">
        <v>243</v>
      </c>
      <c r="I159" s="53"/>
      <c r="J159" s="53"/>
      <c r="K159" s="53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155"/>
      <c r="AJ159" s="156"/>
      <c r="AK159" s="157"/>
      <c r="AL159" s="158"/>
      <c r="AM159" s="158"/>
    </row>
    <row r="160" spans="1:39" ht="24.75" customHeight="1" thickBot="1" x14ac:dyDescent="0.4">
      <c r="A160" s="159"/>
      <c r="B160" s="160"/>
      <c r="C160" s="161" t="s">
        <v>253</v>
      </c>
      <c r="D160" s="220" t="s">
        <v>136</v>
      </c>
      <c r="E160" s="223">
        <v>35000</v>
      </c>
      <c r="F160" s="223">
        <f t="shared" si="2"/>
        <v>35000</v>
      </c>
      <c r="G160" s="224" t="s">
        <v>132</v>
      </c>
      <c r="H160" s="220" t="s">
        <v>84</v>
      </c>
      <c r="I160" s="222"/>
      <c r="J160" s="222"/>
      <c r="K160" s="222"/>
      <c r="L160" s="225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4"/>
      <c r="AJ160" s="41"/>
      <c r="AK160" s="42"/>
      <c r="AL160" s="43"/>
      <c r="AM160" s="43"/>
    </row>
    <row r="161" spans="1:39" ht="27" customHeight="1" thickBot="1" x14ac:dyDescent="0.4">
      <c r="A161" s="159" t="s">
        <v>254</v>
      </c>
      <c r="B161" s="160"/>
      <c r="C161" s="165" t="s">
        <v>255</v>
      </c>
      <c r="D161" s="333" t="s">
        <v>77</v>
      </c>
      <c r="E161" s="335">
        <v>20000</v>
      </c>
      <c r="F161" s="335">
        <v>20000</v>
      </c>
      <c r="G161" s="336" t="s">
        <v>132</v>
      </c>
      <c r="H161" s="333" t="s">
        <v>84</v>
      </c>
      <c r="I161" s="220"/>
      <c r="J161" s="220"/>
      <c r="K161" s="220"/>
      <c r="L161" s="221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4"/>
      <c r="AJ161" s="41"/>
      <c r="AK161" s="42"/>
      <c r="AL161" s="43"/>
      <c r="AM161" s="43"/>
    </row>
    <row r="162" spans="1:39" ht="25.5" customHeight="1" thickBot="1" x14ac:dyDescent="0.4">
      <c r="A162" s="159" t="s">
        <v>256</v>
      </c>
      <c r="B162" s="160"/>
      <c r="C162" s="166" t="s">
        <v>257</v>
      </c>
      <c r="D162" s="297"/>
      <c r="E162" s="297"/>
      <c r="F162" s="297"/>
      <c r="G162" s="297"/>
      <c r="H162" s="297"/>
      <c r="I162" s="220"/>
      <c r="J162" s="220"/>
      <c r="K162" s="220"/>
      <c r="L162" s="221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4"/>
      <c r="AJ162" s="41"/>
      <c r="AK162" s="42"/>
      <c r="AL162" s="43"/>
      <c r="AM162" s="43"/>
    </row>
    <row r="163" spans="1:39" ht="27" customHeight="1" thickBot="1" x14ac:dyDescent="0.4">
      <c r="A163" s="159" t="s">
        <v>258</v>
      </c>
      <c r="B163" s="160"/>
      <c r="C163" s="166" t="s">
        <v>259</v>
      </c>
      <c r="D163" s="297"/>
      <c r="E163" s="297"/>
      <c r="F163" s="297"/>
      <c r="G163" s="297"/>
      <c r="H163" s="297"/>
      <c r="I163" s="220"/>
      <c r="J163" s="220"/>
      <c r="K163" s="220"/>
      <c r="L163" s="221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4"/>
      <c r="AJ163" s="41"/>
      <c r="AK163" s="42"/>
      <c r="AL163" s="43"/>
      <c r="AM163" s="43"/>
    </row>
    <row r="164" spans="1:39" ht="27.75" customHeight="1" thickBot="1" x14ac:dyDescent="0.4">
      <c r="A164" s="159" t="s">
        <v>260</v>
      </c>
      <c r="B164" s="160"/>
      <c r="C164" s="165" t="s">
        <v>261</v>
      </c>
      <c r="D164" s="334"/>
      <c r="E164" s="334"/>
      <c r="F164" s="334"/>
      <c r="G164" s="334"/>
      <c r="H164" s="334"/>
      <c r="I164" s="162"/>
      <c r="J164" s="162"/>
      <c r="K164" s="162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4"/>
      <c r="AJ164" s="41"/>
      <c r="AK164" s="42"/>
      <c r="AL164" s="43"/>
      <c r="AM164" s="43"/>
    </row>
    <row r="165" spans="1:39" ht="15.75" customHeight="1" x14ac:dyDescent="0.35">
      <c r="A165" s="167"/>
      <c r="B165" s="168"/>
      <c r="C165" s="213"/>
      <c r="D165" s="169"/>
      <c r="E165" s="170"/>
      <c r="F165" s="171"/>
      <c r="G165" s="172"/>
      <c r="H165" s="172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2"/>
      <c r="AK165" s="2"/>
    </row>
    <row r="166" spans="1:39" ht="15.75" customHeight="1" thickBot="1" x14ac:dyDescent="0.4">
      <c r="A166" s="173" t="s">
        <v>262</v>
      </c>
      <c r="B166" s="168"/>
      <c r="C166" s="168"/>
      <c r="D166" s="337">
        <f>SUM(F12:F163)</f>
        <v>9737811</v>
      </c>
      <c r="E166" s="338"/>
      <c r="F166" s="338"/>
      <c r="G166" s="172"/>
      <c r="H166" s="172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2"/>
      <c r="AK166" s="2"/>
    </row>
    <row r="167" spans="1:39" ht="15.75" hidden="1" customHeight="1" x14ac:dyDescent="0.35">
      <c r="A167" s="174" t="s">
        <v>263</v>
      </c>
      <c r="B167" s="175"/>
      <c r="C167" s="175"/>
      <c r="D167" s="339">
        <f>PRODUCT(D166,0.1)</f>
        <v>973781.10000000009</v>
      </c>
      <c r="E167" s="288"/>
      <c r="F167" s="289"/>
      <c r="G167" s="172"/>
      <c r="H167" s="172"/>
      <c r="I167" s="340"/>
      <c r="J167" s="283"/>
      <c r="K167" s="340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176"/>
      <c r="AI167" s="18"/>
      <c r="AJ167" s="2"/>
      <c r="AK167" s="2"/>
    </row>
    <row r="168" spans="1:39" ht="15.75" hidden="1" customHeight="1" x14ac:dyDescent="0.35">
      <c r="A168" s="177" t="s">
        <v>264</v>
      </c>
      <c r="B168" s="54"/>
      <c r="C168" s="54"/>
      <c r="D168" s="341">
        <f>PRODUCT(D166,0.1)</f>
        <v>973781.10000000009</v>
      </c>
      <c r="E168" s="342"/>
      <c r="F168" s="343"/>
      <c r="G168" s="172"/>
      <c r="H168" s="172"/>
      <c r="I168" s="18"/>
      <c r="J168" s="18"/>
      <c r="K168" s="344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178"/>
      <c r="AI168" s="18"/>
      <c r="AJ168" s="2"/>
      <c r="AK168" s="2"/>
    </row>
    <row r="169" spans="1:39" ht="15.75" hidden="1" customHeight="1" x14ac:dyDescent="0.35">
      <c r="A169" s="177" t="s">
        <v>265</v>
      </c>
      <c r="B169" s="54"/>
      <c r="C169" s="54"/>
      <c r="D169" s="341">
        <f>SUM(D166:F168)</f>
        <v>11685373.199999999</v>
      </c>
      <c r="E169" s="342"/>
      <c r="F169" s="343"/>
      <c r="G169" s="172"/>
      <c r="H169" s="172"/>
      <c r="I169" s="18"/>
      <c r="J169" s="18"/>
      <c r="K169" s="344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178"/>
      <c r="AI169" s="18"/>
      <c r="AJ169" s="2"/>
      <c r="AK169" s="2"/>
    </row>
    <row r="170" spans="1:39" ht="15.75" customHeight="1" thickTop="1" x14ac:dyDescent="0.35">
      <c r="A170" s="167"/>
      <c r="B170" s="168"/>
      <c r="C170" s="168"/>
      <c r="D170" s="169"/>
      <c r="E170" s="170"/>
      <c r="F170" s="171"/>
      <c r="G170" s="172"/>
      <c r="H170" s="172"/>
      <c r="I170" s="18"/>
      <c r="J170" s="18"/>
      <c r="K170" s="344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178"/>
      <c r="AI170" s="18"/>
      <c r="AJ170" s="2"/>
      <c r="AK170" s="2"/>
    </row>
    <row r="171" spans="1:39" ht="15.75" customHeight="1" x14ac:dyDescent="0.35">
      <c r="A171" s="179" t="s">
        <v>266</v>
      </c>
      <c r="B171" s="168"/>
      <c r="C171" s="168"/>
      <c r="D171" s="169"/>
      <c r="E171" s="170"/>
      <c r="F171" s="171"/>
      <c r="G171" s="172"/>
      <c r="H171" s="17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2"/>
      <c r="AK171" s="2"/>
    </row>
    <row r="172" spans="1:39" ht="15.75" customHeight="1" x14ac:dyDescent="0.35">
      <c r="A172" s="168"/>
      <c r="B172" s="168"/>
      <c r="C172" s="168"/>
      <c r="D172" s="169"/>
      <c r="E172" s="170"/>
      <c r="F172" s="171"/>
      <c r="G172" s="172"/>
      <c r="H172" s="17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2"/>
      <c r="AK172" s="2"/>
    </row>
    <row r="173" spans="1:39" ht="15.75" customHeight="1" x14ac:dyDescent="0.35">
      <c r="A173" s="180" t="s">
        <v>267</v>
      </c>
      <c r="B173" s="11"/>
      <c r="C173" s="11"/>
      <c r="D173" s="181" t="s">
        <v>268</v>
      </c>
      <c r="E173" s="182"/>
      <c r="F173" s="183"/>
      <c r="G173" s="184" t="s">
        <v>269</v>
      </c>
      <c r="H173" s="2"/>
      <c r="I173" s="2"/>
      <c r="J173" s="184" t="s">
        <v>270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185"/>
    </row>
    <row r="174" spans="1:39" ht="15.75" customHeight="1" x14ac:dyDescent="0.35">
      <c r="A174" s="180"/>
      <c r="B174" s="11"/>
      <c r="C174" s="11"/>
      <c r="D174" s="186"/>
      <c r="E174" s="182"/>
      <c r="F174" s="183"/>
      <c r="G174" s="187"/>
      <c r="H174" s="18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185"/>
      <c r="AK174" s="185"/>
    </row>
    <row r="175" spans="1:39" ht="15.75" customHeight="1" x14ac:dyDescent="0.35">
      <c r="A175" s="11"/>
      <c r="B175" s="11"/>
      <c r="C175" s="11"/>
      <c r="D175" s="186"/>
      <c r="E175" s="182"/>
      <c r="F175" s="183"/>
      <c r="G175" s="187"/>
      <c r="H175" s="18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185"/>
      <c r="AK175" s="185"/>
    </row>
    <row r="176" spans="1:39" ht="15.75" customHeight="1" x14ac:dyDescent="0.35">
      <c r="A176" s="345" t="s">
        <v>271</v>
      </c>
      <c r="B176" s="283"/>
      <c r="C176" s="283"/>
      <c r="D176" s="184" t="s">
        <v>272</v>
      </c>
      <c r="E176" s="188"/>
      <c r="F176" s="183"/>
      <c r="G176" s="184" t="s">
        <v>273</v>
      </c>
      <c r="H176" s="2"/>
      <c r="I176" s="2"/>
      <c r="J176" s="184" t="s">
        <v>274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" customHeight="1" x14ac:dyDescent="0.35">
      <c r="A177" s="346" t="s">
        <v>275</v>
      </c>
      <c r="B177" s="283"/>
      <c r="C177" s="283"/>
      <c r="D177" s="2" t="s">
        <v>276</v>
      </c>
      <c r="E177" s="188"/>
      <c r="F177" s="183"/>
      <c r="G177" s="2" t="s">
        <v>277</v>
      </c>
      <c r="H177" s="2"/>
      <c r="I177" s="2"/>
      <c r="J177" s="2" t="s">
        <v>278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185"/>
      <c r="AK177" s="185"/>
    </row>
    <row r="178" spans="1:37" ht="15.75" customHeight="1" x14ac:dyDescent="0.35">
      <c r="A178" s="2"/>
      <c r="B178" s="2"/>
      <c r="C178" s="2"/>
      <c r="D178" s="2"/>
      <c r="E178" s="188"/>
      <c r="F178" s="18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35">
      <c r="A179" s="2" t="s">
        <v>284</v>
      </c>
      <c r="B179" s="2"/>
      <c r="C179" s="2"/>
      <c r="D179" s="2" t="s">
        <v>279</v>
      </c>
      <c r="E179" s="188"/>
      <c r="F179" s="183"/>
      <c r="G179" s="2" t="s">
        <v>279</v>
      </c>
      <c r="H179" s="2"/>
      <c r="I179" s="2"/>
      <c r="J179" s="2" t="s">
        <v>279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35">
      <c r="D180" s="2"/>
      <c r="E180" s="188"/>
      <c r="F180" s="18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7" ht="15.75" customHeight="1" x14ac:dyDescent="0.35">
      <c r="D181" s="189" t="s">
        <v>280</v>
      </c>
      <c r="E181" s="182"/>
      <c r="F181" s="183"/>
      <c r="G181" s="187"/>
      <c r="H181" s="18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7" ht="15.75" customHeight="1" x14ac:dyDescent="0.35">
      <c r="A182" s="18"/>
      <c r="B182" s="18"/>
      <c r="C182" s="18"/>
      <c r="D182" s="169"/>
      <c r="E182" s="170"/>
      <c r="F182" s="171"/>
      <c r="G182" s="172"/>
      <c r="H182" s="172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</row>
    <row r="183" spans="1:37" ht="15.75" customHeight="1" x14ac:dyDescent="0.35">
      <c r="A183" s="18"/>
      <c r="B183" s="18"/>
      <c r="C183" s="18"/>
      <c r="D183" s="169"/>
      <c r="E183" s="170"/>
      <c r="F183" s="171"/>
      <c r="G183" s="172"/>
      <c r="H183" s="17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</row>
    <row r="184" spans="1:37" ht="15.75" customHeight="1" x14ac:dyDescent="0.35">
      <c r="D184" s="186"/>
      <c r="E184" s="182"/>
      <c r="F184" s="183"/>
      <c r="G184" s="187"/>
      <c r="H184" s="18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7" ht="15.75" customHeight="1" x14ac:dyDescent="0.35">
      <c r="D185" s="186"/>
      <c r="E185" s="182"/>
      <c r="F185" s="183"/>
      <c r="G185" s="187"/>
      <c r="H185" s="18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7" ht="15.75" customHeight="1" x14ac:dyDescent="0.35">
      <c r="D186" s="186"/>
      <c r="E186" s="182"/>
      <c r="F186" s="183"/>
      <c r="G186" s="187"/>
      <c r="H186" s="18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7" ht="15.75" customHeight="1" x14ac:dyDescent="0.35">
      <c r="D187" s="186"/>
      <c r="E187" s="182"/>
      <c r="F187" s="183"/>
      <c r="G187" s="187"/>
      <c r="H187" s="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7" ht="15.75" customHeight="1" x14ac:dyDescent="0.35">
      <c r="D188" s="186"/>
      <c r="E188" s="182"/>
      <c r="F188" s="183"/>
      <c r="G188" s="187"/>
      <c r="H188" s="18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7" ht="15.75" customHeight="1" x14ac:dyDescent="0.35">
      <c r="D189" s="186"/>
      <c r="E189" s="182"/>
      <c r="F189" s="183"/>
      <c r="G189" s="187"/>
      <c r="H189" s="18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7" ht="15.75" customHeight="1" x14ac:dyDescent="0.35">
      <c r="D190" s="186"/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D191" s="186"/>
      <c r="E191" s="182"/>
      <c r="F191" s="183"/>
      <c r="G191" s="187"/>
      <c r="H191" s="18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7" ht="15.75" customHeight="1" x14ac:dyDescent="0.35">
      <c r="D192" s="186"/>
      <c r="E192" s="190"/>
      <c r="H192" s="191"/>
    </row>
    <row r="193" spans="4:8" ht="15.75" customHeight="1" x14ac:dyDescent="0.35">
      <c r="D193" s="186"/>
      <c r="E193" s="190"/>
      <c r="H193" s="191"/>
    </row>
    <row r="194" spans="4:8" ht="15.75" customHeight="1" x14ac:dyDescent="0.35">
      <c r="D194" s="186"/>
      <c r="E194" s="190"/>
      <c r="H194" s="191"/>
    </row>
    <row r="195" spans="4:8" ht="15.75" customHeight="1" x14ac:dyDescent="0.35">
      <c r="D195" s="186"/>
      <c r="E195" s="190"/>
      <c r="H195" s="191"/>
    </row>
    <row r="196" spans="4:8" ht="15.75" customHeight="1" x14ac:dyDescent="0.35">
      <c r="D196" s="186"/>
      <c r="E196" s="190"/>
      <c r="H196" s="191"/>
    </row>
    <row r="197" spans="4:8" ht="15.75" customHeight="1" x14ac:dyDescent="0.35">
      <c r="D197" s="186"/>
      <c r="E197" s="190"/>
      <c r="H197" s="191"/>
    </row>
    <row r="198" spans="4:8" ht="15.75" customHeight="1" x14ac:dyDescent="0.35">
      <c r="D198" s="186"/>
      <c r="E198" s="190"/>
      <c r="H198" s="191"/>
    </row>
    <row r="199" spans="4:8" ht="15.75" customHeight="1" x14ac:dyDescent="0.35">
      <c r="D199" s="186"/>
      <c r="E199" s="190"/>
      <c r="H199" s="191"/>
    </row>
    <row r="200" spans="4:8" ht="15.75" customHeight="1" x14ac:dyDescent="0.35">
      <c r="D200" s="186"/>
      <c r="E200" s="190"/>
      <c r="H200" s="191"/>
    </row>
    <row r="201" spans="4:8" ht="15.75" customHeight="1" x14ac:dyDescent="0.35">
      <c r="D201" s="186"/>
      <c r="E201" s="190"/>
      <c r="H201" s="191"/>
    </row>
    <row r="202" spans="4:8" ht="15.75" customHeight="1" x14ac:dyDescent="0.35">
      <c r="D202" s="186"/>
      <c r="E202" s="190"/>
      <c r="H202" s="191"/>
    </row>
    <row r="203" spans="4:8" ht="15.75" customHeight="1" x14ac:dyDescent="0.35">
      <c r="D203" s="186"/>
      <c r="E203" s="190"/>
      <c r="H203" s="191"/>
    </row>
    <row r="204" spans="4:8" ht="15.75" customHeight="1" x14ac:dyDescent="0.35">
      <c r="D204" s="186"/>
      <c r="E204" s="190"/>
      <c r="H204" s="191"/>
    </row>
    <row r="205" spans="4:8" ht="15.75" customHeight="1" x14ac:dyDescent="0.35">
      <c r="D205" s="186"/>
      <c r="E205" s="190"/>
      <c r="H205" s="191"/>
    </row>
    <row r="206" spans="4:8" ht="15.75" customHeight="1" x14ac:dyDescent="0.35">
      <c r="D206" s="186"/>
      <c r="E206" s="190"/>
      <c r="H206" s="191"/>
    </row>
    <row r="207" spans="4:8" ht="15.75" customHeight="1" x14ac:dyDescent="0.35">
      <c r="D207" s="186"/>
      <c r="E207" s="190"/>
      <c r="H207" s="191"/>
    </row>
    <row r="208" spans="4:8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/>
    <row r="381" spans="4:8" ht="15.75" customHeight="1" x14ac:dyDescent="0.35"/>
    <row r="382" spans="4:8" ht="15.75" customHeight="1" x14ac:dyDescent="0.35"/>
    <row r="383" spans="4:8" ht="15.75" customHeight="1" x14ac:dyDescent="0.35"/>
    <row r="384" spans="4:8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</sheetData>
  <mergeCells count="90">
    <mergeCell ref="D169:F169"/>
    <mergeCell ref="K169:AG169"/>
    <mergeCell ref="K170:AG170"/>
    <mergeCell ref="A176:C176"/>
    <mergeCell ref="A177:C177"/>
    <mergeCell ref="D166:F166"/>
    <mergeCell ref="D167:F167"/>
    <mergeCell ref="I167:J167"/>
    <mergeCell ref="K167:AG167"/>
    <mergeCell ref="D168:F168"/>
    <mergeCell ref="K168:AG168"/>
    <mergeCell ref="I152:I155"/>
    <mergeCell ref="G156:G157"/>
    <mergeCell ref="H156:H157"/>
    <mergeCell ref="D161:D164"/>
    <mergeCell ref="E161:E164"/>
    <mergeCell ref="F161:F164"/>
    <mergeCell ref="G161:G164"/>
    <mergeCell ref="H161:H164"/>
    <mergeCell ref="D152:D155"/>
    <mergeCell ref="E152:E155"/>
    <mergeCell ref="F152:F155"/>
    <mergeCell ref="G152:G155"/>
    <mergeCell ref="H152:H155"/>
    <mergeCell ref="D148:D150"/>
    <mergeCell ref="E148:E150"/>
    <mergeCell ref="F148:F150"/>
    <mergeCell ref="G148:G150"/>
    <mergeCell ref="H148:H150"/>
    <mergeCell ref="H90:H111"/>
    <mergeCell ref="D125:D126"/>
    <mergeCell ref="F125:F126"/>
    <mergeCell ref="G125:G126"/>
    <mergeCell ref="H125:H126"/>
    <mergeCell ref="D137:D139"/>
    <mergeCell ref="F137:F139"/>
    <mergeCell ref="G137:G139"/>
    <mergeCell ref="D85:D86"/>
    <mergeCell ref="F85:F86"/>
    <mergeCell ref="G85:G86"/>
    <mergeCell ref="D90:D111"/>
    <mergeCell ref="F90:F111"/>
    <mergeCell ref="G90:G111"/>
    <mergeCell ref="D116:D117"/>
    <mergeCell ref="F116:F117"/>
    <mergeCell ref="D118:D119"/>
    <mergeCell ref="F118:F119"/>
    <mergeCell ref="D60:D61"/>
    <mergeCell ref="F60:F61"/>
    <mergeCell ref="G60:G61"/>
    <mergeCell ref="H60:H61"/>
    <mergeCell ref="D81:D83"/>
    <mergeCell ref="F81:F83"/>
    <mergeCell ref="G81:G83"/>
    <mergeCell ref="H81:H83"/>
    <mergeCell ref="D27:D54"/>
    <mergeCell ref="F27:F54"/>
    <mergeCell ref="G27:G54"/>
    <mergeCell ref="H27:H54"/>
    <mergeCell ref="D55:D57"/>
    <mergeCell ref="F55:F57"/>
    <mergeCell ref="G55:G57"/>
    <mergeCell ref="H55:H57"/>
    <mergeCell ref="D18:D20"/>
    <mergeCell ref="F18:F20"/>
    <mergeCell ref="G18:G20"/>
    <mergeCell ref="H18:H20"/>
    <mergeCell ref="D23:D26"/>
    <mergeCell ref="F23:F26"/>
    <mergeCell ref="G23:G26"/>
    <mergeCell ref="H23:H26"/>
    <mergeCell ref="G8:G9"/>
    <mergeCell ref="H8:H9"/>
    <mergeCell ref="I8:AI8"/>
    <mergeCell ref="D13:D15"/>
    <mergeCell ref="F13:F15"/>
    <mergeCell ref="G13:G17"/>
    <mergeCell ref="H13:H17"/>
    <mergeCell ref="D16:D17"/>
    <mergeCell ref="F16:F17"/>
    <mergeCell ref="A1:AI1"/>
    <mergeCell ref="A2:AI2"/>
    <mergeCell ref="A3:AI3"/>
    <mergeCell ref="A4:G4"/>
    <mergeCell ref="A6:G6"/>
    <mergeCell ref="A8:A9"/>
    <mergeCell ref="B8:B9"/>
    <mergeCell ref="C8:C9"/>
    <mergeCell ref="E8:E9"/>
    <mergeCell ref="F8:F9"/>
  </mergeCells>
  <pageMargins left="0.7" right="0.36" top="0.27999999999999997" bottom="0.6" header="0" footer="0"/>
  <pageSetup paperSize="1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812-EE04-4D68-A958-5CED19B7D50C}">
  <sheetPr>
    <pageSetUpPr fitToPage="1"/>
  </sheetPr>
  <dimension ref="A1:AM1055"/>
  <sheetViews>
    <sheetView topLeftCell="A155" workbookViewId="0">
      <selection activeCell="C162" sqref="C162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197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198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197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199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199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199" t="s">
        <v>306</v>
      </c>
      <c r="D18" s="293" t="s">
        <v>144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40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199" t="s">
        <v>307</v>
      </c>
      <c r="D19" s="297"/>
      <c r="E19" s="46">
        <v>6500</v>
      </c>
      <c r="F19" s="297"/>
      <c r="G19" s="297"/>
      <c r="H19" s="297"/>
      <c r="I19" s="47">
        <v>40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199" t="s">
        <v>308</v>
      </c>
      <c r="D20" s="298"/>
      <c r="E20" s="46">
        <v>7000</v>
      </c>
      <c r="F20" s="298"/>
      <c r="G20" s="298"/>
      <c r="H20" s="298"/>
      <c r="I20" s="47">
        <v>40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199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199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199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199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199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199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00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78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199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199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00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199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199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00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00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00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199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199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00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00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199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00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00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00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01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02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00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00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00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00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00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00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00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00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00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03" t="s">
        <v>124</v>
      </c>
      <c r="D55" s="305" t="s">
        <v>77</v>
      </c>
      <c r="E55" s="46">
        <v>7000</v>
      </c>
      <c r="F55" s="310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04" t="s">
        <v>125</v>
      </c>
      <c r="D56" s="297"/>
      <c r="E56" s="46">
        <v>4000</v>
      </c>
      <c r="F56" s="297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04" t="s">
        <v>126</v>
      </c>
      <c r="D57" s="298"/>
      <c r="E57" s="46">
        <v>13500</v>
      </c>
      <c r="F57" s="298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05" t="s">
        <v>127</v>
      </c>
      <c r="D58" s="68" t="s">
        <v>128</v>
      </c>
      <c r="E58" s="69">
        <v>15000</v>
      </c>
      <c r="F58" s="70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28" t="s">
        <v>129</v>
      </c>
      <c r="B59" s="78"/>
      <c r="C59" s="228" t="s">
        <v>130</v>
      </c>
      <c r="D59" s="29"/>
      <c r="E59" s="31"/>
      <c r="F59" s="31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3"/>
      <c r="AJ59" s="22"/>
      <c r="AK59" s="18"/>
    </row>
    <row r="60" spans="1:39" ht="15.75" customHeight="1" x14ac:dyDescent="0.35">
      <c r="A60" s="44"/>
      <c r="B60" s="45"/>
      <c r="C60" s="199" t="s">
        <v>131</v>
      </c>
      <c r="D60" s="307" t="s">
        <v>77</v>
      </c>
      <c r="E60" s="46">
        <v>49000</v>
      </c>
      <c r="F60" s="311">
        <f>E60*2+E61*2</f>
        <v>188000</v>
      </c>
      <c r="G60" s="291" t="s">
        <v>132</v>
      </c>
      <c r="H60" s="307" t="s">
        <v>79</v>
      </c>
      <c r="I60" s="47">
        <v>2</v>
      </c>
      <c r="J60" s="47"/>
      <c r="K60" s="47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22"/>
      <c r="AK60" s="18"/>
    </row>
    <row r="61" spans="1:39" ht="15.75" customHeight="1" x14ac:dyDescent="0.35">
      <c r="A61" s="44"/>
      <c r="B61" s="45"/>
      <c r="C61" s="199" t="s">
        <v>133</v>
      </c>
      <c r="D61" s="289"/>
      <c r="E61" s="46">
        <v>45000</v>
      </c>
      <c r="F61" s="289"/>
      <c r="G61" s="289"/>
      <c r="H61" s="289"/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197" t="s">
        <v>134</v>
      </c>
      <c r="D62" s="232" t="s">
        <v>144</v>
      </c>
      <c r="E62" s="46">
        <v>70000</v>
      </c>
      <c r="F62" s="233">
        <f>E62*2</f>
        <v>140000</v>
      </c>
      <c r="G62" s="17"/>
      <c r="H62" s="17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26.25" customHeight="1" x14ac:dyDescent="0.35">
      <c r="A63" s="44"/>
      <c r="B63" s="45"/>
      <c r="C63" s="199" t="s">
        <v>135</v>
      </c>
      <c r="D63" s="196" t="s">
        <v>136</v>
      </c>
      <c r="E63" s="46">
        <v>80000</v>
      </c>
      <c r="F63" s="233">
        <f>E63*2</f>
        <v>160000</v>
      </c>
      <c r="G63" s="80" t="s">
        <v>132</v>
      </c>
      <c r="H63" s="47" t="s">
        <v>79</v>
      </c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15.75" customHeight="1" x14ac:dyDescent="0.35">
      <c r="A64" s="28" t="s">
        <v>137</v>
      </c>
      <c r="B64" s="78"/>
      <c r="C64" s="214" t="s">
        <v>138</v>
      </c>
      <c r="D64" s="29"/>
      <c r="E64" s="31"/>
      <c r="F64" s="3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3"/>
      <c r="AJ64" s="41"/>
      <c r="AK64" s="42"/>
      <c r="AL64" s="43"/>
      <c r="AM64" s="43"/>
    </row>
    <row r="65" spans="1:39" ht="15.75" customHeight="1" x14ac:dyDescent="0.35">
      <c r="A65" s="44"/>
      <c r="B65" s="45"/>
      <c r="C65" s="199" t="s">
        <v>292</v>
      </c>
      <c r="D65" s="81" t="s">
        <v>77</v>
      </c>
      <c r="E65" s="82">
        <v>17000</v>
      </c>
      <c r="F65" s="82">
        <f>E65*30</f>
        <v>510000</v>
      </c>
      <c r="G65" s="58" t="s">
        <v>139</v>
      </c>
      <c r="H65" s="47" t="s">
        <v>79</v>
      </c>
      <c r="I65" s="47"/>
      <c r="J65" s="47">
        <v>20</v>
      </c>
      <c r="K65" s="47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22"/>
      <c r="AK65" s="18"/>
    </row>
    <row r="66" spans="1:39" ht="15.75" customHeight="1" x14ac:dyDescent="0.35">
      <c r="A66" s="28" t="s">
        <v>140</v>
      </c>
      <c r="B66" s="29"/>
      <c r="C66" s="227" t="s">
        <v>141</v>
      </c>
      <c r="D66" s="29"/>
      <c r="E66" s="31"/>
      <c r="F66" s="32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3"/>
      <c r="AJ66" s="22"/>
      <c r="AK66" s="18"/>
    </row>
    <row r="67" spans="1:39" ht="18" customHeight="1" x14ac:dyDescent="0.35">
      <c r="A67" s="44"/>
      <c r="B67" s="45"/>
      <c r="C67" s="199" t="s">
        <v>142</v>
      </c>
      <c r="D67" s="58" t="s">
        <v>221</v>
      </c>
      <c r="E67" s="46">
        <v>4500</v>
      </c>
      <c r="F67" s="82">
        <f>E67*10</f>
        <v>45000</v>
      </c>
      <c r="G67" s="83" t="s">
        <v>89</v>
      </c>
      <c r="H67" s="47"/>
      <c r="I67" s="47">
        <v>8</v>
      </c>
      <c r="J67" s="47">
        <v>2</v>
      </c>
      <c r="K67" s="47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1"/>
      <c r="AK67" s="42"/>
      <c r="AL67" s="43"/>
      <c r="AM67" s="43"/>
    </row>
    <row r="68" spans="1:39" ht="38.25" customHeight="1" x14ac:dyDescent="0.35">
      <c r="A68" s="44"/>
      <c r="B68" s="45"/>
      <c r="C68" s="199" t="s">
        <v>143</v>
      </c>
      <c r="D68" s="58" t="s">
        <v>144</v>
      </c>
      <c r="E68" s="46">
        <v>50000</v>
      </c>
      <c r="F68" s="82">
        <f>E68*2</f>
        <v>100000</v>
      </c>
      <c r="G68" s="58" t="s">
        <v>145</v>
      </c>
      <c r="H68" s="47"/>
      <c r="I68" s="47">
        <v>1</v>
      </c>
      <c r="J68" s="47">
        <v>1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22"/>
      <c r="AK68" s="18"/>
    </row>
    <row r="69" spans="1:39" ht="18" customHeight="1" x14ac:dyDescent="0.35">
      <c r="A69" s="84"/>
      <c r="B69" s="85"/>
      <c r="C69" s="206" t="s">
        <v>290</v>
      </c>
      <c r="D69" s="83" t="s">
        <v>291</v>
      </c>
      <c r="E69" s="86">
        <v>400</v>
      </c>
      <c r="F69" s="87">
        <f>E69*15</f>
        <v>6000</v>
      </c>
      <c r="G69" s="83" t="s">
        <v>89</v>
      </c>
      <c r="H69" s="88"/>
      <c r="I69" s="47">
        <v>8</v>
      </c>
      <c r="J69" s="47">
        <v>8</v>
      </c>
      <c r="K69" s="47">
        <v>4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90"/>
      <c r="AJ69" s="22"/>
      <c r="AK69" s="18"/>
    </row>
    <row r="70" spans="1:39" ht="22.5" customHeight="1" x14ac:dyDescent="0.35">
      <c r="A70" s="91"/>
      <c r="B70" s="92"/>
      <c r="C70" s="99" t="s">
        <v>293</v>
      </c>
      <c r="D70" s="37" t="s">
        <v>285</v>
      </c>
      <c r="E70" s="93"/>
      <c r="F70" s="94">
        <v>50000</v>
      </c>
      <c r="G70" s="83"/>
      <c r="H70" s="35"/>
      <c r="I70" s="47">
        <v>1</v>
      </c>
      <c r="J70" s="47"/>
      <c r="K70" s="47">
        <v>1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40"/>
      <c r="AJ70" s="41"/>
      <c r="AK70" s="42"/>
      <c r="AL70" s="95"/>
      <c r="AM70" s="95"/>
    </row>
    <row r="71" spans="1:39" ht="22.5" customHeight="1" x14ac:dyDescent="0.35">
      <c r="A71" s="91"/>
      <c r="B71" s="92"/>
      <c r="C71" s="99" t="s">
        <v>294</v>
      </c>
      <c r="D71" s="37" t="s">
        <v>144</v>
      </c>
      <c r="E71" s="93"/>
      <c r="F71" s="94">
        <v>80000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3.25" customHeight="1" x14ac:dyDescent="0.35">
      <c r="A72" s="28" t="s">
        <v>146</v>
      </c>
      <c r="B72" s="78"/>
      <c r="C72" s="214" t="s">
        <v>147</v>
      </c>
      <c r="D72" s="29"/>
      <c r="E72" s="31"/>
      <c r="F72" s="32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33"/>
      <c r="AJ72" s="22"/>
      <c r="AK72" s="18"/>
    </row>
    <row r="73" spans="1:39" ht="22.5" customHeight="1" x14ac:dyDescent="0.35">
      <c r="A73" s="44"/>
      <c r="B73" s="48"/>
      <c r="C73" s="207" t="s">
        <v>76</v>
      </c>
      <c r="D73" s="47" t="s">
        <v>148</v>
      </c>
      <c r="E73" s="82">
        <v>700</v>
      </c>
      <c r="F73" s="82">
        <f>E73*27</f>
        <v>18900</v>
      </c>
      <c r="G73" s="58" t="s">
        <v>78</v>
      </c>
      <c r="H73" s="47" t="s">
        <v>79</v>
      </c>
      <c r="I73" s="47"/>
      <c r="J73" s="48"/>
      <c r="K73" s="47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22"/>
      <c r="AK73" s="18"/>
      <c r="AL73" s="2"/>
      <c r="AM73" s="2"/>
    </row>
    <row r="74" spans="1:39" ht="22.5" customHeight="1" x14ac:dyDescent="0.35">
      <c r="A74" s="44"/>
      <c r="B74" s="48"/>
      <c r="C74" s="207" t="s">
        <v>289</v>
      </c>
      <c r="D74" s="47" t="s">
        <v>288</v>
      </c>
      <c r="E74" s="82">
        <v>350</v>
      </c>
      <c r="F74" s="82">
        <f>E74*35</f>
        <v>12250</v>
      </c>
      <c r="G74" s="58" t="s">
        <v>132</v>
      </c>
      <c r="H74" s="47" t="s">
        <v>84</v>
      </c>
      <c r="I74" s="47">
        <v>32</v>
      </c>
      <c r="J74" s="47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s="77" customFormat="1" ht="18.75" customHeight="1" x14ac:dyDescent="0.35">
      <c r="A75" s="66"/>
      <c r="B75" s="67"/>
      <c r="C75" s="205" t="s">
        <v>149</v>
      </c>
      <c r="D75" s="68" t="s">
        <v>150</v>
      </c>
      <c r="E75" s="69">
        <v>250</v>
      </c>
      <c r="F75" s="69">
        <f>250*20</f>
        <v>5000</v>
      </c>
      <c r="G75" s="96" t="s">
        <v>89</v>
      </c>
      <c r="H75" s="68" t="s">
        <v>84</v>
      </c>
      <c r="I75" s="68"/>
      <c r="J75" s="68"/>
      <c r="K75" s="68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5"/>
      <c r="AK75" s="75"/>
      <c r="AL75" s="97"/>
      <c r="AM75" s="97"/>
    </row>
    <row r="76" spans="1:39" s="77" customFormat="1" ht="18.75" customHeight="1" x14ac:dyDescent="0.35">
      <c r="A76" s="66"/>
      <c r="B76" s="67"/>
      <c r="C76" s="205" t="s">
        <v>310</v>
      </c>
      <c r="D76" s="68" t="s">
        <v>152</v>
      </c>
      <c r="E76" s="69">
        <v>300</v>
      </c>
      <c r="F76" s="69">
        <f>E76*100</f>
        <v>30000</v>
      </c>
      <c r="G76" s="96" t="s">
        <v>89</v>
      </c>
      <c r="H76" s="68" t="s">
        <v>84</v>
      </c>
      <c r="I76" s="68">
        <v>100</v>
      </c>
      <c r="J76" s="68"/>
      <c r="K76" s="68">
        <v>100</v>
      </c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05" t="s">
        <v>153</v>
      </c>
      <c r="D77" s="68" t="s">
        <v>154</v>
      </c>
      <c r="E77" s="69">
        <v>70</v>
      </c>
      <c r="F77" s="69">
        <f>300*70</f>
        <v>21000</v>
      </c>
      <c r="G77" s="96" t="s">
        <v>89</v>
      </c>
      <c r="H77" s="68" t="s">
        <v>84</v>
      </c>
      <c r="I77" s="68">
        <v>50</v>
      </c>
      <c r="J77" s="68">
        <v>50</v>
      </c>
      <c r="K77" s="6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ht="22.5" customHeight="1" x14ac:dyDescent="0.35">
      <c r="A78" s="44"/>
      <c r="B78" s="48"/>
      <c r="C78" s="207" t="s">
        <v>155</v>
      </c>
      <c r="D78" s="47" t="s">
        <v>156</v>
      </c>
      <c r="E78" s="82">
        <v>200</v>
      </c>
      <c r="F78" s="82">
        <f>E78*1000</f>
        <v>200000</v>
      </c>
      <c r="G78" s="58" t="s">
        <v>132</v>
      </c>
      <c r="H78" s="47" t="s">
        <v>84</v>
      </c>
      <c r="I78" s="47"/>
      <c r="J78" s="47"/>
      <c r="K78" s="47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22"/>
      <c r="AK78" s="18"/>
      <c r="AL78" s="2"/>
      <c r="AM78" s="2"/>
    </row>
    <row r="79" spans="1:39" ht="15.75" customHeight="1" x14ac:dyDescent="0.35">
      <c r="A79" s="44"/>
      <c r="B79" s="45"/>
      <c r="C79" s="199" t="s">
        <v>157</v>
      </c>
      <c r="D79" s="81" t="s">
        <v>158</v>
      </c>
      <c r="E79" s="46">
        <v>4000</v>
      </c>
      <c r="F79" s="82">
        <f>E79</f>
        <v>4000</v>
      </c>
      <c r="G79" s="58"/>
      <c r="H79" s="47"/>
      <c r="I79" s="47">
        <v>2</v>
      </c>
      <c r="J79" s="4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199" t="s">
        <v>159</v>
      </c>
      <c r="D80" s="47" t="s">
        <v>158</v>
      </c>
      <c r="E80" s="46">
        <v>26000</v>
      </c>
      <c r="F80" s="82">
        <f>E80*4</f>
        <v>104000</v>
      </c>
      <c r="G80" s="58" t="s">
        <v>78</v>
      </c>
      <c r="H80" s="47" t="s">
        <v>84</v>
      </c>
      <c r="I80" s="47">
        <v>2</v>
      </c>
      <c r="J80" s="47"/>
      <c r="K80" s="47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20.25" customHeight="1" x14ac:dyDescent="0.35">
      <c r="A81" s="44"/>
      <c r="B81" s="45"/>
      <c r="C81" s="199" t="s">
        <v>160</v>
      </c>
      <c r="D81" s="293" t="s">
        <v>77</v>
      </c>
      <c r="E81" s="46">
        <v>15000</v>
      </c>
      <c r="F81" s="310">
        <f>E81*2+E82*2+E83*4</f>
        <v>71000</v>
      </c>
      <c r="G81" s="312" t="s">
        <v>132</v>
      </c>
      <c r="H81" s="293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15.75" customHeight="1" x14ac:dyDescent="0.35">
      <c r="A82" s="44"/>
      <c r="B82" s="45"/>
      <c r="C82" s="197" t="s">
        <v>161</v>
      </c>
      <c r="D82" s="297"/>
      <c r="E82" s="46">
        <v>6500</v>
      </c>
      <c r="F82" s="297"/>
      <c r="G82" s="297"/>
      <c r="H82" s="297"/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</row>
    <row r="83" spans="1:39" ht="15.75" customHeight="1" x14ac:dyDescent="0.35">
      <c r="A83" s="44"/>
      <c r="B83" s="45"/>
      <c r="C83" s="199" t="s">
        <v>162</v>
      </c>
      <c r="D83" s="298"/>
      <c r="E83" s="46">
        <v>7000</v>
      </c>
      <c r="F83" s="298"/>
      <c r="G83" s="298"/>
      <c r="H83" s="298"/>
      <c r="I83" s="47">
        <v>4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163</v>
      </c>
      <c r="D84" s="47" t="s">
        <v>150</v>
      </c>
      <c r="E84" s="46">
        <v>500</v>
      </c>
      <c r="F84" s="46">
        <f>E84*20</f>
        <v>10000</v>
      </c>
      <c r="G84" s="58" t="s">
        <v>78</v>
      </c>
      <c r="H84" s="47" t="s">
        <v>84</v>
      </c>
      <c r="I84" s="47">
        <v>20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  <c r="AL84" s="2"/>
      <c r="AM84" s="2"/>
    </row>
    <row r="85" spans="1:39" ht="15.75" customHeight="1" x14ac:dyDescent="0.35">
      <c r="A85" s="44"/>
      <c r="B85" s="45"/>
      <c r="C85" s="199" t="s">
        <v>164</v>
      </c>
      <c r="D85" s="307" t="s">
        <v>77</v>
      </c>
      <c r="E85" s="46">
        <v>10000</v>
      </c>
      <c r="F85" s="319">
        <f>(E85*3)+(E86*20)</f>
        <v>70000</v>
      </c>
      <c r="G85" s="291" t="s">
        <v>78</v>
      </c>
      <c r="H85" s="47" t="s">
        <v>84</v>
      </c>
      <c r="I85" s="47">
        <v>3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65"/>
      <c r="AM85" s="65"/>
    </row>
    <row r="86" spans="1:39" ht="15.75" customHeight="1" x14ac:dyDescent="0.35">
      <c r="A86" s="44"/>
      <c r="B86" s="48"/>
      <c r="C86" s="207" t="s">
        <v>165</v>
      </c>
      <c r="D86" s="289"/>
      <c r="E86" s="46">
        <v>2000</v>
      </c>
      <c r="F86" s="289"/>
      <c r="G86" s="289"/>
      <c r="H86" s="47" t="s">
        <v>84</v>
      </c>
      <c r="I86" s="47">
        <v>20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166</v>
      </c>
      <c r="D87" s="98" t="s">
        <v>136</v>
      </c>
      <c r="E87" s="46">
        <v>10000</v>
      </c>
      <c r="F87" s="46">
        <f>E87*2</f>
        <v>20000</v>
      </c>
      <c r="G87" s="58" t="s">
        <v>78</v>
      </c>
      <c r="H87" s="47" t="s">
        <v>84</v>
      </c>
      <c r="I87" s="47">
        <v>1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91"/>
      <c r="B88" s="92"/>
      <c r="C88" s="99" t="s">
        <v>167</v>
      </c>
      <c r="D88" s="47" t="s">
        <v>168</v>
      </c>
      <c r="E88" s="100">
        <v>200</v>
      </c>
      <c r="F88" s="101">
        <f>E88*400</f>
        <v>80000</v>
      </c>
      <c r="G88" s="58" t="s">
        <v>78</v>
      </c>
      <c r="H88" s="47" t="s">
        <v>84</v>
      </c>
      <c r="I88" s="37">
        <v>100</v>
      </c>
      <c r="J88" s="37">
        <v>200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40"/>
      <c r="AJ88" s="41"/>
      <c r="AK88" s="42"/>
      <c r="AL88" s="95"/>
      <c r="AM88" s="95"/>
    </row>
    <row r="89" spans="1:39" ht="15.75" customHeight="1" x14ac:dyDescent="0.35">
      <c r="A89" s="91"/>
      <c r="B89" s="92"/>
      <c r="C89" s="99" t="s">
        <v>169</v>
      </c>
      <c r="D89" s="47" t="s">
        <v>152</v>
      </c>
      <c r="E89" s="100">
        <v>400</v>
      </c>
      <c r="F89" s="101">
        <f>E89*100</f>
        <v>40000</v>
      </c>
      <c r="G89" s="58" t="s">
        <v>78</v>
      </c>
      <c r="H89" s="81" t="s">
        <v>84</v>
      </c>
      <c r="I89" s="35"/>
      <c r="J89" s="37"/>
      <c r="K89" s="37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99" t="s">
        <v>170</v>
      </c>
      <c r="D90" s="293" t="s">
        <v>77</v>
      </c>
      <c r="E90" s="100">
        <f>550*2</f>
        <v>1100</v>
      </c>
      <c r="F90" s="320">
        <f>SUM(E90:E111)</f>
        <v>124711</v>
      </c>
      <c r="G90" s="312" t="s">
        <v>132</v>
      </c>
      <c r="H90" s="296" t="s">
        <v>84</v>
      </c>
      <c r="I90" s="35"/>
      <c r="J90" s="37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99" t="s">
        <v>171</v>
      </c>
      <c r="D91" s="294"/>
      <c r="E91" s="100">
        <f>600</f>
        <v>600</v>
      </c>
      <c r="F91" s="321"/>
      <c r="G91" s="322"/>
      <c r="H91" s="300"/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99" t="s">
        <v>172</v>
      </c>
      <c r="D92" s="294"/>
      <c r="E92" s="100">
        <v>6785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99" t="s">
        <v>173</v>
      </c>
      <c r="D93" s="294"/>
      <c r="E93" s="100">
        <v>3055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99" t="s">
        <v>174</v>
      </c>
      <c r="D94" s="294"/>
      <c r="E94" s="100">
        <v>1055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99" t="s">
        <v>175</v>
      </c>
      <c r="D95" s="294"/>
      <c r="E95" s="100">
        <f>455*4</f>
        <v>1820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99" t="s">
        <v>176</v>
      </c>
      <c r="D96" s="294"/>
      <c r="E96" s="100">
        <v>2100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99" t="s">
        <v>177</v>
      </c>
      <c r="D97" s="294"/>
      <c r="E97" s="100">
        <f>355*4</f>
        <v>1420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99" t="s">
        <v>178</v>
      </c>
      <c r="D98" s="294"/>
      <c r="E98" s="100">
        <f>325*30</f>
        <v>9750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99" t="s">
        <v>179</v>
      </c>
      <c r="D99" s="294"/>
      <c r="E99" s="100">
        <f>285*3</f>
        <v>855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99" t="s">
        <v>180</v>
      </c>
      <c r="D100" s="294"/>
      <c r="E100" s="100">
        <f>250*16</f>
        <v>4000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99" t="s">
        <v>181</v>
      </c>
      <c r="D101" s="294"/>
      <c r="E101" s="100">
        <f>65*5</f>
        <v>325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99" t="s">
        <v>182</v>
      </c>
      <c r="D102" s="294"/>
      <c r="E102" s="100">
        <f>35*40</f>
        <v>1400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99" t="s">
        <v>183</v>
      </c>
      <c r="D103" s="294"/>
      <c r="E103" s="100">
        <f>170*14</f>
        <v>2380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99" t="s">
        <v>184</v>
      </c>
      <c r="D104" s="294"/>
      <c r="E104" s="100">
        <f>80*4</f>
        <v>320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99" t="s">
        <v>185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99" t="s">
        <v>186</v>
      </c>
      <c r="D106" s="294"/>
      <c r="E106" s="100">
        <f>72*8</f>
        <v>576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99" t="s">
        <v>187</v>
      </c>
      <c r="D107" s="294"/>
      <c r="E107" s="100">
        <f>85*160</f>
        <v>13600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99" t="s">
        <v>188</v>
      </c>
      <c r="D108" s="294"/>
      <c r="E108" s="100">
        <f>50*2</f>
        <v>100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99" t="s">
        <v>189</v>
      </c>
      <c r="D109" s="294"/>
      <c r="E109" s="100">
        <f>60*150</f>
        <v>9000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99" t="s">
        <v>190</v>
      </c>
      <c r="D110" s="294"/>
      <c r="E110" s="100">
        <f>85*30</f>
        <v>2550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99" t="s">
        <v>191</v>
      </c>
      <c r="D111" s="294"/>
      <c r="E111" s="100">
        <f>770*80</f>
        <v>61600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28" t="s">
        <v>192</v>
      </c>
      <c r="B112" s="78"/>
      <c r="C112" s="214" t="s">
        <v>193</v>
      </c>
      <c r="D112" s="29"/>
      <c r="E112" s="31"/>
      <c r="F112" s="32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3"/>
      <c r="AJ112" s="22"/>
      <c r="AK112" s="18"/>
    </row>
    <row r="113" spans="1:39" ht="15.75" customHeight="1" x14ac:dyDescent="0.35">
      <c r="A113" s="44"/>
      <c r="B113" s="45"/>
      <c r="C113" s="199" t="s">
        <v>194</v>
      </c>
      <c r="D113" s="58" t="s">
        <v>144</v>
      </c>
      <c r="E113" s="46">
        <v>10000</v>
      </c>
      <c r="F113" s="82">
        <f>E113*2</f>
        <v>20000</v>
      </c>
      <c r="G113" s="58" t="s">
        <v>195</v>
      </c>
      <c r="H113" s="47" t="s">
        <v>79</v>
      </c>
      <c r="I113" s="47">
        <v>1</v>
      </c>
      <c r="J113" s="47">
        <v>1</v>
      </c>
      <c r="K113" s="47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22"/>
      <c r="AK113" s="18"/>
    </row>
    <row r="114" spans="1:39" ht="15.75" customHeight="1" x14ac:dyDescent="0.35">
      <c r="A114" s="28" t="s">
        <v>196</v>
      </c>
      <c r="B114" s="78"/>
      <c r="C114" s="226" t="s">
        <v>197</v>
      </c>
      <c r="D114" s="29"/>
      <c r="E114" s="31"/>
      <c r="F114" s="3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3"/>
      <c r="AJ114" s="41"/>
      <c r="AK114" s="42"/>
      <c r="AL114" s="43"/>
      <c r="AM114" s="43"/>
    </row>
    <row r="115" spans="1:39" ht="15.75" customHeight="1" x14ac:dyDescent="0.35">
      <c r="A115" s="44"/>
      <c r="B115" s="45"/>
      <c r="C115" s="199" t="s">
        <v>198</v>
      </c>
      <c r="D115" s="102" t="s">
        <v>199</v>
      </c>
      <c r="E115" s="46">
        <v>25000</v>
      </c>
      <c r="F115" s="82">
        <f t="shared" ref="F115" si="0">E115*1</f>
        <v>25000</v>
      </c>
      <c r="G115" s="58" t="s">
        <v>78</v>
      </c>
      <c r="H115" s="47" t="s">
        <v>84</v>
      </c>
      <c r="I115" s="47">
        <v>1</v>
      </c>
      <c r="J115" s="4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22"/>
      <c r="AK115" s="18"/>
      <c r="AL115" s="65"/>
      <c r="AM115" s="65"/>
    </row>
    <row r="116" spans="1:39" ht="15.75" customHeight="1" x14ac:dyDescent="0.35">
      <c r="A116" s="44"/>
      <c r="B116" s="45"/>
      <c r="C116" s="199" t="s">
        <v>305</v>
      </c>
      <c r="D116" s="330" t="s">
        <v>144</v>
      </c>
      <c r="E116" s="46">
        <v>4000</v>
      </c>
      <c r="F116" s="310">
        <f>(E116*2)+(E117*2)</f>
        <v>16000</v>
      </c>
      <c r="G116" s="58" t="s">
        <v>78</v>
      </c>
      <c r="H116" s="47" t="s">
        <v>84</v>
      </c>
      <c r="I116" s="47">
        <v>2</v>
      </c>
      <c r="J116" s="4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22"/>
      <c r="AK116" s="18"/>
    </row>
    <row r="117" spans="1:39" ht="15.75" customHeight="1" x14ac:dyDescent="0.35">
      <c r="A117" s="44"/>
      <c r="B117" s="45"/>
      <c r="C117" s="199" t="s">
        <v>303</v>
      </c>
      <c r="D117" s="347"/>
      <c r="E117" s="46">
        <v>4000</v>
      </c>
      <c r="F117" s="323"/>
      <c r="G117" s="58" t="s">
        <v>78</v>
      </c>
      <c r="H117" s="47" t="s">
        <v>84</v>
      </c>
      <c r="I117" s="47">
        <v>2</v>
      </c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</row>
    <row r="118" spans="1:39" ht="15.75" customHeight="1" x14ac:dyDescent="0.35">
      <c r="A118" s="44"/>
      <c r="B118" s="45"/>
      <c r="C118" s="200" t="s">
        <v>200</v>
      </c>
      <c r="D118" s="330" t="s">
        <v>144</v>
      </c>
      <c r="E118" s="46">
        <v>500</v>
      </c>
      <c r="F118" s="310">
        <f>(E118*30)+(E119*20)</f>
        <v>45000</v>
      </c>
      <c r="G118" s="58" t="s">
        <v>78</v>
      </c>
      <c r="H118" s="47" t="s">
        <v>84</v>
      </c>
      <c r="I118" s="47">
        <v>30</v>
      </c>
      <c r="J118" s="47"/>
      <c r="K118" s="47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44"/>
      <c r="B119" s="45"/>
      <c r="C119" s="200" t="s">
        <v>309</v>
      </c>
      <c r="D119" s="347"/>
      <c r="E119" s="46">
        <v>1500</v>
      </c>
      <c r="F119" s="323"/>
      <c r="G119" s="58"/>
      <c r="H119" s="47"/>
      <c r="I119" s="47"/>
      <c r="J119" s="47"/>
      <c r="K119" s="47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22"/>
      <c r="AK119" s="18"/>
    </row>
    <row r="120" spans="1:39" ht="15.75" customHeight="1" x14ac:dyDescent="0.35">
      <c r="A120" s="44"/>
      <c r="B120" s="45"/>
      <c r="C120" s="200" t="s">
        <v>202</v>
      </c>
      <c r="D120" s="102" t="s">
        <v>203</v>
      </c>
      <c r="E120" s="46">
        <v>50</v>
      </c>
      <c r="F120" s="82">
        <f>E120*500</f>
        <v>25000</v>
      </c>
      <c r="G120" s="58" t="s">
        <v>78</v>
      </c>
      <c r="H120" s="47" t="s">
        <v>84</v>
      </c>
      <c r="I120" s="47">
        <v>500</v>
      </c>
      <c r="J120" s="47"/>
      <c r="K120" s="47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</row>
    <row r="121" spans="1:39" ht="26.25" customHeight="1" x14ac:dyDescent="0.35">
      <c r="A121" s="44"/>
      <c r="B121" s="45"/>
      <c r="C121" s="199" t="s">
        <v>204</v>
      </c>
      <c r="D121" s="47" t="s">
        <v>205</v>
      </c>
      <c r="E121" s="46">
        <v>50000</v>
      </c>
      <c r="F121" s="82">
        <f>E121</f>
        <v>50000</v>
      </c>
      <c r="G121" s="103" t="s">
        <v>132</v>
      </c>
      <c r="H121" s="81" t="s">
        <v>206</v>
      </c>
      <c r="I121" s="47"/>
      <c r="J121" s="47">
        <v>200</v>
      </c>
      <c r="K121" s="47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26.25" customHeight="1" x14ac:dyDescent="0.35">
      <c r="A122" s="44"/>
      <c r="B122" s="45"/>
      <c r="C122" s="215" t="s">
        <v>297</v>
      </c>
      <c r="D122" s="62" t="s">
        <v>296</v>
      </c>
      <c r="E122" s="46">
        <v>500</v>
      </c>
      <c r="F122" s="192">
        <f>E122*500</f>
        <v>250000</v>
      </c>
      <c r="G122" s="103" t="s">
        <v>132</v>
      </c>
      <c r="H122" s="81"/>
      <c r="I122" s="47">
        <v>500</v>
      </c>
      <c r="J122" s="47"/>
      <c r="K122" s="47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26.25" customHeight="1" x14ac:dyDescent="0.35">
      <c r="A123" s="84"/>
      <c r="B123" s="89"/>
      <c r="C123" s="208" t="s">
        <v>207</v>
      </c>
      <c r="D123" s="98" t="s">
        <v>295</v>
      </c>
      <c r="E123" s="86">
        <v>250</v>
      </c>
      <c r="F123" s="104">
        <f>E123*1500</f>
        <v>375000</v>
      </c>
      <c r="G123" s="105" t="s">
        <v>132</v>
      </c>
      <c r="H123" s="47" t="s">
        <v>84</v>
      </c>
      <c r="I123" s="88">
        <v>1500</v>
      </c>
      <c r="J123" s="88"/>
      <c r="K123" s="88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90"/>
      <c r="AJ123" s="41"/>
      <c r="AK123" s="42"/>
      <c r="AL123" s="43"/>
      <c r="AM123" s="43"/>
    </row>
    <row r="124" spans="1:39" ht="26.25" customHeight="1" x14ac:dyDescent="0.35">
      <c r="A124" s="84"/>
      <c r="B124" s="89"/>
      <c r="C124" s="208" t="s">
        <v>208</v>
      </c>
      <c r="D124" s="106" t="s">
        <v>209</v>
      </c>
      <c r="E124" s="86">
        <v>200</v>
      </c>
      <c r="F124" s="107">
        <f>E124*150</f>
        <v>30000</v>
      </c>
      <c r="G124" s="108" t="s">
        <v>132</v>
      </c>
      <c r="H124" s="47" t="s">
        <v>84</v>
      </c>
      <c r="I124" s="88">
        <v>150</v>
      </c>
      <c r="J124" s="88"/>
      <c r="K124" s="88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90"/>
      <c r="AJ124" s="41"/>
      <c r="AK124" s="42"/>
      <c r="AL124" s="43"/>
      <c r="AM124" s="43"/>
    </row>
    <row r="125" spans="1:39" ht="15.75" customHeight="1" x14ac:dyDescent="0.35">
      <c r="A125" s="84"/>
      <c r="B125" s="89"/>
      <c r="C125" s="208" t="s">
        <v>210</v>
      </c>
      <c r="D125" s="324" t="s">
        <v>77</v>
      </c>
      <c r="E125" s="86">
        <v>300</v>
      </c>
      <c r="F125" s="325">
        <f>SUM(E125*1500)+(E126*150)</f>
        <v>487500</v>
      </c>
      <c r="G125" s="326" t="s">
        <v>132</v>
      </c>
      <c r="H125" s="324" t="s">
        <v>84</v>
      </c>
      <c r="I125" s="88">
        <v>1500</v>
      </c>
      <c r="J125" s="88"/>
      <c r="K125" s="88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90"/>
      <c r="AJ125" s="41"/>
      <c r="AK125" s="42"/>
      <c r="AL125" s="43"/>
      <c r="AM125" s="43"/>
    </row>
    <row r="126" spans="1:39" ht="15.75" customHeight="1" x14ac:dyDescent="0.35">
      <c r="A126" s="84"/>
      <c r="B126" s="89"/>
      <c r="C126" s="208" t="s">
        <v>211</v>
      </c>
      <c r="D126" s="289"/>
      <c r="E126" s="86">
        <v>250</v>
      </c>
      <c r="F126" s="289"/>
      <c r="G126" s="289"/>
      <c r="H126" s="289"/>
      <c r="I126" s="88">
        <v>150</v>
      </c>
      <c r="J126" s="88"/>
      <c r="K126" s="8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90"/>
      <c r="AJ126" s="41"/>
      <c r="AK126" s="42"/>
      <c r="AL126" s="43"/>
      <c r="AM126" s="43"/>
    </row>
    <row r="127" spans="1:39" ht="22.5" customHeight="1" x14ac:dyDescent="0.35">
      <c r="A127" s="44"/>
      <c r="B127" s="48"/>
      <c r="C127" s="207" t="s">
        <v>212</v>
      </c>
      <c r="D127" s="47" t="s">
        <v>213</v>
      </c>
      <c r="E127" s="46">
        <v>200</v>
      </c>
      <c r="F127" s="82">
        <f>E127*300</f>
        <v>60000</v>
      </c>
      <c r="G127" s="58" t="s">
        <v>132</v>
      </c>
      <c r="H127" s="47" t="s">
        <v>84</v>
      </c>
      <c r="I127" s="47">
        <v>300</v>
      </c>
      <c r="J127" s="47"/>
      <c r="K127" s="47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9"/>
      <c r="AJ127" s="22"/>
      <c r="AK127" s="18"/>
      <c r="AL127" s="2"/>
      <c r="AM127" s="2"/>
    </row>
    <row r="128" spans="1:39" ht="27" customHeight="1" x14ac:dyDescent="0.35">
      <c r="A128" s="44"/>
      <c r="B128" s="48"/>
      <c r="C128" s="207" t="s">
        <v>214</v>
      </c>
      <c r="D128" s="53" t="s">
        <v>215</v>
      </c>
      <c r="E128" s="46">
        <v>110</v>
      </c>
      <c r="F128" s="82">
        <f>E128*1000</f>
        <v>110000</v>
      </c>
      <c r="G128" s="58" t="s">
        <v>132</v>
      </c>
      <c r="H128" s="47" t="s">
        <v>84</v>
      </c>
      <c r="I128" s="47">
        <v>1000</v>
      </c>
      <c r="J128" s="47"/>
      <c r="K128" s="47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9"/>
      <c r="AJ128" s="22"/>
      <c r="AK128" s="18"/>
      <c r="AL128" s="2"/>
      <c r="AM128" s="2"/>
    </row>
    <row r="129" spans="1:39" ht="15.75" customHeight="1" x14ac:dyDescent="0.35">
      <c r="A129" s="28"/>
      <c r="B129" s="29"/>
      <c r="C129" s="216" t="s">
        <v>216</v>
      </c>
      <c r="D129" s="29"/>
      <c r="E129" s="31"/>
      <c r="F129" s="3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33"/>
      <c r="AJ129" s="41"/>
      <c r="AK129" s="42"/>
      <c r="AL129" s="43"/>
      <c r="AM129" s="43"/>
    </row>
    <row r="130" spans="1:39" ht="15.75" customHeight="1" x14ac:dyDescent="0.35">
      <c r="A130" s="109"/>
      <c r="B130" s="48"/>
      <c r="C130" s="207" t="s">
        <v>298</v>
      </c>
      <c r="D130" s="37" t="s">
        <v>144</v>
      </c>
      <c r="E130" s="110">
        <v>5000</v>
      </c>
      <c r="F130" s="110">
        <v>5000</v>
      </c>
      <c r="G130" s="58" t="s">
        <v>89</v>
      </c>
      <c r="H130" s="48"/>
      <c r="I130" s="37">
        <v>1</v>
      </c>
      <c r="J130" s="37">
        <v>1</v>
      </c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9"/>
      <c r="AJ130" s="22"/>
      <c r="AK130" s="18"/>
      <c r="AL130" s="2"/>
      <c r="AM130" s="2"/>
    </row>
    <row r="131" spans="1:39" ht="15.75" customHeight="1" x14ac:dyDescent="0.35">
      <c r="A131" s="28" t="s">
        <v>217</v>
      </c>
      <c r="B131" s="29"/>
      <c r="C131" s="216" t="s">
        <v>218</v>
      </c>
      <c r="D131" s="29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3"/>
      <c r="AJ131" s="41"/>
      <c r="AK131" s="42"/>
      <c r="AL131" s="43"/>
      <c r="AM131" s="43"/>
    </row>
    <row r="132" spans="1:39" s="116" customFormat="1" ht="15.75" customHeight="1" x14ac:dyDescent="0.35">
      <c r="A132" s="111"/>
      <c r="B132" s="112"/>
      <c r="C132" s="217" t="s">
        <v>299</v>
      </c>
      <c r="D132" s="37" t="s">
        <v>286</v>
      </c>
      <c r="E132" s="110">
        <v>25000</v>
      </c>
      <c r="F132" s="114">
        <f>E132*6</f>
        <v>150000</v>
      </c>
      <c r="G132" s="112"/>
      <c r="H132" s="112"/>
      <c r="I132" s="37">
        <v>10</v>
      </c>
      <c r="J132" s="112"/>
      <c r="K132" s="37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5"/>
      <c r="AJ132" s="41"/>
      <c r="AK132" s="42"/>
      <c r="AL132" s="43"/>
      <c r="AM132" s="43"/>
    </row>
    <row r="133" spans="1:39" ht="15.75" customHeight="1" x14ac:dyDescent="0.35">
      <c r="A133" s="28" t="s">
        <v>217</v>
      </c>
      <c r="B133" s="29"/>
      <c r="C133" s="216" t="s">
        <v>219</v>
      </c>
      <c r="D133" s="29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3"/>
      <c r="AJ133" s="41"/>
      <c r="AK133" s="42"/>
      <c r="AL133" s="43"/>
      <c r="AM133" s="43"/>
    </row>
    <row r="134" spans="1:39" ht="15.75" customHeight="1" x14ac:dyDescent="0.35">
      <c r="A134" s="34"/>
      <c r="B134" s="35"/>
      <c r="C134" s="36" t="s">
        <v>220</v>
      </c>
      <c r="D134" s="37" t="s">
        <v>221</v>
      </c>
      <c r="E134" s="110">
        <v>5000</v>
      </c>
      <c r="F134" s="110">
        <f>E134*10</f>
        <v>50000</v>
      </c>
      <c r="G134" s="39" t="s">
        <v>222</v>
      </c>
      <c r="H134" s="37"/>
      <c r="I134" s="37">
        <v>3</v>
      </c>
      <c r="J134" s="37">
        <v>3</v>
      </c>
      <c r="K134" s="37">
        <v>4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40"/>
      <c r="AJ134" s="41"/>
      <c r="AK134" s="42"/>
      <c r="AL134" s="43"/>
      <c r="AM134" s="43"/>
    </row>
    <row r="135" spans="1:39" ht="26.25" customHeight="1" x14ac:dyDescent="0.35">
      <c r="A135" s="34"/>
      <c r="B135" s="35"/>
      <c r="C135" s="117" t="s">
        <v>223</v>
      </c>
      <c r="D135" s="37" t="s">
        <v>77</v>
      </c>
      <c r="E135" s="110">
        <v>150000</v>
      </c>
      <c r="F135" s="110">
        <f>E135</f>
        <v>150000</v>
      </c>
      <c r="G135" s="58" t="s">
        <v>132</v>
      </c>
      <c r="H135" s="37"/>
      <c r="I135" s="37"/>
      <c r="J135" s="37">
        <v>1</v>
      </c>
      <c r="K135" s="39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40"/>
      <c r="AJ135" s="41"/>
      <c r="AK135" s="42"/>
      <c r="AL135" s="43"/>
      <c r="AM135" s="43"/>
    </row>
    <row r="136" spans="1:39" s="127" customFormat="1" ht="13.5" customHeight="1" x14ac:dyDescent="0.35">
      <c r="A136" s="118"/>
      <c r="B136" s="118"/>
      <c r="C136" s="119" t="s">
        <v>224</v>
      </c>
      <c r="D136" s="120" t="s">
        <v>77</v>
      </c>
      <c r="E136" s="121">
        <v>37000</v>
      </c>
      <c r="F136" s="122">
        <f>E136</f>
        <v>37000</v>
      </c>
      <c r="G136" s="120"/>
      <c r="H136" s="123"/>
      <c r="I136" s="124"/>
      <c r="J136" s="124">
        <v>1</v>
      </c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6"/>
      <c r="AK136" s="126"/>
    </row>
    <row r="137" spans="1:39" s="127" customFormat="1" ht="13.5" customHeight="1" x14ac:dyDescent="0.35">
      <c r="A137" s="118"/>
      <c r="B137" s="118"/>
      <c r="C137" s="119" t="s">
        <v>224</v>
      </c>
      <c r="D137" s="313" t="s">
        <v>77</v>
      </c>
      <c r="E137" s="121">
        <v>200000</v>
      </c>
      <c r="F137" s="316">
        <f>E137+E138+E139</f>
        <v>300000</v>
      </c>
      <c r="G137" s="313" t="s">
        <v>222</v>
      </c>
      <c r="H137" s="123"/>
      <c r="I137" s="124">
        <v>1</v>
      </c>
      <c r="J137" s="124"/>
      <c r="K137" s="128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6"/>
      <c r="AK137" s="126"/>
    </row>
    <row r="138" spans="1:39" s="127" customFormat="1" ht="13.5" customHeight="1" x14ac:dyDescent="0.35">
      <c r="A138" s="118"/>
      <c r="B138" s="118"/>
      <c r="C138" s="119" t="s">
        <v>224</v>
      </c>
      <c r="D138" s="314"/>
      <c r="E138" s="121">
        <v>50000</v>
      </c>
      <c r="F138" s="317"/>
      <c r="G138" s="314"/>
      <c r="H138" s="123"/>
      <c r="I138" s="124">
        <v>1</v>
      </c>
      <c r="J138" s="124"/>
      <c r="K138" s="128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6"/>
      <c r="AK138" s="126"/>
    </row>
    <row r="139" spans="1:39" s="127" customFormat="1" ht="13.5" customHeight="1" x14ac:dyDescent="0.35">
      <c r="A139" s="118"/>
      <c r="B139" s="118"/>
      <c r="C139" s="193" t="s">
        <v>224</v>
      </c>
      <c r="D139" s="315"/>
      <c r="E139" s="121">
        <v>50000</v>
      </c>
      <c r="F139" s="318"/>
      <c r="G139" s="315"/>
      <c r="H139" s="123"/>
      <c r="I139" s="124">
        <v>1</v>
      </c>
      <c r="J139" s="124"/>
      <c r="K139" s="128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6"/>
      <c r="AK139" s="126"/>
    </row>
    <row r="140" spans="1:39" s="127" customFormat="1" ht="13.5" customHeight="1" x14ac:dyDescent="0.35">
      <c r="A140" s="118"/>
      <c r="B140" s="118"/>
      <c r="C140" s="193" t="s">
        <v>311</v>
      </c>
      <c r="D140" s="120" t="s">
        <v>77</v>
      </c>
      <c r="E140" s="121">
        <v>37000</v>
      </c>
      <c r="F140" s="122">
        <v>110000</v>
      </c>
      <c r="G140" s="120"/>
      <c r="H140" s="123"/>
      <c r="I140" s="124">
        <v>1</v>
      </c>
      <c r="J140" s="124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6"/>
      <c r="AK140" s="126"/>
    </row>
    <row r="141" spans="1:39" s="127" customFormat="1" ht="13.5" customHeight="1" x14ac:dyDescent="0.35">
      <c r="A141" s="129"/>
      <c r="B141" s="194"/>
      <c r="C141" s="195" t="s">
        <v>287</v>
      </c>
      <c r="D141" s="120" t="s">
        <v>77</v>
      </c>
      <c r="E141" s="130">
        <v>100000</v>
      </c>
      <c r="F141" s="131">
        <v>85000</v>
      </c>
      <c r="G141" s="120"/>
      <c r="H141" s="123"/>
      <c r="I141" s="132">
        <v>1</v>
      </c>
      <c r="J141" s="132"/>
      <c r="K141" s="133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5"/>
      <c r="AJ141" s="126"/>
      <c r="AK141" s="126"/>
    </row>
    <row r="142" spans="1:39" ht="15.75" customHeight="1" x14ac:dyDescent="0.35">
      <c r="A142" s="28" t="s">
        <v>225</v>
      </c>
      <c r="B142" s="29"/>
      <c r="C142" s="216" t="s">
        <v>226</v>
      </c>
      <c r="D142" s="29"/>
      <c r="E142" s="31"/>
      <c r="F142" s="31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33"/>
      <c r="AJ142" s="41"/>
      <c r="AK142" s="42"/>
      <c r="AL142" s="43"/>
      <c r="AM142" s="43"/>
    </row>
    <row r="143" spans="1:39" ht="15.75" customHeight="1" x14ac:dyDescent="0.35">
      <c r="A143" s="34"/>
      <c r="B143" s="35"/>
      <c r="C143" s="36" t="s">
        <v>227</v>
      </c>
      <c r="D143" s="37" t="s">
        <v>285</v>
      </c>
      <c r="E143" s="110">
        <v>2500</v>
      </c>
      <c r="F143" s="110">
        <f>E143*1</f>
        <v>2500</v>
      </c>
      <c r="G143" s="39" t="s">
        <v>222</v>
      </c>
      <c r="H143" s="37" t="s">
        <v>79</v>
      </c>
      <c r="I143" s="88"/>
      <c r="J143" s="88">
        <v>1</v>
      </c>
      <c r="K143" s="88">
        <v>1</v>
      </c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40"/>
      <c r="AJ143" s="41"/>
      <c r="AK143" s="42"/>
      <c r="AL143" s="95"/>
      <c r="AM143" s="95"/>
    </row>
    <row r="144" spans="1:39" ht="15.75" customHeight="1" x14ac:dyDescent="0.35">
      <c r="A144" s="44"/>
      <c r="B144" s="48"/>
      <c r="C144" s="207" t="s">
        <v>228</v>
      </c>
      <c r="D144" s="47" t="s">
        <v>144</v>
      </c>
      <c r="E144" s="46">
        <v>350</v>
      </c>
      <c r="F144" s="46">
        <f>E144*2</f>
        <v>700</v>
      </c>
      <c r="G144" s="58" t="s">
        <v>89</v>
      </c>
      <c r="H144" s="47" t="s">
        <v>79</v>
      </c>
      <c r="I144" s="88">
        <v>1</v>
      </c>
      <c r="J144" s="88">
        <v>1</v>
      </c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9"/>
      <c r="AJ144" s="22"/>
      <c r="AK144" s="18"/>
    </row>
    <row r="145" spans="1:39" ht="15.75" customHeight="1" x14ac:dyDescent="0.35">
      <c r="A145" s="28" t="s">
        <v>229</v>
      </c>
      <c r="B145" s="29"/>
      <c r="C145" s="216" t="s">
        <v>230</v>
      </c>
      <c r="D145" s="29"/>
      <c r="E145" s="31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33"/>
      <c r="AJ145" s="22"/>
      <c r="AK145" s="18"/>
    </row>
    <row r="146" spans="1:39" ht="15.75" customHeight="1" x14ac:dyDescent="0.35">
      <c r="A146" s="44"/>
      <c r="B146" s="48"/>
      <c r="C146" s="207" t="s">
        <v>231</v>
      </c>
      <c r="D146" s="88" t="s">
        <v>77</v>
      </c>
      <c r="E146" s="46">
        <v>3000000</v>
      </c>
      <c r="F146" s="46">
        <f>E146*1</f>
        <v>3000000</v>
      </c>
      <c r="G146" s="58" t="s">
        <v>232</v>
      </c>
      <c r="H146" s="47" t="s">
        <v>233</v>
      </c>
      <c r="I146" s="47">
        <v>1</v>
      </c>
      <c r="J146" s="47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9"/>
      <c r="AJ146" s="22"/>
      <c r="AK146" s="18"/>
    </row>
    <row r="147" spans="1:39" ht="15.75" customHeight="1" x14ac:dyDescent="0.35">
      <c r="A147" s="28"/>
      <c r="B147" s="29"/>
      <c r="C147" s="218" t="s">
        <v>234</v>
      </c>
      <c r="D147" s="29"/>
      <c r="E147" s="31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33"/>
      <c r="AJ147" s="22"/>
      <c r="AK147" s="18"/>
    </row>
    <row r="148" spans="1:39" s="116" customFormat="1" ht="15.75" customHeight="1" x14ac:dyDescent="0.35">
      <c r="A148" s="111"/>
      <c r="B148" s="112"/>
      <c r="C148" s="113" t="s">
        <v>235</v>
      </c>
      <c r="D148" s="136" t="s">
        <v>77</v>
      </c>
      <c r="E148" s="100">
        <v>400000</v>
      </c>
      <c r="F148" s="137">
        <f>E148</f>
        <v>400000</v>
      </c>
      <c r="G148" s="138"/>
      <c r="H148" s="139" t="s">
        <v>236</v>
      </c>
      <c r="I148" s="47">
        <v>1</v>
      </c>
      <c r="J148" s="112"/>
      <c r="K148" s="47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5"/>
      <c r="AJ148" s="140"/>
      <c r="AK148" s="141"/>
    </row>
    <row r="149" spans="1:39" ht="15.75" customHeight="1" x14ac:dyDescent="0.35">
      <c r="A149" s="109"/>
      <c r="B149" s="48"/>
      <c r="C149" s="209" t="s">
        <v>237</v>
      </c>
      <c r="D149" s="327" t="s">
        <v>77</v>
      </c>
      <c r="E149" s="328">
        <v>12500</v>
      </c>
      <c r="F149" s="328">
        <f>E149*1</f>
        <v>12500</v>
      </c>
      <c r="G149" s="329"/>
      <c r="H149" s="293" t="s">
        <v>236</v>
      </c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9"/>
      <c r="AJ149" s="22"/>
      <c r="AK149" s="18"/>
    </row>
    <row r="150" spans="1:39" ht="15.75" customHeight="1" x14ac:dyDescent="0.35">
      <c r="A150" s="109"/>
      <c r="B150" s="48"/>
      <c r="C150" s="207" t="s">
        <v>238</v>
      </c>
      <c r="D150" s="297"/>
      <c r="E150" s="297"/>
      <c r="F150" s="297"/>
      <c r="G150" s="297"/>
      <c r="H150" s="297"/>
      <c r="I150" s="48"/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9"/>
      <c r="AJ150" s="22"/>
      <c r="AK150" s="18"/>
    </row>
    <row r="151" spans="1:39" ht="15.75" customHeight="1" x14ac:dyDescent="0.35">
      <c r="A151" s="44"/>
      <c r="B151" s="48"/>
      <c r="C151" s="207" t="s">
        <v>239</v>
      </c>
      <c r="D151" s="298"/>
      <c r="E151" s="298"/>
      <c r="F151" s="298"/>
      <c r="G151" s="298"/>
      <c r="H151" s="298"/>
      <c r="I151" s="47"/>
      <c r="J151" s="47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9"/>
      <c r="AJ151" s="22"/>
      <c r="AK151" s="18"/>
    </row>
    <row r="152" spans="1:39" ht="15.75" customHeight="1" x14ac:dyDescent="0.35">
      <c r="A152" s="28" t="s">
        <v>240</v>
      </c>
      <c r="B152" s="29"/>
      <c r="C152" s="214" t="s">
        <v>241</v>
      </c>
      <c r="D152" s="29"/>
      <c r="E152" s="31"/>
      <c r="F152" s="32"/>
      <c r="G152" s="29"/>
      <c r="H152" s="29"/>
      <c r="I152" s="142"/>
      <c r="J152" s="142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33"/>
      <c r="AJ152" s="41"/>
      <c r="AK152" s="42"/>
      <c r="AL152" s="43"/>
      <c r="AM152" s="43"/>
    </row>
    <row r="153" spans="1:39" ht="15.75" customHeight="1" x14ac:dyDescent="0.35">
      <c r="A153" s="44"/>
      <c r="B153" s="48"/>
      <c r="C153" s="210" t="s">
        <v>242</v>
      </c>
      <c r="D153" s="312" t="s">
        <v>77</v>
      </c>
      <c r="E153" s="310">
        <v>200000</v>
      </c>
      <c r="F153" s="310">
        <f>E153</f>
        <v>200000</v>
      </c>
      <c r="G153" s="291" t="s">
        <v>132</v>
      </c>
      <c r="H153" s="291" t="s">
        <v>243</v>
      </c>
      <c r="I153" s="330"/>
      <c r="J153" s="102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  <c r="AL153" s="2"/>
      <c r="AM153" s="2"/>
    </row>
    <row r="154" spans="1:39" ht="22.5" customHeight="1" x14ac:dyDescent="0.35">
      <c r="A154" s="44"/>
      <c r="B154" s="48"/>
      <c r="C154" s="211" t="s">
        <v>244</v>
      </c>
      <c r="D154" s="297"/>
      <c r="E154" s="297"/>
      <c r="F154" s="297"/>
      <c r="G154" s="308"/>
      <c r="H154" s="308"/>
      <c r="I154" s="297"/>
      <c r="J154" s="102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9"/>
      <c r="AJ154" s="22"/>
      <c r="AK154" s="18"/>
      <c r="AL154" s="2"/>
      <c r="AM154" s="2"/>
    </row>
    <row r="155" spans="1:39" ht="24" customHeight="1" x14ac:dyDescent="0.35">
      <c r="A155" s="44"/>
      <c r="B155" s="48"/>
      <c r="C155" s="202" t="s">
        <v>245</v>
      </c>
      <c r="D155" s="297"/>
      <c r="E155" s="297"/>
      <c r="F155" s="297"/>
      <c r="G155" s="308"/>
      <c r="H155" s="308"/>
      <c r="I155" s="297"/>
      <c r="J155" s="102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9"/>
      <c r="AJ155" s="22"/>
      <c r="AK155" s="18"/>
      <c r="AL155" s="2"/>
      <c r="AM155" s="2"/>
    </row>
    <row r="156" spans="1:39" ht="24" customHeight="1" x14ac:dyDescent="0.35">
      <c r="A156" s="44"/>
      <c r="B156" s="48"/>
      <c r="C156" s="202" t="s">
        <v>246</v>
      </c>
      <c r="D156" s="298"/>
      <c r="E156" s="298"/>
      <c r="F156" s="298"/>
      <c r="G156" s="308"/>
      <c r="H156" s="308"/>
      <c r="I156" s="298"/>
      <c r="J156" s="102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9"/>
      <c r="AJ156" s="22"/>
      <c r="AK156" s="18"/>
    </row>
    <row r="157" spans="1:39" ht="15.75" customHeight="1" x14ac:dyDescent="0.35">
      <c r="A157" s="44"/>
      <c r="B157" s="45"/>
      <c r="C157" s="199" t="s">
        <v>247</v>
      </c>
      <c r="D157" s="136" t="s">
        <v>77</v>
      </c>
      <c r="E157" s="46">
        <v>542000</v>
      </c>
      <c r="F157" s="143">
        <f t="shared" ref="F157:F158" si="1">E157</f>
        <v>542000</v>
      </c>
      <c r="G157" s="312" t="s">
        <v>248</v>
      </c>
      <c r="H157" s="296" t="s">
        <v>79</v>
      </c>
      <c r="I157" s="47">
        <v>1</v>
      </c>
      <c r="J157" s="47"/>
      <c r="K157" s="47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  <c r="AL157" s="2"/>
      <c r="AM157" s="2"/>
    </row>
    <row r="158" spans="1:39" ht="15.75" customHeight="1" x14ac:dyDescent="0.35">
      <c r="A158" s="44"/>
      <c r="B158" s="45"/>
      <c r="C158" s="199" t="s">
        <v>249</v>
      </c>
      <c r="D158" s="53" t="s">
        <v>77</v>
      </c>
      <c r="E158" s="46">
        <v>550000</v>
      </c>
      <c r="F158" s="229">
        <f t="shared" si="1"/>
        <v>550000</v>
      </c>
      <c r="G158" s="331"/>
      <c r="H158" s="332"/>
      <c r="I158" s="47">
        <v>1</v>
      </c>
      <c r="J158" s="47"/>
      <c r="K158" s="47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9"/>
      <c r="AJ158" s="22"/>
      <c r="AK158" s="18"/>
      <c r="AL158" s="2"/>
      <c r="AM158" s="2"/>
    </row>
    <row r="159" spans="1:39" ht="15.75" customHeight="1" x14ac:dyDescent="0.35">
      <c r="A159" s="144" t="s">
        <v>229</v>
      </c>
      <c r="B159" s="145"/>
      <c r="C159" s="219" t="s">
        <v>250</v>
      </c>
      <c r="D159" s="146"/>
      <c r="E159" s="147"/>
      <c r="F159" s="148"/>
      <c r="G159" s="149"/>
      <c r="H159" s="150"/>
      <c r="I159" s="150"/>
      <c r="J159" s="150"/>
      <c r="K159" s="150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51"/>
      <c r="AJ159" s="22"/>
      <c r="AK159" s="18"/>
    </row>
    <row r="160" spans="1:39" ht="22.5" customHeight="1" x14ac:dyDescent="0.35">
      <c r="A160" s="152"/>
      <c r="B160" s="153"/>
      <c r="C160" s="212" t="s">
        <v>251</v>
      </c>
      <c r="D160" s="53" t="s">
        <v>252</v>
      </c>
      <c r="E160" s="154">
        <v>15000</v>
      </c>
      <c r="F160" s="154">
        <f t="shared" ref="F160:F161" si="2">E160</f>
        <v>15000</v>
      </c>
      <c r="G160" s="50" t="s">
        <v>132</v>
      </c>
      <c r="H160" s="53" t="s">
        <v>243</v>
      </c>
      <c r="I160" s="53"/>
      <c r="J160" s="53"/>
      <c r="K160" s="53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155"/>
      <c r="AJ160" s="156"/>
      <c r="AK160" s="157"/>
      <c r="AL160" s="158"/>
      <c r="AM160" s="158"/>
    </row>
    <row r="161" spans="1:39" ht="24.75" customHeight="1" thickBot="1" x14ac:dyDescent="0.4">
      <c r="A161" s="243"/>
      <c r="B161" s="244"/>
      <c r="C161" s="240" t="s">
        <v>253</v>
      </c>
      <c r="D161" s="220" t="s">
        <v>136</v>
      </c>
      <c r="E161" s="223">
        <v>35000</v>
      </c>
      <c r="F161" s="223">
        <f t="shared" si="2"/>
        <v>35000</v>
      </c>
      <c r="G161" s="224" t="s">
        <v>132</v>
      </c>
      <c r="H161" s="220" t="s">
        <v>84</v>
      </c>
      <c r="I161" s="222"/>
      <c r="J161" s="222"/>
      <c r="K161" s="222"/>
      <c r="L161" s="225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4"/>
      <c r="AJ161" s="41"/>
      <c r="AK161" s="42"/>
      <c r="AL161" s="43"/>
      <c r="AM161" s="43"/>
    </row>
    <row r="162" spans="1:39" ht="24.75" customHeight="1" thickBot="1" x14ac:dyDescent="0.4">
      <c r="A162" s="241"/>
      <c r="B162" s="242"/>
      <c r="C162" s="246" t="s">
        <v>312</v>
      </c>
      <c r="D162" s="235" t="s">
        <v>313</v>
      </c>
      <c r="E162" s="236">
        <v>5500</v>
      </c>
      <c r="F162" s="236">
        <f>E162*2</f>
        <v>11000</v>
      </c>
      <c r="G162" s="237"/>
      <c r="H162" s="234"/>
      <c r="I162" s="220"/>
      <c r="J162" s="220"/>
      <c r="K162" s="220"/>
      <c r="L162" s="221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4"/>
      <c r="AJ162" s="41"/>
      <c r="AK162" s="42"/>
      <c r="AL162" s="43"/>
      <c r="AM162" s="43"/>
    </row>
    <row r="163" spans="1:39" ht="27" customHeight="1" thickBot="1" x14ac:dyDescent="0.4">
      <c r="A163" s="247" t="s">
        <v>254</v>
      </c>
      <c r="B163" s="248"/>
      <c r="C163" s="245" t="s">
        <v>255</v>
      </c>
      <c r="D163" s="333" t="s">
        <v>77</v>
      </c>
      <c r="E163" s="335">
        <v>20000</v>
      </c>
      <c r="F163" s="335">
        <v>20000</v>
      </c>
      <c r="G163" s="336" t="s">
        <v>132</v>
      </c>
      <c r="H163" s="333" t="s">
        <v>84</v>
      </c>
      <c r="I163" s="220"/>
      <c r="J163" s="220"/>
      <c r="K163" s="220"/>
      <c r="L163" s="221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4"/>
      <c r="AJ163" s="41"/>
      <c r="AK163" s="42"/>
      <c r="AL163" s="43"/>
      <c r="AM163" s="43"/>
    </row>
    <row r="164" spans="1:39" ht="25.5" customHeight="1" thickBot="1" x14ac:dyDescent="0.4">
      <c r="A164" s="247" t="s">
        <v>256</v>
      </c>
      <c r="B164" s="248"/>
      <c r="C164" s="239" t="s">
        <v>257</v>
      </c>
      <c r="D164" s="297"/>
      <c r="E164" s="297"/>
      <c r="F164" s="297"/>
      <c r="G164" s="297"/>
      <c r="H164" s="297"/>
      <c r="I164" s="220"/>
      <c r="J164" s="220"/>
      <c r="K164" s="220"/>
      <c r="L164" s="221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4"/>
      <c r="AJ164" s="41"/>
      <c r="AK164" s="42"/>
      <c r="AL164" s="43"/>
      <c r="AM164" s="43"/>
    </row>
    <row r="165" spans="1:39" ht="27" customHeight="1" thickBot="1" x14ac:dyDescent="0.4">
      <c r="A165" s="241" t="s">
        <v>258</v>
      </c>
      <c r="B165" s="242"/>
      <c r="C165" s="238" t="s">
        <v>259</v>
      </c>
      <c r="D165" s="297"/>
      <c r="E165" s="297"/>
      <c r="F165" s="297"/>
      <c r="G165" s="297"/>
      <c r="H165" s="297"/>
      <c r="I165" s="220"/>
      <c r="J165" s="220"/>
      <c r="K165" s="220"/>
      <c r="L165" s="221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4"/>
      <c r="AJ165" s="41"/>
      <c r="AK165" s="42"/>
      <c r="AL165" s="43"/>
      <c r="AM165" s="43"/>
    </row>
    <row r="166" spans="1:39" ht="27.75" customHeight="1" thickBot="1" x14ac:dyDescent="0.4">
      <c r="A166" s="159" t="s">
        <v>260</v>
      </c>
      <c r="B166" s="160"/>
      <c r="C166" s="165" t="s">
        <v>261</v>
      </c>
      <c r="D166" s="334"/>
      <c r="E166" s="334"/>
      <c r="F166" s="334"/>
      <c r="G166" s="334"/>
      <c r="H166" s="334"/>
      <c r="I166" s="162"/>
      <c r="J166" s="162"/>
      <c r="K166" s="162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4"/>
      <c r="AJ166" s="41"/>
      <c r="AK166" s="42"/>
      <c r="AL166" s="43"/>
      <c r="AM166" s="43"/>
    </row>
    <row r="167" spans="1:39" ht="15.75" customHeight="1" x14ac:dyDescent="0.35">
      <c r="A167" s="167"/>
      <c r="B167" s="168"/>
      <c r="C167" s="213"/>
      <c r="D167" s="169"/>
      <c r="E167" s="170"/>
      <c r="F167" s="171"/>
      <c r="G167" s="172"/>
      <c r="H167" s="172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2"/>
      <c r="AK167" s="2"/>
    </row>
    <row r="168" spans="1:39" ht="15.75" customHeight="1" thickBot="1" x14ac:dyDescent="0.4">
      <c r="A168" s="173" t="s">
        <v>262</v>
      </c>
      <c r="B168" s="168"/>
      <c r="C168" s="168"/>
      <c r="D168" s="337">
        <f>SUM(F12:F165)</f>
        <v>9868811</v>
      </c>
      <c r="E168" s="338"/>
      <c r="F168" s="338"/>
      <c r="G168" s="172"/>
      <c r="H168" s="172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2"/>
      <c r="AK168" s="2"/>
    </row>
    <row r="169" spans="1:39" ht="15.75" hidden="1" customHeight="1" x14ac:dyDescent="0.35">
      <c r="A169" s="174" t="s">
        <v>263</v>
      </c>
      <c r="B169" s="175"/>
      <c r="C169" s="175"/>
      <c r="D169" s="339">
        <f>PRODUCT(D168,0.1)</f>
        <v>986881.10000000009</v>
      </c>
      <c r="E169" s="288"/>
      <c r="F169" s="289"/>
      <c r="G169" s="172"/>
      <c r="H169" s="172"/>
      <c r="I169" s="340"/>
      <c r="J169" s="283"/>
      <c r="K169" s="340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176"/>
      <c r="AI169" s="18"/>
      <c r="AJ169" s="2"/>
      <c r="AK169" s="2"/>
    </row>
    <row r="170" spans="1:39" ht="15.75" hidden="1" customHeight="1" x14ac:dyDescent="0.35">
      <c r="A170" s="177" t="s">
        <v>264</v>
      </c>
      <c r="B170" s="54"/>
      <c r="C170" s="54"/>
      <c r="D170" s="341">
        <f>PRODUCT(D168,0.1)</f>
        <v>986881.10000000009</v>
      </c>
      <c r="E170" s="342"/>
      <c r="F170" s="343"/>
      <c r="G170" s="172"/>
      <c r="H170" s="172"/>
      <c r="I170" s="18"/>
      <c r="J170" s="18"/>
      <c r="K170" s="344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178"/>
      <c r="AI170" s="18"/>
      <c r="AJ170" s="2"/>
      <c r="AK170" s="2"/>
    </row>
    <row r="171" spans="1:39" ht="15.75" hidden="1" customHeight="1" x14ac:dyDescent="0.35">
      <c r="A171" s="177" t="s">
        <v>265</v>
      </c>
      <c r="B171" s="54"/>
      <c r="C171" s="54"/>
      <c r="D171" s="341">
        <f>SUM(D168:F170)</f>
        <v>11842573.199999999</v>
      </c>
      <c r="E171" s="342"/>
      <c r="F171" s="343"/>
      <c r="G171" s="172"/>
      <c r="H171" s="172"/>
      <c r="I171" s="18"/>
      <c r="J171" s="18"/>
      <c r="K171" s="344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178"/>
      <c r="AI171" s="18"/>
      <c r="AJ171" s="2"/>
      <c r="AK171" s="2"/>
    </row>
    <row r="172" spans="1:39" ht="15.75" customHeight="1" thickTop="1" x14ac:dyDescent="0.35">
      <c r="A172" s="167"/>
      <c r="B172" s="168"/>
      <c r="C172" s="168"/>
      <c r="D172" s="169"/>
      <c r="E172" s="170"/>
      <c r="F172" s="171"/>
      <c r="G172" s="172"/>
      <c r="H172" s="172"/>
      <c r="I172" s="18"/>
      <c r="J172" s="18"/>
      <c r="K172" s="344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178"/>
      <c r="AI172" s="18"/>
      <c r="AJ172" s="2"/>
      <c r="AK172" s="2"/>
    </row>
    <row r="173" spans="1:39" ht="15.75" customHeight="1" x14ac:dyDescent="0.35">
      <c r="A173" s="179" t="s">
        <v>266</v>
      </c>
      <c r="B173" s="168"/>
      <c r="C173" s="168"/>
      <c r="D173" s="169"/>
      <c r="E173" s="170"/>
      <c r="F173" s="171"/>
      <c r="G173" s="172"/>
      <c r="H173" s="172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2"/>
      <c r="AK173" s="2"/>
    </row>
    <row r="174" spans="1:39" ht="15.75" customHeight="1" x14ac:dyDescent="0.35">
      <c r="A174" s="168"/>
      <c r="B174" s="168"/>
      <c r="C174" s="168"/>
      <c r="D174" s="169"/>
      <c r="E174" s="170"/>
      <c r="F174" s="171"/>
      <c r="G174" s="172"/>
      <c r="H174" s="172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2"/>
      <c r="AK174" s="2"/>
    </row>
    <row r="175" spans="1:39" ht="15.75" customHeight="1" x14ac:dyDescent="0.35">
      <c r="A175" s="180" t="s">
        <v>267</v>
      </c>
      <c r="B175" s="11"/>
      <c r="C175" s="11"/>
      <c r="D175" s="181" t="s">
        <v>268</v>
      </c>
      <c r="E175" s="182"/>
      <c r="F175" s="183"/>
      <c r="G175" s="184" t="s">
        <v>269</v>
      </c>
      <c r="H175" s="2"/>
      <c r="I175" s="2"/>
      <c r="J175" s="184" t="s">
        <v>270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185"/>
    </row>
    <row r="176" spans="1:39" ht="15.75" customHeight="1" x14ac:dyDescent="0.35">
      <c r="A176" s="180"/>
      <c r="B176" s="11"/>
      <c r="C176" s="11"/>
      <c r="D176" s="186"/>
      <c r="E176" s="182"/>
      <c r="F176" s="183"/>
      <c r="G176" s="187"/>
      <c r="H176" s="18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185"/>
      <c r="AK176" s="185"/>
    </row>
    <row r="177" spans="1:37" ht="15.75" customHeight="1" x14ac:dyDescent="0.35">
      <c r="A177" s="11"/>
      <c r="B177" s="11"/>
      <c r="C177" s="11"/>
      <c r="D177" s="186"/>
      <c r="E177" s="182"/>
      <c r="F177" s="183"/>
      <c r="G177" s="187"/>
      <c r="H177" s="18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185"/>
      <c r="AK177" s="185"/>
    </row>
    <row r="178" spans="1:37" ht="15.75" customHeight="1" x14ac:dyDescent="0.35">
      <c r="A178" s="345" t="s">
        <v>271</v>
      </c>
      <c r="B178" s="283"/>
      <c r="C178" s="283"/>
      <c r="D178" s="184" t="s">
        <v>272</v>
      </c>
      <c r="E178" s="188"/>
      <c r="F178" s="183"/>
      <c r="G178" s="184" t="s">
        <v>273</v>
      </c>
      <c r="H178" s="2"/>
      <c r="I178" s="2"/>
      <c r="J178" s="184" t="s">
        <v>274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" customHeight="1" x14ac:dyDescent="0.35">
      <c r="A179" s="346" t="s">
        <v>275</v>
      </c>
      <c r="B179" s="283"/>
      <c r="C179" s="283"/>
      <c r="D179" s="2" t="s">
        <v>276</v>
      </c>
      <c r="E179" s="188"/>
      <c r="F179" s="183"/>
      <c r="G179" s="2" t="s">
        <v>277</v>
      </c>
      <c r="H179" s="2"/>
      <c r="I179" s="2"/>
      <c r="J179" s="2" t="s">
        <v>278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185"/>
      <c r="AK179" s="185"/>
    </row>
    <row r="180" spans="1:37" ht="15.75" customHeight="1" x14ac:dyDescent="0.35">
      <c r="A180" s="2"/>
      <c r="B180" s="2"/>
      <c r="C180" s="2"/>
      <c r="D180" s="2"/>
      <c r="E180" s="188"/>
      <c r="F180" s="18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35">
      <c r="A181" s="2" t="s">
        <v>284</v>
      </c>
      <c r="B181" s="2"/>
      <c r="C181" s="2"/>
      <c r="D181" s="2" t="s">
        <v>279</v>
      </c>
      <c r="E181" s="188"/>
      <c r="F181" s="183"/>
      <c r="G181" s="2" t="s">
        <v>279</v>
      </c>
      <c r="H181" s="2"/>
      <c r="I181" s="2"/>
      <c r="J181" s="2" t="s">
        <v>279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35">
      <c r="D182" s="2"/>
      <c r="E182" s="188"/>
      <c r="F182" s="18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7" ht="15.75" customHeight="1" x14ac:dyDescent="0.35">
      <c r="D183" s="189" t="s">
        <v>280</v>
      </c>
      <c r="E183" s="182"/>
      <c r="F183" s="183"/>
      <c r="G183" s="187"/>
      <c r="H183" s="18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7" ht="15.75" customHeight="1" x14ac:dyDescent="0.35">
      <c r="A184" s="18"/>
      <c r="B184" s="18"/>
      <c r="C184" s="18"/>
      <c r="D184" s="169"/>
      <c r="E184" s="170"/>
      <c r="F184" s="171"/>
      <c r="G184" s="172"/>
      <c r="H184" s="172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</row>
    <row r="185" spans="1:37" ht="15.75" customHeight="1" x14ac:dyDescent="0.35">
      <c r="A185" s="18"/>
      <c r="B185" s="18"/>
      <c r="C185" s="18"/>
      <c r="D185" s="169"/>
      <c r="E185" s="170"/>
      <c r="F185" s="171"/>
      <c r="G185" s="172"/>
      <c r="H185" s="172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</row>
    <row r="186" spans="1:37" ht="15.75" customHeight="1" x14ac:dyDescent="0.35">
      <c r="D186" s="186"/>
      <c r="E186" s="182"/>
      <c r="F186" s="183"/>
      <c r="G186" s="187"/>
      <c r="H186" s="18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7" ht="15.75" customHeight="1" x14ac:dyDescent="0.35">
      <c r="D187" s="186"/>
      <c r="E187" s="182"/>
      <c r="F187" s="183"/>
      <c r="G187" s="187"/>
      <c r="H187" s="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7" ht="15.75" customHeight="1" x14ac:dyDescent="0.35">
      <c r="D188" s="186"/>
      <c r="E188" s="182"/>
      <c r="F188" s="183"/>
      <c r="G188" s="187"/>
      <c r="H188" s="18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7" ht="15.75" customHeight="1" x14ac:dyDescent="0.35">
      <c r="D189" s="186"/>
      <c r="E189" s="182"/>
      <c r="F189" s="183"/>
      <c r="G189" s="187"/>
      <c r="H189" s="18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7" ht="15.75" customHeight="1" x14ac:dyDescent="0.35">
      <c r="D190" s="186"/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D191" s="186"/>
      <c r="E191" s="182"/>
      <c r="F191" s="183"/>
      <c r="G191" s="187"/>
      <c r="H191" s="18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7" ht="15.75" customHeight="1" x14ac:dyDescent="0.35">
      <c r="D192" s="186"/>
      <c r="E192" s="182"/>
      <c r="F192" s="183"/>
      <c r="G192" s="187"/>
      <c r="H192" s="18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4:35" ht="15.75" customHeight="1" x14ac:dyDescent="0.35">
      <c r="D193" s="186"/>
      <c r="E193" s="182"/>
      <c r="F193" s="183"/>
      <c r="G193" s="187"/>
      <c r="H193" s="18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4:35" ht="15.75" customHeight="1" x14ac:dyDescent="0.35">
      <c r="D194" s="186"/>
      <c r="E194" s="190"/>
      <c r="H194" s="191"/>
    </row>
    <row r="195" spans="4:35" ht="15.75" customHeight="1" x14ac:dyDescent="0.35">
      <c r="D195" s="186"/>
      <c r="E195" s="190"/>
      <c r="H195" s="191"/>
    </row>
    <row r="196" spans="4:35" ht="15.75" customHeight="1" x14ac:dyDescent="0.35">
      <c r="D196" s="186"/>
      <c r="E196" s="190"/>
      <c r="H196" s="191"/>
    </row>
    <row r="197" spans="4:35" ht="15.75" customHeight="1" x14ac:dyDescent="0.35">
      <c r="D197" s="186"/>
      <c r="E197" s="190"/>
      <c r="H197" s="191"/>
    </row>
    <row r="198" spans="4:35" ht="15.75" customHeight="1" x14ac:dyDescent="0.35">
      <c r="D198" s="186"/>
      <c r="E198" s="190"/>
      <c r="H198" s="191"/>
    </row>
    <row r="199" spans="4:35" ht="15.75" customHeight="1" x14ac:dyDescent="0.35">
      <c r="D199" s="186"/>
      <c r="E199" s="190"/>
      <c r="H199" s="191"/>
    </row>
    <row r="200" spans="4:35" ht="15.75" customHeight="1" x14ac:dyDescent="0.35">
      <c r="D200" s="186"/>
      <c r="E200" s="190"/>
      <c r="H200" s="191"/>
    </row>
    <row r="201" spans="4:35" ht="15.75" customHeight="1" x14ac:dyDescent="0.35">
      <c r="D201" s="186"/>
      <c r="E201" s="190"/>
      <c r="H201" s="191"/>
    </row>
    <row r="202" spans="4:35" ht="15.75" customHeight="1" x14ac:dyDescent="0.35">
      <c r="D202" s="186"/>
      <c r="E202" s="190"/>
      <c r="H202" s="191"/>
    </row>
    <row r="203" spans="4:35" ht="15.75" customHeight="1" x14ac:dyDescent="0.35">
      <c r="D203" s="186"/>
      <c r="E203" s="190"/>
      <c r="H203" s="191"/>
    </row>
    <row r="204" spans="4:35" ht="15.75" customHeight="1" x14ac:dyDescent="0.35">
      <c r="D204" s="186"/>
      <c r="E204" s="190"/>
      <c r="H204" s="191"/>
    </row>
    <row r="205" spans="4:35" ht="15.75" customHeight="1" x14ac:dyDescent="0.35">
      <c r="D205" s="186"/>
      <c r="E205" s="190"/>
      <c r="H205" s="191"/>
    </row>
    <row r="206" spans="4:35" ht="15.75" customHeight="1" x14ac:dyDescent="0.35">
      <c r="D206" s="186"/>
      <c r="E206" s="190"/>
      <c r="H206" s="191"/>
    </row>
    <row r="207" spans="4:35" ht="15.75" customHeight="1" x14ac:dyDescent="0.35">
      <c r="D207" s="186"/>
      <c r="E207" s="190"/>
      <c r="H207" s="191"/>
    </row>
    <row r="208" spans="4:35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>
      <c r="D380" s="186"/>
      <c r="E380" s="190"/>
      <c r="H380" s="191"/>
    </row>
    <row r="381" spans="4:8" ht="15.75" customHeight="1" x14ac:dyDescent="0.35">
      <c r="D381" s="186"/>
      <c r="E381" s="190"/>
      <c r="H381" s="191"/>
    </row>
    <row r="382" spans="4:8" ht="15.75" customHeight="1" x14ac:dyDescent="0.35"/>
    <row r="383" spans="4:8" ht="15.75" customHeight="1" x14ac:dyDescent="0.35"/>
    <row r="384" spans="4:8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</sheetData>
  <mergeCells count="90">
    <mergeCell ref="A8:A9"/>
    <mergeCell ref="B8:B9"/>
    <mergeCell ref="C8:C9"/>
    <mergeCell ref="E8:E9"/>
    <mergeCell ref="F8:F9"/>
    <mergeCell ref="A1:AI1"/>
    <mergeCell ref="A2:AI2"/>
    <mergeCell ref="A3:AI3"/>
    <mergeCell ref="A4:G4"/>
    <mergeCell ref="A6:G6"/>
    <mergeCell ref="G8:G9"/>
    <mergeCell ref="H8:H9"/>
    <mergeCell ref="I8:AI8"/>
    <mergeCell ref="D13:D15"/>
    <mergeCell ref="F13:F15"/>
    <mergeCell ref="G13:G17"/>
    <mergeCell ref="H13:H17"/>
    <mergeCell ref="D16:D17"/>
    <mergeCell ref="F16:F17"/>
    <mergeCell ref="D18:D20"/>
    <mergeCell ref="F18:F20"/>
    <mergeCell ref="G18:G20"/>
    <mergeCell ref="H18:H20"/>
    <mergeCell ref="D23:D26"/>
    <mergeCell ref="F23:F26"/>
    <mergeCell ref="G23:G26"/>
    <mergeCell ref="H23:H26"/>
    <mergeCell ref="D27:D54"/>
    <mergeCell ref="F27:F54"/>
    <mergeCell ref="G27:G54"/>
    <mergeCell ref="H27:H54"/>
    <mergeCell ref="D55:D57"/>
    <mergeCell ref="F55:F57"/>
    <mergeCell ref="G55:G57"/>
    <mergeCell ref="H55:H57"/>
    <mergeCell ref="D60:D61"/>
    <mergeCell ref="F60:F61"/>
    <mergeCell ref="G60:G61"/>
    <mergeCell ref="H60:H61"/>
    <mergeCell ref="D81:D83"/>
    <mergeCell ref="F81:F83"/>
    <mergeCell ref="G81:G83"/>
    <mergeCell ref="H81:H83"/>
    <mergeCell ref="D125:D126"/>
    <mergeCell ref="F125:F126"/>
    <mergeCell ref="G125:G126"/>
    <mergeCell ref="H125:H126"/>
    <mergeCell ref="D85:D86"/>
    <mergeCell ref="F85:F86"/>
    <mergeCell ref="G85:G86"/>
    <mergeCell ref="D90:D111"/>
    <mergeCell ref="F90:F111"/>
    <mergeCell ref="G90:G111"/>
    <mergeCell ref="H90:H111"/>
    <mergeCell ref="D116:D117"/>
    <mergeCell ref="F116:F117"/>
    <mergeCell ref="D118:D119"/>
    <mergeCell ref="F118:F119"/>
    <mergeCell ref="D137:D139"/>
    <mergeCell ref="F137:F139"/>
    <mergeCell ref="G137:G139"/>
    <mergeCell ref="D149:D151"/>
    <mergeCell ref="E149:E151"/>
    <mergeCell ref="F149:F151"/>
    <mergeCell ref="G149:G151"/>
    <mergeCell ref="H149:H151"/>
    <mergeCell ref="D153:D156"/>
    <mergeCell ref="E153:E156"/>
    <mergeCell ref="F153:F156"/>
    <mergeCell ref="G153:G156"/>
    <mergeCell ref="H153:H156"/>
    <mergeCell ref="I153:I156"/>
    <mergeCell ref="G157:G158"/>
    <mergeCell ref="H157:H158"/>
    <mergeCell ref="D163:D166"/>
    <mergeCell ref="E163:E166"/>
    <mergeCell ref="F163:F166"/>
    <mergeCell ref="G163:G166"/>
    <mergeCell ref="H163:H166"/>
    <mergeCell ref="D168:F168"/>
    <mergeCell ref="D169:F169"/>
    <mergeCell ref="I169:J169"/>
    <mergeCell ref="K169:AG169"/>
    <mergeCell ref="D170:F170"/>
    <mergeCell ref="K170:AG170"/>
    <mergeCell ref="D171:F171"/>
    <mergeCell ref="K171:AG171"/>
    <mergeCell ref="K172:AG172"/>
    <mergeCell ref="A178:C178"/>
    <mergeCell ref="A179:C179"/>
  </mergeCells>
  <pageMargins left="0.7" right="0.36" top="0.27999999999999997" bottom="0.6" header="0" footer="0"/>
  <pageSetup paperSize="1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1594-0E05-4012-BC84-8FD5E3AAF85E}">
  <sheetPr>
    <pageSetUpPr fitToPage="1"/>
  </sheetPr>
  <dimension ref="A1:AM1059"/>
  <sheetViews>
    <sheetView topLeftCell="C1" workbookViewId="0">
      <selection activeCell="G27" sqref="G27:G54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197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198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197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199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199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199" t="s">
        <v>306</v>
      </c>
      <c r="D18" s="293" t="s">
        <v>144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40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199" t="s">
        <v>307</v>
      </c>
      <c r="D19" s="297"/>
      <c r="E19" s="46">
        <v>6500</v>
      </c>
      <c r="F19" s="297"/>
      <c r="G19" s="297"/>
      <c r="H19" s="297"/>
      <c r="I19" s="47">
        <v>40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199" t="s">
        <v>308</v>
      </c>
      <c r="D20" s="298"/>
      <c r="E20" s="46">
        <v>7000</v>
      </c>
      <c r="F20" s="298"/>
      <c r="G20" s="298"/>
      <c r="H20" s="298"/>
      <c r="I20" s="47">
        <v>40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199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199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199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199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199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199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00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78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199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199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00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199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199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00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00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00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199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199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00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00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199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00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00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00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01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02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00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00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00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00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00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00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00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00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00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03" t="s">
        <v>124</v>
      </c>
      <c r="D55" s="305" t="s">
        <v>144</v>
      </c>
      <c r="E55" s="46">
        <v>7000</v>
      </c>
      <c r="F55" s="348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04" t="s">
        <v>125</v>
      </c>
      <c r="D56" s="297"/>
      <c r="E56" s="46">
        <v>4000</v>
      </c>
      <c r="F56" s="349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04" t="s">
        <v>126</v>
      </c>
      <c r="D57" s="298"/>
      <c r="E57" s="46">
        <v>13500</v>
      </c>
      <c r="F57" s="350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05" t="s">
        <v>127</v>
      </c>
      <c r="D58" s="68" t="s">
        <v>128</v>
      </c>
      <c r="E58" s="69">
        <v>15000</v>
      </c>
      <c r="F58" s="69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44"/>
      <c r="B59" s="45"/>
      <c r="C59" s="199" t="s">
        <v>318</v>
      </c>
      <c r="D59" s="98" t="s">
        <v>319</v>
      </c>
      <c r="E59" s="46">
        <v>100</v>
      </c>
      <c r="F59" s="249">
        <f>E59*150</f>
        <v>15000</v>
      </c>
      <c r="G59" s="71" t="s">
        <v>78</v>
      </c>
      <c r="H59" s="250"/>
      <c r="I59" s="55">
        <v>150</v>
      </c>
      <c r="J59" s="55"/>
      <c r="K59" s="47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22"/>
      <c r="AK59" s="18"/>
      <c r="AL59" s="2"/>
      <c r="AM59" s="2"/>
    </row>
    <row r="60" spans="1:39" ht="15.75" customHeight="1" x14ac:dyDescent="0.35">
      <c r="A60" s="28" t="s">
        <v>129</v>
      </c>
      <c r="B60" s="78"/>
      <c r="C60" s="228" t="s">
        <v>130</v>
      </c>
      <c r="D60" s="29"/>
      <c r="E60" s="31"/>
      <c r="F60" s="3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3"/>
      <c r="AJ60" s="22"/>
      <c r="AK60" s="18"/>
    </row>
    <row r="61" spans="1:39" ht="15.75" customHeight="1" x14ac:dyDescent="0.35">
      <c r="A61" s="44"/>
      <c r="B61" s="45"/>
      <c r="C61" s="199" t="s">
        <v>131</v>
      </c>
      <c r="D61" s="307" t="s">
        <v>77</v>
      </c>
      <c r="E61" s="46">
        <v>49000</v>
      </c>
      <c r="F61" s="311">
        <f>E61*2+E62*2</f>
        <v>188000</v>
      </c>
      <c r="G61" s="291" t="s">
        <v>132</v>
      </c>
      <c r="H61" s="307" t="s">
        <v>79</v>
      </c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199" t="s">
        <v>133</v>
      </c>
      <c r="D62" s="289"/>
      <c r="E62" s="46">
        <v>45000</v>
      </c>
      <c r="F62" s="289"/>
      <c r="G62" s="289"/>
      <c r="H62" s="289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15.75" customHeight="1" x14ac:dyDescent="0.35">
      <c r="A63" s="44"/>
      <c r="B63" s="45"/>
      <c r="C63" s="197" t="s">
        <v>134</v>
      </c>
      <c r="D63" s="232" t="s">
        <v>144</v>
      </c>
      <c r="E63" s="46">
        <v>70000</v>
      </c>
      <c r="F63" s="233">
        <f>E63*2</f>
        <v>140000</v>
      </c>
      <c r="G63" s="17"/>
      <c r="H63" s="17"/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26.25" customHeight="1" x14ac:dyDescent="0.35">
      <c r="A64" s="44"/>
      <c r="B64" s="45"/>
      <c r="C64" s="199" t="s">
        <v>135</v>
      </c>
      <c r="D64" s="196" t="s">
        <v>136</v>
      </c>
      <c r="E64" s="46">
        <v>80000</v>
      </c>
      <c r="F64" s="233">
        <f>E64*2</f>
        <v>160000</v>
      </c>
      <c r="G64" s="80" t="s">
        <v>132</v>
      </c>
      <c r="H64" s="47" t="s">
        <v>79</v>
      </c>
      <c r="I64" s="47">
        <v>2</v>
      </c>
      <c r="J64" s="47"/>
      <c r="K64" s="47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22"/>
      <c r="AK64" s="18"/>
    </row>
    <row r="65" spans="1:39" ht="15.75" customHeight="1" x14ac:dyDescent="0.35">
      <c r="A65" s="28" t="s">
        <v>137</v>
      </c>
      <c r="B65" s="78"/>
      <c r="C65" s="214" t="s">
        <v>138</v>
      </c>
      <c r="D65" s="29"/>
      <c r="E65" s="31"/>
      <c r="F65" s="32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3"/>
      <c r="AJ65" s="41"/>
      <c r="AK65" s="42"/>
      <c r="AL65" s="43"/>
      <c r="AM65" s="43"/>
    </row>
    <row r="66" spans="1:39" ht="15.75" customHeight="1" x14ac:dyDescent="0.35">
      <c r="A66" s="44"/>
      <c r="B66" s="45"/>
      <c r="C66" s="199" t="s">
        <v>292</v>
      </c>
      <c r="D66" s="81" t="s">
        <v>77</v>
      </c>
      <c r="E66" s="82">
        <v>17000</v>
      </c>
      <c r="F66" s="82">
        <f>E66*30</f>
        <v>510000</v>
      </c>
      <c r="G66" s="58" t="s">
        <v>139</v>
      </c>
      <c r="H66" s="47" t="s">
        <v>79</v>
      </c>
      <c r="I66" s="47"/>
      <c r="J66" s="47">
        <v>20</v>
      </c>
      <c r="K66" s="47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22"/>
      <c r="AK66" s="18"/>
    </row>
    <row r="67" spans="1:39" ht="15.75" customHeight="1" x14ac:dyDescent="0.35">
      <c r="A67" s="28" t="s">
        <v>140</v>
      </c>
      <c r="B67" s="29"/>
      <c r="C67" s="227" t="s">
        <v>141</v>
      </c>
      <c r="D67" s="29"/>
      <c r="E67" s="31"/>
      <c r="F67" s="3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3"/>
      <c r="AJ67" s="22"/>
      <c r="AK67" s="18"/>
    </row>
    <row r="68" spans="1:39" ht="18" customHeight="1" x14ac:dyDescent="0.35">
      <c r="A68" s="44"/>
      <c r="B68" s="45"/>
      <c r="C68" s="199" t="s">
        <v>142</v>
      </c>
      <c r="D68" s="58" t="s">
        <v>221</v>
      </c>
      <c r="E68" s="46">
        <v>4500</v>
      </c>
      <c r="F68" s="82">
        <f>E68*10</f>
        <v>45000</v>
      </c>
      <c r="G68" s="83" t="s">
        <v>89</v>
      </c>
      <c r="H68" s="47"/>
      <c r="I68" s="47">
        <v>8</v>
      </c>
      <c r="J68" s="47">
        <v>2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1"/>
      <c r="AK68" s="42"/>
      <c r="AL68" s="43"/>
      <c r="AM68" s="43"/>
    </row>
    <row r="69" spans="1:39" ht="38.25" customHeight="1" x14ac:dyDescent="0.35">
      <c r="A69" s="44"/>
      <c r="B69" s="45"/>
      <c r="C69" s="199" t="s">
        <v>143</v>
      </c>
      <c r="D69" s="58" t="s">
        <v>144</v>
      </c>
      <c r="E69" s="46">
        <v>50000</v>
      </c>
      <c r="F69" s="82">
        <f>E69*2</f>
        <v>100000</v>
      </c>
      <c r="G69" s="58" t="s">
        <v>145</v>
      </c>
      <c r="H69" s="47"/>
      <c r="I69" s="47">
        <v>1</v>
      </c>
      <c r="J69" s="47">
        <v>1</v>
      </c>
      <c r="K69" s="47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22"/>
      <c r="AK69" s="18"/>
    </row>
    <row r="70" spans="1:39" ht="18" customHeight="1" x14ac:dyDescent="0.35">
      <c r="A70" s="84"/>
      <c r="B70" s="85"/>
      <c r="C70" s="206" t="s">
        <v>290</v>
      </c>
      <c r="D70" s="83" t="s">
        <v>291</v>
      </c>
      <c r="E70" s="86">
        <v>400</v>
      </c>
      <c r="F70" s="87">
        <f>E70*15</f>
        <v>6000</v>
      </c>
      <c r="G70" s="83" t="s">
        <v>89</v>
      </c>
      <c r="H70" s="88"/>
      <c r="I70" s="47">
        <v>8</v>
      </c>
      <c r="J70" s="47">
        <v>8</v>
      </c>
      <c r="K70" s="47">
        <v>4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90"/>
      <c r="AJ70" s="22"/>
      <c r="AK70" s="18"/>
    </row>
    <row r="71" spans="1:39" ht="22.5" customHeight="1" x14ac:dyDescent="0.35">
      <c r="A71" s="91"/>
      <c r="B71" s="92"/>
      <c r="C71" s="99" t="s">
        <v>293</v>
      </c>
      <c r="D71" s="37" t="s">
        <v>285</v>
      </c>
      <c r="E71" s="93"/>
      <c r="F71" s="94">
        <v>50000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2.5" customHeight="1" x14ac:dyDescent="0.35">
      <c r="A72" s="91"/>
      <c r="B72" s="92"/>
      <c r="C72" s="99" t="s">
        <v>294</v>
      </c>
      <c r="D72" s="37" t="s">
        <v>144</v>
      </c>
      <c r="E72" s="93"/>
      <c r="F72" s="94">
        <v>80000</v>
      </c>
      <c r="G72" s="83"/>
      <c r="H72" s="35"/>
      <c r="I72" s="47">
        <v>1</v>
      </c>
      <c r="J72" s="47"/>
      <c r="K72" s="47">
        <v>1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40"/>
      <c r="AJ72" s="41"/>
      <c r="AK72" s="42"/>
      <c r="AL72" s="95"/>
      <c r="AM72" s="95"/>
    </row>
    <row r="73" spans="1:39" ht="23.25" customHeight="1" x14ac:dyDescent="0.35">
      <c r="A73" s="28" t="s">
        <v>146</v>
      </c>
      <c r="B73" s="78"/>
      <c r="C73" s="214" t="s">
        <v>147</v>
      </c>
      <c r="D73" s="29"/>
      <c r="E73" s="31"/>
      <c r="F73" s="32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3"/>
      <c r="AJ73" s="22"/>
      <c r="AK73" s="18"/>
    </row>
    <row r="74" spans="1:39" ht="22.5" customHeight="1" x14ac:dyDescent="0.35">
      <c r="A74" s="44"/>
      <c r="B74" s="48"/>
      <c r="C74" s="207" t="s">
        <v>76</v>
      </c>
      <c r="D74" s="47" t="s">
        <v>148</v>
      </c>
      <c r="E74" s="82">
        <v>700</v>
      </c>
      <c r="F74" s="82">
        <f>E74*27</f>
        <v>18900</v>
      </c>
      <c r="G74" s="58" t="s">
        <v>78</v>
      </c>
      <c r="H74" s="47" t="s">
        <v>79</v>
      </c>
      <c r="I74" s="47"/>
      <c r="J74" s="48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ht="22.5" customHeight="1" x14ac:dyDescent="0.35">
      <c r="A75" s="44"/>
      <c r="B75" s="48"/>
      <c r="C75" s="207" t="s">
        <v>289</v>
      </c>
      <c r="D75" s="47" t="s">
        <v>288</v>
      </c>
      <c r="E75" s="82">
        <v>350</v>
      </c>
      <c r="F75" s="82">
        <f>E75*35</f>
        <v>12250</v>
      </c>
      <c r="G75" s="58" t="s">
        <v>132</v>
      </c>
      <c r="H75" s="47" t="s">
        <v>84</v>
      </c>
      <c r="I75" s="47">
        <v>32</v>
      </c>
      <c r="J75" s="47"/>
      <c r="K75" s="47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22"/>
      <c r="AK75" s="18"/>
      <c r="AL75" s="2"/>
      <c r="AM75" s="2"/>
    </row>
    <row r="76" spans="1:39" s="77" customFormat="1" ht="18.75" customHeight="1" x14ac:dyDescent="0.35">
      <c r="A76" s="66"/>
      <c r="B76" s="67"/>
      <c r="C76" s="205" t="s">
        <v>149</v>
      </c>
      <c r="D76" s="68" t="s">
        <v>150</v>
      </c>
      <c r="E76" s="69">
        <v>250</v>
      </c>
      <c r="F76" s="69">
        <f>250*20</f>
        <v>5000</v>
      </c>
      <c r="G76" s="96" t="s">
        <v>89</v>
      </c>
      <c r="H76" s="68" t="s">
        <v>84</v>
      </c>
      <c r="I76" s="68"/>
      <c r="J76" s="68"/>
      <c r="K76" s="6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05" t="s">
        <v>310</v>
      </c>
      <c r="D77" s="68" t="s">
        <v>152</v>
      </c>
      <c r="E77" s="69">
        <v>350</v>
      </c>
      <c r="F77" s="69">
        <f>E77*100</f>
        <v>35000</v>
      </c>
      <c r="G77" s="96" t="s">
        <v>89</v>
      </c>
      <c r="H77" s="68" t="s">
        <v>84</v>
      </c>
      <c r="I77" s="68">
        <v>100</v>
      </c>
      <c r="J77" s="68"/>
      <c r="K77" s="68">
        <v>100</v>
      </c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s="77" customFormat="1" ht="18.75" customHeight="1" x14ac:dyDescent="0.35">
      <c r="A78" s="66"/>
      <c r="B78" s="67"/>
      <c r="C78" s="205" t="s">
        <v>153</v>
      </c>
      <c r="D78" s="68" t="s">
        <v>154</v>
      </c>
      <c r="E78" s="69">
        <v>70</v>
      </c>
      <c r="F78" s="69">
        <f>300*70</f>
        <v>21000</v>
      </c>
      <c r="G78" s="96" t="s">
        <v>89</v>
      </c>
      <c r="H78" s="68" t="s">
        <v>84</v>
      </c>
      <c r="I78" s="68">
        <v>50</v>
      </c>
      <c r="J78" s="68">
        <v>50</v>
      </c>
      <c r="K78" s="68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5"/>
      <c r="AK78" s="75"/>
      <c r="AL78" s="97"/>
      <c r="AM78" s="97"/>
    </row>
    <row r="79" spans="1:39" ht="22.5" customHeight="1" x14ac:dyDescent="0.35">
      <c r="A79" s="44"/>
      <c r="B79" s="48"/>
      <c r="C79" s="207" t="s">
        <v>155</v>
      </c>
      <c r="D79" s="47" t="s">
        <v>156</v>
      </c>
      <c r="E79" s="82">
        <v>200</v>
      </c>
      <c r="F79" s="82">
        <f>E79*1000</f>
        <v>200000</v>
      </c>
      <c r="G79" s="58" t="s">
        <v>132</v>
      </c>
      <c r="H79" s="47" t="s">
        <v>84</v>
      </c>
      <c r="I79" s="47"/>
      <c r="J79" s="47"/>
      <c r="K79" s="47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199" t="s">
        <v>157</v>
      </c>
      <c r="D80" s="81" t="s">
        <v>158</v>
      </c>
      <c r="E80" s="46">
        <v>4000</v>
      </c>
      <c r="F80" s="82">
        <f>E80</f>
        <v>4000</v>
      </c>
      <c r="G80" s="58"/>
      <c r="H80" s="47"/>
      <c r="I80" s="47">
        <v>2</v>
      </c>
      <c r="J80" s="4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15.75" customHeight="1" x14ac:dyDescent="0.35">
      <c r="A81" s="44"/>
      <c r="B81" s="45"/>
      <c r="C81" s="199" t="s">
        <v>159</v>
      </c>
      <c r="D81" s="47" t="s">
        <v>158</v>
      </c>
      <c r="E81" s="46">
        <v>26000</v>
      </c>
      <c r="F81" s="82">
        <f>E81*4</f>
        <v>104000</v>
      </c>
      <c r="G81" s="58" t="s">
        <v>78</v>
      </c>
      <c r="H81" s="47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20.25" customHeight="1" x14ac:dyDescent="0.35">
      <c r="A82" s="44"/>
      <c r="B82" s="45"/>
      <c r="C82" s="199" t="s">
        <v>160</v>
      </c>
      <c r="D82" s="293" t="s">
        <v>77</v>
      </c>
      <c r="E82" s="46">
        <v>15000</v>
      </c>
      <c r="F82" s="310">
        <f>E82*2+E83*2+E84*4</f>
        <v>71000</v>
      </c>
      <c r="G82" s="312" t="s">
        <v>132</v>
      </c>
      <c r="H82" s="293" t="s">
        <v>84</v>
      </c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  <c r="AL82" s="2"/>
      <c r="AM82" s="2"/>
    </row>
    <row r="83" spans="1:39" ht="15.75" customHeight="1" x14ac:dyDescent="0.35">
      <c r="A83" s="44"/>
      <c r="B83" s="45"/>
      <c r="C83" s="197" t="s">
        <v>161</v>
      </c>
      <c r="D83" s="297"/>
      <c r="E83" s="46">
        <v>6500</v>
      </c>
      <c r="F83" s="297"/>
      <c r="G83" s="297"/>
      <c r="H83" s="297"/>
      <c r="I83" s="47">
        <v>2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162</v>
      </c>
      <c r="D84" s="298"/>
      <c r="E84" s="46">
        <v>7000</v>
      </c>
      <c r="F84" s="298"/>
      <c r="G84" s="298"/>
      <c r="H84" s="298"/>
      <c r="I84" s="47">
        <v>4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</row>
    <row r="85" spans="1:39" ht="15.75" customHeight="1" x14ac:dyDescent="0.35">
      <c r="A85" s="44"/>
      <c r="B85" s="45"/>
      <c r="C85" s="199" t="s">
        <v>163</v>
      </c>
      <c r="D85" s="47" t="s">
        <v>150</v>
      </c>
      <c r="E85" s="46">
        <v>500</v>
      </c>
      <c r="F85" s="46">
        <f>E85*20</f>
        <v>10000</v>
      </c>
      <c r="G85" s="58" t="s">
        <v>78</v>
      </c>
      <c r="H85" s="47" t="s">
        <v>84</v>
      </c>
      <c r="I85" s="47">
        <v>20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2"/>
      <c r="AM85" s="2"/>
    </row>
    <row r="86" spans="1:39" ht="15.75" customHeight="1" x14ac:dyDescent="0.35">
      <c r="A86" s="44"/>
      <c r="B86" s="45"/>
      <c r="C86" s="199" t="s">
        <v>164</v>
      </c>
      <c r="D86" s="307" t="s">
        <v>77</v>
      </c>
      <c r="E86" s="46">
        <v>10000</v>
      </c>
      <c r="F86" s="319">
        <f>(E86*3)+(E87*20)</f>
        <v>70000</v>
      </c>
      <c r="G86" s="291" t="s">
        <v>78</v>
      </c>
      <c r="H86" s="47" t="s">
        <v>84</v>
      </c>
      <c r="I86" s="47">
        <v>3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165</v>
      </c>
      <c r="D87" s="289"/>
      <c r="E87" s="46">
        <v>2000</v>
      </c>
      <c r="F87" s="289"/>
      <c r="G87" s="289"/>
      <c r="H87" s="47" t="s">
        <v>84</v>
      </c>
      <c r="I87" s="47">
        <v>20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44"/>
      <c r="B88" s="48"/>
      <c r="C88" s="207" t="s">
        <v>166</v>
      </c>
      <c r="D88" s="98" t="s">
        <v>136</v>
      </c>
      <c r="E88" s="46">
        <v>10000</v>
      </c>
      <c r="F88" s="46">
        <f>E88*2</f>
        <v>20000</v>
      </c>
      <c r="G88" s="58" t="s">
        <v>78</v>
      </c>
      <c r="H88" s="47" t="s">
        <v>84</v>
      </c>
      <c r="I88" s="47">
        <v>1</v>
      </c>
      <c r="J88" s="47"/>
      <c r="K88" s="47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22"/>
      <c r="AK88" s="18"/>
      <c r="AL88" s="65"/>
      <c r="AM88" s="65"/>
    </row>
    <row r="89" spans="1:39" ht="15.75" customHeight="1" x14ac:dyDescent="0.35">
      <c r="A89" s="91"/>
      <c r="B89" s="92"/>
      <c r="C89" s="99" t="s">
        <v>167</v>
      </c>
      <c r="D89" s="47" t="s">
        <v>168</v>
      </c>
      <c r="E89" s="100">
        <v>200</v>
      </c>
      <c r="F89" s="101">
        <f>E89*400</f>
        <v>80000</v>
      </c>
      <c r="G89" s="58" t="s">
        <v>78</v>
      </c>
      <c r="H89" s="47" t="s">
        <v>84</v>
      </c>
      <c r="I89" s="37">
        <v>100</v>
      </c>
      <c r="J89" s="37">
        <v>200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99" t="s">
        <v>169</v>
      </c>
      <c r="D90" s="47" t="s">
        <v>152</v>
      </c>
      <c r="E90" s="100">
        <v>400</v>
      </c>
      <c r="F90" s="101">
        <f>E90*100</f>
        <v>40000</v>
      </c>
      <c r="G90" s="58" t="s">
        <v>78</v>
      </c>
      <c r="H90" s="81" t="s">
        <v>84</v>
      </c>
      <c r="I90" s="35"/>
      <c r="J90" s="37"/>
      <c r="K90" s="37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99" t="s">
        <v>170</v>
      </c>
      <c r="D91" s="293" t="s">
        <v>77</v>
      </c>
      <c r="E91" s="100">
        <f>550*2</f>
        <v>1100</v>
      </c>
      <c r="F91" s="320">
        <f>SUM(E91:E112)</f>
        <v>124711</v>
      </c>
      <c r="G91" s="312" t="s">
        <v>132</v>
      </c>
      <c r="H91" s="296" t="s">
        <v>84</v>
      </c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99" t="s">
        <v>171</v>
      </c>
      <c r="D92" s="294"/>
      <c r="E92" s="100">
        <f>600</f>
        <v>600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99" t="s">
        <v>172</v>
      </c>
      <c r="D93" s="294"/>
      <c r="E93" s="100">
        <v>6785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99" t="s">
        <v>173</v>
      </c>
      <c r="D94" s="294"/>
      <c r="E94" s="100">
        <v>3055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99" t="s">
        <v>174</v>
      </c>
      <c r="D95" s="294"/>
      <c r="E95" s="100">
        <v>1055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99" t="s">
        <v>175</v>
      </c>
      <c r="D96" s="294"/>
      <c r="E96" s="100">
        <f>455*4</f>
        <v>1820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99" t="s">
        <v>176</v>
      </c>
      <c r="D97" s="294"/>
      <c r="E97" s="100">
        <v>2100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99" t="s">
        <v>177</v>
      </c>
      <c r="D98" s="294"/>
      <c r="E98" s="100">
        <f>355*4</f>
        <v>1420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99" t="s">
        <v>178</v>
      </c>
      <c r="D99" s="294"/>
      <c r="E99" s="100">
        <f>325*30</f>
        <v>9750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99" t="s">
        <v>179</v>
      </c>
      <c r="D100" s="294"/>
      <c r="E100" s="100">
        <f>285*3</f>
        <v>855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99" t="s">
        <v>180</v>
      </c>
      <c r="D101" s="294"/>
      <c r="E101" s="100">
        <f>250*16</f>
        <v>4000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99" t="s">
        <v>181</v>
      </c>
      <c r="D102" s="294"/>
      <c r="E102" s="100">
        <f>65*5</f>
        <v>325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99" t="s">
        <v>182</v>
      </c>
      <c r="D103" s="294"/>
      <c r="E103" s="100">
        <f>35*40</f>
        <v>1400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99" t="s">
        <v>183</v>
      </c>
      <c r="D104" s="294"/>
      <c r="E104" s="100">
        <f>170*14</f>
        <v>2380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99" t="s">
        <v>184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99" t="s">
        <v>185</v>
      </c>
      <c r="D106" s="294"/>
      <c r="E106" s="100">
        <f>80*4</f>
        <v>320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99" t="s">
        <v>186</v>
      </c>
      <c r="D107" s="294"/>
      <c r="E107" s="100">
        <f>72*8</f>
        <v>576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99" t="s">
        <v>187</v>
      </c>
      <c r="D108" s="294"/>
      <c r="E108" s="100">
        <f>85*160</f>
        <v>13600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99" t="s">
        <v>188</v>
      </c>
      <c r="D109" s="294"/>
      <c r="E109" s="100">
        <f>50*2</f>
        <v>100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99" t="s">
        <v>189</v>
      </c>
      <c r="D110" s="294"/>
      <c r="E110" s="100">
        <f>60*150</f>
        <v>9000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99" t="s">
        <v>190</v>
      </c>
      <c r="D111" s="294"/>
      <c r="E111" s="100">
        <f>85*30</f>
        <v>2550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91"/>
      <c r="B112" s="92"/>
      <c r="C112" s="99" t="s">
        <v>191</v>
      </c>
      <c r="D112" s="294"/>
      <c r="E112" s="100">
        <f>770*80</f>
        <v>61600</v>
      </c>
      <c r="F112" s="321"/>
      <c r="G112" s="322"/>
      <c r="H112" s="300"/>
      <c r="I112" s="35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40"/>
      <c r="AJ112" s="41"/>
      <c r="AK112" s="42"/>
      <c r="AL112" s="95"/>
      <c r="AM112" s="95"/>
    </row>
    <row r="113" spans="1:39" ht="15.75" customHeight="1" x14ac:dyDescent="0.35">
      <c r="A113" s="28" t="s">
        <v>192</v>
      </c>
      <c r="B113" s="78"/>
      <c r="C113" s="214" t="s">
        <v>193</v>
      </c>
      <c r="D113" s="29"/>
      <c r="E113" s="31"/>
      <c r="F113" s="32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33"/>
      <c r="AJ113" s="22"/>
      <c r="AK113" s="18"/>
    </row>
    <row r="114" spans="1:39" ht="15.75" customHeight="1" x14ac:dyDescent="0.35">
      <c r="A114" s="44"/>
      <c r="B114" s="45"/>
      <c r="C114" s="199" t="s">
        <v>194</v>
      </c>
      <c r="D114" s="58" t="s">
        <v>144</v>
      </c>
      <c r="E114" s="46">
        <v>10000</v>
      </c>
      <c r="F114" s="82">
        <f>E114*2</f>
        <v>20000</v>
      </c>
      <c r="G114" s="58" t="s">
        <v>195</v>
      </c>
      <c r="H114" s="47" t="s">
        <v>79</v>
      </c>
      <c r="I114" s="47">
        <v>1</v>
      </c>
      <c r="J114" s="47">
        <v>1</v>
      </c>
      <c r="K114" s="47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22"/>
      <c r="AK114" s="18"/>
    </row>
    <row r="115" spans="1:39" ht="15.75" customHeight="1" x14ac:dyDescent="0.35">
      <c r="A115" s="44"/>
      <c r="B115" s="45"/>
      <c r="C115" s="199" t="s">
        <v>316</v>
      </c>
      <c r="D115" s="58" t="s">
        <v>291</v>
      </c>
      <c r="E115" s="46">
        <v>10000</v>
      </c>
      <c r="F115" s="82">
        <f>E115*20</f>
        <v>200000</v>
      </c>
      <c r="G115" s="58"/>
      <c r="H115" s="47"/>
      <c r="I115" s="47">
        <v>2</v>
      </c>
      <c r="J115" s="47">
        <v>2</v>
      </c>
      <c r="K115" s="47">
        <v>2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22"/>
      <c r="AK115" s="18"/>
    </row>
    <row r="116" spans="1:39" ht="15.75" customHeight="1" x14ac:dyDescent="0.35">
      <c r="A116" s="28" t="s">
        <v>196</v>
      </c>
      <c r="B116" s="78"/>
      <c r="C116" s="226" t="s">
        <v>197</v>
      </c>
      <c r="D116" s="29"/>
      <c r="E116" s="31"/>
      <c r="F116" s="31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33"/>
      <c r="AJ116" s="41"/>
      <c r="AK116" s="42"/>
      <c r="AL116" s="43"/>
      <c r="AM116" s="43"/>
    </row>
    <row r="117" spans="1:39" ht="15.75" customHeight="1" x14ac:dyDescent="0.35">
      <c r="A117" s="44"/>
      <c r="B117" s="45"/>
      <c r="C117" s="199" t="s">
        <v>198</v>
      </c>
      <c r="D117" s="102" t="s">
        <v>199</v>
      </c>
      <c r="E117" s="46">
        <v>25000</v>
      </c>
      <c r="F117" s="82">
        <f t="shared" ref="F117" si="0">E117*1</f>
        <v>25000</v>
      </c>
      <c r="G117" s="58" t="s">
        <v>78</v>
      </c>
      <c r="H117" s="47" t="s">
        <v>84</v>
      </c>
      <c r="I117" s="47">
        <v>1</v>
      </c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  <c r="AL117" s="65"/>
      <c r="AM117" s="65"/>
    </row>
    <row r="118" spans="1:39" ht="15.75" customHeight="1" x14ac:dyDescent="0.35">
      <c r="A118" s="44"/>
      <c r="B118" s="45"/>
      <c r="C118" s="199" t="s">
        <v>305</v>
      </c>
      <c r="D118" s="330" t="s">
        <v>144</v>
      </c>
      <c r="E118" s="46">
        <v>4000</v>
      </c>
      <c r="F118" s="310">
        <f>(E118*2)+(E119*2)</f>
        <v>16000</v>
      </c>
      <c r="G118" s="58" t="s">
        <v>78</v>
      </c>
      <c r="H118" s="47" t="s">
        <v>84</v>
      </c>
      <c r="I118" s="47">
        <v>2</v>
      </c>
      <c r="J118" s="47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44"/>
      <c r="B119" s="45"/>
      <c r="C119" s="199" t="s">
        <v>303</v>
      </c>
      <c r="D119" s="347"/>
      <c r="E119" s="46">
        <v>4000</v>
      </c>
      <c r="F119" s="323"/>
      <c r="G119" s="58" t="s">
        <v>78</v>
      </c>
      <c r="H119" s="47" t="s">
        <v>84</v>
      </c>
      <c r="I119" s="47">
        <v>2</v>
      </c>
      <c r="J119" s="47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22"/>
      <c r="AK119" s="18"/>
    </row>
    <row r="120" spans="1:39" ht="15.75" customHeight="1" x14ac:dyDescent="0.35">
      <c r="A120" s="44"/>
      <c r="B120" s="45"/>
      <c r="C120" s="200" t="s">
        <v>200</v>
      </c>
      <c r="D120" s="330" t="s">
        <v>144</v>
      </c>
      <c r="E120" s="46">
        <v>500</v>
      </c>
      <c r="F120" s="310">
        <f>(E120*30)+(E121*20)</f>
        <v>45000</v>
      </c>
      <c r="G120" s="58" t="s">
        <v>78</v>
      </c>
      <c r="H120" s="47" t="s">
        <v>84</v>
      </c>
      <c r="I120" s="47">
        <v>30</v>
      </c>
      <c r="J120" s="47"/>
      <c r="K120" s="47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</row>
    <row r="121" spans="1:39" ht="15.75" customHeight="1" x14ac:dyDescent="0.35">
      <c r="A121" s="44"/>
      <c r="B121" s="45"/>
      <c r="C121" s="200" t="s">
        <v>309</v>
      </c>
      <c r="D121" s="347"/>
      <c r="E121" s="46">
        <v>1500</v>
      </c>
      <c r="F121" s="323"/>
      <c r="G121" s="58"/>
      <c r="H121" s="47"/>
      <c r="I121" s="47"/>
      <c r="J121" s="47"/>
      <c r="K121" s="47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15.75" customHeight="1" x14ac:dyDescent="0.35">
      <c r="A122" s="44"/>
      <c r="B122" s="45"/>
      <c r="C122" s="200" t="s">
        <v>202</v>
      </c>
      <c r="D122" s="102" t="s">
        <v>203</v>
      </c>
      <c r="E122" s="46">
        <v>50</v>
      </c>
      <c r="F122" s="82">
        <f>E122*500</f>
        <v>25000</v>
      </c>
      <c r="G122" s="58" t="s">
        <v>78</v>
      </c>
      <c r="H122" s="47" t="s">
        <v>84</v>
      </c>
      <c r="I122" s="47">
        <v>500</v>
      </c>
      <c r="J122" s="47"/>
      <c r="K122" s="47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26.25" customHeight="1" x14ac:dyDescent="0.35">
      <c r="A123" s="44"/>
      <c r="B123" s="45"/>
      <c r="C123" s="199" t="s">
        <v>204</v>
      </c>
      <c r="D123" s="47" t="s">
        <v>205</v>
      </c>
      <c r="E123" s="46">
        <v>50000</v>
      </c>
      <c r="F123" s="82">
        <f>E123</f>
        <v>50000</v>
      </c>
      <c r="G123" s="103" t="s">
        <v>132</v>
      </c>
      <c r="H123" s="81" t="s">
        <v>206</v>
      </c>
      <c r="I123" s="47"/>
      <c r="J123" s="47">
        <v>200</v>
      </c>
      <c r="K123" s="47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22"/>
      <c r="AK123" s="18"/>
    </row>
    <row r="124" spans="1:39" ht="26.25" customHeight="1" x14ac:dyDescent="0.35">
      <c r="A124" s="44"/>
      <c r="B124" s="45"/>
      <c r="C124" s="215" t="s">
        <v>297</v>
      </c>
      <c r="D124" s="62" t="s">
        <v>296</v>
      </c>
      <c r="E124" s="46">
        <v>500</v>
      </c>
      <c r="F124" s="192">
        <f>E124*500</f>
        <v>250000</v>
      </c>
      <c r="G124" s="103" t="s">
        <v>132</v>
      </c>
      <c r="H124" s="81"/>
      <c r="I124" s="47">
        <v>500</v>
      </c>
      <c r="J124" s="47"/>
      <c r="K124" s="47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9"/>
      <c r="AJ124" s="22"/>
      <c r="AK124" s="18"/>
    </row>
    <row r="125" spans="1:39" ht="26.25" customHeight="1" x14ac:dyDescent="0.35">
      <c r="A125" s="84"/>
      <c r="B125" s="89"/>
      <c r="C125" s="208" t="s">
        <v>207</v>
      </c>
      <c r="D125" s="98" t="s">
        <v>295</v>
      </c>
      <c r="E125" s="86">
        <v>250</v>
      </c>
      <c r="F125" s="104">
        <f>E125*1500</f>
        <v>375000</v>
      </c>
      <c r="G125" s="105" t="s">
        <v>132</v>
      </c>
      <c r="H125" s="47" t="s">
        <v>84</v>
      </c>
      <c r="I125" s="88">
        <v>1500</v>
      </c>
      <c r="J125" s="88"/>
      <c r="K125" s="88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90"/>
      <c r="AJ125" s="41"/>
      <c r="AK125" s="42"/>
      <c r="AL125" s="43"/>
      <c r="AM125" s="43"/>
    </row>
    <row r="126" spans="1:39" ht="26.25" customHeight="1" x14ac:dyDescent="0.35">
      <c r="A126" s="84"/>
      <c r="B126" s="89"/>
      <c r="C126" s="208" t="s">
        <v>208</v>
      </c>
      <c r="D126" s="106" t="s">
        <v>209</v>
      </c>
      <c r="E126" s="86">
        <v>200</v>
      </c>
      <c r="F126" s="107">
        <f>E126*150</f>
        <v>30000</v>
      </c>
      <c r="G126" s="108" t="s">
        <v>132</v>
      </c>
      <c r="H126" s="47" t="s">
        <v>84</v>
      </c>
      <c r="I126" s="88">
        <v>150</v>
      </c>
      <c r="J126" s="88"/>
      <c r="K126" s="8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90"/>
      <c r="AJ126" s="41"/>
      <c r="AK126" s="42"/>
      <c r="AL126" s="43"/>
      <c r="AM126" s="43"/>
    </row>
    <row r="127" spans="1:39" ht="15.75" customHeight="1" x14ac:dyDescent="0.35">
      <c r="A127" s="84"/>
      <c r="B127" s="89"/>
      <c r="C127" s="208" t="s">
        <v>210</v>
      </c>
      <c r="D127" s="324" t="s">
        <v>77</v>
      </c>
      <c r="E127" s="86">
        <v>300</v>
      </c>
      <c r="F127" s="325">
        <f>SUM(E127*1500)+(E128*150)</f>
        <v>487500</v>
      </c>
      <c r="G127" s="326" t="s">
        <v>132</v>
      </c>
      <c r="H127" s="324" t="s">
        <v>84</v>
      </c>
      <c r="I127" s="88">
        <v>1500</v>
      </c>
      <c r="J127" s="88"/>
      <c r="K127" s="88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90"/>
      <c r="AJ127" s="41"/>
      <c r="AK127" s="42"/>
      <c r="AL127" s="43"/>
      <c r="AM127" s="43"/>
    </row>
    <row r="128" spans="1:39" ht="15.75" customHeight="1" x14ac:dyDescent="0.35">
      <c r="A128" s="84"/>
      <c r="B128" s="89"/>
      <c r="C128" s="208" t="s">
        <v>211</v>
      </c>
      <c r="D128" s="289"/>
      <c r="E128" s="86">
        <v>250</v>
      </c>
      <c r="F128" s="289"/>
      <c r="G128" s="289"/>
      <c r="H128" s="289"/>
      <c r="I128" s="88">
        <v>150</v>
      </c>
      <c r="J128" s="88"/>
      <c r="K128" s="88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90"/>
      <c r="AJ128" s="41"/>
      <c r="AK128" s="42"/>
      <c r="AL128" s="43"/>
      <c r="AM128" s="43"/>
    </row>
    <row r="129" spans="1:39" ht="22.5" customHeight="1" x14ac:dyDescent="0.35">
      <c r="A129" s="44"/>
      <c r="B129" s="48"/>
      <c r="C129" s="207" t="s">
        <v>212</v>
      </c>
      <c r="D129" s="47" t="s">
        <v>213</v>
      </c>
      <c r="E129" s="46">
        <v>200</v>
      </c>
      <c r="F129" s="82">
        <f>E129*300</f>
        <v>60000</v>
      </c>
      <c r="G129" s="58" t="s">
        <v>132</v>
      </c>
      <c r="H129" s="47" t="s">
        <v>84</v>
      </c>
      <c r="I129" s="47">
        <v>300</v>
      </c>
      <c r="J129" s="47"/>
      <c r="K129" s="47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9"/>
      <c r="AJ129" s="22"/>
      <c r="AK129" s="18"/>
      <c r="AL129" s="2"/>
      <c r="AM129" s="2"/>
    </row>
    <row r="130" spans="1:39" ht="27" customHeight="1" x14ac:dyDescent="0.35">
      <c r="A130" s="44"/>
      <c r="B130" s="48"/>
      <c r="C130" s="207" t="s">
        <v>214</v>
      </c>
      <c r="D130" s="53" t="s">
        <v>215</v>
      </c>
      <c r="E130" s="46">
        <v>110</v>
      </c>
      <c r="F130" s="82">
        <f>E130*1000</f>
        <v>110000</v>
      </c>
      <c r="G130" s="58" t="s">
        <v>132</v>
      </c>
      <c r="H130" s="47" t="s">
        <v>84</v>
      </c>
      <c r="I130" s="47">
        <v>1000</v>
      </c>
      <c r="J130" s="47"/>
      <c r="K130" s="47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9"/>
      <c r="AJ130" s="22"/>
      <c r="AK130" s="18"/>
      <c r="AL130" s="2"/>
      <c r="AM130" s="2"/>
    </row>
    <row r="131" spans="1:39" ht="15.75" customHeight="1" x14ac:dyDescent="0.35">
      <c r="A131" s="28"/>
      <c r="B131" s="29"/>
      <c r="C131" s="216" t="s">
        <v>216</v>
      </c>
      <c r="D131" s="29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3"/>
      <c r="AJ131" s="41"/>
      <c r="AK131" s="42"/>
      <c r="AL131" s="43"/>
      <c r="AM131" s="43"/>
    </row>
    <row r="132" spans="1:39" ht="15.75" customHeight="1" x14ac:dyDescent="0.35">
      <c r="A132" s="109"/>
      <c r="B132" s="48"/>
      <c r="C132" s="207" t="s">
        <v>298</v>
      </c>
      <c r="D132" s="37" t="s">
        <v>144</v>
      </c>
      <c r="E132" s="110">
        <v>5000</v>
      </c>
      <c r="F132" s="110">
        <v>5000</v>
      </c>
      <c r="G132" s="58" t="s">
        <v>89</v>
      </c>
      <c r="H132" s="48"/>
      <c r="I132" s="37">
        <v>1</v>
      </c>
      <c r="J132" s="37">
        <v>1</v>
      </c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9"/>
      <c r="AJ132" s="22"/>
      <c r="AK132" s="18"/>
      <c r="AL132" s="2"/>
      <c r="AM132" s="2"/>
    </row>
    <row r="133" spans="1:39" ht="15.75" customHeight="1" x14ac:dyDescent="0.35">
      <c r="A133" s="28" t="s">
        <v>217</v>
      </c>
      <c r="B133" s="29"/>
      <c r="C133" s="216" t="s">
        <v>218</v>
      </c>
      <c r="D133" s="29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3"/>
      <c r="AJ133" s="41"/>
      <c r="AK133" s="42"/>
      <c r="AL133" s="43"/>
      <c r="AM133" s="43"/>
    </row>
    <row r="134" spans="1:39" s="116" customFormat="1" ht="15.75" customHeight="1" x14ac:dyDescent="0.35">
      <c r="A134" s="111"/>
      <c r="B134" s="112"/>
      <c r="C134" s="217" t="s">
        <v>299</v>
      </c>
      <c r="D134" s="37" t="s">
        <v>286</v>
      </c>
      <c r="E134" s="110">
        <v>25000</v>
      </c>
      <c r="F134" s="114">
        <f>E134*6</f>
        <v>150000</v>
      </c>
      <c r="G134" s="112"/>
      <c r="H134" s="112"/>
      <c r="I134" s="37">
        <v>10</v>
      </c>
      <c r="J134" s="112"/>
      <c r="K134" s="37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5"/>
      <c r="AJ134" s="41"/>
      <c r="AK134" s="42"/>
      <c r="AL134" s="43"/>
      <c r="AM134" s="43"/>
    </row>
    <row r="135" spans="1:39" s="116" customFormat="1" ht="15.75" customHeight="1" x14ac:dyDescent="0.35">
      <c r="A135" s="111"/>
      <c r="B135" s="112"/>
      <c r="C135" s="217" t="s">
        <v>299</v>
      </c>
      <c r="D135" s="37" t="s">
        <v>315</v>
      </c>
      <c r="E135" s="110">
        <v>25000</v>
      </c>
      <c r="F135" s="114">
        <f>E135*2</f>
        <v>50000</v>
      </c>
      <c r="G135" s="112"/>
      <c r="H135" s="112"/>
      <c r="I135" s="37"/>
      <c r="J135" s="112"/>
      <c r="K135" s="37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5"/>
      <c r="AJ135" s="41"/>
      <c r="AK135" s="42"/>
      <c r="AL135" s="43"/>
      <c r="AM135" s="43"/>
    </row>
    <row r="136" spans="1:39" s="116" customFormat="1" ht="15.75" customHeight="1" x14ac:dyDescent="0.35">
      <c r="A136" s="111"/>
      <c r="B136" s="112"/>
      <c r="C136" s="217" t="s">
        <v>299</v>
      </c>
      <c r="D136" s="37" t="s">
        <v>315</v>
      </c>
      <c r="E136" s="110">
        <v>25000</v>
      </c>
      <c r="F136" s="114">
        <f>E136*2</f>
        <v>50000</v>
      </c>
      <c r="G136" s="112"/>
      <c r="H136" s="112"/>
      <c r="I136" s="37"/>
      <c r="J136" s="112"/>
      <c r="K136" s="37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5"/>
      <c r="AJ136" s="41"/>
      <c r="AK136" s="42"/>
      <c r="AL136" s="43"/>
      <c r="AM136" s="43"/>
    </row>
    <row r="137" spans="1:39" ht="15.75" customHeight="1" x14ac:dyDescent="0.35">
      <c r="A137" s="28" t="s">
        <v>217</v>
      </c>
      <c r="B137" s="29"/>
      <c r="C137" s="216" t="s">
        <v>219</v>
      </c>
      <c r="D137" s="29"/>
      <c r="E137" s="31"/>
      <c r="F137" s="31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33"/>
      <c r="AJ137" s="41"/>
      <c r="AK137" s="42"/>
      <c r="AL137" s="43"/>
      <c r="AM137" s="43"/>
    </row>
    <row r="138" spans="1:39" ht="15.75" customHeight="1" x14ac:dyDescent="0.35">
      <c r="A138" s="34"/>
      <c r="B138" s="35"/>
      <c r="C138" s="36" t="s">
        <v>220</v>
      </c>
      <c r="D138" s="37" t="s">
        <v>221</v>
      </c>
      <c r="E138" s="110">
        <v>5000</v>
      </c>
      <c r="F138" s="110">
        <f>E138*10</f>
        <v>50000</v>
      </c>
      <c r="G138" s="39" t="s">
        <v>222</v>
      </c>
      <c r="H138" s="37"/>
      <c r="I138" s="37">
        <v>3</v>
      </c>
      <c r="J138" s="37">
        <v>3</v>
      </c>
      <c r="K138" s="37">
        <v>4</v>
      </c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40"/>
      <c r="AJ138" s="41"/>
      <c r="AK138" s="42"/>
      <c r="AL138" s="43"/>
      <c r="AM138" s="43"/>
    </row>
    <row r="139" spans="1:39" ht="26.25" customHeight="1" x14ac:dyDescent="0.35">
      <c r="A139" s="34"/>
      <c r="B139" s="35"/>
      <c r="C139" s="117" t="s">
        <v>223</v>
      </c>
      <c r="D139" s="37" t="s">
        <v>77</v>
      </c>
      <c r="E139" s="110">
        <v>150000</v>
      </c>
      <c r="F139" s="110">
        <f>E139</f>
        <v>150000</v>
      </c>
      <c r="G139" s="58" t="s">
        <v>132</v>
      </c>
      <c r="H139" s="37"/>
      <c r="I139" s="37"/>
      <c r="J139" s="37">
        <v>1</v>
      </c>
      <c r="K139" s="39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40"/>
      <c r="AJ139" s="41"/>
      <c r="AK139" s="42"/>
      <c r="AL139" s="43"/>
      <c r="AM139" s="43"/>
    </row>
    <row r="140" spans="1:39" s="127" customFormat="1" ht="13.5" customHeight="1" x14ac:dyDescent="0.35">
      <c r="A140" s="118"/>
      <c r="B140" s="118"/>
      <c r="C140" s="119" t="s">
        <v>224</v>
      </c>
      <c r="D140" s="120" t="s">
        <v>77</v>
      </c>
      <c r="E140" s="121">
        <v>37000</v>
      </c>
      <c r="F140" s="122">
        <f>E140</f>
        <v>37000</v>
      </c>
      <c r="G140" s="120"/>
      <c r="H140" s="123"/>
      <c r="I140" s="124"/>
      <c r="J140" s="124">
        <v>1</v>
      </c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6"/>
      <c r="AK140" s="126"/>
    </row>
    <row r="141" spans="1:39" s="127" customFormat="1" ht="13.5" customHeight="1" x14ac:dyDescent="0.35">
      <c r="A141" s="118"/>
      <c r="B141" s="118"/>
      <c r="C141" s="119" t="s">
        <v>224</v>
      </c>
      <c r="D141" s="313" t="s">
        <v>77</v>
      </c>
      <c r="E141" s="121">
        <v>200000</v>
      </c>
      <c r="F141" s="316">
        <f>E141+E142+E143</f>
        <v>300000</v>
      </c>
      <c r="G141" s="313" t="s">
        <v>222</v>
      </c>
      <c r="H141" s="123"/>
      <c r="I141" s="124">
        <v>1</v>
      </c>
      <c r="J141" s="124"/>
      <c r="K141" s="128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6"/>
      <c r="AK141" s="126"/>
    </row>
    <row r="142" spans="1:39" s="127" customFormat="1" ht="13.5" customHeight="1" x14ac:dyDescent="0.35">
      <c r="A142" s="118"/>
      <c r="B142" s="118"/>
      <c r="C142" s="119" t="s">
        <v>224</v>
      </c>
      <c r="D142" s="314"/>
      <c r="E142" s="121">
        <v>50000</v>
      </c>
      <c r="F142" s="317"/>
      <c r="G142" s="314"/>
      <c r="H142" s="123"/>
      <c r="I142" s="124">
        <v>1</v>
      </c>
      <c r="J142" s="124"/>
      <c r="K142" s="128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6"/>
      <c r="AK142" s="126"/>
    </row>
    <row r="143" spans="1:39" s="127" customFormat="1" ht="13.5" customHeight="1" x14ac:dyDescent="0.35">
      <c r="A143" s="118"/>
      <c r="B143" s="118"/>
      <c r="C143" s="193" t="s">
        <v>224</v>
      </c>
      <c r="D143" s="315"/>
      <c r="E143" s="121">
        <v>50000</v>
      </c>
      <c r="F143" s="318"/>
      <c r="G143" s="315"/>
      <c r="H143" s="123"/>
      <c r="I143" s="124">
        <v>1</v>
      </c>
      <c r="J143" s="124"/>
      <c r="K143" s="128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6"/>
      <c r="AK143" s="126"/>
    </row>
    <row r="144" spans="1:39" s="127" customFormat="1" ht="13.5" customHeight="1" x14ac:dyDescent="0.35">
      <c r="A144" s="118"/>
      <c r="B144" s="118"/>
      <c r="C144" s="193" t="s">
        <v>317</v>
      </c>
      <c r="D144" s="120" t="s">
        <v>77</v>
      </c>
      <c r="E144" s="121">
        <v>600</v>
      </c>
      <c r="F144" s="122">
        <f>E144*200</f>
        <v>120000</v>
      </c>
      <c r="G144" s="120"/>
      <c r="H144" s="123"/>
      <c r="I144" s="124">
        <v>1</v>
      </c>
      <c r="J144" s="124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6"/>
      <c r="AK144" s="126"/>
    </row>
    <row r="145" spans="1:39" s="127" customFormat="1" ht="13.5" customHeight="1" x14ac:dyDescent="0.35">
      <c r="A145" s="129"/>
      <c r="B145" s="194"/>
      <c r="C145" s="195" t="s">
        <v>287</v>
      </c>
      <c r="D145" s="120" t="s">
        <v>77</v>
      </c>
      <c r="E145" s="130">
        <v>100000</v>
      </c>
      <c r="F145" s="131">
        <v>85000</v>
      </c>
      <c r="G145" s="120"/>
      <c r="H145" s="123"/>
      <c r="I145" s="132">
        <v>1</v>
      </c>
      <c r="J145" s="132"/>
      <c r="K145" s="133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5"/>
      <c r="AJ145" s="126"/>
      <c r="AK145" s="126"/>
    </row>
    <row r="146" spans="1:39" ht="15.75" customHeight="1" x14ac:dyDescent="0.35">
      <c r="A146" s="28" t="s">
        <v>225</v>
      </c>
      <c r="B146" s="29"/>
      <c r="C146" s="216" t="s">
        <v>226</v>
      </c>
      <c r="D146" s="29"/>
      <c r="E146" s="31"/>
      <c r="F146" s="31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3"/>
      <c r="AJ146" s="41"/>
      <c r="AK146" s="42"/>
      <c r="AL146" s="43"/>
      <c r="AM146" s="43"/>
    </row>
    <row r="147" spans="1:39" ht="15.75" customHeight="1" x14ac:dyDescent="0.35">
      <c r="A147" s="34"/>
      <c r="B147" s="35"/>
      <c r="C147" s="36" t="s">
        <v>227</v>
      </c>
      <c r="D147" s="37" t="s">
        <v>285</v>
      </c>
      <c r="E147" s="110">
        <v>2500</v>
      </c>
      <c r="F147" s="110">
        <f>E147*1</f>
        <v>2500</v>
      </c>
      <c r="G147" s="39" t="s">
        <v>222</v>
      </c>
      <c r="H147" s="37" t="s">
        <v>79</v>
      </c>
      <c r="I147" s="88"/>
      <c r="J147" s="88">
        <v>1</v>
      </c>
      <c r="K147" s="88">
        <v>1</v>
      </c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40"/>
      <c r="AJ147" s="41"/>
      <c r="AK147" s="42"/>
      <c r="AL147" s="95"/>
      <c r="AM147" s="95"/>
    </row>
    <row r="148" spans="1:39" ht="15.75" customHeight="1" x14ac:dyDescent="0.35">
      <c r="A148" s="44"/>
      <c r="B148" s="48"/>
      <c r="C148" s="207" t="s">
        <v>228</v>
      </c>
      <c r="D148" s="47" t="s">
        <v>144</v>
      </c>
      <c r="E148" s="46">
        <v>350</v>
      </c>
      <c r="F148" s="46">
        <f>E148*2</f>
        <v>700</v>
      </c>
      <c r="G148" s="58" t="s">
        <v>89</v>
      </c>
      <c r="H148" s="47" t="s">
        <v>79</v>
      </c>
      <c r="I148" s="88">
        <v>1</v>
      </c>
      <c r="J148" s="88">
        <v>1</v>
      </c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9"/>
      <c r="AJ148" s="22"/>
      <c r="AK148" s="18"/>
    </row>
    <row r="149" spans="1:39" ht="15.75" customHeight="1" x14ac:dyDescent="0.35">
      <c r="A149" s="28" t="s">
        <v>229</v>
      </c>
      <c r="B149" s="29"/>
      <c r="C149" s="216" t="s">
        <v>230</v>
      </c>
      <c r="D149" s="29"/>
      <c r="E149" s="31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33"/>
      <c r="AJ149" s="22"/>
      <c r="AK149" s="18"/>
    </row>
    <row r="150" spans="1:39" ht="15.75" customHeight="1" x14ac:dyDescent="0.35">
      <c r="A150" s="44"/>
      <c r="B150" s="48"/>
      <c r="C150" s="207" t="s">
        <v>231</v>
      </c>
      <c r="D150" s="88" t="s">
        <v>77</v>
      </c>
      <c r="E150" s="46">
        <v>3000000</v>
      </c>
      <c r="F150" s="46">
        <f>E150*1</f>
        <v>3000000</v>
      </c>
      <c r="G150" s="58" t="s">
        <v>232</v>
      </c>
      <c r="H150" s="47" t="s">
        <v>233</v>
      </c>
      <c r="I150" s="47">
        <v>1</v>
      </c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9"/>
      <c r="AJ150" s="22"/>
      <c r="AK150" s="18"/>
    </row>
    <row r="151" spans="1:39" ht="15.75" customHeight="1" x14ac:dyDescent="0.35">
      <c r="A151" s="28"/>
      <c r="B151" s="29"/>
      <c r="C151" s="218" t="s">
        <v>234</v>
      </c>
      <c r="D151" s="29"/>
      <c r="E151" s="31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3"/>
      <c r="AJ151" s="22"/>
      <c r="AK151" s="18"/>
    </row>
    <row r="152" spans="1:39" s="116" customFormat="1" ht="15.75" customHeight="1" x14ac:dyDescent="0.35">
      <c r="A152" s="111"/>
      <c r="B152" s="112"/>
      <c r="C152" s="113" t="s">
        <v>235</v>
      </c>
      <c r="D152" s="136" t="s">
        <v>77</v>
      </c>
      <c r="E152" s="100">
        <v>400000</v>
      </c>
      <c r="F152" s="137">
        <f>E152</f>
        <v>400000</v>
      </c>
      <c r="G152" s="138"/>
      <c r="H152" s="139" t="s">
        <v>236</v>
      </c>
      <c r="I152" s="47">
        <v>1</v>
      </c>
      <c r="J152" s="112"/>
      <c r="K152" s="47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5"/>
      <c r="AJ152" s="140"/>
      <c r="AK152" s="141"/>
    </row>
    <row r="153" spans="1:39" ht="15.75" customHeight="1" x14ac:dyDescent="0.35">
      <c r="A153" s="109"/>
      <c r="B153" s="48"/>
      <c r="C153" s="209" t="s">
        <v>237</v>
      </c>
      <c r="D153" s="327" t="s">
        <v>77</v>
      </c>
      <c r="E153" s="328">
        <v>12500</v>
      </c>
      <c r="F153" s="328">
        <f>E153*1</f>
        <v>12500</v>
      </c>
      <c r="G153" s="329"/>
      <c r="H153" s="293" t="s">
        <v>236</v>
      </c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</row>
    <row r="154" spans="1:39" ht="15.75" customHeight="1" x14ac:dyDescent="0.35">
      <c r="A154" s="109"/>
      <c r="B154" s="48"/>
      <c r="C154" s="207" t="s">
        <v>238</v>
      </c>
      <c r="D154" s="297"/>
      <c r="E154" s="297"/>
      <c r="F154" s="297"/>
      <c r="G154" s="297"/>
      <c r="H154" s="297"/>
      <c r="I154" s="48"/>
      <c r="J154" s="4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9"/>
      <c r="AJ154" s="22"/>
      <c r="AK154" s="18"/>
    </row>
    <row r="155" spans="1:39" ht="15.75" customHeight="1" x14ac:dyDescent="0.35">
      <c r="A155" s="44"/>
      <c r="B155" s="48"/>
      <c r="C155" s="207" t="s">
        <v>239</v>
      </c>
      <c r="D155" s="298"/>
      <c r="E155" s="298"/>
      <c r="F155" s="298"/>
      <c r="G155" s="298"/>
      <c r="H155" s="298"/>
      <c r="I155" s="47"/>
      <c r="J155" s="4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9"/>
      <c r="AJ155" s="22"/>
      <c r="AK155" s="18"/>
    </row>
    <row r="156" spans="1:39" ht="15.75" customHeight="1" x14ac:dyDescent="0.35">
      <c r="A156" s="28" t="s">
        <v>240</v>
      </c>
      <c r="B156" s="29"/>
      <c r="C156" s="214" t="s">
        <v>241</v>
      </c>
      <c r="D156" s="29"/>
      <c r="E156" s="31"/>
      <c r="F156" s="32"/>
      <c r="G156" s="29"/>
      <c r="H156" s="29"/>
      <c r="I156" s="142"/>
      <c r="J156" s="14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33"/>
      <c r="AJ156" s="41"/>
      <c r="AK156" s="42"/>
      <c r="AL156" s="43"/>
      <c r="AM156" s="43"/>
    </row>
    <row r="157" spans="1:39" ht="15.75" customHeight="1" x14ac:dyDescent="0.35">
      <c r="A157" s="44"/>
      <c r="B157" s="48"/>
      <c r="C157" s="210" t="s">
        <v>242</v>
      </c>
      <c r="D157" s="312" t="s">
        <v>77</v>
      </c>
      <c r="E157" s="310">
        <v>200000</v>
      </c>
      <c r="F157" s="310">
        <f>E157</f>
        <v>200000</v>
      </c>
      <c r="G157" s="291" t="s">
        <v>132</v>
      </c>
      <c r="H157" s="291" t="s">
        <v>243</v>
      </c>
      <c r="I157" s="330"/>
      <c r="J157" s="102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  <c r="AL157" s="2"/>
      <c r="AM157" s="2"/>
    </row>
    <row r="158" spans="1:39" ht="22.5" customHeight="1" x14ac:dyDescent="0.35">
      <c r="A158" s="44"/>
      <c r="B158" s="48"/>
      <c r="C158" s="211" t="s">
        <v>244</v>
      </c>
      <c r="D158" s="297"/>
      <c r="E158" s="297"/>
      <c r="F158" s="297"/>
      <c r="G158" s="308"/>
      <c r="H158" s="308"/>
      <c r="I158" s="297"/>
      <c r="J158" s="102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9"/>
      <c r="AJ158" s="22"/>
      <c r="AK158" s="18"/>
      <c r="AL158" s="2"/>
      <c r="AM158" s="2"/>
    </row>
    <row r="159" spans="1:39" ht="24" customHeight="1" x14ac:dyDescent="0.35">
      <c r="A159" s="44"/>
      <c r="B159" s="48"/>
      <c r="C159" s="202" t="s">
        <v>245</v>
      </c>
      <c r="D159" s="297"/>
      <c r="E159" s="297"/>
      <c r="F159" s="297"/>
      <c r="G159" s="308"/>
      <c r="H159" s="308"/>
      <c r="I159" s="297"/>
      <c r="J159" s="102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9"/>
      <c r="AJ159" s="22"/>
      <c r="AK159" s="18"/>
      <c r="AL159" s="2"/>
      <c r="AM159" s="2"/>
    </row>
    <row r="160" spans="1:39" ht="24" customHeight="1" x14ac:dyDescent="0.35">
      <c r="A160" s="44"/>
      <c r="B160" s="48"/>
      <c r="C160" s="202" t="s">
        <v>246</v>
      </c>
      <c r="D160" s="298"/>
      <c r="E160" s="298"/>
      <c r="F160" s="298"/>
      <c r="G160" s="308"/>
      <c r="H160" s="308"/>
      <c r="I160" s="298"/>
      <c r="J160" s="102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9"/>
      <c r="AJ160" s="22"/>
      <c r="AK160" s="18"/>
    </row>
    <row r="161" spans="1:39" ht="15.75" customHeight="1" x14ac:dyDescent="0.35">
      <c r="A161" s="44"/>
      <c r="B161" s="45"/>
      <c r="C161" s="199" t="s">
        <v>247</v>
      </c>
      <c r="D161" s="136" t="s">
        <v>77</v>
      </c>
      <c r="E161" s="46">
        <v>542000</v>
      </c>
      <c r="F161" s="143">
        <f t="shared" ref="F161:F162" si="1">E161</f>
        <v>542000</v>
      </c>
      <c r="G161" s="312" t="s">
        <v>248</v>
      </c>
      <c r="H161" s="296" t="s">
        <v>79</v>
      </c>
      <c r="I161" s="47">
        <v>1</v>
      </c>
      <c r="J161" s="47"/>
      <c r="K161" s="47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9"/>
      <c r="AJ161" s="22"/>
      <c r="AK161" s="18"/>
      <c r="AL161" s="2"/>
      <c r="AM161" s="2"/>
    </row>
    <row r="162" spans="1:39" ht="15.75" customHeight="1" x14ac:dyDescent="0.35">
      <c r="A162" s="44"/>
      <c r="B162" s="45"/>
      <c r="C162" s="199" t="s">
        <v>249</v>
      </c>
      <c r="D162" s="53" t="s">
        <v>77</v>
      </c>
      <c r="E162" s="46">
        <v>550000</v>
      </c>
      <c r="F162" s="229">
        <f t="shared" si="1"/>
        <v>550000</v>
      </c>
      <c r="G162" s="331"/>
      <c r="H162" s="332"/>
      <c r="I162" s="47">
        <v>1</v>
      </c>
      <c r="J162" s="47"/>
      <c r="K162" s="47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9"/>
      <c r="AJ162" s="22"/>
      <c r="AK162" s="18"/>
      <c r="AL162" s="2"/>
      <c r="AM162" s="2"/>
    </row>
    <row r="163" spans="1:39" ht="15.75" customHeight="1" x14ac:dyDescent="0.35">
      <c r="A163" s="144" t="s">
        <v>229</v>
      </c>
      <c r="B163" s="145"/>
      <c r="C163" s="219" t="s">
        <v>250</v>
      </c>
      <c r="D163" s="146"/>
      <c r="E163" s="147"/>
      <c r="F163" s="148"/>
      <c r="G163" s="149"/>
      <c r="H163" s="150"/>
      <c r="I163" s="150"/>
      <c r="J163" s="150"/>
      <c r="K163" s="150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51"/>
      <c r="AJ163" s="22"/>
      <c r="AK163" s="18"/>
    </row>
    <row r="164" spans="1:39" ht="22.5" customHeight="1" x14ac:dyDescent="0.35">
      <c r="A164" s="152"/>
      <c r="B164" s="153"/>
      <c r="C164" s="212" t="s">
        <v>251</v>
      </c>
      <c r="D164" s="53" t="s">
        <v>252</v>
      </c>
      <c r="E164" s="154">
        <v>15000</v>
      </c>
      <c r="F164" s="154">
        <f t="shared" ref="F164:F165" si="2">E164</f>
        <v>15000</v>
      </c>
      <c r="G164" s="50" t="s">
        <v>132</v>
      </c>
      <c r="H164" s="53" t="s">
        <v>243</v>
      </c>
      <c r="I164" s="53"/>
      <c r="J164" s="53"/>
      <c r="K164" s="53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155"/>
      <c r="AJ164" s="156"/>
      <c r="AK164" s="157"/>
      <c r="AL164" s="158"/>
      <c r="AM164" s="158"/>
    </row>
    <row r="165" spans="1:39" ht="24.75" customHeight="1" thickBot="1" x14ac:dyDescent="0.4">
      <c r="A165" s="243"/>
      <c r="B165" s="244"/>
      <c r="C165" s="240" t="s">
        <v>253</v>
      </c>
      <c r="D165" s="220" t="s">
        <v>136</v>
      </c>
      <c r="E165" s="223">
        <v>35000</v>
      </c>
      <c r="F165" s="223">
        <f t="shared" si="2"/>
        <v>35000</v>
      </c>
      <c r="G165" s="224" t="s">
        <v>132</v>
      </c>
      <c r="H165" s="220" t="s">
        <v>84</v>
      </c>
      <c r="I165" s="222"/>
      <c r="J165" s="222"/>
      <c r="K165" s="222"/>
      <c r="L165" s="225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4"/>
      <c r="AJ165" s="41"/>
      <c r="AK165" s="42"/>
      <c r="AL165" s="43"/>
      <c r="AM165" s="43"/>
    </row>
    <row r="166" spans="1:39" ht="24.75" customHeight="1" thickBot="1" x14ac:dyDescent="0.4">
      <c r="A166" s="241"/>
      <c r="B166" s="242"/>
      <c r="C166" s="246" t="s">
        <v>314</v>
      </c>
      <c r="D166" s="235" t="s">
        <v>313</v>
      </c>
      <c r="E166" s="236">
        <v>5500</v>
      </c>
      <c r="F166" s="236">
        <f>E166*2</f>
        <v>11000</v>
      </c>
      <c r="G166" s="237"/>
      <c r="H166" s="235"/>
      <c r="I166" s="220">
        <v>2</v>
      </c>
      <c r="J166" s="220"/>
      <c r="K166" s="220"/>
      <c r="L166" s="221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4"/>
      <c r="AJ166" s="41"/>
      <c r="AK166" s="42"/>
      <c r="AL166" s="43"/>
      <c r="AM166" s="43"/>
    </row>
    <row r="167" spans="1:39" ht="27" customHeight="1" thickBot="1" x14ac:dyDescent="0.4">
      <c r="A167" s="247" t="s">
        <v>254</v>
      </c>
      <c r="B167" s="248"/>
      <c r="C167" s="245" t="s">
        <v>255</v>
      </c>
      <c r="D167" s="333" t="s">
        <v>77</v>
      </c>
      <c r="E167" s="335">
        <v>20000</v>
      </c>
      <c r="F167" s="335">
        <v>20000</v>
      </c>
      <c r="G167" s="336" t="s">
        <v>132</v>
      </c>
      <c r="H167" s="333" t="s">
        <v>84</v>
      </c>
      <c r="I167" s="220"/>
      <c r="J167" s="220"/>
      <c r="K167" s="220"/>
      <c r="L167" s="221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4"/>
      <c r="AJ167" s="41"/>
      <c r="AK167" s="42"/>
      <c r="AL167" s="43"/>
      <c r="AM167" s="43"/>
    </row>
    <row r="168" spans="1:39" ht="25.5" customHeight="1" thickBot="1" x14ac:dyDescent="0.4">
      <c r="A168" s="247" t="s">
        <v>256</v>
      </c>
      <c r="B168" s="248"/>
      <c r="C168" s="239" t="s">
        <v>257</v>
      </c>
      <c r="D168" s="297"/>
      <c r="E168" s="297"/>
      <c r="F168" s="297"/>
      <c r="G168" s="297"/>
      <c r="H168" s="297"/>
      <c r="I168" s="220"/>
      <c r="J168" s="220"/>
      <c r="K168" s="220"/>
      <c r="L168" s="221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4"/>
      <c r="AJ168" s="41"/>
      <c r="AK168" s="42"/>
      <c r="AL168" s="43"/>
      <c r="AM168" s="43"/>
    </row>
    <row r="169" spans="1:39" ht="27" customHeight="1" thickBot="1" x14ac:dyDescent="0.4">
      <c r="A169" s="241" t="s">
        <v>258</v>
      </c>
      <c r="B169" s="242"/>
      <c r="C169" s="238" t="s">
        <v>259</v>
      </c>
      <c r="D169" s="297"/>
      <c r="E169" s="297"/>
      <c r="F169" s="297"/>
      <c r="G169" s="297"/>
      <c r="H169" s="297"/>
      <c r="I169" s="220"/>
      <c r="J169" s="220"/>
      <c r="K169" s="220"/>
      <c r="L169" s="221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4"/>
      <c r="AJ169" s="41"/>
      <c r="AK169" s="42"/>
      <c r="AL169" s="43"/>
      <c r="AM169" s="43"/>
    </row>
    <row r="170" spans="1:39" ht="27.75" customHeight="1" thickBot="1" x14ac:dyDescent="0.4">
      <c r="A170" s="159" t="s">
        <v>260</v>
      </c>
      <c r="B170" s="160"/>
      <c r="C170" s="165" t="s">
        <v>261</v>
      </c>
      <c r="D170" s="334"/>
      <c r="E170" s="334"/>
      <c r="F170" s="334"/>
      <c r="G170" s="334"/>
      <c r="H170" s="334"/>
      <c r="I170" s="162"/>
      <c r="J170" s="162"/>
      <c r="K170" s="162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4"/>
      <c r="AJ170" s="41"/>
      <c r="AK170" s="42"/>
      <c r="AL170" s="43"/>
      <c r="AM170" s="43"/>
    </row>
    <row r="171" spans="1:39" ht="15.75" customHeight="1" x14ac:dyDescent="0.35">
      <c r="A171" s="167"/>
      <c r="B171" s="168"/>
      <c r="C171" s="213"/>
      <c r="D171" s="169"/>
      <c r="E171" s="170"/>
      <c r="F171" s="171"/>
      <c r="G171" s="172"/>
      <c r="H171" s="17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2"/>
      <c r="AK171" s="2"/>
    </row>
    <row r="172" spans="1:39" ht="15.75" customHeight="1" thickBot="1" x14ac:dyDescent="0.4">
      <c r="A172" s="173" t="s">
        <v>262</v>
      </c>
      <c r="B172" s="168"/>
      <c r="C172" s="168"/>
      <c r="D172" s="337">
        <f>SUM(F12:F169)</f>
        <v>10198811</v>
      </c>
      <c r="E172" s="338"/>
      <c r="F172" s="338"/>
      <c r="G172" s="172"/>
      <c r="H172" s="17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2"/>
      <c r="AK172" s="2"/>
    </row>
    <row r="173" spans="1:39" ht="15.75" hidden="1" customHeight="1" x14ac:dyDescent="0.35">
      <c r="A173" s="174" t="s">
        <v>263</v>
      </c>
      <c r="B173" s="175"/>
      <c r="C173" s="175"/>
      <c r="D173" s="339">
        <f>PRODUCT(D172,0.1)</f>
        <v>1019881.1000000001</v>
      </c>
      <c r="E173" s="288"/>
      <c r="F173" s="289"/>
      <c r="G173" s="172"/>
      <c r="H173" s="172"/>
      <c r="I173" s="340"/>
      <c r="J173" s="283"/>
      <c r="K173" s="340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176"/>
      <c r="AI173" s="18"/>
      <c r="AJ173" s="2"/>
      <c r="AK173" s="2"/>
    </row>
    <row r="174" spans="1:39" ht="15.75" hidden="1" customHeight="1" x14ac:dyDescent="0.35">
      <c r="A174" s="177" t="s">
        <v>264</v>
      </c>
      <c r="B174" s="54"/>
      <c r="C174" s="54"/>
      <c r="D174" s="341">
        <f>PRODUCT(D172,0.1)</f>
        <v>1019881.1000000001</v>
      </c>
      <c r="E174" s="342"/>
      <c r="F174" s="343"/>
      <c r="G174" s="172"/>
      <c r="H174" s="172"/>
      <c r="I174" s="18"/>
      <c r="J174" s="18"/>
      <c r="K174" s="344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178"/>
      <c r="AI174" s="18"/>
      <c r="AJ174" s="2"/>
      <c r="AK174" s="2"/>
    </row>
    <row r="175" spans="1:39" ht="15.75" hidden="1" customHeight="1" x14ac:dyDescent="0.35">
      <c r="A175" s="177" t="s">
        <v>265</v>
      </c>
      <c r="B175" s="54"/>
      <c r="C175" s="54"/>
      <c r="D175" s="341">
        <f>SUM(D172:F174)</f>
        <v>12238573.199999999</v>
      </c>
      <c r="E175" s="342"/>
      <c r="F175" s="343"/>
      <c r="G175" s="172"/>
      <c r="H175" s="172"/>
      <c r="I175" s="18"/>
      <c r="J175" s="18"/>
      <c r="K175" s="344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178"/>
      <c r="AI175" s="18"/>
      <c r="AJ175" s="2"/>
      <c r="AK175" s="2"/>
    </row>
    <row r="176" spans="1:39" ht="15.75" customHeight="1" thickTop="1" x14ac:dyDescent="0.35">
      <c r="A176" s="167"/>
      <c r="B176" s="168"/>
      <c r="C176" s="168"/>
      <c r="D176" s="169"/>
      <c r="E176" s="170"/>
      <c r="F176" s="171"/>
      <c r="G176" s="172"/>
      <c r="H176" s="172"/>
      <c r="I176" s="18"/>
      <c r="J176" s="18"/>
      <c r="K176" s="344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178"/>
      <c r="AI176" s="18"/>
      <c r="AJ176" s="2"/>
      <c r="AK176" s="2"/>
    </row>
    <row r="177" spans="1:37" ht="15.75" customHeight="1" x14ac:dyDescent="0.35">
      <c r="A177" s="179" t="s">
        <v>266</v>
      </c>
      <c r="B177" s="168"/>
      <c r="C177" s="168"/>
      <c r="D177" s="169"/>
      <c r="E177" s="170"/>
      <c r="F177" s="171"/>
      <c r="G177" s="172"/>
      <c r="H177" s="17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2"/>
      <c r="AK177" s="2"/>
    </row>
    <row r="178" spans="1:37" ht="15.75" customHeight="1" x14ac:dyDescent="0.35">
      <c r="A178" s="168"/>
      <c r="B178" s="168"/>
      <c r="C178" s="168"/>
      <c r="D178" s="169"/>
      <c r="E178" s="170"/>
      <c r="F178" s="171"/>
      <c r="G178" s="172"/>
      <c r="H178" s="172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2"/>
      <c r="AK178" s="2"/>
    </row>
    <row r="179" spans="1:37" ht="15.75" customHeight="1" x14ac:dyDescent="0.35">
      <c r="A179" s="180" t="s">
        <v>267</v>
      </c>
      <c r="B179" s="11"/>
      <c r="C179" s="11"/>
      <c r="D179" s="181" t="s">
        <v>268</v>
      </c>
      <c r="E179" s="182"/>
      <c r="F179" s="183"/>
      <c r="G179" s="184" t="s">
        <v>269</v>
      </c>
      <c r="H179" s="2"/>
      <c r="I179" s="2"/>
      <c r="J179" s="184" t="s">
        <v>270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185"/>
    </row>
    <row r="180" spans="1:37" ht="15.75" customHeight="1" x14ac:dyDescent="0.35">
      <c r="A180" s="180"/>
      <c r="B180" s="11"/>
      <c r="C180" s="11"/>
      <c r="D180" s="186"/>
      <c r="E180" s="182"/>
      <c r="F180" s="183"/>
      <c r="G180" s="187"/>
      <c r="H180" s="18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185"/>
      <c r="AK180" s="185"/>
    </row>
    <row r="181" spans="1:37" ht="15.75" customHeight="1" x14ac:dyDescent="0.35">
      <c r="A181" s="11"/>
      <c r="B181" s="11"/>
      <c r="C181" s="11"/>
      <c r="D181" s="186"/>
      <c r="E181" s="182"/>
      <c r="F181" s="183"/>
      <c r="G181" s="187"/>
      <c r="H181" s="18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185"/>
      <c r="AK181" s="185"/>
    </row>
    <row r="182" spans="1:37" ht="15.75" customHeight="1" x14ac:dyDescent="0.35">
      <c r="A182" s="345" t="s">
        <v>271</v>
      </c>
      <c r="B182" s="283"/>
      <c r="C182" s="283"/>
      <c r="D182" s="184" t="s">
        <v>272</v>
      </c>
      <c r="E182" s="188"/>
      <c r="F182" s="183"/>
      <c r="G182" s="184" t="s">
        <v>273</v>
      </c>
      <c r="H182" s="2"/>
      <c r="I182" s="2"/>
      <c r="J182" s="184" t="s">
        <v>274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" customHeight="1" x14ac:dyDescent="0.35">
      <c r="A183" s="346" t="s">
        <v>275</v>
      </c>
      <c r="B183" s="283"/>
      <c r="C183" s="283"/>
      <c r="D183" s="2" t="s">
        <v>276</v>
      </c>
      <c r="E183" s="188"/>
      <c r="F183" s="183"/>
      <c r="G183" s="2" t="s">
        <v>277</v>
      </c>
      <c r="H183" s="2"/>
      <c r="I183" s="2"/>
      <c r="J183" s="2" t="s">
        <v>278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85"/>
      <c r="AK183" s="185"/>
    </row>
    <row r="184" spans="1:37" ht="15.75" customHeight="1" x14ac:dyDescent="0.35">
      <c r="A184" s="2"/>
      <c r="B184" s="2"/>
      <c r="C184" s="2"/>
      <c r="D184" s="2"/>
      <c r="E184" s="188"/>
      <c r="F184" s="18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5">
      <c r="A185" s="2" t="s">
        <v>284</v>
      </c>
      <c r="B185" s="2"/>
      <c r="C185" s="2"/>
      <c r="D185" s="2" t="s">
        <v>279</v>
      </c>
      <c r="E185" s="188"/>
      <c r="F185" s="183"/>
      <c r="G185" s="2" t="s">
        <v>279</v>
      </c>
      <c r="H185" s="2"/>
      <c r="I185" s="2"/>
      <c r="J185" s="2" t="s">
        <v>279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5">
      <c r="D186" s="2"/>
      <c r="E186" s="188"/>
      <c r="F186" s="18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7" ht="15.75" customHeight="1" x14ac:dyDescent="0.35">
      <c r="D187" s="189" t="s">
        <v>280</v>
      </c>
      <c r="E187" s="182"/>
      <c r="F187" s="183"/>
      <c r="G187" s="187"/>
      <c r="H187" s="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7" ht="15.75" customHeight="1" x14ac:dyDescent="0.35">
      <c r="A188" s="18"/>
      <c r="B188" s="18"/>
      <c r="C188" s="18"/>
      <c r="D188" s="169"/>
      <c r="E188" s="170"/>
      <c r="F188" s="171"/>
      <c r="G188" s="172"/>
      <c r="H188" s="172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</row>
    <row r="189" spans="1:37" ht="15.75" customHeight="1" x14ac:dyDescent="0.35">
      <c r="A189" s="18"/>
      <c r="B189" s="18"/>
      <c r="C189" s="18"/>
      <c r="D189" s="169"/>
      <c r="E189" s="170"/>
      <c r="F189" s="171"/>
      <c r="G189" s="172"/>
      <c r="H189" s="17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</row>
    <row r="190" spans="1:37" ht="15.75" customHeight="1" x14ac:dyDescent="0.35">
      <c r="D190" s="186"/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D191" s="186"/>
      <c r="E191" s="182"/>
      <c r="F191" s="183"/>
      <c r="G191" s="187"/>
      <c r="H191" s="18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7" ht="15.75" customHeight="1" x14ac:dyDescent="0.35">
      <c r="D192" s="186"/>
      <c r="E192" s="182"/>
      <c r="F192" s="183"/>
      <c r="G192" s="187"/>
      <c r="H192" s="18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4:35" ht="15.75" customHeight="1" x14ac:dyDescent="0.35">
      <c r="D193" s="186"/>
      <c r="E193" s="182"/>
      <c r="F193" s="183"/>
      <c r="G193" s="187"/>
      <c r="H193" s="18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4:35" ht="15.75" customHeight="1" x14ac:dyDescent="0.35">
      <c r="D194" s="186"/>
      <c r="E194" s="182"/>
      <c r="F194" s="183"/>
      <c r="G194" s="187"/>
      <c r="H194" s="18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4:35" ht="15.75" customHeight="1" x14ac:dyDescent="0.35">
      <c r="D195" s="186"/>
      <c r="E195" s="182"/>
      <c r="F195" s="183"/>
      <c r="G195" s="187"/>
      <c r="H195" s="18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4:35" ht="15.75" customHeight="1" x14ac:dyDescent="0.35">
      <c r="D196" s="186"/>
      <c r="E196" s="182"/>
      <c r="F196" s="183"/>
      <c r="G196" s="187"/>
      <c r="H196" s="18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4:35" ht="15.75" customHeight="1" x14ac:dyDescent="0.35">
      <c r="D197" s="186"/>
      <c r="E197" s="182"/>
      <c r="F197" s="183"/>
      <c r="G197" s="187"/>
      <c r="H197" s="18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4:35" ht="15.75" customHeight="1" x14ac:dyDescent="0.35">
      <c r="D198" s="186"/>
      <c r="E198" s="190"/>
      <c r="H198" s="191"/>
    </row>
    <row r="199" spans="4:35" ht="15.75" customHeight="1" x14ac:dyDescent="0.35">
      <c r="D199" s="186"/>
      <c r="E199" s="190"/>
      <c r="H199" s="191"/>
    </row>
    <row r="200" spans="4:35" ht="15.75" customHeight="1" x14ac:dyDescent="0.35">
      <c r="D200" s="186"/>
      <c r="E200" s="190"/>
      <c r="H200" s="191"/>
    </row>
    <row r="201" spans="4:35" ht="15.75" customHeight="1" x14ac:dyDescent="0.35">
      <c r="D201" s="186"/>
      <c r="E201" s="190"/>
      <c r="H201" s="191"/>
    </row>
    <row r="202" spans="4:35" ht="15.75" customHeight="1" x14ac:dyDescent="0.35">
      <c r="D202" s="186"/>
      <c r="E202" s="190"/>
      <c r="H202" s="191"/>
    </row>
    <row r="203" spans="4:35" ht="15.75" customHeight="1" x14ac:dyDescent="0.35">
      <c r="D203" s="186"/>
      <c r="E203" s="190"/>
      <c r="H203" s="191"/>
    </row>
    <row r="204" spans="4:35" ht="15.75" customHeight="1" x14ac:dyDescent="0.35">
      <c r="D204" s="186"/>
      <c r="E204" s="190"/>
      <c r="H204" s="191"/>
    </row>
    <row r="205" spans="4:35" ht="15.75" customHeight="1" x14ac:dyDescent="0.35">
      <c r="D205" s="186"/>
      <c r="E205" s="190"/>
      <c r="H205" s="191"/>
    </row>
    <row r="206" spans="4:35" ht="15.75" customHeight="1" x14ac:dyDescent="0.35">
      <c r="D206" s="186"/>
      <c r="E206" s="190"/>
      <c r="H206" s="191"/>
    </row>
    <row r="207" spans="4:35" ht="15.75" customHeight="1" x14ac:dyDescent="0.35">
      <c r="D207" s="186"/>
      <c r="E207" s="190"/>
      <c r="H207" s="191"/>
    </row>
    <row r="208" spans="4:35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>
      <c r="D380" s="186"/>
      <c r="E380" s="190"/>
      <c r="H380" s="191"/>
    </row>
    <row r="381" spans="4:8" ht="15.75" customHeight="1" x14ac:dyDescent="0.35">
      <c r="D381" s="186"/>
      <c r="E381" s="190"/>
      <c r="H381" s="191"/>
    </row>
    <row r="382" spans="4:8" ht="15.75" customHeight="1" x14ac:dyDescent="0.35">
      <c r="D382" s="186"/>
      <c r="E382" s="190"/>
      <c r="H382" s="191"/>
    </row>
    <row r="383" spans="4:8" ht="15.75" customHeight="1" x14ac:dyDescent="0.35">
      <c r="D383" s="186"/>
      <c r="E383" s="190"/>
      <c r="H383" s="191"/>
    </row>
    <row r="384" spans="4:8" ht="15.75" customHeight="1" x14ac:dyDescent="0.35">
      <c r="D384" s="186"/>
      <c r="E384" s="190"/>
      <c r="H384" s="191"/>
    </row>
    <row r="385" spans="4:8" ht="15.75" customHeight="1" x14ac:dyDescent="0.35">
      <c r="D385" s="186"/>
      <c r="E385" s="190"/>
      <c r="H385" s="191"/>
    </row>
    <row r="386" spans="4:8" ht="15.75" customHeight="1" x14ac:dyDescent="0.35"/>
    <row r="387" spans="4:8" ht="15.75" customHeight="1" x14ac:dyDescent="0.35"/>
    <row r="388" spans="4:8" ht="15.75" customHeight="1" x14ac:dyDescent="0.35"/>
    <row r="389" spans="4:8" ht="15.75" customHeight="1" x14ac:dyDescent="0.35"/>
    <row r="390" spans="4:8" ht="15.75" customHeight="1" x14ac:dyDescent="0.35"/>
    <row r="391" spans="4:8" ht="15.75" customHeight="1" x14ac:dyDescent="0.35"/>
    <row r="392" spans="4:8" ht="15.75" customHeight="1" x14ac:dyDescent="0.35"/>
    <row r="393" spans="4:8" ht="15.75" customHeight="1" x14ac:dyDescent="0.35"/>
    <row r="394" spans="4:8" ht="15.75" customHeight="1" x14ac:dyDescent="0.35"/>
    <row r="395" spans="4:8" ht="15.75" customHeight="1" x14ac:dyDescent="0.35"/>
    <row r="396" spans="4:8" ht="15.75" customHeight="1" x14ac:dyDescent="0.35"/>
    <row r="397" spans="4:8" ht="15.75" customHeight="1" x14ac:dyDescent="0.35"/>
    <row r="398" spans="4:8" ht="15.75" customHeight="1" x14ac:dyDescent="0.35"/>
    <row r="399" spans="4:8" ht="15.75" customHeight="1" x14ac:dyDescent="0.35"/>
    <row r="400" spans="4:8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</sheetData>
  <mergeCells count="90">
    <mergeCell ref="A8:A9"/>
    <mergeCell ref="B8:B9"/>
    <mergeCell ref="C8:C9"/>
    <mergeCell ref="E8:E9"/>
    <mergeCell ref="F8:F9"/>
    <mergeCell ref="A1:AI1"/>
    <mergeCell ref="A2:AI2"/>
    <mergeCell ref="A3:AI3"/>
    <mergeCell ref="A4:G4"/>
    <mergeCell ref="A6:G6"/>
    <mergeCell ref="G8:G9"/>
    <mergeCell ref="H8:H9"/>
    <mergeCell ref="I8:AI8"/>
    <mergeCell ref="D13:D15"/>
    <mergeCell ref="F13:F15"/>
    <mergeCell ref="G13:G17"/>
    <mergeCell ref="H13:H17"/>
    <mergeCell ref="D16:D17"/>
    <mergeCell ref="F16:F17"/>
    <mergeCell ref="D18:D20"/>
    <mergeCell ref="F18:F20"/>
    <mergeCell ref="G18:G20"/>
    <mergeCell ref="H18:H20"/>
    <mergeCell ref="D23:D26"/>
    <mergeCell ref="F23:F26"/>
    <mergeCell ref="G23:G26"/>
    <mergeCell ref="H23:H26"/>
    <mergeCell ref="D27:D54"/>
    <mergeCell ref="F27:F54"/>
    <mergeCell ref="G27:G54"/>
    <mergeCell ref="H27:H54"/>
    <mergeCell ref="D55:D57"/>
    <mergeCell ref="F55:F57"/>
    <mergeCell ref="G55:G57"/>
    <mergeCell ref="H55:H57"/>
    <mergeCell ref="D61:D62"/>
    <mergeCell ref="F61:F62"/>
    <mergeCell ref="G61:G62"/>
    <mergeCell ref="H61:H62"/>
    <mergeCell ref="D82:D84"/>
    <mergeCell ref="F82:F84"/>
    <mergeCell ref="G82:G84"/>
    <mergeCell ref="H82:H84"/>
    <mergeCell ref="D127:D128"/>
    <mergeCell ref="F127:F128"/>
    <mergeCell ref="G127:G128"/>
    <mergeCell ref="H127:H128"/>
    <mergeCell ref="D86:D87"/>
    <mergeCell ref="F86:F87"/>
    <mergeCell ref="G86:G87"/>
    <mergeCell ref="D91:D112"/>
    <mergeCell ref="F91:F112"/>
    <mergeCell ref="G91:G112"/>
    <mergeCell ref="H91:H112"/>
    <mergeCell ref="D118:D119"/>
    <mergeCell ref="F118:F119"/>
    <mergeCell ref="D120:D121"/>
    <mergeCell ref="F120:F121"/>
    <mergeCell ref="D141:D143"/>
    <mergeCell ref="F141:F143"/>
    <mergeCell ref="G141:G143"/>
    <mergeCell ref="D153:D155"/>
    <mergeCell ref="E153:E155"/>
    <mergeCell ref="F153:F155"/>
    <mergeCell ref="G153:G155"/>
    <mergeCell ref="H153:H155"/>
    <mergeCell ref="D157:D160"/>
    <mergeCell ref="E157:E160"/>
    <mergeCell ref="F157:F160"/>
    <mergeCell ref="G157:G160"/>
    <mergeCell ref="H157:H160"/>
    <mergeCell ref="I157:I160"/>
    <mergeCell ref="G161:G162"/>
    <mergeCell ref="H161:H162"/>
    <mergeCell ref="D167:D170"/>
    <mergeCell ref="E167:E170"/>
    <mergeCell ref="F167:F170"/>
    <mergeCell ref="G167:G170"/>
    <mergeCell ref="H167:H170"/>
    <mergeCell ref="D172:F172"/>
    <mergeCell ref="D173:F173"/>
    <mergeCell ref="I173:J173"/>
    <mergeCell ref="K173:AG173"/>
    <mergeCell ref="D174:F174"/>
    <mergeCell ref="K174:AG174"/>
    <mergeCell ref="D175:F175"/>
    <mergeCell ref="K175:AG175"/>
    <mergeCell ref="K176:AG176"/>
    <mergeCell ref="A182:C182"/>
    <mergeCell ref="A183:C183"/>
  </mergeCells>
  <pageMargins left="0.7" right="0.36" top="0.27999999999999997" bottom="0.6" header="0" footer="0"/>
  <pageSetup paperSize="1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BC0C-9A82-4851-8438-E70DBFFF73D9}">
  <sheetPr>
    <pageSetUpPr fitToPage="1"/>
  </sheetPr>
  <dimension ref="A1:AM1062"/>
  <sheetViews>
    <sheetView tabSelected="1" topLeftCell="B109" workbookViewId="0">
      <selection activeCell="G113" sqref="G113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197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198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197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199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199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199" t="s">
        <v>306</v>
      </c>
      <c r="D18" s="293" t="s">
        <v>144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40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199" t="s">
        <v>307</v>
      </c>
      <c r="D19" s="297"/>
      <c r="E19" s="46">
        <v>6500</v>
      </c>
      <c r="F19" s="297"/>
      <c r="G19" s="297"/>
      <c r="H19" s="297"/>
      <c r="I19" s="47">
        <v>40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199" t="s">
        <v>308</v>
      </c>
      <c r="D20" s="298"/>
      <c r="E20" s="46">
        <v>7000</v>
      </c>
      <c r="F20" s="298"/>
      <c r="G20" s="298"/>
      <c r="H20" s="298"/>
      <c r="I20" s="47">
        <v>40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199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199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199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199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199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199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00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78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199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199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00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199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199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00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00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00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199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199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00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00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199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00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00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00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01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02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00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00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00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00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00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00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00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00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00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03" t="s">
        <v>124</v>
      </c>
      <c r="D55" s="305" t="s">
        <v>144</v>
      </c>
      <c r="E55" s="46">
        <v>7000</v>
      </c>
      <c r="F55" s="348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04" t="s">
        <v>125</v>
      </c>
      <c r="D56" s="297"/>
      <c r="E56" s="46">
        <v>4000</v>
      </c>
      <c r="F56" s="349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04" t="s">
        <v>126</v>
      </c>
      <c r="D57" s="298"/>
      <c r="E57" s="46">
        <v>13500</v>
      </c>
      <c r="F57" s="350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05" t="s">
        <v>127</v>
      </c>
      <c r="D58" s="68" t="s">
        <v>128</v>
      </c>
      <c r="E58" s="69">
        <v>15000</v>
      </c>
      <c r="F58" s="69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44"/>
      <c r="B59" s="45"/>
      <c r="C59" s="199" t="s">
        <v>318</v>
      </c>
      <c r="D59" s="98" t="s">
        <v>319</v>
      </c>
      <c r="E59" s="46">
        <v>100</v>
      </c>
      <c r="F59" s="249">
        <f>E59*150</f>
        <v>15000</v>
      </c>
      <c r="G59" s="71" t="s">
        <v>78</v>
      </c>
      <c r="H59" s="250"/>
      <c r="I59" s="55">
        <v>150</v>
      </c>
      <c r="J59" s="55"/>
      <c r="K59" s="47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22"/>
      <c r="AK59" s="18"/>
      <c r="AL59" s="2"/>
      <c r="AM59" s="2"/>
    </row>
    <row r="60" spans="1:39" ht="15.75" customHeight="1" x14ac:dyDescent="0.35">
      <c r="A60" s="28" t="s">
        <v>129</v>
      </c>
      <c r="B60" s="78"/>
      <c r="C60" s="228" t="s">
        <v>130</v>
      </c>
      <c r="D60" s="29"/>
      <c r="E60" s="31"/>
      <c r="F60" s="3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3"/>
      <c r="AJ60" s="22"/>
      <c r="AK60" s="18"/>
    </row>
    <row r="61" spans="1:39" ht="15.75" customHeight="1" x14ac:dyDescent="0.35">
      <c r="A61" s="44"/>
      <c r="B61" s="45"/>
      <c r="C61" s="199" t="s">
        <v>131</v>
      </c>
      <c r="D61" s="307" t="s">
        <v>77</v>
      </c>
      <c r="E61" s="46">
        <v>49000</v>
      </c>
      <c r="F61" s="311">
        <f>E61*2+E62*2</f>
        <v>188000</v>
      </c>
      <c r="G61" s="291" t="s">
        <v>132</v>
      </c>
      <c r="H61" s="307" t="s">
        <v>79</v>
      </c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199" t="s">
        <v>133</v>
      </c>
      <c r="D62" s="289"/>
      <c r="E62" s="46">
        <v>45000</v>
      </c>
      <c r="F62" s="289"/>
      <c r="G62" s="289"/>
      <c r="H62" s="289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15.75" customHeight="1" x14ac:dyDescent="0.35">
      <c r="A63" s="44"/>
      <c r="B63" s="45"/>
      <c r="C63" s="197" t="s">
        <v>134</v>
      </c>
      <c r="D63" s="232" t="s">
        <v>144</v>
      </c>
      <c r="E63" s="46">
        <v>70000</v>
      </c>
      <c r="F63" s="233">
        <f>E63*2</f>
        <v>140000</v>
      </c>
      <c r="G63" s="17"/>
      <c r="H63" s="17"/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26.25" customHeight="1" x14ac:dyDescent="0.35">
      <c r="A64" s="44"/>
      <c r="B64" s="45"/>
      <c r="C64" s="199" t="s">
        <v>135</v>
      </c>
      <c r="D64" s="196" t="s">
        <v>136</v>
      </c>
      <c r="E64" s="46">
        <v>80000</v>
      </c>
      <c r="F64" s="233">
        <f>E64*2</f>
        <v>160000</v>
      </c>
      <c r="G64" s="80" t="s">
        <v>132</v>
      </c>
      <c r="H64" s="47" t="s">
        <v>79</v>
      </c>
      <c r="I64" s="47">
        <v>2</v>
      </c>
      <c r="J64" s="47"/>
      <c r="K64" s="47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22"/>
      <c r="AK64" s="18"/>
    </row>
    <row r="65" spans="1:39" ht="15.75" customHeight="1" x14ac:dyDescent="0.35">
      <c r="A65" s="28" t="s">
        <v>137</v>
      </c>
      <c r="B65" s="78"/>
      <c r="C65" s="214" t="s">
        <v>138</v>
      </c>
      <c r="D65" s="29"/>
      <c r="E65" s="31"/>
      <c r="F65" s="32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3"/>
      <c r="AJ65" s="41"/>
      <c r="AK65" s="42"/>
      <c r="AL65" s="43"/>
      <c r="AM65" s="43"/>
    </row>
    <row r="66" spans="1:39" ht="15.75" customHeight="1" x14ac:dyDescent="0.35">
      <c r="A66" s="44"/>
      <c r="B66" s="45"/>
      <c r="C66" s="199" t="s">
        <v>292</v>
      </c>
      <c r="D66" s="81" t="s">
        <v>77</v>
      </c>
      <c r="E66" s="82">
        <v>17000</v>
      </c>
      <c r="F66" s="82">
        <f>E66*30</f>
        <v>510000</v>
      </c>
      <c r="G66" s="58" t="s">
        <v>139</v>
      </c>
      <c r="H66" s="47" t="s">
        <v>79</v>
      </c>
      <c r="I66" s="47"/>
      <c r="J66" s="47">
        <v>20</v>
      </c>
      <c r="K66" s="47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22"/>
      <c r="AK66" s="18"/>
    </row>
    <row r="67" spans="1:39" ht="15.75" customHeight="1" x14ac:dyDescent="0.35">
      <c r="A67" s="28" t="s">
        <v>140</v>
      </c>
      <c r="B67" s="29"/>
      <c r="C67" s="227" t="s">
        <v>141</v>
      </c>
      <c r="D67" s="29"/>
      <c r="E67" s="31"/>
      <c r="F67" s="3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3"/>
      <c r="AJ67" s="22"/>
      <c r="AK67" s="18"/>
    </row>
    <row r="68" spans="1:39" ht="18" customHeight="1" x14ac:dyDescent="0.35">
      <c r="A68" s="44"/>
      <c r="B68" s="45"/>
      <c r="C68" s="199" t="s">
        <v>142</v>
      </c>
      <c r="D68" s="58" t="s">
        <v>221</v>
      </c>
      <c r="E68" s="46">
        <v>4500</v>
      </c>
      <c r="F68" s="82">
        <f>E68*10</f>
        <v>45000</v>
      </c>
      <c r="G68" s="83" t="s">
        <v>89</v>
      </c>
      <c r="H68" s="47"/>
      <c r="I68" s="47">
        <v>8</v>
      </c>
      <c r="J68" s="47">
        <v>2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1"/>
      <c r="AK68" s="42"/>
      <c r="AL68" s="43"/>
      <c r="AM68" s="43"/>
    </row>
    <row r="69" spans="1:39" ht="38.25" customHeight="1" x14ac:dyDescent="0.35">
      <c r="A69" s="44"/>
      <c r="B69" s="45"/>
      <c r="C69" s="199" t="s">
        <v>143</v>
      </c>
      <c r="D69" s="58" t="s">
        <v>144</v>
      </c>
      <c r="E69" s="46">
        <v>50000</v>
      </c>
      <c r="F69" s="82">
        <f>E69*2</f>
        <v>100000</v>
      </c>
      <c r="G69" s="58" t="s">
        <v>145</v>
      </c>
      <c r="H69" s="47"/>
      <c r="I69" s="47">
        <v>1</v>
      </c>
      <c r="J69" s="47">
        <v>1</v>
      </c>
      <c r="K69" s="47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22"/>
      <c r="AK69" s="18"/>
    </row>
    <row r="70" spans="1:39" ht="18" customHeight="1" x14ac:dyDescent="0.35">
      <c r="A70" s="84"/>
      <c r="B70" s="85"/>
      <c r="C70" s="206" t="s">
        <v>290</v>
      </c>
      <c r="D70" s="83" t="s">
        <v>291</v>
      </c>
      <c r="E70" s="86">
        <v>400</v>
      </c>
      <c r="F70" s="87">
        <f>E70*15</f>
        <v>6000</v>
      </c>
      <c r="G70" s="83" t="s">
        <v>89</v>
      </c>
      <c r="H70" s="88"/>
      <c r="I70" s="47">
        <v>8</v>
      </c>
      <c r="J70" s="47">
        <v>8</v>
      </c>
      <c r="K70" s="47">
        <v>4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90"/>
      <c r="AJ70" s="22"/>
      <c r="AK70" s="18"/>
    </row>
    <row r="71" spans="1:39" ht="22.5" customHeight="1" x14ac:dyDescent="0.35">
      <c r="A71" s="91"/>
      <c r="B71" s="92"/>
      <c r="C71" s="99" t="s">
        <v>293</v>
      </c>
      <c r="D71" s="37" t="s">
        <v>285</v>
      </c>
      <c r="E71" s="93"/>
      <c r="F71" s="94">
        <v>50000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2.5" customHeight="1" x14ac:dyDescent="0.35">
      <c r="A72" s="91"/>
      <c r="B72" s="92"/>
      <c r="C72" s="99" t="s">
        <v>294</v>
      </c>
      <c r="D72" s="37" t="s">
        <v>144</v>
      </c>
      <c r="E72" s="93"/>
      <c r="F72" s="94">
        <v>80000</v>
      </c>
      <c r="G72" s="83"/>
      <c r="H72" s="35"/>
      <c r="I72" s="47">
        <v>1</v>
      </c>
      <c r="J72" s="47"/>
      <c r="K72" s="47">
        <v>1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40"/>
      <c r="AJ72" s="41"/>
      <c r="AK72" s="42"/>
      <c r="AL72" s="95"/>
      <c r="AM72" s="95"/>
    </row>
    <row r="73" spans="1:39" ht="23.25" customHeight="1" x14ac:dyDescent="0.35">
      <c r="A73" s="28" t="s">
        <v>146</v>
      </c>
      <c r="B73" s="78"/>
      <c r="C73" s="214" t="s">
        <v>147</v>
      </c>
      <c r="D73" s="29"/>
      <c r="E73" s="31"/>
      <c r="F73" s="32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3"/>
      <c r="AJ73" s="22"/>
      <c r="AK73" s="18"/>
    </row>
    <row r="74" spans="1:39" ht="22.5" customHeight="1" x14ac:dyDescent="0.35">
      <c r="A74" s="44"/>
      <c r="B74" s="48"/>
      <c r="C74" s="207" t="s">
        <v>76</v>
      </c>
      <c r="D74" s="47" t="s">
        <v>148</v>
      </c>
      <c r="E74" s="82">
        <v>700</v>
      </c>
      <c r="F74" s="82">
        <f>E74*27</f>
        <v>18900</v>
      </c>
      <c r="G74" s="58" t="s">
        <v>78</v>
      </c>
      <c r="H74" s="47" t="s">
        <v>79</v>
      </c>
      <c r="I74" s="47"/>
      <c r="J74" s="48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ht="22.5" customHeight="1" x14ac:dyDescent="0.35">
      <c r="A75" s="44"/>
      <c r="B75" s="48"/>
      <c r="C75" s="207" t="s">
        <v>289</v>
      </c>
      <c r="D75" s="47" t="s">
        <v>288</v>
      </c>
      <c r="E75" s="82">
        <v>350</v>
      </c>
      <c r="F75" s="82">
        <f>E75*35</f>
        <v>12250</v>
      </c>
      <c r="G75" s="58" t="s">
        <v>132</v>
      </c>
      <c r="H75" s="47" t="s">
        <v>84</v>
      </c>
      <c r="I75" s="47">
        <v>32</v>
      </c>
      <c r="J75" s="47"/>
      <c r="K75" s="47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22"/>
      <c r="AK75" s="18"/>
      <c r="AL75" s="2"/>
      <c r="AM75" s="2"/>
    </row>
    <row r="76" spans="1:39" s="77" customFormat="1" ht="18.75" customHeight="1" x14ac:dyDescent="0.35">
      <c r="A76" s="66"/>
      <c r="B76" s="67"/>
      <c r="C76" s="205" t="s">
        <v>149</v>
      </c>
      <c r="D76" s="68" t="s">
        <v>150</v>
      </c>
      <c r="E76" s="69">
        <v>250</v>
      </c>
      <c r="F76" s="69">
        <f>250*20</f>
        <v>5000</v>
      </c>
      <c r="G76" s="96" t="s">
        <v>89</v>
      </c>
      <c r="H76" s="68" t="s">
        <v>84</v>
      </c>
      <c r="I76" s="68"/>
      <c r="J76" s="68"/>
      <c r="K76" s="6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05" t="s">
        <v>310</v>
      </c>
      <c r="D77" s="68" t="s">
        <v>152</v>
      </c>
      <c r="E77" s="69">
        <v>350</v>
      </c>
      <c r="F77" s="69">
        <f>E77*100</f>
        <v>35000</v>
      </c>
      <c r="G77" s="96" t="s">
        <v>89</v>
      </c>
      <c r="H77" s="68" t="s">
        <v>84</v>
      </c>
      <c r="I77" s="68">
        <v>100</v>
      </c>
      <c r="J77" s="68"/>
      <c r="K77" s="68">
        <v>100</v>
      </c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s="77" customFormat="1" ht="18.75" customHeight="1" x14ac:dyDescent="0.35">
      <c r="A78" s="66"/>
      <c r="B78" s="67"/>
      <c r="C78" s="205" t="s">
        <v>153</v>
      </c>
      <c r="D78" s="68" t="s">
        <v>154</v>
      </c>
      <c r="E78" s="69">
        <v>70</v>
      </c>
      <c r="F78" s="69">
        <f>300*70</f>
        <v>21000</v>
      </c>
      <c r="G78" s="96" t="s">
        <v>89</v>
      </c>
      <c r="H78" s="68" t="s">
        <v>84</v>
      </c>
      <c r="I78" s="68">
        <v>50</v>
      </c>
      <c r="J78" s="68">
        <v>50</v>
      </c>
      <c r="K78" s="68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5"/>
      <c r="AK78" s="75"/>
      <c r="AL78" s="97"/>
      <c r="AM78" s="97"/>
    </row>
    <row r="79" spans="1:39" ht="22.5" customHeight="1" x14ac:dyDescent="0.35">
      <c r="A79" s="44"/>
      <c r="B79" s="48"/>
      <c r="C79" s="207" t="s">
        <v>155</v>
      </c>
      <c r="D79" s="47" t="s">
        <v>156</v>
      </c>
      <c r="E79" s="82">
        <v>200</v>
      </c>
      <c r="F79" s="82">
        <f>E79*1000</f>
        <v>200000</v>
      </c>
      <c r="G79" s="58" t="s">
        <v>132</v>
      </c>
      <c r="H79" s="47" t="s">
        <v>84</v>
      </c>
      <c r="I79" s="47"/>
      <c r="J79" s="47"/>
      <c r="K79" s="47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199" t="s">
        <v>157</v>
      </c>
      <c r="D80" s="81" t="s">
        <v>158</v>
      </c>
      <c r="E80" s="46">
        <v>4000</v>
      </c>
      <c r="F80" s="82">
        <f>E80</f>
        <v>4000</v>
      </c>
      <c r="G80" s="58"/>
      <c r="H80" s="47"/>
      <c r="I80" s="47">
        <v>2</v>
      </c>
      <c r="J80" s="4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15.75" customHeight="1" x14ac:dyDescent="0.35">
      <c r="A81" s="44"/>
      <c r="B81" s="45"/>
      <c r="C81" s="199" t="s">
        <v>159</v>
      </c>
      <c r="D81" s="47" t="s">
        <v>158</v>
      </c>
      <c r="E81" s="46">
        <v>26000</v>
      </c>
      <c r="F81" s="82">
        <f>E81*4</f>
        <v>104000</v>
      </c>
      <c r="G81" s="58" t="s">
        <v>78</v>
      </c>
      <c r="H81" s="47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20.25" customHeight="1" x14ac:dyDescent="0.35">
      <c r="A82" s="44"/>
      <c r="B82" s="45"/>
      <c r="C82" s="199" t="s">
        <v>160</v>
      </c>
      <c r="D82" s="293" t="s">
        <v>77</v>
      </c>
      <c r="E82" s="46">
        <v>15000</v>
      </c>
      <c r="F82" s="310">
        <f>E82*2+E83*2+E84*4</f>
        <v>71000</v>
      </c>
      <c r="G82" s="312" t="s">
        <v>132</v>
      </c>
      <c r="H82" s="293" t="s">
        <v>84</v>
      </c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  <c r="AL82" s="2"/>
      <c r="AM82" s="2"/>
    </row>
    <row r="83" spans="1:39" ht="15.75" customHeight="1" x14ac:dyDescent="0.35">
      <c r="A83" s="44"/>
      <c r="B83" s="45"/>
      <c r="C83" s="197" t="s">
        <v>161</v>
      </c>
      <c r="D83" s="297"/>
      <c r="E83" s="46">
        <v>6500</v>
      </c>
      <c r="F83" s="297"/>
      <c r="G83" s="297"/>
      <c r="H83" s="297"/>
      <c r="I83" s="47">
        <v>2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162</v>
      </c>
      <c r="D84" s="298"/>
      <c r="E84" s="46">
        <v>7000</v>
      </c>
      <c r="F84" s="298"/>
      <c r="G84" s="298"/>
      <c r="H84" s="298"/>
      <c r="I84" s="47">
        <v>4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</row>
    <row r="85" spans="1:39" ht="15.75" customHeight="1" x14ac:dyDescent="0.35">
      <c r="A85" s="44"/>
      <c r="B85" s="45"/>
      <c r="C85" s="199" t="s">
        <v>163</v>
      </c>
      <c r="D85" s="47" t="s">
        <v>150</v>
      </c>
      <c r="E85" s="46">
        <v>500</v>
      </c>
      <c r="F85" s="46">
        <f>E85*20</f>
        <v>10000</v>
      </c>
      <c r="G85" s="58" t="s">
        <v>78</v>
      </c>
      <c r="H85" s="47" t="s">
        <v>84</v>
      </c>
      <c r="I85" s="47">
        <v>20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2"/>
      <c r="AM85" s="2"/>
    </row>
    <row r="86" spans="1:39" ht="15.75" customHeight="1" x14ac:dyDescent="0.35">
      <c r="A86" s="44"/>
      <c r="B86" s="45"/>
      <c r="C86" s="199" t="s">
        <v>164</v>
      </c>
      <c r="D86" s="307" t="s">
        <v>77</v>
      </c>
      <c r="E86" s="46">
        <v>10000</v>
      </c>
      <c r="F86" s="319">
        <f>(E86*3)+(E87*20)</f>
        <v>70000</v>
      </c>
      <c r="G86" s="291" t="s">
        <v>78</v>
      </c>
      <c r="H86" s="47" t="s">
        <v>84</v>
      </c>
      <c r="I86" s="47">
        <v>3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165</v>
      </c>
      <c r="D87" s="289"/>
      <c r="E87" s="46">
        <v>2000</v>
      </c>
      <c r="F87" s="289"/>
      <c r="G87" s="289"/>
      <c r="H87" s="47" t="s">
        <v>84</v>
      </c>
      <c r="I87" s="47">
        <v>20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44"/>
      <c r="B88" s="48"/>
      <c r="C88" s="207" t="s">
        <v>166</v>
      </c>
      <c r="D88" s="98" t="s">
        <v>136</v>
      </c>
      <c r="E88" s="46">
        <v>10000</v>
      </c>
      <c r="F88" s="46">
        <f>E88*2</f>
        <v>20000</v>
      </c>
      <c r="G88" s="58" t="s">
        <v>78</v>
      </c>
      <c r="H88" s="47" t="s">
        <v>84</v>
      </c>
      <c r="I88" s="47">
        <v>1</v>
      </c>
      <c r="J88" s="47"/>
      <c r="K88" s="47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22"/>
      <c r="AK88" s="18"/>
      <c r="AL88" s="65"/>
      <c r="AM88" s="65"/>
    </row>
    <row r="89" spans="1:39" ht="15.75" customHeight="1" x14ac:dyDescent="0.35">
      <c r="A89" s="91"/>
      <c r="B89" s="92"/>
      <c r="C89" s="99" t="s">
        <v>167</v>
      </c>
      <c r="D89" s="47" t="s">
        <v>168</v>
      </c>
      <c r="E89" s="100">
        <v>200</v>
      </c>
      <c r="F89" s="101">
        <f>E89*400</f>
        <v>80000</v>
      </c>
      <c r="G89" s="58" t="s">
        <v>78</v>
      </c>
      <c r="H89" s="47" t="s">
        <v>84</v>
      </c>
      <c r="I89" s="37">
        <v>100</v>
      </c>
      <c r="J89" s="37">
        <v>200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99" t="s">
        <v>169</v>
      </c>
      <c r="D90" s="47" t="s">
        <v>152</v>
      </c>
      <c r="E90" s="100">
        <v>400</v>
      </c>
      <c r="F90" s="101">
        <f>E90*100</f>
        <v>40000</v>
      </c>
      <c r="G90" s="58" t="s">
        <v>78</v>
      </c>
      <c r="H90" s="81" t="s">
        <v>84</v>
      </c>
      <c r="I90" s="35"/>
      <c r="J90" s="37"/>
      <c r="K90" s="37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99" t="s">
        <v>170</v>
      </c>
      <c r="D91" s="293" t="s">
        <v>77</v>
      </c>
      <c r="E91" s="351">
        <f>550*2</f>
        <v>1100</v>
      </c>
      <c r="F91" s="320">
        <f>SUM(E91:E112)</f>
        <v>124711</v>
      </c>
      <c r="G91" s="312" t="s">
        <v>132</v>
      </c>
      <c r="H91" s="296" t="s">
        <v>84</v>
      </c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99" t="s">
        <v>171</v>
      </c>
      <c r="D92" s="294"/>
      <c r="E92" s="100">
        <f>600</f>
        <v>600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99" t="s">
        <v>172</v>
      </c>
      <c r="D93" s="294"/>
      <c r="E93" s="100">
        <v>6785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99" t="s">
        <v>173</v>
      </c>
      <c r="D94" s="294"/>
      <c r="E94" s="100">
        <v>3055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99" t="s">
        <v>174</v>
      </c>
      <c r="D95" s="294"/>
      <c r="E95" s="100">
        <v>1055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99" t="s">
        <v>175</v>
      </c>
      <c r="D96" s="294"/>
      <c r="E96" s="100">
        <f>455*4</f>
        <v>1820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99" t="s">
        <v>176</v>
      </c>
      <c r="D97" s="294"/>
      <c r="E97" s="100">
        <v>2100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99" t="s">
        <v>177</v>
      </c>
      <c r="D98" s="294"/>
      <c r="E98" s="100">
        <f>355*4</f>
        <v>1420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99" t="s">
        <v>178</v>
      </c>
      <c r="D99" s="294"/>
      <c r="E99" s="100">
        <f>325*30</f>
        <v>9750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99" t="s">
        <v>179</v>
      </c>
      <c r="D100" s="294"/>
      <c r="E100" s="100">
        <f>285*3</f>
        <v>855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99" t="s">
        <v>180</v>
      </c>
      <c r="D101" s="294"/>
      <c r="E101" s="100">
        <f>250*16</f>
        <v>4000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99" t="s">
        <v>181</v>
      </c>
      <c r="D102" s="294"/>
      <c r="E102" s="100">
        <f>65*5</f>
        <v>325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99" t="s">
        <v>182</v>
      </c>
      <c r="D103" s="294"/>
      <c r="E103" s="100">
        <f>35*40</f>
        <v>1400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99" t="s">
        <v>183</v>
      </c>
      <c r="D104" s="294"/>
      <c r="E104" s="100">
        <f>170*14</f>
        <v>2380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99" t="s">
        <v>184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99" t="s">
        <v>185</v>
      </c>
      <c r="D106" s="294"/>
      <c r="E106" s="100">
        <f>80*4</f>
        <v>320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99" t="s">
        <v>186</v>
      </c>
      <c r="D107" s="294"/>
      <c r="E107" s="100">
        <f>72*8</f>
        <v>576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99" t="s">
        <v>187</v>
      </c>
      <c r="D108" s="294"/>
      <c r="E108" s="100">
        <f>85*160</f>
        <v>13600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99" t="s">
        <v>188</v>
      </c>
      <c r="D109" s="294"/>
      <c r="E109" s="100">
        <f>50*2</f>
        <v>100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99" t="s">
        <v>189</v>
      </c>
      <c r="D110" s="294"/>
      <c r="E110" s="100">
        <f>60*150</f>
        <v>9000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99" t="s">
        <v>190</v>
      </c>
      <c r="D111" s="294"/>
      <c r="E111" s="100">
        <f>85*30</f>
        <v>2550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91"/>
      <c r="B112" s="92"/>
      <c r="C112" s="99" t="s">
        <v>191</v>
      </c>
      <c r="D112" s="352"/>
      <c r="E112" s="353">
        <f>770*80</f>
        <v>61600</v>
      </c>
      <c r="F112" s="354"/>
      <c r="G112" s="355"/>
      <c r="H112" s="301"/>
      <c r="I112" s="35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40"/>
      <c r="AJ112" s="41"/>
      <c r="AK112" s="42"/>
      <c r="AL112" s="95"/>
      <c r="AM112" s="95"/>
    </row>
    <row r="113" spans="1:39" ht="15.75" customHeight="1" x14ac:dyDescent="0.35">
      <c r="A113" s="91"/>
      <c r="B113" s="92"/>
      <c r="C113" s="99" t="s">
        <v>321</v>
      </c>
      <c r="D113" s="356" t="s">
        <v>152</v>
      </c>
      <c r="E113" s="357">
        <v>300</v>
      </c>
      <c r="F113" s="358">
        <f>E113*100</f>
        <v>30000</v>
      </c>
      <c r="G113" s="359"/>
      <c r="H113" s="360"/>
      <c r="I113" s="47">
        <v>100</v>
      </c>
      <c r="J113" s="3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40"/>
      <c r="AJ113" s="41"/>
      <c r="AK113" s="42"/>
      <c r="AL113" s="95"/>
      <c r="AM113" s="95"/>
    </row>
    <row r="114" spans="1:39" ht="15.75" customHeight="1" x14ac:dyDescent="0.35">
      <c r="A114" s="91"/>
      <c r="B114" s="92"/>
      <c r="C114" s="99" t="s">
        <v>322</v>
      </c>
      <c r="D114" s="356" t="s">
        <v>325</v>
      </c>
      <c r="E114" s="357">
        <v>2000</v>
      </c>
      <c r="F114" s="358">
        <f>E114*10</f>
        <v>20000</v>
      </c>
      <c r="G114" s="359"/>
      <c r="H114" s="360"/>
      <c r="I114" s="47">
        <v>10</v>
      </c>
      <c r="J114" s="37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40"/>
      <c r="AJ114" s="41"/>
      <c r="AK114" s="42"/>
      <c r="AL114" s="95"/>
      <c r="AM114" s="95"/>
    </row>
    <row r="115" spans="1:39" ht="15.75" customHeight="1" x14ac:dyDescent="0.35">
      <c r="A115" s="91"/>
      <c r="B115" s="92"/>
      <c r="C115" s="99" t="s">
        <v>323</v>
      </c>
      <c r="D115" s="356" t="s">
        <v>324</v>
      </c>
      <c r="E115" s="357">
        <v>500</v>
      </c>
      <c r="F115" s="358">
        <f>E115*50</f>
        <v>25000</v>
      </c>
      <c r="G115" s="359"/>
      <c r="H115" s="360"/>
      <c r="I115" s="47">
        <v>50</v>
      </c>
      <c r="J115" s="37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40"/>
      <c r="AJ115" s="41"/>
      <c r="AK115" s="42"/>
      <c r="AL115" s="95"/>
      <c r="AM115" s="95"/>
    </row>
    <row r="116" spans="1:39" ht="15.75" customHeight="1" x14ac:dyDescent="0.35">
      <c r="A116" s="28" t="s">
        <v>192</v>
      </c>
      <c r="B116" s="78"/>
      <c r="C116" s="214" t="s">
        <v>193</v>
      </c>
      <c r="D116" s="29"/>
      <c r="E116" s="31"/>
      <c r="F116" s="32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33"/>
      <c r="AJ116" s="22"/>
      <c r="AK116" s="18"/>
    </row>
    <row r="117" spans="1:39" ht="15.75" customHeight="1" x14ac:dyDescent="0.35">
      <c r="A117" s="44"/>
      <c r="B117" s="45"/>
      <c r="C117" s="199" t="s">
        <v>194</v>
      </c>
      <c r="D117" s="58" t="s">
        <v>144</v>
      </c>
      <c r="E117" s="46">
        <v>10000</v>
      </c>
      <c r="F117" s="82">
        <f>E117*2</f>
        <v>20000</v>
      </c>
      <c r="G117" s="58" t="s">
        <v>195</v>
      </c>
      <c r="H117" s="47" t="s">
        <v>79</v>
      </c>
      <c r="I117" s="47">
        <v>1</v>
      </c>
      <c r="J117" s="47">
        <v>1</v>
      </c>
      <c r="K117" s="47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</row>
    <row r="118" spans="1:39" ht="15.75" customHeight="1" x14ac:dyDescent="0.35">
      <c r="A118" s="44"/>
      <c r="B118" s="45"/>
      <c r="C118" s="199" t="s">
        <v>316</v>
      </c>
      <c r="D118" s="58" t="s">
        <v>291</v>
      </c>
      <c r="E118" s="46">
        <v>10000</v>
      </c>
      <c r="F118" s="82">
        <f>E118*20</f>
        <v>200000</v>
      </c>
      <c r="G118" s="58"/>
      <c r="H118" s="47"/>
      <c r="I118" s="47">
        <v>2</v>
      </c>
      <c r="J118" s="47">
        <v>2</v>
      </c>
      <c r="K118" s="47">
        <v>2</v>
      </c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28" t="s">
        <v>196</v>
      </c>
      <c r="B119" s="78"/>
      <c r="C119" s="226" t="s">
        <v>197</v>
      </c>
      <c r="D119" s="29"/>
      <c r="E119" s="31"/>
      <c r="F119" s="31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33"/>
      <c r="AJ119" s="41"/>
      <c r="AK119" s="42"/>
      <c r="AL119" s="43"/>
      <c r="AM119" s="43"/>
    </row>
    <row r="120" spans="1:39" ht="15.75" customHeight="1" x14ac:dyDescent="0.35">
      <c r="A120" s="44"/>
      <c r="B120" s="45"/>
      <c r="C120" s="199" t="s">
        <v>198</v>
      </c>
      <c r="D120" s="102" t="s">
        <v>199</v>
      </c>
      <c r="E120" s="46">
        <v>25000</v>
      </c>
      <c r="F120" s="82">
        <f t="shared" ref="F120" si="0">E120*1</f>
        <v>25000</v>
      </c>
      <c r="G120" s="58" t="s">
        <v>78</v>
      </c>
      <c r="H120" s="47" t="s">
        <v>84</v>
      </c>
      <c r="I120" s="47">
        <v>1</v>
      </c>
      <c r="J120" s="47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  <c r="AL120" s="65"/>
      <c r="AM120" s="65"/>
    </row>
    <row r="121" spans="1:39" ht="15.75" customHeight="1" x14ac:dyDescent="0.35">
      <c r="A121" s="44"/>
      <c r="B121" s="45"/>
      <c r="C121" s="199" t="s">
        <v>305</v>
      </c>
      <c r="D121" s="330" t="s">
        <v>144</v>
      </c>
      <c r="E121" s="46">
        <v>4000</v>
      </c>
      <c r="F121" s="310">
        <f>(E121*2)+(E122*2)</f>
        <v>16000</v>
      </c>
      <c r="G121" s="58" t="s">
        <v>78</v>
      </c>
      <c r="H121" s="47" t="s">
        <v>84</v>
      </c>
      <c r="I121" s="47">
        <v>2</v>
      </c>
      <c r="J121" s="47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15.75" customHeight="1" x14ac:dyDescent="0.35">
      <c r="A122" s="44"/>
      <c r="B122" s="45"/>
      <c r="C122" s="199" t="s">
        <v>303</v>
      </c>
      <c r="D122" s="347"/>
      <c r="E122" s="46">
        <v>4000</v>
      </c>
      <c r="F122" s="323"/>
      <c r="G122" s="58" t="s">
        <v>78</v>
      </c>
      <c r="H122" s="47" t="s">
        <v>84</v>
      </c>
      <c r="I122" s="47">
        <v>2</v>
      </c>
      <c r="J122" s="47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15.75" customHeight="1" x14ac:dyDescent="0.35">
      <c r="A123" s="44"/>
      <c r="B123" s="45"/>
      <c r="C123" s="200" t="s">
        <v>200</v>
      </c>
      <c r="D123" s="330" t="s">
        <v>144</v>
      </c>
      <c r="E123" s="46">
        <v>500</v>
      </c>
      <c r="F123" s="310">
        <f>(E123*30)+(E124*20)</f>
        <v>45000</v>
      </c>
      <c r="G123" s="58" t="s">
        <v>78</v>
      </c>
      <c r="H123" s="47" t="s">
        <v>84</v>
      </c>
      <c r="I123" s="47">
        <v>30</v>
      </c>
      <c r="J123" s="47"/>
      <c r="K123" s="47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22"/>
      <c r="AK123" s="18"/>
    </row>
    <row r="124" spans="1:39" ht="15.75" customHeight="1" x14ac:dyDescent="0.35">
      <c r="A124" s="44"/>
      <c r="B124" s="45"/>
      <c r="C124" s="200" t="s">
        <v>309</v>
      </c>
      <c r="D124" s="347"/>
      <c r="E124" s="46">
        <v>1500</v>
      </c>
      <c r="F124" s="323"/>
      <c r="G124" s="58"/>
      <c r="H124" s="47"/>
      <c r="I124" s="47"/>
      <c r="J124" s="47"/>
      <c r="K124" s="47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9"/>
      <c r="AJ124" s="22"/>
      <c r="AK124" s="18"/>
    </row>
    <row r="125" spans="1:39" ht="15.75" customHeight="1" x14ac:dyDescent="0.35">
      <c r="A125" s="44"/>
      <c r="B125" s="45"/>
      <c r="C125" s="200" t="s">
        <v>202</v>
      </c>
      <c r="D125" s="102" t="s">
        <v>203</v>
      </c>
      <c r="E125" s="46">
        <v>50</v>
      </c>
      <c r="F125" s="82">
        <f>E125*500</f>
        <v>25000</v>
      </c>
      <c r="G125" s="58" t="s">
        <v>78</v>
      </c>
      <c r="H125" s="47" t="s">
        <v>84</v>
      </c>
      <c r="I125" s="47">
        <v>500</v>
      </c>
      <c r="J125" s="47"/>
      <c r="K125" s="47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9"/>
      <c r="AJ125" s="22"/>
      <c r="AK125" s="18"/>
    </row>
    <row r="126" spans="1:39" ht="26.25" customHeight="1" x14ac:dyDescent="0.35">
      <c r="A126" s="44"/>
      <c r="B126" s="45"/>
      <c r="C126" s="199" t="s">
        <v>204</v>
      </c>
      <c r="D126" s="47" t="s">
        <v>205</v>
      </c>
      <c r="E126" s="46">
        <v>50000</v>
      </c>
      <c r="F126" s="82">
        <f>E126</f>
        <v>50000</v>
      </c>
      <c r="G126" s="103" t="s">
        <v>132</v>
      </c>
      <c r="H126" s="81" t="s">
        <v>206</v>
      </c>
      <c r="I126" s="47"/>
      <c r="J126" s="47">
        <v>200</v>
      </c>
      <c r="K126" s="47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9"/>
      <c r="AJ126" s="22"/>
      <c r="AK126" s="18"/>
    </row>
    <row r="127" spans="1:39" ht="26.25" customHeight="1" x14ac:dyDescent="0.35">
      <c r="A127" s="44"/>
      <c r="B127" s="45"/>
      <c r="C127" s="215" t="s">
        <v>297</v>
      </c>
      <c r="D127" s="62" t="s">
        <v>296</v>
      </c>
      <c r="E127" s="46">
        <v>500</v>
      </c>
      <c r="F127" s="192">
        <f>E127*500</f>
        <v>250000</v>
      </c>
      <c r="G127" s="103" t="s">
        <v>132</v>
      </c>
      <c r="H127" s="81"/>
      <c r="I127" s="47">
        <v>500</v>
      </c>
      <c r="J127" s="47"/>
      <c r="K127" s="47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9"/>
      <c r="AJ127" s="22"/>
      <c r="AK127" s="18"/>
    </row>
    <row r="128" spans="1:39" ht="26.25" customHeight="1" x14ac:dyDescent="0.35">
      <c r="A128" s="84"/>
      <c r="B128" s="89"/>
      <c r="C128" s="208" t="s">
        <v>207</v>
      </c>
      <c r="D128" s="98" t="s">
        <v>295</v>
      </c>
      <c r="E128" s="86">
        <v>250</v>
      </c>
      <c r="F128" s="104">
        <f>E128*1500</f>
        <v>375000</v>
      </c>
      <c r="G128" s="105" t="s">
        <v>132</v>
      </c>
      <c r="H128" s="47" t="s">
        <v>84</v>
      </c>
      <c r="I128" s="88">
        <v>1500</v>
      </c>
      <c r="J128" s="88"/>
      <c r="K128" s="88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90"/>
      <c r="AJ128" s="41"/>
      <c r="AK128" s="42"/>
      <c r="AL128" s="43"/>
      <c r="AM128" s="43"/>
    </row>
    <row r="129" spans="1:39" ht="26.25" customHeight="1" x14ac:dyDescent="0.35">
      <c r="A129" s="84"/>
      <c r="B129" s="89"/>
      <c r="C129" s="208" t="s">
        <v>208</v>
      </c>
      <c r="D129" s="106" t="s">
        <v>209</v>
      </c>
      <c r="E129" s="86">
        <v>200</v>
      </c>
      <c r="F129" s="107">
        <f>E129*150</f>
        <v>30000</v>
      </c>
      <c r="G129" s="108" t="s">
        <v>132</v>
      </c>
      <c r="H129" s="47" t="s">
        <v>84</v>
      </c>
      <c r="I129" s="88">
        <v>150</v>
      </c>
      <c r="J129" s="88"/>
      <c r="K129" s="88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90"/>
      <c r="AJ129" s="41"/>
      <c r="AK129" s="42"/>
      <c r="AL129" s="43"/>
      <c r="AM129" s="43"/>
    </row>
    <row r="130" spans="1:39" ht="15.75" customHeight="1" x14ac:dyDescent="0.35">
      <c r="A130" s="84"/>
      <c r="B130" s="89"/>
      <c r="C130" s="208" t="s">
        <v>210</v>
      </c>
      <c r="D130" s="324" t="s">
        <v>77</v>
      </c>
      <c r="E130" s="86">
        <v>300</v>
      </c>
      <c r="F130" s="325">
        <f>SUM(E130*1500)+(E131*150)</f>
        <v>487500</v>
      </c>
      <c r="G130" s="326" t="s">
        <v>132</v>
      </c>
      <c r="H130" s="324" t="s">
        <v>84</v>
      </c>
      <c r="I130" s="88">
        <v>1500</v>
      </c>
      <c r="J130" s="88"/>
      <c r="K130" s="88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90"/>
      <c r="AJ130" s="41"/>
      <c r="AK130" s="42"/>
      <c r="AL130" s="43"/>
      <c r="AM130" s="43"/>
    </row>
    <row r="131" spans="1:39" ht="15.75" customHeight="1" x14ac:dyDescent="0.35">
      <c r="A131" s="84"/>
      <c r="B131" s="89"/>
      <c r="C131" s="208" t="s">
        <v>211</v>
      </c>
      <c r="D131" s="289"/>
      <c r="E131" s="86">
        <v>250</v>
      </c>
      <c r="F131" s="289"/>
      <c r="G131" s="289"/>
      <c r="H131" s="289"/>
      <c r="I131" s="88">
        <v>150</v>
      </c>
      <c r="J131" s="88"/>
      <c r="K131" s="88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90"/>
      <c r="AJ131" s="41"/>
      <c r="AK131" s="42"/>
      <c r="AL131" s="43"/>
      <c r="AM131" s="43"/>
    </row>
    <row r="132" spans="1:39" ht="22.5" customHeight="1" x14ac:dyDescent="0.35">
      <c r="A132" s="44"/>
      <c r="B132" s="48"/>
      <c r="C132" s="207" t="s">
        <v>212</v>
      </c>
      <c r="D132" s="47" t="s">
        <v>213</v>
      </c>
      <c r="E132" s="46">
        <v>200</v>
      </c>
      <c r="F132" s="82">
        <f>E132*300</f>
        <v>60000</v>
      </c>
      <c r="G132" s="58" t="s">
        <v>132</v>
      </c>
      <c r="H132" s="47" t="s">
        <v>84</v>
      </c>
      <c r="I132" s="47">
        <v>300</v>
      </c>
      <c r="J132" s="47"/>
      <c r="K132" s="47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9"/>
      <c r="AJ132" s="22"/>
      <c r="AK132" s="18"/>
      <c r="AL132" s="2"/>
      <c r="AM132" s="2"/>
    </row>
    <row r="133" spans="1:39" ht="27" customHeight="1" x14ac:dyDescent="0.35">
      <c r="A133" s="44"/>
      <c r="B133" s="48"/>
      <c r="C133" s="207" t="s">
        <v>214</v>
      </c>
      <c r="D133" s="53" t="s">
        <v>215</v>
      </c>
      <c r="E133" s="46">
        <v>110</v>
      </c>
      <c r="F133" s="82">
        <f>E133*1000</f>
        <v>110000</v>
      </c>
      <c r="G133" s="58" t="s">
        <v>132</v>
      </c>
      <c r="H133" s="47" t="s">
        <v>84</v>
      </c>
      <c r="I133" s="47">
        <v>1000</v>
      </c>
      <c r="J133" s="47"/>
      <c r="K133" s="47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9"/>
      <c r="AJ133" s="22"/>
      <c r="AK133" s="18"/>
      <c r="AL133" s="2"/>
      <c r="AM133" s="2"/>
    </row>
    <row r="134" spans="1:39" ht="15.75" customHeight="1" x14ac:dyDescent="0.35">
      <c r="A134" s="28"/>
      <c r="B134" s="29"/>
      <c r="C134" s="216" t="s">
        <v>216</v>
      </c>
      <c r="D134" s="29"/>
      <c r="E134" s="31"/>
      <c r="F134" s="31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33"/>
      <c r="AJ134" s="41"/>
      <c r="AK134" s="42"/>
      <c r="AL134" s="43"/>
      <c r="AM134" s="43"/>
    </row>
    <row r="135" spans="1:39" ht="15.75" customHeight="1" x14ac:dyDescent="0.35">
      <c r="A135" s="109"/>
      <c r="B135" s="48"/>
      <c r="C135" s="207" t="s">
        <v>298</v>
      </c>
      <c r="D135" s="37" t="s">
        <v>144</v>
      </c>
      <c r="E135" s="110">
        <v>5000</v>
      </c>
      <c r="F135" s="110">
        <v>5000</v>
      </c>
      <c r="G135" s="58" t="s">
        <v>89</v>
      </c>
      <c r="H135" s="48"/>
      <c r="I135" s="37">
        <v>1</v>
      </c>
      <c r="J135" s="37">
        <v>1</v>
      </c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9"/>
      <c r="AJ135" s="22"/>
      <c r="AK135" s="18"/>
      <c r="AL135" s="2"/>
      <c r="AM135" s="2"/>
    </row>
    <row r="136" spans="1:39" ht="15.75" customHeight="1" x14ac:dyDescent="0.35">
      <c r="A136" s="28" t="s">
        <v>217</v>
      </c>
      <c r="B136" s="29"/>
      <c r="C136" s="216" t="s">
        <v>218</v>
      </c>
      <c r="D136" s="29"/>
      <c r="E136" s="31"/>
      <c r="F136" s="31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33"/>
      <c r="AJ136" s="41"/>
      <c r="AK136" s="42"/>
      <c r="AL136" s="43"/>
      <c r="AM136" s="43"/>
    </row>
    <row r="137" spans="1:39" s="116" customFormat="1" ht="15.75" customHeight="1" x14ac:dyDescent="0.35">
      <c r="A137" s="111"/>
      <c r="B137" s="112"/>
      <c r="C137" s="217" t="s">
        <v>299</v>
      </c>
      <c r="D137" s="37" t="s">
        <v>286</v>
      </c>
      <c r="E137" s="110">
        <v>25000</v>
      </c>
      <c r="F137" s="114">
        <f>E137*6</f>
        <v>150000</v>
      </c>
      <c r="G137" s="112"/>
      <c r="H137" s="112"/>
      <c r="I137" s="37">
        <v>10</v>
      </c>
      <c r="J137" s="112"/>
      <c r="K137" s="37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5"/>
      <c r="AJ137" s="41"/>
      <c r="AK137" s="42"/>
      <c r="AL137" s="43"/>
      <c r="AM137" s="43"/>
    </row>
    <row r="138" spans="1:39" s="116" customFormat="1" ht="15.75" customHeight="1" x14ac:dyDescent="0.35">
      <c r="A138" s="111"/>
      <c r="B138" s="112"/>
      <c r="C138" s="217" t="s">
        <v>299</v>
      </c>
      <c r="D138" s="37" t="s">
        <v>315</v>
      </c>
      <c r="E138" s="110">
        <v>25000</v>
      </c>
      <c r="F138" s="114">
        <f>E138*2</f>
        <v>50000</v>
      </c>
      <c r="G138" s="112"/>
      <c r="H138" s="112"/>
      <c r="I138" s="37"/>
      <c r="J138" s="112"/>
      <c r="K138" s="37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5"/>
      <c r="AJ138" s="41"/>
      <c r="AK138" s="42"/>
      <c r="AL138" s="43"/>
      <c r="AM138" s="43"/>
    </row>
    <row r="139" spans="1:39" s="116" customFormat="1" ht="15.75" customHeight="1" x14ac:dyDescent="0.35">
      <c r="A139" s="111"/>
      <c r="B139" s="112"/>
      <c r="C139" s="217" t="s">
        <v>299</v>
      </c>
      <c r="D139" s="37" t="s">
        <v>315</v>
      </c>
      <c r="E139" s="110">
        <v>25000</v>
      </c>
      <c r="F139" s="114">
        <f>E139*2</f>
        <v>50000</v>
      </c>
      <c r="G139" s="112"/>
      <c r="H139" s="112"/>
      <c r="I139" s="37"/>
      <c r="J139" s="112"/>
      <c r="K139" s="37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5"/>
      <c r="AJ139" s="41"/>
      <c r="AK139" s="42"/>
      <c r="AL139" s="43"/>
      <c r="AM139" s="43"/>
    </row>
    <row r="140" spans="1:39" ht="15.75" customHeight="1" x14ac:dyDescent="0.35">
      <c r="A140" s="28" t="s">
        <v>217</v>
      </c>
      <c r="B140" s="29"/>
      <c r="C140" s="216" t="s">
        <v>219</v>
      </c>
      <c r="D140" s="29"/>
      <c r="E140" s="31"/>
      <c r="F140" s="31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33"/>
      <c r="AJ140" s="41"/>
      <c r="AK140" s="42"/>
      <c r="AL140" s="43"/>
      <c r="AM140" s="43"/>
    </row>
    <row r="141" spans="1:39" ht="15.75" customHeight="1" x14ac:dyDescent="0.35">
      <c r="A141" s="34"/>
      <c r="B141" s="35"/>
      <c r="C141" s="36" t="s">
        <v>220</v>
      </c>
      <c r="D141" s="37" t="s">
        <v>221</v>
      </c>
      <c r="E141" s="110">
        <v>5000</v>
      </c>
      <c r="F141" s="110">
        <f>E141*10</f>
        <v>50000</v>
      </c>
      <c r="G141" s="39" t="s">
        <v>222</v>
      </c>
      <c r="H141" s="37"/>
      <c r="I141" s="37">
        <v>3</v>
      </c>
      <c r="J141" s="37">
        <v>3</v>
      </c>
      <c r="K141" s="37">
        <v>4</v>
      </c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40"/>
      <c r="AJ141" s="41"/>
      <c r="AK141" s="42"/>
      <c r="AL141" s="43"/>
      <c r="AM141" s="43"/>
    </row>
    <row r="142" spans="1:39" ht="26.25" customHeight="1" x14ac:dyDescent="0.35">
      <c r="A142" s="34"/>
      <c r="B142" s="35"/>
      <c r="C142" s="117" t="s">
        <v>223</v>
      </c>
      <c r="D142" s="37" t="s">
        <v>77</v>
      </c>
      <c r="E142" s="110">
        <v>150000</v>
      </c>
      <c r="F142" s="110">
        <f>E142</f>
        <v>150000</v>
      </c>
      <c r="G142" s="58" t="s">
        <v>132</v>
      </c>
      <c r="H142" s="37"/>
      <c r="I142" s="37"/>
      <c r="J142" s="37">
        <v>1</v>
      </c>
      <c r="K142" s="39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40"/>
      <c r="AJ142" s="41"/>
      <c r="AK142" s="42"/>
      <c r="AL142" s="43"/>
      <c r="AM142" s="43"/>
    </row>
    <row r="143" spans="1:39" s="127" customFormat="1" ht="13.5" customHeight="1" x14ac:dyDescent="0.35">
      <c r="A143" s="118"/>
      <c r="B143" s="118"/>
      <c r="C143" s="119" t="s">
        <v>224</v>
      </c>
      <c r="D143" s="120" t="s">
        <v>77</v>
      </c>
      <c r="E143" s="121">
        <v>37000</v>
      </c>
      <c r="F143" s="122">
        <f>E143</f>
        <v>37000</v>
      </c>
      <c r="G143" s="120"/>
      <c r="H143" s="123"/>
      <c r="I143" s="124"/>
      <c r="J143" s="124">
        <v>1</v>
      </c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6"/>
      <c r="AK143" s="126"/>
    </row>
    <row r="144" spans="1:39" s="127" customFormat="1" ht="13.5" customHeight="1" x14ac:dyDescent="0.35">
      <c r="A144" s="118"/>
      <c r="B144" s="118"/>
      <c r="C144" s="119" t="s">
        <v>224</v>
      </c>
      <c r="D144" s="313" t="s">
        <v>77</v>
      </c>
      <c r="E144" s="121">
        <v>200000</v>
      </c>
      <c r="F144" s="316">
        <f>E144+E145+E146</f>
        <v>300000</v>
      </c>
      <c r="G144" s="313" t="s">
        <v>222</v>
      </c>
      <c r="H144" s="123"/>
      <c r="I144" s="124">
        <v>1</v>
      </c>
      <c r="J144" s="124"/>
      <c r="K144" s="128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6"/>
      <c r="AK144" s="126"/>
    </row>
    <row r="145" spans="1:39" s="127" customFormat="1" ht="13.5" customHeight="1" x14ac:dyDescent="0.35">
      <c r="A145" s="118"/>
      <c r="B145" s="118"/>
      <c r="C145" s="119" t="s">
        <v>224</v>
      </c>
      <c r="D145" s="314"/>
      <c r="E145" s="121">
        <v>50000</v>
      </c>
      <c r="F145" s="317"/>
      <c r="G145" s="314"/>
      <c r="H145" s="123"/>
      <c r="I145" s="124">
        <v>1</v>
      </c>
      <c r="J145" s="124"/>
      <c r="K145" s="128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6"/>
      <c r="AK145" s="126"/>
    </row>
    <row r="146" spans="1:39" s="127" customFormat="1" ht="13.5" customHeight="1" x14ac:dyDescent="0.35">
      <c r="A146" s="118"/>
      <c r="B146" s="118"/>
      <c r="C146" s="193" t="s">
        <v>224</v>
      </c>
      <c r="D146" s="315"/>
      <c r="E146" s="121">
        <v>50000</v>
      </c>
      <c r="F146" s="318"/>
      <c r="G146" s="315"/>
      <c r="H146" s="123"/>
      <c r="I146" s="124">
        <v>1</v>
      </c>
      <c r="J146" s="124"/>
      <c r="K146" s="128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6"/>
      <c r="AK146" s="126"/>
    </row>
    <row r="147" spans="1:39" s="127" customFormat="1" ht="13.5" customHeight="1" x14ac:dyDescent="0.35">
      <c r="A147" s="118"/>
      <c r="B147" s="118"/>
      <c r="C147" s="193" t="s">
        <v>317</v>
      </c>
      <c r="D147" s="120" t="s">
        <v>77</v>
      </c>
      <c r="E147" s="121">
        <v>600</v>
      </c>
      <c r="F147" s="122">
        <f>E147*200</f>
        <v>120000</v>
      </c>
      <c r="G147" s="120"/>
      <c r="H147" s="123"/>
      <c r="I147" s="124">
        <v>1</v>
      </c>
      <c r="J147" s="124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6"/>
      <c r="AK147" s="126"/>
    </row>
    <row r="148" spans="1:39" s="127" customFormat="1" ht="13.5" customHeight="1" x14ac:dyDescent="0.35">
      <c r="A148" s="129"/>
      <c r="B148" s="194"/>
      <c r="C148" s="195" t="s">
        <v>287</v>
      </c>
      <c r="D148" s="120" t="s">
        <v>77</v>
      </c>
      <c r="E148" s="130">
        <v>100000</v>
      </c>
      <c r="F148" s="131">
        <v>85000</v>
      </c>
      <c r="G148" s="120"/>
      <c r="H148" s="123"/>
      <c r="I148" s="132">
        <v>1</v>
      </c>
      <c r="J148" s="132"/>
      <c r="K148" s="133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5"/>
      <c r="AJ148" s="126"/>
      <c r="AK148" s="126"/>
    </row>
    <row r="149" spans="1:39" ht="15.75" customHeight="1" x14ac:dyDescent="0.35">
      <c r="A149" s="28" t="s">
        <v>225</v>
      </c>
      <c r="B149" s="29"/>
      <c r="C149" s="216" t="s">
        <v>226</v>
      </c>
      <c r="D149" s="29"/>
      <c r="E149" s="31"/>
      <c r="F149" s="31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33"/>
      <c r="AJ149" s="41"/>
      <c r="AK149" s="42"/>
      <c r="AL149" s="43"/>
      <c r="AM149" s="43"/>
    </row>
    <row r="150" spans="1:39" ht="15.75" customHeight="1" x14ac:dyDescent="0.35">
      <c r="A150" s="34"/>
      <c r="B150" s="35"/>
      <c r="C150" s="36" t="s">
        <v>227</v>
      </c>
      <c r="D150" s="37" t="s">
        <v>285</v>
      </c>
      <c r="E150" s="110">
        <v>2500</v>
      </c>
      <c r="F150" s="110">
        <f>E150*1</f>
        <v>2500</v>
      </c>
      <c r="G150" s="39" t="s">
        <v>222</v>
      </c>
      <c r="H150" s="37" t="s">
        <v>79</v>
      </c>
      <c r="I150" s="88"/>
      <c r="J150" s="88">
        <v>1</v>
      </c>
      <c r="K150" s="88">
        <v>1</v>
      </c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40"/>
      <c r="AJ150" s="41"/>
      <c r="AK150" s="42"/>
      <c r="AL150" s="95"/>
      <c r="AM150" s="95"/>
    </row>
    <row r="151" spans="1:39" ht="15.75" customHeight="1" x14ac:dyDescent="0.35">
      <c r="A151" s="44"/>
      <c r="B151" s="48"/>
      <c r="C151" s="207" t="s">
        <v>228</v>
      </c>
      <c r="D151" s="47" t="s">
        <v>144</v>
      </c>
      <c r="E151" s="46">
        <v>350</v>
      </c>
      <c r="F151" s="46">
        <f>E151*2</f>
        <v>700</v>
      </c>
      <c r="G151" s="58" t="s">
        <v>89</v>
      </c>
      <c r="H151" s="47" t="s">
        <v>79</v>
      </c>
      <c r="I151" s="88">
        <v>1</v>
      </c>
      <c r="J151" s="88">
        <v>1</v>
      </c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9"/>
      <c r="AJ151" s="22"/>
      <c r="AK151" s="18"/>
    </row>
    <row r="152" spans="1:39" ht="15.75" customHeight="1" x14ac:dyDescent="0.35">
      <c r="A152" s="28" t="s">
        <v>229</v>
      </c>
      <c r="B152" s="29"/>
      <c r="C152" s="216" t="s">
        <v>230</v>
      </c>
      <c r="D152" s="29"/>
      <c r="E152" s="31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33"/>
      <c r="AJ152" s="22"/>
      <c r="AK152" s="18"/>
    </row>
    <row r="153" spans="1:39" ht="15.75" customHeight="1" x14ac:dyDescent="0.35">
      <c r="A153" s="44"/>
      <c r="B153" s="48"/>
      <c r="C153" s="207" t="s">
        <v>231</v>
      </c>
      <c r="D153" s="88" t="s">
        <v>77</v>
      </c>
      <c r="E153" s="46">
        <v>3000000</v>
      </c>
      <c r="F153" s="46">
        <f>E153*1</f>
        <v>3000000</v>
      </c>
      <c r="G153" s="58" t="s">
        <v>232</v>
      </c>
      <c r="H153" s="47" t="s">
        <v>233</v>
      </c>
      <c r="I153" s="47">
        <v>1</v>
      </c>
      <c r="J153" s="47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</row>
    <row r="154" spans="1:39" ht="15.75" customHeight="1" x14ac:dyDescent="0.35">
      <c r="A154" s="28"/>
      <c r="B154" s="29"/>
      <c r="C154" s="218" t="s">
        <v>234</v>
      </c>
      <c r="D154" s="29"/>
      <c r="E154" s="31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33"/>
      <c r="AJ154" s="22"/>
      <c r="AK154" s="18"/>
    </row>
    <row r="155" spans="1:39" s="116" customFormat="1" ht="15.75" customHeight="1" x14ac:dyDescent="0.35">
      <c r="A155" s="111"/>
      <c r="B155" s="112"/>
      <c r="C155" s="113" t="s">
        <v>235</v>
      </c>
      <c r="D155" s="136" t="s">
        <v>77</v>
      </c>
      <c r="E155" s="100">
        <v>400000</v>
      </c>
      <c r="F155" s="137">
        <f>E155</f>
        <v>400000</v>
      </c>
      <c r="G155" s="138"/>
      <c r="H155" s="139" t="s">
        <v>236</v>
      </c>
      <c r="I155" s="47">
        <v>1</v>
      </c>
      <c r="J155" s="112"/>
      <c r="K155" s="47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5"/>
      <c r="AJ155" s="140"/>
      <c r="AK155" s="141"/>
    </row>
    <row r="156" spans="1:39" ht="15.75" customHeight="1" x14ac:dyDescent="0.35">
      <c r="A156" s="109"/>
      <c r="B156" s="48"/>
      <c r="C156" s="209" t="s">
        <v>237</v>
      </c>
      <c r="D156" s="327" t="s">
        <v>77</v>
      </c>
      <c r="E156" s="328">
        <v>12500</v>
      </c>
      <c r="F156" s="328">
        <f>E156*1</f>
        <v>12500</v>
      </c>
      <c r="G156" s="329"/>
      <c r="H156" s="293" t="s">
        <v>236</v>
      </c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9"/>
      <c r="AJ156" s="22"/>
      <c r="AK156" s="18"/>
    </row>
    <row r="157" spans="1:39" ht="15.75" customHeight="1" x14ac:dyDescent="0.35">
      <c r="A157" s="109"/>
      <c r="B157" s="48"/>
      <c r="C157" s="207" t="s">
        <v>238</v>
      </c>
      <c r="D157" s="297"/>
      <c r="E157" s="297"/>
      <c r="F157" s="297"/>
      <c r="G157" s="297"/>
      <c r="H157" s="297"/>
      <c r="I157" s="48"/>
      <c r="J157" s="47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</row>
    <row r="158" spans="1:39" ht="15.75" customHeight="1" x14ac:dyDescent="0.35">
      <c r="A158" s="44"/>
      <c r="B158" s="48"/>
      <c r="C158" s="207" t="s">
        <v>239</v>
      </c>
      <c r="D158" s="298"/>
      <c r="E158" s="298"/>
      <c r="F158" s="298"/>
      <c r="G158" s="298"/>
      <c r="H158" s="298"/>
      <c r="I158" s="47"/>
      <c r="J158" s="47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9"/>
      <c r="AJ158" s="22"/>
      <c r="AK158" s="18"/>
    </row>
    <row r="159" spans="1:39" ht="15.75" customHeight="1" x14ac:dyDescent="0.35">
      <c r="A159" s="28" t="s">
        <v>240</v>
      </c>
      <c r="B159" s="29"/>
      <c r="C159" s="214" t="s">
        <v>241</v>
      </c>
      <c r="D159" s="29"/>
      <c r="E159" s="31"/>
      <c r="F159" s="32"/>
      <c r="G159" s="29"/>
      <c r="H159" s="29"/>
      <c r="I159" s="142"/>
      <c r="J159" s="142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33"/>
      <c r="AJ159" s="41"/>
      <c r="AK159" s="42"/>
      <c r="AL159" s="43"/>
      <c r="AM159" s="43"/>
    </row>
    <row r="160" spans="1:39" ht="15.75" customHeight="1" x14ac:dyDescent="0.35">
      <c r="A160" s="44"/>
      <c r="B160" s="48"/>
      <c r="C160" s="210" t="s">
        <v>242</v>
      </c>
      <c r="D160" s="312" t="s">
        <v>77</v>
      </c>
      <c r="E160" s="310">
        <v>200000</v>
      </c>
      <c r="F160" s="310">
        <f>E160</f>
        <v>200000</v>
      </c>
      <c r="G160" s="291" t="s">
        <v>132</v>
      </c>
      <c r="H160" s="291" t="s">
        <v>243</v>
      </c>
      <c r="I160" s="330"/>
      <c r="J160" s="102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9"/>
      <c r="AJ160" s="22"/>
      <c r="AK160" s="18"/>
      <c r="AL160" s="2"/>
      <c r="AM160" s="2"/>
    </row>
    <row r="161" spans="1:39" ht="22.5" customHeight="1" x14ac:dyDescent="0.35">
      <c r="A161" s="44"/>
      <c r="B161" s="48"/>
      <c r="C161" s="211" t="s">
        <v>244</v>
      </c>
      <c r="D161" s="297"/>
      <c r="E161" s="297"/>
      <c r="F161" s="297"/>
      <c r="G161" s="308"/>
      <c r="H161" s="308"/>
      <c r="I161" s="297"/>
      <c r="J161" s="102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9"/>
      <c r="AJ161" s="22"/>
      <c r="AK161" s="18"/>
      <c r="AL161" s="2"/>
      <c r="AM161" s="2"/>
    </row>
    <row r="162" spans="1:39" ht="24" customHeight="1" x14ac:dyDescent="0.35">
      <c r="A162" s="44"/>
      <c r="B162" s="48"/>
      <c r="C162" s="202" t="s">
        <v>245</v>
      </c>
      <c r="D162" s="297"/>
      <c r="E162" s="297"/>
      <c r="F162" s="297"/>
      <c r="G162" s="308"/>
      <c r="H162" s="308"/>
      <c r="I162" s="297"/>
      <c r="J162" s="102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9"/>
      <c r="AJ162" s="22"/>
      <c r="AK162" s="18"/>
      <c r="AL162" s="2"/>
      <c r="AM162" s="2"/>
    </row>
    <row r="163" spans="1:39" ht="24" customHeight="1" x14ac:dyDescent="0.35">
      <c r="A163" s="44"/>
      <c r="B163" s="48"/>
      <c r="C163" s="202" t="s">
        <v>246</v>
      </c>
      <c r="D163" s="298"/>
      <c r="E163" s="298"/>
      <c r="F163" s="298"/>
      <c r="G163" s="308"/>
      <c r="H163" s="308"/>
      <c r="I163" s="298"/>
      <c r="J163" s="102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9"/>
      <c r="AJ163" s="22"/>
      <c r="AK163" s="18"/>
    </row>
    <row r="164" spans="1:39" ht="15.75" customHeight="1" x14ac:dyDescent="0.35">
      <c r="A164" s="44"/>
      <c r="B164" s="45"/>
      <c r="C164" s="199" t="s">
        <v>247</v>
      </c>
      <c r="D164" s="136" t="s">
        <v>77</v>
      </c>
      <c r="E164" s="46">
        <v>542000</v>
      </c>
      <c r="F164" s="143">
        <f t="shared" ref="F164:F165" si="1">E164</f>
        <v>542000</v>
      </c>
      <c r="G164" s="312" t="s">
        <v>248</v>
      </c>
      <c r="H164" s="296" t="s">
        <v>79</v>
      </c>
      <c r="I164" s="47">
        <v>1</v>
      </c>
      <c r="J164" s="47"/>
      <c r="K164" s="47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9"/>
      <c r="AJ164" s="22"/>
      <c r="AK164" s="18"/>
      <c r="AL164" s="2"/>
      <c r="AM164" s="2"/>
    </row>
    <row r="165" spans="1:39" ht="15.75" customHeight="1" x14ac:dyDescent="0.35">
      <c r="A165" s="44"/>
      <c r="B165" s="45"/>
      <c r="C165" s="199" t="s">
        <v>249</v>
      </c>
      <c r="D165" s="53" t="s">
        <v>77</v>
      </c>
      <c r="E165" s="46">
        <v>550000</v>
      </c>
      <c r="F165" s="229">
        <f t="shared" si="1"/>
        <v>550000</v>
      </c>
      <c r="G165" s="331"/>
      <c r="H165" s="332"/>
      <c r="I165" s="47">
        <v>1</v>
      </c>
      <c r="J165" s="47"/>
      <c r="K165" s="47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9"/>
      <c r="AJ165" s="22"/>
      <c r="AK165" s="18"/>
      <c r="AL165" s="2"/>
      <c r="AM165" s="2"/>
    </row>
    <row r="166" spans="1:39" ht="15.75" customHeight="1" x14ac:dyDescent="0.35">
      <c r="A166" s="144" t="s">
        <v>229</v>
      </c>
      <c r="B166" s="145"/>
      <c r="C166" s="219" t="s">
        <v>250</v>
      </c>
      <c r="D166" s="146"/>
      <c r="E166" s="147"/>
      <c r="F166" s="148"/>
      <c r="G166" s="149"/>
      <c r="H166" s="150"/>
      <c r="I166" s="150"/>
      <c r="J166" s="150"/>
      <c r="K166" s="150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148"/>
      <c r="AE166" s="148"/>
      <c r="AF166" s="148"/>
      <c r="AG166" s="148"/>
      <c r="AH166" s="148"/>
      <c r="AI166" s="151"/>
      <c r="AJ166" s="22"/>
      <c r="AK166" s="18"/>
    </row>
    <row r="167" spans="1:39" ht="22.5" customHeight="1" x14ac:dyDescent="0.35">
      <c r="A167" s="152"/>
      <c r="B167" s="153"/>
      <c r="C167" s="212" t="s">
        <v>251</v>
      </c>
      <c r="D167" s="53" t="s">
        <v>252</v>
      </c>
      <c r="E167" s="154">
        <v>15000</v>
      </c>
      <c r="F167" s="154">
        <f t="shared" ref="F167:F168" si="2">E167</f>
        <v>15000</v>
      </c>
      <c r="G167" s="50" t="s">
        <v>132</v>
      </c>
      <c r="H167" s="53" t="s">
        <v>243</v>
      </c>
      <c r="I167" s="53"/>
      <c r="J167" s="53"/>
      <c r="K167" s="53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155"/>
      <c r="AJ167" s="156"/>
      <c r="AK167" s="157"/>
      <c r="AL167" s="158"/>
      <c r="AM167" s="158"/>
    </row>
    <row r="168" spans="1:39" ht="24.75" customHeight="1" thickBot="1" x14ac:dyDescent="0.4">
      <c r="A168" s="243"/>
      <c r="B168" s="244"/>
      <c r="C168" s="240" t="s">
        <v>253</v>
      </c>
      <c r="D168" s="220" t="s">
        <v>136</v>
      </c>
      <c r="E168" s="223">
        <v>35000</v>
      </c>
      <c r="F168" s="223">
        <f t="shared" si="2"/>
        <v>35000</v>
      </c>
      <c r="G168" s="224" t="s">
        <v>132</v>
      </c>
      <c r="H168" s="220" t="s">
        <v>84</v>
      </c>
      <c r="I168" s="222"/>
      <c r="J168" s="222"/>
      <c r="K168" s="222"/>
      <c r="L168" s="225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4"/>
      <c r="AJ168" s="41"/>
      <c r="AK168" s="42"/>
      <c r="AL168" s="43"/>
      <c r="AM168" s="43"/>
    </row>
    <row r="169" spans="1:39" ht="24.75" customHeight="1" thickBot="1" x14ac:dyDescent="0.4">
      <c r="A169" s="241"/>
      <c r="B169" s="242"/>
      <c r="C169" s="246" t="s">
        <v>314</v>
      </c>
      <c r="D169" s="235" t="s">
        <v>313</v>
      </c>
      <c r="E169" s="236">
        <v>5500</v>
      </c>
      <c r="F169" s="236">
        <f>E169*2</f>
        <v>11000</v>
      </c>
      <c r="G169" s="237"/>
      <c r="H169" s="235"/>
      <c r="I169" s="220">
        <v>2</v>
      </c>
      <c r="J169" s="220"/>
      <c r="K169" s="220"/>
      <c r="L169" s="221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4"/>
      <c r="AJ169" s="41"/>
      <c r="AK169" s="42"/>
      <c r="AL169" s="43"/>
      <c r="AM169" s="43"/>
    </row>
    <row r="170" spans="1:39" ht="27" customHeight="1" thickBot="1" x14ac:dyDescent="0.4">
      <c r="A170" s="247" t="s">
        <v>254</v>
      </c>
      <c r="B170" s="248"/>
      <c r="C170" s="245" t="s">
        <v>255</v>
      </c>
      <c r="D170" s="333" t="s">
        <v>77</v>
      </c>
      <c r="E170" s="335">
        <v>20000</v>
      </c>
      <c r="F170" s="335">
        <v>20000</v>
      </c>
      <c r="G170" s="336" t="s">
        <v>132</v>
      </c>
      <c r="H170" s="333" t="s">
        <v>84</v>
      </c>
      <c r="I170" s="220"/>
      <c r="J170" s="220"/>
      <c r="K170" s="220"/>
      <c r="L170" s="221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4"/>
      <c r="AJ170" s="41"/>
      <c r="AK170" s="42"/>
      <c r="AL170" s="43"/>
      <c r="AM170" s="43"/>
    </row>
    <row r="171" spans="1:39" ht="25.5" customHeight="1" thickBot="1" x14ac:dyDescent="0.4">
      <c r="A171" s="247" t="s">
        <v>256</v>
      </c>
      <c r="B171" s="248"/>
      <c r="C171" s="239" t="s">
        <v>257</v>
      </c>
      <c r="D171" s="297"/>
      <c r="E171" s="297"/>
      <c r="F171" s="297"/>
      <c r="G171" s="297"/>
      <c r="H171" s="297"/>
      <c r="I171" s="220"/>
      <c r="J171" s="220"/>
      <c r="K171" s="220"/>
      <c r="L171" s="221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4"/>
      <c r="AJ171" s="41"/>
      <c r="AK171" s="42"/>
      <c r="AL171" s="43"/>
      <c r="AM171" s="43"/>
    </row>
    <row r="172" spans="1:39" ht="27" customHeight="1" thickBot="1" x14ac:dyDescent="0.4">
      <c r="A172" s="241" t="s">
        <v>258</v>
      </c>
      <c r="B172" s="242"/>
      <c r="C172" s="238" t="s">
        <v>259</v>
      </c>
      <c r="D172" s="297"/>
      <c r="E172" s="297"/>
      <c r="F172" s="297"/>
      <c r="G172" s="297"/>
      <c r="H172" s="297"/>
      <c r="I172" s="220"/>
      <c r="J172" s="220"/>
      <c r="K172" s="220"/>
      <c r="L172" s="221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4"/>
      <c r="AJ172" s="41"/>
      <c r="AK172" s="42"/>
      <c r="AL172" s="43"/>
      <c r="AM172" s="43"/>
    </row>
    <row r="173" spans="1:39" ht="27.75" customHeight="1" thickBot="1" x14ac:dyDescent="0.4">
      <c r="A173" s="159" t="s">
        <v>260</v>
      </c>
      <c r="B173" s="160"/>
      <c r="C173" s="165" t="s">
        <v>261</v>
      </c>
      <c r="D173" s="334"/>
      <c r="E173" s="334"/>
      <c r="F173" s="334"/>
      <c r="G173" s="334"/>
      <c r="H173" s="334"/>
      <c r="I173" s="162"/>
      <c r="J173" s="162"/>
      <c r="K173" s="162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4"/>
      <c r="AJ173" s="41"/>
      <c r="AK173" s="42"/>
      <c r="AL173" s="43"/>
      <c r="AM173" s="43"/>
    </row>
    <row r="174" spans="1:39" ht="15.75" customHeight="1" x14ac:dyDescent="0.35">
      <c r="A174" s="167"/>
      <c r="B174" s="168"/>
      <c r="C174" s="213"/>
      <c r="D174" s="169"/>
      <c r="E174" s="170"/>
      <c r="F174" s="171"/>
      <c r="G174" s="172"/>
      <c r="H174" s="172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2"/>
      <c r="AK174" s="2"/>
    </row>
    <row r="175" spans="1:39" ht="15.75" customHeight="1" thickBot="1" x14ac:dyDescent="0.4">
      <c r="A175" s="173" t="s">
        <v>262</v>
      </c>
      <c r="B175" s="168"/>
      <c r="C175" s="168"/>
      <c r="D175" s="337">
        <f>SUM(F12:F172)</f>
        <v>10273811</v>
      </c>
      <c r="E175" s="338"/>
      <c r="F175" s="338"/>
      <c r="G175" s="172"/>
      <c r="H175" s="172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2"/>
      <c r="AK175" s="2"/>
    </row>
    <row r="176" spans="1:39" ht="15.75" hidden="1" customHeight="1" x14ac:dyDescent="0.35">
      <c r="A176" s="174" t="s">
        <v>263</v>
      </c>
      <c r="B176" s="175"/>
      <c r="C176" s="175"/>
      <c r="D176" s="339">
        <f>PRODUCT(D175,0.1)</f>
        <v>1027381.1000000001</v>
      </c>
      <c r="E176" s="288"/>
      <c r="F176" s="289"/>
      <c r="G176" s="172"/>
      <c r="H176" s="172"/>
      <c r="I176" s="340"/>
      <c r="J176" s="283"/>
      <c r="K176" s="340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176"/>
      <c r="AI176" s="18"/>
      <c r="AJ176" s="2"/>
      <c r="AK176" s="2"/>
    </row>
    <row r="177" spans="1:37" ht="15.75" hidden="1" customHeight="1" x14ac:dyDescent="0.35">
      <c r="A177" s="177" t="s">
        <v>264</v>
      </c>
      <c r="B177" s="54"/>
      <c r="C177" s="54"/>
      <c r="D177" s="341">
        <f>PRODUCT(D175,0.1)</f>
        <v>1027381.1000000001</v>
      </c>
      <c r="E177" s="342"/>
      <c r="F177" s="343"/>
      <c r="G177" s="172"/>
      <c r="H177" s="172"/>
      <c r="I177" s="18"/>
      <c r="J177" s="18"/>
      <c r="K177" s="344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178"/>
      <c r="AI177" s="18"/>
      <c r="AJ177" s="2"/>
      <c r="AK177" s="2"/>
    </row>
    <row r="178" spans="1:37" ht="15.75" hidden="1" customHeight="1" x14ac:dyDescent="0.35">
      <c r="A178" s="177" t="s">
        <v>265</v>
      </c>
      <c r="B178" s="54"/>
      <c r="C178" s="54"/>
      <c r="D178" s="341">
        <f>SUM(D175:F177)</f>
        <v>12328573.199999999</v>
      </c>
      <c r="E178" s="342"/>
      <c r="F178" s="343"/>
      <c r="G178" s="172"/>
      <c r="H178" s="172"/>
      <c r="I178" s="18"/>
      <c r="J178" s="18"/>
      <c r="K178" s="344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83"/>
      <c r="AB178" s="283"/>
      <c r="AC178" s="283"/>
      <c r="AD178" s="283"/>
      <c r="AE178" s="283"/>
      <c r="AF178" s="283"/>
      <c r="AG178" s="283"/>
      <c r="AH178" s="178"/>
      <c r="AI178" s="18"/>
      <c r="AJ178" s="2"/>
      <c r="AK178" s="2"/>
    </row>
    <row r="179" spans="1:37" ht="15.75" customHeight="1" thickTop="1" x14ac:dyDescent="0.35">
      <c r="A179" s="167"/>
      <c r="B179" s="168"/>
      <c r="C179" s="168"/>
      <c r="D179" s="169"/>
      <c r="E179" s="170"/>
      <c r="F179" s="171"/>
      <c r="G179" s="172"/>
      <c r="H179" s="172"/>
      <c r="I179" s="18"/>
      <c r="J179" s="18"/>
      <c r="K179" s="344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178"/>
      <c r="AI179" s="18"/>
      <c r="AJ179" s="2"/>
      <c r="AK179" s="2"/>
    </row>
    <row r="180" spans="1:37" ht="15.75" customHeight="1" x14ac:dyDescent="0.35">
      <c r="A180" s="179" t="s">
        <v>266</v>
      </c>
      <c r="B180" s="168"/>
      <c r="C180" s="168"/>
      <c r="D180" s="169"/>
      <c r="E180" s="170"/>
      <c r="F180" s="171"/>
      <c r="G180" s="172"/>
      <c r="H180" s="172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2"/>
      <c r="AK180" s="2"/>
    </row>
    <row r="181" spans="1:37" ht="15.75" customHeight="1" x14ac:dyDescent="0.35">
      <c r="A181" s="168"/>
      <c r="B181" s="168"/>
      <c r="C181" s="168"/>
      <c r="D181" s="169"/>
      <c r="E181" s="170"/>
      <c r="F181" s="171"/>
      <c r="G181" s="172"/>
      <c r="H181" s="172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2"/>
      <c r="AK181" s="2"/>
    </row>
    <row r="182" spans="1:37" ht="15.75" customHeight="1" x14ac:dyDescent="0.35">
      <c r="A182" s="180" t="s">
        <v>267</v>
      </c>
      <c r="B182" s="11"/>
      <c r="C182" s="11"/>
      <c r="D182" s="181" t="s">
        <v>268</v>
      </c>
      <c r="E182" s="182"/>
      <c r="F182" s="183"/>
      <c r="G182" s="184" t="s">
        <v>269</v>
      </c>
      <c r="H182" s="2"/>
      <c r="I182" s="2"/>
      <c r="J182" s="184" t="s">
        <v>270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185"/>
    </row>
    <row r="183" spans="1:37" ht="15.75" customHeight="1" x14ac:dyDescent="0.35">
      <c r="A183" s="180"/>
      <c r="B183" s="11"/>
      <c r="C183" s="11"/>
      <c r="D183" s="186"/>
      <c r="E183" s="182"/>
      <c r="F183" s="183"/>
      <c r="G183" s="187"/>
      <c r="H183" s="18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85"/>
      <c r="AK183" s="185"/>
    </row>
    <row r="184" spans="1:37" ht="15.75" customHeight="1" x14ac:dyDescent="0.35">
      <c r="A184" s="11"/>
      <c r="B184" s="11"/>
      <c r="C184" s="11"/>
      <c r="D184" s="186"/>
      <c r="E184" s="182"/>
      <c r="F184" s="183"/>
      <c r="G184" s="187"/>
      <c r="H184" s="18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185"/>
      <c r="AK184" s="185"/>
    </row>
    <row r="185" spans="1:37" ht="15.75" customHeight="1" x14ac:dyDescent="0.35">
      <c r="A185" s="345" t="s">
        <v>271</v>
      </c>
      <c r="B185" s="283"/>
      <c r="C185" s="283"/>
      <c r="D185" s="184" t="s">
        <v>272</v>
      </c>
      <c r="E185" s="188"/>
      <c r="F185" s="183"/>
      <c r="G185" s="184" t="s">
        <v>273</v>
      </c>
      <c r="H185" s="2"/>
      <c r="I185" s="2"/>
      <c r="J185" s="184" t="s">
        <v>274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" customHeight="1" x14ac:dyDescent="0.35">
      <c r="A186" s="346" t="s">
        <v>275</v>
      </c>
      <c r="B186" s="283"/>
      <c r="C186" s="283"/>
      <c r="D186" s="2" t="s">
        <v>276</v>
      </c>
      <c r="E186" s="188"/>
      <c r="F186" s="183"/>
      <c r="G186" s="2" t="s">
        <v>277</v>
      </c>
      <c r="H186" s="2"/>
      <c r="I186" s="2"/>
      <c r="J186" s="2" t="s">
        <v>278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185"/>
      <c r="AK186" s="185"/>
    </row>
    <row r="187" spans="1:37" ht="15.75" customHeight="1" x14ac:dyDescent="0.35">
      <c r="A187" s="2"/>
      <c r="B187" s="2"/>
      <c r="C187" s="2"/>
      <c r="D187" s="2"/>
      <c r="E187" s="188"/>
      <c r="F187" s="18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35">
      <c r="A188" s="2" t="s">
        <v>284</v>
      </c>
      <c r="B188" s="2"/>
      <c r="C188" s="2"/>
      <c r="D188" s="2" t="s">
        <v>279</v>
      </c>
      <c r="E188" s="188"/>
      <c r="F188" s="183"/>
      <c r="G188" s="2" t="s">
        <v>279</v>
      </c>
      <c r="H188" s="2"/>
      <c r="I188" s="2"/>
      <c r="J188" s="2" t="s">
        <v>279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35">
      <c r="D189" s="2"/>
      <c r="E189" s="188"/>
      <c r="F189" s="18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7" ht="15.75" customHeight="1" x14ac:dyDescent="0.35">
      <c r="D190" s="189" t="s">
        <v>280</v>
      </c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A191" s="18"/>
      <c r="B191" s="18"/>
      <c r="C191" s="18"/>
      <c r="D191" s="169"/>
      <c r="E191" s="170"/>
      <c r="F191" s="171"/>
      <c r="G191" s="172"/>
      <c r="H191" s="172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</row>
    <row r="192" spans="1:37" ht="15.75" customHeight="1" x14ac:dyDescent="0.35">
      <c r="A192" s="18"/>
      <c r="B192" s="18"/>
      <c r="C192" s="18"/>
      <c r="D192" s="169"/>
      <c r="E192" s="170"/>
      <c r="F192" s="171"/>
      <c r="G192" s="172"/>
      <c r="H192" s="172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</row>
    <row r="193" spans="4:35" ht="15.75" customHeight="1" x14ac:dyDescent="0.35">
      <c r="D193" s="186"/>
      <c r="E193" s="182"/>
      <c r="F193" s="183"/>
      <c r="G193" s="187"/>
      <c r="H193" s="18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4:35" ht="15.75" customHeight="1" x14ac:dyDescent="0.35">
      <c r="D194" s="186"/>
      <c r="E194" s="182"/>
      <c r="F194" s="183"/>
      <c r="G194" s="187"/>
      <c r="H194" s="18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4:35" ht="15.75" customHeight="1" x14ac:dyDescent="0.35">
      <c r="D195" s="186"/>
      <c r="E195" s="182"/>
      <c r="F195" s="183"/>
      <c r="G195" s="187"/>
      <c r="H195" s="18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4:35" ht="15.75" customHeight="1" x14ac:dyDescent="0.35">
      <c r="D196" s="186"/>
      <c r="E196" s="182"/>
      <c r="F196" s="183"/>
      <c r="G196" s="187"/>
      <c r="H196" s="18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4:35" ht="15.75" customHeight="1" x14ac:dyDescent="0.35">
      <c r="D197" s="186"/>
      <c r="E197" s="182"/>
      <c r="F197" s="183"/>
      <c r="G197" s="187"/>
      <c r="H197" s="18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4:35" ht="15.75" customHeight="1" x14ac:dyDescent="0.35">
      <c r="D198" s="186"/>
      <c r="E198" s="182"/>
      <c r="F198" s="183"/>
      <c r="G198" s="187"/>
      <c r="H198" s="18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4:35" ht="15.75" customHeight="1" x14ac:dyDescent="0.35">
      <c r="D199" s="186"/>
      <c r="E199" s="182"/>
      <c r="F199" s="183"/>
      <c r="G199" s="187"/>
      <c r="H199" s="18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4:35" ht="15.75" customHeight="1" x14ac:dyDescent="0.35">
      <c r="D200" s="186"/>
      <c r="E200" s="182"/>
      <c r="F200" s="183"/>
      <c r="G200" s="187"/>
      <c r="H200" s="18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4:35" ht="15.75" customHeight="1" x14ac:dyDescent="0.35">
      <c r="D201" s="186"/>
      <c r="E201" s="190"/>
      <c r="H201" s="191"/>
    </row>
    <row r="202" spans="4:35" ht="15.75" customHeight="1" x14ac:dyDescent="0.35">
      <c r="D202" s="186"/>
      <c r="E202" s="190"/>
      <c r="H202" s="191"/>
    </row>
    <row r="203" spans="4:35" ht="15.75" customHeight="1" x14ac:dyDescent="0.35">
      <c r="D203" s="186"/>
      <c r="E203" s="190"/>
      <c r="H203" s="191"/>
    </row>
    <row r="204" spans="4:35" ht="15.75" customHeight="1" x14ac:dyDescent="0.35">
      <c r="D204" s="186"/>
      <c r="E204" s="190"/>
      <c r="H204" s="191"/>
    </row>
    <row r="205" spans="4:35" ht="15.75" customHeight="1" x14ac:dyDescent="0.35">
      <c r="D205" s="186"/>
      <c r="E205" s="190"/>
      <c r="H205" s="191"/>
    </row>
    <row r="206" spans="4:35" ht="15.75" customHeight="1" x14ac:dyDescent="0.35">
      <c r="D206" s="186"/>
      <c r="E206" s="190"/>
      <c r="H206" s="191"/>
    </row>
    <row r="207" spans="4:35" ht="15.75" customHeight="1" x14ac:dyDescent="0.35">
      <c r="D207" s="186"/>
      <c r="E207" s="190"/>
      <c r="H207" s="191"/>
    </row>
    <row r="208" spans="4:35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>
      <c r="D380" s="186"/>
      <c r="E380" s="190"/>
      <c r="H380" s="191"/>
    </row>
    <row r="381" spans="4:8" ht="15.75" customHeight="1" x14ac:dyDescent="0.35">
      <c r="D381" s="186"/>
      <c r="E381" s="190"/>
      <c r="H381" s="191"/>
    </row>
    <row r="382" spans="4:8" ht="15.75" customHeight="1" x14ac:dyDescent="0.35">
      <c r="D382" s="186"/>
      <c r="E382" s="190"/>
      <c r="H382" s="191"/>
    </row>
    <row r="383" spans="4:8" ht="15.75" customHeight="1" x14ac:dyDescent="0.35">
      <c r="D383" s="186"/>
      <c r="E383" s="190"/>
      <c r="H383" s="191"/>
    </row>
    <row r="384" spans="4:8" ht="15.75" customHeight="1" x14ac:dyDescent="0.35">
      <c r="D384" s="186"/>
      <c r="E384" s="190"/>
      <c r="H384" s="191"/>
    </row>
    <row r="385" spans="4:8" ht="15.75" customHeight="1" x14ac:dyDescent="0.35">
      <c r="D385" s="186"/>
      <c r="E385" s="190"/>
      <c r="H385" s="191"/>
    </row>
    <row r="386" spans="4:8" ht="15.75" customHeight="1" x14ac:dyDescent="0.35">
      <c r="D386" s="186"/>
      <c r="E386" s="190"/>
      <c r="H386" s="191"/>
    </row>
    <row r="387" spans="4:8" ht="15.75" customHeight="1" x14ac:dyDescent="0.35">
      <c r="D387" s="186"/>
      <c r="E387" s="190"/>
      <c r="H387" s="191"/>
    </row>
    <row r="388" spans="4:8" ht="15.75" customHeight="1" x14ac:dyDescent="0.35">
      <c r="D388" s="186"/>
      <c r="E388" s="190"/>
      <c r="H388" s="191"/>
    </row>
    <row r="389" spans="4:8" ht="15.75" customHeight="1" x14ac:dyDescent="0.35"/>
    <row r="390" spans="4:8" ht="15.75" customHeight="1" x14ac:dyDescent="0.35"/>
    <row r="391" spans="4:8" ht="15.75" customHeight="1" x14ac:dyDescent="0.35"/>
    <row r="392" spans="4:8" ht="15.75" customHeight="1" x14ac:dyDescent="0.35"/>
    <row r="393" spans="4:8" ht="15.75" customHeight="1" x14ac:dyDescent="0.35"/>
    <row r="394" spans="4:8" ht="15.75" customHeight="1" x14ac:dyDescent="0.35"/>
    <row r="395" spans="4:8" ht="15.75" customHeight="1" x14ac:dyDescent="0.35"/>
    <row r="396" spans="4:8" ht="15.75" customHeight="1" x14ac:dyDescent="0.35"/>
    <row r="397" spans="4:8" ht="15.75" customHeight="1" x14ac:dyDescent="0.35"/>
    <row r="398" spans="4:8" ht="15.75" customHeight="1" x14ac:dyDescent="0.35"/>
    <row r="399" spans="4:8" ht="15.75" customHeight="1" x14ac:dyDescent="0.35"/>
    <row r="400" spans="4:8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  <row r="1060" ht="15.75" customHeight="1" x14ac:dyDescent="0.35"/>
    <row r="1061" ht="15.75" customHeight="1" x14ac:dyDescent="0.35"/>
    <row r="1062" ht="15.75" customHeight="1" x14ac:dyDescent="0.35"/>
  </sheetData>
  <mergeCells count="90">
    <mergeCell ref="D178:F178"/>
    <mergeCell ref="K178:AG178"/>
    <mergeCell ref="K179:AG179"/>
    <mergeCell ref="A185:C185"/>
    <mergeCell ref="A186:C186"/>
    <mergeCell ref="D175:F175"/>
    <mergeCell ref="D176:F176"/>
    <mergeCell ref="I176:J176"/>
    <mergeCell ref="K176:AG176"/>
    <mergeCell ref="D177:F177"/>
    <mergeCell ref="K177:AG177"/>
    <mergeCell ref="I160:I163"/>
    <mergeCell ref="G164:G165"/>
    <mergeCell ref="H164:H165"/>
    <mergeCell ref="D170:D173"/>
    <mergeCell ref="E170:E173"/>
    <mergeCell ref="F170:F173"/>
    <mergeCell ref="G170:G173"/>
    <mergeCell ref="H170:H173"/>
    <mergeCell ref="H156:H158"/>
    <mergeCell ref="D160:D163"/>
    <mergeCell ref="E160:E163"/>
    <mergeCell ref="F160:F163"/>
    <mergeCell ref="G160:G163"/>
    <mergeCell ref="H160:H163"/>
    <mergeCell ref="D144:D146"/>
    <mergeCell ref="F144:F146"/>
    <mergeCell ref="G144:G146"/>
    <mergeCell ref="D156:D158"/>
    <mergeCell ref="E156:E158"/>
    <mergeCell ref="F156:F158"/>
    <mergeCell ref="G156:G158"/>
    <mergeCell ref="H91:H112"/>
    <mergeCell ref="D121:D122"/>
    <mergeCell ref="F121:F122"/>
    <mergeCell ref="D123:D124"/>
    <mergeCell ref="F123:F124"/>
    <mergeCell ref="D130:D131"/>
    <mergeCell ref="F130:F131"/>
    <mergeCell ref="G130:G131"/>
    <mergeCell ref="H130:H131"/>
    <mergeCell ref="D86:D87"/>
    <mergeCell ref="F86:F87"/>
    <mergeCell ref="G86:G87"/>
    <mergeCell ref="D91:D112"/>
    <mergeCell ref="F91:F112"/>
    <mergeCell ref="G91:G112"/>
    <mergeCell ref="D61:D62"/>
    <mergeCell ref="F61:F62"/>
    <mergeCell ref="G61:G62"/>
    <mergeCell ref="H61:H62"/>
    <mergeCell ref="D82:D84"/>
    <mergeCell ref="F82:F84"/>
    <mergeCell ref="G82:G84"/>
    <mergeCell ref="H82:H84"/>
    <mergeCell ref="D27:D54"/>
    <mergeCell ref="F27:F54"/>
    <mergeCell ref="G27:G54"/>
    <mergeCell ref="H27:H54"/>
    <mergeCell ref="D55:D57"/>
    <mergeCell ref="F55:F57"/>
    <mergeCell ref="G55:G57"/>
    <mergeCell ref="H55:H57"/>
    <mergeCell ref="D18:D20"/>
    <mergeCell ref="F18:F20"/>
    <mergeCell ref="G18:G20"/>
    <mergeCell ref="H18:H20"/>
    <mergeCell ref="D23:D26"/>
    <mergeCell ref="F23:F26"/>
    <mergeCell ref="G23:G26"/>
    <mergeCell ref="H23:H26"/>
    <mergeCell ref="G8:G9"/>
    <mergeCell ref="H8:H9"/>
    <mergeCell ref="I8:AI8"/>
    <mergeCell ref="D13:D15"/>
    <mergeCell ref="F13:F15"/>
    <mergeCell ref="G13:G17"/>
    <mergeCell ref="H13:H17"/>
    <mergeCell ref="D16:D17"/>
    <mergeCell ref="F16:F17"/>
    <mergeCell ref="A1:AI1"/>
    <mergeCell ref="A2:AI2"/>
    <mergeCell ref="A3:AI3"/>
    <mergeCell ref="A4:G4"/>
    <mergeCell ref="A6:G6"/>
    <mergeCell ref="A8:A9"/>
    <mergeCell ref="B8:B9"/>
    <mergeCell ref="C8:C9"/>
    <mergeCell ref="E8:E9"/>
    <mergeCell ref="F8:F9"/>
  </mergeCells>
  <pageMargins left="0.7" right="0.36" top="0.27999999999999997" bottom="0.6" header="0" footer="0"/>
  <pageSetup paperSize="1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1F61-1686-49E3-9A04-9E2CE4210F1A}">
  <sheetPr>
    <pageSetUpPr fitToPage="1"/>
  </sheetPr>
  <dimension ref="A1:AM1059"/>
  <sheetViews>
    <sheetView topLeftCell="C127" workbookViewId="0">
      <selection activeCell="C66" sqref="C66"/>
    </sheetView>
  </sheetViews>
  <sheetFormatPr defaultColWidth="14.453125" defaultRowHeight="15" customHeight="1" x14ac:dyDescent="0.35"/>
  <cols>
    <col min="1" max="1" width="15.453125" style="1" customWidth="1"/>
    <col min="2" max="2" width="10.54296875" style="1" customWidth="1"/>
    <col min="3" max="3" width="59.1796875" style="1" customWidth="1"/>
    <col min="4" max="4" width="15.1796875" style="1" customWidth="1"/>
    <col min="5" max="5" width="13.1796875" style="1" customWidth="1"/>
    <col min="6" max="6" width="12.81640625" style="1" customWidth="1"/>
    <col min="7" max="7" width="25.453125" style="1" customWidth="1"/>
    <col min="8" max="8" width="18.54296875" style="1" customWidth="1"/>
    <col min="9" max="13" width="8.453125" style="1" customWidth="1"/>
    <col min="14" max="34" width="0.453125" style="1" customWidth="1"/>
    <col min="35" max="35" width="24.7265625" style="1" customWidth="1"/>
    <col min="36" max="37" width="8.453125" style="1" customWidth="1"/>
    <col min="38" max="39" width="13.81640625" style="1" customWidth="1"/>
    <col min="40" max="16384" width="14.453125" style="1"/>
  </cols>
  <sheetData>
    <row r="1" spans="1:39" ht="15.5" x14ac:dyDescent="0.35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"/>
      <c r="AK1" s="2"/>
    </row>
    <row r="2" spans="1:39" ht="15.5" x14ac:dyDescent="0.35">
      <c r="A2" s="284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"/>
      <c r="AK2" s="2"/>
    </row>
    <row r="3" spans="1:39" ht="15.5" x14ac:dyDescent="0.35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"/>
      <c r="AK3" s="2"/>
    </row>
    <row r="4" spans="1:39" ht="15.5" x14ac:dyDescent="0.35">
      <c r="A4" s="286" t="s">
        <v>2</v>
      </c>
      <c r="B4" s="283"/>
      <c r="C4" s="283"/>
      <c r="D4" s="283"/>
      <c r="E4" s="283"/>
      <c r="F4" s="283"/>
      <c r="G4" s="28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2"/>
      <c r="AK4" s="2"/>
    </row>
    <row r="5" spans="1:39" ht="15.5" x14ac:dyDescent="0.35">
      <c r="A5" s="6"/>
      <c r="B5" s="4"/>
      <c r="C5" s="4"/>
      <c r="D5" s="7"/>
      <c r="E5" s="8"/>
      <c r="F5" s="9"/>
      <c r="G5" s="10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"/>
      <c r="AK5" s="2"/>
    </row>
    <row r="6" spans="1:39" ht="15.5" x14ac:dyDescent="0.35">
      <c r="A6" s="286" t="s">
        <v>3</v>
      </c>
      <c r="B6" s="283"/>
      <c r="C6" s="283"/>
      <c r="D6" s="283"/>
      <c r="E6" s="283"/>
      <c r="F6" s="283"/>
      <c r="G6" s="28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"/>
      <c r="AK6" s="2"/>
    </row>
    <row r="7" spans="1:39" ht="16" thickBot="1" x14ac:dyDescent="0.4">
      <c r="A7" s="12" t="s">
        <v>4</v>
      </c>
      <c r="B7" s="13"/>
      <c r="C7" s="13"/>
      <c r="D7" s="13"/>
      <c r="E7" s="14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2"/>
      <c r="AK7" s="2"/>
    </row>
    <row r="8" spans="1:39" ht="30.75" customHeight="1" x14ac:dyDescent="0.35">
      <c r="A8" s="276" t="s">
        <v>5</v>
      </c>
      <c r="B8" s="278" t="s">
        <v>6</v>
      </c>
      <c r="C8" s="278" t="s">
        <v>7</v>
      </c>
      <c r="D8" s="16" t="s">
        <v>8</v>
      </c>
      <c r="E8" s="280" t="s">
        <v>9</v>
      </c>
      <c r="F8" s="281" t="s">
        <v>10</v>
      </c>
      <c r="G8" s="278" t="s">
        <v>11</v>
      </c>
      <c r="H8" s="278" t="s">
        <v>12</v>
      </c>
      <c r="I8" s="287" t="s">
        <v>13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9"/>
      <c r="AJ8" s="18"/>
      <c r="AK8" s="18"/>
    </row>
    <row r="9" spans="1:39" ht="30.75" customHeight="1" thickBot="1" x14ac:dyDescent="0.4">
      <c r="A9" s="277"/>
      <c r="B9" s="279"/>
      <c r="C9" s="279"/>
      <c r="D9" s="19" t="s">
        <v>14</v>
      </c>
      <c r="E9" s="279"/>
      <c r="F9" s="279"/>
      <c r="G9" s="279"/>
      <c r="H9" s="279"/>
      <c r="I9" s="19" t="s">
        <v>281</v>
      </c>
      <c r="J9" s="19" t="s">
        <v>282</v>
      </c>
      <c r="K9" s="19" t="s">
        <v>283</v>
      </c>
      <c r="L9" s="20" t="s">
        <v>15</v>
      </c>
      <c r="M9" s="20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19" t="s">
        <v>21</v>
      </c>
      <c r="S9" s="19" t="s">
        <v>22</v>
      </c>
      <c r="T9" s="19" t="s">
        <v>23</v>
      </c>
      <c r="U9" s="19" t="s">
        <v>24</v>
      </c>
      <c r="V9" s="19" t="s">
        <v>25</v>
      </c>
      <c r="W9" s="19" t="s">
        <v>26</v>
      </c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19" t="s">
        <v>34</v>
      </c>
      <c r="AF9" s="19" t="s">
        <v>35</v>
      </c>
      <c r="AG9" s="19" t="s">
        <v>36</v>
      </c>
      <c r="AH9" s="19" t="s">
        <v>37</v>
      </c>
      <c r="AI9" s="21" t="s">
        <v>38</v>
      </c>
      <c r="AJ9" s="22"/>
      <c r="AK9" s="18"/>
    </row>
    <row r="10" spans="1:39" ht="46.5" thickBot="1" x14ac:dyDescent="0.4">
      <c r="A10" s="23" t="s">
        <v>39</v>
      </c>
      <c r="B10" s="24" t="s">
        <v>40</v>
      </c>
      <c r="C10" s="24" t="s">
        <v>41</v>
      </c>
      <c r="D10" s="24" t="s">
        <v>42</v>
      </c>
      <c r="E10" s="25" t="s">
        <v>43</v>
      </c>
      <c r="F10" s="26" t="s">
        <v>44</v>
      </c>
      <c r="G10" s="24" t="s">
        <v>45</v>
      </c>
      <c r="H10" s="24" t="s">
        <v>46</v>
      </c>
      <c r="I10" s="24" t="s">
        <v>47</v>
      </c>
      <c r="J10" s="24" t="s">
        <v>48</v>
      </c>
      <c r="K10" s="24" t="s">
        <v>49</v>
      </c>
      <c r="L10" s="24" t="s">
        <v>50</v>
      </c>
      <c r="M10" s="24" t="s">
        <v>51</v>
      </c>
      <c r="N10" s="24" t="s">
        <v>52</v>
      </c>
      <c r="O10" s="24" t="s">
        <v>53</v>
      </c>
      <c r="P10" s="24" t="s">
        <v>54</v>
      </c>
      <c r="Q10" s="24" t="s">
        <v>55</v>
      </c>
      <c r="R10" s="24" t="s">
        <v>56</v>
      </c>
      <c r="S10" s="24" t="s">
        <v>57</v>
      </c>
      <c r="T10" s="24" t="s">
        <v>58</v>
      </c>
      <c r="U10" s="24" t="s">
        <v>59</v>
      </c>
      <c r="V10" s="24" t="s">
        <v>60</v>
      </c>
      <c r="W10" s="24" t="s">
        <v>61</v>
      </c>
      <c r="X10" s="24" t="s">
        <v>62</v>
      </c>
      <c r="Y10" s="24" t="s">
        <v>63</v>
      </c>
      <c r="Z10" s="24" t="s">
        <v>64</v>
      </c>
      <c r="AA10" s="24" t="s">
        <v>65</v>
      </c>
      <c r="AB10" s="24" t="s">
        <v>66</v>
      </c>
      <c r="AC10" s="24" t="s">
        <v>67</v>
      </c>
      <c r="AD10" s="24" t="s">
        <v>68</v>
      </c>
      <c r="AE10" s="24" t="s">
        <v>69</v>
      </c>
      <c r="AF10" s="24" t="s">
        <v>70</v>
      </c>
      <c r="AG10" s="24" t="s">
        <v>71</v>
      </c>
      <c r="AH10" s="24" t="s">
        <v>72</v>
      </c>
      <c r="AI10" s="27" t="s">
        <v>73</v>
      </c>
      <c r="AJ10" s="22"/>
      <c r="AK10" s="18"/>
    </row>
    <row r="11" spans="1:39" thickBot="1" x14ac:dyDescent="0.4">
      <c r="A11" s="28" t="s">
        <v>74</v>
      </c>
      <c r="B11" s="29"/>
      <c r="C11" s="30" t="s">
        <v>75</v>
      </c>
      <c r="D11" s="29"/>
      <c r="E11" s="31"/>
      <c r="F11" s="3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3"/>
      <c r="AJ11" s="22"/>
      <c r="AK11" s="18"/>
    </row>
    <row r="12" spans="1:39" hidden="1" thickBot="1" x14ac:dyDescent="0.4">
      <c r="A12" s="34"/>
      <c r="B12" s="35"/>
      <c r="C12" s="36" t="s">
        <v>76</v>
      </c>
      <c r="D12" s="37" t="s">
        <v>77</v>
      </c>
      <c r="E12" s="38">
        <v>700</v>
      </c>
      <c r="F12" s="38">
        <f>E12*27</f>
        <v>18900</v>
      </c>
      <c r="G12" s="39" t="s">
        <v>78</v>
      </c>
      <c r="H12" s="37" t="s">
        <v>79</v>
      </c>
      <c r="I12" s="37">
        <v>27</v>
      </c>
      <c r="J12" s="35"/>
      <c r="K12" s="37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J12" s="41"/>
      <c r="AK12" s="42"/>
      <c r="AL12" s="43"/>
      <c r="AM12" s="43"/>
    </row>
    <row r="13" spans="1:39" ht="15.75" customHeight="1" x14ac:dyDescent="0.35">
      <c r="A13" s="44"/>
      <c r="B13" s="45"/>
      <c r="C13" s="251" t="s">
        <v>80</v>
      </c>
      <c r="D13" s="293" t="s">
        <v>144</v>
      </c>
      <c r="E13" s="230">
        <v>2200</v>
      </c>
      <c r="F13" s="302">
        <f>(E13*4)+(E14*6)+(E15*10)</f>
        <v>82800</v>
      </c>
      <c r="G13" s="290" t="s">
        <v>78</v>
      </c>
      <c r="H13" s="293" t="s">
        <v>79</v>
      </c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22"/>
      <c r="AK13" s="18"/>
    </row>
    <row r="14" spans="1:39" ht="14.5" x14ac:dyDescent="0.35">
      <c r="A14" s="50"/>
      <c r="B14" s="51"/>
      <c r="C14" s="252" t="s">
        <v>81</v>
      </c>
      <c r="D14" s="300"/>
      <c r="E14" s="231">
        <v>1500</v>
      </c>
      <c r="F14" s="303"/>
      <c r="G14" s="291"/>
      <c r="H14" s="294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18"/>
      <c r="AK14" s="18"/>
    </row>
    <row r="15" spans="1:39" ht="24" customHeight="1" x14ac:dyDescent="0.35">
      <c r="A15" s="44"/>
      <c r="B15" s="45"/>
      <c r="C15" s="251" t="s">
        <v>82</v>
      </c>
      <c r="D15" s="301"/>
      <c r="E15" s="230">
        <v>6500</v>
      </c>
      <c r="F15" s="304"/>
      <c r="G15" s="291"/>
      <c r="H15" s="294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22"/>
      <c r="AK15" s="18"/>
      <c r="AL15" s="2"/>
      <c r="AM15" s="2"/>
    </row>
    <row r="16" spans="1:39" ht="15.75" customHeight="1" x14ac:dyDescent="0.35">
      <c r="A16" s="44"/>
      <c r="B16" s="45"/>
      <c r="C16" s="253" t="s">
        <v>300</v>
      </c>
      <c r="D16" s="294" t="s">
        <v>144</v>
      </c>
      <c r="E16" s="230">
        <v>3000</v>
      </c>
      <c r="F16" s="303">
        <f>(E16+E17)*2</f>
        <v>14000</v>
      </c>
      <c r="G16" s="291"/>
      <c r="H16" s="294"/>
      <c r="I16" s="47">
        <v>2</v>
      </c>
      <c r="J16" s="53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22"/>
      <c r="AK16" s="18"/>
      <c r="AL16" s="2"/>
      <c r="AM16" s="2"/>
    </row>
    <row r="17" spans="1:39" ht="15.75" customHeight="1" x14ac:dyDescent="0.35">
      <c r="A17" s="44"/>
      <c r="B17" s="45"/>
      <c r="C17" s="253" t="s">
        <v>301</v>
      </c>
      <c r="D17" s="295"/>
      <c r="E17" s="230">
        <v>4000</v>
      </c>
      <c r="F17" s="304"/>
      <c r="G17" s="292"/>
      <c r="H17" s="295"/>
      <c r="I17" s="47">
        <v>2</v>
      </c>
      <c r="J17" s="53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22"/>
      <c r="AK17" s="18"/>
      <c r="AL17" s="2"/>
      <c r="AM17" s="2"/>
    </row>
    <row r="18" spans="1:39" ht="15.75" customHeight="1" x14ac:dyDescent="0.35">
      <c r="A18" s="44"/>
      <c r="B18" s="45"/>
      <c r="C18" s="254" t="s">
        <v>306</v>
      </c>
      <c r="D18" s="293" t="s">
        <v>144</v>
      </c>
      <c r="E18" s="46">
        <v>6500</v>
      </c>
      <c r="F18" s="299">
        <f>E18*2+E19*2+E20*2</f>
        <v>40000</v>
      </c>
      <c r="G18" s="294" t="s">
        <v>78</v>
      </c>
      <c r="H18" s="293" t="s">
        <v>84</v>
      </c>
      <c r="I18" s="47">
        <v>40</v>
      </c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22"/>
      <c r="AK18" s="18"/>
      <c r="AL18" s="2"/>
      <c r="AM18" s="2"/>
    </row>
    <row r="19" spans="1:39" ht="15.75" customHeight="1" x14ac:dyDescent="0.35">
      <c r="A19" s="44"/>
      <c r="B19" s="45"/>
      <c r="C19" s="254" t="s">
        <v>307</v>
      </c>
      <c r="D19" s="297"/>
      <c r="E19" s="46">
        <v>6500</v>
      </c>
      <c r="F19" s="297"/>
      <c r="G19" s="297"/>
      <c r="H19" s="297"/>
      <c r="I19" s="47">
        <v>40</v>
      </c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22"/>
      <c r="AK19" s="18"/>
      <c r="AL19" s="2"/>
      <c r="AM19" s="2"/>
    </row>
    <row r="20" spans="1:39" ht="15.75" customHeight="1" x14ac:dyDescent="0.35">
      <c r="A20" s="44"/>
      <c r="B20" s="45"/>
      <c r="C20" s="254" t="s">
        <v>308</v>
      </c>
      <c r="D20" s="298"/>
      <c r="E20" s="46">
        <v>7000</v>
      </c>
      <c r="F20" s="298"/>
      <c r="G20" s="298"/>
      <c r="H20" s="298"/>
      <c r="I20" s="47">
        <v>40</v>
      </c>
      <c r="J20" s="53"/>
      <c r="K20" s="53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22"/>
      <c r="AK20" s="18"/>
      <c r="AL20" s="2"/>
      <c r="AM20" s="2"/>
    </row>
    <row r="21" spans="1:39" ht="15.75" customHeight="1" x14ac:dyDescent="0.35">
      <c r="A21" s="44"/>
      <c r="B21" s="45"/>
      <c r="C21" s="255" t="s">
        <v>87</v>
      </c>
      <c r="D21" s="53" t="s">
        <v>88</v>
      </c>
      <c r="E21" s="56">
        <v>150</v>
      </c>
      <c r="F21" s="57">
        <f>E21*15</f>
        <v>2250</v>
      </c>
      <c r="G21" s="58" t="s">
        <v>89</v>
      </c>
      <c r="H21" s="59" t="s">
        <v>84</v>
      </c>
      <c r="I21" s="55"/>
      <c r="J21" s="55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22"/>
      <c r="AK21" s="18"/>
      <c r="AL21" s="2"/>
      <c r="AM21" s="2"/>
    </row>
    <row r="22" spans="1:39" ht="15.75" customHeight="1" x14ac:dyDescent="0.35">
      <c r="A22" s="44"/>
      <c r="B22" s="45"/>
      <c r="C22" s="255" t="s">
        <v>90</v>
      </c>
      <c r="D22" s="52" t="s">
        <v>91</v>
      </c>
      <c r="E22" s="46">
        <v>100</v>
      </c>
      <c r="F22" s="60">
        <f>E22*120</f>
        <v>12000</v>
      </c>
      <c r="G22" s="58" t="s">
        <v>89</v>
      </c>
      <c r="H22" s="61"/>
      <c r="I22" s="55"/>
      <c r="J22" s="55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22"/>
      <c r="AK22" s="18"/>
      <c r="AL22" s="2"/>
      <c r="AM22" s="2"/>
    </row>
    <row r="23" spans="1:39" ht="15.75" customHeight="1" x14ac:dyDescent="0.35">
      <c r="A23" s="44"/>
      <c r="B23" s="45"/>
      <c r="C23" s="256" t="s">
        <v>92</v>
      </c>
      <c r="D23" s="305" t="s">
        <v>77</v>
      </c>
      <c r="E23" s="46">
        <v>10000</v>
      </c>
      <c r="F23" s="306">
        <f>E23*2+E24*2+E25*2+E26*2</f>
        <v>23200</v>
      </c>
      <c r="G23" s="305" t="s">
        <v>78</v>
      </c>
      <c r="H23" s="305" t="s">
        <v>84</v>
      </c>
      <c r="I23" s="53"/>
      <c r="J23" s="55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22"/>
      <c r="AK23" s="18"/>
      <c r="AL23" s="2"/>
      <c r="AM23" s="2"/>
    </row>
    <row r="24" spans="1:39" ht="15.75" customHeight="1" x14ac:dyDescent="0.35">
      <c r="A24" s="44"/>
      <c r="B24" s="45"/>
      <c r="C24" s="256" t="s">
        <v>93</v>
      </c>
      <c r="D24" s="297"/>
      <c r="E24" s="46">
        <v>700</v>
      </c>
      <c r="F24" s="297"/>
      <c r="G24" s="297"/>
      <c r="H24" s="297"/>
      <c r="I24" s="53"/>
      <c r="J24" s="53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22"/>
      <c r="AK24" s="18"/>
      <c r="AL24" s="2"/>
      <c r="AM24" s="2"/>
    </row>
    <row r="25" spans="1:39" ht="15.75" customHeight="1" x14ac:dyDescent="0.35">
      <c r="A25" s="44"/>
      <c r="B25" s="45"/>
      <c r="C25" s="256" t="s">
        <v>94</v>
      </c>
      <c r="D25" s="297"/>
      <c r="E25" s="46">
        <v>400</v>
      </c>
      <c r="F25" s="297"/>
      <c r="G25" s="297"/>
      <c r="H25" s="297"/>
      <c r="I25" s="53"/>
      <c r="J25" s="53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22"/>
      <c r="AK25" s="18"/>
      <c r="AL25" s="2"/>
      <c r="AM25" s="2"/>
    </row>
    <row r="26" spans="1:39" ht="15.75" customHeight="1" x14ac:dyDescent="0.35">
      <c r="A26" s="44"/>
      <c r="B26" s="45"/>
      <c r="C26" s="256" t="s">
        <v>95</v>
      </c>
      <c r="D26" s="298"/>
      <c r="E26" s="46">
        <v>500</v>
      </c>
      <c r="F26" s="298"/>
      <c r="G26" s="298"/>
      <c r="H26" s="298"/>
      <c r="I26" s="55"/>
      <c r="J26" s="62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22"/>
      <c r="AK26" s="18"/>
      <c r="AL26" s="2"/>
      <c r="AM26" s="2"/>
    </row>
    <row r="27" spans="1:39" ht="15.75" customHeight="1" x14ac:dyDescent="0.35">
      <c r="A27" s="44"/>
      <c r="B27" s="45"/>
      <c r="C27" s="257" t="s">
        <v>96</v>
      </c>
      <c r="D27" s="307" t="s">
        <v>77</v>
      </c>
      <c r="E27" s="46">
        <v>1000</v>
      </c>
      <c r="F27" s="309">
        <f>E27*6+E28*100+E29*10+E30*100+E31*6+E32*20+E33*4+E34*50+E35*4+E36*30+E37*30+E38*10+E39*10+E40*10+E41*100+E42*50+E43*50+E44*4+E45*20+E46*20+E47*20+E48*100+E49*100+E50*50+E51*100+E52*100+E53*4+E54*10</f>
        <v>280600</v>
      </c>
      <c r="G27" s="307" t="s">
        <v>320</v>
      </c>
      <c r="H27" s="307" t="s">
        <v>84</v>
      </c>
      <c r="I27" s="63"/>
      <c r="J27" s="64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22"/>
      <c r="AK27" s="18"/>
      <c r="AL27" s="2"/>
      <c r="AM27" s="2"/>
    </row>
    <row r="28" spans="1:39" ht="15.75" customHeight="1" x14ac:dyDescent="0.35">
      <c r="A28" s="44"/>
      <c r="B28" s="45"/>
      <c r="C28" s="258" t="s">
        <v>97</v>
      </c>
      <c r="D28" s="308"/>
      <c r="E28" s="46">
        <v>250</v>
      </c>
      <c r="F28" s="308"/>
      <c r="G28" s="308"/>
      <c r="H28" s="308"/>
      <c r="I28" s="64"/>
      <c r="J28" s="64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22"/>
      <c r="AK28" s="18"/>
      <c r="AL28" s="2"/>
      <c r="AM28" s="2"/>
    </row>
    <row r="29" spans="1:39" ht="15.75" customHeight="1" x14ac:dyDescent="0.35">
      <c r="A29" s="44"/>
      <c r="B29" s="45"/>
      <c r="C29" s="258" t="s">
        <v>98</v>
      </c>
      <c r="D29" s="308"/>
      <c r="E29" s="46">
        <v>80</v>
      </c>
      <c r="F29" s="308"/>
      <c r="G29" s="308"/>
      <c r="H29" s="308"/>
      <c r="I29" s="64"/>
      <c r="J29" s="64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22"/>
      <c r="AK29" s="18"/>
    </row>
    <row r="30" spans="1:39" ht="15.75" customHeight="1" x14ac:dyDescent="0.35">
      <c r="A30" s="44"/>
      <c r="B30" s="45"/>
      <c r="C30" s="257" t="s">
        <v>99</v>
      </c>
      <c r="D30" s="308"/>
      <c r="E30" s="46">
        <v>300</v>
      </c>
      <c r="F30" s="308"/>
      <c r="G30" s="308"/>
      <c r="H30" s="308"/>
      <c r="I30" s="64"/>
      <c r="J30" s="64"/>
      <c r="K30" s="47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22"/>
      <c r="AK30" s="18"/>
    </row>
    <row r="31" spans="1:39" ht="15.75" customHeight="1" x14ac:dyDescent="0.35">
      <c r="A31" s="44"/>
      <c r="B31" s="45"/>
      <c r="C31" s="258" t="s">
        <v>100</v>
      </c>
      <c r="D31" s="308"/>
      <c r="E31" s="46">
        <v>300</v>
      </c>
      <c r="F31" s="308"/>
      <c r="G31" s="308"/>
      <c r="H31" s="308"/>
      <c r="I31" s="64"/>
      <c r="J31" s="64"/>
      <c r="K31" s="47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22"/>
      <c r="AK31" s="18"/>
    </row>
    <row r="32" spans="1:39" ht="15.75" customHeight="1" x14ac:dyDescent="0.35">
      <c r="A32" s="44"/>
      <c r="B32" s="45"/>
      <c r="C32" s="258" t="s">
        <v>101</v>
      </c>
      <c r="D32" s="308"/>
      <c r="E32" s="46">
        <v>150</v>
      </c>
      <c r="F32" s="308"/>
      <c r="G32" s="308"/>
      <c r="H32" s="308"/>
      <c r="I32" s="64"/>
      <c r="J32" s="64"/>
      <c r="K32" s="47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22"/>
      <c r="AK32" s="18"/>
    </row>
    <row r="33" spans="1:37" ht="15.75" customHeight="1" x14ac:dyDescent="0.35">
      <c r="A33" s="44"/>
      <c r="B33" s="45"/>
      <c r="C33" s="257" t="s">
        <v>102</v>
      </c>
      <c r="D33" s="308"/>
      <c r="E33" s="46">
        <v>3000</v>
      </c>
      <c r="F33" s="308"/>
      <c r="G33" s="308"/>
      <c r="H33" s="308"/>
      <c r="I33" s="64"/>
      <c r="J33" s="64"/>
      <c r="K33" s="47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22"/>
      <c r="AK33" s="18"/>
    </row>
    <row r="34" spans="1:37" ht="15.75" customHeight="1" x14ac:dyDescent="0.35">
      <c r="A34" s="44"/>
      <c r="B34" s="45"/>
      <c r="C34" s="257" t="s">
        <v>103</v>
      </c>
      <c r="D34" s="308"/>
      <c r="E34" s="46">
        <v>200</v>
      </c>
      <c r="F34" s="308"/>
      <c r="G34" s="308"/>
      <c r="H34" s="308"/>
      <c r="I34" s="64"/>
      <c r="J34" s="64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22"/>
      <c r="AK34" s="18"/>
    </row>
    <row r="35" spans="1:37" ht="15.75" customHeight="1" x14ac:dyDescent="0.35">
      <c r="A35" s="44"/>
      <c r="B35" s="45"/>
      <c r="C35" s="257" t="s">
        <v>104</v>
      </c>
      <c r="D35" s="308"/>
      <c r="E35" s="46">
        <v>500</v>
      </c>
      <c r="F35" s="308"/>
      <c r="G35" s="308"/>
      <c r="H35" s="308"/>
      <c r="I35" s="64"/>
      <c r="J35" s="64"/>
      <c r="K35" s="47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22"/>
      <c r="AK35" s="18"/>
    </row>
    <row r="36" spans="1:37" ht="15.75" customHeight="1" x14ac:dyDescent="0.35">
      <c r="A36" s="44"/>
      <c r="B36" s="45"/>
      <c r="C36" s="258" t="s">
        <v>105</v>
      </c>
      <c r="D36" s="308"/>
      <c r="E36" s="46">
        <v>70</v>
      </c>
      <c r="F36" s="308"/>
      <c r="G36" s="308"/>
      <c r="H36" s="308"/>
      <c r="I36" s="64"/>
      <c r="J36" s="64"/>
      <c r="K36" s="47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22"/>
      <c r="AK36" s="18"/>
    </row>
    <row r="37" spans="1:37" ht="15.75" customHeight="1" x14ac:dyDescent="0.35">
      <c r="A37" s="44"/>
      <c r="B37" s="45"/>
      <c r="C37" s="258" t="s">
        <v>106</v>
      </c>
      <c r="D37" s="308"/>
      <c r="E37" s="46">
        <v>80</v>
      </c>
      <c r="F37" s="308"/>
      <c r="G37" s="308"/>
      <c r="H37" s="308"/>
      <c r="I37" s="64"/>
      <c r="J37" s="64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22"/>
      <c r="AK37" s="18"/>
    </row>
    <row r="38" spans="1:37" ht="15.75" customHeight="1" x14ac:dyDescent="0.35">
      <c r="A38" s="44"/>
      <c r="B38" s="45"/>
      <c r="C38" s="257" t="s">
        <v>107</v>
      </c>
      <c r="D38" s="308"/>
      <c r="E38" s="46">
        <v>2000</v>
      </c>
      <c r="F38" s="308"/>
      <c r="G38" s="308"/>
      <c r="H38" s="308"/>
      <c r="I38" s="64"/>
      <c r="J38" s="64"/>
      <c r="K38" s="47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22"/>
      <c r="AK38" s="18"/>
    </row>
    <row r="39" spans="1:37" ht="15.75" customHeight="1" x14ac:dyDescent="0.35">
      <c r="A39" s="44"/>
      <c r="B39" s="45"/>
      <c r="C39" s="257" t="s">
        <v>108</v>
      </c>
      <c r="D39" s="308"/>
      <c r="E39" s="46">
        <v>3000</v>
      </c>
      <c r="F39" s="308"/>
      <c r="G39" s="308"/>
      <c r="H39" s="308"/>
      <c r="I39" s="64"/>
      <c r="J39" s="64"/>
      <c r="K39" s="47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22"/>
      <c r="AK39" s="18"/>
    </row>
    <row r="40" spans="1:37" ht="15.75" customHeight="1" x14ac:dyDescent="0.35">
      <c r="A40" s="44"/>
      <c r="B40" s="45"/>
      <c r="C40" s="258" t="s">
        <v>109</v>
      </c>
      <c r="D40" s="308"/>
      <c r="E40" s="46">
        <v>80</v>
      </c>
      <c r="F40" s="308"/>
      <c r="G40" s="308"/>
      <c r="H40" s="308"/>
      <c r="I40" s="64"/>
      <c r="J40" s="64"/>
      <c r="K40" s="47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22"/>
      <c r="AK40" s="18"/>
    </row>
    <row r="41" spans="1:37" ht="15.75" customHeight="1" x14ac:dyDescent="0.35">
      <c r="A41" s="44"/>
      <c r="B41" s="45"/>
      <c r="C41" s="257" t="s">
        <v>110</v>
      </c>
      <c r="D41" s="308"/>
      <c r="E41" s="46">
        <v>70</v>
      </c>
      <c r="F41" s="308"/>
      <c r="G41" s="308"/>
      <c r="H41" s="308"/>
      <c r="I41" s="64"/>
      <c r="J41" s="64"/>
      <c r="K41" s="47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22"/>
      <c r="AK41" s="18"/>
    </row>
    <row r="42" spans="1:37" ht="15.75" customHeight="1" x14ac:dyDescent="0.35">
      <c r="A42" s="44"/>
      <c r="B42" s="45"/>
      <c r="C42" s="257" t="s">
        <v>111</v>
      </c>
      <c r="D42" s="308"/>
      <c r="E42" s="46">
        <v>80</v>
      </c>
      <c r="F42" s="308"/>
      <c r="G42" s="308"/>
      <c r="H42" s="308"/>
      <c r="I42" s="64"/>
      <c r="J42" s="64"/>
      <c r="K42" s="47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22"/>
      <c r="AK42" s="18"/>
    </row>
    <row r="43" spans="1:37" ht="15.75" customHeight="1" x14ac:dyDescent="0.35">
      <c r="A43" s="44"/>
      <c r="B43" s="45"/>
      <c r="C43" s="257" t="s">
        <v>112</v>
      </c>
      <c r="D43" s="308"/>
      <c r="E43" s="46">
        <v>90</v>
      </c>
      <c r="F43" s="308"/>
      <c r="G43" s="308"/>
      <c r="H43" s="308"/>
      <c r="I43" s="64"/>
      <c r="J43" s="64"/>
      <c r="K43" s="47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22"/>
      <c r="AK43" s="18"/>
    </row>
    <row r="44" spans="1:37" ht="24.75" customHeight="1" x14ac:dyDescent="0.35">
      <c r="A44" s="44"/>
      <c r="B44" s="45"/>
      <c r="C44" s="259" t="s">
        <v>113</v>
      </c>
      <c r="D44" s="308"/>
      <c r="E44" s="46">
        <v>500</v>
      </c>
      <c r="F44" s="308"/>
      <c r="G44" s="308"/>
      <c r="H44" s="308"/>
      <c r="I44" s="64"/>
      <c r="J44" s="64"/>
      <c r="K44" s="47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22"/>
      <c r="AK44" s="18"/>
    </row>
    <row r="45" spans="1:37" ht="27.75" customHeight="1" x14ac:dyDescent="0.35">
      <c r="A45" s="44"/>
      <c r="B45" s="45"/>
      <c r="C45" s="260" t="s">
        <v>114</v>
      </c>
      <c r="D45" s="308"/>
      <c r="E45" s="46">
        <v>200</v>
      </c>
      <c r="F45" s="308"/>
      <c r="G45" s="308"/>
      <c r="H45" s="308"/>
      <c r="I45" s="64"/>
      <c r="J45" s="64"/>
      <c r="K45" s="47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22"/>
      <c r="AK45" s="18"/>
    </row>
    <row r="46" spans="1:37" ht="15.75" customHeight="1" x14ac:dyDescent="0.35">
      <c r="A46" s="44"/>
      <c r="B46" s="45"/>
      <c r="C46" s="257" t="s">
        <v>115</v>
      </c>
      <c r="D46" s="308"/>
      <c r="E46" s="46">
        <v>30</v>
      </c>
      <c r="F46" s="308"/>
      <c r="G46" s="308"/>
      <c r="H46" s="308"/>
      <c r="I46" s="64"/>
      <c r="J46" s="64"/>
      <c r="K46" s="47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22"/>
      <c r="AK46" s="18"/>
    </row>
    <row r="47" spans="1:37" ht="15.75" customHeight="1" x14ac:dyDescent="0.35">
      <c r="A47" s="44"/>
      <c r="B47" s="45"/>
      <c r="C47" s="257" t="s">
        <v>116</v>
      </c>
      <c r="D47" s="308"/>
      <c r="E47" s="46">
        <v>50</v>
      </c>
      <c r="F47" s="308"/>
      <c r="G47" s="308"/>
      <c r="H47" s="308"/>
      <c r="I47" s="64"/>
      <c r="J47" s="64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22"/>
      <c r="AK47" s="18"/>
    </row>
    <row r="48" spans="1:37" ht="15.75" customHeight="1" x14ac:dyDescent="0.35">
      <c r="A48" s="44"/>
      <c r="B48" s="45"/>
      <c r="C48" s="257" t="s">
        <v>117</v>
      </c>
      <c r="D48" s="308"/>
      <c r="E48" s="46">
        <v>50</v>
      </c>
      <c r="F48" s="308"/>
      <c r="G48" s="308"/>
      <c r="H48" s="308"/>
      <c r="I48" s="64"/>
      <c r="J48" s="64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22"/>
      <c r="AK48" s="18"/>
    </row>
    <row r="49" spans="1:39" ht="15.75" customHeight="1" x14ac:dyDescent="0.35">
      <c r="A49" s="44"/>
      <c r="B49" s="45"/>
      <c r="C49" s="257" t="s">
        <v>118</v>
      </c>
      <c r="D49" s="308"/>
      <c r="E49" s="46">
        <v>80</v>
      </c>
      <c r="F49" s="308"/>
      <c r="G49" s="308"/>
      <c r="H49" s="308"/>
      <c r="I49" s="64"/>
      <c r="J49" s="64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22"/>
      <c r="AK49" s="18"/>
    </row>
    <row r="50" spans="1:39" ht="15.75" customHeight="1" x14ac:dyDescent="0.35">
      <c r="A50" s="44"/>
      <c r="B50" s="45"/>
      <c r="C50" s="257" t="s">
        <v>119</v>
      </c>
      <c r="D50" s="308"/>
      <c r="E50" s="46">
        <v>300</v>
      </c>
      <c r="F50" s="308"/>
      <c r="G50" s="308"/>
      <c r="H50" s="308"/>
      <c r="I50" s="64"/>
      <c r="J50" s="64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22"/>
      <c r="AK50" s="18"/>
    </row>
    <row r="51" spans="1:39" ht="15.75" customHeight="1" x14ac:dyDescent="0.35">
      <c r="A51" s="44"/>
      <c r="B51" s="45"/>
      <c r="C51" s="257" t="s">
        <v>120</v>
      </c>
      <c r="D51" s="308"/>
      <c r="E51" s="46">
        <v>350</v>
      </c>
      <c r="F51" s="308"/>
      <c r="G51" s="308"/>
      <c r="H51" s="308"/>
      <c r="I51" s="64"/>
      <c r="J51" s="64"/>
      <c r="K51" s="47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22"/>
      <c r="AK51" s="18"/>
    </row>
    <row r="52" spans="1:39" ht="15.75" customHeight="1" x14ac:dyDescent="0.35">
      <c r="A52" s="44"/>
      <c r="B52" s="45"/>
      <c r="C52" s="257" t="s">
        <v>121</v>
      </c>
      <c r="D52" s="308"/>
      <c r="E52" s="46">
        <v>450</v>
      </c>
      <c r="F52" s="308"/>
      <c r="G52" s="308"/>
      <c r="H52" s="308"/>
      <c r="I52" s="64"/>
      <c r="J52" s="64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22"/>
      <c r="AK52" s="18"/>
    </row>
    <row r="53" spans="1:39" ht="15.75" customHeight="1" x14ac:dyDescent="0.35">
      <c r="A53" s="44"/>
      <c r="B53" s="45"/>
      <c r="C53" s="257" t="s">
        <v>122</v>
      </c>
      <c r="D53" s="308"/>
      <c r="E53" s="46">
        <v>400</v>
      </c>
      <c r="F53" s="308"/>
      <c r="G53" s="308"/>
      <c r="H53" s="308"/>
      <c r="I53" s="64"/>
      <c r="J53" s="64"/>
      <c r="K53" s="47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22"/>
      <c r="AK53" s="18"/>
    </row>
    <row r="54" spans="1:39" ht="15.75" customHeight="1" x14ac:dyDescent="0.35">
      <c r="A54" s="44"/>
      <c r="B54" s="45"/>
      <c r="C54" s="257" t="s">
        <v>123</v>
      </c>
      <c r="D54" s="289"/>
      <c r="E54" s="46">
        <v>200</v>
      </c>
      <c r="F54" s="289"/>
      <c r="G54" s="308"/>
      <c r="H54" s="308"/>
      <c r="I54" s="64"/>
      <c r="J54" s="64"/>
      <c r="K54" s="47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22"/>
      <c r="AK54" s="18"/>
    </row>
    <row r="55" spans="1:39" ht="15.75" customHeight="1" x14ac:dyDescent="0.35">
      <c r="A55" s="44"/>
      <c r="B55" s="48"/>
      <c r="C55" s="261" t="s">
        <v>124</v>
      </c>
      <c r="D55" s="305" t="s">
        <v>144</v>
      </c>
      <c r="E55" s="46">
        <v>7000</v>
      </c>
      <c r="F55" s="348">
        <f>E55*2+E56*2+E57*4</f>
        <v>76000</v>
      </c>
      <c r="G55" s="305" t="s">
        <v>78</v>
      </c>
      <c r="H55" s="293" t="s">
        <v>84</v>
      </c>
      <c r="I55" s="47">
        <v>3</v>
      </c>
      <c r="J55" s="47"/>
      <c r="K55" s="4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22"/>
      <c r="AK55" s="18"/>
      <c r="AL55" s="65"/>
      <c r="AM55" s="65"/>
    </row>
    <row r="56" spans="1:39" ht="15.75" customHeight="1" x14ac:dyDescent="0.35">
      <c r="A56" s="44"/>
      <c r="B56" s="48"/>
      <c r="C56" s="262" t="s">
        <v>125</v>
      </c>
      <c r="D56" s="297"/>
      <c r="E56" s="46">
        <v>4000</v>
      </c>
      <c r="F56" s="349"/>
      <c r="G56" s="297"/>
      <c r="H56" s="297"/>
      <c r="I56" s="47">
        <v>3</v>
      </c>
      <c r="J56" s="47"/>
      <c r="K56" s="47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22"/>
      <c r="AK56" s="18"/>
      <c r="AL56" s="65"/>
      <c r="AM56" s="65"/>
    </row>
    <row r="57" spans="1:39" ht="15.75" customHeight="1" x14ac:dyDescent="0.35">
      <c r="A57" s="44"/>
      <c r="B57" s="48"/>
      <c r="C57" s="262" t="s">
        <v>126</v>
      </c>
      <c r="D57" s="298"/>
      <c r="E57" s="46">
        <v>13500</v>
      </c>
      <c r="F57" s="350"/>
      <c r="G57" s="298"/>
      <c r="H57" s="298"/>
      <c r="I57" s="47">
        <v>4</v>
      </c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22"/>
      <c r="AK57" s="18"/>
      <c r="AL57" s="65"/>
      <c r="AM57" s="65"/>
    </row>
    <row r="58" spans="1:39" s="77" customFormat="1" ht="15.75" customHeight="1" x14ac:dyDescent="0.35">
      <c r="A58" s="66"/>
      <c r="B58" s="67"/>
      <c r="C58" s="263" t="s">
        <v>127</v>
      </c>
      <c r="D58" s="68" t="s">
        <v>128</v>
      </c>
      <c r="E58" s="69">
        <v>15000</v>
      </c>
      <c r="F58" s="69">
        <f>15000*4</f>
        <v>60000</v>
      </c>
      <c r="G58" s="71" t="s">
        <v>78</v>
      </c>
      <c r="H58" s="72" t="s">
        <v>79</v>
      </c>
      <c r="I58" s="73"/>
      <c r="J58" s="73"/>
      <c r="K58" s="68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75"/>
      <c r="AL58" s="76"/>
      <c r="AM58" s="76"/>
    </row>
    <row r="59" spans="1:39" ht="15.75" customHeight="1" x14ac:dyDescent="0.35">
      <c r="A59" s="44"/>
      <c r="B59" s="45"/>
      <c r="C59" s="264" t="s">
        <v>318</v>
      </c>
      <c r="D59" s="98" t="s">
        <v>319</v>
      </c>
      <c r="E59" s="46">
        <v>100</v>
      </c>
      <c r="F59" s="249">
        <f>E59*150</f>
        <v>15000</v>
      </c>
      <c r="G59" s="71" t="s">
        <v>78</v>
      </c>
      <c r="H59" s="250"/>
      <c r="I59" s="55">
        <v>150</v>
      </c>
      <c r="J59" s="55"/>
      <c r="K59" s="47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22"/>
      <c r="AK59" s="18"/>
      <c r="AL59" s="2"/>
      <c r="AM59" s="2"/>
    </row>
    <row r="60" spans="1:39" ht="15.75" customHeight="1" x14ac:dyDescent="0.35">
      <c r="A60" s="28" t="s">
        <v>129</v>
      </c>
      <c r="B60" s="78"/>
      <c r="C60" s="228" t="s">
        <v>130</v>
      </c>
      <c r="D60" s="29"/>
      <c r="E60" s="31"/>
      <c r="F60" s="3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3"/>
      <c r="AJ60" s="22"/>
      <c r="AK60" s="18"/>
    </row>
    <row r="61" spans="1:39" ht="15.75" customHeight="1" x14ac:dyDescent="0.35">
      <c r="A61" s="44"/>
      <c r="B61" s="45"/>
      <c r="C61" s="253" t="s">
        <v>131</v>
      </c>
      <c r="D61" s="307" t="s">
        <v>77</v>
      </c>
      <c r="E61" s="46">
        <v>49000</v>
      </c>
      <c r="F61" s="311">
        <f>E61*2+E62*2</f>
        <v>188000</v>
      </c>
      <c r="G61" s="291" t="s">
        <v>132</v>
      </c>
      <c r="H61" s="307" t="s">
        <v>79</v>
      </c>
      <c r="I61" s="47">
        <v>2</v>
      </c>
      <c r="J61" s="47"/>
      <c r="K61" s="47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22"/>
      <c r="AK61" s="18"/>
    </row>
    <row r="62" spans="1:39" ht="15.75" customHeight="1" x14ac:dyDescent="0.35">
      <c r="A62" s="44"/>
      <c r="B62" s="45"/>
      <c r="C62" s="253" t="s">
        <v>133</v>
      </c>
      <c r="D62" s="289"/>
      <c r="E62" s="46">
        <v>45000</v>
      </c>
      <c r="F62" s="289"/>
      <c r="G62" s="289"/>
      <c r="H62" s="289"/>
      <c r="I62" s="47">
        <v>2</v>
      </c>
      <c r="J62" s="47"/>
      <c r="K62" s="47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22"/>
      <c r="AK62" s="18"/>
    </row>
    <row r="63" spans="1:39" ht="15.75" customHeight="1" x14ac:dyDescent="0.35">
      <c r="A63" s="44"/>
      <c r="B63" s="45"/>
      <c r="C63" s="251" t="s">
        <v>134</v>
      </c>
      <c r="D63" s="232" t="s">
        <v>144</v>
      </c>
      <c r="E63" s="46">
        <v>70000</v>
      </c>
      <c r="F63" s="233">
        <f>E63*2</f>
        <v>140000</v>
      </c>
      <c r="G63" s="17"/>
      <c r="H63" s="17"/>
      <c r="I63" s="47">
        <v>2</v>
      </c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22"/>
      <c r="AK63" s="18"/>
    </row>
    <row r="64" spans="1:39" ht="26.25" customHeight="1" x14ac:dyDescent="0.35">
      <c r="A64" s="44"/>
      <c r="B64" s="45"/>
      <c r="C64" s="253" t="s">
        <v>135</v>
      </c>
      <c r="D64" s="196" t="s">
        <v>136</v>
      </c>
      <c r="E64" s="46">
        <v>80000</v>
      </c>
      <c r="F64" s="233">
        <f>E64*2</f>
        <v>160000</v>
      </c>
      <c r="G64" s="80" t="s">
        <v>132</v>
      </c>
      <c r="H64" s="47" t="s">
        <v>79</v>
      </c>
      <c r="I64" s="47">
        <v>2</v>
      </c>
      <c r="J64" s="47"/>
      <c r="K64" s="47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22"/>
      <c r="AK64" s="18"/>
    </row>
    <row r="65" spans="1:39" ht="15.75" customHeight="1" x14ac:dyDescent="0.35">
      <c r="A65" s="28" t="s">
        <v>137</v>
      </c>
      <c r="B65" s="78"/>
      <c r="C65" s="214" t="s">
        <v>138</v>
      </c>
      <c r="D65" s="29"/>
      <c r="E65" s="31"/>
      <c r="F65" s="32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3"/>
      <c r="AJ65" s="41"/>
      <c r="AK65" s="42"/>
      <c r="AL65" s="43"/>
      <c r="AM65" s="43"/>
    </row>
    <row r="66" spans="1:39" ht="15.75" customHeight="1" x14ac:dyDescent="0.35">
      <c r="A66" s="44"/>
      <c r="B66" s="45"/>
      <c r="C66" s="275" t="s">
        <v>292</v>
      </c>
      <c r="D66" s="81" t="s">
        <v>77</v>
      </c>
      <c r="E66" s="82">
        <v>17000</v>
      </c>
      <c r="F66" s="82">
        <f>E66*30</f>
        <v>510000</v>
      </c>
      <c r="G66" s="58" t="s">
        <v>139</v>
      </c>
      <c r="H66" s="47" t="s">
        <v>79</v>
      </c>
      <c r="I66" s="47"/>
      <c r="J66" s="47">
        <v>20</v>
      </c>
      <c r="K66" s="47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22"/>
      <c r="AK66" s="18"/>
    </row>
    <row r="67" spans="1:39" ht="15.75" customHeight="1" x14ac:dyDescent="0.35">
      <c r="A67" s="28" t="s">
        <v>140</v>
      </c>
      <c r="B67" s="29"/>
      <c r="C67" s="227" t="s">
        <v>141</v>
      </c>
      <c r="D67" s="29"/>
      <c r="E67" s="31"/>
      <c r="F67" s="3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3"/>
      <c r="AJ67" s="22"/>
      <c r="AK67" s="18"/>
    </row>
    <row r="68" spans="1:39" ht="18" customHeight="1" x14ac:dyDescent="0.35">
      <c r="A68" s="44"/>
      <c r="B68" s="45"/>
      <c r="C68" s="199" t="s">
        <v>142</v>
      </c>
      <c r="D68" s="58" t="s">
        <v>221</v>
      </c>
      <c r="E68" s="46">
        <v>4500</v>
      </c>
      <c r="F68" s="82">
        <f>E68*10</f>
        <v>45000</v>
      </c>
      <c r="G68" s="83" t="s">
        <v>89</v>
      </c>
      <c r="H68" s="47"/>
      <c r="I68" s="47">
        <v>8</v>
      </c>
      <c r="J68" s="47">
        <v>2</v>
      </c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1"/>
      <c r="AK68" s="42"/>
      <c r="AL68" s="43"/>
      <c r="AM68" s="43"/>
    </row>
    <row r="69" spans="1:39" ht="38.25" customHeight="1" x14ac:dyDescent="0.35">
      <c r="A69" s="44"/>
      <c r="B69" s="45"/>
      <c r="C69" s="199" t="s">
        <v>143</v>
      </c>
      <c r="D69" s="58" t="s">
        <v>144</v>
      </c>
      <c r="E69" s="46">
        <v>50000</v>
      </c>
      <c r="F69" s="82">
        <f>E69*2</f>
        <v>100000</v>
      </c>
      <c r="G69" s="58" t="s">
        <v>145</v>
      </c>
      <c r="H69" s="47"/>
      <c r="I69" s="47">
        <v>1</v>
      </c>
      <c r="J69" s="47">
        <v>1</v>
      </c>
      <c r="K69" s="47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22"/>
      <c r="AK69" s="18"/>
    </row>
    <row r="70" spans="1:39" ht="18" customHeight="1" x14ac:dyDescent="0.35">
      <c r="A70" s="84"/>
      <c r="B70" s="85"/>
      <c r="C70" s="206" t="s">
        <v>290</v>
      </c>
      <c r="D70" s="83" t="s">
        <v>291</v>
      </c>
      <c r="E70" s="86">
        <v>400</v>
      </c>
      <c r="F70" s="87">
        <f>E70*15</f>
        <v>6000</v>
      </c>
      <c r="G70" s="83" t="s">
        <v>89</v>
      </c>
      <c r="H70" s="88"/>
      <c r="I70" s="47">
        <v>8</v>
      </c>
      <c r="J70" s="47">
        <v>8</v>
      </c>
      <c r="K70" s="47">
        <v>4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90"/>
      <c r="AJ70" s="22"/>
      <c r="AK70" s="18"/>
    </row>
    <row r="71" spans="1:39" ht="22.5" customHeight="1" x14ac:dyDescent="0.35">
      <c r="A71" s="91"/>
      <c r="B71" s="92"/>
      <c r="C71" s="99" t="s">
        <v>293</v>
      </c>
      <c r="D71" s="37" t="s">
        <v>285</v>
      </c>
      <c r="E71" s="93"/>
      <c r="F71" s="94">
        <v>50000</v>
      </c>
      <c r="G71" s="83"/>
      <c r="H71" s="35"/>
      <c r="I71" s="47">
        <v>1</v>
      </c>
      <c r="J71" s="47"/>
      <c r="K71" s="47">
        <v>1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0"/>
      <c r="AJ71" s="41"/>
      <c r="AK71" s="42"/>
      <c r="AL71" s="95"/>
      <c r="AM71" s="95"/>
    </row>
    <row r="72" spans="1:39" ht="22.5" customHeight="1" x14ac:dyDescent="0.35">
      <c r="A72" s="91"/>
      <c r="B72" s="92"/>
      <c r="C72" s="99" t="s">
        <v>294</v>
      </c>
      <c r="D72" s="37" t="s">
        <v>144</v>
      </c>
      <c r="E72" s="93"/>
      <c r="F72" s="94">
        <v>80000</v>
      </c>
      <c r="G72" s="83"/>
      <c r="H72" s="35"/>
      <c r="I72" s="47">
        <v>1</v>
      </c>
      <c r="J72" s="47"/>
      <c r="K72" s="47">
        <v>1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40"/>
      <c r="AJ72" s="41"/>
      <c r="AK72" s="42"/>
      <c r="AL72" s="95"/>
      <c r="AM72" s="95"/>
    </row>
    <row r="73" spans="1:39" ht="23.25" customHeight="1" x14ac:dyDescent="0.35">
      <c r="A73" s="28" t="s">
        <v>146</v>
      </c>
      <c r="B73" s="78"/>
      <c r="C73" s="214" t="s">
        <v>147</v>
      </c>
      <c r="D73" s="29"/>
      <c r="E73" s="31"/>
      <c r="F73" s="32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3"/>
      <c r="AJ73" s="22"/>
      <c r="AK73" s="18"/>
    </row>
    <row r="74" spans="1:39" ht="22.5" customHeight="1" x14ac:dyDescent="0.35">
      <c r="A74" s="44"/>
      <c r="B74" s="48"/>
      <c r="C74" s="265" t="s">
        <v>76</v>
      </c>
      <c r="D74" s="47" t="s">
        <v>148</v>
      </c>
      <c r="E74" s="82">
        <v>700</v>
      </c>
      <c r="F74" s="82">
        <f>E74*27</f>
        <v>18900</v>
      </c>
      <c r="G74" s="58" t="s">
        <v>78</v>
      </c>
      <c r="H74" s="47" t="s">
        <v>79</v>
      </c>
      <c r="I74" s="47"/>
      <c r="J74" s="48"/>
      <c r="K74" s="47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22"/>
      <c r="AK74" s="18"/>
      <c r="AL74" s="2"/>
      <c r="AM74" s="2"/>
    </row>
    <row r="75" spans="1:39" ht="22.5" customHeight="1" x14ac:dyDescent="0.35">
      <c r="A75" s="44"/>
      <c r="B75" s="48"/>
      <c r="C75" s="265" t="s">
        <v>289</v>
      </c>
      <c r="D75" s="47" t="s">
        <v>288</v>
      </c>
      <c r="E75" s="82">
        <v>350</v>
      </c>
      <c r="F75" s="82">
        <f>E75*35</f>
        <v>12250</v>
      </c>
      <c r="G75" s="58" t="s">
        <v>132</v>
      </c>
      <c r="H75" s="47" t="s">
        <v>84</v>
      </c>
      <c r="I75" s="47">
        <v>32</v>
      </c>
      <c r="J75" s="47"/>
      <c r="K75" s="47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22"/>
      <c r="AK75" s="18"/>
      <c r="AL75" s="2"/>
      <c r="AM75" s="2"/>
    </row>
    <row r="76" spans="1:39" s="77" customFormat="1" ht="18.75" customHeight="1" x14ac:dyDescent="0.35">
      <c r="A76" s="66"/>
      <c r="B76" s="67"/>
      <c r="C76" s="266" t="s">
        <v>149</v>
      </c>
      <c r="D76" s="68" t="s">
        <v>150</v>
      </c>
      <c r="E76" s="69">
        <v>250</v>
      </c>
      <c r="F76" s="69">
        <f>250*20</f>
        <v>5000</v>
      </c>
      <c r="G76" s="96" t="s">
        <v>89</v>
      </c>
      <c r="H76" s="68" t="s">
        <v>84</v>
      </c>
      <c r="I76" s="68"/>
      <c r="J76" s="68"/>
      <c r="K76" s="68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5"/>
      <c r="AK76" s="75"/>
      <c r="AL76" s="97"/>
      <c r="AM76" s="97"/>
    </row>
    <row r="77" spans="1:39" s="77" customFormat="1" ht="18.75" customHeight="1" x14ac:dyDescent="0.35">
      <c r="A77" s="66"/>
      <c r="B77" s="67"/>
      <c r="C77" s="266" t="s">
        <v>310</v>
      </c>
      <c r="D77" s="68" t="s">
        <v>152</v>
      </c>
      <c r="E77" s="69">
        <v>350</v>
      </c>
      <c r="F77" s="69">
        <f>E77*100</f>
        <v>35000</v>
      </c>
      <c r="G77" s="96" t="s">
        <v>89</v>
      </c>
      <c r="H77" s="68" t="s">
        <v>84</v>
      </c>
      <c r="I77" s="68">
        <v>100</v>
      </c>
      <c r="J77" s="68"/>
      <c r="K77" s="68">
        <v>100</v>
      </c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5"/>
      <c r="AK77" s="75"/>
      <c r="AL77" s="97"/>
      <c r="AM77" s="97"/>
    </row>
    <row r="78" spans="1:39" s="77" customFormat="1" ht="18.75" customHeight="1" x14ac:dyDescent="0.35">
      <c r="A78" s="66"/>
      <c r="B78" s="67"/>
      <c r="C78" s="266" t="s">
        <v>153</v>
      </c>
      <c r="D78" s="68" t="s">
        <v>154</v>
      </c>
      <c r="E78" s="69">
        <v>70</v>
      </c>
      <c r="F78" s="69">
        <f>300*70</f>
        <v>21000</v>
      </c>
      <c r="G78" s="96" t="s">
        <v>89</v>
      </c>
      <c r="H78" s="68" t="s">
        <v>84</v>
      </c>
      <c r="I78" s="68">
        <v>50</v>
      </c>
      <c r="J78" s="68">
        <v>50</v>
      </c>
      <c r="K78" s="68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5"/>
      <c r="AK78" s="75"/>
      <c r="AL78" s="97"/>
      <c r="AM78" s="97"/>
    </row>
    <row r="79" spans="1:39" ht="22.5" customHeight="1" x14ac:dyDescent="0.35">
      <c r="A79" s="44"/>
      <c r="B79" s="48"/>
      <c r="C79" s="267" t="s">
        <v>155</v>
      </c>
      <c r="D79" s="47" t="s">
        <v>156</v>
      </c>
      <c r="E79" s="82">
        <v>200</v>
      </c>
      <c r="F79" s="82">
        <f>E79*1000</f>
        <v>200000</v>
      </c>
      <c r="G79" s="58" t="s">
        <v>132</v>
      </c>
      <c r="H79" s="47" t="s">
        <v>84</v>
      </c>
      <c r="I79" s="47"/>
      <c r="J79" s="47"/>
      <c r="K79" s="47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22"/>
      <c r="AK79" s="18"/>
      <c r="AL79" s="2"/>
      <c r="AM79" s="2"/>
    </row>
    <row r="80" spans="1:39" ht="15.75" customHeight="1" x14ac:dyDescent="0.35">
      <c r="A80" s="44"/>
      <c r="B80" s="45"/>
      <c r="C80" s="268" t="s">
        <v>157</v>
      </c>
      <c r="D80" s="81" t="s">
        <v>158</v>
      </c>
      <c r="E80" s="46">
        <v>4000</v>
      </c>
      <c r="F80" s="82">
        <f>E80</f>
        <v>4000</v>
      </c>
      <c r="G80" s="58"/>
      <c r="H80" s="47"/>
      <c r="I80" s="47">
        <v>2</v>
      </c>
      <c r="J80" s="4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22"/>
      <c r="AK80" s="18"/>
      <c r="AL80" s="2"/>
      <c r="AM80" s="2"/>
    </row>
    <row r="81" spans="1:39" ht="15.75" customHeight="1" x14ac:dyDescent="0.35">
      <c r="A81" s="44"/>
      <c r="B81" s="45"/>
      <c r="C81" s="268" t="s">
        <v>159</v>
      </c>
      <c r="D81" s="47" t="s">
        <v>158</v>
      </c>
      <c r="E81" s="46">
        <v>26000</v>
      </c>
      <c r="F81" s="82">
        <f>E81*4</f>
        <v>104000</v>
      </c>
      <c r="G81" s="58" t="s">
        <v>78</v>
      </c>
      <c r="H81" s="47" t="s">
        <v>84</v>
      </c>
      <c r="I81" s="47">
        <v>2</v>
      </c>
      <c r="J81" s="47"/>
      <c r="K81" s="47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22"/>
      <c r="AK81" s="18"/>
      <c r="AL81" s="2"/>
      <c r="AM81" s="2"/>
    </row>
    <row r="82" spans="1:39" ht="20.25" customHeight="1" x14ac:dyDescent="0.35">
      <c r="A82" s="44"/>
      <c r="B82" s="45"/>
      <c r="C82" s="272" t="s">
        <v>160</v>
      </c>
      <c r="D82" s="293" t="s">
        <v>77</v>
      </c>
      <c r="E82" s="46">
        <v>15000</v>
      </c>
      <c r="F82" s="310">
        <f>E82*2+E83*2+E84*4</f>
        <v>71000</v>
      </c>
      <c r="G82" s="312" t="s">
        <v>132</v>
      </c>
      <c r="H82" s="293" t="s">
        <v>84</v>
      </c>
      <c r="I82" s="47">
        <v>2</v>
      </c>
      <c r="J82" s="47"/>
      <c r="K82" s="47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22"/>
      <c r="AK82" s="18"/>
      <c r="AL82" s="2"/>
      <c r="AM82" s="2"/>
    </row>
    <row r="83" spans="1:39" ht="15.75" customHeight="1" x14ac:dyDescent="0.35">
      <c r="A83" s="44"/>
      <c r="B83" s="45"/>
      <c r="C83" s="197" t="s">
        <v>161</v>
      </c>
      <c r="D83" s="297"/>
      <c r="E83" s="46">
        <v>6500</v>
      </c>
      <c r="F83" s="297"/>
      <c r="G83" s="297"/>
      <c r="H83" s="297"/>
      <c r="I83" s="47">
        <v>2</v>
      </c>
      <c r="J83" s="47"/>
      <c r="K83" s="47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22"/>
      <c r="AK83" s="18"/>
    </row>
    <row r="84" spans="1:39" ht="15.75" customHeight="1" x14ac:dyDescent="0.35">
      <c r="A84" s="44"/>
      <c r="B84" s="45"/>
      <c r="C84" s="199" t="s">
        <v>162</v>
      </c>
      <c r="D84" s="298"/>
      <c r="E84" s="46">
        <v>7000</v>
      </c>
      <c r="F84" s="298"/>
      <c r="G84" s="298"/>
      <c r="H84" s="298"/>
      <c r="I84" s="47">
        <v>4</v>
      </c>
      <c r="J84" s="47"/>
      <c r="K84" s="47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22"/>
      <c r="AK84" s="18"/>
    </row>
    <row r="85" spans="1:39" ht="15.75" customHeight="1" x14ac:dyDescent="0.35">
      <c r="A85" s="44"/>
      <c r="B85" s="45"/>
      <c r="C85" s="199" t="s">
        <v>163</v>
      </c>
      <c r="D85" s="47" t="s">
        <v>150</v>
      </c>
      <c r="E85" s="46">
        <v>500</v>
      </c>
      <c r="F85" s="46">
        <f>E85*20</f>
        <v>10000</v>
      </c>
      <c r="G85" s="58" t="s">
        <v>78</v>
      </c>
      <c r="H85" s="47" t="s">
        <v>84</v>
      </c>
      <c r="I85" s="47">
        <v>20</v>
      </c>
      <c r="J85" s="47"/>
      <c r="K85" s="47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22"/>
      <c r="AK85" s="18"/>
      <c r="AL85" s="2"/>
      <c r="AM85" s="2"/>
    </row>
    <row r="86" spans="1:39" ht="15.75" customHeight="1" x14ac:dyDescent="0.35">
      <c r="A86" s="44"/>
      <c r="B86" s="45"/>
      <c r="C86" s="199" t="s">
        <v>164</v>
      </c>
      <c r="D86" s="307" t="s">
        <v>77</v>
      </c>
      <c r="E86" s="46">
        <v>10000</v>
      </c>
      <c r="F86" s="319">
        <f>(E86*3)+(E87*20)</f>
        <v>70000</v>
      </c>
      <c r="G86" s="291" t="s">
        <v>78</v>
      </c>
      <c r="H86" s="47" t="s">
        <v>84</v>
      </c>
      <c r="I86" s="47">
        <v>3</v>
      </c>
      <c r="J86" s="47"/>
      <c r="K86" s="47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22"/>
      <c r="AK86" s="18"/>
      <c r="AL86" s="65"/>
      <c r="AM86" s="65"/>
    </row>
    <row r="87" spans="1:39" ht="15.75" customHeight="1" x14ac:dyDescent="0.35">
      <c r="A87" s="44"/>
      <c r="B87" s="48"/>
      <c r="C87" s="207" t="s">
        <v>165</v>
      </c>
      <c r="D87" s="289"/>
      <c r="E87" s="46">
        <v>2000</v>
      </c>
      <c r="F87" s="289"/>
      <c r="G87" s="289"/>
      <c r="H87" s="47" t="s">
        <v>84</v>
      </c>
      <c r="I87" s="47">
        <v>20</v>
      </c>
      <c r="J87" s="47"/>
      <c r="K87" s="47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22"/>
      <c r="AK87" s="18"/>
      <c r="AL87" s="65"/>
      <c r="AM87" s="65"/>
    </row>
    <row r="88" spans="1:39" ht="15.75" customHeight="1" x14ac:dyDescent="0.35">
      <c r="A88" s="44"/>
      <c r="B88" s="48"/>
      <c r="C88" s="269" t="s">
        <v>166</v>
      </c>
      <c r="D88" s="98" t="s">
        <v>136</v>
      </c>
      <c r="E88" s="46">
        <v>10000</v>
      </c>
      <c r="F88" s="46">
        <f>E88*2</f>
        <v>20000</v>
      </c>
      <c r="G88" s="58" t="s">
        <v>78</v>
      </c>
      <c r="H88" s="47" t="s">
        <v>84</v>
      </c>
      <c r="I88" s="47">
        <v>1</v>
      </c>
      <c r="J88" s="47"/>
      <c r="K88" s="47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22"/>
      <c r="AK88" s="18"/>
      <c r="AL88" s="65"/>
      <c r="AM88" s="65"/>
    </row>
    <row r="89" spans="1:39" ht="15.75" customHeight="1" x14ac:dyDescent="0.35">
      <c r="A89" s="91"/>
      <c r="B89" s="92"/>
      <c r="C89" s="99" t="s">
        <v>167</v>
      </c>
      <c r="D89" s="47" t="s">
        <v>168</v>
      </c>
      <c r="E89" s="100">
        <v>200</v>
      </c>
      <c r="F89" s="101">
        <f>E89*400</f>
        <v>80000</v>
      </c>
      <c r="G89" s="58" t="s">
        <v>78</v>
      </c>
      <c r="H89" s="47" t="s">
        <v>84</v>
      </c>
      <c r="I89" s="37">
        <v>100</v>
      </c>
      <c r="J89" s="37">
        <v>200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40"/>
      <c r="AJ89" s="41"/>
      <c r="AK89" s="42"/>
      <c r="AL89" s="95"/>
      <c r="AM89" s="95"/>
    </row>
    <row r="90" spans="1:39" ht="15.75" customHeight="1" x14ac:dyDescent="0.35">
      <c r="A90" s="91"/>
      <c r="B90" s="92"/>
      <c r="C90" s="270" t="s">
        <v>169</v>
      </c>
      <c r="D90" s="47" t="s">
        <v>152</v>
      </c>
      <c r="E90" s="100">
        <v>400</v>
      </c>
      <c r="F90" s="101">
        <f>E90*100</f>
        <v>40000</v>
      </c>
      <c r="G90" s="58" t="s">
        <v>78</v>
      </c>
      <c r="H90" s="81" t="s">
        <v>84</v>
      </c>
      <c r="I90" s="35"/>
      <c r="J90" s="37"/>
      <c r="K90" s="37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40"/>
      <c r="AJ90" s="41"/>
      <c r="AK90" s="42"/>
      <c r="AL90" s="95"/>
      <c r="AM90" s="95"/>
    </row>
    <row r="91" spans="1:39" ht="15.75" customHeight="1" x14ac:dyDescent="0.35">
      <c r="A91" s="91"/>
      <c r="B91" s="92"/>
      <c r="C91" s="271" t="s">
        <v>170</v>
      </c>
      <c r="D91" s="293" t="s">
        <v>77</v>
      </c>
      <c r="E91" s="100">
        <f>550*2</f>
        <v>1100</v>
      </c>
      <c r="F91" s="320">
        <f>SUM(E91:E112)</f>
        <v>124711</v>
      </c>
      <c r="G91" s="312" t="s">
        <v>132</v>
      </c>
      <c r="H91" s="296" t="s">
        <v>84</v>
      </c>
      <c r="I91" s="35"/>
      <c r="J91" s="37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40"/>
      <c r="AJ91" s="41"/>
      <c r="AK91" s="42"/>
      <c r="AL91" s="95"/>
      <c r="AM91" s="95"/>
    </row>
    <row r="92" spans="1:39" ht="15.75" customHeight="1" x14ac:dyDescent="0.35">
      <c r="A92" s="91"/>
      <c r="B92" s="92"/>
      <c r="C92" s="271" t="s">
        <v>171</v>
      </c>
      <c r="D92" s="294"/>
      <c r="E92" s="100">
        <f>600</f>
        <v>600</v>
      </c>
      <c r="F92" s="321"/>
      <c r="G92" s="322"/>
      <c r="H92" s="300"/>
      <c r="I92" s="35"/>
      <c r="J92" s="3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40"/>
      <c r="AJ92" s="41"/>
      <c r="AK92" s="42"/>
      <c r="AL92" s="95"/>
      <c r="AM92" s="95"/>
    </row>
    <row r="93" spans="1:39" ht="15.75" customHeight="1" x14ac:dyDescent="0.35">
      <c r="A93" s="91"/>
      <c r="B93" s="92"/>
      <c r="C93" s="271" t="s">
        <v>172</v>
      </c>
      <c r="D93" s="294"/>
      <c r="E93" s="100">
        <v>6785</v>
      </c>
      <c r="F93" s="321"/>
      <c r="G93" s="322"/>
      <c r="H93" s="300"/>
      <c r="I93" s="35"/>
      <c r="J93" s="3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40"/>
      <c r="AJ93" s="41"/>
      <c r="AK93" s="42"/>
      <c r="AL93" s="95"/>
      <c r="AM93" s="95"/>
    </row>
    <row r="94" spans="1:39" ht="15.75" customHeight="1" x14ac:dyDescent="0.35">
      <c r="A94" s="91"/>
      <c r="B94" s="92"/>
      <c r="C94" s="271" t="s">
        <v>173</v>
      </c>
      <c r="D94" s="294"/>
      <c r="E94" s="100">
        <v>3055</v>
      </c>
      <c r="F94" s="321"/>
      <c r="G94" s="322"/>
      <c r="H94" s="300"/>
      <c r="I94" s="35"/>
      <c r="J94" s="3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40"/>
      <c r="AJ94" s="41"/>
      <c r="AK94" s="42"/>
      <c r="AL94" s="95"/>
      <c r="AM94" s="95"/>
    </row>
    <row r="95" spans="1:39" ht="15.75" customHeight="1" x14ac:dyDescent="0.35">
      <c r="A95" s="91"/>
      <c r="B95" s="92"/>
      <c r="C95" s="271" t="s">
        <v>174</v>
      </c>
      <c r="D95" s="294"/>
      <c r="E95" s="100">
        <v>1055</v>
      </c>
      <c r="F95" s="321"/>
      <c r="G95" s="322"/>
      <c r="H95" s="300"/>
      <c r="I95" s="35"/>
      <c r="J95" s="3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40"/>
      <c r="AJ95" s="41"/>
      <c r="AK95" s="42"/>
      <c r="AL95" s="95"/>
      <c r="AM95" s="95"/>
    </row>
    <row r="96" spans="1:39" ht="15.75" customHeight="1" x14ac:dyDescent="0.35">
      <c r="A96" s="91"/>
      <c r="B96" s="92"/>
      <c r="C96" s="271" t="s">
        <v>175</v>
      </c>
      <c r="D96" s="294"/>
      <c r="E96" s="100">
        <f>455*4</f>
        <v>1820</v>
      </c>
      <c r="F96" s="321"/>
      <c r="G96" s="322"/>
      <c r="H96" s="300"/>
      <c r="I96" s="35"/>
      <c r="J96" s="3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40"/>
      <c r="AJ96" s="41"/>
      <c r="AK96" s="42"/>
      <c r="AL96" s="95"/>
      <c r="AM96" s="95"/>
    </row>
    <row r="97" spans="1:39" ht="15.75" customHeight="1" x14ac:dyDescent="0.35">
      <c r="A97" s="91"/>
      <c r="B97" s="92"/>
      <c r="C97" s="271" t="s">
        <v>176</v>
      </c>
      <c r="D97" s="294"/>
      <c r="E97" s="100">
        <v>2100</v>
      </c>
      <c r="F97" s="321"/>
      <c r="G97" s="322"/>
      <c r="H97" s="300"/>
      <c r="I97" s="35"/>
      <c r="J97" s="3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40"/>
      <c r="AJ97" s="41"/>
      <c r="AK97" s="42"/>
      <c r="AL97" s="95"/>
      <c r="AM97" s="95"/>
    </row>
    <row r="98" spans="1:39" ht="15.75" customHeight="1" x14ac:dyDescent="0.35">
      <c r="A98" s="91"/>
      <c r="B98" s="92"/>
      <c r="C98" s="271" t="s">
        <v>177</v>
      </c>
      <c r="D98" s="294"/>
      <c r="E98" s="100">
        <f>355*4</f>
        <v>1420</v>
      </c>
      <c r="F98" s="321"/>
      <c r="G98" s="322"/>
      <c r="H98" s="300"/>
      <c r="I98" s="35"/>
      <c r="J98" s="3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40"/>
      <c r="AJ98" s="41"/>
      <c r="AK98" s="42"/>
      <c r="AL98" s="95"/>
      <c r="AM98" s="95"/>
    </row>
    <row r="99" spans="1:39" ht="15.75" customHeight="1" x14ac:dyDescent="0.35">
      <c r="A99" s="91"/>
      <c r="B99" s="92"/>
      <c r="C99" s="271" t="s">
        <v>178</v>
      </c>
      <c r="D99" s="294"/>
      <c r="E99" s="100">
        <f>325*30</f>
        <v>9750</v>
      </c>
      <c r="F99" s="321"/>
      <c r="G99" s="322"/>
      <c r="H99" s="300"/>
      <c r="I99" s="35"/>
      <c r="J99" s="3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40"/>
      <c r="AJ99" s="41"/>
      <c r="AK99" s="42"/>
      <c r="AL99" s="95"/>
      <c r="AM99" s="95"/>
    </row>
    <row r="100" spans="1:39" ht="15.75" customHeight="1" x14ac:dyDescent="0.35">
      <c r="A100" s="91"/>
      <c r="B100" s="92"/>
      <c r="C100" s="271" t="s">
        <v>179</v>
      </c>
      <c r="D100" s="294"/>
      <c r="E100" s="100">
        <f>285*3</f>
        <v>855</v>
      </c>
      <c r="F100" s="321"/>
      <c r="G100" s="322"/>
      <c r="H100" s="300"/>
      <c r="I100" s="35"/>
      <c r="J100" s="3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40"/>
      <c r="AJ100" s="41"/>
      <c r="AK100" s="42"/>
      <c r="AL100" s="95"/>
      <c r="AM100" s="95"/>
    </row>
    <row r="101" spans="1:39" ht="15.75" customHeight="1" x14ac:dyDescent="0.35">
      <c r="A101" s="91"/>
      <c r="B101" s="92"/>
      <c r="C101" s="271" t="s">
        <v>180</v>
      </c>
      <c r="D101" s="294"/>
      <c r="E101" s="100">
        <f>250*16</f>
        <v>4000</v>
      </c>
      <c r="F101" s="321"/>
      <c r="G101" s="322"/>
      <c r="H101" s="300"/>
      <c r="I101" s="35"/>
      <c r="J101" s="3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40"/>
      <c r="AJ101" s="41"/>
      <c r="AK101" s="42"/>
      <c r="AL101" s="95"/>
      <c r="AM101" s="95"/>
    </row>
    <row r="102" spans="1:39" ht="15.75" customHeight="1" x14ac:dyDescent="0.35">
      <c r="A102" s="91"/>
      <c r="B102" s="92"/>
      <c r="C102" s="271" t="s">
        <v>181</v>
      </c>
      <c r="D102" s="294"/>
      <c r="E102" s="100">
        <f>65*5</f>
        <v>325</v>
      </c>
      <c r="F102" s="321"/>
      <c r="G102" s="322"/>
      <c r="H102" s="300"/>
      <c r="I102" s="35"/>
      <c r="J102" s="3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40"/>
      <c r="AJ102" s="41"/>
      <c r="AK102" s="42"/>
      <c r="AL102" s="95"/>
      <c r="AM102" s="95"/>
    </row>
    <row r="103" spans="1:39" ht="15.75" customHeight="1" x14ac:dyDescent="0.35">
      <c r="A103" s="91"/>
      <c r="B103" s="92"/>
      <c r="C103" s="271" t="s">
        <v>182</v>
      </c>
      <c r="D103" s="294"/>
      <c r="E103" s="100">
        <f>35*40</f>
        <v>1400</v>
      </c>
      <c r="F103" s="321"/>
      <c r="G103" s="322"/>
      <c r="H103" s="300"/>
      <c r="I103" s="35"/>
      <c r="J103" s="3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40"/>
      <c r="AJ103" s="41"/>
      <c r="AK103" s="42"/>
      <c r="AL103" s="95"/>
      <c r="AM103" s="95"/>
    </row>
    <row r="104" spans="1:39" ht="15.75" customHeight="1" x14ac:dyDescent="0.35">
      <c r="A104" s="91"/>
      <c r="B104" s="92"/>
      <c r="C104" s="271" t="s">
        <v>183</v>
      </c>
      <c r="D104" s="294"/>
      <c r="E104" s="100">
        <f>170*14</f>
        <v>2380</v>
      </c>
      <c r="F104" s="321"/>
      <c r="G104" s="322"/>
      <c r="H104" s="300"/>
      <c r="I104" s="35"/>
      <c r="J104" s="3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40"/>
      <c r="AJ104" s="41"/>
      <c r="AK104" s="42"/>
      <c r="AL104" s="95"/>
      <c r="AM104" s="95"/>
    </row>
    <row r="105" spans="1:39" ht="15.75" customHeight="1" x14ac:dyDescent="0.35">
      <c r="A105" s="91"/>
      <c r="B105" s="92"/>
      <c r="C105" s="271" t="s">
        <v>184</v>
      </c>
      <c r="D105" s="294"/>
      <c r="E105" s="100">
        <f>80*4</f>
        <v>320</v>
      </c>
      <c r="F105" s="321"/>
      <c r="G105" s="322"/>
      <c r="H105" s="300"/>
      <c r="I105" s="35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40"/>
      <c r="AJ105" s="41"/>
      <c r="AK105" s="42"/>
      <c r="AL105" s="95"/>
      <c r="AM105" s="95"/>
    </row>
    <row r="106" spans="1:39" ht="15.75" customHeight="1" x14ac:dyDescent="0.35">
      <c r="A106" s="91"/>
      <c r="B106" s="92"/>
      <c r="C106" s="271" t="s">
        <v>185</v>
      </c>
      <c r="D106" s="294"/>
      <c r="E106" s="100">
        <f>80*4</f>
        <v>320</v>
      </c>
      <c r="F106" s="321"/>
      <c r="G106" s="322"/>
      <c r="H106" s="300"/>
      <c r="I106" s="35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40"/>
      <c r="AJ106" s="41"/>
      <c r="AK106" s="42"/>
      <c r="AL106" s="95"/>
      <c r="AM106" s="95"/>
    </row>
    <row r="107" spans="1:39" ht="15.75" customHeight="1" x14ac:dyDescent="0.35">
      <c r="A107" s="91"/>
      <c r="B107" s="92"/>
      <c r="C107" s="271" t="s">
        <v>186</v>
      </c>
      <c r="D107" s="294"/>
      <c r="E107" s="100">
        <f>72*8</f>
        <v>576</v>
      </c>
      <c r="F107" s="321"/>
      <c r="G107" s="322"/>
      <c r="H107" s="300"/>
      <c r="I107" s="35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40"/>
      <c r="AJ107" s="41"/>
      <c r="AK107" s="42"/>
      <c r="AL107" s="95"/>
      <c r="AM107" s="95"/>
    </row>
    <row r="108" spans="1:39" ht="15.75" customHeight="1" x14ac:dyDescent="0.35">
      <c r="A108" s="91"/>
      <c r="B108" s="92"/>
      <c r="C108" s="271" t="s">
        <v>187</v>
      </c>
      <c r="D108" s="294"/>
      <c r="E108" s="100">
        <f>85*160</f>
        <v>13600</v>
      </c>
      <c r="F108" s="321"/>
      <c r="G108" s="322"/>
      <c r="H108" s="300"/>
      <c r="I108" s="35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40"/>
      <c r="AJ108" s="41"/>
      <c r="AK108" s="42"/>
      <c r="AL108" s="95"/>
      <c r="AM108" s="95"/>
    </row>
    <row r="109" spans="1:39" ht="15.75" customHeight="1" x14ac:dyDescent="0.35">
      <c r="A109" s="91"/>
      <c r="B109" s="92"/>
      <c r="C109" s="271" t="s">
        <v>188</v>
      </c>
      <c r="D109" s="294"/>
      <c r="E109" s="100">
        <f>50*2</f>
        <v>100</v>
      </c>
      <c r="F109" s="321"/>
      <c r="G109" s="322"/>
      <c r="H109" s="300"/>
      <c r="I109" s="35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40"/>
      <c r="AJ109" s="41"/>
      <c r="AK109" s="42"/>
      <c r="AL109" s="95"/>
      <c r="AM109" s="95"/>
    </row>
    <row r="110" spans="1:39" ht="15.75" customHeight="1" x14ac:dyDescent="0.35">
      <c r="A110" s="91"/>
      <c r="B110" s="92"/>
      <c r="C110" s="271" t="s">
        <v>189</v>
      </c>
      <c r="D110" s="294"/>
      <c r="E110" s="100">
        <f>60*150</f>
        <v>9000</v>
      </c>
      <c r="F110" s="321"/>
      <c r="G110" s="322"/>
      <c r="H110" s="300"/>
      <c r="I110" s="35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40"/>
      <c r="AJ110" s="41"/>
      <c r="AK110" s="42"/>
      <c r="AL110" s="95"/>
      <c r="AM110" s="95"/>
    </row>
    <row r="111" spans="1:39" ht="15.75" customHeight="1" x14ac:dyDescent="0.35">
      <c r="A111" s="91"/>
      <c r="B111" s="92"/>
      <c r="C111" s="271" t="s">
        <v>190</v>
      </c>
      <c r="D111" s="294"/>
      <c r="E111" s="100">
        <f>85*30</f>
        <v>2550</v>
      </c>
      <c r="F111" s="321"/>
      <c r="G111" s="322"/>
      <c r="H111" s="300"/>
      <c r="I111" s="35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40"/>
      <c r="AJ111" s="41"/>
      <c r="AK111" s="42"/>
      <c r="AL111" s="95"/>
      <c r="AM111" s="95"/>
    </row>
    <row r="112" spans="1:39" ht="15.75" customHeight="1" x14ac:dyDescent="0.35">
      <c r="A112" s="91"/>
      <c r="B112" s="92"/>
      <c r="C112" s="271" t="s">
        <v>191</v>
      </c>
      <c r="D112" s="294"/>
      <c r="E112" s="100">
        <f>770*80</f>
        <v>61600</v>
      </c>
      <c r="F112" s="321"/>
      <c r="G112" s="322"/>
      <c r="H112" s="300"/>
      <c r="I112" s="35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40"/>
      <c r="AJ112" s="41"/>
      <c r="AK112" s="42"/>
      <c r="AL112" s="95"/>
      <c r="AM112" s="95"/>
    </row>
    <row r="113" spans="1:39" ht="15.75" customHeight="1" x14ac:dyDescent="0.35">
      <c r="A113" s="28" t="s">
        <v>192</v>
      </c>
      <c r="B113" s="78"/>
      <c r="C113" s="214" t="s">
        <v>193</v>
      </c>
      <c r="D113" s="29"/>
      <c r="E113" s="31"/>
      <c r="F113" s="32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33"/>
      <c r="AJ113" s="22"/>
      <c r="AK113" s="18"/>
    </row>
    <row r="114" spans="1:39" ht="15.75" customHeight="1" x14ac:dyDescent="0.35">
      <c r="A114" s="44"/>
      <c r="B114" s="45"/>
      <c r="C114" s="199" t="s">
        <v>194</v>
      </c>
      <c r="D114" s="58" t="s">
        <v>144</v>
      </c>
      <c r="E114" s="46">
        <v>10000</v>
      </c>
      <c r="F114" s="82">
        <f>E114*2</f>
        <v>20000</v>
      </c>
      <c r="G114" s="58" t="s">
        <v>195</v>
      </c>
      <c r="H114" s="47" t="s">
        <v>79</v>
      </c>
      <c r="I114" s="47">
        <v>1</v>
      </c>
      <c r="J114" s="47">
        <v>1</v>
      </c>
      <c r="K114" s="47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22"/>
      <c r="AK114" s="18"/>
    </row>
    <row r="115" spans="1:39" ht="15.75" customHeight="1" x14ac:dyDescent="0.35">
      <c r="A115" s="44"/>
      <c r="B115" s="45"/>
      <c r="C115" s="199" t="s">
        <v>316</v>
      </c>
      <c r="D115" s="58" t="s">
        <v>291</v>
      </c>
      <c r="E115" s="46">
        <v>10000</v>
      </c>
      <c r="F115" s="82">
        <f>E115*20</f>
        <v>200000</v>
      </c>
      <c r="G115" s="58"/>
      <c r="H115" s="47"/>
      <c r="I115" s="47">
        <v>2</v>
      </c>
      <c r="J115" s="47">
        <v>2</v>
      </c>
      <c r="K115" s="47">
        <v>2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22"/>
      <c r="AK115" s="18"/>
    </row>
    <row r="116" spans="1:39" ht="15.75" customHeight="1" x14ac:dyDescent="0.35">
      <c r="A116" s="28" t="s">
        <v>196</v>
      </c>
      <c r="B116" s="78"/>
      <c r="C116" s="226" t="s">
        <v>197</v>
      </c>
      <c r="D116" s="29"/>
      <c r="E116" s="31"/>
      <c r="F116" s="31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33"/>
      <c r="AJ116" s="41"/>
      <c r="AK116" s="42"/>
      <c r="AL116" s="43"/>
      <c r="AM116" s="43"/>
    </row>
    <row r="117" spans="1:39" ht="15.75" customHeight="1" x14ac:dyDescent="0.35">
      <c r="A117" s="44"/>
      <c r="B117" s="45"/>
      <c r="C117" s="254" t="s">
        <v>198</v>
      </c>
      <c r="D117" s="102" t="s">
        <v>199</v>
      </c>
      <c r="E117" s="46">
        <v>25000</v>
      </c>
      <c r="F117" s="82">
        <f t="shared" ref="F117" si="0">E117*1</f>
        <v>25000</v>
      </c>
      <c r="G117" s="58" t="s">
        <v>78</v>
      </c>
      <c r="H117" s="47" t="s">
        <v>84</v>
      </c>
      <c r="I117" s="47">
        <v>1</v>
      </c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22"/>
      <c r="AK117" s="18"/>
      <c r="AL117" s="65"/>
      <c r="AM117" s="65"/>
    </row>
    <row r="118" spans="1:39" ht="15.75" customHeight="1" x14ac:dyDescent="0.35">
      <c r="A118" s="44"/>
      <c r="B118" s="45"/>
      <c r="C118" s="254" t="s">
        <v>305</v>
      </c>
      <c r="D118" s="330" t="s">
        <v>144</v>
      </c>
      <c r="E118" s="46">
        <v>4000</v>
      </c>
      <c r="F118" s="310">
        <f>(E118*2)+(E119*2)</f>
        <v>16000</v>
      </c>
      <c r="G118" s="58" t="s">
        <v>78</v>
      </c>
      <c r="H118" s="47" t="s">
        <v>84</v>
      </c>
      <c r="I118" s="47">
        <v>2</v>
      </c>
      <c r="J118" s="47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22"/>
      <c r="AK118" s="18"/>
    </row>
    <row r="119" spans="1:39" ht="15.75" customHeight="1" x14ac:dyDescent="0.35">
      <c r="A119" s="44"/>
      <c r="B119" s="45"/>
      <c r="C119" s="254" t="s">
        <v>303</v>
      </c>
      <c r="D119" s="347"/>
      <c r="E119" s="46">
        <v>4000</v>
      </c>
      <c r="F119" s="323"/>
      <c r="G119" s="58" t="s">
        <v>78</v>
      </c>
      <c r="H119" s="47" t="s">
        <v>84</v>
      </c>
      <c r="I119" s="47">
        <v>2</v>
      </c>
      <c r="J119" s="47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22"/>
      <c r="AK119" s="18"/>
    </row>
    <row r="120" spans="1:39" ht="15.75" customHeight="1" x14ac:dyDescent="0.35">
      <c r="A120" s="44"/>
      <c r="B120" s="45"/>
      <c r="C120" s="200" t="s">
        <v>200</v>
      </c>
      <c r="D120" s="330" t="s">
        <v>144</v>
      </c>
      <c r="E120" s="46">
        <v>500</v>
      </c>
      <c r="F120" s="310">
        <f>(E120*30)+(E121*20)</f>
        <v>45000</v>
      </c>
      <c r="G120" s="58" t="s">
        <v>78</v>
      </c>
      <c r="H120" s="47" t="s">
        <v>84</v>
      </c>
      <c r="I120" s="47">
        <v>30</v>
      </c>
      <c r="J120" s="47"/>
      <c r="K120" s="47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22"/>
      <c r="AK120" s="18"/>
    </row>
    <row r="121" spans="1:39" ht="15.75" customHeight="1" x14ac:dyDescent="0.35">
      <c r="A121" s="44"/>
      <c r="B121" s="45"/>
      <c r="C121" s="200" t="s">
        <v>309</v>
      </c>
      <c r="D121" s="347"/>
      <c r="E121" s="46">
        <v>1500</v>
      </c>
      <c r="F121" s="323"/>
      <c r="G121" s="58"/>
      <c r="H121" s="47"/>
      <c r="I121" s="47"/>
      <c r="J121" s="47"/>
      <c r="K121" s="47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22"/>
      <c r="AK121" s="18"/>
    </row>
    <row r="122" spans="1:39" ht="15.75" customHeight="1" x14ac:dyDescent="0.35">
      <c r="A122" s="44"/>
      <c r="B122" s="45"/>
      <c r="C122" s="200" t="s">
        <v>202</v>
      </c>
      <c r="D122" s="102" t="s">
        <v>203</v>
      </c>
      <c r="E122" s="46">
        <v>50</v>
      </c>
      <c r="F122" s="82">
        <f>E122*500</f>
        <v>25000</v>
      </c>
      <c r="G122" s="58" t="s">
        <v>78</v>
      </c>
      <c r="H122" s="47" t="s">
        <v>84</v>
      </c>
      <c r="I122" s="47">
        <v>500</v>
      </c>
      <c r="J122" s="47"/>
      <c r="K122" s="47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22"/>
      <c r="AK122" s="18"/>
    </row>
    <row r="123" spans="1:39" ht="26.25" customHeight="1" x14ac:dyDescent="0.35">
      <c r="A123" s="44"/>
      <c r="B123" s="45"/>
      <c r="C123" s="275" t="s">
        <v>204</v>
      </c>
      <c r="D123" s="47" t="s">
        <v>205</v>
      </c>
      <c r="E123" s="46">
        <v>50000</v>
      </c>
      <c r="F123" s="82">
        <f>E123</f>
        <v>50000</v>
      </c>
      <c r="G123" s="103" t="s">
        <v>132</v>
      </c>
      <c r="H123" s="81" t="s">
        <v>206</v>
      </c>
      <c r="I123" s="47"/>
      <c r="J123" s="47">
        <v>200</v>
      </c>
      <c r="K123" s="47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22"/>
      <c r="AK123" s="18"/>
    </row>
    <row r="124" spans="1:39" ht="26.25" customHeight="1" x14ac:dyDescent="0.35">
      <c r="A124" s="44"/>
      <c r="B124" s="45"/>
      <c r="C124" s="215" t="s">
        <v>297</v>
      </c>
      <c r="D124" s="62" t="s">
        <v>296</v>
      </c>
      <c r="E124" s="46">
        <v>500</v>
      </c>
      <c r="F124" s="192">
        <f>E124*500</f>
        <v>250000</v>
      </c>
      <c r="G124" s="103" t="s">
        <v>132</v>
      </c>
      <c r="H124" s="81"/>
      <c r="I124" s="47">
        <v>500</v>
      </c>
      <c r="J124" s="47"/>
      <c r="K124" s="47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9"/>
      <c r="AJ124" s="22"/>
      <c r="AK124" s="18"/>
    </row>
    <row r="125" spans="1:39" ht="26.25" customHeight="1" x14ac:dyDescent="0.35">
      <c r="A125" s="84"/>
      <c r="B125" s="89"/>
      <c r="C125" s="208" t="s">
        <v>207</v>
      </c>
      <c r="D125" s="98" t="s">
        <v>295</v>
      </c>
      <c r="E125" s="86">
        <v>250</v>
      </c>
      <c r="F125" s="104">
        <f>E125*1500</f>
        <v>375000</v>
      </c>
      <c r="G125" s="105" t="s">
        <v>132</v>
      </c>
      <c r="H125" s="47" t="s">
        <v>84</v>
      </c>
      <c r="I125" s="88">
        <v>1500</v>
      </c>
      <c r="J125" s="88"/>
      <c r="K125" s="88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90"/>
      <c r="AJ125" s="41"/>
      <c r="AK125" s="42"/>
      <c r="AL125" s="43"/>
      <c r="AM125" s="43"/>
    </row>
    <row r="126" spans="1:39" ht="26.25" customHeight="1" x14ac:dyDescent="0.35">
      <c r="A126" s="84"/>
      <c r="B126" s="89"/>
      <c r="C126" s="208" t="s">
        <v>208</v>
      </c>
      <c r="D126" s="106" t="s">
        <v>209</v>
      </c>
      <c r="E126" s="86">
        <v>200</v>
      </c>
      <c r="F126" s="107">
        <f>E126*150</f>
        <v>30000</v>
      </c>
      <c r="G126" s="108" t="s">
        <v>132</v>
      </c>
      <c r="H126" s="47" t="s">
        <v>84</v>
      </c>
      <c r="I126" s="88">
        <v>150</v>
      </c>
      <c r="J126" s="88"/>
      <c r="K126" s="8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90"/>
      <c r="AJ126" s="41"/>
      <c r="AK126" s="42"/>
      <c r="AL126" s="43"/>
      <c r="AM126" s="43"/>
    </row>
    <row r="127" spans="1:39" ht="15.75" customHeight="1" x14ac:dyDescent="0.35">
      <c r="A127" s="84"/>
      <c r="B127" s="89"/>
      <c r="C127" s="208" t="s">
        <v>210</v>
      </c>
      <c r="D127" s="324" t="s">
        <v>77</v>
      </c>
      <c r="E127" s="86">
        <v>300</v>
      </c>
      <c r="F127" s="325">
        <f>SUM(E127*1500)+(E128*150)</f>
        <v>487500</v>
      </c>
      <c r="G127" s="326" t="s">
        <v>132</v>
      </c>
      <c r="H127" s="324" t="s">
        <v>84</v>
      </c>
      <c r="I127" s="88">
        <v>1500</v>
      </c>
      <c r="J127" s="88"/>
      <c r="K127" s="88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90"/>
      <c r="AJ127" s="41"/>
      <c r="AK127" s="42"/>
      <c r="AL127" s="43"/>
      <c r="AM127" s="43"/>
    </row>
    <row r="128" spans="1:39" ht="15.75" customHeight="1" x14ac:dyDescent="0.35">
      <c r="A128" s="84"/>
      <c r="B128" s="89"/>
      <c r="C128" s="208" t="s">
        <v>211</v>
      </c>
      <c r="D128" s="289"/>
      <c r="E128" s="86">
        <v>250</v>
      </c>
      <c r="F128" s="289"/>
      <c r="G128" s="289"/>
      <c r="H128" s="289"/>
      <c r="I128" s="88">
        <v>150</v>
      </c>
      <c r="J128" s="88"/>
      <c r="K128" s="88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90"/>
      <c r="AJ128" s="41"/>
      <c r="AK128" s="42"/>
      <c r="AL128" s="43"/>
      <c r="AM128" s="43"/>
    </row>
    <row r="129" spans="1:39" ht="22.5" customHeight="1" x14ac:dyDescent="0.35">
      <c r="A129" s="44"/>
      <c r="B129" s="48"/>
      <c r="C129" s="207" t="s">
        <v>212</v>
      </c>
      <c r="D129" s="47" t="s">
        <v>213</v>
      </c>
      <c r="E129" s="46">
        <v>200</v>
      </c>
      <c r="F129" s="82">
        <f>E129*300</f>
        <v>60000</v>
      </c>
      <c r="G129" s="58" t="s">
        <v>132</v>
      </c>
      <c r="H129" s="47" t="s">
        <v>84</v>
      </c>
      <c r="I129" s="47">
        <v>300</v>
      </c>
      <c r="J129" s="47"/>
      <c r="K129" s="47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9"/>
      <c r="AJ129" s="22"/>
      <c r="AK129" s="18"/>
      <c r="AL129" s="2"/>
      <c r="AM129" s="2"/>
    </row>
    <row r="130" spans="1:39" ht="27" customHeight="1" x14ac:dyDescent="0.35">
      <c r="A130" s="44"/>
      <c r="B130" s="48"/>
      <c r="C130" s="274" t="s">
        <v>214</v>
      </c>
      <c r="D130" s="53" t="s">
        <v>215</v>
      </c>
      <c r="E130" s="46">
        <v>110</v>
      </c>
      <c r="F130" s="82">
        <f>E130*1000</f>
        <v>110000</v>
      </c>
      <c r="G130" s="58" t="s">
        <v>132</v>
      </c>
      <c r="H130" s="47" t="s">
        <v>84</v>
      </c>
      <c r="I130" s="47">
        <v>1000</v>
      </c>
      <c r="J130" s="47"/>
      <c r="K130" s="47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9"/>
      <c r="AJ130" s="22"/>
      <c r="AK130" s="18"/>
      <c r="AL130" s="2"/>
      <c r="AM130" s="2"/>
    </row>
    <row r="131" spans="1:39" ht="15.75" customHeight="1" x14ac:dyDescent="0.35">
      <c r="A131" s="28"/>
      <c r="B131" s="29"/>
      <c r="C131" s="216" t="s">
        <v>216</v>
      </c>
      <c r="D131" s="29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3"/>
      <c r="AJ131" s="41"/>
      <c r="AK131" s="42"/>
      <c r="AL131" s="43"/>
      <c r="AM131" s="43"/>
    </row>
    <row r="132" spans="1:39" ht="15.75" customHeight="1" x14ac:dyDescent="0.35">
      <c r="A132" s="109"/>
      <c r="B132" s="48"/>
      <c r="C132" s="207" t="s">
        <v>298</v>
      </c>
      <c r="D132" s="37" t="s">
        <v>144</v>
      </c>
      <c r="E132" s="110">
        <v>5000</v>
      </c>
      <c r="F132" s="110">
        <v>5000</v>
      </c>
      <c r="G132" s="58" t="s">
        <v>89</v>
      </c>
      <c r="H132" s="48"/>
      <c r="I132" s="37">
        <v>1</v>
      </c>
      <c r="J132" s="37">
        <v>1</v>
      </c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9"/>
      <c r="AJ132" s="22"/>
      <c r="AK132" s="18"/>
      <c r="AL132" s="2"/>
      <c r="AM132" s="2"/>
    </row>
    <row r="133" spans="1:39" ht="15.75" customHeight="1" x14ac:dyDescent="0.35">
      <c r="A133" s="28" t="s">
        <v>217</v>
      </c>
      <c r="B133" s="29"/>
      <c r="C133" s="216" t="s">
        <v>218</v>
      </c>
      <c r="D133" s="29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3"/>
      <c r="AJ133" s="41"/>
      <c r="AK133" s="42"/>
      <c r="AL133" s="43"/>
      <c r="AM133" s="43"/>
    </row>
    <row r="134" spans="1:39" s="116" customFormat="1" ht="15.75" customHeight="1" x14ac:dyDescent="0.35">
      <c r="A134" s="111"/>
      <c r="B134" s="112"/>
      <c r="C134" s="273" t="s">
        <v>299</v>
      </c>
      <c r="D134" s="37" t="s">
        <v>286</v>
      </c>
      <c r="E134" s="110">
        <v>25000</v>
      </c>
      <c r="F134" s="114">
        <f>E134*6</f>
        <v>150000</v>
      </c>
      <c r="G134" s="112"/>
      <c r="H134" s="112"/>
      <c r="I134" s="37">
        <v>10</v>
      </c>
      <c r="J134" s="112"/>
      <c r="K134" s="37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5"/>
      <c r="AJ134" s="41"/>
      <c r="AK134" s="42"/>
      <c r="AL134" s="43"/>
      <c r="AM134" s="43"/>
    </row>
    <row r="135" spans="1:39" s="116" customFormat="1" ht="15.75" customHeight="1" x14ac:dyDescent="0.35">
      <c r="A135" s="111"/>
      <c r="B135" s="112"/>
      <c r="C135" s="273" t="s">
        <v>299</v>
      </c>
      <c r="D135" s="37" t="s">
        <v>315</v>
      </c>
      <c r="E135" s="110">
        <v>25000</v>
      </c>
      <c r="F135" s="114">
        <f>E135*2</f>
        <v>50000</v>
      </c>
      <c r="G135" s="112"/>
      <c r="H135" s="112"/>
      <c r="I135" s="37"/>
      <c r="J135" s="112"/>
      <c r="K135" s="37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5"/>
      <c r="AJ135" s="41"/>
      <c r="AK135" s="42"/>
      <c r="AL135" s="43"/>
      <c r="AM135" s="43"/>
    </row>
    <row r="136" spans="1:39" s="116" customFormat="1" ht="15.75" customHeight="1" x14ac:dyDescent="0.35">
      <c r="A136" s="111"/>
      <c r="B136" s="112"/>
      <c r="C136" s="273" t="s">
        <v>299</v>
      </c>
      <c r="D136" s="37" t="s">
        <v>315</v>
      </c>
      <c r="E136" s="110">
        <v>25000</v>
      </c>
      <c r="F136" s="114">
        <f>E136*2</f>
        <v>50000</v>
      </c>
      <c r="G136" s="112"/>
      <c r="H136" s="112"/>
      <c r="I136" s="37"/>
      <c r="J136" s="112"/>
      <c r="K136" s="37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5"/>
      <c r="AJ136" s="41"/>
      <c r="AK136" s="42"/>
      <c r="AL136" s="43"/>
      <c r="AM136" s="43"/>
    </row>
    <row r="137" spans="1:39" ht="15.75" customHeight="1" x14ac:dyDescent="0.35">
      <c r="A137" s="28" t="s">
        <v>217</v>
      </c>
      <c r="B137" s="29"/>
      <c r="C137" s="216" t="s">
        <v>219</v>
      </c>
      <c r="D137" s="29"/>
      <c r="E137" s="31"/>
      <c r="F137" s="31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33"/>
      <c r="AJ137" s="41"/>
      <c r="AK137" s="42"/>
      <c r="AL137" s="43"/>
      <c r="AM137" s="43"/>
    </row>
    <row r="138" spans="1:39" ht="15.75" customHeight="1" x14ac:dyDescent="0.35">
      <c r="A138" s="34"/>
      <c r="B138" s="35"/>
      <c r="C138" s="36" t="s">
        <v>220</v>
      </c>
      <c r="D138" s="37" t="s">
        <v>221</v>
      </c>
      <c r="E138" s="110">
        <v>5000</v>
      </c>
      <c r="F138" s="110">
        <f>E138*10</f>
        <v>50000</v>
      </c>
      <c r="G138" s="39" t="s">
        <v>222</v>
      </c>
      <c r="H138" s="37"/>
      <c r="I138" s="37">
        <v>3</v>
      </c>
      <c r="J138" s="37">
        <v>3</v>
      </c>
      <c r="K138" s="37">
        <v>4</v>
      </c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40"/>
      <c r="AJ138" s="41"/>
      <c r="AK138" s="42"/>
      <c r="AL138" s="43"/>
      <c r="AM138" s="43"/>
    </row>
    <row r="139" spans="1:39" ht="26.25" customHeight="1" x14ac:dyDescent="0.35">
      <c r="A139" s="34"/>
      <c r="B139" s="35"/>
      <c r="C139" s="117" t="s">
        <v>223</v>
      </c>
      <c r="D139" s="37" t="s">
        <v>77</v>
      </c>
      <c r="E139" s="110">
        <v>150000</v>
      </c>
      <c r="F139" s="110">
        <f>E139</f>
        <v>150000</v>
      </c>
      <c r="G139" s="58" t="s">
        <v>132</v>
      </c>
      <c r="H139" s="37"/>
      <c r="I139" s="37"/>
      <c r="J139" s="37">
        <v>1</v>
      </c>
      <c r="K139" s="39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40"/>
      <c r="AJ139" s="41"/>
      <c r="AK139" s="42"/>
      <c r="AL139" s="43"/>
      <c r="AM139" s="43"/>
    </row>
    <row r="140" spans="1:39" s="127" customFormat="1" ht="13.5" customHeight="1" x14ac:dyDescent="0.35">
      <c r="A140" s="118"/>
      <c r="B140" s="118"/>
      <c r="C140" s="119" t="s">
        <v>224</v>
      </c>
      <c r="D140" s="120" t="s">
        <v>77</v>
      </c>
      <c r="E140" s="121">
        <v>37000</v>
      </c>
      <c r="F140" s="122">
        <f>E140</f>
        <v>37000</v>
      </c>
      <c r="G140" s="120"/>
      <c r="H140" s="123"/>
      <c r="I140" s="124"/>
      <c r="J140" s="124">
        <v>1</v>
      </c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6"/>
      <c r="AK140" s="126"/>
    </row>
    <row r="141" spans="1:39" s="127" customFormat="1" ht="13.5" customHeight="1" x14ac:dyDescent="0.35">
      <c r="A141" s="118"/>
      <c r="B141" s="118"/>
      <c r="C141" s="119" t="s">
        <v>224</v>
      </c>
      <c r="D141" s="313" t="s">
        <v>77</v>
      </c>
      <c r="E141" s="121">
        <v>200000</v>
      </c>
      <c r="F141" s="316">
        <f>E141+E142+E143</f>
        <v>300000</v>
      </c>
      <c r="G141" s="313" t="s">
        <v>222</v>
      </c>
      <c r="H141" s="123"/>
      <c r="I141" s="124">
        <v>1</v>
      </c>
      <c r="J141" s="124"/>
      <c r="K141" s="128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6"/>
      <c r="AK141" s="126"/>
    </row>
    <row r="142" spans="1:39" s="127" customFormat="1" ht="13.5" customHeight="1" x14ac:dyDescent="0.35">
      <c r="A142" s="118"/>
      <c r="B142" s="118"/>
      <c r="C142" s="119" t="s">
        <v>224</v>
      </c>
      <c r="D142" s="314"/>
      <c r="E142" s="121">
        <v>50000</v>
      </c>
      <c r="F142" s="317"/>
      <c r="G142" s="314"/>
      <c r="H142" s="123"/>
      <c r="I142" s="124">
        <v>1</v>
      </c>
      <c r="J142" s="124"/>
      <c r="K142" s="128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6"/>
      <c r="AK142" s="126"/>
    </row>
    <row r="143" spans="1:39" s="127" customFormat="1" ht="13.5" customHeight="1" x14ac:dyDescent="0.35">
      <c r="A143" s="118"/>
      <c r="B143" s="118"/>
      <c r="C143" s="193" t="s">
        <v>224</v>
      </c>
      <c r="D143" s="315"/>
      <c r="E143" s="121">
        <v>50000</v>
      </c>
      <c r="F143" s="318"/>
      <c r="G143" s="315"/>
      <c r="H143" s="123"/>
      <c r="I143" s="124">
        <v>1</v>
      </c>
      <c r="J143" s="124"/>
      <c r="K143" s="128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6"/>
      <c r="AK143" s="126"/>
    </row>
    <row r="144" spans="1:39" s="127" customFormat="1" ht="13.5" customHeight="1" x14ac:dyDescent="0.35">
      <c r="A144" s="118"/>
      <c r="B144" s="118"/>
      <c r="C144" s="193" t="s">
        <v>317</v>
      </c>
      <c r="D144" s="120" t="s">
        <v>77</v>
      </c>
      <c r="E144" s="121">
        <v>600</v>
      </c>
      <c r="F144" s="122">
        <f>E144*200</f>
        <v>120000</v>
      </c>
      <c r="G144" s="120"/>
      <c r="H144" s="123"/>
      <c r="I144" s="124">
        <v>1</v>
      </c>
      <c r="J144" s="124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6"/>
      <c r="AK144" s="126"/>
    </row>
    <row r="145" spans="1:39" s="127" customFormat="1" ht="13.5" customHeight="1" x14ac:dyDescent="0.35">
      <c r="A145" s="129"/>
      <c r="B145" s="194"/>
      <c r="C145" s="195" t="s">
        <v>287</v>
      </c>
      <c r="D145" s="120" t="s">
        <v>77</v>
      </c>
      <c r="E145" s="130">
        <v>100000</v>
      </c>
      <c r="F145" s="131">
        <v>85000</v>
      </c>
      <c r="G145" s="120"/>
      <c r="H145" s="123"/>
      <c r="I145" s="132">
        <v>1</v>
      </c>
      <c r="J145" s="132"/>
      <c r="K145" s="133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5"/>
      <c r="AJ145" s="126"/>
      <c r="AK145" s="126"/>
    </row>
    <row r="146" spans="1:39" ht="15.75" customHeight="1" x14ac:dyDescent="0.35">
      <c r="A146" s="28" t="s">
        <v>225</v>
      </c>
      <c r="B146" s="29"/>
      <c r="C146" s="216" t="s">
        <v>226</v>
      </c>
      <c r="D146" s="29"/>
      <c r="E146" s="31"/>
      <c r="F146" s="31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3"/>
      <c r="AJ146" s="41"/>
      <c r="AK146" s="42"/>
      <c r="AL146" s="43"/>
      <c r="AM146" s="43"/>
    </row>
    <row r="147" spans="1:39" ht="15.75" customHeight="1" x14ac:dyDescent="0.35">
      <c r="A147" s="34"/>
      <c r="B147" s="35"/>
      <c r="C147" s="36" t="s">
        <v>227</v>
      </c>
      <c r="D147" s="37" t="s">
        <v>285</v>
      </c>
      <c r="E147" s="110">
        <v>2500</v>
      </c>
      <c r="F147" s="110">
        <f>E147*1</f>
        <v>2500</v>
      </c>
      <c r="G147" s="39" t="s">
        <v>222</v>
      </c>
      <c r="H147" s="37" t="s">
        <v>79</v>
      </c>
      <c r="I147" s="88"/>
      <c r="J147" s="88">
        <v>1</v>
      </c>
      <c r="K147" s="88">
        <v>1</v>
      </c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40"/>
      <c r="AJ147" s="41"/>
      <c r="AK147" s="42"/>
      <c r="AL147" s="95"/>
      <c r="AM147" s="95"/>
    </row>
    <row r="148" spans="1:39" ht="15.75" customHeight="1" x14ac:dyDescent="0.35">
      <c r="A148" s="44"/>
      <c r="B148" s="48"/>
      <c r="C148" s="207" t="s">
        <v>228</v>
      </c>
      <c r="D148" s="47" t="s">
        <v>144</v>
      </c>
      <c r="E148" s="46">
        <v>350</v>
      </c>
      <c r="F148" s="46">
        <f>E148*2</f>
        <v>700</v>
      </c>
      <c r="G148" s="58" t="s">
        <v>89</v>
      </c>
      <c r="H148" s="47" t="s">
        <v>79</v>
      </c>
      <c r="I148" s="88">
        <v>1</v>
      </c>
      <c r="J148" s="88">
        <v>1</v>
      </c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9"/>
      <c r="AJ148" s="22"/>
      <c r="AK148" s="18"/>
    </row>
    <row r="149" spans="1:39" ht="15.75" customHeight="1" x14ac:dyDescent="0.35">
      <c r="A149" s="28" t="s">
        <v>229</v>
      </c>
      <c r="B149" s="29"/>
      <c r="C149" s="216" t="s">
        <v>230</v>
      </c>
      <c r="D149" s="29"/>
      <c r="E149" s="31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33"/>
      <c r="AJ149" s="22"/>
      <c r="AK149" s="18"/>
    </row>
    <row r="150" spans="1:39" ht="15.75" customHeight="1" x14ac:dyDescent="0.35">
      <c r="A150" s="44"/>
      <c r="B150" s="48"/>
      <c r="C150" s="274" t="s">
        <v>231</v>
      </c>
      <c r="D150" s="88" t="s">
        <v>77</v>
      </c>
      <c r="E150" s="46">
        <v>3000000</v>
      </c>
      <c r="F150" s="46">
        <f>E150*1</f>
        <v>3000000</v>
      </c>
      <c r="G150" s="58" t="s">
        <v>232</v>
      </c>
      <c r="H150" s="47" t="s">
        <v>233</v>
      </c>
      <c r="I150" s="47">
        <v>1</v>
      </c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9"/>
      <c r="AJ150" s="22"/>
      <c r="AK150" s="18"/>
    </row>
    <row r="151" spans="1:39" ht="15.75" customHeight="1" x14ac:dyDescent="0.35">
      <c r="A151" s="28"/>
      <c r="B151" s="29"/>
      <c r="C151" s="218" t="s">
        <v>234</v>
      </c>
      <c r="D151" s="29"/>
      <c r="E151" s="31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3"/>
      <c r="AJ151" s="22"/>
      <c r="AK151" s="18"/>
    </row>
    <row r="152" spans="1:39" s="116" customFormat="1" ht="15.75" customHeight="1" x14ac:dyDescent="0.35">
      <c r="A152" s="111"/>
      <c r="B152" s="112"/>
      <c r="C152" s="113" t="s">
        <v>235</v>
      </c>
      <c r="D152" s="136" t="s">
        <v>77</v>
      </c>
      <c r="E152" s="100">
        <v>400000</v>
      </c>
      <c r="F152" s="137">
        <f>E152</f>
        <v>400000</v>
      </c>
      <c r="G152" s="138"/>
      <c r="H152" s="139" t="s">
        <v>236</v>
      </c>
      <c r="I152" s="47">
        <v>1</v>
      </c>
      <c r="J152" s="112"/>
      <c r="K152" s="47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5"/>
      <c r="AJ152" s="140"/>
      <c r="AK152" s="141"/>
    </row>
    <row r="153" spans="1:39" ht="15.75" customHeight="1" x14ac:dyDescent="0.35">
      <c r="A153" s="109"/>
      <c r="B153" s="48"/>
      <c r="C153" s="209" t="s">
        <v>237</v>
      </c>
      <c r="D153" s="327" t="s">
        <v>77</v>
      </c>
      <c r="E153" s="328">
        <v>12500</v>
      </c>
      <c r="F153" s="328">
        <f>E153*1</f>
        <v>12500</v>
      </c>
      <c r="G153" s="329"/>
      <c r="H153" s="293" t="s">
        <v>236</v>
      </c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9"/>
      <c r="AJ153" s="22"/>
      <c r="AK153" s="18"/>
    </row>
    <row r="154" spans="1:39" ht="15.75" customHeight="1" x14ac:dyDescent="0.35">
      <c r="A154" s="109"/>
      <c r="B154" s="48"/>
      <c r="C154" s="207" t="s">
        <v>238</v>
      </c>
      <c r="D154" s="297"/>
      <c r="E154" s="297"/>
      <c r="F154" s="297"/>
      <c r="G154" s="297"/>
      <c r="H154" s="297"/>
      <c r="I154" s="48"/>
      <c r="J154" s="4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9"/>
      <c r="AJ154" s="22"/>
      <c r="AK154" s="18"/>
    </row>
    <row r="155" spans="1:39" ht="15.75" customHeight="1" x14ac:dyDescent="0.35">
      <c r="A155" s="44"/>
      <c r="B155" s="48"/>
      <c r="C155" s="207" t="s">
        <v>239</v>
      </c>
      <c r="D155" s="298"/>
      <c r="E155" s="298"/>
      <c r="F155" s="298"/>
      <c r="G155" s="298"/>
      <c r="H155" s="298"/>
      <c r="I155" s="47"/>
      <c r="J155" s="4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9"/>
      <c r="AJ155" s="22"/>
      <c r="AK155" s="18"/>
    </row>
    <row r="156" spans="1:39" ht="15.75" customHeight="1" x14ac:dyDescent="0.35">
      <c r="A156" s="28" t="s">
        <v>240</v>
      </c>
      <c r="B156" s="29"/>
      <c r="C156" s="214" t="s">
        <v>241</v>
      </c>
      <c r="D156" s="29"/>
      <c r="E156" s="31"/>
      <c r="F156" s="32"/>
      <c r="G156" s="29"/>
      <c r="H156" s="29"/>
      <c r="I156" s="142"/>
      <c r="J156" s="14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33"/>
      <c r="AJ156" s="41"/>
      <c r="AK156" s="42"/>
      <c r="AL156" s="43"/>
      <c r="AM156" s="43"/>
    </row>
    <row r="157" spans="1:39" ht="15.75" customHeight="1" x14ac:dyDescent="0.35">
      <c r="A157" s="44"/>
      <c r="B157" s="48"/>
      <c r="C157" s="210" t="s">
        <v>242</v>
      </c>
      <c r="D157" s="312" t="s">
        <v>77</v>
      </c>
      <c r="E157" s="310">
        <v>200000</v>
      </c>
      <c r="F157" s="310">
        <f>E157</f>
        <v>200000</v>
      </c>
      <c r="G157" s="291" t="s">
        <v>132</v>
      </c>
      <c r="H157" s="291" t="s">
        <v>243</v>
      </c>
      <c r="I157" s="330"/>
      <c r="J157" s="102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9"/>
      <c r="AJ157" s="22"/>
      <c r="AK157" s="18"/>
      <c r="AL157" s="2"/>
      <c r="AM157" s="2"/>
    </row>
    <row r="158" spans="1:39" ht="22.5" customHeight="1" x14ac:dyDescent="0.35">
      <c r="A158" s="44"/>
      <c r="B158" s="48"/>
      <c r="C158" s="211" t="s">
        <v>244</v>
      </c>
      <c r="D158" s="297"/>
      <c r="E158" s="297"/>
      <c r="F158" s="297"/>
      <c r="G158" s="308"/>
      <c r="H158" s="308"/>
      <c r="I158" s="297"/>
      <c r="J158" s="102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9"/>
      <c r="AJ158" s="22"/>
      <c r="AK158" s="18"/>
      <c r="AL158" s="2"/>
      <c r="AM158" s="2"/>
    </row>
    <row r="159" spans="1:39" ht="24" customHeight="1" x14ac:dyDescent="0.35">
      <c r="A159" s="44"/>
      <c r="B159" s="48"/>
      <c r="C159" s="202" t="s">
        <v>245</v>
      </c>
      <c r="D159" s="297"/>
      <c r="E159" s="297"/>
      <c r="F159" s="297"/>
      <c r="G159" s="308"/>
      <c r="H159" s="308"/>
      <c r="I159" s="297"/>
      <c r="J159" s="102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9"/>
      <c r="AJ159" s="22"/>
      <c r="AK159" s="18"/>
      <c r="AL159" s="2"/>
      <c r="AM159" s="2"/>
    </row>
    <row r="160" spans="1:39" ht="24" customHeight="1" x14ac:dyDescent="0.35">
      <c r="A160" s="44"/>
      <c r="B160" s="48"/>
      <c r="C160" s="202" t="s">
        <v>246</v>
      </c>
      <c r="D160" s="298"/>
      <c r="E160" s="298"/>
      <c r="F160" s="298"/>
      <c r="G160" s="308"/>
      <c r="H160" s="308"/>
      <c r="I160" s="298"/>
      <c r="J160" s="102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9"/>
      <c r="AJ160" s="22"/>
      <c r="AK160" s="18"/>
    </row>
    <row r="161" spans="1:39" ht="15.75" customHeight="1" x14ac:dyDescent="0.35">
      <c r="A161" s="44"/>
      <c r="B161" s="45"/>
      <c r="C161" s="199" t="s">
        <v>247</v>
      </c>
      <c r="D161" s="136" t="s">
        <v>77</v>
      </c>
      <c r="E161" s="46">
        <v>542000</v>
      </c>
      <c r="F161" s="143">
        <f t="shared" ref="F161:F162" si="1">E161</f>
        <v>542000</v>
      </c>
      <c r="G161" s="312" t="s">
        <v>248</v>
      </c>
      <c r="H161" s="296" t="s">
        <v>79</v>
      </c>
      <c r="I161" s="47">
        <v>1</v>
      </c>
      <c r="J161" s="47"/>
      <c r="K161" s="47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9"/>
      <c r="AJ161" s="22"/>
      <c r="AK161" s="18"/>
      <c r="AL161" s="2"/>
      <c r="AM161" s="2"/>
    </row>
    <row r="162" spans="1:39" ht="15.75" customHeight="1" x14ac:dyDescent="0.35">
      <c r="A162" s="44"/>
      <c r="B162" s="45"/>
      <c r="C162" s="199" t="s">
        <v>249</v>
      </c>
      <c r="D162" s="53" t="s">
        <v>77</v>
      </c>
      <c r="E162" s="46">
        <v>550000</v>
      </c>
      <c r="F162" s="229">
        <f t="shared" si="1"/>
        <v>550000</v>
      </c>
      <c r="G162" s="331"/>
      <c r="H162" s="332"/>
      <c r="I162" s="47">
        <v>1</v>
      </c>
      <c r="J162" s="47"/>
      <c r="K162" s="47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9"/>
      <c r="AJ162" s="22"/>
      <c r="AK162" s="18"/>
      <c r="AL162" s="2"/>
      <c r="AM162" s="2"/>
    </row>
    <row r="163" spans="1:39" ht="15.75" customHeight="1" x14ac:dyDescent="0.35">
      <c r="A163" s="144" t="s">
        <v>229</v>
      </c>
      <c r="B163" s="145"/>
      <c r="C163" s="219" t="s">
        <v>250</v>
      </c>
      <c r="D163" s="146"/>
      <c r="E163" s="147"/>
      <c r="F163" s="148"/>
      <c r="G163" s="149"/>
      <c r="H163" s="150"/>
      <c r="I163" s="150"/>
      <c r="J163" s="150"/>
      <c r="K163" s="150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51"/>
      <c r="AJ163" s="22"/>
      <c r="AK163" s="18"/>
    </row>
    <row r="164" spans="1:39" ht="22.5" customHeight="1" x14ac:dyDescent="0.35">
      <c r="A164" s="152"/>
      <c r="B164" s="153"/>
      <c r="C164" s="212" t="s">
        <v>251</v>
      </c>
      <c r="D164" s="53" t="s">
        <v>252</v>
      </c>
      <c r="E164" s="154">
        <v>15000</v>
      </c>
      <c r="F164" s="154">
        <f t="shared" ref="F164:F165" si="2">E164</f>
        <v>15000</v>
      </c>
      <c r="G164" s="50" t="s">
        <v>132</v>
      </c>
      <c r="H164" s="53" t="s">
        <v>243</v>
      </c>
      <c r="I164" s="53"/>
      <c r="J164" s="53"/>
      <c r="K164" s="53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155"/>
      <c r="AJ164" s="156"/>
      <c r="AK164" s="157"/>
      <c r="AL164" s="158"/>
      <c r="AM164" s="158"/>
    </row>
    <row r="165" spans="1:39" ht="24.75" customHeight="1" thickBot="1" x14ac:dyDescent="0.4">
      <c r="A165" s="243"/>
      <c r="B165" s="244"/>
      <c r="C165" s="240" t="s">
        <v>253</v>
      </c>
      <c r="D165" s="220" t="s">
        <v>136</v>
      </c>
      <c r="E165" s="223">
        <v>35000</v>
      </c>
      <c r="F165" s="223">
        <f t="shared" si="2"/>
        <v>35000</v>
      </c>
      <c r="G165" s="224" t="s">
        <v>132</v>
      </c>
      <c r="H165" s="220" t="s">
        <v>84</v>
      </c>
      <c r="I165" s="222"/>
      <c r="J165" s="222"/>
      <c r="K165" s="222"/>
      <c r="L165" s="225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4"/>
      <c r="AJ165" s="41"/>
      <c r="AK165" s="42"/>
      <c r="AL165" s="43"/>
      <c r="AM165" s="43"/>
    </row>
    <row r="166" spans="1:39" ht="24.75" customHeight="1" thickBot="1" x14ac:dyDescent="0.4">
      <c r="A166" s="241"/>
      <c r="B166" s="242"/>
      <c r="C166" s="246" t="s">
        <v>314</v>
      </c>
      <c r="D166" s="235" t="s">
        <v>313</v>
      </c>
      <c r="E166" s="236">
        <v>5500</v>
      </c>
      <c r="F166" s="236">
        <f>E166*2</f>
        <v>11000</v>
      </c>
      <c r="G166" s="237"/>
      <c r="H166" s="235"/>
      <c r="I166" s="220">
        <v>2</v>
      </c>
      <c r="J166" s="220"/>
      <c r="K166" s="220"/>
      <c r="L166" s="221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4"/>
      <c r="AJ166" s="41"/>
      <c r="AK166" s="42"/>
      <c r="AL166" s="43"/>
      <c r="AM166" s="43"/>
    </row>
    <row r="167" spans="1:39" ht="27" customHeight="1" thickBot="1" x14ac:dyDescent="0.4">
      <c r="A167" s="247" t="s">
        <v>254</v>
      </c>
      <c r="B167" s="248"/>
      <c r="C167" s="245" t="s">
        <v>255</v>
      </c>
      <c r="D167" s="333" t="s">
        <v>77</v>
      </c>
      <c r="E167" s="335">
        <v>20000</v>
      </c>
      <c r="F167" s="335">
        <v>20000</v>
      </c>
      <c r="G167" s="336" t="s">
        <v>132</v>
      </c>
      <c r="H167" s="333" t="s">
        <v>84</v>
      </c>
      <c r="I167" s="220"/>
      <c r="J167" s="220"/>
      <c r="K167" s="220"/>
      <c r="L167" s="221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4"/>
      <c r="AJ167" s="41"/>
      <c r="AK167" s="42"/>
      <c r="AL167" s="43"/>
      <c r="AM167" s="43"/>
    </row>
    <row r="168" spans="1:39" ht="25.5" customHeight="1" thickBot="1" x14ac:dyDescent="0.4">
      <c r="A168" s="247" t="s">
        <v>256</v>
      </c>
      <c r="B168" s="248"/>
      <c r="C168" s="239" t="s">
        <v>257</v>
      </c>
      <c r="D168" s="297"/>
      <c r="E168" s="297"/>
      <c r="F168" s="297"/>
      <c r="G168" s="297"/>
      <c r="H168" s="297"/>
      <c r="I168" s="220"/>
      <c r="J168" s="220"/>
      <c r="K168" s="220"/>
      <c r="L168" s="221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4"/>
      <c r="AJ168" s="41"/>
      <c r="AK168" s="42"/>
      <c r="AL168" s="43"/>
      <c r="AM168" s="43"/>
    </row>
    <row r="169" spans="1:39" ht="27" customHeight="1" thickBot="1" x14ac:dyDescent="0.4">
      <c r="A169" s="241" t="s">
        <v>258</v>
      </c>
      <c r="B169" s="242"/>
      <c r="C169" s="238" t="s">
        <v>259</v>
      </c>
      <c r="D169" s="297"/>
      <c r="E169" s="297"/>
      <c r="F169" s="297"/>
      <c r="G169" s="297"/>
      <c r="H169" s="297"/>
      <c r="I169" s="220"/>
      <c r="J169" s="220"/>
      <c r="K169" s="220"/>
      <c r="L169" s="221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4"/>
      <c r="AJ169" s="41"/>
      <c r="AK169" s="42"/>
      <c r="AL169" s="43"/>
      <c r="AM169" s="43"/>
    </row>
    <row r="170" spans="1:39" ht="27.75" customHeight="1" thickBot="1" x14ac:dyDescent="0.4">
      <c r="A170" s="159" t="s">
        <v>260</v>
      </c>
      <c r="B170" s="160"/>
      <c r="C170" s="165" t="s">
        <v>261</v>
      </c>
      <c r="D170" s="334"/>
      <c r="E170" s="334"/>
      <c r="F170" s="334"/>
      <c r="G170" s="334"/>
      <c r="H170" s="334"/>
      <c r="I170" s="162"/>
      <c r="J170" s="162"/>
      <c r="K170" s="162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4"/>
      <c r="AJ170" s="41"/>
      <c r="AK170" s="42"/>
      <c r="AL170" s="43"/>
      <c r="AM170" s="43"/>
    </row>
    <row r="171" spans="1:39" ht="15.75" customHeight="1" x14ac:dyDescent="0.35">
      <c r="A171" s="167"/>
      <c r="B171" s="168"/>
      <c r="C171" s="213"/>
      <c r="D171" s="169"/>
      <c r="E171" s="170"/>
      <c r="F171" s="171"/>
      <c r="G171" s="172"/>
      <c r="H171" s="17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2"/>
      <c r="AK171" s="2"/>
    </row>
    <row r="172" spans="1:39" ht="15.75" customHeight="1" thickBot="1" x14ac:dyDescent="0.4">
      <c r="A172" s="173" t="s">
        <v>262</v>
      </c>
      <c r="B172" s="168"/>
      <c r="C172" s="168"/>
      <c r="D172" s="337">
        <f>SUM(F12:F169)</f>
        <v>10198811</v>
      </c>
      <c r="E172" s="338"/>
      <c r="F172" s="338"/>
      <c r="G172" s="172"/>
      <c r="H172" s="17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2"/>
      <c r="AK172" s="2"/>
    </row>
    <row r="173" spans="1:39" ht="15.75" hidden="1" customHeight="1" x14ac:dyDescent="0.35">
      <c r="A173" s="174" t="s">
        <v>263</v>
      </c>
      <c r="B173" s="175"/>
      <c r="C173" s="175"/>
      <c r="D173" s="339">
        <f>PRODUCT(D172,0.1)</f>
        <v>1019881.1000000001</v>
      </c>
      <c r="E173" s="288"/>
      <c r="F173" s="289"/>
      <c r="G173" s="172"/>
      <c r="H173" s="172"/>
      <c r="I173" s="340"/>
      <c r="J173" s="283"/>
      <c r="K173" s="340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176"/>
      <c r="AI173" s="18"/>
      <c r="AJ173" s="2"/>
      <c r="AK173" s="2"/>
    </row>
    <row r="174" spans="1:39" ht="15.75" hidden="1" customHeight="1" x14ac:dyDescent="0.35">
      <c r="A174" s="177" t="s">
        <v>264</v>
      </c>
      <c r="B174" s="54"/>
      <c r="C174" s="54"/>
      <c r="D174" s="341">
        <f>PRODUCT(D172,0.1)</f>
        <v>1019881.1000000001</v>
      </c>
      <c r="E174" s="342"/>
      <c r="F174" s="343"/>
      <c r="G174" s="172"/>
      <c r="H174" s="172"/>
      <c r="I174" s="18"/>
      <c r="J174" s="18"/>
      <c r="K174" s="344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178"/>
      <c r="AI174" s="18"/>
      <c r="AJ174" s="2"/>
      <c r="AK174" s="2"/>
    </row>
    <row r="175" spans="1:39" ht="15.75" hidden="1" customHeight="1" x14ac:dyDescent="0.35">
      <c r="A175" s="177" t="s">
        <v>265</v>
      </c>
      <c r="B175" s="54"/>
      <c r="C175" s="54"/>
      <c r="D175" s="341">
        <f>SUM(D172:F174)</f>
        <v>12238573.199999999</v>
      </c>
      <c r="E175" s="342"/>
      <c r="F175" s="343"/>
      <c r="G175" s="172"/>
      <c r="H175" s="172"/>
      <c r="I175" s="18"/>
      <c r="J175" s="18"/>
      <c r="K175" s="344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178"/>
      <c r="AI175" s="18"/>
      <c r="AJ175" s="2"/>
      <c r="AK175" s="2"/>
    </row>
    <row r="176" spans="1:39" ht="15.75" customHeight="1" thickTop="1" x14ac:dyDescent="0.35">
      <c r="A176" s="167"/>
      <c r="B176" s="168"/>
      <c r="C176" s="168"/>
      <c r="D176" s="169"/>
      <c r="E176" s="170"/>
      <c r="F176" s="171"/>
      <c r="G176" s="172"/>
      <c r="H176" s="172"/>
      <c r="I176" s="18"/>
      <c r="J176" s="18"/>
      <c r="K176" s="344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178"/>
      <c r="AI176" s="18"/>
      <c r="AJ176" s="2"/>
      <c r="AK176" s="2"/>
    </row>
    <row r="177" spans="1:37" ht="15.75" customHeight="1" x14ac:dyDescent="0.35">
      <c r="A177" s="179" t="s">
        <v>266</v>
      </c>
      <c r="B177" s="168"/>
      <c r="C177" s="168"/>
      <c r="D177" s="169"/>
      <c r="E177" s="170"/>
      <c r="F177" s="171"/>
      <c r="G177" s="172"/>
      <c r="H177" s="17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2"/>
      <c r="AK177" s="2"/>
    </row>
    <row r="178" spans="1:37" ht="15.75" customHeight="1" x14ac:dyDescent="0.35">
      <c r="A178" s="168"/>
      <c r="B178" s="168"/>
      <c r="C178" s="168"/>
      <c r="D178" s="169"/>
      <c r="E178" s="170"/>
      <c r="F178" s="171"/>
      <c r="G178" s="172"/>
      <c r="H178" s="172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2"/>
      <c r="AK178" s="2"/>
    </row>
    <row r="179" spans="1:37" ht="15.75" customHeight="1" x14ac:dyDescent="0.35">
      <c r="A179" s="180" t="s">
        <v>267</v>
      </c>
      <c r="B179" s="11"/>
      <c r="C179" s="11"/>
      <c r="D179" s="181" t="s">
        <v>268</v>
      </c>
      <c r="E179" s="182"/>
      <c r="F179" s="183"/>
      <c r="G179" s="184" t="s">
        <v>269</v>
      </c>
      <c r="H179" s="2"/>
      <c r="I179" s="2"/>
      <c r="J179" s="184" t="s">
        <v>270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185"/>
    </row>
    <row r="180" spans="1:37" ht="15.75" customHeight="1" x14ac:dyDescent="0.35">
      <c r="A180" s="180"/>
      <c r="B180" s="11"/>
      <c r="C180" s="11"/>
      <c r="D180" s="186"/>
      <c r="E180" s="182"/>
      <c r="F180" s="183"/>
      <c r="G180" s="187"/>
      <c r="H180" s="18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185"/>
      <c r="AK180" s="185"/>
    </row>
    <row r="181" spans="1:37" ht="15.75" customHeight="1" x14ac:dyDescent="0.35">
      <c r="A181" s="11"/>
      <c r="B181" s="11"/>
      <c r="C181" s="11"/>
      <c r="D181" s="186"/>
      <c r="E181" s="182"/>
      <c r="F181" s="183"/>
      <c r="G181" s="187"/>
      <c r="H181" s="18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185"/>
      <c r="AK181" s="185"/>
    </row>
    <row r="182" spans="1:37" ht="15.75" customHeight="1" x14ac:dyDescent="0.35">
      <c r="A182" s="345" t="s">
        <v>271</v>
      </c>
      <c r="B182" s="283"/>
      <c r="C182" s="283"/>
      <c r="D182" s="184" t="s">
        <v>272</v>
      </c>
      <c r="E182" s="188"/>
      <c r="F182" s="183"/>
      <c r="G182" s="184" t="s">
        <v>273</v>
      </c>
      <c r="H182" s="2"/>
      <c r="I182" s="2"/>
      <c r="J182" s="184" t="s">
        <v>274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" customHeight="1" x14ac:dyDescent="0.35">
      <c r="A183" s="346" t="s">
        <v>275</v>
      </c>
      <c r="B183" s="283"/>
      <c r="C183" s="283"/>
      <c r="D183" s="2" t="s">
        <v>276</v>
      </c>
      <c r="E183" s="188"/>
      <c r="F183" s="183"/>
      <c r="G183" s="2" t="s">
        <v>277</v>
      </c>
      <c r="H183" s="2"/>
      <c r="I183" s="2"/>
      <c r="J183" s="2" t="s">
        <v>278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85"/>
      <c r="AK183" s="185"/>
    </row>
    <row r="184" spans="1:37" ht="15.75" customHeight="1" x14ac:dyDescent="0.35">
      <c r="A184" s="2"/>
      <c r="B184" s="2"/>
      <c r="C184" s="2"/>
      <c r="D184" s="2"/>
      <c r="E184" s="188"/>
      <c r="F184" s="18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35">
      <c r="A185" s="2" t="s">
        <v>284</v>
      </c>
      <c r="B185" s="2"/>
      <c r="C185" s="2"/>
      <c r="D185" s="2" t="s">
        <v>279</v>
      </c>
      <c r="E185" s="188"/>
      <c r="F185" s="183"/>
      <c r="G185" s="2" t="s">
        <v>279</v>
      </c>
      <c r="H185" s="2"/>
      <c r="I185" s="2"/>
      <c r="J185" s="2" t="s">
        <v>279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35">
      <c r="D186" s="2"/>
      <c r="E186" s="188"/>
      <c r="F186" s="18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7" ht="15.75" customHeight="1" x14ac:dyDescent="0.35">
      <c r="D187" s="189" t="s">
        <v>280</v>
      </c>
      <c r="E187" s="182"/>
      <c r="F187" s="183"/>
      <c r="G187" s="187"/>
      <c r="H187" s="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7" ht="15.75" customHeight="1" x14ac:dyDescent="0.35">
      <c r="A188" s="18"/>
      <c r="B188" s="18"/>
      <c r="C188" s="18"/>
      <c r="D188" s="169"/>
      <c r="E188" s="170"/>
      <c r="F188" s="171"/>
      <c r="G188" s="172"/>
      <c r="H188" s="172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</row>
    <row r="189" spans="1:37" ht="15.75" customHeight="1" x14ac:dyDescent="0.35">
      <c r="A189" s="18"/>
      <c r="B189" s="18"/>
      <c r="C189" s="18"/>
      <c r="D189" s="169"/>
      <c r="E189" s="170"/>
      <c r="F189" s="171"/>
      <c r="G189" s="172"/>
      <c r="H189" s="17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</row>
    <row r="190" spans="1:37" ht="15.75" customHeight="1" x14ac:dyDescent="0.35">
      <c r="D190" s="186"/>
      <c r="E190" s="182"/>
      <c r="F190" s="183"/>
      <c r="G190" s="187"/>
      <c r="H190" s="18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7" ht="15.75" customHeight="1" x14ac:dyDescent="0.35">
      <c r="D191" s="186"/>
      <c r="E191" s="182"/>
      <c r="F191" s="183"/>
      <c r="G191" s="187"/>
      <c r="H191" s="18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7" ht="15.75" customHeight="1" x14ac:dyDescent="0.35">
      <c r="D192" s="186"/>
      <c r="E192" s="182"/>
      <c r="F192" s="183"/>
      <c r="G192" s="187"/>
      <c r="H192" s="18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4:35" ht="15.75" customHeight="1" x14ac:dyDescent="0.35">
      <c r="D193" s="186"/>
      <c r="E193" s="182"/>
      <c r="F193" s="183"/>
      <c r="G193" s="187"/>
      <c r="H193" s="18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4:35" ht="15.75" customHeight="1" x14ac:dyDescent="0.35">
      <c r="D194" s="186"/>
      <c r="E194" s="182"/>
      <c r="F194" s="183"/>
      <c r="G194" s="187"/>
      <c r="H194" s="18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4:35" ht="15.75" customHeight="1" x14ac:dyDescent="0.35">
      <c r="D195" s="186"/>
      <c r="E195" s="182"/>
      <c r="F195" s="183"/>
      <c r="G195" s="187"/>
      <c r="H195" s="18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4:35" ht="15.75" customHeight="1" x14ac:dyDescent="0.35">
      <c r="D196" s="186"/>
      <c r="E196" s="182"/>
      <c r="F196" s="183"/>
      <c r="G196" s="187"/>
      <c r="H196" s="18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4:35" ht="15.75" customHeight="1" x14ac:dyDescent="0.35">
      <c r="D197" s="186"/>
      <c r="E197" s="182"/>
      <c r="F197" s="183"/>
      <c r="G197" s="187"/>
      <c r="H197" s="18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4:35" ht="15.75" customHeight="1" x14ac:dyDescent="0.35">
      <c r="D198" s="186"/>
      <c r="E198" s="190"/>
      <c r="H198" s="191"/>
    </row>
    <row r="199" spans="4:35" ht="15.75" customHeight="1" x14ac:dyDescent="0.35">
      <c r="D199" s="186"/>
      <c r="E199" s="190"/>
      <c r="H199" s="191"/>
    </row>
    <row r="200" spans="4:35" ht="15.75" customHeight="1" x14ac:dyDescent="0.35">
      <c r="D200" s="186"/>
      <c r="E200" s="190"/>
      <c r="H200" s="191"/>
    </row>
    <row r="201" spans="4:35" ht="15.75" customHeight="1" x14ac:dyDescent="0.35">
      <c r="D201" s="186"/>
      <c r="E201" s="190"/>
      <c r="H201" s="191"/>
    </row>
    <row r="202" spans="4:35" ht="15.75" customHeight="1" x14ac:dyDescent="0.35">
      <c r="D202" s="186"/>
      <c r="E202" s="190"/>
      <c r="H202" s="191"/>
    </row>
    <row r="203" spans="4:35" ht="15.75" customHeight="1" x14ac:dyDescent="0.35">
      <c r="D203" s="186"/>
      <c r="E203" s="190"/>
      <c r="H203" s="191"/>
    </row>
    <row r="204" spans="4:35" ht="15.75" customHeight="1" x14ac:dyDescent="0.35">
      <c r="D204" s="186"/>
      <c r="E204" s="190"/>
      <c r="H204" s="191"/>
    </row>
    <row r="205" spans="4:35" ht="15.75" customHeight="1" x14ac:dyDescent="0.35">
      <c r="D205" s="186"/>
      <c r="E205" s="190"/>
      <c r="H205" s="191"/>
    </row>
    <row r="206" spans="4:35" ht="15.75" customHeight="1" x14ac:dyDescent="0.35">
      <c r="D206" s="186"/>
      <c r="E206" s="190"/>
      <c r="H206" s="191"/>
    </row>
    <row r="207" spans="4:35" ht="15.75" customHeight="1" x14ac:dyDescent="0.35">
      <c r="D207" s="186"/>
      <c r="E207" s="190"/>
      <c r="H207" s="191"/>
    </row>
    <row r="208" spans="4:35" ht="15.75" customHeight="1" x14ac:dyDescent="0.35">
      <c r="D208" s="186"/>
      <c r="E208" s="190"/>
      <c r="H208" s="191"/>
    </row>
    <row r="209" spans="4:8" ht="15.75" customHeight="1" x14ac:dyDescent="0.35">
      <c r="D209" s="186"/>
      <c r="E209" s="190"/>
      <c r="H209" s="191"/>
    </row>
    <row r="210" spans="4:8" ht="15.75" customHeight="1" x14ac:dyDescent="0.35">
      <c r="D210" s="186"/>
      <c r="E210" s="190"/>
      <c r="H210" s="191"/>
    </row>
    <row r="211" spans="4:8" ht="15.75" customHeight="1" x14ac:dyDescent="0.35">
      <c r="D211" s="186"/>
      <c r="E211" s="190"/>
      <c r="H211" s="191"/>
    </row>
    <row r="212" spans="4:8" ht="15.75" customHeight="1" x14ac:dyDescent="0.35">
      <c r="D212" s="186"/>
      <c r="E212" s="190"/>
      <c r="H212" s="191"/>
    </row>
    <row r="213" spans="4:8" ht="15.75" customHeight="1" x14ac:dyDescent="0.35">
      <c r="D213" s="186"/>
      <c r="E213" s="190"/>
      <c r="H213" s="191"/>
    </row>
    <row r="214" spans="4:8" ht="15.75" customHeight="1" x14ac:dyDescent="0.35">
      <c r="D214" s="186"/>
      <c r="E214" s="190"/>
      <c r="H214" s="191"/>
    </row>
    <row r="215" spans="4:8" ht="15.75" customHeight="1" x14ac:dyDescent="0.35">
      <c r="D215" s="186"/>
      <c r="E215" s="190"/>
      <c r="H215" s="191"/>
    </row>
    <row r="216" spans="4:8" ht="15.75" customHeight="1" x14ac:dyDescent="0.35">
      <c r="D216" s="186"/>
      <c r="E216" s="190"/>
      <c r="H216" s="191"/>
    </row>
    <row r="217" spans="4:8" ht="15.75" customHeight="1" x14ac:dyDescent="0.35">
      <c r="D217" s="186"/>
      <c r="E217" s="190"/>
      <c r="H217" s="191"/>
    </row>
    <row r="218" spans="4:8" ht="15.75" customHeight="1" x14ac:dyDescent="0.35">
      <c r="D218" s="186"/>
      <c r="E218" s="190"/>
      <c r="H218" s="191"/>
    </row>
    <row r="219" spans="4:8" ht="15.75" customHeight="1" x14ac:dyDescent="0.35">
      <c r="D219" s="186"/>
      <c r="E219" s="190"/>
      <c r="H219" s="191"/>
    </row>
    <row r="220" spans="4:8" ht="15.75" customHeight="1" x14ac:dyDescent="0.35">
      <c r="D220" s="186"/>
      <c r="E220" s="190"/>
      <c r="H220" s="191"/>
    </row>
    <row r="221" spans="4:8" ht="15.75" customHeight="1" x14ac:dyDescent="0.35">
      <c r="D221" s="186"/>
      <c r="E221" s="190"/>
      <c r="H221" s="191"/>
    </row>
    <row r="222" spans="4:8" ht="15.75" customHeight="1" x14ac:dyDescent="0.35">
      <c r="D222" s="186"/>
      <c r="E222" s="190"/>
      <c r="H222" s="191"/>
    </row>
    <row r="223" spans="4:8" ht="15.75" customHeight="1" x14ac:dyDescent="0.35">
      <c r="D223" s="186"/>
      <c r="E223" s="190"/>
      <c r="H223" s="191"/>
    </row>
    <row r="224" spans="4:8" ht="15.75" customHeight="1" x14ac:dyDescent="0.35">
      <c r="D224" s="186"/>
      <c r="E224" s="190"/>
      <c r="H224" s="191"/>
    </row>
    <row r="225" spans="4:8" ht="15.75" customHeight="1" x14ac:dyDescent="0.35">
      <c r="D225" s="186"/>
      <c r="E225" s="190"/>
      <c r="H225" s="191"/>
    </row>
    <row r="226" spans="4:8" ht="15.75" customHeight="1" x14ac:dyDescent="0.35">
      <c r="D226" s="186"/>
      <c r="E226" s="190"/>
      <c r="H226" s="191"/>
    </row>
    <row r="227" spans="4:8" ht="15.75" customHeight="1" x14ac:dyDescent="0.35">
      <c r="D227" s="186"/>
      <c r="E227" s="190"/>
      <c r="H227" s="191"/>
    </row>
    <row r="228" spans="4:8" ht="15.75" customHeight="1" x14ac:dyDescent="0.35">
      <c r="D228" s="186"/>
      <c r="E228" s="190"/>
      <c r="H228" s="191"/>
    </row>
    <row r="229" spans="4:8" ht="15.75" customHeight="1" x14ac:dyDescent="0.35">
      <c r="D229" s="186"/>
      <c r="E229" s="190"/>
      <c r="H229" s="191"/>
    </row>
    <row r="230" spans="4:8" ht="15.75" customHeight="1" x14ac:dyDescent="0.35">
      <c r="D230" s="186"/>
      <c r="E230" s="190"/>
      <c r="H230" s="191"/>
    </row>
    <row r="231" spans="4:8" ht="15.75" customHeight="1" x14ac:dyDescent="0.35">
      <c r="D231" s="186"/>
      <c r="E231" s="190"/>
      <c r="H231" s="191"/>
    </row>
    <row r="232" spans="4:8" ht="15.75" customHeight="1" x14ac:dyDescent="0.35">
      <c r="D232" s="186"/>
      <c r="E232" s="190"/>
      <c r="H232" s="191"/>
    </row>
    <row r="233" spans="4:8" ht="15.75" customHeight="1" x14ac:dyDescent="0.35">
      <c r="D233" s="186"/>
      <c r="E233" s="190"/>
      <c r="H233" s="191"/>
    </row>
    <row r="234" spans="4:8" ht="15.75" customHeight="1" x14ac:dyDescent="0.35">
      <c r="D234" s="186"/>
      <c r="E234" s="190"/>
      <c r="H234" s="191"/>
    </row>
    <row r="235" spans="4:8" ht="15.75" customHeight="1" x14ac:dyDescent="0.35">
      <c r="D235" s="186"/>
      <c r="E235" s="190"/>
      <c r="H235" s="191"/>
    </row>
    <row r="236" spans="4:8" ht="15.75" customHeight="1" x14ac:dyDescent="0.35">
      <c r="D236" s="186"/>
      <c r="E236" s="190"/>
      <c r="H236" s="191"/>
    </row>
    <row r="237" spans="4:8" ht="15.75" customHeight="1" x14ac:dyDescent="0.35">
      <c r="D237" s="186"/>
      <c r="E237" s="190"/>
      <c r="H237" s="191"/>
    </row>
    <row r="238" spans="4:8" ht="15.75" customHeight="1" x14ac:dyDescent="0.35">
      <c r="D238" s="186"/>
      <c r="E238" s="190"/>
      <c r="H238" s="191"/>
    </row>
    <row r="239" spans="4:8" ht="15.75" customHeight="1" x14ac:dyDescent="0.35">
      <c r="D239" s="186"/>
      <c r="E239" s="190"/>
      <c r="H239" s="191"/>
    </row>
    <row r="240" spans="4:8" ht="15.75" customHeight="1" x14ac:dyDescent="0.35">
      <c r="D240" s="186"/>
      <c r="E240" s="190"/>
      <c r="H240" s="191"/>
    </row>
    <row r="241" spans="4:8" ht="15.75" customHeight="1" x14ac:dyDescent="0.35">
      <c r="D241" s="186"/>
      <c r="E241" s="190"/>
      <c r="H241" s="191"/>
    </row>
    <row r="242" spans="4:8" ht="15.75" customHeight="1" x14ac:dyDescent="0.35">
      <c r="D242" s="186"/>
      <c r="E242" s="190"/>
      <c r="H242" s="191"/>
    </row>
    <row r="243" spans="4:8" ht="15.75" customHeight="1" x14ac:dyDescent="0.35">
      <c r="D243" s="186"/>
      <c r="E243" s="190"/>
      <c r="H243" s="191"/>
    </row>
    <row r="244" spans="4:8" ht="15.75" customHeight="1" x14ac:dyDescent="0.35">
      <c r="D244" s="186"/>
      <c r="E244" s="190"/>
      <c r="H244" s="191"/>
    </row>
    <row r="245" spans="4:8" ht="15.75" customHeight="1" x14ac:dyDescent="0.35">
      <c r="D245" s="186"/>
      <c r="E245" s="190"/>
      <c r="H245" s="191"/>
    </row>
    <row r="246" spans="4:8" ht="15.75" customHeight="1" x14ac:dyDescent="0.35">
      <c r="D246" s="186"/>
      <c r="E246" s="190"/>
      <c r="H246" s="191"/>
    </row>
    <row r="247" spans="4:8" ht="15.75" customHeight="1" x14ac:dyDescent="0.35">
      <c r="D247" s="186"/>
      <c r="E247" s="190"/>
      <c r="H247" s="191"/>
    </row>
    <row r="248" spans="4:8" ht="15.75" customHeight="1" x14ac:dyDescent="0.35">
      <c r="D248" s="186"/>
      <c r="E248" s="190"/>
      <c r="H248" s="191"/>
    </row>
    <row r="249" spans="4:8" ht="15.75" customHeight="1" x14ac:dyDescent="0.35">
      <c r="D249" s="186"/>
      <c r="E249" s="190"/>
      <c r="H249" s="191"/>
    </row>
    <row r="250" spans="4:8" ht="15.75" customHeight="1" x14ac:dyDescent="0.35">
      <c r="D250" s="186"/>
      <c r="E250" s="190"/>
      <c r="H250" s="191"/>
    </row>
    <row r="251" spans="4:8" ht="15.75" customHeight="1" x14ac:dyDescent="0.35">
      <c r="D251" s="186"/>
      <c r="E251" s="190"/>
      <c r="H251" s="191"/>
    </row>
    <row r="252" spans="4:8" ht="15.75" customHeight="1" x14ac:dyDescent="0.35">
      <c r="D252" s="186"/>
      <c r="E252" s="190"/>
      <c r="H252" s="191"/>
    </row>
    <row r="253" spans="4:8" ht="15.75" customHeight="1" x14ac:dyDescent="0.35">
      <c r="D253" s="186"/>
      <c r="E253" s="190"/>
      <c r="H253" s="191"/>
    </row>
    <row r="254" spans="4:8" ht="15.75" customHeight="1" x14ac:dyDescent="0.35">
      <c r="D254" s="186"/>
      <c r="E254" s="190"/>
      <c r="H254" s="191"/>
    </row>
    <row r="255" spans="4:8" ht="15.75" customHeight="1" x14ac:dyDescent="0.35">
      <c r="D255" s="186"/>
      <c r="E255" s="190"/>
      <c r="H255" s="191"/>
    </row>
    <row r="256" spans="4:8" ht="15.75" customHeight="1" x14ac:dyDescent="0.35">
      <c r="D256" s="186"/>
      <c r="E256" s="190"/>
      <c r="H256" s="191"/>
    </row>
    <row r="257" spans="4:8" ht="15.75" customHeight="1" x14ac:dyDescent="0.35">
      <c r="D257" s="186"/>
      <c r="E257" s="190"/>
      <c r="H257" s="191"/>
    </row>
    <row r="258" spans="4:8" ht="15.75" customHeight="1" x14ac:dyDescent="0.35">
      <c r="D258" s="186"/>
      <c r="E258" s="190"/>
      <c r="H258" s="191"/>
    </row>
    <row r="259" spans="4:8" ht="15.75" customHeight="1" x14ac:dyDescent="0.35">
      <c r="D259" s="186"/>
      <c r="E259" s="190"/>
      <c r="H259" s="191"/>
    </row>
    <row r="260" spans="4:8" ht="15.75" customHeight="1" x14ac:dyDescent="0.35">
      <c r="D260" s="186"/>
      <c r="E260" s="190"/>
      <c r="H260" s="191"/>
    </row>
    <row r="261" spans="4:8" ht="15.75" customHeight="1" x14ac:dyDescent="0.35">
      <c r="D261" s="186"/>
      <c r="E261" s="190"/>
      <c r="H261" s="191"/>
    </row>
    <row r="262" spans="4:8" ht="15.75" customHeight="1" x14ac:dyDescent="0.35">
      <c r="D262" s="186"/>
      <c r="E262" s="190"/>
      <c r="H262" s="191"/>
    </row>
    <row r="263" spans="4:8" ht="15.75" customHeight="1" x14ac:dyDescent="0.35">
      <c r="D263" s="186"/>
      <c r="E263" s="190"/>
      <c r="H263" s="191"/>
    </row>
    <row r="264" spans="4:8" ht="15.75" customHeight="1" x14ac:dyDescent="0.35">
      <c r="D264" s="186"/>
      <c r="E264" s="190"/>
      <c r="H264" s="191"/>
    </row>
    <row r="265" spans="4:8" ht="15.75" customHeight="1" x14ac:dyDescent="0.35">
      <c r="D265" s="186"/>
      <c r="E265" s="190"/>
      <c r="H265" s="191"/>
    </row>
    <row r="266" spans="4:8" ht="15.75" customHeight="1" x14ac:dyDescent="0.35">
      <c r="D266" s="186"/>
      <c r="E266" s="190"/>
      <c r="H266" s="191"/>
    </row>
    <row r="267" spans="4:8" ht="15.75" customHeight="1" x14ac:dyDescent="0.35">
      <c r="D267" s="186"/>
      <c r="E267" s="190"/>
      <c r="H267" s="191"/>
    </row>
    <row r="268" spans="4:8" ht="15.75" customHeight="1" x14ac:dyDescent="0.35">
      <c r="D268" s="186"/>
      <c r="E268" s="190"/>
      <c r="H268" s="191"/>
    </row>
    <row r="269" spans="4:8" ht="15.75" customHeight="1" x14ac:dyDescent="0.35">
      <c r="D269" s="186"/>
      <c r="E269" s="190"/>
      <c r="H269" s="191"/>
    </row>
    <row r="270" spans="4:8" ht="15.75" customHeight="1" x14ac:dyDescent="0.35">
      <c r="D270" s="186"/>
      <c r="E270" s="190"/>
      <c r="H270" s="191"/>
    </row>
    <row r="271" spans="4:8" ht="15.75" customHeight="1" x14ac:dyDescent="0.35">
      <c r="D271" s="186"/>
      <c r="E271" s="190"/>
      <c r="H271" s="191"/>
    </row>
    <row r="272" spans="4:8" ht="15.75" customHeight="1" x14ac:dyDescent="0.35">
      <c r="D272" s="186"/>
      <c r="E272" s="190"/>
      <c r="H272" s="191"/>
    </row>
    <row r="273" spans="4:8" ht="15.75" customHeight="1" x14ac:dyDescent="0.35">
      <c r="D273" s="186"/>
      <c r="E273" s="190"/>
      <c r="H273" s="191"/>
    </row>
    <row r="274" spans="4:8" ht="15.75" customHeight="1" x14ac:dyDescent="0.35">
      <c r="D274" s="186"/>
      <c r="E274" s="190"/>
      <c r="H274" s="191"/>
    </row>
    <row r="275" spans="4:8" ht="15.75" customHeight="1" x14ac:dyDescent="0.35">
      <c r="D275" s="186"/>
      <c r="E275" s="190"/>
      <c r="H275" s="191"/>
    </row>
    <row r="276" spans="4:8" ht="15.75" customHeight="1" x14ac:dyDescent="0.35">
      <c r="D276" s="186"/>
      <c r="E276" s="190"/>
      <c r="H276" s="191"/>
    </row>
    <row r="277" spans="4:8" ht="15.75" customHeight="1" x14ac:dyDescent="0.35">
      <c r="D277" s="186"/>
      <c r="E277" s="190"/>
      <c r="H277" s="191"/>
    </row>
    <row r="278" spans="4:8" ht="15.75" customHeight="1" x14ac:dyDescent="0.35">
      <c r="D278" s="186"/>
      <c r="E278" s="190"/>
      <c r="H278" s="191"/>
    </row>
    <row r="279" spans="4:8" ht="15.75" customHeight="1" x14ac:dyDescent="0.35">
      <c r="D279" s="186"/>
      <c r="E279" s="190"/>
      <c r="H279" s="191"/>
    </row>
    <row r="280" spans="4:8" ht="15.75" customHeight="1" x14ac:dyDescent="0.35">
      <c r="D280" s="186"/>
      <c r="E280" s="190"/>
      <c r="H280" s="191"/>
    </row>
    <row r="281" spans="4:8" ht="15.75" customHeight="1" x14ac:dyDescent="0.35">
      <c r="D281" s="186"/>
      <c r="E281" s="190"/>
      <c r="H281" s="191"/>
    </row>
    <row r="282" spans="4:8" ht="15.75" customHeight="1" x14ac:dyDescent="0.35">
      <c r="D282" s="186"/>
      <c r="E282" s="190"/>
      <c r="H282" s="191"/>
    </row>
    <row r="283" spans="4:8" ht="15.75" customHeight="1" x14ac:dyDescent="0.35">
      <c r="D283" s="186"/>
      <c r="E283" s="190"/>
      <c r="H283" s="191"/>
    </row>
    <row r="284" spans="4:8" ht="15.75" customHeight="1" x14ac:dyDescent="0.35">
      <c r="D284" s="186"/>
      <c r="E284" s="190"/>
      <c r="H284" s="191"/>
    </row>
    <row r="285" spans="4:8" ht="15.75" customHeight="1" x14ac:dyDescent="0.35">
      <c r="D285" s="186"/>
      <c r="E285" s="190"/>
      <c r="H285" s="191"/>
    </row>
    <row r="286" spans="4:8" ht="15.75" customHeight="1" x14ac:dyDescent="0.35">
      <c r="D286" s="186"/>
      <c r="E286" s="190"/>
      <c r="H286" s="191"/>
    </row>
    <row r="287" spans="4:8" ht="15.75" customHeight="1" x14ac:dyDescent="0.35">
      <c r="D287" s="186"/>
      <c r="E287" s="190"/>
      <c r="H287" s="191"/>
    </row>
    <row r="288" spans="4:8" ht="15.75" customHeight="1" x14ac:dyDescent="0.35">
      <c r="D288" s="186"/>
      <c r="E288" s="190"/>
      <c r="H288" s="191"/>
    </row>
    <row r="289" spans="4:8" ht="15.75" customHeight="1" x14ac:dyDescent="0.35">
      <c r="D289" s="186"/>
      <c r="E289" s="190"/>
      <c r="H289" s="191"/>
    </row>
    <row r="290" spans="4:8" ht="15.75" customHeight="1" x14ac:dyDescent="0.35">
      <c r="D290" s="186"/>
      <c r="E290" s="190"/>
      <c r="H290" s="191"/>
    </row>
    <row r="291" spans="4:8" ht="15.75" customHeight="1" x14ac:dyDescent="0.35">
      <c r="D291" s="186"/>
      <c r="E291" s="190"/>
      <c r="H291" s="191"/>
    </row>
    <row r="292" spans="4:8" ht="15.75" customHeight="1" x14ac:dyDescent="0.35">
      <c r="D292" s="186"/>
      <c r="E292" s="190"/>
      <c r="H292" s="191"/>
    </row>
    <row r="293" spans="4:8" ht="15.75" customHeight="1" x14ac:dyDescent="0.35">
      <c r="D293" s="186"/>
      <c r="E293" s="190"/>
      <c r="H293" s="191"/>
    </row>
    <row r="294" spans="4:8" ht="15.75" customHeight="1" x14ac:dyDescent="0.35">
      <c r="D294" s="186"/>
      <c r="E294" s="190"/>
      <c r="H294" s="191"/>
    </row>
    <row r="295" spans="4:8" ht="15.75" customHeight="1" x14ac:dyDescent="0.35">
      <c r="D295" s="186"/>
      <c r="E295" s="190"/>
      <c r="H295" s="191"/>
    </row>
    <row r="296" spans="4:8" ht="15.75" customHeight="1" x14ac:dyDescent="0.35">
      <c r="D296" s="186"/>
      <c r="E296" s="190"/>
      <c r="H296" s="191"/>
    </row>
    <row r="297" spans="4:8" ht="15.75" customHeight="1" x14ac:dyDescent="0.35">
      <c r="D297" s="186"/>
      <c r="E297" s="190"/>
      <c r="H297" s="191"/>
    </row>
    <row r="298" spans="4:8" ht="15.75" customHeight="1" x14ac:dyDescent="0.35">
      <c r="D298" s="186"/>
      <c r="E298" s="190"/>
      <c r="H298" s="191"/>
    </row>
    <row r="299" spans="4:8" ht="15.75" customHeight="1" x14ac:dyDescent="0.35">
      <c r="D299" s="186"/>
      <c r="E299" s="190"/>
      <c r="H299" s="191"/>
    </row>
    <row r="300" spans="4:8" ht="15.75" customHeight="1" x14ac:dyDescent="0.35">
      <c r="D300" s="186"/>
      <c r="E300" s="190"/>
      <c r="H300" s="191"/>
    </row>
    <row r="301" spans="4:8" ht="15.75" customHeight="1" x14ac:dyDescent="0.35">
      <c r="D301" s="186"/>
      <c r="E301" s="190"/>
      <c r="H301" s="191"/>
    </row>
    <row r="302" spans="4:8" ht="15.75" customHeight="1" x14ac:dyDescent="0.35">
      <c r="D302" s="186"/>
      <c r="E302" s="190"/>
      <c r="H302" s="191"/>
    </row>
    <row r="303" spans="4:8" ht="15.75" customHeight="1" x14ac:dyDescent="0.35">
      <c r="D303" s="186"/>
      <c r="E303" s="190"/>
      <c r="H303" s="191"/>
    </row>
    <row r="304" spans="4:8" ht="15.75" customHeight="1" x14ac:dyDescent="0.35">
      <c r="D304" s="186"/>
      <c r="E304" s="190"/>
      <c r="H304" s="191"/>
    </row>
    <row r="305" spans="4:8" ht="15.75" customHeight="1" x14ac:dyDescent="0.35">
      <c r="D305" s="186"/>
      <c r="E305" s="190"/>
      <c r="H305" s="191"/>
    </row>
    <row r="306" spans="4:8" ht="15.75" customHeight="1" x14ac:dyDescent="0.35">
      <c r="D306" s="186"/>
      <c r="E306" s="190"/>
      <c r="H306" s="191"/>
    </row>
    <row r="307" spans="4:8" ht="15.75" customHeight="1" x14ac:dyDescent="0.35">
      <c r="D307" s="186"/>
      <c r="E307" s="190"/>
      <c r="H307" s="191"/>
    </row>
    <row r="308" spans="4:8" ht="15.75" customHeight="1" x14ac:dyDescent="0.35">
      <c r="D308" s="186"/>
      <c r="E308" s="190"/>
      <c r="H308" s="191"/>
    </row>
    <row r="309" spans="4:8" ht="15.75" customHeight="1" x14ac:dyDescent="0.35">
      <c r="D309" s="186"/>
      <c r="E309" s="190"/>
      <c r="H309" s="191"/>
    </row>
    <row r="310" spans="4:8" ht="15.75" customHeight="1" x14ac:dyDescent="0.35">
      <c r="D310" s="186"/>
      <c r="E310" s="190"/>
      <c r="H310" s="191"/>
    </row>
    <row r="311" spans="4:8" ht="15.75" customHeight="1" x14ac:dyDescent="0.35">
      <c r="D311" s="186"/>
      <c r="E311" s="190"/>
      <c r="H311" s="191"/>
    </row>
    <row r="312" spans="4:8" ht="15.75" customHeight="1" x14ac:dyDescent="0.35">
      <c r="D312" s="186"/>
      <c r="E312" s="190"/>
      <c r="H312" s="191"/>
    </row>
    <row r="313" spans="4:8" ht="15.75" customHeight="1" x14ac:dyDescent="0.35">
      <c r="D313" s="186"/>
      <c r="E313" s="190"/>
      <c r="H313" s="191"/>
    </row>
    <row r="314" spans="4:8" ht="15.75" customHeight="1" x14ac:dyDescent="0.35">
      <c r="D314" s="186"/>
      <c r="E314" s="190"/>
      <c r="H314" s="191"/>
    </row>
    <row r="315" spans="4:8" ht="15.75" customHeight="1" x14ac:dyDescent="0.35">
      <c r="D315" s="186"/>
      <c r="E315" s="190"/>
      <c r="H315" s="191"/>
    </row>
    <row r="316" spans="4:8" ht="15.75" customHeight="1" x14ac:dyDescent="0.35">
      <c r="D316" s="186"/>
      <c r="E316" s="190"/>
      <c r="H316" s="191"/>
    </row>
    <row r="317" spans="4:8" ht="15.75" customHeight="1" x14ac:dyDescent="0.35">
      <c r="D317" s="186"/>
      <c r="E317" s="190"/>
      <c r="H317" s="191"/>
    </row>
    <row r="318" spans="4:8" ht="15.75" customHeight="1" x14ac:dyDescent="0.35">
      <c r="D318" s="186"/>
      <c r="E318" s="190"/>
      <c r="H318" s="191"/>
    </row>
    <row r="319" spans="4:8" ht="15.75" customHeight="1" x14ac:dyDescent="0.35">
      <c r="D319" s="186"/>
      <c r="E319" s="190"/>
      <c r="H319" s="191"/>
    </row>
    <row r="320" spans="4:8" ht="15.75" customHeight="1" x14ac:dyDescent="0.35">
      <c r="D320" s="186"/>
      <c r="E320" s="190"/>
      <c r="H320" s="191"/>
    </row>
    <row r="321" spans="4:8" ht="15.75" customHeight="1" x14ac:dyDescent="0.35">
      <c r="D321" s="186"/>
      <c r="E321" s="190"/>
      <c r="H321" s="191"/>
    </row>
    <row r="322" spans="4:8" ht="15.75" customHeight="1" x14ac:dyDescent="0.35">
      <c r="D322" s="186"/>
      <c r="E322" s="190"/>
      <c r="H322" s="191"/>
    </row>
    <row r="323" spans="4:8" ht="15.75" customHeight="1" x14ac:dyDescent="0.35">
      <c r="D323" s="186"/>
      <c r="E323" s="190"/>
      <c r="H323" s="191"/>
    </row>
    <row r="324" spans="4:8" ht="15.75" customHeight="1" x14ac:dyDescent="0.35">
      <c r="D324" s="186"/>
      <c r="E324" s="190"/>
      <c r="H324" s="191"/>
    </row>
    <row r="325" spans="4:8" ht="15.75" customHeight="1" x14ac:dyDescent="0.35">
      <c r="D325" s="186"/>
      <c r="E325" s="190"/>
      <c r="H325" s="191"/>
    </row>
    <row r="326" spans="4:8" ht="15.75" customHeight="1" x14ac:dyDescent="0.35">
      <c r="D326" s="186"/>
      <c r="E326" s="190"/>
      <c r="H326" s="191"/>
    </row>
    <row r="327" spans="4:8" ht="15.75" customHeight="1" x14ac:dyDescent="0.35">
      <c r="D327" s="186"/>
      <c r="E327" s="190"/>
      <c r="H327" s="191"/>
    </row>
    <row r="328" spans="4:8" ht="15.75" customHeight="1" x14ac:dyDescent="0.35">
      <c r="D328" s="186"/>
      <c r="E328" s="190"/>
      <c r="H328" s="191"/>
    </row>
    <row r="329" spans="4:8" ht="15.75" customHeight="1" x14ac:dyDescent="0.35">
      <c r="D329" s="186"/>
      <c r="E329" s="190"/>
      <c r="H329" s="191"/>
    </row>
    <row r="330" spans="4:8" ht="15.75" customHeight="1" x14ac:dyDescent="0.35">
      <c r="D330" s="186"/>
      <c r="E330" s="190"/>
      <c r="H330" s="191"/>
    </row>
    <row r="331" spans="4:8" ht="15.75" customHeight="1" x14ac:dyDescent="0.35">
      <c r="D331" s="186"/>
      <c r="E331" s="190"/>
      <c r="H331" s="191"/>
    </row>
    <row r="332" spans="4:8" ht="15.75" customHeight="1" x14ac:dyDescent="0.35">
      <c r="D332" s="186"/>
      <c r="E332" s="190"/>
      <c r="H332" s="191"/>
    </row>
    <row r="333" spans="4:8" ht="15.75" customHeight="1" x14ac:dyDescent="0.35">
      <c r="D333" s="186"/>
      <c r="E333" s="190"/>
      <c r="H333" s="191"/>
    </row>
    <row r="334" spans="4:8" ht="15.75" customHeight="1" x14ac:dyDescent="0.35">
      <c r="D334" s="186"/>
      <c r="E334" s="190"/>
      <c r="H334" s="191"/>
    </row>
    <row r="335" spans="4:8" ht="15.75" customHeight="1" x14ac:dyDescent="0.35">
      <c r="D335" s="186"/>
      <c r="E335" s="190"/>
      <c r="H335" s="191"/>
    </row>
    <row r="336" spans="4:8" ht="15.75" customHeight="1" x14ac:dyDescent="0.35">
      <c r="D336" s="186"/>
      <c r="E336" s="190"/>
      <c r="H336" s="191"/>
    </row>
    <row r="337" spans="4:8" ht="15.75" customHeight="1" x14ac:dyDescent="0.35">
      <c r="D337" s="186"/>
      <c r="E337" s="190"/>
      <c r="H337" s="191"/>
    </row>
    <row r="338" spans="4:8" ht="15.75" customHeight="1" x14ac:dyDescent="0.35">
      <c r="D338" s="186"/>
      <c r="E338" s="190"/>
      <c r="H338" s="191"/>
    </row>
    <row r="339" spans="4:8" ht="15.75" customHeight="1" x14ac:dyDescent="0.35">
      <c r="D339" s="186"/>
      <c r="E339" s="190"/>
      <c r="H339" s="191"/>
    </row>
    <row r="340" spans="4:8" ht="15.75" customHeight="1" x14ac:dyDescent="0.35">
      <c r="D340" s="186"/>
      <c r="E340" s="190"/>
      <c r="H340" s="191"/>
    </row>
    <row r="341" spans="4:8" ht="15.75" customHeight="1" x14ac:dyDescent="0.35">
      <c r="D341" s="186"/>
      <c r="E341" s="190"/>
      <c r="H341" s="191"/>
    </row>
    <row r="342" spans="4:8" ht="15.75" customHeight="1" x14ac:dyDescent="0.35">
      <c r="D342" s="186"/>
      <c r="E342" s="190"/>
      <c r="H342" s="191"/>
    </row>
    <row r="343" spans="4:8" ht="15.75" customHeight="1" x14ac:dyDescent="0.35">
      <c r="D343" s="186"/>
      <c r="E343" s="190"/>
      <c r="H343" s="191"/>
    </row>
    <row r="344" spans="4:8" ht="15.75" customHeight="1" x14ac:dyDescent="0.35">
      <c r="D344" s="186"/>
      <c r="E344" s="190"/>
      <c r="H344" s="191"/>
    </row>
    <row r="345" spans="4:8" ht="15.75" customHeight="1" x14ac:dyDescent="0.35">
      <c r="D345" s="186"/>
      <c r="E345" s="190"/>
      <c r="H345" s="191"/>
    </row>
    <row r="346" spans="4:8" ht="15.75" customHeight="1" x14ac:dyDescent="0.35">
      <c r="D346" s="186"/>
      <c r="E346" s="190"/>
      <c r="H346" s="191"/>
    </row>
    <row r="347" spans="4:8" ht="15.75" customHeight="1" x14ac:dyDescent="0.35">
      <c r="D347" s="186"/>
      <c r="E347" s="190"/>
      <c r="H347" s="191"/>
    </row>
    <row r="348" spans="4:8" ht="15.75" customHeight="1" x14ac:dyDescent="0.35">
      <c r="D348" s="186"/>
      <c r="E348" s="190"/>
      <c r="H348" s="191"/>
    </row>
    <row r="349" spans="4:8" ht="15.75" customHeight="1" x14ac:dyDescent="0.35">
      <c r="D349" s="186"/>
      <c r="E349" s="190"/>
      <c r="H349" s="191"/>
    </row>
    <row r="350" spans="4:8" ht="15.75" customHeight="1" x14ac:dyDescent="0.35">
      <c r="D350" s="186"/>
      <c r="E350" s="190"/>
      <c r="H350" s="191"/>
    </row>
    <row r="351" spans="4:8" ht="15.75" customHeight="1" x14ac:dyDescent="0.35">
      <c r="D351" s="186"/>
      <c r="E351" s="190"/>
      <c r="H351" s="191"/>
    </row>
    <row r="352" spans="4:8" ht="15.75" customHeight="1" x14ac:dyDescent="0.35">
      <c r="D352" s="186"/>
      <c r="E352" s="190"/>
      <c r="H352" s="191"/>
    </row>
    <row r="353" spans="4:8" ht="15.75" customHeight="1" x14ac:dyDescent="0.35">
      <c r="D353" s="186"/>
      <c r="E353" s="190"/>
      <c r="H353" s="191"/>
    </row>
    <row r="354" spans="4:8" ht="15.75" customHeight="1" x14ac:dyDescent="0.35">
      <c r="D354" s="186"/>
      <c r="E354" s="190"/>
      <c r="H354" s="191"/>
    </row>
    <row r="355" spans="4:8" ht="15.75" customHeight="1" x14ac:dyDescent="0.35">
      <c r="D355" s="186"/>
      <c r="E355" s="190"/>
      <c r="H355" s="191"/>
    </row>
    <row r="356" spans="4:8" ht="15.75" customHeight="1" x14ac:dyDescent="0.35">
      <c r="D356" s="186"/>
      <c r="E356" s="190"/>
      <c r="H356" s="191"/>
    </row>
    <row r="357" spans="4:8" ht="15.75" customHeight="1" x14ac:dyDescent="0.35">
      <c r="D357" s="186"/>
      <c r="E357" s="190"/>
      <c r="H357" s="191"/>
    </row>
    <row r="358" spans="4:8" ht="15.75" customHeight="1" x14ac:dyDescent="0.35">
      <c r="D358" s="186"/>
      <c r="E358" s="190"/>
      <c r="H358" s="191"/>
    </row>
    <row r="359" spans="4:8" ht="15.75" customHeight="1" x14ac:dyDescent="0.35">
      <c r="D359" s="186"/>
      <c r="E359" s="190"/>
      <c r="H359" s="191"/>
    </row>
    <row r="360" spans="4:8" ht="15.75" customHeight="1" x14ac:dyDescent="0.35">
      <c r="D360" s="186"/>
      <c r="E360" s="190"/>
      <c r="H360" s="191"/>
    </row>
    <row r="361" spans="4:8" ht="15.75" customHeight="1" x14ac:dyDescent="0.35">
      <c r="D361" s="186"/>
      <c r="E361" s="190"/>
      <c r="H361" s="191"/>
    </row>
    <row r="362" spans="4:8" ht="15.75" customHeight="1" x14ac:dyDescent="0.35">
      <c r="D362" s="186"/>
      <c r="E362" s="190"/>
      <c r="H362" s="191"/>
    </row>
    <row r="363" spans="4:8" ht="15.75" customHeight="1" x14ac:dyDescent="0.35">
      <c r="D363" s="186"/>
      <c r="E363" s="190"/>
      <c r="H363" s="191"/>
    </row>
    <row r="364" spans="4:8" ht="15.75" customHeight="1" x14ac:dyDescent="0.35">
      <c r="D364" s="186"/>
      <c r="E364" s="190"/>
      <c r="H364" s="191"/>
    </row>
    <row r="365" spans="4:8" ht="15.75" customHeight="1" x14ac:dyDescent="0.35">
      <c r="D365" s="186"/>
      <c r="E365" s="190"/>
      <c r="H365" s="191"/>
    </row>
    <row r="366" spans="4:8" ht="15.75" customHeight="1" x14ac:dyDescent="0.35">
      <c r="D366" s="186"/>
      <c r="E366" s="190"/>
      <c r="H366" s="191"/>
    </row>
    <row r="367" spans="4:8" ht="15.75" customHeight="1" x14ac:dyDescent="0.35">
      <c r="D367" s="186"/>
      <c r="E367" s="190"/>
      <c r="H367" s="191"/>
    </row>
    <row r="368" spans="4:8" ht="15.75" customHeight="1" x14ac:dyDescent="0.35">
      <c r="D368" s="186"/>
      <c r="E368" s="190"/>
      <c r="H368" s="191"/>
    </row>
    <row r="369" spans="4:8" ht="15.75" customHeight="1" x14ac:dyDescent="0.35">
      <c r="D369" s="186"/>
      <c r="E369" s="190"/>
      <c r="H369" s="191"/>
    </row>
    <row r="370" spans="4:8" ht="15.75" customHeight="1" x14ac:dyDescent="0.35">
      <c r="D370" s="186"/>
      <c r="E370" s="190"/>
      <c r="H370" s="191"/>
    </row>
    <row r="371" spans="4:8" ht="15.75" customHeight="1" x14ac:dyDescent="0.35">
      <c r="D371" s="186"/>
      <c r="E371" s="190"/>
      <c r="H371" s="191"/>
    </row>
    <row r="372" spans="4:8" ht="15.75" customHeight="1" x14ac:dyDescent="0.35">
      <c r="D372" s="186"/>
      <c r="E372" s="190"/>
      <c r="H372" s="191"/>
    </row>
    <row r="373" spans="4:8" ht="15.75" customHeight="1" x14ac:dyDescent="0.35">
      <c r="D373" s="186"/>
      <c r="E373" s="190"/>
      <c r="H373" s="191"/>
    </row>
    <row r="374" spans="4:8" ht="15.75" customHeight="1" x14ac:dyDescent="0.35">
      <c r="D374" s="186"/>
      <c r="E374" s="190"/>
      <c r="H374" s="191"/>
    </row>
    <row r="375" spans="4:8" ht="15.75" customHeight="1" x14ac:dyDescent="0.35">
      <c r="D375" s="186"/>
      <c r="E375" s="190"/>
      <c r="H375" s="191"/>
    </row>
    <row r="376" spans="4:8" ht="15.75" customHeight="1" x14ac:dyDescent="0.35">
      <c r="D376" s="186"/>
      <c r="E376" s="190"/>
      <c r="H376" s="191"/>
    </row>
    <row r="377" spans="4:8" ht="15.75" customHeight="1" x14ac:dyDescent="0.35">
      <c r="D377" s="186"/>
      <c r="E377" s="190"/>
      <c r="H377" s="191"/>
    </row>
    <row r="378" spans="4:8" ht="15.75" customHeight="1" x14ac:dyDescent="0.35">
      <c r="D378" s="186"/>
      <c r="E378" s="190"/>
      <c r="H378" s="191"/>
    </row>
    <row r="379" spans="4:8" ht="15.75" customHeight="1" x14ac:dyDescent="0.35">
      <c r="D379" s="186"/>
      <c r="E379" s="190"/>
      <c r="H379" s="191"/>
    </row>
    <row r="380" spans="4:8" ht="15.75" customHeight="1" x14ac:dyDescent="0.35">
      <c r="D380" s="186"/>
      <c r="E380" s="190"/>
      <c r="H380" s="191"/>
    </row>
    <row r="381" spans="4:8" ht="15.75" customHeight="1" x14ac:dyDescent="0.35">
      <c r="D381" s="186"/>
      <c r="E381" s="190"/>
      <c r="H381" s="191"/>
    </row>
    <row r="382" spans="4:8" ht="15.75" customHeight="1" x14ac:dyDescent="0.35">
      <c r="D382" s="186"/>
      <c r="E382" s="190"/>
      <c r="H382" s="191"/>
    </row>
    <row r="383" spans="4:8" ht="15.75" customHeight="1" x14ac:dyDescent="0.35">
      <c r="D383" s="186"/>
      <c r="E383" s="190"/>
      <c r="H383" s="191"/>
    </row>
    <row r="384" spans="4:8" ht="15.75" customHeight="1" x14ac:dyDescent="0.35">
      <c r="D384" s="186"/>
      <c r="E384" s="190"/>
      <c r="H384" s="191"/>
    </row>
    <row r="385" spans="4:8" ht="15.75" customHeight="1" x14ac:dyDescent="0.35">
      <c r="D385" s="186"/>
      <c r="E385" s="190"/>
      <c r="H385" s="191"/>
    </row>
    <row r="386" spans="4:8" ht="15.75" customHeight="1" x14ac:dyDescent="0.35"/>
    <row r="387" spans="4:8" ht="15.75" customHeight="1" x14ac:dyDescent="0.35"/>
    <row r="388" spans="4:8" ht="15.75" customHeight="1" x14ac:dyDescent="0.35"/>
    <row r="389" spans="4:8" ht="15.75" customHeight="1" x14ac:dyDescent="0.35"/>
    <row r="390" spans="4:8" ht="15.75" customHeight="1" x14ac:dyDescent="0.35"/>
    <row r="391" spans="4:8" ht="15.75" customHeight="1" x14ac:dyDescent="0.35"/>
    <row r="392" spans="4:8" ht="15.75" customHeight="1" x14ac:dyDescent="0.35"/>
    <row r="393" spans="4:8" ht="15.75" customHeight="1" x14ac:dyDescent="0.35"/>
    <row r="394" spans="4:8" ht="15.75" customHeight="1" x14ac:dyDescent="0.35"/>
    <row r="395" spans="4:8" ht="15.75" customHeight="1" x14ac:dyDescent="0.35"/>
    <row r="396" spans="4:8" ht="15.75" customHeight="1" x14ac:dyDescent="0.35"/>
    <row r="397" spans="4:8" ht="15.75" customHeight="1" x14ac:dyDescent="0.35"/>
    <row r="398" spans="4:8" ht="15.75" customHeight="1" x14ac:dyDescent="0.35"/>
    <row r="399" spans="4:8" ht="15.75" customHeight="1" x14ac:dyDescent="0.35"/>
    <row r="400" spans="4:8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</sheetData>
  <mergeCells count="90">
    <mergeCell ref="A8:A9"/>
    <mergeCell ref="B8:B9"/>
    <mergeCell ref="C8:C9"/>
    <mergeCell ref="E8:E9"/>
    <mergeCell ref="F8:F9"/>
    <mergeCell ref="A1:AI1"/>
    <mergeCell ref="A2:AI2"/>
    <mergeCell ref="A3:AI3"/>
    <mergeCell ref="A4:G4"/>
    <mergeCell ref="A6:G6"/>
    <mergeCell ref="G8:G9"/>
    <mergeCell ref="H8:H9"/>
    <mergeCell ref="I8:AI8"/>
    <mergeCell ref="D13:D15"/>
    <mergeCell ref="F13:F15"/>
    <mergeCell ref="G13:G17"/>
    <mergeCell ref="H13:H17"/>
    <mergeCell ref="D16:D17"/>
    <mergeCell ref="F16:F17"/>
    <mergeCell ref="D18:D20"/>
    <mergeCell ref="F18:F20"/>
    <mergeCell ref="G18:G20"/>
    <mergeCell ref="H18:H20"/>
    <mergeCell ref="D23:D26"/>
    <mergeCell ref="F23:F26"/>
    <mergeCell ref="G23:G26"/>
    <mergeCell ref="H23:H26"/>
    <mergeCell ref="D27:D54"/>
    <mergeCell ref="F27:F54"/>
    <mergeCell ref="G27:G54"/>
    <mergeCell ref="H27:H54"/>
    <mergeCell ref="D55:D57"/>
    <mergeCell ref="F55:F57"/>
    <mergeCell ref="G55:G57"/>
    <mergeCell ref="H55:H57"/>
    <mergeCell ref="D61:D62"/>
    <mergeCell ref="F61:F62"/>
    <mergeCell ref="G61:G62"/>
    <mergeCell ref="H61:H62"/>
    <mergeCell ref="D82:D84"/>
    <mergeCell ref="F82:F84"/>
    <mergeCell ref="G82:G84"/>
    <mergeCell ref="H82:H84"/>
    <mergeCell ref="D127:D128"/>
    <mergeCell ref="F127:F128"/>
    <mergeCell ref="G127:G128"/>
    <mergeCell ref="H127:H128"/>
    <mergeCell ref="D86:D87"/>
    <mergeCell ref="F86:F87"/>
    <mergeCell ref="G86:G87"/>
    <mergeCell ref="D91:D112"/>
    <mergeCell ref="F91:F112"/>
    <mergeCell ref="G91:G112"/>
    <mergeCell ref="H91:H112"/>
    <mergeCell ref="D118:D119"/>
    <mergeCell ref="F118:F119"/>
    <mergeCell ref="D120:D121"/>
    <mergeCell ref="F120:F121"/>
    <mergeCell ref="D141:D143"/>
    <mergeCell ref="F141:F143"/>
    <mergeCell ref="G141:G143"/>
    <mergeCell ref="D153:D155"/>
    <mergeCell ref="E153:E155"/>
    <mergeCell ref="F153:F155"/>
    <mergeCell ref="G153:G155"/>
    <mergeCell ref="H153:H155"/>
    <mergeCell ref="D157:D160"/>
    <mergeCell ref="E157:E160"/>
    <mergeCell ref="F157:F160"/>
    <mergeCell ref="G157:G160"/>
    <mergeCell ref="H157:H160"/>
    <mergeCell ref="I157:I160"/>
    <mergeCell ref="G161:G162"/>
    <mergeCell ref="H161:H162"/>
    <mergeCell ref="D167:D170"/>
    <mergeCell ref="E167:E170"/>
    <mergeCell ref="F167:F170"/>
    <mergeCell ref="G167:G170"/>
    <mergeCell ref="H167:H170"/>
    <mergeCell ref="D172:F172"/>
    <mergeCell ref="D173:F173"/>
    <mergeCell ref="I173:J173"/>
    <mergeCell ref="K173:AG173"/>
    <mergeCell ref="D174:F174"/>
    <mergeCell ref="K174:AG174"/>
    <mergeCell ref="D175:F175"/>
    <mergeCell ref="K175:AG175"/>
    <mergeCell ref="K176:AG176"/>
    <mergeCell ref="A182:C182"/>
    <mergeCell ref="A183:C183"/>
  </mergeCells>
  <pageMargins left="0.7" right="0.36" top="0.27999999999999997" bottom="0.6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3rd Quarter as of 07-01-24</vt:lpstr>
      <vt:lpstr>3rd Quarter as of 07-04-24</vt:lpstr>
      <vt:lpstr>3rd Quarter as of 07-09-24</vt:lpstr>
      <vt:lpstr>3rd Quarter as of 07-11-24</vt:lpstr>
      <vt:lpstr>3rd Quarter as of 07-19-24</vt:lpstr>
      <vt:lpstr>MY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Lejsam Lois Dela Cruz</dc:creator>
  <cp:lastModifiedBy>Lejsam Lois Dela Cruz</cp:lastModifiedBy>
  <dcterms:created xsi:type="dcterms:W3CDTF">2024-07-01T01:41:29Z</dcterms:created>
  <dcterms:modified xsi:type="dcterms:W3CDTF">2024-07-19T03:45:03Z</dcterms:modified>
</cp:coreProperties>
</file>