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showHorizontalScroll="0" showVerticalScroll="0" showSheetTabs="0" xWindow="0" yWindow="0" windowWidth="12930" windowHeight="7680"/>
  </bookViews>
  <sheets>
    <sheet name="OD-PICTS 1st Sem" sheetId="1" r:id="rId1"/>
  </sheets>
  <calcPr calcId="162913"/>
</workbook>
</file>

<file path=xl/calcChain.xml><?xml version="1.0" encoding="utf-8"?>
<calcChain xmlns="http://schemas.openxmlformats.org/spreadsheetml/2006/main">
  <c r="F43" i="1" l="1"/>
  <c r="E43" i="1"/>
  <c r="F37" i="1" l="1"/>
  <c r="F18" i="1"/>
  <c r="D50" i="1"/>
  <c r="F48" i="1"/>
  <c r="F29" i="1"/>
  <c r="F36" i="1" l="1"/>
  <c r="F25" i="1" l="1"/>
  <c r="F31" i="1" l="1"/>
  <c r="F40" i="1"/>
  <c r="D51" i="1" l="1"/>
  <c r="D52" i="1" l="1"/>
  <c r="D53" i="1" s="1"/>
</calcChain>
</file>

<file path=xl/sharedStrings.xml><?xml version="1.0" encoding="utf-8"?>
<sst xmlns="http://schemas.openxmlformats.org/spreadsheetml/2006/main" count="154" uniqueCount="145">
  <si>
    <t xml:space="preserve">  PROJECT PROCUREMENT MANAGEMENT PLAN (PPMP) 2024</t>
  </si>
  <si>
    <t>END-USER/UNIT: OD-PICTS</t>
  </si>
  <si>
    <t>Charged to: PICTS project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</si>
  <si>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</si>
  <si>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</si>
  <si>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</si>
  <si>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</si>
  <si>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</si>
  <si>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</si>
  <si>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</si>
  <si>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</si>
  <si>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</si>
  <si>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</si>
  <si>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</si>
  <si>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</si>
  <si>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</si>
  <si>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</si>
  <si>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</si>
  <si>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</si>
  <si>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</si>
  <si>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</si>
  <si>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</si>
  <si>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</si>
  <si>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</si>
  <si>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</si>
  <si>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</si>
  <si>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</si>
  <si>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</si>
  <si>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</si>
  <si>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</si>
  <si>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</si>
  <si>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</si>
  <si>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</si>
  <si>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</si>
  <si>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</si>
  <si>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</si>
  <si>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</si>
  <si>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</si>
  <si>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</si>
  <si>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</si>
  <si>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</si>
  <si>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</si>
  <si>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</si>
  <si>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</si>
  <si>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</si>
  <si>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</si>
  <si>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</si>
  <si>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</si>
  <si>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</si>
  <si>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</si>
  <si>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</si>
  <si>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</si>
  <si>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</si>
  <si>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</si>
  <si>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</si>
  <si>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</si>
  <si>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</si>
  <si>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</si>
  <si>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</si>
  <si>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</si>
  <si>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</si>
  <si>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</si>
  <si>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</si>
  <si>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</si>
  <si>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</si>
  <si>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</si>
  <si>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</si>
  <si>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</si>
  <si>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</si>
  <si>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</si>
  <si>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</si>
  <si>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</si>
  <si>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</si>
  <si>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</si>
  <si>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</si>
  <si>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1 lot</t>
  </si>
  <si>
    <t>Shopping</t>
  </si>
  <si>
    <t>15-30 working days</t>
  </si>
  <si>
    <t>50203010 01</t>
  </si>
  <si>
    <t xml:space="preserve">ICT Office Supplies </t>
  </si>
  <si>
    <t>50203210 03</t>
  </si>
  <si>
    <t>Semi- Expendable - ICT Equipment</t>
  </si>
  <si>
    <t>50213050 02</t>
  </si>
  <si>
    <t>Repair and Maintenance – Office Equipment</t>
  </si>
  <si>
    <t>50299070 00</t>
  </si>
  <si>
    <t>Subscription Expenses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</si>
  <si>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</si>
  <si>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</si>
  <si>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</si>
  <si>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</si>
  <si>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</si>
  <si>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</si>
  <si>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</si>
  <si>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</si>
  <si>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</si>
  <si>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</si>
  <si>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</si>
  <si>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</si>
  <si>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</si>
  <si>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</si>
  <si>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</si>
  <si>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</si>
  <si>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</si>
  <si>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</si>
  <si>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MARNIE B. DONES</t>
  </si>
  <si>
    <t>For 2nd Quarter of CY 2024</t>
  </si>
  <si>
    <t>1 piece Laptop Charger for ASUS P1411CEA-EB1075, AD2108320, 45W</t>
  </si>
  <si>
    <t>1 piece Laptop Charger for Dell Vostro 3401, DA45NM140</t>
  </si>
  <si>
    <t>1 piece Laptop Battery for Dell Vostro 3401, 42Wh Type : YRDD6</t>
  </si>
  <si>
    <t>1 lot Repair of APC SMT2000I-2U UPS (SN: AS1522331610) including replacement and installation of new 4pcs of battery</t>
  </si>
  <si>
    <t>2 pieces USB Mini Keyboard</t>
  </si>
  <si>
    <t>10 packs Battery AA</t>
  </si>
  <si>
    <t>1 unit Micro 4 Channel HDMI/ DP Video Switcher</t>
  </si>
  <si>
    <t>2piece Toner Cartridge, HP CF402A (HP201A), Yellow LaserJet</t>
  </si>
  <si>
    <t>2 piece Toner Cartridge, HP CF401A (HP201A), Cyan LaserJet</t>
  </si>
  <si>
    <t>3 piece Toner Cartridge, HP CF400A (HP201A), Black LaserJet</t>
  </si>
  <si>
    <t>2 piece Toner Cartridge, HP CF403A (HP201A), Magenta LaserJet</t>
  </si>
  <si>
    <t>Renewal of Adobe Photoshop and Indesign</t>
  </si>
  <si>
    <t xml:space="preserve">2 units Tablet </t>
  </si>
  <si>
    <t>July</t>
  </si>
  <si>
    <t>August</t>
  </si>
  <si>
    <t>Sep.</t>
  </si>
  <si>
    <t>Acetate Clear, PVC Binding Cover, A4, 200 microns, 100sheets/pack</t>
  </si>
  <si>
    <t>3 packs</t>
  </si>
  <si>
    <t>Binder Cover Specialty Paper Board 300gsm 100's/bulkpack</t>
  </si>
  <si>
    <t>20 packs</t>
  </si>
  <si>
    <t>Marker, Flourescent (3 colors/set)</t>
  </si>
  <si>
    <t>Scissor, Symmetrical/Asymmetrical</t>
  </si>
  <si>
    <t>3 pcs.</t>
  </si>
  <si>
    <t>Tape Transparent, 24mm</t>
  </si>
  <si>
    <t>20 rolls</t>
  </si>
  <si>
    <t>Clip, Backfold, 32mm/1 1/4 inches, 12pcs./box</t>
  </si>
  <si>
    <t>20 boxes</t>
  </si>
  <si>
    <t>Record Book, 500 pages</t>
  </si>
  <si>
    <t>5 pcs.</t>
  </si>
  <si>
    <t>Ruler, 12 inches</t>
  </si>
  <si>
    <t>2 pcs.</t>
  </si>
  <si>
    <t>Glue Gel, 60 ml</t>
  </si>
  <si>
    <t>Handheld Cutter</t>
  </si>
  <si>
    <t>Desk/Pen Organizer</t>
  </si>
  <si>
    <t>8 pcs.</t>
  </si>
  <si>
    <t>2 units Laptop Computer</t>
  </si>
  <si>
    <t>8 sets</t>
  </si>
  <si>
    <t>Other MOOE</t>
  </si>
  <si>
    <t>Printing of Annual Report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</si>
</sst>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[$₱]#,##0.00"/>
  </numFmts>
  <fonts count="25">
    <font>
      <sz val="11"/>
      <color theme="1"/>
      <name val="Arial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  <scheme val="minor"/>
    </font>
    <font>
      <sz val="9"/>
      <color theme="1"/>
      <name val="Eater"/>
    </font>
    <font>
      <sz val="9"/>
      <color rgb="FF000000"/>
      <name val="Arial"/>
      <family val="2"/>
    </font>
    <font>
      <b/>
      <u/>
      <sz val="9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  <scheme val="major"/>
    </font>
    <font>
      <sz val="9"/>
      <name val="Arial"/>
      <family val="2"/>
      <scheme val="major"/>
    </font>
    <font>
      <sz val="10"/>
      <name val="Arial"/>
      <family val="2"/>
      <charset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23" fillId="0" borderId="0"/>
  </cellStyleXfs>
  <cellXfs count="202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7" fillId="0" borderId="10" xfId="0" quotePrefix="1" applyFont="1" applyBorder="1" applyAlignment="1">
      <alignment horizontal="center" wrapText="1"/>
    </xf>
    <xf numFmtId="0" fontId="7" fillId="0" borderId="11" xfId="0" quotePrefix="1" applyFont="1" applyBorder="1" applyAlignment="1">
      <alignment horizontal="center" wrapText="1"/>
    </xf>
    <xf numFmtId="4" fontId="7" fillId="0" borderId="11" xfId="0" quotePrefix="1" applyNumberFormat="1" applyFont="1" applyBorder="1" applyAlignment="1">
      <alignment horizontal="center" wrapText="1"/>
    </xf>
    <xf numFmtId="164" fontId="7" fillId="0" borderId="11" xfId="0" quotePrefix="1" applyNumberFormat="1" applyFont="1" applyBorder="1" applyAlignment="1">
      <alignment horizontal="center" wrapText="1"/>
    </xf>
    <xf numFmtId="0" fontId="9" fillId="0" borderId="12" xfId="0" applyFont="1" applyBorder="1"/>
    <xf numFmtId="0" fontId="9" fillId="0" borderId="0" xfId="0" applyFont="1"/>
    <xf numFmtId="0" fontId="9" fillId="2" borderId="13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/>
    </xf>
    <xf numFmtId="0" fontId="7" fillId="2" borderId="13" xfId="0" applyFont="1" applyFill="1" applyBorder="1" applyAlignment="1">
      <alignment wrapText="1"/>
    </xf>
    <xf numFmtId="0" fontId="9" fillId="2" borderId="13" xfId="0" applyFont="1" applyFill="1" applyBorder="1"/>
    <xf numFmtId="4" fontId="9" fillId="2" borderId="13" xfId="0" applyNumberFormat="1" applyFont="1" applyFill="1" applyBorder="1"/>
    <xf numFmtId="0" fontId="9" fillId="0" borderId="13" xfId="0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" fontId="9" fillId="0" borderId="13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3" xfId="0" applyFont="1" applyBorder="1"/>
    <xf numFmtId="49" fontId="9" fillId="0" borderId="13" xfId="0" applyNumberFormat="1" applyFont="1" applyBorder="1" applyAlignment="1">
      <alignment horizontal="center" wrapText="1"/>
    </xf>
    <xf numFmtId="0" fontId="11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9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4" fontId="7" fillId="2" borderId="13" xfId="0" applyNumberFormat="1" applyFont="1" applyFill="1" applyBorder="1" applyAlignment="1">
      <alignment horizontal="right" vertical="center" wrapText="1"/>
    </xf>
    <xf numFmtId="164" fontId="7" fillId="2" borderId="13" xfId="0" applyNumberFormat="1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4" fontId="9" fillId="2" borderId="13" xfId="0" applyNumberFormat="1" applyFont="1" applyFill="1" applyBorder="1" applyAlignment="1">
      <alignment horizontal="right" vertical="center" wrapText="1"/>
    </xf>
    <xf numFmtId="164" fontId="9" fillId="2" borderId="13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/>
    </xf>
    <xf numFmtId="164" fontId="9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9" fillId="0" borderId="0" xfId="0" applyFont="1" applyAlignment="1">
      <alignment horizontal="left"/>
    </xf>
    <xf numFmtId="0" fontId="7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15" fillId="0" borderId="0" xfId="0" applyFont="1"/>
    <xf numFmtId="164" fontId="15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4" fillId="0" borderId="0" xfId="0" applyFont="1"/>
    <xf numFmtId="4" fontId="2" fillId="0" borderId="0" xfId="0" applyNumberFormat="1" applyFont="1"/>
    <xf numFmtId="0" fontId="18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wrapText="1"/>
    </xf>
    <xf numFmtId="0" fontId="2" fillId="0" borderId="0" xfId="0" applyFont="1" applyAlignment="1">
      <alignment wrapText="1"/>
    </xf>
    <xf numFmtId="4" fontId="20" fillId="0" borderId="0" xfId="0" applyNumberFormat="1" applyFont="1" applyAlignment="1">
      <alignment horizontal="right"/>
    </xf>
    <xf numFmtId="0" fontId="22" fillId="0" borderId="1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8" xfId="0" applyFont="1" applyBorder="1"/>
    <xf numFmtId="0" fontId="7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0" fillId="0" borderId="0" xfId="0"/>
    <xf numFmtId="0" fontId="9" fillId="0" borderId="14" xfId="0" applyFont="1" applyBorder="1" applyAlignment="1">
      <alignment horizontal="center" vertical="center" wrapText="1"/>
    </xf>
    <xf numFmtId="0" fontId="8" fillId="0" borderId="10" xfId="0" applyFont="1" applyBorder="1"/>
    <xf numFmtId="0" fontId="0" fillId="0" borderId="0" xfId="0"/>
    <xf numFmtId="0" fontId="8" fillId="0" borderId="11" xfId="0" applyFont="1" applyBorder="1"/>
    <xf numFmtId="164" fontId="9" fillId="0" borderId="22" xfId="0" applyNumberFormat="1" applyFont="1" applyBorder="1" applyAlignment="1">
      <alignment vertical="center" wrapText="1"/>
    </xf>
    <xf numFmtId="164" fontId="9" fillId="0" borderId="14" xfId="0" applyNumberFormat="1" applyFont="1" applyBorder="1" applyAlignment="1">
      <alignment vertical="center"/>
    </xf>
    <xf numFmtId="0" fontId="9" fillId="4" borderId="16" xfId="0" applyFont="1" applyFill="1" applyBorder="1" applyAlignment="1">
      <alignment horizontal="left" vertical="center" wrapText="1"/>
    </xf>
    <xf numFmtId="4" fontId="9" fillId="0" borderId="18" xfId="0" applyNumberFormat="1" applyFont="1" applyBorder="1" applyAlignment="1">
      <alignment horizontal="right" vertical="center" wrapText="1"/>
    </xf>
    <xf numFmtId="4" fontId="21" fillId="0" borderId="18" xfId="0" applyNumberFormat="1" applyFont="1" applyBorder="1" applyAlignment="1">
      <alignment horizontal="right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22" xfId="0" applyFont="1" applyBorder="1" applyAlignment="1"/>
    <xf numFmtId="0" fontId="8" fillId="0" borderId="22" xfId="0" applyFont="1" applyBorder="1" applyAlignment="1">
      <alignment vertical="center"/>
    </xf>
    <xf numFmtId="4" fontId="24" fillId="0" borderId="15" xfId="0" applyNumberFormat="1" applyFont="1" applyBorder="1" applyAlignment="1"/>
    <xf numFmtId="0" fontId="0" fillId="0" borderId="0" xfId="0"/>
    <xf numFmtId="0" fontId="9" fillId="0" borderId="14" xfId="0" applyFont="1" applyBorder="1" applyAlignment="1">
      <alignment horizontal="center" vertical="center"/>
    </xf>
    <xf numFmtId="0" fontId="8" fillId="0" borderId="10" xfId="0" applyFont="1" applyBorder="1"/>
    <xf numFmtId="0" fontId="9" fillId="0" borderId="14" xfId="0" applyFont="1" applyBorder="1" applyAlignment="1">
      <alignment horizontal="center" vertical="center" wrapText="1"/>
    </xf>
    <xf numFmtId="0" fontId="9" fillId="2" borderId="14" xfId="0" applyFont="1" applyFill="1" applyBorder="1"/>
    <xf numFmtId="164" fontId="9" fillId="2" borderId="14" xfId="0" applyNumberFormat="1" applyFont="1" applyFill="1" applyBorder="1"/>
    <xf numFmtId="164" fontId="7" fillId="2" borderId="10" xfId="0" applyNumberFormat="1" applyFont="1" applyFill="1" applyBorder="1" applyAlignment="1">
      <alignment horizontal="center" vertical="center" wrapText="1"/>
    </xf>
    <xf numFmtId="0" fontId="24" fillId="0" borderId="22" xfId="0" applyFont="1" applyBorder="1" applyAlignment="1"/>
    <xf numFmtId="49" fontId="9" fillId="0" borderId="14" xfId="0" applyNumberFormat="1" applyFont="1" applyBorder="1" applyAlignment="1">
      <alignment horizontal="center" vertical="center" wrapText="1"/>
    </xf>
    <xf numFmtId="164" fontId="9" fillId="0" borderId="23" xfId="0" applyNumberFormat="1" applyFont="1" applyBorder="1" applyAlignment="1">
      <alignment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left" vertical="center" wrapText="1"/>
    </xf>
    <xf numFmtId="4" fontId="7" fillId="2" borderId="10" xfId="0" applyNumberFormat="1" applyFont="1" applyFill="1" applyBorder="1" applyAlignment="1">
      <alignment horizontal="right" vertical="center" wrapText="1"/>
    </xf>
    <xf numFmtId="49" fontId="9" fillId="0" borderId="22" xfId="0" applyNumberFormat="1" applyFont="1" applyBorder="1" applyAlignment="1">
      <alignment horizontal="center" wrapText="1"/>
    </xf>
    <xf numFmtId="0" fontId="9" fillId="0" borderId="22" xfId="0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left" vertical="top" wrapText="1"/>
    </xf>
    <xf numFmtId="4" fontId="9" fillId="0" borderId="22" xfId="0" applyNumberFormat="1" applyFont="1" applyBorder="1" applyAlignment="1">
      <alignment horizontal="right" vertical="top" wrapText="1"/>
    </xf>
    <xf numFmtId="0" fontId="9" fillId="0" borderId="1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wrapText="1"/>
    </xf>
    <xf numFmtId="0" fontId="9" fillId="0" borderId="13" xfId="0" applyFont="1" applyBorder="1" applyAlignment="1"/>
    <xf numFmtId="0" fontId="9" fillId="0" borderId="13" xfId="0" applyFont="1" applyBorder="1" applyAlignment="1">
      <alignment horizontal="center"/>
    </xf>
    <xf numFmtId="0" fontId="9" fillId="0" borderId="0" xfId="0" applyFont="1" applyAlignment="1"/>
    <xf numFmtId="0" fontId="2" fillId="0" borderId="0" xfId="0" applyFont="1" applyAlignment="1"/>
    <xf numFmtId="0" fontId="0" fillId="0" borderId="0" xfId="0" applyAlignment="1"/>
    <xf numFmtId="4" fontId="9" fillId="0" borderId="29" xfId="0" applyNumberFormat="1" applyFont="1" applyBorder="1" applyAlignment="1">
      <alignment horizontal="right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14" xfId="0" applyFont="1" applyBorder="1"/>
    <xf numFmtId="0" fontId="9" fillId="0" borderId="22" xfId="0" applyFont="1" applyBorder="1"/>
    <xf numFmtId="164" fontId="9" fillId="0" borderId="22" xfId="0" applyNumberFormat="1" applyFont="1" applyBorder="1" applyAlignment="1">
      <alignment horizontal="center" vertical="center" wrapText="1"/>
    </xf>
    <xf numFmtId="0" fontId="0" fillId="0" borderId="0" xfId="0"/>
    <xf numFmtId="0" fontId="8" fillId="0" borderId="15" xfId="0" applyFont="1" applyBorder="1"/>
    <xf numFmtId="0" fontId="9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0" fillId="0" borderId="0" xfId="0"/>
    <xf numFmtId="0" fontId="9" fillId="0" borderId="0" xfId="0" applyFont="1"/>
    <xf numFmtId="0" fontId="9" fillId="0" borderId="13" xfId="0" applyFont="1" applyBorder="1" applyAlignment="1">
      <alignment horizontal="center" vertical="center" wrapText="1"/>
    </xf>
    <xf numFmtId="4" fontId="9" fillId="0" borderId="13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3" xfId="0" applyFont="1" applyBorder="1"/>
    <xf numFmtId="0" fontId="9" fillId="0" borderId="13" xfId="0" applyFont="1" applyBorder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8" fillId="0" borderId="10" xfId="0" applyFont="1" applyBorder="1"/>
    <xf numFmtId="4" fontId="9" fillId="0" borderId="22" xfId="0" applyNumberFormat="1" applyFont="1" applyBorder="1" applyAlignment="1">
      <alignment horizontal="right" vertical="center" wrapText="1"/>
    </xf>
    <xf numFmtId="0" fontId="24" fillId="0" borderId="22" xfId="0" applyFont="1" applyBorder="1" applyAlignment="1"/>
    <xf numFmtId="0" fontId="9" fillId="0" borderId="22" xfId="0" applyFont="1" applyBorder="1" applyAlignment="1">
      <alignment horizontal="center" vertical="center" wrapText="1"/>
    </xf>
    <xf numFmtId="49" fontId="9" fillId="0" borderId="22" xfId="0" applyNumberFormat="1" applyFont="1" applyBorder="1" applyAlignment="1">
      <alignment wrapText="1"/>
    </xf>
    <xf numFmtId="0" fontId="9" fillId="0" borderId="22" xfId="0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left" vertical="top" wrapText="1"/>
    </xf>
    <xf numFmtId="4" fontId="9" fillId="0" borderId="22" xfId="0" applyNumberFormat="1" applyFont="1" applyBorder="1" applyAlignment="1">
      <alignment horizontal="right" vertical="top" wrapText="1"/>
    </xf>
    <xf numFmtId="0" fontId="9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4" borderId="14" xfId="0" applyFont="1" applyFill="1" applyBorder="1" applyAlignment="1">
      <alignment horizontal="left" vertical="center" wrapText="1"/>
    </xf>
    <xf numFmtId="4" fontId="9" fillId="0" borderId="14" xfId="0" applyNumberFormat="1" applyFont="1" applyBorder="1" applyAlignment="1">
      <alignment horizontal="right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/>
    </xf>
    <xf numFmtId="0" fontId="9" fillId="0" borderId="28" xfId="0" applyFont="1" applyBorder="1"/>
    <xf numFmtId="0" fontId="9" fillId="4" borderId="22" xfId="0" applyFont="1" applyFill="1" applyBorder="1" applyAlignment="1">
      <alignment horizontal="left" vertical="center" wrapText="1"/>
    </xf>
    <xf numFmtId="164" fontId="9" fillId="0" borderId="22" xfId="0" applyNumberFormat="1" applyFont="1" applyBorder="1" applyAlignment="1">
      <alignment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8" fillId="0" borderId="15" xfId="0" applyFont="1" applyBorder="1"/>
    <xf numFmtId="0" fontId="9" fillId="0" borderId="14" xfId="0" applyFont="1" applyBorder="1" applyAlignment="1">
      <alignment horizontal="center" vertical="center" wrapText="1"/>
    </xf>
    <xf numFmtId="0" fontId="8" fillId="0" borderId="10" xfId="0" applyFont="1" applyBorder="1"/>
    <xf numFmtId="164" fontId="7" fillId="0" borderId="2" xfId="0" applyNumberFormat="1" applyFont="1" applyBorder="1" applyAlignment="1">
      <alignment horizontal="center" vertical="center" wrapText="1"/>
    </xf>
    <xf numFmtId="0" fontId="8" fillId="0" borderId="7" xfId="0" applyFont="1" applyBorder="1"/>
    <xf numFmtId="0" fontId="7" fillId="0" borderId="2" xfId="0" applyFont="1" applyBorder="1" applyAlignment="1">
      <alignment horizontal="center" vertical="center" wrapText="1"/>
    </xf>
    <xf numFmtId="164" fontId="9" fillId="0" borderId="14" xfId="0" applyNumberFormat="1" applyFont="1" applyBorder="1" applyAlignment="1">
      <alignment horizontal="center" vertical="center" wrapText="1"/>
    </xf>
    <xf numFmtId="164" fontId="9" fillId="0" borderId="15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8" fillId="0" borderId="22" xfId="0" applyFont="1" applyBorder="1"/>
    <xf numFmtId="0" fontId="19" fillId="0" borderId="0" xfId="0" applyFont="1" applyAlignment="1">
      <alignment horizontal="left" vertical="center"/>
    </xf>
    <xf numFmtId="0" fontId="0" fillId="0" borderId="0" xfId="0"/>
    <xf numFmtId="0" fontId="18" fillId="0" borderId="0" xfId="0" applyFont="1" applyAlignment="1">
      <alignment horizontal="left" vertical="center"/>
    </xf>
    <xf numFmtId="164" fontId="15" fillId="0" borderId="0" xfId="0" applyNumberFormat="1" applyFont="1" applyAlignment="1">
      <alignment horizontal="center"/>
    </xf>
    <xf numFmtId="165" fontId="14" fillId="0" borderId="19" xfId="0" applyNumberFormat="1" applyFont="1" applyBorder="1" applyAlignment="1">
      <alignment horizontal="right"/>
    </xf>
    <xf numFmtId="0" fontId="8" fillId="0" borderId="19" xfId="0" applyFont="1" applyBorder="1"/>
    <xf numFmtId="164" fontId="14" fillId="0" borderId="20" xfId="0" applyNumberFormat="1" applyFont="1" applyBorder="1" applyAlignment="1">
      <alignment horizontal="center"/>
    </xf>
    <xf numFmtId="0" fontId="8" fillId="0" borderId="21" xfId="0" applyFont="1" applyBorder="1"/>
    <xf numFmtId="0" fontId="8" fillId="0" borderId="11" xfId="0" applyFont="1" applyBorder="1"/>
    <xf numFmtId="0" fontId="9" fillId="0" borderId="0" xfId="0" applyFont="1" applyAlignment="1">
      <alignment horizontal="left"/>
    </xf>
    <xf numFmtId="164" fontId="14" fillId="0" borderId="16" xfId="0" applyNumberFormat="1" applyFont="1" applyBorder="1" applyAlignment="1">
      <alignment horizontal="center"/>
    </xf>
    <xf numFmtId="0" fontId="8" fillId="0" borderId="17" xfId="0" applyFont="1" applyBorder="1"/>
    <xf numFmtId="0" fontId="8" fillId="0" borderId="18" xfId="0" applyFont="1" applyBorder="1"/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6" xfId="0" applyFont="1" applyBorder="1"/>
    <xf numFmtId="4" fontId="7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007"/>
  <sheetViews>
    <sheetView tabSelected="1" topLeftCell="B3" zoomScale="85" zoomScaleNormal="85" workbookViewId="0">
      <selection activeCell="H44" sqref="H44"/>
    </sheetView>
  </sheetViews>
  <sheetFormatPr defaultColWidth="12.625" defaultRowHeight="15" customHeight="1"/>
  <cols>
    <col min="1" max="1" width="12.625" customWidth="1"/>
    <col min="2" max="2" width="11.875" customWidth="1"/>
    <col min="3" max="3" width="36.125" customWidth="1"/>
    <col min="4" max="4" width="11.625" customWidth="1"/>
    <col min="5" max="5" width="10.125" customWidth="1"/>
    <col min="6" max="6" width="11.25" customWidth="1"/>
    <col min="7" max="7" width="23.25" customWidth="1"/>
    <col min="8" max="8" width="10.375" customWidth="1"/>
    <col min="9" max="13" width="7.625" customWidth="1"/>
    <col min="14" max="34" width="0.375" customWidth="1"/>
    <col min="35" max="35" width="22.625" customWidth="1"/>
    <col min="36" max="37" width="7.625" customWidth="1"/>
  </cols>
  <sheetData>
    <row r="1" spans="1:39" ht="18">
      <c r="A1" s="196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"/>
      <c r="AK1" s="1"/>
    </row>
    <row r="2" spans="1:39" ht="18">
      <c r="A2" s="197" t="s">
        <v>105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"/>
      <c r="AK2" s="1"/>
    </row>
    <row r="3" spans="1:39">
      <c r="A3" s="198"/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"/>
      <c r="AK3" s="1"/>
    </row>
    <row r="4" spans="1:39">
      <c r="A4" s="2" t="s">
        <v>1</v>
      </c>
      <c r="B4" s="3"/>
      <c r="C4" s="3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1"/>
      <c r="AJ4" s="1"/>
      <c r="AK4" s="1"/>
    </row>
    <row r="5" spans="1:39">
      <c r="A5" s="6"/>
      <c r="B5" s="3"/>
      <c r="C5" s="3"/>
      <c r="D5" s="1"/>
      <c r="E5" s="7"/>
      <c r="F5" s="8"/>
      <c r="G5" s="9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>
      <c r="A6" s="2" t="s">
        <v>2</v>
      </c>
      <c r="B6" s="3"/>
      <c r="C6" s="3"/>
      <c r="D6" s="1"/>
      <c r="E6" s="7"/>
      <c r="F6" s="8"/>
      <c r="G6" s="9"/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>
      <c r="A7" s="6" t="s">
        <v>3</v>
      </c>
      <c r="B7" s="3"/>
      <c r="C7" s="3"/>
      <c r="D7" s="1"/>
      <c r="E7" s="7"/>
      <c r="F7" s="8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>
      <c r="A8" s="199" t="s">
        <v>4</v>
      </c>
      <c r="B8" s="170" t="s">
        <v>5</v>
      </c>
      <c r="C8" s="170" t="s">
        <v>6</v>
      </c>
      <c r="D8" s="10" t="s">
        <v>7</v>
      </c>
      <c r="E8" s="201" t="s">
        <v>8</v>
      </c>
      <c r="F8" s="168" t="s">
        <v>9</v>
      </c>
      <c r="G8" s="170" t="s">
        <v>10</v>
      </c>
      <c r="H8" s="170" t="s">
        <v>11</v>
      </c>
      <c r="I8" s="193" t="s">
        <v>12</v>
      </c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5"/>
      <c r="AJ8" s="11"/>
      <c r="AK8" s="11"/>
      <c r="AL8" s="12"/>
      <c r="AM8" s="12"/>
    </row>
    <row r="9" spans="1:39" ht="24">
      <c r="A9" s="200"/>
      <c r="B9" s="169"/>
      <c r="C9" s="169"/>
      <c r="D9" s="13" t="s">
        <v>13</v>
      </c>
      <c r="E9" s="169"/>
      <c r="F9" s="169"/>
      <c r="G9" s="169"/>
      <c r="H9" s="169"/>
      <c r="I9" s="13" t="s">
        <v>119</v>
      </c>
      <c r="J9" s="13" t="s">
        <v>120</v>
      </c>
      <c r="K9" s="13" t="s">
        <v>121</v>
      </c>
      <c r="L9" s="14" t="s">
        <v>14</v>
      </c>
      <c r="M9" s="14" t="s">
        <v>15</v>
      </c>
      <c r="N9" s="13" t="s">
        <v>16</v>
      </c>
      <c r="O9" s="13" t="s">
        <v>17</v>
      </c>
      <c r="P9" s="13" t="s">
        <v>18</v>
      </c>
      <c r="Q9" s="13" t="s">
        <v>19</v>
      </c>
      <c r="R9" s="13" t="s">
        <v>20</v>
      </c>
      <c r="S9" s="13" t="s">
        <v>21</v>
      </c>
      <c r="T9" s="13" t="s">
        <v>22</v>
      </c>
      <c r="U9" s="13" t="s">
        <v>23</v>
      </c>
      <c r="V9" s="13" t="s">
        <v>24</v>
      </c>
      <c r="W9" s="13" t="s">
        <v>25</v>
      </c>
      <c r="X9" s="13" t="s">
        <v>26</v>
      </c>
      <c r="Y9" s="13" t="s">
        <v>27</v>
      </c>
      <c r="Z9" s="13" t="s">
        <v>28</v>
      </c>
      <c r="AA9" s="13" t="s">
        <v>29</v>
      </c>
      <c r="AB9" s="13" t="s">
        <v>30</v>
      </c>
      <c r="AC9" s="13" t="s">
        <v>31</v>
      </c>
      <c r="AD9" s="13" t="s">
        <v>32</v>
      </c>
      <c r="AE9" s="13" t="s">
        <v>33</v>
      </c>
      <c r="AF9" s="13" t="s">
        <v>34</v>
      </c>
      <c r="AG9" s="13" t="s">
        <v>35</v>
      </c>
      <c r="AH9" s="13" t="s">
        <v>36</v>
      </c>
      <c r="AI9" s="15" t="s">
        <v>37</v>
      </c>
      <c r="AJ9" s="16"/>
      <c r="AK9" s="11"/>
      <c r="AL9" s="12"/>
      <c r="AM9" s="12"/>
    </row>
    <row r="10" spans="1:39" ht="48">
      <c r="A10" s="17" t="s">
        <v>38</v>
      </c>
      <c r="B10" s="18" t="s">
        <v>39</v>
      </c>
      <c r="C10" s="18" t="s">
        <v>40</v>
      </c>
      <c r="D10" s="18" t="s">
        <v>41</v>
      </c>
      <c r="E10" s="19" t="s">
        <v>42</v>
      </c>
      <c r="F10" s="20" t="s">
        <v>43</v>
      </c>
      <c r="G10" s="18" t="s">
        <v>44</v>
      </c>
      <c r="H10" s="18" t="s">
        <v>45</v>
      </c>
      <c r="I10" s="18" t="s">
        <v>46</v>
      </c>
      <c r="J10" s="18" t="s">
        <v>47</v>
      </c>
      <c r="K10" s="18" t="s">
        <v>48</v>
      </c>
      <c r="L10" s="18" t="s">
        <v>49</v>
      </c>
      <c r="M10" s="18" t="s">
        <v>50</v>
      </c>
      <c r="N10" s="18" t="s">
        <v>51</v>
      </c>
      <c r="O10" s="18" t="s">
        <v>52</v>
      </c>
      <c r="P10" s="18" t="s">
        <v>53</v>
      </c>
      <c r="Q10" s="18" t="s">
        <v>54</v>
      </c>
      <c r="R10" s="18" t="s">
        <v>55</v>
      </c>
      <c r="S10" s="18" t="s">
        <v>56</v>
      </c>
      <c r="T10" s="18" t="s">
        <v>57</v>
      </c>
      <c r="U10" s="18" t="s">
        <v>58</v>
      </c>
      <c r="V10" s="18" t="s">
        <v>59</v>
      </c>
      <c r="W10" s="18" t="s">
        <v>60</v>
      </c>
      <c r="X10" s="18" t="s">
        <v>61</v>
      </c>
      <c r="Y10" s="18" t="s">
        <v>62</v>
      </c>
      <c r="Z10" s="18" t="s">
        <v>63</v>
      </c>
      <c r="AA10" s="18" t="s">
        <v>64</v>
      </c>
      <c r="AB10" s="18" t="s">
        <v>65</v>
      </c>
      <c r="AC10" s="18" t="s">
        <v>66</v>
      </c>
      <c r="AD10" s="18" t="s">
        <v>67</v>
      </c>
      <c r="AE10" s="18" t="s">
        <v>68</v>
      </c>
      <c r="AF10" s="18" t="s">
        <v>69</v>
      </c>
      <c r="AG10" s="18" t="s">
        <v>70</v>
      </c>
      <c r="AH10" s="18" t="s">
        <v>71</v>
      </c>
      <c r="AI10" s="18" t="s">
        <v>72</v>
      </c>
      <c r="AJ10" s="21"/>
      <c r="AK10" s="22"/>
    </row>
    <row r="11" spans="1:39" ht="14.25">
      <c r="A11" s="23" t="s">
        <v>73</v>
      </c>
      <c r="B11" s="24"/>
      <c r="C11" s="25" t="s">
        <v>74</v>
      </c>
      <c r="D11" s="100"/>
      <c r="E11" s="27"/>
      <c r="F11" s="101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2"/>
      <c r="AK11" s="22"/>
    </row>
    <row r="12" spans="1:39" s="84" customFormat="1" ht="24">
      <c r="A12" s="28"/>
      <c r="B12" s="29"/>
      <c r="C12" s="147" t="s">
        <v>122</v>
      </c>
      <c r="D12" s="145" t="s">
        <v>123</v>
      </c>
      <c r="E12" s="144">
        <v>650</v>
      </c>
      <c r="F12" s="145">
        <v>1950</v>
      </c>
      <c r="G12" s="162"/>
      <c r="H12" s="164"/>
      <c r="I12" s="31"/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22"/>
      <c r="AK12" s="22"/>
    </row>
    <row r="13" spans="1:39" ht="24">
      <c r="A13" s="28"/>
      <c r="B13" s="34"/>
      <c r="C13" s="150" t="s">
        <v>124</v>
      </c>
      <c r="D13" s="145" t="s">
        <v>123</v>
      </c>
      <c r="E13" s="151">
        <v>600</v>
      </c>
      <c r="F13" s="145">
        <v>1800</v>
      </c>
      <c r="G13" s="162"/>
      <c r="H13" s="165"/>
      <c r="I13" s="31"/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22"/>
      <c r="AK13" s="22"/>
    </row>
    <row r="14" spans="1:39" ht="14.25">
      <c r="A14" s="82"/>
      <c r="B14" s="104"/>
      <c r="C14" s="150" t="s">
        <v>126</v>
      </c>
      <c r="D14" s="145" t="s">
        <v>142</v>
      </c>
      <c r="E14" s="151">
        <v>40</v>
      </c>
      <c r="F14" s="145">
        <v>360</v>
      </c>
      <c r="G14" s="162"/>
      <c r="H14" s="166"/>
      <c r="I14" s="35"/>
      <c r="J14" s="31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22"/>
      <c r="AK14" s="22"/>
    </row>
    <row r="15" spans="1:39" s="120" customFormat="1" ht="14.25">
      <c r="A15" s="115"/>
      <c r="B15" s="109"/>
      <c r="C15" s="150" t="s">
        <v>127</v>
      </c>
      <c r="D15" s="145" t="s">
        <v>128</v>
      </c>
      <c r="E15" s="151">
        <v>70</v>
      </c>
      <c r="F15" s="145">
        <v>210</v>
      </c>
      <c r="G15" s="162"/>
      <c r="H15" s="167"/>
      <c r="I15" s="116"/>
      <c r="J15" s="117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8"/>
      <c r="AK15" s="118"/>
      <c r="AL15" s="119"/>
      <c r="AM15" s="119"/>
    </row>
    <row r="16" spans="1:39" s="84" customFormat="1" ht="14.25">
      <c r="A16" s="110"/>
      <c r="B16" s="111"/>
      <c r="C16" s="112" t="s">
        <v>129</v>
      </c>
      <c r="D16" s="103" t="s">
        <v>130</v>
      </c>
      <c r="E16" s="113">
        <v>20</v>
      </c>
      <c r="F16" s="103">
        <v>400</v>
      </c>
      <c r="G16" s="163"/>
      <c r="H16" s="83"/>
      <c r="I16" s="32"/>
      <c r="J16" s="31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7"/>
      <c r="AK16" s="37"/>
      <c r="AL16" s="38"/>
      <c r="AM16" s="38"/>
    </row>
    <row r="17" spans="1:39" s="96" customFormat="1" ht="14.25">
      <c r="A17" s="110"/>
      <c r="B17" s="111"/>
      <c r="C17" s="112" t="s">
        <v>131</v>
      </c>
      <c r="D17" s="103" t="s">
        <v>132</v>
      </c>
      <c r="E17" s="113">
        <v>40</v>
      </c>
      <c r="F17" s="103">
        <v>800</v>
      </c>
      <c r="G17" s="114"/>
      <c r="H17" s="98"/>
      <c r="I17" s="32"/>
      <c r="J17" s="31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7"/>
      <c r="AK17" s="37"/>
      <c r="AL17" s="38"/>
      <c r="AM17" s="38"/>
    </row>
    <row r="18" spans="1:39" s="96" customFormat="1" ht="14.25">
      <c r="A18" s="110"/>
      <c r="B18" s="111"/>
      <c r="C18" s="112" t="s">
        <v>133</v>
      </c>
      <c r="D18" s="103" t="s">
        <v>134</v>
      </c>
      <c r="E18" s="113">
        <v>130</v>
      </c>
      <c r="F18" s="103">
        <f>5*130</f>
        <v>650</v>
      </c>
      <c r="G18" s="114"/>
      <c r="H18" s="98"/>
      <c r="I18" s="32"/>
      <c r="J18" s="31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7"/>
      <c r="AK18" s="37"/>
      <c r="AL18" s="38"/>
      <c r="AM18" s="38"/>
    </row>
    <row r="19" spans="1:39" s="131" customFormat="1" ht="14.25">
      <c r="A19" s="148"/>
      <c r="B19" s="149"/>
      <c r="C19" s="150" t="s">
        <v>135</v>
      </c>
      <c r="D19" s="145" t="s">
        <v>136</v>
      </c>
      <c r="E19" s="151">
        <v>100</v>
      </c>
      <c r="F19" s="145">
        <v>200</v>
      </c>
      <c r="G19" s="114"/>
      <c r="H19" s="143"/>
      <c r="I19" s="136"/>
      <c r="J19" s="135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9"/>
      <c r="AK19" s="139"/>
      <c r="AL19" s="140"/>
      <c r="AM19" s="140"/>
    </row>
    <row r="20" spans="1:39" s="131" customFormat="1" ht="14.25">
      <c r="A20" s="148"/>
      <c r="B20" s="149"/>
      <c r="C20" s="150" t="s">
        <v>137</v>
      </c>
      <c r="D20" s="145" t="s">
        <v>134</v>
      </c>
      <c r="E20" s="151">
        <v>50</v>
      </c>
      <c r="F20" s="145">
        <v>250</v>
      </c>
      <c r="G20" s="114"/>
      <c r="H20" s="143"/>
      <c r="I20" s="136"/>
      <c r="J20" s="135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9"/>
      <c r="AK20" s="139"/>
      <c r="AL20" s="140"/>
      <c r="AM20" s="140"/>
    </row>
    <row r="21" spans="1:39" s="131" customFormat="1" ht="14.25">
      <c r="A21" s="148"/>
      <c r="B21" s="149"/>
      <c r="C21" s="150" t="s">
        <v>138</v>
      </c>
      <c r="D21" s="145" t="s">
        <v>128</v>
      </c>
      <c r="E21" s="151">
        <v>100</v>
      </c>
      <c r="F21" s="145">
        <v>300</v>
      </c>
      <c r="G21" s="114"/>
      <c r="H21" s="143"/>
      <c r="I21" s="136"/>
      <c r="J21" s="135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9"/>
      <c r="AK21" s="139"/>
      <c r="AL21" s="140"/>
      <c r="AM21" s="140"/>
    </row>
    <row r="22" spans="1:39" s="96" customFormat="1" ht="14.25">
      <c r="A22" s="110"/>
      <c r="B22" s="111"/>
      <c r="C22" s="112" t="s">
        <v>139</v>
      </c>
      <c r="D22" s="103" t="s">
        <v>140</v>
      </c>
      <c r="E22" s="113">
        <v>100</v>
      </c>
      <c r="F22" s="103">
        <v>800</v>
      </c>
      <c r="G22" s="114"/>
      <c r="H22" s="98"/>
      <c r="I22" s="32"/>
      <c r="J22" s="31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7"/>
      <c r="AK22" s="37"/>
      <c r="AL22" s="38"/>
      <c r="AM22" s="38"/>
    </row>
    <row r="23" spans="1:39" s="84" customFormat="1" ht="14.25">
      <c r="A23" s="110"/>
      <c r="B23" s="111"/>
      <c r="C23" s="112"/>
      <c r="D23" s="103"/>
      <c r="E23" s="113"/>
      <c r="F23" s="103"/>
      <c r="G23" s="85"/>
      <c r="H23" s="83"/>
      <c r="I23" s="32"/>
      <c r="J23" s="31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7"/>
      <c r="AK23" s="37"/>
      <c r="AL23" s="38"/>
      <c r="AM23" s="38"/>
    </row>
    <row r="24" spans="1:39" ht="15.75" customHeight="1">
      <c r="A24" s="106" t="s">
        <v>78</v>
      </c>
      <c r="B24" s="107"/>
      <c r="C24" s="107" t="s">
        <v>79</v>
      </c>
      <c r="D24" s="92"/>
      <c r="E24" s="108"/>
      <c r="F24" s="102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22"/>
      <c r="AK24" s="22"/>
      <c r="AL24" s="1"/>
      <c r="AM24" s="1"/>
    </row>
    <row r="25" spans="1:39" ht="24">
      <c r="A25" s="28"/>
      <c r="B25" s="44"/>
      <c r="C25" s="45" t="s">
        <v>115</v>
      </c>
      <c r="D25" s="166" t="s">
        <v>75</v>
      </c>
      <c r="E25" s="30">
        <v>15000</v>
      </c>
      <c r="F25" s="171">
        <f>SUM(E25:E28)</f>
        <v>48000</v>
      </c>
      <c r="G25" s="176" t="s">
        <v>76</v>
      </c>
      <c r="H25" s="166" t="s">
        <v>77</v>
      </c>
      <c r="I25" s="31">
        <v>1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22"/>
      <c r="AK25" s="22"/>
    </row>
    <row r="26" spans="1:39" ht="24">
      <c r="A26" s="28"/>
      <c r="B26" s="44"/>
      <c r="C26" s="45" t="s">
        <v>114</v>
      </c>
      <c r="D26" s="164"/>
      <c r="E26" s="30">
        <v>11000</v>
      </c>
      <c r="F26" s="172"/>
      <c r="G26" s="177"/>
      <c r="H26" s="164"/>
      <c r="I26" s="31">
        <v>1</v>
      </c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22"/>
      <c r="AK26" s="22"/>
    </row>
    <row r="27" spans="1:39" ht="24">
      <c r="A27" s="28"/>
      <c r="B27" s="44"/>
      <c r="C27" s="45" t="s">
        <v>113</v>
      </c>
      <c r="D27" s="164"/>
      <c r="E27" s="30">
        <v>11000</v>
      </c>
      <c r="F27" s="172"/>
      <c r="G27" s="177"/>
      <c r="H27" s="164"/>
      <c r="I27" s="31">
        <v>1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22"/>
      <c r="AK27" s="22"/>
    </row>
    <row r="28" spans="1:39" ht="24">
      <c r="A28" s="28"/>
      <c r="B28" s="44"/>
      <c r="C28" s="45" t="s">
        <v>116</v>
      </c>
      <c r="D28" s="164"/>
      <c r="E28" s="30">
        <v>11000</v>
      </c>
      <c r="F28" s="172"/>
      <c r="G28" s="177"/>
      <c r="H28" s="164"/>
      <c r="I28" s="31">
        <v>1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22"/>
      <c r="AK28" s="22"/>
    </row>
    <row r="29" spans="1:39" s="131" customFormat="1" ht="14.25">
      <c r="A29" s="133"/>
      <c r="B29" s="141"/>
      <c r="C29" s="142" t="s">
        <v>111</v>
      </c>
      <c r="D29" s="146" t="s">
        <v>125</v>
      </c>
      <c r="E29" s="134">
        <v>2500</v>
      </c>
      <c r="F29" s="86">
        <f>E29</f>
        <v>2500</v>
      </c>
      <c r="G29" s="153"/>
      <c r="H29" s="152"/>
      <c r="I29" s="135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2"/>
      <c r="AK29" s="132"/>
    </row>
    <row r="30" spans="1:39" ht="15.75" customHeight="1">
      <c r="A30" s="39" t="s">
        <v>80</v>
      </c>
      <c r="B30" s="47"/>
      <c r="C30" s="40" t="s">
        <v>81</v>
      </c>
      <c r="D30" s="91"/>
      <c r="E30" s="48"/>
      <c r="F30" s="49"/>
      <c r="G30" s="50"/>
      <c r="H30" s="39"/>
      <c r="I30" s="51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2"/>
      <c r="AK30" s="22"/>
      <c r="AL30" s="1"/>
      <c r="AM30" s="1"/>
    </row>
    <row r="31" spans="1:39" ht="24">
      <c r="A31" s="28"/>
      <c r="B31" s="46"/>
      <c r="C31" s="88" t="s">
        <v>106</v>
      </c>
      <c r="D31" s="173"/>
      <c r="E31" s="89">
        <v>3000</v>
      </c>
      <c r="F31" s="171">
        <f>SUM(E31:E34)</f>
        <v>11000</v>
      </c>
      <c r="G31" s="176" t="s">
        <v>76</v>
      </c>
      <c r="H31" s="166" t="s">
        <v>77</v>
      </c>
      <c r="I31" s="31">
        <v>1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22"/>
      <c r="AK31" s="22"/>
      <c r="AL31" s="1"/>
      <c r="AM31" s="1"/>
    </row>
    <row r="32" spans="1:39" ht="24">
      <c r="A32" s="28"/>
      <c r="B32" s="46"/>
      <c r="C32" s="88" t="s">
        <v>107</v>
      </c>
      <c r="D32" s="174"/>
      <c r="E32" s="89">
        <v>3000</v>
      </c>
      <c r="F32" s="172"/>
      <c r="G32" s="165"/>
      <c r="H32" s="165"/>
      <c r="I32" s="31">
        <v>1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22"/>
      <c r="AK32" s="22"/>
      <c r="AL32" s="1"/>
      <c r="AM32" s="1"/>
    </row>
    <row r="33" spans="1:39" ht="24">
      <c r="A33" s="28"/>
      <c r="B33" s="46"/>
      <c r="C33" s="88" t="s">
        <v>108</v>
      </c>
      <c r="D33" s="174"/>
      <c r="E33" s="89">
        <v>3000</v>
      </c>
      <c r="F33" s="172"/>
      <c r="G33" s="165"/>
      <c r="H33" s="165"/>
      <c r="I33" s="31">
        <v>1</v>
      </c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22"/>
      <c r="AK33" s="22"/>
      <c r="AL33" s="1"/>
      <c r="AM33" s="1"/>
    </row>
    <row r="34" spans="1:39" ht="15.75" customHeight="1">
      <c r="A34" s="28"/>
      <c r="B34" s="46"/>
      <c r="C34" s="88" t="s">
        <v>110</v>
      </c>
      <c r="D34" s="175"/>
      <c r="E34" s="89">
        <v>2000</v>
      </c>
      <c r="F34" s="172"/>
      <c r="G34" s="165"/>
      <c r="H34" s="165"/>
      <c r="I34" s="31">
        <v>2</v>
      </c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22"/>
      <c r="AK34" s="22"/>
      <c r="AL34" s="1"/>
      <c r="AM34" s="1"/>
    </row>
    <row r="35" spans="1:39" ht="15.75" customHeight="1">
      <c r="A35" s="28"/>
      <c r="B35" s="46"/>
      <c r="C35" s="88" t="s">
        <v>112</v>
      </c>
      <c r="D35" s="93"/>
      <c r="E35" s="89">
        <v>40000</v>
      </c>
      <c r="F35" s="95">
        <v>49999</v>
      </c>
      <c r="G35" s="165"/>
      <c r="H35" s="165"/>
      <c r="I35" s="31">
        <v>1</v>
      </c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22"/>
      <c r="AK35" s="22"/>
      <c r="AL35" s="1"/>
      <c r="AM35" s="1"/>
    </row>
    <row r="36" spans="1:39" s="126" customFormat="1" ht="15.75" customHeight="1">
      <c r="A36" s="28"/>
      <c r="B36" s="46"/>
      <c r="C36" s="88" t="s">
        <v>118</v>
      </c>
      <c r="D36" s="93"/>
      <c r="E36" s="89">
        <v>45000</v>
      </c>
      <c r="F36" s="95">
        <f>E36*2</f>
        <v>90000</v>
      </c>
      <c r="G36" s="127"/>
      <c r="H36" s="127"/>
      <c r="I36" s="31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22"/>
      <c r="AK36" s="22"/>
      <c r="AL36" s="1"/>
      <c r="AM36" s="1"/>
    </row>
    <row r="37" spans="1:39" s="126" customFormat="1" ht="15.75" customHeight="1">
      <c r="A37" s="28"/>
      <c r="B37" s="46"/>
      <c r="C37" s="88" t="s">
        <v>141</v>
      </c>
      <c r="D37" s="93"/>
      <c r="E37" s="89">
        <v>49990</v>
      </c>
      <c r="F37" s="95">
        <f>49990*2</f>
        <v>99980</v>
      </c>
      <c r="G37" s="127"/>
      <c r="H37" s="127"/>
      <c r="I37" s="31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22"/>
      <c r="AK37" s="22"/>
      <c r="AL37" s="1"/>
      <c r="AM37" s="1"/>
    </row>
    <row r="38" spans="1:39" s="75" customFormat="1" ht="14.25">
      <c r="A38" s="28"/>
      <c r="B38" s="46"/>
      <c r="C38" s="88"/>
      <c r="D38" s="94"/>
      <c r="E38" s="90"/>
      <c r="F38" s="74"/>
      <c r="G38" s="74"/>
      <c r="H38" s="74"/>
      <c r="I38" s="31"/>
      <c r="J38" s="31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11"/>
      <c r="AK38" s="11"/>
      <c r="AL38" s="4"/>
      <c r="AM38" s="4"/>
    </row>
    <row r="39" spans="1:39" ht="25.5" customHeight="1">
      <c r="A39" s="39" t="s">
        <v>82</v>
      </c>
      <c r="B39" s="40"/>
      <c r="C39" s="40" t="s">
        <v>83</v>
      </c>
      <c r="D39" s="92"/>
      <c r="E39" s="42"/>
      <c r="F39" s="43"/>
      <c r="G39" s="41"/>
      <c r="H39" s="41"/>
      <c r="I39" s="78"/>
      <c r="J39" s="78"/>
      <c r="K39" s="78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22"/>
      <c r="AK39" s="22"/>
      <c r="AL39" s="1"/>
      <c r="AM39" s="1"/>
    </row>
    <row r="40" spans="1:39" ht="36">
      <c r="A40" s="28"/>
      <c r="B40" s="46"/>
      <c r="C40" s="46" t="s">
        <v>109</v>
      </c>
      <c r="D40" s="28"/>
      <c r="E40" s="30">
        <v>12000</v>
      </c>
      <c r="F40" s="87">
        <f>E40</f>
        <v>12000</v>
      </c>
      <c r="G40" s="31" t="s">
        <v>76</v>
      </c>
      <c r="H40" s="76" t="s">
        <v>77</v>
      </c>
      <c r="I40" s="79">
        <v>1</v>
      </c>
      <c r="J40" s="80"/>
      <c r="K40" s="80"/>
      <c r="L40" s="77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22"/>
      <c r="AK40" s="22"/>
      <c r="AL40" s="1"/>
      <c r="AM40" s="1"/>
    </row>
    <row r="41" spans="1:39" s="81" customFormat="1" ht="14.25">
      <c r="A41" s="28"/>
      <c r="B41" s="46"/>
      <c r="C41" s="46"/>
      <c r="D41" s="76"/>
      <c r="E41" s="121"/>
      <c r="F41" s="105"/>
      <c r="G41" s="122"/>
      <c r="H41" s="99"/>
      <c r="I41" s="97"/>
      <c r="J41" s="123"/>
      <c r="K41" s="12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22"/>
      <c r="AK41" s="22"/>
      <c r="AL41" s="1"/>
      <c r="AM41" s="1"/>
    </row>
    <row r="42" spans="1:39" s="96" customFormat="1" ht="14.25">
      <c r="A42" s="28"/>
      <c r="B42" s="40"/>
      <c r="C42" s="40" t="s">
        <v>143</v>
      </c>
      <c r="D42" s="92"/>
      <c r="E42" s="42"/>
      <c r="F42" s="43"/>
      <c r="G42" s="41"/>
      <c r="H42" s="41"/>
      <c r="I42" s="78"/>
      <c r="J42" s="78"/>
      <c r="K42" s="78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22"/>
      <c r="AK42" s="22"/>
      <c r="AL42" s="1"/>
      <c r="AM42" s="1"/>
    </row>
    <row r="43" spans="1:39" s="96" customFormat="1" ht="14.25">
      <c r="A43" s="28"/>
      <c r="B43" s="46"/>
      <c r="C43" s="154" t="s">
        <v>144</v>
      </c>
      <c r="D43" s="128"/>
      <c r="E43" s="155">
        <f>230*500</f>
        <v>115000</v>
      </c>
      <c r="F43" s="155">
        <f>230*500</f>
        <v>115000</v>
      </c>
      <c r="G43" s="129"/>
      <c r="H43" s="156"/>
      <c r="I43" s="157"/>
      <c r="J43" s="158"/>
      <c r="K43" s="158"/>
      <c r="L43" s="159"/>
      <c r="M43" s="123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22"/>
      <c r="AK43" s="22"/>
      <c r="AL43" s="1"/>
      <c r="AM43" s="1"/>
    </row>
    <row r="44" spans="1:39" s="131" customFormat="1" ht="14.25">
      <c r="A44" s="133"/>
      <c r="B44" s="88"/>
      <c r="C44" s="160"/>
      <c r="D44" s="146"/>
      <c r="E44" s="144"/>
      <c r="F44" s="161"/>
      <c r="G44" s="129"/>
      <c r="H44" s="156"/>
      <c r="I44" s="130"/>
      <c r="J44" s="80"/>
      <c r="K44" s="80"/>
      <c r="L44" s="124"/>
      <c r="M44" s="124"/>
      <c r="N44" s="7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2"/>
      <c r="AK44" s="132"/>
      <c r="AL44" s="1"/>
      <c r="AM44" s="1"/>
    </row>
    <row r="45" spans="1:39" s="131" customFormat="1" ht="14.25">
      <c r="A45" s="133"/>
      <c r="B45" s="88"/>
      <c r="C45" s="160"/>
      <c r="D45" s="146"/>
      <c r="E45" s="144"/>
      <c r="F45" s="161"/>
      <c r="G45" s="129"/>
      <c r="H45" s="156"/>
      <c r="I45" s="130"/>
      <c r="J45" s="80"/>
      <c r="K45" s="80"/>
      <c r="L45" s="124"/>
      <c r="M45" s="124"/>
      <c r="N45" s="7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2"/>
      <c r="AK45" s="132"/>
      <c r="AL45" s="1"/>
      <c r="AM45" s="1"/>
    </row>
    <row r="46" spans="1:39" ht="21.75" customHeight="1">
      <c r="A46" s="28"/>
      <c r="B46" s="88"/>
      <c r="C46" s="160"/>
      <c r="D46" s="146"/>
      <c r="E46" s="144"/>
      <c r="F46" s="125"/>
      <c r="G46" s="146"/>
      <c r="H46" s="146"/>
      <c r="I46" s="178"/>
      <c r="J46" s="179"/>
      <c r="K46" s="179"/>
      <c r="L46" s="124"/>
      <c r="M46" s="124"/>
      <c r="N46" s="77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22"/>
      <c r="AK46" s="22"/>
    </row>
    <row r="47" spans="1:39" ht="15.75" customHeight="1">
      <c r="A47" s="39" t="s">
        <v>84</v>
      </c>
      <c r="B47" s="40"/>
      <c r="C47" s="107" t="s">
        <v>85</v>
      </c>
      <c r="D47" s="92"/>
      <c r="E47" s="108"/>
      <c r="F47" s="102"/>
      <c r="G47" s="92"/>
      <c r="H47" s="92"/>
      <c r="I47" s="92"/>
      <c r="J47" s="92"/>
      <c r="K47" s="92"/>
      <c r="L47" s="92"/>
      <c r="M47" s="92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22"/>
      <c r="AK47" s="22"/>
    </row>
    <row r="48" spans="1:39" ht="14.25">
      <c r="A48" s="53"/>
      <c r="B48" s="46"/>
      <c r="C48" s="46" t="s">
        <v>117</v>
      </c>
      <c r="D48" s="28"/>
      <c r="E48" s="30">
        <v>40000</v>
      </c>
      <c r="F48" s="52">
        <f>E48</f>
        <v>40000</v>
      </c>
      <c r="G48" s="31"/>
      <c r="H48" s="28"/>
      <c r="I48" s="31"/>
      <c r="J48" s="31">
        <v>1</v>
      </c>
      <c r="K48" s="31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22"/>
      <c r="AK48" s="22"/>
    </row>
    <row r="49" spans="1:37" ht="15.75" customHeight="1">
      <c r="A49" s="54"/>
      <c r="B49" s="3"/>
      <c r="C49" s="3"/>
      <c r="D49" s="1"/>
      <c r="E49" s="7"/>
      <c r="F49" s="8"/>
      <c r="G49" s="9"/>
      <c r="H49" s="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5.75" customHeight="1" thickBot="1">
      <c r="A50" s="55" t="s">
        <v>86</v>
      </c>
      <c r="B50" s="3"/>
      <c r="C50" s="3"/>
      <c r="D50" s="184">
        <f>SUM(F12:F48)</f>
        <v>476199</v>
      </c>
      <c r="E50" s="185"/>
      <c r="F50" s="185"/>
      <c r="G50" s="9"/>
      <c r="H50" s="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5.75" hidden="1" customHeight="1">
      <c r="A51" s="56" t="s">
        <v>87</v>
      </c>
      <c r="B51" s="57"/>
      <c r="C51" s="57"/>
      <c r="D51" s="186">
        <f>PRODUCT(D50,0.1)</f>
        <v>47619.9</v>
      </c>
      <c r="E51" s="187"/>
      <c r="F51" s="188"/>
      <c r="G51" s="9"/>
      <c r="H51" s="9"/>
      <c r="I51" s="189"/>
      <c r="J51" s="181"/>
      <c r="K51" s="189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58"/>
      <c r="AI51" s="1"/>
      <c r="AJ51" s="1"/>
      <c r="AK51" s="1"/>
    </row>
    <row r="52" spans="1:37" ht="15.75" hidden="1" customHeight="1">
      <c r="A52" s="59" t="s">
        <v>88</v>
      </c>
      <c r="B52" s="60"/>
      <c r="C52" s="60"/>
      <c r="D52" s="190">
        <f>PRODUCT(D50,0.1)</f>
        <v>47619.9</v>
      </c>
      <c r="E52" s="191"/>
      <c r="F52" s="192"/>
      <c r="G52" s="9"/>
      <c r="H52" s="9"/>
      <c r="I52" s="61"/>
      <c r="J52" s="61"/>
      <c r="K52" s="183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62"/>
      <c r="AI52" s="1"/>
      <c r="AJ52" s="1"/>
      <c r="AK52" s="1"/>
    </row>
    <row r="53" spans="1:37" ht="15.75" hidden="1" customHeight="1">
      <c r="A53" s="59" t="s">
        <v>89</v>
      </c>
      <c r="B53" s="60"/>
      <c r="C53" s="60"/>
      <c r="D53" s="190">
        <f>SUM(D50:F52)</f>
        <v>571438.80000000005</v>
      </c>
      <c r="E53" s="191"/>
      <c r="F53" s="192"/>
      <c r="G53" s="9"/>
      <c r="H53" s="9"/>
      <c r="I53" s="61"/>
      <c r="J53" s="61"/>
      <c r="K53" s="183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62"/>
      <c r="AI53" s="1"/>
      <c r="AJ53" s="1"/>
      <c r="AK53" s="1"/>
    </row>
    <row r="54" spans="1:37" ht="15.75" customHeight="1" thickTop="1">
      <c r="A54" s="63"/>
      <c r="B54" s="3"/>
      <c r="C54" s="3"/>
      <c r="D54" s="1"/>
      <c r="E54" s="7"/>
      <c r="F54" s="8"/>
      <c r="G54" s="9"/>
      <c r="H54" s="9"/>
      <c r="I54" s="61"/>
      <c r="J54" s="61"/>
      <c r="K54" s="183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62"/>
      <c r="AI54" s="1"/>
      <c r="AJ54" s="1"/>
      <c r="AK54" s="1"/>
    </row>
    <row r="55" spans="1:37" ht="15.75" customHeight="1">
      <c r="A55" s="64" t="s">
        <v>90</v>
      </c>
      <c r="B55" s="3"/>
      <c r="C55" s="3"/>
      <c r="D55" s="1"/>
      <c r="E55" s="7"/>
      <c r="F55" s="8"/>
      <c r="G55" s="9"/>
      <c r="H55" s="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5.75" customHeight="1">
      <c r="A56" s="11"/>
      <c r="B56" s="3"/>
      <c r="C56" s="3"/>
      <c r="D56" s="1"/>
      <c r="E56" s="7"/>
      <c r="F56" s="8"/>
      <c r="G56" s="9"/>
      <c r="H56" s="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5.75" customHeight="1">
      <c r="A57" s="65" t="s">
        <v>91</v>
      </c>
      <c r="B57" s="66"/>
      <c r="C57" s="66"/>
      <c r="D57" s="67" t="s">
        <v>92</v>
      </c>
      <c r="E57" s="68"/>
      <c r="F57" s="8"/>
      <c r="G57" s="67" t="s">
        <v>93</v>
      </c>
      <c r="H57" s="1"/>
      <c r="I57" s="1"/>
      <c r="J57" s="67" t="s">
        <v>94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61"/>
    </row>
    <row r="58" spans="1:37" ht="15.75" customHeight="1">
      <c r="A58" s="65"/>
      <c r="B58" s="66"/>
      <c r="C58" s="66"/>
      <c r="D58" s="1"/>
      <c r="E58" s="68"/>
      <c r="F58" s="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61"/>
      <c r="AK58" s="61"/>
    </row>
    <row r="59" spans="1:37" ht="15.75" customHeight="1">
      <c r="A59" s="69"/>
      <c r="B59" s="66"/>
      <c r="C59" s="66"/>
      <c r="D59" s="1"/>
      <c r="E59" s="68"/>
      <c r="F59" s="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61"/>
      <c r="AK59" s="61"/>
    </row>
    <row r="60" spans="1:37" ht="15.75" customHeight="1">
      <c r="A60" s="180" t="s">
        <v>104</v>
      </c>
      <c r="B60" s="181"/>
      <c r="C60" s="181"/>
      <c r="D60" s="67" t="s">
        <v>95</v>
      </c>
      <c r="E60" s="68"/>
      <c r="F60" s="8"/>
      <c r="G60" s="67" t="s">
        <v>96</v>
      </c>
      <c r="H60" s="1"/>
      <c r="I60" s="1"/>
      <c r="J60" s="67" t="s">
        <v>97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5" customHeight="1">
      <c r="A61" s="182" t="s">
        <v>98</v>
      </c>
      <c r="B61" s="181"/>
      <c r="C61" s="181"/>
      <c r="D61" s="70" t="s">
        <v>99</v>
      </c>
      <c r="E61" s="68"/>
      <c r="F61" s="8"/>
      <c r="G61" s="70" t="s">
        <v>100</v>
      </c>
      <c r="H61" s="1"/>
      <c r="I61" s="1"/>
      <c r="J61" s="70" t="s">
        <v>101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61"/>
      <c r="AK61" s="61"/>
    </row>
    <row r="62" spans="1:37" ht="15.75" customHeight="1">
      <c r="A62" s="70"/>
      <c r="B62" s="71"/>
      <c r="C62" s="71"/>
      <c r="D62" s="1"/>
      <c r="E62" s="68"/>
      <c r="F62" s="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5.75" customHeight="1">
      <c r="A63" s="70" t="s">
        <v>102</v>
      </c>
      <c r="B63" s="71"/>
      <c r="C63" s="71"/>
      <c r="D63" s="70" t="s">
        <v>103</v>
      </c>
      <c r="E63" s="68"/>
      <c r="F63" s="8"/>
      <c r="G63" s="70" t="s">
        <v>103</v>
      </c>
      <c r="H63" s="1"/>
      <c r="I63" s="1"/>
      <c r="J63" s="70" t="s">
        <v>103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5.75" customHeight="1">
      <c r="B64" s="72"/>
      <c r="C64" s="72"/>
      <c r="D64" s="1"/>
      <c r="E64" s="7"/>
      <c r="F64" s="8"/>
      <c r="G64" s="9"/>
      <c r="H64" s="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2:35" ht="15.75" customHeight="1">
      <c r="B65" s="72"/>
      <c r="C65" s="72"/>
      <c r="D65" s="1"/>
      <c r="E65" s="7"/>
      <c r="F65" s="8"/>
      <c r="G65" s="9"/>
      <c r="H65" s="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2:35" ht="15.75" customHeight="1">
      <c r="B66" s="72"/>
      <c r="C66" s="72"/>
      <c r="D66" s="1"/>
      <c r="E66" s="7"/>
      <c r="F66" s="8"/>
      <c r="G66" s="9"/>
      <c r="H66" s="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2:35" ht="15.75" customHeight="1">
      <c r="B67" s="72"/>
      <c r="C67" s="72"/>
      <c r="D67" s="1"/>
      <c r="E67" s="7"/>
      <c r="F67" s="8"/>
      <c r="G67" s="9"/>
      <c r="H67" s="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2:35" ht="15.75" customHeight="1">
      <c r="B68" s="72"/>
      <c r="C68" s="72"/>
      <c r="D68" s="1"/>
      <c r="E68" s="7"/>
      <c r="F68" s="8"/>
      <c r="G68" s="9"/>
      <c r="H68" s="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2:35" ht="15.75" customHeight="1">
      <c r="B69" s="72"/>
      <c r="C69" s="72"/>
      <c r="D69" s="1"/>
      <c r="E69" s="7"/>
      <c r="F69" s="8"/>
      <c r="G69" s="9"/>
      <c r="H69" s="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2:35" ht="15.75" customHeight="1">
      <c r="B70" s="72"/>
      <c r="C70" s="72"/>
      <c r="D70" s="1"/>
      <c r="E70" s="7"/>
      <c r="F70" s="8"/>
      <c r="G70" s="9"/>
      <c r="H70" s="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2:35" ht="15.75" customHeight="1">
      <c r="E71" s="73"/>
    </row>
    <row r="72" spans="2:35" ht="15.75" customHeight="1">
      <c r="E72" s="73"/>
    </row>
    <row r="73" spans="2:35" ht="15.75" customHeight="1">
      <c r="E73" s="73"/>
    </row>
    <row r="74" spans="2:35" ht="15.75" customHeight="1">
      <c r="E74" s="73"/>
    </row>
    <row r="75" spans="2:35" ht="15.75" customHeight="1">
      <c r="E75" s="73"/>
    </row>
    <row r="76" spans="2:35" ht="15.75" customHeight="1">
      <c r="E76" s="73"/>
    </row>
    <row r="77" spans="2:35" ht="15.75" customHeight="1">
      <c r="E77" s="73"/>
    </row>
    <row r="78" spans="2:35" ht="15.75" customHeight="1">
      <c r="E78" s="73"/>
    </row>
    <row r="79" spans="2:35" ht="15.75" customHeight="1">
      <c r="E79" s="73"/>
    </row>
    <row r="80" spans="2:35" ht="15.75" customHeight="1">
      <c r="E80" s="73"/>
    </row>
    <row r="81" spans="5:5" ht="15.75" customHeight="1">
      <c r="E81" s="73"/>
    </row>
    <row r="82" spans="5:5" ht="15.75" customHeight="1">
      <c r="E82" s="73"/>
    </row>
    <row r="83" spans="5:5" ht="15.75" customHeight="1">
      <c r="E83" s="73"/>
    </row>
    <row r="84" spans="5:5" ht="15.75" customHeight="1">
      <c r="E84" s="73"/>
    </row>
    <row r="85" spans="5:5" ht="15.75" customHeight="1">
      <c r="E85" s="73"/>
    </row>
    <row r="86" spans="5:5" ht="15.75" customHeight="1">
      <c r="E86" s="73"/>
    </row>
    <row r="87" spans="5:5" ht="15.75" customHeight="1">
      <c r="E87" s="73"/>
    </row>
    <row r="88" spans="5:5" ht="15.75" customHeight="1">
      <c r="E88" s="73"/>
    </row>
    <row r="89" spans="5:5" ht="15.75" customHeight="1">
      <c r="E89" s="73"/>
    </row>
    <row r="90" spans="5:5" ht="15.75" customHeight="1">
      <c r="E90" s="73"/>
    </row>
    <row r="91" spans="5:5" ht="15.75" customHeight="1">
      <c r="E91" s="73"/>
    </row>
    <row r="92" spans="5:5" ht="15.75" customHeight="1">
      <c r="E92" s="73"/>
    </row>
    <row r="93" spans="5:5" ht="15.75" customHeight="1">
      <c r="E93" s="73"/>
    </row>
    <row r="94" spans="5:5" ht="15.75" customHeight="1">
      <c r="E94" s="73"/>
    </row>
    <row r="95" spans="5:5" ht="15.75" customHeight="1">
      <c r="E95" s="73"/>
    </row>
    <row r="96" spans="5:5" ht="15.75" customHeight="1">
      <c r="E96" s="73"/>
    </row>
    <row r="97" spans="5:5" ht="15.75" customHeight="1">
      <c r="E97" s="73"/>
    </row>
    <row r="98" spans="5:5" ht="15.75" customHeight="1">
      <c r="E98" s="73"/>
    </row>
    <row r="99" spans="5:5" ht="15.75" customHeight="1">
      <c r="E99" s="73"/>
    </row>
    <row r="100" spans="5:5" ht="15.75" customHeight="1">
      <c r="E100" s="73"/>
    </row>
    <row r="101" spans="5:5" ht="15.75" customHeight="1">
      <c r="E101" s="73"/>
    </row>
    <row r="102" spans="5:5" ht="15.75" customHeight="1">
      <c r="E102" s="73"/>
    </row>
    <row r="103" spans="5:5" ht="15.75" customHeight="1">
      <c r="E103" s="73"/>
    </row>
    <row r="104" spans="5:5" ht="15.75" customHeight="1">
      <c r="E104" s="73"/>
    </row>
    <row r="105" spans="5:5" ht="15.75" customHeight="1">
      <c r="E105" s="73"/>
    </row>
    <row r="106" spans="5:5" ht="15.75" customHeight="1">
      <c r="E106" s="73"/>
    </row>
    <row r="107" spans="5:5" ht="15.75" customHeight="1">
      <c r="E107" s="73"/>
    </row>
    <row r="108" spans="5:5" ht="15.75" customHeight="1">
      <c r="E108" s="73"/>
    </row>
    <row r="109" spans="5:5" ht="15.75" customHeight="1">
      <c r="E109" s="73"/>
    </row>
    <row r="110" spans="5:5" ht="15.75" customHeight="1">
      <c r="E110" s="73"/>
    </row>
    <row r="111" spans="5:5" ht="15.75" customHeight="1">
      <c r="E111" s="73"/>
    </row>
    <row r="112" spans="5:5" ht="15.75" customHeight="1">
      <c r="E112" s="73"/>
    </row>
    <row r="113" spans="5:5" ht="15.75" customHeight="1">
      <c r="E113" s="73"/>
    </row>
    <row r="114" spans="5:5" ht="15.75" customHeight="1">
      <c r="E114" s="73"/>
    </row>
    <row r="115" spans="5:5" ht="15.75" customHeight="1">
      <c r="E115" s="73"/>
    </row>
    <row r="116" spans="5:5" ht="15.75" customHeight="1">
      <c r="E116" s="73"/>
    </row>
    <row r="117" spans="5:5" ht="15.75" customHeight="1">
      <c r="E117" s="73"/>
    </row>
    <row r="118" spans="5:5" ht="15.75" customHeight="1">
      <c r="E118" s="73"/>
    </row>
    <row r="119" spans="5:5" ht="15.75" customHeight="1">
      <c r="E119" s="73"/>
    </row>
    <row r="120" spans="5:5" ht="15.75" customHeight="1">
      <c r="E120" s="73"/>
    </row>
    <row r="121" spans="5:5" ht="15.75" customHeight="1">
      <c r="E121" s="73"/>
    </row>
    <row r="122" spans="5:5" ht="15.75" customHeight="1">
      <c r="E122" s="73"/>
    </row>
    <row r="123" spans="5:5" ht="15.75" customHeight="1">
      <c r="E123" s="73"/>
    </row>
    <row r="124" spans="5:5" ht="15.75" customHeight="1">
      <c r="E124" s="73"/>
    </row>
    <row r="125" spans="5:5" ht="15.75" customHeight="1">
      <c r="E125" s="73"/>
    </row>
    <row r="126" spans="5:5" ht="15.75" customHeight="1">
      <c r="E126" s="73"/>
    </row>
    <row r="127" spans="5:5" ht="15.75" customHeight="1">
      <c r="E127" s="73"/>
    </row>
    <row r="128" spans="5:5" ht="15.75" customHeight="1">
      <c r="E128" s="73"/>
    </row>
    <row r="129" spans="5:5" ht="15.75" customHeight="1">
      <c r="E129" s="73"/>
    </row>
    <row r="130" spans="5:5" ht="15.75" customHeight="1">
      <c r="E130" s="73"/>
    </row>
    <row r="131" spans="5:5" ht="15.75" customHeight="1">
      <c r="E131" s="73"/>
    </row>
    <row r="132" spans="5:5" ht="15.75" customHeight="1">
      <c r="E132" s="73"/>
    </row>
    <row r="133" spans="5:5" ht="15.75" customHeight="1">
      <c r="E133" s="73"/>
    </row>
    <row r="134" spans="5:5" ht="15.75" customHeight="1">
      <c r="E134" s="73"/>
    </row>
    <row r="135" spans="5:5" ht="15.75" customHeight="1">
      <c r="E135" s="73"/>
    </row>
    <row r="136" spans="5:5" ht="15.75" customHeight="1">
      <c r="E136" s="73"/>
    </row>
    <row r="137" spans="5:5" ht="15.75" customHeight="1">
      <c r="E137" s="73"/>
    </row>
    <row r="138" spans="5:5" ht="15.75" customHeight="1">
      <c r="E138" s="73"/>
    </row>
    <row r="139" spans="5:5" ht="15.75" customHeight="1">
      <c r="E139" s="73"/>
    </row>
    <row r="140" spans="5:5" ht="15.75" customHeight="1">
      <c r="E140" s="73"/>
    </row>
    <row r="141" spans="5:5" ht="15.75" customHeight="1">
      <c r="E141" s="73"/>
    </row>
    <row r="142" spans="5:5" ht="15.75" customHeight="1">
      <c r="E142" s="73"/>
    </row>
    <row r="143" spans="5:5" ht="15.75" customHeight="1">
      <c r="E143" s="73"/>
    </row>
    <row r="144" spans="5:5" ht="15.75" customHeight="1">
      <c r="E144" s="73"/>
    </row>
    <row r="145" spans="5:5" ht="15.75" customHeight="1">
      <c r="E145" s="73"/>
    </row>
    <row r="146" spans="5:5" ht="15.75" customHeight="1">
      <c r="E146" s="73"/>
    </row>
    <row r="147" spans="5:5" ht="15.75" customHeight="1">
      <c r="E147" s="73"/>
    </row>
    <row r="148" spans="5:5" ht="15.75" customHeight="1">
      <c r="E148" s="73"/>
    </row>
    <row r="149" spans="5:5" ht="15.75" customHeight="1">
      <c r="E149" s="73"/>
    </row>
    <row r="150" spans="5:5" ht="15.75" customHeight="1">
      <c r="E150" s="73"/>
    </row>
    <row r="151" spans="5:5" ht="15.75" customHeight="1">
      <c r="E151" s="73"/>
    </row>
    <row r="152" spans="5:5" ht="15.75" customHeight="1">
      <c r="E152" s="73"/>
    </row>
    <row r="153" spans="5:5" ht="15.75" customHeight="1">
      <c r="E153" s="73"/>
    </row>
    <row r="154" spans="5:5" ht="15.75" customHeight="1">
      <c r="E154" s="73"/>
    </row>
    <row r="155" spans="5:5" ht="15.75" customHeight="1">
      <c r="E155" s="73"/>
    </row>
    <row r="156" spans="5:5" ht="15.75" customHeight="1">
      <c r="E156" s="73"/>
    </row>
    <row r="157" spans="5:5" ht="15.75" customHeight="1">
      <c r="E157" s="73"/>
    </row>
    <row r="158" spans="5:5" ht="15.75" customHeight="1">
      <c r="E158" s="73"/>
    </row>
    <row r="159" spans="5:5" ht="15.75" customHeight="1">
      <c r="E159" s="73"/>
    </row>
    <row r="160" spans="5:5" ht="15.75" customHeight="1">
      <c r="E160" s="73"/>
    </row>
    <row r="161" spans="5:5" ht="15.75" customHeight="1">
      <c r="E161" s="73"/>
    </row>
    <row r="162" spans="5:5" ht="15.75" customHeight="1">
      <c r="E162" s="73"/>
    </row>
    <row r="163" spans="5:5" ht="15.75" customHeight="1">
      <c r="E163" s="73"/>
    </row>
    <row r="164" spans="5:5" ht="15.75" customHeight="1">
      <c r="E164" s="73"/>
    </row>
    <row r="165" spans="5:5" ht="15.75" customHeight="1">
      <c r="E165" s="73"/>
    </row>
    <row r="166" spans="5:5" ht="15.75" customHeight="1">
      <c r="E166" s="73"/>
    </row>
    <row r="167" spans="5:5" ht="15.75" customHeight="1">
      <c r="E167" s="73"/>
    </row>
    <row r="168" spans="5:5" ht="15.75" customHeight="1">
      <c r="E168" s="73"/>
    </row>
    <row r="169" spans="5:5" ht="15.75" customHeight="1">
      <c r="E169" s="73"/>
    </row>
    <row r="170" spans="5:5" ht="15.75" customHeight="1">
      <c r="E170" s="73"/>
    </row>
    <row r="171" spans="5:5" ht="15.75" customHeight="1">
      <c r="E171" s="73"/>
    </row>
    <row r="172" spans="5:5" ht="15.75" customHeight="1">
      <c r="E172" s="73"/>
    </row>
    <row r="173" spans="5:5" ht="15.75" customHeight="1">
      <c r="E173" s="73"/>
    </row>
    <row r="174" spans="5:5" ht="15.75" customHeight="1">
      <c r="E174" s="73"/>
    </row>
    <row r="175" spans="5:5" ht="15.75" customHeight="1">
      <c r="E175" s="73"/>
    </row>
    <row r="176" spans="5:5" ht="15.75" customHeight="1">
      <c r="E176" s="73"/>
    </row>
    <row r="177" spans="5:5" ht="15.75" customHeight="1">
      <c r="E177" s="73"/>
    </row>
    <row r="178" spans="5:5" ht="15.75" customHeight="1">
      <c r="E178" s="73"/>
    </row>
    <row r="179" spans="5:5" ht="15.75" customHeight="1">
      <c r="E179" s="73"/>
    </row>
    <row r="180" spans="5:5" ht="15.75" customHeight="1">
      <c r="E180" s="73"/>
    </row>
    <row r="181" spans="5:5" ht="15.75" customHeight="1">
      <c r="E181" s="73"/>
    </row>
    <row r="182" spans="5:5" ht="15.75" customHeight="1">
      <c r="E182" s="73"/>
    </row>
    <row r="183" spans="5:5" ht="15.75" customHeight="1">
      <c r="E183" s="73"/>
    </row>
    <row r="184" spans="5:5" ht="15.75" customHeight="1">
      <c r="E184" s="73"/>
    </row>
    <row r="185" spans="5:5" ht="15.75" customHeight="1">
      <c r="E185" s="73"/>
    </row>
    <row r="186" spans="5:5" ht="15.75" customHeight="1">
      <c r="E186" s="73"/>
    </row>
    <row r="187" spans="5:5" ht="15.75" customHeight="1">
      <c r="E187" s="73"/>
    </row>
    <row r="188" spans="5:5" ht="15.75" customHeight="1">
      <c r="E188" s="73"/>
    </row>
    <row r="189" spans="5:5" ht="15.75" customHeight="1">
      <c r="E189" s="73"/>
    </row>
    <row r="190" spans="5:5" ht="15.75" customHeight="1">
      <c r="E190" s="73"/>
    </row>
    <row r="191" spans="5:5" ht="15.75" customHeight="1">
      <c r="E191" s="73"/>
    </row>
    <row r="192" spans="5:5" ht="15.75" customHeight="1">
      <c r="E192" s="73"/>
    </row>
    <row r="193" spans="5:5" ht="15.75" customHeight="1">
      <c r="E193" s="73"/>
    </row>
    <row r="194" spans="5:5" ht="15.75" customHeight="1">
      <c r="E194" s="73"/>
    </row>
    <row r="195" spans="5:5" ht="15.75" customHeight="1">
      <c r="E195" s="73"/>
    </row>
    <row r="196" spans="5:5" ht="15.75" customHeight="1">
      <c r="E196" s="73"/>
    </row>
    <row r="197" spans="5:5" ht="15.75" customHeight="1">
      <c r="E197" s="73"/>
    </row>
    <row r="198" spans="5:5" ht="15.75" customHeight="1">
      <c r="E198" s="73"/>
    </row>
    <row r="199" spans="5:5" ht="15.75" customHeight="1">
      <c r="E199" s="73"/>
    </row>
    <row r="200" spans="5:5" ht="15.75" customHeight="1">
      <c r="E200" s="73"/>
    </row>
    <row r="201" spans="5:5" ht="15.75" customHeight="1">
      <c r="E201" s="73"/>
    </row>
    <row r="202" spans="5:5" ht="15.75" customHeight="1">
      <c r="E202" s="73"/>
    </row>
    <row r="203" spans="5:5" ht="15.75" customHeight="1">
      <c r="E203" s="73"/>
    </row>
    <row r="204" spans="5:5" ht="15.75" customHeight="1">
      <c r="E204" s="73"/>
    </row>
    <row r="205" spans="5:5" ht="15.75" customHeight="1">
      <c r="E205" s="73"/>
    </row>
    <row r="206" spans="5:5" ht="15.75" customHeight="1">
      <c r="E206" s="73"/>
    </row>
    <row r="207" spans="5:5" ht="15.75" customHeight="1">
      <c r="E207" s="73"/>
    </row>
    <row r="208" spans="5:5" ht="15.75" customHeight="1">
      <c r="E208" s="73"/>
    </row>
    <row r="209" spans="5:5" ht="15.75" customHeight="1">
      <c r="E209" s="73"/>
    </row>
    <row r="210" spans="5:5" ht="15.75" customHeight="1">
      <c r="E210" s="73"/>
    </row>
    <row r="211" spans="5:5" ht="15.75" customHeight="1">
      <c r="E211" s="73"/>
    </row>
    <row r="212" spans="5:5" ht="15.75" customHeight="1">
      <c r="E212" s="73"/>
    </row>
    <row r="213" spans="5:5" ht="15.75" customHeight="1">
      <c r="E213" s="73"/>
    </row>
    <row r="214" spans="5:5" ht="15.75" customHeight="1">
      <c r="E214" s="73"/>
    </row>
    <row r="215" spans="5:5" ht="15.75" customHeight="1">
      <c r="E215" s="73"/>
    </row>
    <row r="216" spans="5:5" ht="15.75" customHeight="1">
      <c r="E216" s="73"/>
    </row>
    <row r="217" spans="5:5" ht="15.75" customHeight="1">
      <c r="E217" s="73"/>
    </row>
    <row r="218" spans="5:5" ht="15.75" customHeight="1">
      <c r="E218" s="73"/>
    </row>
    <row r="219" spans="5:5" ht="15.75" customHeight="1">
      <c r="E219" s="73"/>
    </row>
    <row r="220" spans="5:5" ht="15.75" customHeight="1">
      <c r="E220" s="73"/>
    </row>
    <row r="221" spans="5:5" ht="15.75" customHeight="1">
      <c r="E221" s="73"/>
    </row>
    <row r="222" spans="5:5" ht="15.75" customHeight="1">
      <c r="E222" s="73"/>
    </row>
    <row r="223" spans="5:5" ht="15.75" customHeight="1">
      <c r="E223" s="73"/>
    </row>
    <row r="224" spans="5:5" ht="15.75" customHeight="1">
      <c r="E224" s="73"/>
    </row>
    <row r="225" spans="5:5" ht="15.75" customHeight="1">
      <c r="E225" s="73"/>
    </row>
    <row r="226" spans="5:5" ht="15.75" customHeight="1">
      <c r="E226" s="73"/>
    </row>
    <row r="227" spans="5:5" ht="15.75" customHeight="1">
      <c r="E227" s="73"/>
    </row>
    <row r="228" spans="5:5" ht="15.75" customHeight="1">
      <c r="E228" s="73"/>
    </row>
    <row r="229" spans="5:5" ht="15.75" customHeight="1">
      <c r="E229" s="73"/>
    </row>
    <row r="230" spans="5:5" ht="15.75" customHeight="1">
      <c r="E230" s="73"/>
    </row>
    <row r="231" spans="5:5" ht="15.75" customHeight="1">
      <c r="E231" s="73"/>
    </row>
    <row r="232" spans="5:5" ht="15.75" customHeight="1">
      <c r="E232" s="73"/>
    </row>
    <row r="233" spans="5:5" ht="15.75" customHeight="1">
      <c r="E233" s="73"/>
    </row>
    <row r="234" spans="5:5" ht="15.75" customHeight="1">
      <c r="E234" s="73"/>
    </row>
    <row r="235" spans="5:5" ht="15.75" customHeight="1">
      <c r="E235" s="73"/>
    </row>
    <row r="236" spans="5:5" ht="15.75" customHeight="1">
      <c r="E236" s="73"/>
    </row>
    <row r="237" spans="5:5" ht="15.75" customHeight="1">
      <c r="E237" s="73"/>
    </row>
    <row r="238" spans="5:5" ht="15.75" customHeight="1">
      <c r="E238" s="73"/>
    </row>
    <row r="239" spans="5:5" ht="15.75" customHeight="1">
      <c r="E239" s="73"/>
    </row>
    <row r="240" spans="5:5" ht="15.75" customHeight="1">
      <c r="E240" s="73"/>
    </row>
    <row r="241" spans="5:5" ht="15.75" customHeight="1">
      <c r="E241" s="73"/>
    </row>
    <row r="242" spans="5:5" ht="15.75" customHeight="1">
      <c r="E242" s="73"/>
    </row>
    <row r="243" spans="5:5" ht="15.75" customHeight="1">
      <c r="E243" s="73"/>
    </row>
    <row r="244" spans="5:5" ht="15.75" customHeight="1">
      <c r="E244" s="73"/>
    </row>
    <row r="245" spans="5:5" ht="15.75" customHeight="1">
      <c r="E245" s="73"/>
    </row>
    <row r="246" spans="5:5" ht="15.75" customHeight="1">
      <c r="E246" s="73"/>
    </row>
    <row r="247" spans="5:5" ht="15.75" customHeight="1">
      <c r="E247" s="73"/>
    </row>
    <row r="248" spans="5:5" ht="15.75" customHeight="1">
      <c r="E248" s="73"/>
    </row>
    <row r="249" spans="5:5" ht="15.75" customHeight="1">
      <c r="E249" s="73"/>
    </row>
    <row r="250" spans="5:5" ht="15.75" customHeight="1">
      <c r="E250" s="73"/>
    </row>
    <row r="251" spans="5:5" ht="15.75" customHeight="1">
      <c r="E251" s="73"/>
    </row>
    <row r="252" spans="5:5" ht="15.75" customHeight="1">
      <c r="E252" s="73"/>
    </row>
    <row r="253" spans="5:5" ht="15.75" customHeight="1">
      <c r="E253" s="73"/>
    </row>
    <row r="254" spans="5:5" ht="15.75" customHeight="1">
      <c r="E254" s="73"/>
    </row>
    <row r="255" spans="5:5" ht="15.75" customHeight="1">
      <c r="E255" s="73"/>
    </row>
    <row r="256" spans="5:5" ht="15.75" customHeight="1">
      <c r="E256" s="73"/>
    </row>
    <row r="257" spans="2:5" ht="15.75" customHeight="1">
      <c r="E257" s="73"/>
    </row>
    <row r="258" spans="2:5" ht="15.75" customHeight="1">
      <c r="E258" s="73"/>
    </row>
    <row r="259" spans="2:5" ht="15.75" customHeight="1">
      <c r="E259" s="73"/>
    </row>
    <row r="260" spans="2:5" ht="15.75" customHeight="1">
      <c r="E260" s="73"/>
    </row>
    <row r="261" spans="2:5" ht="15.75" customHeight="1">
      <c r="E261" s="73"/>
    </row>
    <row r="262" spans="2:5" ht="15.75" customHeight="1">
      <c r="E262" s="73"/>
    </row>
    <row r="263" spans="2:5" ht="15.75" customHeight="1">
      <c r="E263" s="73"/>
    </row>
    <row r="264" spans="2:5" ht="15.75" customHeight="1">
      <c r="B264" s="72"/>
      <c r="C264" s="72"/>
    </row>
    <row r="265" spans="2:5" ht="15.75" customHeight="1">
      <c r="B265" s="72"/>
      <c r="C265" s="72"/>
    </row>
    <row r="266" spans="2:5" ht="15.75" customHeight="1">
      <c r="B266" s="72"/>
      <c r="C266" s="72"/>
    </row>
    <row r="267" spans="2:5" ht="15.75" customHeight="1">
      <c r="B267" s="72"/>
      <c r="C267" s="72"/>
    </row>
    <row r="268" spans="2:5" ht="15.75" customHeight="1">
      <c r="B268" s="72"/>
      <c r="C268" s="72"/>
    </row>
    <row r="269" spans="2:5" ht="15.75" customHeight="1">
      <c r="B269" s="72"/>
      <c r="C269" s="72"/>
    </row>
    <row r="270" spans="2:5" ht="15.75" customHeight="1">
      <c r="B270" s="72"/>
      <c r="C270" s="72"/>
    </row>
    <row r="271" spans="2:5" ht="15.75" customHeight="1">
      <c r="B271" s="72"/>
      <c r="C271" s="72"/>
    </row>
    <row r="272" spans="2:5" ht="15.75" customHeight="1">
      <c r="B272" s="72"/>
      <c r="C272" s="72"/>
    </row>
    <row r="273" spans="2:3" ht="15.75" customHeight="1">
      <c r="B273" s="72"/>
      <c r="C273" s="72"/>
    </row>
    <row r="274" spans="2:3" ht="15.75" customHeight="1">
      <c r="B274" s="72"/>
      <c r="C274" s="72"/>
    </row>
    <row r="275" spans="2:3" ht="15.75" customHeight="1">
      <c r="B275" s="72"/>
      <c r="C275" s="72"/>
    </row>
    <row r="276" spans="2:3" ht="15.75" customHeight="1">
      <c r="B276" s="72"/>
      <c r="C276" s="72"/>
    </row>
    <row r="277" spans="2:3" ht="15.75" customHeight="1">
      <c r="B277" s="72"/>
      <c r="C277" s="72"/>
    </row>
    <row r="278" spans="2:3" ht="15.75" customHeight="1">
      <c r="B278" s="72"/>
      <c r="C278" s="72"/>
    </row>
    <row r="279" spans="2:3" ht="15.75" customHeight="1">
      <c r="B279" s="72"/>
      <c r="C279" s="72"/>
    </row>
    <row r="280" spans="2:3" ht="15.75" customHeight="1">
      <c r="B280" s="72"/>
      <c r="C280" s="72"/>
    </row>
    <row r="281" spans="2:3" ht="15.75" customHeight="1">
      <c r="B281" s="72"/>
      <c r="C281" s="72"/>
    </row>
    <row r="282" spans="2:3" ht="15.75" customHeight="1">
      <c r="B282" s="72"/>
      <c r="C282" s="72"/>
    </row>
    <row r="283" spans="2:3" ht="15.75" customHeight="1">
      <c r="B283" s="72"/>
      <c r="C283" s="72"/>
    </row>
    <row r="284" spans="2:3" ht="15.75" customHeight="1">
      <c r="B284" s="72"/>
      <c r="C284" s="72"/>
    </row>
    <row r="285" spans="2:3" ht="15.75" customHeight="1">
      <c r="B285" s="72"/>
      <c r="C285" s="72"/>
    </row>
    <row r="286" spans="2:3" ht="15.75" customHeight="1">
      <c r="B286" s="72"/>
      <c r="C286" s="72"/>
    </row>
    <row r="287" spans="2:3" ht="15.75" customHeight="1">
      <c r="B287" s="72"/>
      <c r="C287" s="72"/>
    </row>
    <row r="288" spans="2:3" ht="15.75" customHeight="1">
      <c r="B288" s="72"/>
      <c r="C288" s="72"/>
    </row>
    <row r="289" spans="2:3" ht="15.75" customHeight="1">
      <c r="B289" s="72"/>
      <c r="C289" s="72"/>
    </row>
    <row r="290" spans="2:3" ht="15.75" customHeight="1">
      <c r="B290" s="72"/>
      <c r="C290" s="72"/>
    </row>
    <row r="291" spans="2:3" ht="15.75" customHeight="1">
      <c r="B291" s="72"/>
      <c r="C291" s="72"/>
    </row>
    <row r="292" spans="2:3" ht="15.75" customHeight="1">
      <c r="B292" s="72"/>
      <c r="C292" s="72"/>
    </row>
    <row r="293" spans="2:3" ht="15.75" customHeight="1">
      <c r="B293" s="72"/>
      <c r="C293" s="72"/>
    </row>
    <row r="294" spans="2:3" ht="15.75" customHeight="1">
      <c r="B294" s="72"/>
      <c r="C294" s="72"/>
    </row>
    <row r="295" spans="2:3" ht="15.75" customHeight="1">
      <c r="B295" s="72"/>
      <c r="C295" s="72"/>
    </row>
    <row r="296" spans="2:3" ht="15.75" customHeight="1">
      <c r="B296" s="72"/>
      <c r="C296" s="72"/>
    </row>
    <row r="297" spans="2:3" ht="15.75" customHeight="1">
      <c r="B297" s="72"/>
      <c r="C297" s="72"/>
    </row>
    <row r="298" spans="2:3" ht="15.75" customHeight="1">
      <c r="B298" s="72"/>
      <c r="C298" s="72"/>
    </row>
    <row r="299" spans="2:3" ht="15.75" customHeight="1">
      <c r="B299" s="72"/>
      <c r="C299" s="72"/>
    </row>
    <row r="300" spans="2:3" ht="15.75" customHeight="1">
      <c r="B300" s="72"/>
      <c r="C300" s="72"/>
    </row>
    <row r="301" spans="2:3" ht="15.75" customHeight="1">
      <c r="B301" s="72"/>
      <c r="C301" s="72"/>
    </row>
    <row r="302" spans="2:3" ht="15.75" customHeight="1">
      <c r="B302" s="72"/>
      <c r="C302" s="72"/>
    </row>
    <row r="303" spans="2:3" ht="15.75" customHeight="1">
      <c r="B303" s="72"/>
      <c r="C303" s="72"/>
    </row>
    <row r="304" spans="2:3" ht="15.75" customHeight="1">
      <c r="B304" s="72"/>
      <c r="C304" s="72"/>
    </row>
    <row r="305" spans="2:3" ht="15.75" customHeight="1">
      <c r="B305" s="72"/>
      <c r="C305" s="72"/>
    </row>
    <row r="306" spans="2:3" ht="15.75" customHeight="1">
      <c r="B306" s="72"/>
      <c r="C306" s="72"/>
    </row>
    <row r="307" spans="2:3" ht="15.75" customHeight="1">
      <c r="B307" s="72"/>
      <c r="C307" s="72"/>
    </row>
    <row r="308" spans="2:3" ht="15.75" customHeight="1">
      <c r="B308" s="72"/>
      <c r="C308" s="72"/>
    </row>
    <row r="309" spans="2:3" ht="15.75" customHeight="1">
      <c r="B309" s="72"/>
      <c r="C309" s="72"/>
    </row>
    <row r="310" spans="2:3" ht="15.75" customHeight="1">
      <c r="B310" s="72"/>
      <c r="C310" s="72"/>
    </row>
    <row r="311" spans="2:3" ht="15.75" customHeight="1">
      <c r="B311" s="72"/>
      <c r="C311" s="72"/>
    </row>
    <row r="312" spans="2:3" ht="15.75" customHeight="1">
      <c r="B312" s="72"/>
      <c r="C312" s="72"/>
    </row>
    <row r="313" spans="2:3" ht="15.75" customHeight="1">
      <c r="B313" s="72"/>
      <c r="C313" s="72"/>
    </row>
    <row r="314" spans="2:3" ht="15.75" customHeight="1">
      <c r="B314" s="72"/>
      <c r="C314" s="72"/>
    </row>
    <row r="315" spans="2:3" ht="15.75" customHeight="1">
      <c r="B315" s="72"/>
      <c r="C315" s="72"/>
    </row>
    <row r="316" spans="2:3" ht="15.75" customHeight="1">
      <c r="B316" s="72"/>
      <c r="C316" s="72"/>
    </row>
    <row r="317" spans="2:3" ht="15.75" customHeight="1">
      <c r="B317" s="72"/>
      <c r="C317" s="72"/>
    </row>
    <row r="318" spans="2:3" ht="15.75" customHeight="1">
      <c r="B318" s="72"/>
      <c r="C318" s="72"/>
    </row>
    <row r="319" spans="2:3" ht="15.75" customHeight="1">
      <c r="B319" s="72"/>
      <c r="C319" s="72"/>
    </row>
    <row r="320" spans="2:3" ht="15.75" customHeight="1">
      <c r="B320" s="72"/>
      <c r="C320" s="72"/>
    </row>
    <row r="321" spans="2:3" ht="15.75" customHeight="1">
      <c r="B321" s="72"/>
      <c r="C321" s="72"/>
    </row>
    <row r="322" spans="2:3" ht="15.75" customHeight="1">
      <c r="B322" s="72"/>
      <c r="C322" s="72"/>
    </row>
    <row r="323" spans="2:3" ht="15.75" customHeight="1">
      <c r="B323" s="72"/>
      <c r="C323" s="72"/>
    </row>
    <row r="324" spans="2:3" ht="15.75" customHeight="1">
      <c r="B324" s="72"/>
      <c r="C324" s="72"/>
    </row>
    <row r="325" spans="2:3" ht="15.75" customHeight="1">
      <c r="B325" s="72"/>
      <c r="C325" s="72"/>
    </row>
    <row r="326" spans="2:3" ht="15.75" customHeight="1">
      <c r="B326" s="72"/>
      <c r="C326" s="72"/>
    </row>
    <row r="327" spans="2:3" ht="15.75" customHeight="1">
      <c r="B327" s="72"/>
      <c r="C327" s="72"/>
    </row>
    <row r="328" spans="2:3" ht="15.75" customHeight="1">
      <c r="B328" s="72"/>
      <c r="C328" s="72"/>
    </row>
    <row r="329" spans="2:3" ht="15.75" customHeight="1">
      <c r="B329" s="72"/>
      <c r="C329" s="72"/>
    </row>
    <row r="330" spans="2:3" ht="15.75" customHeight="1">
      <c r="B330" s="72"/>
      <c r="C330" s="72"/>
    </row>
    <row r="331" spans="2:3" ht="15.75" customHeight="1">
      <c r="B331" s="72"/>
      <c r="C331" s="72"/>
    </row>
    <row r="332" spans="2:3" ht="15.75" customHeight="1">
      <c r="B332" s="72"/>
      <c r="C332" s="72"/>
    </row>
    <row r="333" spans="2:3" ht="15.75" customHeight="1">
      <c r="B333" s="72"/>
      <c r="C333" s="72"/>
    </row>
    <row r="334" spans="2:3" ht="15.75" customHeight="1">
      <c r="B334" s="72"/>
      <c r="C334" s="72"/>
    </row>
    <row r="335" spans="2:3" ht="15.75" customHeight="1">
      <c r="B335" s="72"/>
      <c r="C335" s="72"/>
    </row>
    <row r="336" spans="2:3" ht="15.75" customHeight="1">
      <c r="B336" s="72"/>
      <c r="C336" s="72"/>
    </row>
    <row r="337" spans="2:3" ht="15.75" customHeight="1">
      <c r="B337" s="72"/>
      <c r="C337" s="72"/>
    </row>
    <row r="338" spans="2:3" ht="15.75" customHeight="1">
      <c r="B338" s="72"/>
      <c r="C338" s="72"/>
    </row>
    <row r="339" spans="2:3" ht="15.75" customHeight="1">
      <c r="B339" s="72"/>
      <c r="C339" s="72"/>
    </row>
    <row r="340" spans="2:3" ht="15.75" customHeight="1">
      <c r="B340" s="72"/>
      <c r="C340" s="72"/>
    </row>
    <row r="341" spans="2:3" ht="15.75" customHeight="1">
      <c r="B341" s="72"/>
      <c r="C341" s="72"/>
    </row>
    <row r="342" spans="2:3" ht="15.75" customHeight="1">
      <c r="B342" s="72"/>
      <c r="C342" s="72"/>
    </row>
    <row r="343" spans="2:3" ht="15.75" customHeight="1">
      <c r="B343" s="72"/>
      <c r="C343" s="72"/>
    </row>
    <row r="344" spans="2:3" ht="15.75" customHeight="1">
      <c r="B344" s="72"/>
      <c r="C344" s="72"/>
    </row>
    <row r="345" spans="2:3" ht="15.75" customHeight="1">
      <c r="B345" s="72"/>
      <c r="C345" s="72"/>
    </row>
    <row r="346" spans="2:3" ht="15.75" customHeight="1">
      <c r="B346" s="72"/>
      <c r="C346" s="72"/>
    </row>
    <row r="347" spans="2:3" ht="15.75" customHeight="1">
      <c r="B347" s="72"/>
      <c r="C347" s="72"/>
    </row>
    <row r="348" spans="2:3" ht="15.75" customHeight="1">
      <c r="B348" s="72"/>
      <c r="C348" s="72"/>
    </row>
    <row r="349" spans="2:3" ht="15.75" customHeight="1">
      <c r="B349" s="72"/>
      <c r="C349" s="72"/>
    </row>
    <row r="350" spans="2:3" ht="15.75" customHeight="1">
      <c r="B350" s="72"/>
      <c r="C350" s="72"/>
    </row>
    <row r="351" spans="2:3" ht="15.75" customHeight="1">
      <c r="B351" s="72"/>
      <c r="C351" s="72"/>
    </row>
    <row r="352" spans="2:3" ht="15.75" customHeight="1">
      <c r="B352" s="72"/>
      <c r="C352" s="72"/>
    </row>
    <row r="353" spans="2:3" ht="15.75" customHeight="1">
      <c r="B353" s="72"/>
      <c r="C353" s="72"/>
    </row>
    <row r="354" spans="2:3" ht="15.75" customHeight="1">
      <c r="B354" s="72"/>
      <c r="C354" s="72"/>
    </row>
    <row r="355" spans="2:3" ht="15.75" customHeight="1">
      <c r="B355" s="72"/>
      <c r="C355" s="72"/>
    </row>
    <row r="356" spans="2:3" ht="15.75" customHeight="1">
      <c r="B356" s="72"/>
      <c r="C356" s="72"/>
    </row>
    <row r="357" spans="2:3" ht="15.75" customHeight="1">
      <c r="B357" s="72"/>
      <c r="C357" s="72"/>
    </row>
    <row r="358" spans="2:3" ht="15.75" customHeight="1">
      <c r="B358" s="72"/>
      <c r="C358" s="72"/>
    </row>
    <row r="359" spans="2:3" ht="15.75" customHeight="1">
      <c r="B359" s="72"/>
      <c r="C359" s="72"/>
    </row>
    <row r="360" spans="2:3" ht="15.75" customHeight="1">
      <c r="B360" s="72"/>
      <c r="C360" s="72"/>
    </row>
    <row r="361" spans="2:3" ht="15.75" customHeight="1">
      <c r="B361" s="72"/>
      <c r="C361" s="72"/>
    </row>
    <row r="362" spans="2:3" ht="15.75" customHeight="1">
      <c r="B362" s="72"/>
      <c r="C362" s="72"/>
    </row>
    <row r="363" spans="2:3" ht="15.75" customHeight="1">
      <c r="B363" s="72"/>
      <c r="C363" s="72"/>
    </row>
    <row r="364" spans="2:3" ht="15.75" customHeight="1">
      <c r="B364" s="72"/>
      <c r="C364" s="72"/>
    </row>
    <row r="365" spans="2:3" ht="15.75" customHeight="1">
      <c r="B365" s="72"/>
      <c r="C365" s="72"/>
    </row>
    <row r="366" spans="2:3" ht="15.75" customHeight="1">
      <c r="B366" s="72"/>
      <c r="C366" s="72"/>
    </row>
    <row r="367" spans="2:3" ht="15.75" customHeight="1">
      <c r="B367" s="72"/>
      <c r="C367" s="72"/>
    </row>
    <row r="368" spans="2:3" ht="15.75" customHeight="1">
      <c r="B368" s="72"/>
      <c r="C368" s="72"/>
    </row>
    <row r="369" spans="2:3" ht="15.75" customHeight="1">
      <c r="B369" s="72"/>
      <c r="C369" s="72"/>
    </row>
    <row r="370" spans="2:3" ht="15.75" customHeight="1">
      <c r="B370" s="72"/>
      <c r="C370" s="72"/>
    </row>
    <row r="371" spans="2:3" ht="15.75" customHeight="1">
      <c r="B371" s="72"/>
      <c r="C371" s="72"/>
    </row>
    <row r="372" spans="2:3" ht="15.75" customHeight="1">
      <c r="B372" s="72"/>
      <c r="C372" s="72"/>
    </row>
    <row r="373" spans="2:3" ht="15.75" customHeight="1">
      <c r="B373" s="72"/>
      <c r="C373" s="72"/>
    </row>
    <row r="374" spans="2:3" ht="15.75" customHeight="1">
      <c r="B374" s="72"/>
      <c r="C374" s="72"/>
    </row>
    <row r="375" spans="2:3" ht="15.75" customHeight="1">
      <c r="B375" s="72"/>
      <c r="C375" s="72"/>
    </row>
    <row r="376" spans="2:3" ht="15.75" customHeight="1">
      <c r="B376" s="72"/>
      <c r="C376" s="72"/>
    </row>
    <row r="377" spans="2:3" ht="15.75" customHeight="1">
      <c r="B377" s="72"/>
      <c r="C377" s="72"/>
    </row>
    <row r="378" spans="2:3" ht="15.75" customHeight="1">
      <c r="B378" s="72"/>
      <c r="C378" s="72"/>
    </row>
    <row r="379" spans="2:3" ht="15.75" customHeight="1">
      <c r="B379" s="72"/>
      <c r="C379" s="72"/>
    </row>
    <row r="380" spans="2:3" ht="15.75" customHeight="1">
      <c r="B380" s="72"/>
      <c r="C380" s="72"/>
    </row>
    <row r="381" spans="2:3" ht="15.75" customHeight="1">
      <c r="B381" s="72"/>
      <c r="C381" s="72"/>
    </row>
    <row r="382" spans="2:3" ht="15.75" customHeight="1">
      <c r="B382" s="72"/>
      <c r="C382" s="72"/>
    </row>
    <row r="383" spans="2:3" ht="15.75" customHeight="1">
      <c r="B383" s="72"/>
      <c r="C383" s="72"/>
    </row>
    <row r="384" spans="2:3" ht="15.75" customHeight="1">
      <c r="B384" s="72"/>
      <c r="C384" s="72"/>
    </row>
    <row r="385" spans="2:3" ht="15.75" customHeight="1">
      <c r="B385" s="72"/>
      <c r="C385" s="72"/>
    </row>
    <row r="386" spans="2:3" ht="15.75" customHeight="1">
      <c r="B386" s="72"/>
      <c r="C386" s="72"/>
    </row>
    <row r="387" spans="2:3" ht="15.75" customHeight="1">
      <c r="B387" s="72"/>
      <c r="C387" s="72"/>
    </row>
    <row r="388" spans="2:3" ht="15.75" customHeight="1">
      <c r="B388" s="72"/>
      <c r="C388" s="72"/>
    </row>
    <row r="389" spans="2:3" ht="15.75" customHeight="1">
      <c r="B389" s="72"/>
      <c r="C389" s="72"/>
    </row>
    <row r="390" spans="2:3" ht="15.75" customHeight="1">
      <c r="B390" s="72"/>
      <c r="C390" s="72"/>
    </row>
    <row r="391" spans="2:3" ht="15.75" customHeight="1">
      <c r="B391" s="72"/>
      <c r="C391" s="72"/>
    </row>
    <row r="392" spans="2:3" ht="15.75" customHeight="1">
      <c r="B392" s="72"/>
      <c r="C392" s="72"/>
    </row>
    <row r="393" spans="2:3" ht="15.75" customHeight="1">
      <c r="B393" s="72"/>
      <c r="C393" s="72"/>
    </row>
    <row r="394" spans="2:3" ht="15.75" customHeight="1">
      <c r="B394" s="72"/>
      <c r="C394" s="72"/>
    </row>
    <row r="395" spans="2:3" ht="15.75" customHeight="1">
      <c r="B395" s="72"/>
      <c r="C395" s="72"/>
    </row>
    <row r="396" spans="2:3" ht="15.75" customHeight="1">
      <c r="B396" s="72"/>
      <c r="C396" s="72"/>
    </row>
    <row r="397" spans="2:3" ht="15.75" customHeight="1">
      <c r="B397" s="72"/>
      <c r="C397" s="72"/>
    </row>
    <row r="398" spans="2:3" ht="15.75" customHeight="1">
      <c r="B398" s="72"/>
      <c r="C398" s="72"/>
    </row>
    <row r="399" spans="2:3" ht="15.75" customHeight="1">
      <c r="B399" s="72"/>
      <c r="C399" s="72"/>
    </row>
    <row r="400" spans="2:3" ht="15.75" customHeight="1">
      <c r="B400" s="72"/>
      <c r="C400" s="72"/>
    </row>
    <row r="401" spans="2:3" ht="15.75" customHeight="1">
      <c r="B401" s="72"/>
      <c r="C401" s="72"/>
    </row>
    <row r="402" spans="2:3" ht="15.75" customHeight="1">
      <c r="B402" s="72"/>
      <c r="C402" s="72"/>
    </row>
    <row r="403" spans="2:3" ht="15.75" customHeight="1">
      <c r="B403" s="72"/>
      <c r="C403" s="72"/>
    </row>
    <row r="404" spans="2:3" ht="15.75" customHeight="1">
      <c r="B404" s="72"/>
      <c r="C404" s="72"/>
    </row>
    <row r="405" spans="2:3" ht="15.75" customHeight="1">
      <c r="B405" s="72"/>
      <c r="C405" s="72"/>
    </row>
    <row r="406" spans="2:3" ht="15.75" customHeight="1">
      <c r="B406" s="72"/>
      <c r="C406" s="72"/>
    </row>
    <row r="407" spans="2:3" ht="15.75" customHeight="1">
      <c r="B407" s="72"/>
      <c r="C407" s="72"/>
    </row>
    <row r="408" spans="2:3" ht="15.75" customHeight="1">
      <c r="B408" s="72"/>
      <c r="C408" s="72"/>
    </row>
    <row r="409" spans="2:3" ht="15.75" customHeight="1">
      <c r="B409" s="72"/>
      <c r="C409" s="72"/>
    </row>
    <row r="410" spans="2:3" ht="15.75" customHeight="1">
      <c r="B410" s="72"/>
      <c r="C410" s="72"/>
    </row>
    <row r="411" spans="2:3" ht="15.75" customHeight="1">
      <c r="B411" s="72"/>
      <c r="C411" s="72"/>
    </row>
    <row r="412" spans="2:3" ht="15.75" customHeight="1">
      <c r="B412" s="72"/>
      <c r="C412" s="72"/>
    </row>
    <row r="413" spans="2:3" ht="15.75" customHeight="1">
      <c r="B413" s="72"/>
      <c r="C413" s="72"/>
    </row>
    <row r="414" spans="2:3" ht="15.75" customHeight="1">
      <c r="B414" s="72"/>
      <c r="C414" s="72"/>
    </row>
    <row r="415" spans="2:3" ht="15.75" customHeight="1">
      <c r="B415" s="72"/>
      <c r="C415" s="72"/>
    </row>
    <row r="416" spans="2:3" ht="15.75" customHeight="1">
      <c r="B416" s="72"/>
      <c r="C416" s="72"/>
    </row>
    <row r="417" spans="2:3" ht="15.75" customHeight="1">
      <c r="B417" s="72"/>
      <c r="C417" s="72"/>
    </row>
    <row r="418" spans="2:3" ht="15.75" customHeight="1">
      <c r="B418" s="72"/>
      <c r="C418" s="72"/>
    </row>
    <row r="419" spans="2:3" ht="15.75" customHeight="1">
      <c r="B419" s="72"/>
      <c r="C419" s="72"/>
    </row>
    <row r="420" spans="2:3" ht="15.75" customHeight="1">
      <c r="B420" s="72"/>
      <c r="C420" s="72"/>
    </row>
    <row r="421" spans="2:3" ht="15.75" customHeight="1">
      <c r="B421" s="72"/>
      <c r="C421" s="72"/>
    </row>
    <row r="422" spans="2:3" ht="15.75" customHeight="1">
      <c r="B422" s="72"/>
      <c r="C422" s="72"/>
    </row>
    <row r="423" spans="2:3" ht="15.75" customHeight="1">
      <c r="B423" s="72"/>
      <c r="C423" s="72"/>
    </row>
    <row r="424" spans="2:3" ht="15.75" customHeight="1">
      <c r="B424" s="72"/>
      <c r="C424" s="72"/>
    </row>
    <row r="425" spans="2:3" ht="15.75" customHeight="1">
      <c r="B425" s="72"/>
      <c r="C425" s="72"/>
    </row>
    <row r="426" spans="2:3" ht="15.75" customHeight="1">
      <c r="B426" s="72"/>
      <c r="C426" s="72"/>
    </row>
    <row r="427" spans="2:3" ht="15.75" customHeight="1">
      <c r="B427" s="72"/>
      <c r="C427" s="72"/>
    </row>
    <row r="428" spans="2:3" ht="15.75" customHeight="1">
      <c r="B428" s="72"/>
      <c r="C428" s="72"/>
    </row>
    <row r="429" spans="2:3" ht="15.75" customHeight="1">
      <c r="B429" s="72"/>
      <c r="C429" s="72"/>
    </row>
    <row r="430" spans="2:3" ht="15.75" customHeight="1">
      <c r="B430" s="72"/>
      <c r="C430" s="72"/>
    </row>
    <row r="431" spans="2:3" ht="15.75" customHeight="1">
      <c r="B431" s="72"/>
      <c r="C431" s="72"/>
    </row>
    <row r="432" spans="2:3" ht="15.75" customHeight="1">
      <c r="B432" s="72"/>
      <c r="C432" s="72"/>
    </row>
    <row r="433" spans="2:3" ht="15.75" customHeight="1">
      <c r="B433" s="72"/>
      <c r="C433" s="72"/>
    </row>
    <row r="434" spans="2:3" ht="15.75" customHeight="1">
      <c r="B434" s="72"/>
      <c r="C434" s="72"/>
    </row>
    <row r="435" spans="2:3" ht="15.75" customHeight="1">
      <c r="B435" s="72"/>
      <c r="C435" s="72"/>
    </row>
    <row r="436" spans="2:3" ht="15.75" customHeight="1">
      <c r="B436" s="72"/>
      <c r="C436" s="72"/>
    </row>
    <row r="437" spans="2:3" ht="15.75" customHeight="1">
      <c r="B437" s="72"/>
      <c r="C437" s="72"/>
    </row>
    <row r="438" spans="2:3" ht="15.75" customHeight="1">
      <c r="B438" s="72"/>
      <c r="C438" s="72"/>
    </row>
    <row r="439" spans="2:3" ht="15.75" customHeight="1">
      <c r="B439" s="72"/>
      <c r="C439" s="72"/>
    </row>
    <row r="440" spans="2:3" ht="15.75" customHeight="1">
      <c r="B440" s="72"/>
      <c r="C440" s="72"/>
    </row>
    <row r="441" spans="2:3" ht="15.75" customHeight="1">
      <c r="B441" s="72"/>
      <c r="C441" s="72"/>
    </row>
    <row r="442" spans="2:3" ht="15.75" customHeight="1">
      <c r="B442" s="72"/>
      <c r="C442" s="72"/>
    </row>
    <row r="443" spans="2:3" ht="15.75" customHeight="1">
      <c r="B443" s="72"/>
      <c r="C443" s="72"/>
    </row>
    <row r="444" spans="2:3" ht="15.75" customHeight="1">
      <c r="B444" s="72"/>
      <c r="C444" s="72"/>
    </row>
    <row r="445" spans="2:3" ht="15.75" customHeight="1">
      <c r="B445" s="72"/>
      <c r="C445" s="72"/>
    </row>
    <row r="446" spans="2:3" ht="15.75" customHeight="1">
      <c r="B446" s="72"/>
      <c r="C446" s="72"/>
    </row>
    <row r="447" spans="2:3" ht="15.75" customHeight="1">
      <c r="B447" s="72"/>
      <c r="C447" s="72"/>
    </row>
    <row r="448" spans="2:3" ht="15.75" customHeight="1">
      <c r="B448" s="72"/>
      <c r="C448" s="72"/>
    </row>
    <row r="449" spans="2:3" ht="15.75" customHeight="1">
      <c r="B449" s="72"/>
      <c r="C449" s="72"/>
    </row>
    <row r="450" spans="2:3" ht="15.75" customHeight="1">
      <c r="B450" s="72"/>
      <c r="C450" s="72"/>
    </row>
    <row r="451" spans="2:3" ht="15.75" customHeight="1">
      <c r="B451" s="72"/>
      <c r="C451" s="72"/>
    </row>
    <row r="452" spans="2:3" ht="15.75" customHeight="1">
      <c r="B452" s="72"/>
      <c r="C452" s="72"/>
    </row>
    <row r="453" spans="2:3" ht="15.75" customHeight="1">
      <c r="B453" s="72"/>
      <c r="C453" s="72"/>
    </row>
    <row r="454" spans="2:3" ht="15.75" customHeight="1">
      <c r="B454" s="72"/>
      <c r="C454" s="72"/>
    </row>
    <row r="455" spans="2:3" ht="15.75" customHeight="1">
      <c r="B455" s="72"/>
      <c r="C455" s="72"/>
    </row>
    <row r="456" spans="2:3" ht="15.75" customHeight="1">
      <c r="B456" s="72"/>
      <c r="C456" s="72"/>
    </row>
    <row r="457" spans="2:3" ht="15.75" customHeight="1">
      <c r="B457" s="72"/>
      <c r="C457" s="72"/>
    </row>
    <row r="458" spans="2:3" ht="15.75" customHeight="1">
      <c r="B458" s="72"/>
      <c r="C458" s="72"/>
    </row>
    <row r="459" spans="2:3" ht="15.75" customHeight="1">
      <c r="B459" s="72"/>
      <c r="C459" s="72"/>
    </row>
    <row r="460" spans="2:3" ht="15.75" customHeight="1">
      <c r="B460" s="72"/>
      <c r="C460" s="72"/>
    </row>
    <row r="461" spans="2:3" ht="15.75" customHeight="1">
      <c r="B461" s="72"/>
      <c r="C461" s="72"/>
    </row>
    <row r="462" spans="2:3" ht="15.75" customHeight="1">
      <c r="B462" s="72"/>
      <c r="C462" s="72"/>
    </row>
    <row r="463" spans="2:3" ht="15.75" customHeight="1">
      <c r="B463" s="72"/>
      <c r="C463" s="72"/>
    </row>
    <row r="464" spans="2:3" ht="15.75" customHeight="1">
      <c r="B464" s="72"/>
      <c r="C464" s="72"/>
    </row>
    <row r="465" spans="2:3" ht="15.75" customHeight="1">
      <c r="B465" s="72"/>
      <c r="C465" s="72"/>
    </row>
    <row r="466" spans="2:3" ht="15.75" customHeight="1">
      <c r="B466" s="72"/>
      <c r="C466" s="72"/>
    </row>
    <row r="467" spans="2:3" ht="15.75" customHeight="1">
      <c r="B467" s="72"/>
      <c r="C467" s="72"/>
    </row>
    <row r="468" spans="2:3" ht="15.75" customHeight="1">
      <c r="B468" s="72"/>
      <c r="C468" s="72"/>
    </row>
    <row r="469" spans="2:3" ht="15.75" customHeight="1">
      <c r="B469" s="72"/>
      <c r="C469" s="72"/>
    </row>
    <row r="470" spans="2:3" ht="15.75" customHeight="1">
      <c r="B470" s="72"/>
      <c r="C470" s="72"/>
    </row>
    <row r="471" spans="2:3" ht="15.75" customHeight="1">
      <c r="B471" s="72"/>
      <c r="C471" s="72"/>
    </row>
    <row r="472" spans="2:3" ht="15.75" customHeight="1">
      <c r="B472" s="72"/>
      <c r="C472" s="72"/>
    </row>
    <row r="473" spans="2:3" ht="15.75" customHeight="1">
      <c r="B473" s="72"/>
      <c r="C473" s="72"/>
    </row>
    <row r="474" spans="2:3" ht="15.75" customHeight="1">
      <c r="B474" s="72"/>
      <c r="C474" s="72"/>
    </row>
    <row r="475" spans="2:3" ht="15.75" customHeight="1">
      <c r="B475" s="72"/>
      <c r="C475" s="72"/>
    </row>
    <row r="476" spans="2:3" ht="15.75" customHeight="1">
      <c r="B476" s="72"/>
      <c r="C476" s="72"/>
    </row>
    <row r="477" spans="2:3" ht="15.75" customHeight="1">
      <c r="B477" s="72"/>
      <c r="C477" s="72"/>
    </row>
    <row r="478" spans="2:3" ht="15.75" customHeight="1">
      <c r="B478" s="72"/>
      <c r="C478" s="72"/>
    </row>
    <row r="479" spans="2:3" ht="15.75" customHeight="1">
      <c r="B479" s="72"/>
      <c r="C479" s="72"/>
    </row>
    <row r="480" spans="2:3" ht="15.75" customHeight="1">
      <c r="B480" s="72"/>
      <c r="C480" s="72"/>
    </row>
    <row r="481" spans="2:3" ht="15.75" customHeight="1">
      <c r="B481" s="72"/>
      <c r="C481" s="72"/>
    </row>
    <row r="482" spans="2:3" ht="15.75" customHeight="1">
      <c r="B482" s="72"/>
      <c r="C482" s="72"/>
    </row>
    <row r="483" spans="2:3" ht="15.75" customHeight="1">
      <c r="B483" s="72"/>
      <c r="C483" s="72"/>
    </row>
    <row r="484" spans="2:3" ht="15.75" customHeight="1">
      <c r="B484" s="72"/>
      <c r="C484" s="72"/>
    </row>
    <row r="485" spans="2:3" ht="15.75" customHeight="1">
      <c r="B485" s="72"/>
      <c r="C485" s="72"/>
    </row>
    <row r="486" spans="2:3" ht="15.75" customHeight="1">
      <c r="B486" s="72"/>
      <c r="C486" s="72"/>
    </row>
    <row r="487" spans="2:3" ht="15.75" customHeight="1">
      <c r="B487" s="72"/>
      <c r="C487" s="72"/>
    </row>
    <row r="488" spans="2:3" ht="15.75" customHeight="1">
      <c r="B488" s="72"/>
      <c r="C488" s="72"/>
    </row>
    <row r="489" spans="2:3" ht="15.75" customHeight="1">
      <c r="B489" s="72"/>
      <c r="C489" s="72"/>
    </row>
    <row r="490" spans="2:3" ht="15.75" customHeight="1">
      <c r="B490" s="72"/>
      <c r="C490" s="72"/>
    </row>
    <row r="491" spans="2:3" ht="15.75" customHeight="1">
      <c r="B491" s="72"/>
      <c r="C491" s="72"/>
    </row>
    <row r="492" spans="2:3" ht="15.75" customHeight="1">
      <c r="B492" s="72"/>
      <c r="C492" s="72"/>
    </row>
    <row r="493" spans="2:3" ht="15.75" customHeight="1">
      <c r="B493" s="72"/>
      <c r="C493" s="72"/>
    </row>
    <row r="494" spans="2:3" ht="15.75" customHeight="1">
      <c r="B494" s="72"/>
      <c r="C494" s="72"/>
    </row>
    <row r="495" spans="2:3" ht="15.75" customHeight="1">
      <c r="B495" s="72"/>
      <c r="C495" s="72"/>
    </row>
    <row r="496" spans="2:3" ht="15.75" customHeight="1">
      <c r="B496" s="72"/>
      <c r="C496" s="72"/>
    </row>
    <row r="497" spans="2:3" ht="15.75" customHeight="1">
      <c r="B497" s="72"/>
      <c r="C497" s="72"/>
    </row>
    <row r="498" spans="2:3" ht="15.75" customHeight="1">
      <c r="B498" s="72"/>
      <c r="C498" s="72"/>
    </row>
    <row r="499" spans="2:3" ht="15.75" customHeight="1">
      <c r="B499" s="72"/>
      <c r="C499" s="72"/>
    </row>
    <row r="500" spans="2:3" ht="15.75" customHeight="1">
      <c r="B500" s="72"/>
      <c r="C500" s="72"/>
    </row>
    <row r="501" spans="2:3" ht="15.75" customHeight="1">
      <c r="B501" s="72"/>
      <c r="C501" s="72"/>
    </row>
    <row r="502" spans="2:3" ht="15.75" customHeight="1">
      <c r="B502" s="72"/>
      <c r="C502" s="72"/>
    </row>
    <row r="503" spans="2:3" ht="15.75" customHeight="1">
      <c r="B503" s="72"/>
      <c r="C503" s="72"/>
    </row>
    <row r="504" spans="2:3" ht="15.75" customHeight="1">
      <c r="B504" s="72"/>
      <c r="C504" s="72"/>
    </row>
    <row r="505" spans="2:3" ht="15.75" customHeight="1">
      <c r="B505" s="72"/>
      <c r="C505" s="72"/>
    </row>
    <row r="506" spans="2:3" ht="15.75" customHeight="1">
      <c r="B506" s="72"/>
      <c r="C506" s="72"/>
    </row>
    <row r="507" spans="2:3" ht="15.75" customHeight="1">
      <c r="B507" s="72"/>
      <c r="C507" s="72"/>
    </row>
    <row r="508" spans="2:3" ht="15.75" customHeight="1">
      <c r="B508" s="72"/>
      <c r="C508" s="72"/>
    </row>
    <row r="509" spans="2:3" ht="15.75" customHeight="1">
      <c r="B509" s="72"/>
      <c r="C509" s="72"/>
    </row>
    <row r="510" spans="2:3" ht="15.75" customHeight="1">
      <c r="B510" s="72"/>
      <c r="C510" s="72"/>
    </row>
    <row r="511" spans="2:3" ht="15.75" customHeight="1">
      <c r="B511" s="72"/>
      <c r="C511" s="72"/>
    </row>
    <row r="512" spans="2:3" ht="15.75" customHeight="1">
      <c r="B512" s="72"/>
      <c r="C512" s="72"/>
    </row>
    <row r="513" spans="2:3" ht="15.75" customHeight="1">
      <c r="B513" s="72"/>
      <c r="C513" s="72"/>
    </row>
    <row r="514" spans="2:3" ht="15.75" customHeight="1">
      <c r="B514" s="72"/>
      <c r="C514" s="72"/>
    </row>
    <row r="515" spans="2:3" ht="15.75" customHeight="1">
      <c r="B515" s="72"/>
      <c r="C515" s="72"/>
    </row>
    <row r="516" spans="2:3" ht="15.75" customHeight="1">
      <c r="B516" s="72"/>
      <c r="C516" s="72"/>
    </row>
    <row r="517" spans="2:3" ht="15.75" customHeight="1">
      <c r="B517" s="72"/>
      <c r="C517" s="72"/>
    </row>
    <row r="518" spans="2:3" ht="15.75" customHeight="1">
      <c r="B518" s="72"/>
      <c r="C518" s="72"/>
    </row>
    <row r="519" spans="2:3" ht="15.75" customHeight="1">
      <c r="B519" s="72"/>
      <c r="C519" s="72"/>
    </row>
    <row r="520" spans="2:3" ht="15.75" customHeight="1">
      <c r="B520" s="72"/>
      <c r="C520" s="72"/>
    </row>
    <row r="521" spans="2:3" ht="15.75" customHeight="1">
      <c r="B521" s="72"/>
      <c r="C521" s="72"/>
    </row>
    <row r="522" spans="2:3" ht="15.75" customHeight="1">
      <c r="B522" s="72"/>
      <c r="C522" s="72"/>
    </row>
    <row r="523" spans="2:3" ht="15.75" customHeight="1">
      <c r="B523" s="72"/>
      <c r="C523" s="72"/>
    </row>
    <row r="524" spans="2:3" ht="15.75" customHeight="1">
      <c r="B524" s="72"/>
      <c r="C524" s="72"/>
    </row>
    <row r="525" spans="2:3" ht="15.75" customHeight="1">
      <c r="B525" s="72"/>
      <c r="C525" s="72"/>
    </row>
    <row r="526" spans="2:3" ht="15.75" customHeight="1">
      <c r="B526" s="72"/>
      <c r="C526" s="72"/>
    </row>
    <row r="527" spans="2:3" ht="15.75" customHeight="1">
      <c r="B527" s="72"/>
      <c r="C527" s="72"/>
    </row>
    <row r="528" spans="2:3" ht="15.75" customHeight="1">
      <c r="B528" s="72"/>
      <c r="C528" s="72"/>
    </row>
    <row r="529" spans="2:3" ht="15.75" customHeight="1">
      <c r="B529" s="72"/>
      <c r="C529" s="72"/>
    </row>
    <row r="530" spans="2:3" ht="15.75" customHeight="1">
      <c r="B530" s="72"/>
      <c r="C530" s="72"/>
    </row>
    <row r="531" spans="2:3" ht="15.75" customHeight="1">
      <c r="B531" s="72"/>
      <c r="C531" s="72"/>
    </row>
    <row r="532" spans="2:3" ht="15.75" customHeight="1">
      <c r="B532" s="72"/>
      <c r="C532" s="72"/>
    </row>
    <row r="533" spans="2:3" ht="15.75" customHeight="1">
      <c r="B533" s="72"/>
      <c r="C533" s="72"/>
    </row>
    <row r="534" spans="2:3" ht="15.75" customHeight="1">
      <c r="B534" s="72"/>
      <c r="C534" s="72"/>
    </row>
    <row r="535" spans="2:3" ht="15.75" customHeight="1">
      <c r="B535" s="72"/>
      <c r="C535" s="72"/>
    </row>
    <row r="536" spans="2:3" ht="15.75" customHeight="1">
      <c r="B536" s="72"/>
      <c r="C536" s="72"/>
    </row>
    <row r="537" spans="2:3" ht="15.75" customHeight="1">
      <c r="B537" s="72"/>
      <c r="C537" s="72"/>
    </row>
    <row r="538" spans="2:3" ht="15.75" customHeight="1">
      <c r="B538" s="72"/>
      <c r="C538" s="72"/>
    </row>
    <row r="539" spans="2:3" ht="15.75" customHeight="1">
      <c r="B539" s="72"/>
      <c r="C539" s="72"/>
    </row>
    <row r="540" spans="2:3" ht="15.75" customHeight="1">
      <c r="B540" s="72"/>
      <c r="C540" s="72"/>
    </row>
    <row r="541" spans="2:3" ht="15.75" customHeight="1">
      <c r="B541" s="72"/>
      <c r="C541" s="72"/>
    </row>
    <row r="542" spans="2:3" ht="15.75" customHeight="1">
      <c r="B542" s="72"/>
      <c r="C542" s="72"/>
    </row>
    <row r="543" spans="2:3" ht="15.75" customHeight="1">
      <c r="B543" s="72"/>
      <c r="C543" s="72"/>
    </row>
    <row r="544" spans="2:3" ht="15.75" customHeight="1">
      <c r="B544" s="72"/>
      <c r="C544" s="72"/>
    </row>
    <row r="545" spans="2:3" ht="15.75" customHeight="1">
      <c r="B545" s="72"/>
      <c r="C545" s="72"/>
    </row>
    <row r="546" spans="2:3" ht="15.75" customHeight="1">
      <c r="B546" s="72"/>
      <c r="C546" s="72"/>
    </row>
    <row r="547" spans="2:3" ht="15.75" customHeight="1">
      <c r="B547" s="72"/>
      <c r="C547" s="72"/>
    </row>
    <row r="548" spans="2:3" ht="15.75" customHeight="1">
      <c r="B548" s="72"/>
      <c r="C548" s="72"/>
    </row>
    <row r="549" spans="2:3" ht="15.75" customHeight="1">
      <c r="B549" s="72"/>
      <c r="C549" s="72"/>
    </row>
    <row r="550" spans="2:3" ht="15.75" customHeight="1">
      <c r="B550" s="72"/>
      <c r="C550" s="72"/>
    </row>
    <row r="551" spans="2:3" ht="15.75" customHeight="1">
      <c r="B551" s="72"/>
      <c r="C551" s="72"/>
    </row>
    <row r="552" spans="2:3" ht="15.75" customHeight="1">
      <c r="B552" s="72"/>
      <c r="C552" s="72"/>
    </row>
    <row r="553" spans="2:3" ht="15.75" customHeight="1">
      <c r="B553" s="72"/>
      <c r="C553" s="72"/>
    </row>
    <row r="554" spans="2:3" ht="15.75" customHeight="1">
      <c r="B554" s="72"/>
      <c r="C554" s="72"/>
    </row>
    <row r="555" spans="2:3" ht="15.75" customHeight="1">
      <c r="B555" s="72"/>
      <c r="C555" s="72"/>
    </row>
    <row r="556" spans="2:3" ht="15.75" customHeight="1">
      <c r="B556" s="72"/>
      <c r="C556" s="72"/>
    </row>
    <row r="557" spans="2:3" ht="15.75" customHeight="1">
      <c r="B557" s="72"/>
      <c r="C557" s="72"/>
    </row>
    <row r="558" spans="2:3" ht="15.75" customHeight="1">
      <c r="B558" s="72"/>
      <c r="C558" s="72"/>
    </row>
    <row r="559" spans="2:3" ht="15.75" customHeight="1">
      <c r="B559" s="72"/>
      <c r="C559" s="72"/>
    </row>
    <row r="560" spans="2:3" ht="15.75" customHeight="1">
      <c r="B560" s="72"/>
      <c r="C560" s="72"/>
    </row>
    <row r="561" spans="2:3" ht="15.75" customHeight="1">
      <c r="B561" s="72"/>
      <c r="C561" s="72"/>
    </row>
    <row r="562" spans="2:3" ht="15.75" customHeight="1">
      <c r="B562" s="72"/>
      <c r="C562" s="72"/>
    </row>
    <row r="563" spans="2:3" ht="15.75" customHeight="1">
      <c r="B563" s="72"/>
      <c r="C563" s="72"/>
    </row>
    <row r="564" spans="2:3" ht="15.75" customHeight="1">
      <c r="B564" s="72"/>
      <c r="C564" s="72"/>
    </row>
    <row r="565" spans="2:3" ht="15.75" customHeight="1">
      <c r="B565" s="72"/>
      <c r="C565" s="72"/>
    </row>
    <row r="566" spans="2:3" ht="15.75" customHeight="1">
      <c r="B566" s="72"/>
      <c r="C566" s="72"/>
    </row>
    <row r="567" spans="2:3" ht="15.75" customHeight="1">
      <c r="B567" s="72"/>
      <c r="C567" s="72"/>
    </row>
    <row r="568" spans="2:3" ht="15.75" customHeight="1">
      <c r="B568" s="72"/>
      <c r="C568" s="72"/>
    </row>
    <row r="569" spans="2:3" ht="15.75" customHeight="1">
      <c r="B569" s="72"/>
      <c r="C569" s="72"/>
    </row>
    <row r="570" spans="2:3" ht="15.75" customHeight="1">
      <c r="B570" s="72"/>
      <c r="C570" s="72"/>
    </row>
    <row r="571" spans="2:3" ht="15.75" customHeight="1">
      <c r="B571" s="72"/>
      <c r="C571" s="72"/>
    </row>
    <row r="572" spans="2:3" ht="15.75" customHeight="1">
      <c r="B572" s="72"/>
      <c r="C572" s="72"/>
    </row>
    <row r="573" spans="2:3" ht="15.75" customHeight="1">
      <c r="B573" s="72"/>
      <c r="C573" s="72"/>
    </row>
    <row r="574" spans="2:3" ht="15.75" customHeight="1">
      <c r="B574" s="72"/>
      <c r="C574" s="72"/>
    </row>
    <row r="575" spans="2:3" ht="15.75" customHeight="1">
      <c r="B575" s="72"/>
      <c r="C575" s="72"/>
    </row>
    <row r="576" spans="2:3" ht="15.75" customHeight="1">
      <c r="B576" s="72"/>
      <c r="C576" s="72"/>
    </row>
    <row r="577" spans="2:3" ht="15.75" customHeight="1">
      <c r="B577" s="72"/>
      <c r="C577" s="72"/>
    </row>
    <row r="578" spans="2:3" ht="15.75" customHeight="1">
      <c r="B578" s="72"/>
      <c r="C578" s="72"/>
    </row>
    <row r="579" spans="2:3" ht="15.75" customHeight="1">
      <c r="B579" s="72"/>
      <c r="C579" s="72"/>
    </row>
    <row r="580" spans="2:3" ht="15.75" customHeight="1">
      <c r="B580" s="72"/>
      <c r="C580" s="72"/>
    </row>
    <row r="581" spans="2:3" ht="15.75" customHeight="1">
      <c r="B581" s="72"/>
      <c r="C581" s="72"/>
    </row>
    <row r="582" spans="2:3" ht="15.75" customHeight="1">
      <c r="B582" s="72"/>
      <c r="C582" s="72"/>
    </row>
    <row r="583" spans="2:3" ht="15.75" customHeight="1">
      <c r="B583" s="72"/>
      <c r="C583" s="72"/>
    </row>
    <row r="584" spans="2:3" ht="15.75" customHeight="1">
      <c r="B584" s="72"/>
      <c r="C584" s="72"/>
    </row>
    <row r="585" spans="2:3" ht="15.75" customHeight="1">
      <c r="B585" s="72"/>
      <c r="C585" s="72"/>
    </row>
    <row r="586" spans="2:3" ht="15.75" customHeight="1">
      <c r="B586" s="72"/>
      <c r="C586" s="72"/>
    </row>
    <row r="587" spans="2:3" ht="15.75" customHeight="1">
      <c r="B587" s="72"/>
      <c r="C587" s="72"/>
    </row>
    <row r="588" spans="2:3" ht="15.75" customHeight="1">
      <c r="B588" s="72"/>
      <c r="C588" s="72"/>
    </row>
    <row r="589" spans="2:3" ht="15.75" customHeight="1">
      <c r="B589" s="72"/>
      <c r="C589" s="72"/>
    </row>
    <row r="590" spans="2:3" ht="15.75" customHeight="1">
      <c r="B590" s="72"/>
      <c r="C590" s="72"/>
    </row>
    <row r="591" spans="2:3" ht="15.75" customHeight="1">
      <c r="B591" s="72"/>
      <c r="C591" s="72"/>
    </row>
    <row r="592" spans="2:3" ht="15.75" customHeight="1">
      <c r="B592" s="72"/>
      <c r="C592" s="72"/>
    </row>
    <row r="593" spans="2:3" ht="15.75" customHeight="1">
      <c r="B593" s="72"/>
      <c r="C593" s="72"/>
    </row>
    <row r="594" spans="2:3" ht="15.75" customHeight="1">
      <c r="B594" s="72"/>
      <c r="C594" s="72"/>
    </row>
    <row r="595" spans="2:3" ht="15.75" customHeight="1">
      <c r="B595" s="72"/>
      <c r="C595" s="72"/>
    </row>
    <row r="596" spans="2:3" ht="15.75" customHeight="1">
      <c r="B596" s="72"/>
      <c r="C596" s="72"/>
    </row>
    <row r="597" spans="2:3" ht="15.75" customHeight="1">
      <c r="B597" s="72"/>
      <c r="C597" s="72"/>
    </row>
    <row r="598" spans="2:3" ht="15.75" customHeight="1">
      <c r="B598" s="72"/>
      <c r="C598" s="72"/>
    </row>
    <row r="599" spans="2:3" ht="15.75" customHeight="1">
      <c r="B599" s="72"/>
      <c r="C599" s="72"/>
    </row>
    <row r="600" spans="2:3" ht="15.75" customHeight="1">
      <c r="B600" s="72"/>
      <c r="C600" s="72"/>
    </row>
    <row r="601" spans="2:3" ht="15.75" customHeight="1">
      <c r="B601" s="72"/>
      <c r="C601" s="72"/>
    </row>
    <row r="602" spans="2:3" ht="15.75" customHeight="1">
      <c r="B602" s="72"/>
      <c r="C602" s="72"/>
    </row>
    <row r="603" spans="2:3" ht="15.75" customHeight="1">
      <c r="B603" s="72"/>
      <c r="C603" s="72"/>
    </row>
    <row r="604" spans="2:3" ht="15.75" customHeight="1">
      <c r="B604" s="72"/>
      <c r="C604" s="72"/>
    </row>
    <row r="605" spans="2:3" ht="15.75" customHeight="1">
      <c r="B605" s="72"/>
      <c r="C605" s="72"/>
    </row>
    <row r="606" spans="2:3" ht="15.75" customHeight="1">
      <c r="B606" s="72"/>
      <c r="C606" s="72"/>
    </row>
    <row r="607" spans="2:3" ht="15.75" customHeight="1">
      <c r="B607" s="72"/>
      <c r="C607" s="72"/>
    </row>
    <row r="608" spans="2:3" ht="15.75" customHeight="1">
      <c r="B608" s="72"/>
      <c r="C608" s="72"/>
    </row>
    <row r="609" spans="2:3" ht="15.75" customHeight="1">
      <c r="B609" s="72"/>
      <c r="C609" s="72"/>
    </row>
    <row r="610" spans="2:3" ht="15.75" customHeight="1">
      <c r="B610" s="72"/>
      <c r="C610" s="72"/>
    </row>
    <row r="611" spans="2:3" ht="15.75" customHeight="1">
      <c r="B611" s="72"/>
      <c r="C611" s="72"/>
    </row>
    <row r="612" spans="2:3" ht="15.75" customHeight="1">
      <c r="B612" s="72"/>
      <c r="C612" s="72"/>
    </row>
    <row r="613" spans="2:3" ht="15.75" customHeight="1">
      <c r="B613" s="72"/>
      <c r="C613" s="72"/>
    </row>
    <row r="614" spans="2:3" ht="15.75" customHeight="1">
      <c r="B614" s="72"/>
      <c r="C614" s="72"/>
    </row>
    <row r="615" spans="2:3" ht="15.75" customHeight="1">
      <c r="B615" s="72"/>
      <c r="C615" s="72"/>
    </row>
    <row r="616" spans="2:3" ht="15.75" customHeight="1">
      <c r="B616" s="72"/>
      <c r="C616" s="72"/>
    </row>
    <row r="617" spans="2:3" ht="15.75" customHeight="1">
      <c r="B617" s="72"/>
      <c r="C617" s="72"/>
    </row>
    <row r="618" spans="2:3" ht="15.75" customHeight="1">
      <c r="B618" s="72"/>
      <c r="C618" s="72"/>
    </row>
    <row r="619" spans="2:3" ht="15.75" customHeight="1">
      <c r="B619" s="72"/>
      <c r="C619" s="72"/>
    </row>
    <row r="620" spans="2:3" ht="15.75" customHeight="1">
      <c r="B620" s="72"/>
      <c r="C620" s="72"/>
    </row>
    <row r="621" spans="2:3" ht="15.75" customHeight="1">
      <c r="B621" s="72"/>
      <c r="C621" s="72"/>
    </row>
    <row r="622" spans="2:3" ht="15.75" customHeight="1">
      <c r="B622" s="72"/>
      <c r="C622" s="72"/>
    </row>
    <row r="623" spans="2:3" ht="15.75" customHeight="1">
      <c r="B623" s="72"/>
      <c r="C623" s="72"/>
    </row>
    <row r="624" spans="2:3" ht="15.75" customHeight="1">
      <c r="B624" s="72"/>
      <c r="C624" s="72"/>
    </row>
    <row r="625" spans="2:3" ht="15.75" customHeight="1">
      <c r="B625" s="72"/>
      <c r="C625" s="72"/>
    </row>
    <row r="626" spans="2:3" ht="15.75" customHeight="1">
      <c r="B626" s="72"/>
      <c r="C626" s="72"/>
    </row>
    <row r="627" spans="2:3" ht="15.75" customHeight="1">
      <c r="B627" s="72"/>
      <c r="C627" s="72"/>
    </row>
    <row r="628" spans="2:3" ht="15.75" customHeight="1">
      <c r="B628" s="72"/>
      <c r="C628" s="72"/>
    </row>
    <row r="629" spans="2:3" ht="15.75" customHeight="1">
      <c r="B629" s="72"/>
      <c r="C629" s="72"/>
    </row>
    <row r="630" spans="2:3" ht="15.75" customHeight="1">
      <c r="B630" s="72"/>
      <c r="C630" s="72"/>
    </row>
    <row r="631" spans="2:3" ht="15.75" customHeight="1">
      <c r="B631" s="72"/>
      <c r="C631" s="72"/>
    </row>
    <row r="632" spans="2:3" ht="15.75" customHeight="1">
      <c r="B632" s="72"/>
      <c r="C632" s="72"/>
    </row>
    <row r="633" spans="2:3" ht="15.75" customHeight="1">
      <c r="B633" s="72"/>
      <c r="C633" s="72"/>
    </row>
    <row r="634" spans="2:3" ht="15.75" customHeight="1">
      <c r="B634" s="72"/>
      <c r="C634" s="72"/>
    </row>
    <row r="635" spans="2:3" ht="15.75" customHeight="1">
      <c r="B635" s="72"/>
      <c r="C635" s="72"/>
    </row>
    <row r="636" spans="2:3" ht="15.75" customHeight="1">
      <c r="B636" s="72"/>
      <c r="C636" s="72"/>
    </row>
    <row r="637" spans="2:3" ht="15.75" customHeight="1">
      <c r="B637" s="72"/>
      <c r="C637" s="72"/>
    </row>
    <row r="638" spans="2:3" ht="15.75" customHeight="1">
      <c r="B638" s="72"/>
      <c r="C638" s="72"/>
    </row>
    <row r="639" spans="2:3" ht="15.75" customHeight="1">
      <c r="B639" s="72"/>
      <c r="C639" s="72"/>
    </row>
    <row r="640" spans="2:3" ht="15.75" customHeight="1">
      <c r="B640" s="72"/>
      <c r="C640" s="72"/>
    </row>
    <row r="641" spans="2:3" ht="15.75" customHeight="1">
      <c r="B641" s="72"/>
      <c r="C641" s="72"/>
    </row>
    <row r="642" spans="2:3" ht="15.75" customHeight="1">
      <c r="B642" s="72"/>
      <c r="C642" s="72"/>
    </row>
    <row r="643" spans="2:3" ht="15.75" customHeight="1">
      <c r="B643" s="72"/>
      <c r="C643" s="72"/>
    </row>
    <row r="644" spans="2:3" ht="15.75" customHeight="1">
      <c r="B644" s="72"/>
      <c r="C644" s="72"/>
    </row>
    <row r="645" spans="2:3" ht="15.75" customHeight="1">
      <c r="B645" s="72"/>
      <c r="C645" s="72"/>
    </row>
    <row r="646" spans="2:3" ht="15.75" customHeight="1">
      <c r="B646" s="72"/>
      <c r="C646" s="72"/>
    </row>
    <row r="647" spans="2:3" ht="15.75" customHeight="1">
      <c r="B647" s="72"/>
      <c r="C647" s="72"/>
    </row>
    <row r="648" spans="2:3" ht="15.75" customHeight="1">
      <c r="B648" s="72"/>
      <c r="C648" s="72"/>
    </row>
    <row r="649" spans="2:3" ht="15.75" customHeight="1">
      <c r="B649" s="72"/>
      <c r="C649" s="72"/>
    </row>
    <row r="650" spans="2:3" ht="15.75" customHeight="1">
      <c r="B650" s="72"/>
      <c r="C650" s="72"/>
    </row>
    <row r="651" spans="2:3" ht="15.75" customHeight="1">
      <c r="B651" s="72"/>
      <c r="C651" s="72"/>
    </row>
    <row r="652" spans="2:3" ht="15.75" customHeight="1">
      <c r="B652" s="72"/>
      <c r="C652" s="72"/>
    </row>
    <row r="653" spans="2:3" ht="15.75" customHeight="1">
      <c r="B653" s="72"/>
      <c r="C653" s="72"/>
    </row>
    <row r="654" spans="2:3" ht="15.75" customHeight="1">
      <c r="B654" s="72"/>
      <c r="C654" s="72"/>
    </row>
    <row r="655" spans="2:3" ht="15.75" customHeight="1">
      <c r="B655" s="72"/>
      <c r="C655" s="72"/>
    </row>
    <row r="656" spans="2:3" ht="15.75" customHeight="1">
      <c r="B656" s="72"/>
      <c r="C656" s="72"/>
    </row>
    <row r="657" spans="2:3" ht="15.75" customHeight="1">
      <c r="B657" s="72"/>
      <c r="C657" s="72"/>
    </row>
    <row r="658" spans="2:3" ht="15.75" customHeight="1">
      <c r="B658" s="72"/>
      <c r="C658" s="72"/>
    </row>
    <row r="659" spans="2:3" ht="15.75" customHeight="1">
      <c r="B659" s="72"/>
      <c r="C659" s="72"/>
    </row>
    <row r="660" spans="2:3" ht="15.75" customHeight="1">
      <c r="B660" s="72"/>
      <c r="C660" s="72"/>
    </row>
    <row r="661" spans="2:3" ht="15.75" customHeight="1">
      <c r="B661" s="72"/>
      <c r="C661" s="72"/>
    </row>
    <row r="662" spans="2:3" ht="15.75" customHeight="1">
      <c r="B662" s="72"/>
      <c r="C662" s="72"/>
    </row>
    <row r="663" spans="2:3" ht="15.75" customHeight="1">
      <c r="B663" s="72"/>
      <c r="C663" s="72"/>
    </row>
    <row r="664" spans="2:3" ht="15.75" customHeight="1">
      <c r="B664" s="72"/>
      <c r="C664" s="72"/>
    </row>
    <row r="665" spans="2:3" ht="15.75" customHeight="1">
      <c r="B665" s="72"/>
      <c r="C665" s="72"/>
    </row>
    <row r="666" spans="2:3" ht="15.75" customHeight="1">
      <c r="B666" s="72"/>
      <c r="C666" s="72"/>
    </row>
    <row r="667" spans="2:3" ht="15.75" customHeight="1">
      <c r="B667" s="72"/>
      <c r="C667" s="72"/>
    </row>
    <row r="668" spans="2:3" ht="15.75" customHeight="1">
      <c r="B668" s="72"/>
      <c r="C668" s="72"/>
    </row>
    <row r="669" spans="2:3" ht="15.75" customHeight="1">
      <c r="B669" s="72"/>
      <c r="C669" s="72"/>
    </row>
    <row r="670" spans="2:3" ht="15.75" customHeight="1">
      <c r="B670" s="72"/>
      <c r="C670" s="72"/>
    </row>
    <row r="671" spans="2:3" ht="15.75" customHeight="1">
      <c r="B671" s="72"/>
      <c r="C671" s="72"/>
    </row>
    <row r="672" spans="2:3" ht="15.75" customHeight="1">
      <c r="B672" s="72"/>
      <c r="C672" s="72"/>
    </row>
    <row r="673" spans="2:3" ht="15.75" customHeight="1">
      <c r="B673" s="72"/>
      <c r="C673" s="72"/>
    </row>
    <row r="674" spans="2:3" ht="15.75" customHeight="1">
      <c r="B674" s="72"/>
      <c r="C674" s="72"/>
    </row>
    <row r="675" spans="2:3" ht="15.75" customHeight="1">
      <c r="B675" s="72"/>
      <c r="C675" s="72"/>
    </row>
    <row r="676" spans="2:3" ht="15.75" customHeight="1">
      <c r="B676" s="72"/>
      <c r="C676" s="72"/>
    </row>
    <row r="677" spans="2:3" ht="15.75" customHeight="1">
      <c r="B677" s="72"/>
      <c r="C677" s="72"/>
    </row>
    <row r="678" spans="2:3" ht="15.75" customHeight="1">
      <c r="B678" s="72"/>
      <c r="C678" s="72"/>
    </row>
    <row r="679" spans="2:3" ht="15.75" customHeight="1">
      <c r="B679" s="72"/>
      <c r="C679" s="72"/>
    </row>
    <row r="680" spans="2:3" ht="15.75" customHeight="1">
      <c r="B680" s="72"/>
      <c r="C680" s="72"/>
    </row>
    <row r="681" spans="2:3" ht="15.75" customHeight="1">
      <c r="B681" s="72"/>
      <c r="C681" s="72"/>
    </row>
    <row r="682" spans="2:3" ht="15.75" customHeight="1">
      <c r="B682" s="72"/>
      <c r="C682" s="72"/>
    </row>
    <row r="683" spans="2:3" ht="15.75" customHeight="1">
      <c r="B683" s="72"/>
      <c r="C683" s="72"/>
    </row>
    <row r="684" spans="2:3" ht="15.75" customHeight="1">
      <c r="B684" s="72"/>
      <c r="C684" s="72"/>
    </row>
    <row r="685" spans="2:3" ht="15.75" customHeight="1">
      <c r="B685" s="72"/>
      <c r="C685" s="72"/>
    </row>
    <row r="686" spans="2:3" ht="15.75" customHeight="1">
      <c r="B686" s="72"/>
      <c r="C686" s="72"/>
    </row>
    <row r="687" spans="2:3" ht="15.75" customHeight="1">
      <c r="B687" s="72"/>
      <c r="C687" s="72"/>
    </row>
    <row r="688" spans="2:3" ht="15.75" customHeight="1">
      <c r="B688" s="72"/>
      <c r="C688" s="72"/>
    </row>
    <row r="689" spans="2:3" ht="15.75" customHeight="1">
      <c r="B689" s="72"/>
      <c r="C689" s="72"/>
    </row>
    <row r="690" spans="2:3" ht="15.75" customHeight="1">
      <c r="B690" s="72"/>
      <c r="C690" s="72"/>
    </row>
    <row r="691" spans="2:3" ht="15.75" customHeight="1">
      <c r="B691" s="72"/>
      <c r="C691" s="72"/>
    </row>
    <row r="692" spans="2:3" ht="15.75" customHeight="1">
      <c r="B692" s="72"/>
      <c r="C692" s="72"/>
    </row>
    <row r="693" spans="2:3" ht="15.75" customHeight="1">
      <c r="B693" s="72"/>
      <c r="C693" s="72"/>
    </row>
    <row r="694" spans="2:3" ht="15.75" customHeight="1">
      <c r="B694" s="72"/>
      <c r="C694" s="72"/>
    </row>
    <row r="695" spans="2:3" ht="15.75" customHeight="1">
      <c r="B695" s="72"/>
      <c r="C695" s="72"/>
    </row>
    <row r="696" spans="2:3" ht="15.75" customHeight="1">
      <c r="B696" s="72"/>
      <c r="C696" s="72"/>
    </row>
    <row r="697" spans="2:3" ht="15.75" customHeight="1">
      <c r="B697" s="72"/>
      <c r="C697" s="72"/>
    </row>
    <row r="698" spans="2:3" ht="15.75" customHeight="1">
      <c r="B698" s="72"/>
      <c r="C698" s="72"/>
    </row>
    <row r="699" spans="2:3" ht="15.75" customHeight="1">
      <c r="B699" s="72"/>
      <c r="C699" s="72"/>
    </row>
    <row r="700" spans="2:3" ht="15.75" customHeight="1">
      <c r="B700" s="72"/>
      <c r="C700" s="72"/>
    </row>
    <row r="701" spans="2:3" ht="15.75" customHeight="1">
      <c r="B701" s="72"/>
      <c r="C701" s="72"/>
    </row>
    <row r="702" spans="2:3" ht="15.75" customHeight="1">
      <c r="B702" s="72"/>
      <c r="C702" s="72"/>
    </row>
    <row r="703" spans="2:3" ht="15.75" customHeight="1">
      <c r="B703" s="72"/>
      <c r="C703" s="72"/>
    </row>
    <row r="704" spans="2:3" ht="15.75" customHeight="1">
      <c r="B704" s="72"/>
      <c r="C704" s="72"/>
    </row>
    <row r="705" spans="2:3" ht="15.75" customHeight="1">
      <c r="B705" s="72"/>
      <c r="C705" s="72"/>
    </row>
    <row r="706" spans="2:3" ht="15.75" customHeight="1">
      <c r="B706" s="72"/>
      <c r="C706" s="72"/>
    </row>
    <row r="707" spans="2:3" ht="15.75" customHeight="1">
      <c r="B707" s="72"/>
      <c r="C707" s="72"/>
    </row>
    <row r="708" spans="2:3" ht="15.75" customHeight="1">
      <c r="B708" s="72"/>
      <c r="C708" s="72"/>
    </row>
    <row r="709" spans="2:3" ht="15.75" customHeight="1">
      <c r="B709" s="72"/>
      <c r="C709" s="72"/>
    </row>
    <row r="710" spans="2:3" ht="15.75" customHeight="1">
      <c r="B710" s="72"/>
      <c r="C710" s="72"/>
    </row>
    <row r="711" spans="2:3" ht="15.75" customHeight="1">
      <c r="B711" s="72"/>
      <c r="C711" s="72"/>
    </row>
    <row r="712" spans="2:3" ht="15.75" customHeight="1">
      <c r="B712" s="72"/>
      <c r="C712" s="72"/>
    </row>
    <row r="713" spans="2:3" ht="15.75" customHeight="1">
      <c r="B713" s="72"/>
      <c r="C713" s="72"/>
    </row>
    <row r="714" spans="2:3" ht="15.75" customHeight="1">
      <c r="B714" s="72"/>
      <c r="C714" s="72"/>
    </row>
    <row r="715" spans="2:3" ht="15.75" customHeight="1">
      <c r="B715" s="72"/>
      <c r="C715" s="72"/>
    </row>
    <row r="716" spans="2:3" ht="15.75" customHeight="1">
      <c r="B716" s="72"/>
      <c r="C716" s="72"/>
    </row>
    <row r="717" spans="2:3" ht="15.75" customHeight="1">
      <c r="B717" s="72"/>
      <c r="C717" s="72"/>
    </row>
    <row r="718" spans="2:3" ht="15.75" customHeight="1">
      <c r="B718" s="72"/>
      <c r="C718" s="72"/>
    </row>
    <row r="719" spans="2:3" ht="15.75" customHeight="1">
      <c r="B719" s="72"/>
      <c r="C719" s="72"/>
    </row>
    <row r="720" spans="2:3" ht="15.75" customHeight="1">
      <c r="B720" s="72"/>
      <c r="C720" s="72"/>
    </row>
    <row r="721" spans="2:3" ht="15.75" customHeight="1">
      <c r="B721" s="72"/>
      <c r="C721" s="72"/>
    </row>
    <row r="722" spans="2:3" ht="15.75" customHeight="1">
      <c r="B722" s="72"/>
      <c r="C722" s="72"/>
    </row>
    <row r="723" spans="2:3" ht="15.75" customHeight="1">
      <c r="B723" s="72"/>
      <c r="C723" s="72"/>
    </row>
    <row r="724" spans="2:3" ht="15.75" customHeight="1">
      <c r="B724" s="72"/>
      <c r="C724" s="72"/>
    </row>
    <row r="725" spans="2:3" ht="15.75" customHeight="1">
      <c r="B725" s="72"/>
      <c r="C725" s="72"/>
    </row>
    <row r="726" spans="2:3" ht="15.75" customHeight="1">
      <c r="B726" s="72"/>
      <c r="C726" s="72"/>
    </row>
    <row r="727" spans="2:3" ht="15.75" customHeight="1">
      <c r="B727" s="72"/>
      <c r="C727" s="72"/>
    </row>
    <row r="728" spans="2:3" ht="15.75" customHeight="1">
      <c r="B728" s="72"/>
      <c r="C728" s="72"/>
    </row>
    <row r="729" spans="2:3" ht="15.75" customHeight="1">
      <c r="B729" s="72"/>
      <c r="C729" s="72"/>
    </row>
    <row r="730" spans="2:3" ht="15.75" customHeight="1">
      <c r="B730" s="72"/>
      <c r="C730" s="72"/>
    </row>
    <row r="731" spans="2:3" ht="15.75" customHeight="1">
      <c r="B731" s="72"/>
      <c r="C731" s="72"/>
    </row>
    <row r="732" spans="2:3" ht="15.75" customHeight="1">
      <c r="B732" s="72"/>
      <c r="C732" s="72"/>
    </row>
    <row r="733" spans="2:3" ht="15.75" customHeight="1">
      <c r="B733" s="72"/>
      <c r="C733" s="72"/>
    </row>
    <row r="734" spans="2:3" ht="15.75" customHeight="1">
      <c r="B734" s="72"/>
      <c r="C734" s="72"/>
    </row>
    <row r="735" spans="2:3" ht="15.75" customHeight="1">
      <c r="B735" s="72"/>
      <c r="C735" s="72"/>
    </row>
    <row r="736" spans="2:3" ht="15.75" customHeight="1">
      <c r="B736" s="72"/>
      <c r="C736" s="72"/>
    </row>
    <row r="737" spans="2:3" ht="15.75" customHeight="1">
      <c r="B737" s="72"/>
      <c r="C737" s="72"/>
    </row>
    <row r="738" spans="2:3" ht="15.75" customHeight="1">
      <c r="B738" s="72"/>
      <c r="C738" s="72"/>
    </row>
    <row r="739" spans="2:3" ht="15.75" customHeight="1">
      <c r="B739" s="72"/>
      <c r="C739" s="72"/>
    </row>
    <row r="740" spans="2:3" ht="15.75" customHeight="1">
      <c r="B740" s="72"/>
      <c r="C740" s="72"/>
    </row>
    <row r="741" spans="2:3" ht="15.75" customHeight="1">
      <c r="B741" s="72"/>
      <c r="C741" s="72"/>
    </row>
    <row r="742" spans="2:3" ht="15.75" customHeight="1">
      <c r="B742" s="72"/>
      <c r="C742" s="72"/>
    </row>
    <row r="743" spans="2:3" ht="15.75" customHeight="1">
      <c r="B743" s="72"/>
      <c r="C743" s="72"/>
    </row>
    <row r="744" spans="2:3" ht="15.75" customHeight="1">
      <c r="B744" s="72"/>
      <c r="C744" s="72"/>
    </row>
    <row r="745" spans="2:3" ht="15.75" customHeight="1">
      <c r="B745" s="72"/>
      <c r="C745" s="72"/>
    </row>
    <row r="746" spans="2:3" ht="15.75" customHeight="1">
      <c r="B746" s="72"/>
      <c r="C746" s="72"/>
    </row>
    <row r="747" spans="2:3" ht="15.75" customHeight="1">
      <c r="B747" s="72"/>
      <c r="C747" s="72"/>
    </row>
    <row r="748" spans="2:3" ht="15.75" customHeight="1">
      <c r="B748" s="72"/>
      <c r="C748" s="72"/>
    </row>
    <row r="749" spans="2:3" ht="15.75" customHeight="1">
      <c r="B749" s="72"/>
      <c r="C749" s="72"/>
    </row>
    <row r="750" spans="2:3" ht="15.75" customHeight="1">
      <c r="B750" s="72"/>
      <c r="C750" s="72"/>
    </row>
    <row r="751" spans="2:3" ht="15.75" customHeight="1">
      <c r="B751" s="72"/>
      <c r="C751" s="72"/>
    </row>
    <row r="752" spans="2:3" ht="15.75" customHeight="1">
      <c r="B752" s="72"/>
      <c r="C752" s="72"/>
    </row>
    <row r="753" spans="2:3" ht="15.75" customHeight="1">
      <c r="B753" s="72"/>
      <c r="C753" s="72"/>
    </row>
    <row r="754" spans="2:3" ht="15.75" customHeight="1">
      <c r="B754" s="72"/>
      <c r="C754" s="72"/>
    </row>
    <row r="755" spans="2:3" ht="15.75" customHeight="1">
      <c r="B755" s="72"/>
      <c r="C755" s="72"/>
    </row>
    <row r="756" spans="2:3" ht="15.75" customHeight="1">
      <c r="B756" s="72"/>
      <c r="C756" s="72"/>
    </row>
    <row r="757" spans="2:3" ht="15.75" customHeight="1">
      <c r="B757" s="72"/>
      <c r="C757" s="72"/>
    </row>
    <row r="758" spans="2:3" ht="15.75" customHeight="1">
      <c r="B758" s="72"/>
      <c r="C758" s="72"/>
    </row>
    <row r="759" spans="2:3" ht="15.75" customHeight="1">
      <c r="B759" s="72"/>
      <c r="C759" s="72"/>
    </row>
    <row r="760" spans="2:3" ht="15.75" customHeight="1">
      <c r="B760" s="72"/>
      <c r="C760" s="72"/>
    </row>
    <row r="761" spans="2:3" ht="15.75" customHeight="1">
      <c r="B761" s="72"/>
      <c r="C761" s="72"/>
    </row>
    <row r="762" spans="2:3" ht="15.75" customHeight="1">
      <c r="B762" s="72"/>
      <c r="C762" s="72"/>
    </row>
    <row r="763" spans="2:3" ht="15.75" customHeight="1">
      <c r="B763" s="72"/>
      <c r="C763" s="72"/>
    </row>
    <row r="764" spans="2:3" ht="15.75" customHeight="1">
      <c r="B764" s="72"/>
      <c r="C764" s="72"/>
    </row>
    <row r="765" spans="2:3" ht="15.75" customHeight="1">
      <c r="B765" s="72"/>
      <c r="C765" s="72"/>
    </row>
    <row r="766" spans="2:3" ht="15.75" customHeight="1">
      <c r="B766" s="72"/>
      <c r="C766" s="72"/>
    </row>
    <row r="767" spans="2:3" ht="15.75" customHeight="1">
      <c r="B767" s="72"/>
      <c r="C767" s="72"/>
    </row>
    <row r="768" spans="2:3" ht="15.75" customHeight="1">
      <c r="B768" s="72"/>
      <c r="C768" s="72"/>
    </row>
    <row r="769" spans="2:3" ht="15.75" customHeight="1">
      <c r="B769" s="72"/>
      <c r="C769" s="72"/>
    </row>
    <row r="770" spans="2:3" ht="15.75" customHeight="1">
      <c r="B770" s="72"/>
      <c r="C770" s="72"/>
    </row>
    <row r="771" spans="2:3" ht="15.75" customHeight="1">
      <c r="B771" s="72"/>
      <c r="C771" s="72"/>
    </row>
    <row r="772" spans="2:3" ht="15.75" customHeight="1">
      <c r="B772" s="72"/>
      <c r="C772" s="72"/>
    </row>
    <row r="773" spans="2:3" ht="15.75" customHeight="1">
      <c r="B773" s="72"/>
      <c r="C773" s="72"/>
    </row>
    <row r="774" spans="2:3" ht="15.75" customHeight="1">
      <c r="B774" s="72"/>
      <c r="C774" s="72"/>
    </row>
    <row r="775" spans="2:3" ht="15.75" customHeight="1">
      <c r="B775" s="72"/>
      <c r="C775" s="72"/>
    </row>
    <row r="776" spans="2:3" ht="15.75" customHeight="1">
      <c r="B776" s="72"/>
      <c r="C776" s="72"/>
    </row>
    <row r="777" spans="2:3" ht="15.75" customHeight="1">
      <c r="B777" s="72"/>
      <c r="C777" s="72"/>
    </row>
    <row r="778" spans="2:3" ht="15.75" customHeight="1">
      <c r="B778" s="72"/>
      <c r="C778" s="72"/>
    </row>
    <row r="779" spans="2:3" ht="15.75" customHeight="1">
      <c r="B779" s="72"/>
      <c r="C779" s="72"/>
    </row>
    <row r="780" spans="2:3" ht="15.75" customHeight="1">
      <c r="B780" s="72"/>
      <c r="C780" s="72"/>
    </row>
    <row r="781" spans="2:3" ht="15.75" customHeight="1">
      <c r="B781" s="72"/>
      <c r="C781" s="72"/>
    </row>
    <row r="782" spans="2:3" ht="15.75" customHeight="1">
      <c r="B782" s="72"/>
      <c r="C782" s="72"/>
    </row>
    <row r="783" spans="2:3" ht="15.75" customHeight="1">
      <c r="B783" s="72"/>
      <c r="C783" s="72"/>
    </row>
    <row r="784" spans="2:3" ht="15.75" customHeight="1">
      <c r="B784" s="72"/>
      <c r="C784" s="72"/>
    </row>
    <row r="785" spans="2:3" ht="15.75" customHeight="1">
      <c r="B785" s="72"/>
      <c r="C785" s="72"/>
    </row>
    <row r="786" spans="2:3" ht="15.75" customHeight="1">
      <c r="B786" s="72"/>
      <c r="C786" s="72"/>
    </row>
    <row r="787" spans="2:3" ht="15.75" customHeight="1">
      <c r="B787" s="72"/>
      <c r="C787" s="72"/>
    </row>
    <row r="788" spans="2:3" ht="15.75" customHeight="1">
      <c r="B788" s="72"/>
      <c r="C788" s="72"/>
    </row>
    <row r="789" spans="2:3" ht="15.75" customHeight="1">
      <c r="B789" s="72"/>
      <c r="C789" s="72"/>
    </row>
    <row r="790" spans="2:3" ht="15.75" customHeight="1">
      <c r="B790" s="72"/>
      <c r="C790" s="72"/>
    </row>
    <row r="791" spans="2:3" ht="15.75" customHeight="1">
      <c r="B791" s="72"/>
      <c r="C791" s="72"/>
    </row>
    <row r="792" spans="2:3" ht="15.75" customHeight="1">
      <c r="B792" s="72"/>
      <c r="C792" s="72"/>
    </row>
    <row r="793" spans="2:3" ht="15.75" customHeight="1">
      <c r="B793" s="72"/>
      <c r="C793" s="72"/>
    </row>
    <row r="794" spans="2:3" ht="15.75" customHeight="1">
      <c r="B794" s="72"/>
      <c r="C794" s="72"/>
    </row>
    <row r="795" spans="2:3" ht="15.75" customHeight="1">
      <c r="B795" s="72"/>
      <c r="C795" s="72"/>
    </row>
    <row r="796" spans="2:3" ht="15.75" customHeight="1">
      <c r="B796" s="72"/>
      <c r="C796" s="72"/>
    </row>
    <row r="797" spans="2:3" ht="15.75" customHeight="1">
      <c r="B797" s="72"/>
      <c r="C797" s="72"/>
    </row>
    <row r="798" spans="2:3" ht="15.75" customHeight="1">
      <c r="B798" s="72"/>
      <c r="C798" s="72"/>
    </row>
    <row r="799" spans="2:3" ht="15.75" customHeight="1">
      <c r="B799" s="72"/>
      <c r="C799" s="72"/>
    </row>
    <row r="800" spans="2:3" ht="15.75" customHeight="1">
      <c r="B800" s="72"/>
      <c r="C800" s="72"/>
    </row>
    <row r="801" spans="2:3" ht="15.75" customHeight="1">
      <c r="B801" s="72"/>
      <c r="C801" s="72"/>
    </row>
    <row r="802" spans="2:3" ht="15.75" customHeight="1">
      <c r="B802" s="72"/>
      <c r="C802" s="72"/>
    </row>
    <row r="803" spans="2:3" ht="15.75" customHeight="1">
      <c r="B803" s="72"/>
      <c r="C803" s="72"/>
    </row>
    <row r="804" spans="2:3" ht="15.75" customHeight="1">
      <c r="B804" s="72"/>
      <c r="C804" s="72"/>
    </row>
    <row r="805" spans="2:3" ht="15.75" customHeight="1">
      <c r="B805" s="72"/>
      <c r="C805" s="72"/>
    </row>
    <row r="806" spans="2:3" ht="15.75" customHeight="1">
      <c r="B806" s="72"/>
      <c r="C806" s="72"/>
    </row>
    <row r="807" spans="2:3" ht="15.75" customHeight="1">
      <c r="B807" s="72"/>
      <c r="C807" s="72"/>
    </row>
    <row r="808" spans="2:3" ht="15.75" customHeight="1">
      <c r="B808" s="72"/>
      <c r="C808" s="72"/>
    </row>
    <row r="809" spans="2:3" ht="15.75" customHeight="1">
      <c r="B809" s="72"/>
      <c r="C809" s="72"/>
    </row>
    <row r="810" spans="2:3" ht="15.75" customHeight="1">
      <c r="B810" s="72"/>
      <c r="C810" s="72"/>
    </row>
    <row r="811" spans="2:3" ht="15.75" customHeight="1">
      <c r="B811" s="72"/>
      <c r="C811" s="72"/>
    </row>
    <row r="812" spans="2:3" ht="15.75" customHeight="1">
      <c r="B812" s="72"/>
      <c r="C812" s="72"/>
    </row>
    <row r="813" spans="2:3" ht="15.75" customHeight="1">
      <c r="B813" s="72"/>
      <c r="C813" s="72"/>
    </row>
    <row r="814" spans="2:3" ht="15.75" customHeight="1">
      <c r="B814" s="72"/>
      <c r="C814" s="72"/>
    </row>
    <row r="815" spans="2:3" ht="15.75" customHeight="1">
      <c r="B815" s="72"/>
      <c r="C815" s="72"/>
    </row>
    <row r="816" spans="2:3" ht="15.75" customHeight="1">
      <c r="B816" s="72"/>
      <c r="C816" s="72"/>
    </row>
    <row r="817" spans="2:3" ht="15.75" customHeight="1">
      <c r="B817" s="72"/>
      <c r="C817" s="72"/>
    </row>
    <row r="818" spans="2:3" ht="15.75" customHeight="1">
      <c r="B818" s="72"/>
      <c r="C818" s="72"/>
    </row>
    <row r="819" spans="2:3" ht="15.75" customHeight="1">
      <c r="B819" s="72"/>
      <c r="C819" s="72"/>
    </row>
    <row r="820" spans="2:3" ht="15.75" customHeight="1">
      <c r="B820" s="72"/>
      <c r="C820" s="72"/>
    </row>
    <row r="821" spans="2:3" ht="15.75" customHeight="1">
      <c r="B821" s="72"/>
      <c r="C821" s="72"/>
    </row>
    <row r="822" spans="2:3" ht="15.75" customHeight="1">
      <c r="B822" s="72"/>
      <c r="C822" s="72"/>
    </row>
    <row r="823" spans="2:3" ht="15.75" customHeight="1">
      <c r="B823" s="72"/>
      <c r="C823" s="72"/>
    </row>
    <row r="824" spans="2:3" ht="15.75" customHeight="1">
      <c r="B824" s="72"/>
      <c r="C824" s="72"/>
    </row>
    <row r="825" spans="2:3" ht="15.75" customHeight="1">
      <c r="B825" s="72"/>
      <c r="C825" s="72"/>
    </row>
    <row r="826" spans="2:3" ht="15.75" customHeight="1">
      <c r="B826" s="72"/>
      <c r="C826" s="72"/>
    </row>
    <row r="827" spans="2:3" ht="15.75" customHeight="1">
      <c r="B827" s="72"/>
      <c r="C827" s="72"/>
    </row>
    <row r="828" spans="2:3" ht="15.75" customHeight="1">
      <c r="B828" s="72"/>
      <c r="C828" s="72"/>
    </row>
    <row r="829" spans="2:3" ht="15.75" customHeight="1">
      <c r="B829" s="72"/>
      <c r="C829" s="72"/>
    </row>
    <row r="830" spans="2:3" ht="15.75" customHeight="1">
      <c r="B830" s="72"/>
      <c r="C830" s="72"/>
    </row>
    <row r="831" spans="2:3" ht="15.75" customHeight="1">
      <c r="B831" s="72"/>
      <c r="C831" s="72"/>
    </row>
    <row r="832" spans="2:3" ht="15.75" customHeight="1">
      <c r="B832" s="72"/>
      <c r="C832" s="72"/>
    </row>
    <row r="833" spans="2:3" ht="15.75" customHeight="1">
      <c r="B833" s="72"/>
      <c r="C833" s="72"/>
    </row>
    <row r="834" spans="2:3" ht="15.75" customHeight="1">
      <c r="B834" s="72"/>
      <c r="C834" s="72"/>
    </row>
    <row r="835" spans="2:3" ht="15.75" customHeight="1">
      <c r="B835" s="72"/>
      <c r="C835" s="72"/>
    </row>
    <row r="836" spans="2:3" ht="15.75" customHeight="1">
      <c r="B836" s="72"/>
      <c r="C836" s="72"/>
    </row>
    <row r="837" spans="2:3" ht="15.75" customHeight="1">
      <c r="B837" s="72"/>
      <c r="C837" s="72"/>
    </row>
    <row r="838" spans="2:3" ht="15.75" customHeight="1">
      <c r="B838" s="72"/>
      <c r="C838" s="72"/>
    </row>
    <row r="839" spans="2:3" ht="15.75" customHeight="1">
      <c r="B839" s="72"/>
      <c r="C839" s="72"/>
    </row>
    <row r="840" spans="2:3" ht="15.75" customHeight="1">
      <c r="B840" s="72"/>
      <c r="C840" s="72"/>
    </row>
    <row r="841" spans="2:3" ht="15.75" customHeight="1">
      <c r="B841" s="72"/>
      <c r="C841" s="72"/>
    </row>
    <row r="842" spans="2:3" ht="15.75" customHeight="1">
      <c r="B842" s="72"/>
      <c r="C842" s="72"/>
    </row>
    <row r="843" spans="2:3" ht="15.75" customHeight="1">
      <c r="B843" s="72"/>
      <c r="C843" s="72"/>
    </row>
    <row r="844" spans="2:3" ht="15.75" customHeight="1">
      <c r="B844" s="72"/>
      <c r="C844" s="72"/>
    </row>
    <row r="845" spans="2:3" ht="15.75" customHeight="1">
      <c r="B845" s="72"/>
      <c r="C845" s="72"/>
    </row>
    <row r="846" spans="2:3" ht="15.75" customHeight="1">
      <c r="B846" s="72"/>
      <c r="C846" s="72"/>
    </row>
    <row r="847" spans="2:3" ht="15.75" customHeight="1">
      <c r="B847" s="72"/>
      <c r="C847" s="72"/>
    </row>
    <row r="848" spans="2:3" ht="15.75" customHeight="1">
      <c r="B848" s="72"/>
      <c r="C848" s="72"/>
    </row>
    <row r="849" spans="2:3" ht="15.75" customHeight="1">
      <c r="B849" s="72"/>
      <c r="C849" s="72"/>
    </row>
    <row r="850" spans="2:3" ht="15.75" customHeight="1">
      <c r="B850" s="72"/>
      <c r="C850" s="72"/>
    </row>
    <row r="851" spans="2:3" ht="15.75" customHeight="1">
      <c r="B851" s="72"/>
      <c r="C851" s="72"/>
    </row>
    <row r="852" spans="2:3" ht="15.75" customHeight="1">
      <c r="B852" s="72"/>
      <c r="C852" s="72"/>
    </row>
    <row r="853" spans="2:3" ht="15.75" customHeight="1">
      <c r="B853" s="72"/>
      <c r="C853" s="72"/>
    </row>
    <row r="854" spans="2:3" ht="15.75" customHeight="1">
      <c r="B854" s="72"/>
      <c r="C854" s="72"/>
    </row>
    <row r="855" spans="2:3" ht="15.75" customHeight="1">
      <c r="B855" s="72"/>
      <c r="C855" s="72"/>
    </row>
    <row r="856" spans="2:3" ht="15.75" customHeight="1">
      <c r="B856" s="72"/>
      <c r="C856" s="72"/>
    </row>
    <row r="857" spans="2:3" ht="15.75" customHeight="1">
      <c r="B857" s="72"/>
      <c r="C857" s="72"/>
    </row>
    <row r="858" spans="2:3" ht="15.75" customHeight="1">
      <c r="B858" s="72"/>
      <c r="C858" s="72"/>
    </row>
    <row r="859" spans="2:3" ht="15.75" customHeight="1">
      <c r="B859" s="72"/>
      <c r="C859" s="72"/>
    </row>
    <row r="860" spans="2:3" ht="15.75" customHeight="1">
      <c r="B860" s="72"/>
      <c r="C860" s="72"/>
    </row>
    <row r="861" spans="2:3" ht="15.75" customHeight="1">
      <c r="B861" s="72"/>
      <c r="C861" s="72"/>
    </row>
    <row r="862" spans="2:3" ht="15.75" customHeight="1">
      <c r="B862" s="72"/>
      <c r="C862" s="72"/>
    </row>
    <row r="863" spans="2:3" ht="15.75" customHeight="1">
      <c r="B863" s="72"/>
      <c r="C863" s="72"/>
    </row>
    <row r="864" spans="2:3" ht="15.75" customHeight="1">
      <c r="B864" s="72"/>
      <c r="C864" s="72"/>
    </row>
    <row r="865" spans="2:3" ht="15.75" customHeight="1">
      <c r="B865" s="72"/>
      <c r="C865" s="72"/>
    </row>
    <row r="866" spans="2:3" ht="15.75" customHeight="1">
      <c r="B866" s="72"/>
      <c r="C866" s="72"/>
    </row>
    <row r="867" spans="2:3" ht="15.75" customHeight="1">
      <c r="B867" s="72"/>
      <c r="C867" s="72"/>
    </row>
    <row r="868" spans="2:3" ht="15.75" customHeight="1">
      <c r="B868" s="72"/>
      <c r="C868" s="72"/>
    </row>
    <row r="869" spans="2:3" ht="15.75" customHeight="1">
      <c r="B869" s="72"/>
      <c r="C869" s="72"/>
    </row>
    <row r="870" spans="2:3" ht="15.75" customHeight="1">
      <c r="B870" s="72"/>
      <c r="C870" s="72"/>
    </row>
    <row r="871" spans="2:3" ht="15.75" customHeight="1">
      <c r="B871" s="72"/>
      <c r="C871" s="72"/>
    </row>
    <row r="872" spans="2:3" ht="15.75" customHeight="1">
      <c r="B872" s="72"/>
      <c r="C872" s="72"/>
    </row>
    <row r="873" spans="2:3" ht="15.75" customHeight="1">
      <c r="B873" s="72"/>
      <c r="C873" s="72"/>
    </row>
    <row r="874" spans="2:3" ht="15.75" customHeight="1">
      <c r="B874" s="72"/>
      <c r="C874" s="72"/>
    </row>
    <row r="875" spans="2:3" ht="15.75" customHeight="1">
      <c r="B875" s="72"/>
      <c r="C875" s="72"/>
    </row>
    <row r="876" spans="2:3" ht="15.75" customHeight="1">
      <c r="B876" s="72"/>
      <c r="C876" s="72"/>
    </row>
    <row r="877" spans="2:3" ht="15.75" customHeight="1">
      <c r="B877" s="72"/>
      <c r="C877" s="72"/>
    </row>
    <row r="878" spans="2:3" ht="15.75" customHeight="1">
      <c r="B878" s="72"/>
      <c r="C878" s="72"/>
    </row>
    <row r="879" spans="2:3" ht="15.75" customHeight="1">
      <c r="B879" s="72"/>
      <c r="C879" s="72"/>
    </row>
    <row r="880" spans="2:3" ht="15.75" customHeight="1">
      <c r="B880" s="72"/>
      <c r="C880" s="72"/>
    </row>
    <row r="881" spans="2:3" ht="15.75" customHeight="1">
      <c r="B881" s="72"/>
      <c r="C881" s="72"/>
    </row>
    <row r="882" spans="2:3" ht="15.75" customHeight="1">
      <c r="B882" s="72"/>
      <c r="C882" s="72"/>
    </row>
    <row r="883" spans="2:3" ht="15.75" customHeight="1">
      <c r="B883" s="72"/>
      <c r="C883" s="72"/>
    </row>
    <row r="884" spans="2:3" ht="15.75" customHeight="1">
      <c r="B884" s="72"/>
      <c r="C884" s="72"/>
    </row>
    <row r="885" spans="2:3" ht="15.75" customHeight="1">
      <c r="B885" s="72"/>
      <c r="C885" s="72"/>
    </row>
    <row r="886" spans="2:3" ht="15.75" customHeight="1">
      <c r="B886" s="72"/>
      <c r="C886" s="72"/>
    </row>
    <row r="887" spans="2:3" ht="15.75" customHeight="1">
      <c r="B887" s="72"/>
      <c r="C887" s="72"/>
    </row>
    <row r="888" spans="2:3" ht="15.75" customHeight="1">
      <c r="B888" s="72"/>
      <c r="C888" s="72"/>
    </row>
    <row r="889" spans="2:3" ht="15.75" customHeight="1">
      <c r="B889" s="72"/>
      <c r="C889" s="72"/>
    </row>
    <row r="890" spans="2:3" ht="15.75" customHeight="1">
      <c r="B890" s="72"/>
      <c r="C890" s="72"/>
    </row>
    <row r="891" spans="2:3" ht="15.75" customHeight="1">
      <c r="B891" s="72"/>
      <c r="C891" s="72"/>
    </row>
    <row r="892" spans="2:3" ht="15.75" customHeight="1">
      <c r="B892" s="72"/>
      <c r="C892" s="72"/>
    </row>
    <row r="893" spans="2:3" ht="15.75" customHeight="1">
      <c r="B893" s="72"/>
      <c r="C893" s="72"/>
    </row>
    <row r="894" spans="2:3" ht="15.75" customHeight="1">
      <c r="B894" s="72"/>
      <c r="C894" s="72"/>
    </row>
    <row r="895" spans="2:3" ht="15.75" customHeight="1">
      <c r="B895" s="72"/>
      <c r="C895" s="72"/>
    </row>
    <row r="896" spans="2:3" ht="15.75" customHeight="1">
      <c r="B896" s="72"/>
      <c r="C896" s="72"/>
    </row>
    <row r="897" spans="2:3" ht="15.75" customHeight="1">
      <c r="B897" s="72"/>
      <c r="C897" s="72"/>
    </row>
    <row r="898" spans="2:3" ht="15.75" customHeight="1">
      <c r="B898" s="72"/>
      <c r="C898" s="72"/>
    </row>
    <row r="899" spans="2:3" ht="15.75" customHeight="1">
      <c r="B899" s="72"/>
      <c r="C899" s="72"/>
    </row>
    <row r="900" spans="2:3" ht="15.75" customHeight="1">
      <c r="B900" s="72"/>
      <c r="C900" s="72"/>
    </row>
    <row r="901" spans="2:3" ht="15.75" customHeight="1">
      <c r="B901" s="72"/>
      <c r="C901" s="72"/>
    </row>
    <row r="902" spans="2:3" ht="15.75" customHeight="1">
      <c r="B902" s="72"/>
      <c r="C902" s="72"/>
    </row>
    <row r="903" spans="2:3" ht="15.75" customHeight="1">
      <c r="B903" s="72"/>
      <c r="C903" s="72"/>
    </row>
    <row r="904" spans="2:3" ht="15.75" customHeight="1">
      <c r="B904" s="72"/>
      <c r="C904" s="72"/>
    </row>
    <row r="905" spans="2:3" ht="15.75" customHeight="1">
      <c r="B905" s="72"/>
      <c r="C905" s="72"/>
    </row>
    <row r="906" spans="2:3" ht="15.75" customHeight="1">
      <c r="B906" s="72"/>
      <c r="C906" s="72"/>
    </row>
    <row r="907" spans="2:3" ht="15.75" customHeight="1">
      <c r="B907" s="72"/>
      <c r="C907" s="72"/>
    </row>
    <row r="908" spans="2:3" ht="15.75" customHeight="1">
      <c r="B908" s="72"/>
      <c r="C908" s="72"/>
    </row>
    <row r="909" spans="2:3" ht="15.75" customHeight="1">
      <c r="B909" s="72"/>
      <c r="C909" s="72"/>
    </row>
    <row r="910" spans="2:3" ht="15.75" customHeight="1">
      <c r="B910" s="72"/>
      <c r="C910" s="72"/>
    </row>
    <row r="911" spans="2:3" ht="15.75" customHeight="1">
      <c r="B911" s="72"/>
      <c r="C911" s="72"/>
    </row>
    <row r="912" spans="2:3" ht="15.75" customHeight="1">
      <c r="B912" s="72"/>
      <c r="C912" s="72"/>
    </row>
    <row r="913" spans="2:3" ht="15.75" customHeight="1">
      <c r="B913" s="72"/>
      <c r="C913" s="72"/>
    </row>
    <row r="914" spans="2:3" ht="15.75" customHeight="1">
      <c r="B914" s="72"/>
      <c r="C914" s="72"/>
    </row>
    <row r="915" spans="2:3" ht="15.75" customHeight="1">
      <c r="B915" s="72"/>
      <c r="C915" s="72"/>
    </row>
    <row r="916" spans="2:3" ht="15.75" customHeight="1">
      <c r="B916" s="72"/>
      <c r="C916" s="72"/>
    </row>
    <row r="917" spans="2:3" ht="15.75" customHeight="1">
      <c r="B917" s="72"/>
      <c r="C917" s="72"/>
    </row>
    <row r="918" spans="2:3" ht="15.75" customHeight="1">
      <c r="B918" s="72"/>
      <c r="C918" s="72"/>
    </row>
    <row r="919" spans="2:3" ht="15.75" customHeight="1">
      <c r="B919" s="72"/>
      <c r="C919" s="72"/>
    </row>
    <row r="920" spans="2:3" ht="15.75" customHeight="1">
      <c r="B920" s="72"/>
      <c r="C920" s="72"/>
    </row>
    <row r="921" spans="2:3" ht="15.75" customHeight="1">
      <c r="B921" s="72"/>
      <c r="C921" s="72"/>
    </row>
    <row r="922" spans="2:3" ht="15.75" customHeight="1">
      <c r="B922" s="72"/>
      <c r="C922" s="72"/>
    </row>
    <row r="923" spans="2:3" ht="15.75" customHeight="1">
      <c r="B923" s="72"/>
      <c r="C923" s="72"/>
    </row>
    <row r="924" spans="2:3" ht="15.75" customHeight="1">
      <c r="B924" s="72"/>
      <c r="C924" s="72"/>
    </row>
    <row r="925" spans="2:3" ht="15.75" customHeight="1">
      <c r="B925" s="72"/>
      <c r="C925" s="72"/>
    </row>
    <row r="926" spans="2:3" ht="15.75" customHeight="1">
      <c r="B926" s="72"/>
      <c r="C926" s="72"/>
    </row>
    <row r="927" spans="2:3" ht="15.75" customHeight="1">
      <c r="B927" s="72"/>
      <c r="C927" s="72"/>
    </row>
    <row r="928" spans="2:3" ht="15.75" customHeight="1">
      <c r="B928" s="72"/>
      <c r="C928" s="72"/>
    </row>
    <row r="929" spans="2:3" ht="15.75" customHeight="1">
      <c r="B929" s="72"/>
      <c r="C929" s="72"/>
    </row>
    <row r="930" spans="2:3" ht="15.75" customHeight="1">
      <c r="B930" s="72"/>
      <c r="C930" s="72"/>
    </row>
    <row r="931" spans="2:3" ht="15.75" customHeight="1">
      <c r="B931" s="72"/>
      <c r="C931" s="72"/>
    </row>
    <row r="932" spans="2:3" ht="15.75" customHeight="1">
      <c r="B932" s="72"/>
      <c r="C932" s="72"/>
    </row>
    <row r="933" spans="2:3" ht="15.75" customHeight="1">
      <c r="B933" s="72"/>
      <c r="C933" s="72"/>
    </row>
    <row r="934" spans="2:3" ht="15.75" customHeight="1">
      <c r="B934" s="72"/>
      <c r="C934" s="72"/>
    </row>
    <row r="935" spans="2:3" ht="15.75" customHeight="1">
      <c r="B935" s="72"/>
      <c r="C935" s="72"/>
    </row>
    <row r="936" spans="2:3" ht="15.75" customHeight="1">
      <c r="B936" s="72"/>
      <c r="C936" s="72"/>
    </row>
    <row r="937" spans="2:3" ht="15.75" customHeight="1">
      <c r="B937" s="72"/>
      <c r="C937" s="72"/>
    </row>
    <row r="938" spans="2:3" ht="15.75" customHeight="1">
      <c r="B938" s="72"/>
      <c r="C938" s="72"/>
    </row>
    <row r="939" spans="2:3" ht="15.75" customHeight="1">
      <c r="B939" s="72"/>
      <c r="C939" s="72"/>
    </row>
    <row r="940" spans="2:3" ht="15.75" customHeight="1">
      <c r="B940" s="72"/>
      <c r="C940" s="72"/>
    </row>
    <row r="941" spans="2:3" ht="15.75" customHeight="1">
      <c r="B941" s="72"/>
      <c r="C941" s="72"/>
    </row>
    <row r="942" spans="2:3" ht="15.75" customHeight="1">
      <c r="B942" s="72"/>
      <c r="C942" s="72"/>
    </row>
    <row r="943" spans="2:3" ht="15.75" customHeight="1">
      <c r="B943" s="72"/>
      <c r="C943" s="72"/>
    </row>
    <row r="944" spans="2:3" ht="15.75" customHeight="1">
      <c r="B944" s="72"/>
      <c r="C944" s="72"/>
    </row>
    <row r="945" spans="2:3" ht="15.75" customHeight="1">
      <c r="B945" s="72"/>
      <c r="C945" s="72"/>
    </row>
    <row r="946" spans="2:3" ht="15.75" customHeight="1">
      <c r="B946" s="72"/>
      <c r="C946" s="72"/>
    </row>
    <row r="947" spans="2:3" ht="15.75" customHeight="1">
      <c r="B947" s="72"/>
      <c r="C947" s="72"/>
    </row>
    <row r="948" spans="2:3" ht="15.75" customHeight="1">
      <c r="B948" s="72"/>
      <c r="C948" s="72"/>
    </row>
    <row r="949" spans="2:3" ht="15.75" customHeight="1">
      <c r="B949" s="72"/>
      <c r="C949" s="72"/>
    </row>
    <row r="950" spans="2:3" ht="15.75" customHeight="1">
      <c r="B950" s="72"/>
      <c r="C950" s="72"/>
    </row>
    <row r="951" spans="2:3" ht="15.75" customHeight="1">
      <c r="B951" s="72"/>
      <c r="C951" s="72"/>
    </row>
    <row r="952" spans="2:3" ht="15.75" customHeight="1">
      <c r="B952" s="72"/>
      <c r="C952" s="72"/>
    </row>
    <row r="953" spans="2:3" ht="15.75" customHeight="1">
      <c r="B953" s="72"/>
      <c r="C953" s="72"/>
    </row>
    <row r="954" spans="2:3" ht="15.75" customHeight="1">
      <c r="B954" s="72"/>
      <c r="C954" s="72"/>
    </row>
    <row r="955" spans="2:3" ht="15.75" customHeight="1">
      <c r="B955" s="72"/>
      <c r="C955" s="72"/>
    </row>
    <row r="956" spans="2:3" ht="15.75" customHeight="1">
      <c r="B956" s="72"/>
      <c r="C956" s="72"/>
    </row>
    <row r="957" spans="2:3" ht="15.75" customHeight="1">
      <c r="B957" s="72"/>
      <c r="C957" s="72"/>
    </row>
    <row r="958" spans="2:3" ht="15.75" customHeight="1">
      <c r="B958" s="72"/>
      <c r="C958" s="72"/>
    </row>
    <row r="959" spans="2:3" ht="15.75" customHeight="1">
      <c r="B959" s="72"/>
      <c r="C959" s="72"/>
    </row>
    <row r="960" spans="2:3" ht="15.75" customHeight="1">
      <c r="B960" s="72"/>
      <c r="C960" s="72"/>
    </row>
    <row r="961" spans="2:3" ht="15.75" customHeight="1">
      <c r="B961" s="72"/>
      <c r="C961" s="72"/>
    </row>
    <row r="962" spans="2:3" ht="15.75" customHeight="1">
      <c r="B962" s="72"/>
      <c r="C962" s="72"/>
    </row>
    <row r="963" spans="2:3" ht="15.75" customHeight="1">
      <c r="B963" s="72"/>
      <c r="C963" s="72"/>
    </row>
    <row r="964" spans="2:3" ht="15.75" customHeight="1">
      <c r="B964" s="72"/>
      <c r="C964" s="72"/>
    </row>
    <row r="965" spans="2:3" ht="15.75" customHeight="1">
      <c r="B965" s="72"/>
      <c r="C965" s="72"/>
    </row>
    <row r="966" spans="2:3" ht="15.75" customHeight="1">
      <c r="B966" s="72"/>
      <c r="C966" s="72"/>
    </row>
    <row r="967" spans="2:3" ht="15.75" customHeight="1">
      <c r="B967" s="72"/>
      <c r="C967" s="72"/>
    </row>
    <row r="968" spans="2:3" ht="15.75" customHeight="1">
      <c r="B968" s="72"/>
      <c r="C968" s="72"/>
    </row>
    <row r="969" spans="2:3" ht="15.75" customHeight="1">
      <c r="B969" s="72"/>
      <c r="C969" s="72"/>
    </row>
    <row r="970" spans="2:3" ht="15.75" customHeight="1">
      <c r="B970" s="72"/>
      <c r="C970" s="72"/>
    </row>
    <row r="971" spans="2:3" ht="15.75" customHeight="1">
      <c r="B971" s="72"/>
      <c r="C971" s="72"/>
    </row>
    <row r="972" spans="2:3" ht="15.75" customHeight="1">
      <c r="B972" s="72"/>
      <c r="C972" s="72"/>
    </row>
    <row r="973" spans="2:3" ht="15.75" customHeight="1">
      <c r="B973" s="72"/>
      <c r="C973" s="72"/>
    </row>
    <row r="974" spans="2:3" ht="15.75" customHeight="1">
      <c r="B974" s="72"/>
      <c r="C974" s="72"/>
    </row>
    <row r="975" spans="2:3" ht="15.75" customHeight="1">
      <c r="B975" s="72"/>
      <c r="C975" s="72"/>
    </row>
    <row r="976" spans="2:3" ht="15.75" customHeight="1">
      <c r="B976" s="72"/>
      <c r="C976" s="72"/>
    </row>
    <row r="977" spans="2:3" ht="15.75" customHeight="1">
      <c r="B977" s="72"/>
      <c r="C977" s="72"/>
    </row>
    <row r="978" spans="2:3" ht="15.75" customHeight="1">
      <c r="B978" s="72"/>
      <c r="C978" s="72"/>
    </row>
    <row r="979" spans="2:3" ht="15.75" customHeight="1">
      <c r="B979" s="72"/>
      <c r="C979" s="72"/>
    </row>
    <row r="980" spans="2:3" ht="15.75" customHeight="1">
      <c r="B980" s="72"/>
      <c r="C980" s="72"/>
    </row>
    <row r="981" spans="2:3" ht="15.75" customHeight="1">
      <c r="B981" s="72"/>
      <c r="C981" s="72"/>
    </row>
    <row r="982" spans="2:3" ht="15.75" customHeight="1">
      <c r="B982" s="72"/>
      <c r="C982" s="72"/>
    </row>
    <row r="983" spans="2:3" ht="15.75" customHeight="1">
      <c r="B983" s="72"/>
      <c r="C983" s="72"/>
    </row>
    <row r="984" spans="2:3" ht="15.75" customHeight="1">
      <c r="B984" s="72"/>
      <c r="C984" s="72"/>
    </row>
    <row r="985" spans="2:3" ht="15.75" customHeight="1">
      <c r="B985" s="72"/>
      <c r="C985" s="72"/>
    </row>
    <row r="986" spans="2:3" ht="15.75" customHeight="1">
      <c r="B986" s="72"/>
      <c r="C986" s="72"/>
    </row>
    <row r="987" spans="2:3" ht="15.75" customHeight="1">
      <c r="B987" s="72"/>
      <c r="C987" s="72"/>
    </row>
    <row r="988" spans="2:3" ht="15.75" customHeight="1">
      <c r="B988" s="72"/>
      <c r="C988" s="72"/>
    </row>
    <row r="989" spans="2:3" ht="15.75" customHeight="1">
      <c r="B989" s="72"/>
      <c r="C989" s="72"/>
    </row>
    <row r="990" spans="2:3" ht="15.75" customHeight="1">
      <c r="B990" s="72"/>
      <c r="C990" s="72"/>
    </row>
    <row r="991" spans="2:3" ht="15.75" customHeight="1">
      <c r="B991" s="72"/>
      <c r="C991" s="72"/>
    </row>
    <row r="992" spans="2:3" ht="15.75" customHeight="1">
      <c r="B992" s="72"/>
      <c r="C992" s="72"/>
    </row>
    <row r="993" spans="2:3" ht="15.75" customHeight="1">
      <c r="B993" s="72"/>
      <c r="C993" s="72"/>
    </row>
    <row r="994" spans="2:3" ht="15.75" customHeight="1">
      <c r="B994" s="72"/>
      <c r="C994" s="72"/>
    </row>
    <row r="995" spans="2:3" ht="15.75" customHeight="1">
      <c r="B995" s="72"/>
      <c r="C995" s="72"/>
    </row>
    <row r="996" spans="2:3" ht="15.75" customHeight="1">
      <c r="B996" s="72"/>
      <c r="C996" s="72"/>
    </row>
    <row r="997" spans="2:3" ht="15.75" customHeight="1">
      <c r="B997" s="72"/>
      <c r="C997" s="72"/>
    </row>
    <row r="998" spans="2:3" ht="15.75" customHeight="1">
      <c r="B998" s="72"/>
      <c r="C998" s="72"/>
    </row>
    <row r="999" spans="2:3" ht="15.75" customHeight="1">
      <c r="B999" s="72"/>
      <c r="C999" s="72"/>
    </row>
    <row r="1000" spans="2:3" ht="15.75" customHeight="1">
      <c r="B1000" s="72"/>
      <c r="C1000" s="72"/>
    </row>
    <row r="1001" spans="2:3" ht="15.75" customHeight="1">
      <c r="B1001" s="72"/>
      <c r="C1001" s="72"/>
    </row>
    <row r="1002" spans="2:3" ht="15.75" customHeight="1">
      <c r="B1002" s="72"/>
      <c r="C1002" s="72"/>
    </row>
    <row r="1003" spans="2:3" ht="15.75" customHeight="1">
      <c r="B1003" s="72"/>
      <c r="C1003" s="72"/>
    </row>
    <row r="1004" spans="2:3" ht="15.75" customHeight="1">
      <c r="B1004" s="72"/>
      <c r="C1004" s="72"/>
    </row>
    <row r="1005" spans="2:3" ht="15.75" customHeight="1">
      <c r="B1005" s="72"/>
      <c r="C1005" s="72"/>
    </row>
    <row r="1006" spans="2:3" ht="15.75" customHeight="1">
      <c r="B1006" s="72"/>
      <c r="C1006" s="72"/>
    </row>
    <row r="1007" spans="2:3" ht="15.75" customHeight="1">
      <c r="B1007" s="72"/>
      <c r="C1007" s="72"/>
    </row>
  </sheetData>
  <mergeCells count="34">
    <mergeCell ref="I8:AI8"/>
    <mergeCell ref="A1:AI1"/>
    <mergeCell ref="A2:AI2"/>
    <mergeCell ref="A3:AI3"/>
    <mergeCell ref="A8:A9"/>
    <mergeCell ref="B8:B9"/>
    <mergeCell ref="C8:C9"/>
    <mergeCell ref="E8:E9"/>
    <mergeCell ref="I46:K46"/>
    <mergeCell ref="A60:C60"/>
    <mergeCell ref="A61:C61"/>
    <mergeCell ref="K53:AG53"/>
    <mergeCell ref="K54:AG54"/>
    <mergeCell ref="D50:F50"/>
    <mergeCell ref="D51:F51"/>
    <mergeCell ref="I51:J51"/>
    <mergeCell ref="K51:AG51"/>
    <mergeCell ref="D52:F52"/>
    <mergeCell ref="K52:AG52"/>
    <mergeCell ref="D53:F53"/>
    <mergeCell ref="D31:D34"/>
    <mergeCell ref="G31:G35"/>
    <mergeCell ref="D25:D28"/>
    <mergeCell ref="G25:G28"/>
    <mergeCell ref="F25:F28"/>
    <mergeCell ref="G12:G16"/>
    <mergeCell ref="H12:H13"/>
    <mergeCell ref="H14:H15"/>
    <mergeCell ref="H31:H35"/>
    <mergeCell ref="F8:F9"/>
    <mergeCell ref="G8:G9"/>
    <mergeCell ref="H8:H9"/>
    <mergeCell ref="H25:H28"/>
    <mergeCell ref="F31:F34"/>
  </mergeCells>
  <pageMargins left="0.7" right="0.42553191489361708" top="0.93617021276595747" bottom="0.80851063829787229" header="0" footer="0"/>
  <pageSetup paperSize="1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OD-PICTS 1st 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2024-01-03T07:55:13Z</dcterms:created>
  <dcterms:modified xsi:type="dcterms:W3CDTF">2025-05-20T00:59:08Z</dcterms:modified>
</cp:coreProperties>
</file>