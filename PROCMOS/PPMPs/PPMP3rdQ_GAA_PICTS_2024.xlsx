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showHorizontalScroll="0" showVerticalScroll="0" showSheetTabs="0" xWindow="0" yWindow="0" windowWidth="20490" windowHeight="7275"/>
  </bookViews>
  <sheets>
    <sheet name="OD-PICTS 1st Sem" sheetId="1" r:id="rId1"/>
  </sheets>
  <calcPr calcId="162913"/>
</workbook>
</file>

<file path=xl/calcChain.xml><?xml version="1.0" encoding="utf-8"?>
<calcChain xmlns="http://schemas.openxmlformats.org/spreadsheetml/2006/main">
  <c r="F43" i="1" l="1"/>
  <c r="F37" i="1" l="1"/>
  <c r="F18" i="1"/>
  <c r="D50" i="1"/>
  <c r="F48" i="1"/>
  <c r="F29" i="1"/>
  <c r="F36" i="1" l="1"/>
  <c r="F25" i="1" l="1"/>
  <c r="F31" i="1" l="1"/>
  <c r="F40" i="1"/>
  <c r="D51" i="1" l="1"/>
  <c r="D52" i="1" l="1"/>
  <c r="D53" i="1" s="1"/>
</calcChain>
</file>

<file path=xl/sharedStrings.xml><?xml version="1.0" encoding="utf-8"?>
<sst xmlns="http://schemas.openxmlformats.org/spreadsheetml/2006/main" count="162" uniqueCount="148">
  <si>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</si>
  <si>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</si>
  <si>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</si>
  <si>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</si>
  <si>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</si>
  <si>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</si>
  <si>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</si>
  <si>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</si>
  <si>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</si>
  <si>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</si>
  <si>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</si>
  <si>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</si>
  <si>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</si>
  <si>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</si>
  <si>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</si>
  <si>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</si>
  <si>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</si>
  <si>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</si>
  <si>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</si>
  <si>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</si>
  <si>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</si>
  <si>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</si>
  <si>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</si>
  <si>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</si>
  <si>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</si>
  <si>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</si>
  <si>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</si>
  <si>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</si>
  <si>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</si>
  <si>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</si>
  <si>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</si>
  <si>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</si>
  <si>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</si>
  <si>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</si>
  <si>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</si>
  <si>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</si>
  <si>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</si>
  <si>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</si>
  <si>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</si>
  <si>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</si>
  <si>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</si>
  <si>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</si>
  <si>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</si>
  <si>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</si>
  <si>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</si>
  <si>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</si>
  <si>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</si>
  <si>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</si>
  <si>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</si>
  <si>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</si>
  <si>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</si>
  <si>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</si>
  <si>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</si>
  <si>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</si>
  <si>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</si>
  <si>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</si>
  <si>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</si>
  <si>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</si>
  <si>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</si>
  <si>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</si>
  <si>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</si>
  <si>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</si>
  <si>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</si>
  <si>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</si>
  <si>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</si>
  <si>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</si>
  <si>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</si>
  <si>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</si>
  <si>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</si>
  <si>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</si>
  <si>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</si>
  <si>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</si>
  <si>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</si>
  <si>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</si>
  <si>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</si>
  <si>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</si>
  <si>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</si>
  <si>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</si>
  <si>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</si>
  <si>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</si>
  <si>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</si>
  <si>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</si>
  <si>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</si>
  <si>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</si>
  <si>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</si>
  <si>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</si>
  <si>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</si>
  <si>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</si>
  <si>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</si>
  <si>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</si>
  <si>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</si>
  <si>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</si>
  <si>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</si>
  <si>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</si>
  <si>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</si>
  <si>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</si>
  <si>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</si>
  <si>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</si>
  <si>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</si>
  <si>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</si>
  <si>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</si>
  <si>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</si>
  <si>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</si>
  <si>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</si>
  <si>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</si>
  <si>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</si>
  <si>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1 piece Laptop Charger for ASUS P1411CEA-EB1075, AD2108320, 45W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</si>
  <si>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</si>
  <si>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</si>
  <si>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</si>
  <si>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</si>
  <si>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</si>
  <si>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</si>
  <si>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2piece Toner Cartridge, HP CF402A (HP201A), Yellow LaserJet</t>
  </si>
  <si>
    <t>2 piece Toner Cartridge, HP CF401A (HP201A), Cyan LaserJet</t>
  </si>
  <si>
    <t>3 piece Toner Cartridge, HP CF400A (HP201A), Black LaserJet</t>
  </si>
  <si>
    <t>2 piece Toner Cartridge, HP CF403A (HP201A), Magenta LaserJet</t>
  </si>
  <si>
    <t>Renewal of Adobe Photoshop and Indesign</t>
  </si>
  <si>
    <t xml:space="preserve">2 units Tablet </t>
  </si>
  <si>
    <t>July</t>
  </si>
  <si>
    <t>August</t>
  </si>
  <si>
    <t>Sep.</t>
  </si>
  <si>
    <t>Acetate Clear, PVC Binding Cover, A4, 200 microns, 100sheets/pack</t>
  </si>
  <si>
    <t>3 packs</t>
  </si>
  <si>
    <t>Binder Cover Specialty Paper Board 300gsm 100's/bulkpack</t>
  </si>
  <si>
    <t>20 packs</t>
  </si>
  <si>
    <t>Marker, Flourescent (3 colors/set)</t>
  </si>
  <si>
    <t>Scissor, Symmetrical/Asymmetrical</t>
  </si>
  <si>
    <t>3 pcs.</t>
  </si>
  <si>
    <t>Tape Transparent, 24mm</t>
  </si>
  <si>
    <t>20 rolls</t>
  </si>
  <si>
    <t>Clip, Backfold, 32mm/1 1/4 inches, 12pcs./box</t>
  </si>
  <si>
    <t>20 boxes</t>
  </si>
  <si>
    <t>Record Book, 500 pages</t>
  </si>
  <si>
    <t>5 pcs.</t>
  </si>
  <si>
    <t>Ruler, 12 inches</t>
  </si>
  <si>
    <t>2 pcs.</t>
  </si>
  <si>
    <t>Glue Gel, 60 ml</t>
  </si>
  <si>
    <t>Handheld Cutter</t>
  </si>
  <si>
    <t>Desk/Pen Organizer</t>
  </si>
  <si>
    <t>8 pcs.</t>
  </si>
  <si>
    <t>2 units Laptop Computer</t>
  </si>
  <si>
    <t>8 sets</t>
  </si>
  <si>
    <t>Other MOOE</t>
  </si>
  <si>
    <t>12 pcs. Solar spot lights outdoor spot light building</t>
  </si>
  <si>
    <t>16 pcs. Solar lights outdoor, 3000 watts street lights</t>
  </si>
  <si>
    <t>16 pcs. Street light poles</t>
  </si>
  <si>
    <t>SVP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</si>
</sst>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5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3" fillId="0" borderId="0"/>
  </cellStyleXfs>
  <cellXfs count="20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22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0" fillId="0" borderId="0" xfId="0"/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0" fillId="0" borderId="0" xfId="0"/>
    <xf numFmtId="0" fontId="8" fillId="0" borderId="11" xfId="0" applyFont="1" applyBorder="1"/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4" fontId="21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 applyAlignment="1"/>
    <xf numFmtId="0" fontId="8" fillId="0" borderId="22" xfId="0" applyFont="1" applyBorder="1" applyAlignment="1">
      <alignment vertical="center"/>
    </xf>
    <xf numFmtId="4" fontId="24" fillId="0" borderId="15" xfId="0" applyNumberFormat="1" applyFont="1" applyBorder="1" applyAlignment="1"/>
    <xf numFmtId="0" fontId="0" fillId="0" borderId="0" xfId="0"/>
    <xf numFmtId="0" fontId="9" fillId="0" borderId="14" xfId="0" applyFont="1" applyBorder="1" applyAlignment="1">
      <alignment horizontal="center" vertical="center"/>
    </xf>
    <xf numFmtId="0" fontId="8" fillId="0" borderId="10" xfId="0" applyFont="1" applyBorder="1"/>
    <xf numFmtId="0" fontId="9" fillId="0" borderId="14" xfId="0" applyFont="1" applyBorder="1" applyAlignment="1">
      <alignment horizontal="center" vertical="center" wrapText="1"/>
    </xf>
    <xf numFmtId="0" fontId="9" fillId="2" borderId="14" xfId="0" applyFont="1" applyFill="1" applyBorder="1"/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4" fillId="0" borderId="22" xfId="0" applyFont="1" applyBorder="1" applyAlignment="1"/>
    <xf numFmtId="49" fontId="9" fillId="0" borderId="14" xfId="0" applyNumberFormat="1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49" fontId="9" fillId="0" borderId="22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wrapText="1"/>
    </xf>
    <xf numFmtId="0" fontId="9" fillId="0" borderId="13" xfId="0" applyFont="1" applyBorder="1" applyAlignment="1"/>
    <xf numFmtId="0" fontId="9" fillId="0" borderId="13" xfId="0" applyFont="1" applyBorder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0" fillId="0" borderId="0" xfId="0" applyAlignment="1"/>
    <xf numFmtId="4" fontId="9" fillId="0" borderId="29" xfId="0" applyNumberFormat="1" applyFont="1" applyBorder="1" applyAlignment="1">
      <alignment horizontal="righ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4" xfId="0" applyFont="1" applyBorder="1"/>
    <xf numFmtId="0" fontId="9" fillId="0" borderId="22" xfId="0" applyFont="1" applyBorder="1"/>
    <xf numFmtId="164" fontId="9" fillId="0" borderId="22" xfId="0" applyNumberFormat="1" applyFont="1" applyBorder="1" applyAlignment="1">
      <alignment horizontal="center" vertical="center" wrapText="1"/>
    </xf>
    <xf numFmtId="0" fontId="0" fillId="0" borderId="0" xfId="0"/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0" xfId="0"/>
    <xf numFmtId="0" fontId="9" fillId="0" borderId="0" xfId="0" applyFont="1"/>
    <xf numFmtId="0" fontId="9" fillId="0" borderId="13" xfId="0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8" fillId="0" borderId="10" xfId="0" applyFont="1" applyBorder="1"/>
    <xf numFmtId="4" fontId="9" fillId="0" borderId="22" xfId="0" applyNumberFormat="1" applyFont="1" applyBorder="1" applyAlignment="1">
      <alignment horizontal="right" vertical="center" wrapText="1"/>
    </xf>
    <xf numFmtId="0" fontId="24" fillId="0" borderId="22" xfId="0" applyFont="1" applyBorder="1" applyAlignment="1"/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4" fontId="7" fillId="0" borderId="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/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8" fillId="0" borderId="15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left" vertical="center" wrapText="1"/>
    </xf>
    <xf numFmtId="4" fontId="9" fillId="0" borderId="14" xfId="0" applyNumberFormat="1" applyFont="1" applyBorder="1" applyAlignment="1">
      <alignment horizontal="right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9" fillId="0" borderId="28" xfId="0" applyFont="1" applyBorder="1"/>
    <xf numFmtId="0" fontId="9" fillId="4" borderId="22" xfId="0" applyFont="1" applyFill="1" applyBorder="1" applyAlignment="1">
      <alignment horizontal="left" vertical="center" wrapText="1"/>
    </xf>
    <xf numFmtId="164" fontId="9" fillId="0" borderId="22" xfId="0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007"/>
  <sheetViews>
    <sheetView tabSelected="1" topLeftCell="B39" zoomScale="85" zoomScaleNormal="85" workbookViewId="0">
      <selection activeCell="G47" sqref="G47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"/>
      <c r="AK1" s="1"/>
    </row>
    <row r="2" spans="1:39" ht="18">
      <c r="A2" s="159" t="s">
        <v>105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"/>
      <c r="AK2" s="1"/>
    </row>
    <row r="3" spans="1:39">
      <c r="A3" s="160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61" t="s">
        <v>4</v>
      </c>
      <c r="B8" s="163" t="s">
        <v>5</v>
      </c>
      <c r="C8" s="163" t="s">
        <v>6</v>
      </c>
      <c r="D8" s="10" t="s">
        <v>7</v>
      </c>
      <c r="E8" s="165" t="s">
        <v>8</v>
      </c>
      <c r="F8" s="193" t="s">
        <v>9</v>
      </c>
      <c r="G8" s="163" t="s">
        <v>10</v>
      </c>
      <c r="H8" s="163" t="s">
        <v>11</v>
      </c>
      <c r="I8" s="154" t="s">
        <v>12</v>
      </c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6"/>
      <c r="AJ8" s="11"/>
      <c r="AK8" s="11"/>
      <c r="AL8" s="12"/>
      <c r="AM8" s="12"/>
    </row>
    <row r="9" spans="1:39" ht="24">
      <c r="A9" s="162"/>
      <c r="B9" s="164"/>
      <c r="C9" s="164"/>
      <c r="D9" s="13" t="s">
        <v>13</v>
      </c>
      <c r="E9" s="164"/>
      <c r="F9" s="164"/>
      <c r="G9" s="164"/>
      <c r="H9" s="164"/>
      <c r="I9" s="13" t="s">
        <v>119</v>
      </c>
      <c r="J9" s="13" t="s">
        <v>120</v>
      </c>
      <c r="K9" s="13" t="s">
        <v>121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100"/>
      <c r="E11" s="27"/>
      <c r="F11" s="101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s="84" customFormat="1" ht="24">
      <c r="A12" s="28"/>
      <c r="B12" s="29"/>
      <c r="C12" s="147" t="s">
        <v>122</v>
      </c>
      <c r="D12" s="145" t="s">
        <v>123</v>
      </c>
      <c r="E12" s="144">
        <v>650</v>
      </c>
      <c r="F12" s="145">
        <v>1950</v>
      </c>
      <c r="G12" s="190"/>
      <c r="H12" s="186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ht="24">
      <c r="A13" s="28"/>
      <c r="B13" s="34"/>
      <c r="C13" s="150" t="s">
        <v>124</v>
      </c>
      <c r="D13" s="145" t="s">
        <v>123</v>
      </c>
      <c r="E13" s="151">
        <v>600</v>
      </c>
      <c r="F13" s="145">
        <v>1800</v>
      </c>
      <c r="G13" s="190"/>
      <c r="H13" s="184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82"/>
      <c r="B14" s="104"/>
      <c r="C14" s="150" t="s">
        <v>126</v>
      </c>
      <c r="D14" s="145" t="s">
        <v>142</v>
      </c>
      <c r="E14" s="151">
        <v>40</v>
      </c>
      <c r="F14" s="145">
        <v>360</v>
      </c>
      <c r="G14" s="190"/>
      <c r="H14" s="185"/>
      <c r="I14" s="35"/>
      <c r="J14" s="31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s="120" customFormat="1" ht="14.25">
      <c r="A15" s="115"/>
      <c r="B15" s="109"/>
      <c r="C15" s="150" t="s">
        <v>127</v>
      </c>
      <c r="D15" s="145" t="s">
        <v>128</v>
      </c>
      <c r="E15" s="151">
        <v>70</v>
      </c>
      <c r="F15" s="145">
        <v>210</v>
      </c>
      <c r="G15" s="190"/>
      <c r="H15" s="192"/>
      <c r="I15" s="116"/>
      <c r="J15" s="117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8"/>
      <c r="AK15" s="118"/>
      <c r="AL15" s="119"/>
      <c r="AM15" s="119"/>
    </row>
    <row r="16" spans="1:39" s="84" customFormat="1" ht="14.25">
      <c r="A16" s="110"/>
      <c r="B16" s="111"/>
      <c r="C16" s="112" t="s">
        <v>129</v>
      </c>
      <c r="D16" s="103" t="s">
        <v>130</v>
      </c>
      <c r="E16" s="113">
        <v>20</v>
      </c>
      <c r="F16" s="103">
        <v>400</v>
      </c>
      <c r="G16" s="191"/>
      <c r="H16" s="83"/>
      <c r="I16" s="32"/>
      <c r="J16" s="3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38"/>
      <c r="AM16" s="38"/>
    </row>
    <row r="17" spans="1:39" s="96" customFormat="1" ht="14.25">
      <c r="A17" s="110"/>
      <c r="B17" s="111"/>
      <c r="C17" s="112" t="s">
        <v>131</v>
      </c>
      <c r="D17" s="103" t="s">
        <v>132</v>
      </c>
      <c r="E17" s="113">
        <v>40</v>
      </c>
      <c r="F17" s="103">
        <v>800</v>
      </c>
      <c r="G17" s="114"/>
      <c r="H17" s="98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s="96" customFormat="1" ht="14.25">
      <c r="A18" s="110"/>
      <c r="B18" s="111"/>
      <c r="C18" s="112" t="s">
        <v>133</v>
      </c>
      <c r="D18" s="103" t="s">
        <v>134</v>
      </c>
      <c r="E18" s="113">
        <v>130</v>
      </c>
      <c r="F18" s="103">
        <f>5*130</f>
        <v>650</v>
      </c>
      <c r="G18" s="114"/>
      <c r="H18" s="98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s="131" customFormat="1" ht="14.25">
      <c r="A19" s="148"/>
      <c r="B19" s="149"/>
      <c r="C19" s="150" t="s">
        <v>135</v>
      </c>
      <c r="D19" s="145" t="s">
        <v>136</v>
      </c>
      <c r="E19" s="151">
        <v>100</v>
      </c>
      <c r="F19" s="145">
        <v>200</v>
      </c>
      <c r="G19" s="114"/>
      <c r="H19" s="143"/>
      <c r="I19" s="136"/>
      <c r="J19" s="135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9"/>
      <c r="AK19" s="139"/>
      <c r="AL19" s="140"/>
      <c r="AM19" s="140"/>
    </row>
    <row r="20" spans="1:39" s="131" customFormat="1" ht="14.25">
      <c r="A20" s="148"/>
      <c r="B20" s="149"/>
      <c r="C20" s="150" t="s">
        <v>137</v>
      </c>
      <c r="D20" s="145" t="s">
        <v>134</v>
      </c>
      <c r="E20" s="151">
        <v>50</v>
      </c>
      <c r="F20" s="145">
        <v>250</v>
      </c>
      <c r="G20" s="114"/>
      <c r="H20" s="143"/>
      <c r="I20" s="136"/>
      <c r="J20" s="135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9"/>
      <c r="AK20" s="139"/>
      <c r="AL20" s="140"/>
      <c r="AM20" s="140"/>
    </row>
    <row r="21" spans="1:39" s="131" customFormat="1" ht="14.25">
      <c r="A21" s="148"/>
      <c r="B21" s="149"/>
      <c r="C21" s="150" t="s">
        <v>138</v>
      </c>
      <c r="D21" s="145" t="s">
        <v>128</v>
      </c>
      <c r="E21" s="151">
        <v>100</v>
      </c>
      <c r="F21" s="145">
        <v>300</v>
      </c>
      <c r="G21" s="114"/>
      <c r="H21" s="143"/>
      <c r="I21" s="136"/>
      <c r="J21" s="135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9"/>
      <c r="AK21" s="139"/>
      <c r="AL21" s="140"/>
      <c r="AM21" s="140"/>
    </row>
    <row r="22" spans="1:39" s="96" customFormat="1" ht="14.25">
      <c r="A22" s="110"/>
      <c r="B22" s="111"/>
      <c r="C22" s="112" t="s">
        <v>139</v>
      </c>
      <c r="D22" s="103" t="s">
        <v>140</v>
      </c>
      <c r="E22" s="113">
        <v>100</v>
      </c>
      <c r="F22" s="103">
        <v>800</v>
      </c>
      <c r="G22" s="114"/>
      <c r="H22" s="98"/>
      <c r="I22" s="32"/>
      <c r="J22" s="31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37"/>
      <c r="AL22" s="38"/>
      <c r="AM22" s="38"/>
    </row>
    <row r="23" spans="1:39" s="84" customFormat="1" ht="14.25">
      <c r="A23" s="110"/>
      <c r="B23" s="111"/>
      <c r="C23" s="112"/>
      <c r="D23" s="103"/>
      <c r="E23" s="113"/>
      <c r="F23" s="103"/>
      <c r="G23" s="85"/>
      <c r="H23" s="83"/>
      <c r="I23" s="32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37"/>
      <c r="AL23" s="38"/>
      <c r="AM23" s="38"/>
    </row>
    <row r="24" spans="1:39" ht="15.75" customHeight="1">
      <c r="A24" s="106" t="s">
        <v>78</v>
      </c>
      <c r="B24" s="107"/>
      <c r="C24" s="107" t="s">
        <v>79</v>
      </c>
      <c r="D24" s="92"/>
      <c r="E24" s="108"/>
      <c r="F24" s="102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22"/>
      <c r="AK24" s="22"/>
      <c r="AL24" s="1"/>
      <c r="AM24" s="1"/>
    </row>
    <row r="25" spans="1:39" ht="24">
      <c r="A25" s="28"/>
      <c r="B25" s="44"/>
      <c r="C25" s="45" t="s">
        <v>115</v>
      </c>
      <c r="D25" s="185" t="s">
        <v>75</v>
      </c>
      <c r="E25" s="30">
        <v>15000</v>
      </c>
      <c r="F25" s="188">
        <f>SUM(E25:E28)</f>
        <v>48000</v>
      </c>
      <c r="G25" s="183" t="s">
        <v>76</v>
      </c>
      <c r="H25" s="185" t="s">
        <v>77</v>
      </c>
      <c r="I25" s="31">
        <v>1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22"/>
      <c r="AK25" s="22"/>
    </row>
    <row r="26" spans="1:39" ht="24">
      <c r="A26" s="28"/>
      <c r="B26" s="44"/>
      <c r="C26" s="45" t="s">
        <v>114</v>
      </c>
      <c r="D26" s="186"/>
      <c r="E26" s="30">
        <v>11000</v>
      </c>
      <c r="F26" s="189"/>
      <c r="G26" s="187"/>
      <c r="H26" s="186"/>
      <c r="I26" s="31">
        <v>1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22"/>
      <c r="AK26" s="22"/>
    </row>
    <row r="27" spans="1:39" ht="24">
      <c r="A27" s="28"/>
      <c r="B27" s="44"/>
      <c r="C27" s="45" t="s">
        <v>113</v>
      </c>
      <c r="D27" s="186"/>
      <c r="E27" s="30">
        <v>11000</v>
      </c>
      <c r="F27" s="189"/>
      <c r="G27" s="187"/>
      <c r="H27" s="186"/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</row>
    <row r="28" spans="1:39" ht="24">
      <c r="A28" s="28"/>
      <c r="B28" s="44"/>
      <c r="C28" s="45" t="s">
        <v>116</v>
      </c>
      <c r="D28" s="186"/>
      <c r="E28" s="30">
        <v>11000</v>
      </c>
      <c r="F28" s="189"/>
      <c r="G28" s="187"/>
      <c r="H28" s="186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</row>
    <row r="29" spans="1:39" s="131" customFormat="1" ht="14.25">
      <c r="A29" s="133"/>
      <c r="B29" s="141"/>
      <c r="C29" s="142" t="s">
        <v>111</v>
      </c>
      <c r="D29" s="146" t="s">
        <v>125</v>
      </c>
      <c r="E29" s="134">
        <v>2500</v>
      </c>
      <c r="F29" s="86">
        <f>E29</f>
        <v>2500</v>
      </c>
      <c r="G29" s="153"/>
      <c r="H29" s="152"/>
      <c r="I29" s="135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2"/>
      <c r="AK29" s="132"/>
    </row>
    <row r="30" spans="1:39" ht="15.75" customHeight="1">
      <c r="A30" s="39" t="s">
        <v>80</v>
      </c>
      <c r="B30" s="47"/>
      <c r="C30" s="40" t="s">
        <v>81</v>
      </c>
      <c r="D30" s="91"/>
      <c r="E30" s="48"/>
      <c r="F30" s="49"/>
      <c r="G30" s="50"/>
      <c r="H30" s="39"/>
      <c r="I30" s="51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2"/>
      <c r="AK30" s="22"/>
      <c r="AL30" s="1"/>
      <c r="AM30" s="1"/>
    </row>
    <row r="31" spans="1:39" ht="24">
      <c r="A31" s="28"/>
      <c r="B31" s="46"/>
      <c r="C31" s="88" t="s">
        <v>106</v>
      </c>
      <c r="D31" s="180"/>
      <c r="E31" s="89">
        <v>3000</v>
      </c>
      <c r="F31" s="188">
        <f>SUM(E31:E34)</f>
        <v>11000</v>
      </c>
      <c r="G31" s="183" t="s">
        <v>76</v>
      </c>
      <c r="H31" s="185" t="s">
        <v>77</v>
      </c>
      <c r="I31" s="31">
        <v>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  <c r="AL31" s="1"/>
      <c r="AM31" s="1"/>
    </row>
    <row r="32" spans="1:39" ht="24">
      <c r="A32" s="28"/>
      <c r="B32" s="46"/>
      <c r="C32" s="88" t="s">
        <v>107</v>
      </c>
      <c r="D32" s="181"/>
      <c r="E32" s="89">
        <v>3000</v>
      </c>
      <c r="F32" s="189"/>
      <c r="G32" s="184"/>
      <c r="H32" s="184"/>
      <c r="I32" s="31">
        <v>1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22"/>
      <c r="AK32" s="22"/>
      <c r="AL32" s="1"/>
      <c r="AM32" s="1"/>
    </row>
    <row r="33" spans="1:39" ht="24">
      <c r="A33" s="28"/>
      <c r="B33" s="46"/>
      <c r="C33" s="88" t="s">
        <v>108</v>
      </c>
      <c r="D33" s="181"/>
      <c r="E33" s="89">
        <v>3000</v>
      </c>
      <c r="F33" s="189"/>
      <c r="G33" s="184"/>
      <c r="H33" s="184"/>
      <c r="I33" s="31">
        <v>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22"/>
      <c r="AK33" s="22"/>
      <c r="AL33" s="1"/>
      <c r="AM33" s="1"/>
    </row>
    <row r="34" spans="1:39" ht="15.75" customHeight="1">
      <c r="A34" s="28"/>
      <c r="B34" s="46"/>
      <c r="C34" s="88" t="s">
        <v>110</v>
      </c>
      <c r="D34" s="182"/>
      <c r="E34" s="89">
        <v>2000</v>
      </c>
      <c r="F34" s="189"/>
      <c r="G34" s="184"/>
      <c r="H34" s="184"/>
      <c r="I34" s="31">
        <v>2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2"/>
      <c r="AK34" s="22"/>
      <c r="AL34" s="1"/>
      <c r="AM34" s="1"/>
    </row>
    <row r="35" spans="1:39" ht="15.75" customHeight="1">
      <c r="A35" s="28"/>
      <c r="B35" s="46"/>
      <c r="C35" s="88" t="s">
        <v>112</v>
      </c>
      <c r="D35" s="93"/>
      <c r="E35" s="89">
        <v>40000</v>
      </c>
      <c r="F35" s="95">
        <v>49999</v>
      </c>
      <c r="G35" s="184"/>
      <c r="H35" s="184"/>
      <c r="I35" s="31">
        <v>1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s="126" customFormat="1" ht="15.75" customHeight="1">
      <c r="A36" s="28"/>
      <c r="B36" s="46"/>
      <c r="C36" s="88" t="s">
        <v>118</v>
      </c>
      <c r="D36" s="93"/>
      <c r="E36" s="89">
        <v>45000</v>
      </c>
      <c r="F36" s="95">
        <f>E36*2</f>
        <v>90000</v>
      </c>
      <c r="G36" s="127"/>
      <c r="H36" s="127"/>
      <c r="I36" s="3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s="126" customFormat="1" ht="15.75" customHeight="1">
      <c r="A37" s="28"/>
      <c r="B37" s="46"/>
      <c r="C37" s="88" t="s">
        <v>141</v>
      </c>
      <c r="D37" s="93"/>
      <c r="E37" s="89">
        <v>49990</v>
      </c>
      <c r="F37" s="95">
        <f>49990*2</f>
        <v>99980</v>
      </c>
      <c r="G37" s="127"/>
      <c r="H37" s="127"/>
      <c r="I37" s="31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  <c r="AL37" s="1"/>
      <c r="AM37" s="1"/>
    </row>
    <row r="38" spans="1:39" s="75" customFormat="1" ht="14.25">
      <c r="A38" s="28"/>
      <c r="B38" s="46"/>
      <c r="C38" s="88"/>
      <c r="D38" s="94"/>
      <c r="E38" s="90"/>
      <c r="F38" s="74"/>
      <c r="G38" s="74"/>
      <c r="H38" s="74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11"/>
      <c r="AK38" s="11"/>
      <c r="AL38" s="4"/>
      <c r="AM38" s="4"/>
    </row>
    <row r="39" spans="1:39" ht="25.5" customHeight="1">
      <c r="A39" s="39" t="s">
        <v>82</v>
      </c>
      <c r="B39" s="40"/>
      <c r="C39" s="40" t="s">
        <v>83</v>
      </c>
      <c r="D39" s="92"/>
      <c r="E39" s="42"/>
      <c r="F39" s="43"/>
      <c r="G39" s="41"/>
      <c r="H39" s="41"/>
      <c r="I39" s="78"/>
      <c r="J39" s="78"/>
      <c r="K39" s="78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22"/>
      <c r="AK39" s="22"/>
      <c r="AL39" s="1"/>
      <c r="AM39" s="1"/>
    </row>
    <row r="40" spans="1:39" ht="36">
      <c r="A40" s="28"/>
      <c r="B40" s="46"/>
      <c r="C40" s="46" t="s">
        <v>109</v>
      </c>
      <c r="D40" s="28"/>
      <c r="E40" s="30">
        <v>12000</v>
      </c>
      <c r="F40" s="87">
        <f>E40</f>
        <v>12000</v>
      </c>
      <c r="G40" s="31" t="s">
        <v>76</v>
      </c>
      <c r="H40" s="76" t="s">
        <v>77</v>
      </c>
      <c r="I40" s="79">
        <v>1</v>
      </c>
      <c r="J40" s="80"/>
      <c r="K40" s="80"/>
      <c r="L40" s="77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22"/>
      <c r="AK40" s="22"/>
      <c r="AL40" s="1"/>
      <c r="AM40" s="1"/>
    </row>
    <row r="41" spans="1:39" s="81" customFormat="1" ht="14.25">
      <c r="A41" s="28"/>
      <c r="B41" s="46"/>
      <c r="C41" s="46"/>
      <c r="D41" s="76"/>
      <c r="E41" s="121"/>
      <c r="F41" s="105"/>
      <c r="G41" s="122"/>
      <c r="H41" s="99"/>
      <c r="I41" s="97"/>
      <c r="J41" s="123"/>
      <c r="K41" s="12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22"/>
      <c r="AK41" s="22"/>
      <c r="AL41" s="1"/>
      <c r="AM41" s="1"/>
    </row>
    <row r="42" spans="1:39" s="96" customFormat="1" ht="14.25">
      <c r="A42" s="28"/>
      <c r="B42" s="40"/>
      <c r="C42" s="40" t="s">
        <v>143</v>
      </c>
      <c r="D42" s="92"/>
      <c r="E42" s="42"/>
      <c r="F42" s="43"/>
      <c r="G42" s="41"/>
      <c r="H42" s="41"/>
      <c r="I42" s="78"/>
      <c r="J42" s="78"/>
      <c r="K42" s="7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22"/>
      <c r="AK42" s="22"/>
      <c r="AL42" s="1"/>
      <c r="AM42" s="1"/>
    </row>
    <row r="43" spans="1:39" s="96" customFormat="1" ht="24">
      <c r="A43" s="28"/>
      <c r="B43" s="46"/>
      <c r="C43" s="194" t="s">
        <v>144</v>
      </c>
      <c r="D43" s="128"/>
      <c r="E43" s="195">
        <v>2500</v>
      </c>
      <c r="F43" s="87">
        <f>E43</f>
        <v>2500</v>
      </c>
      <c r="G43" s="129" t="s">
        <v>147</v>
      </c>
      <c r="H43" s="196" t="s">
        <v>77</v>
      </c>
      <c r="I43" s="197">
        <v>1</v>
      </c>
      <c r="J43" s="198"/>
      <c r="K43" s="198"/>
      <c r="L43" s="199"/>
      <c r="M43" s="123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22"/>
      <c r="AK43" s="22"/>
      <c r="AL43" s="1"/>
      <c r="AM43" s="1"/>
    </row>
    <row r="44" spans="1:39" s="131" customFormat="1" ht="24">
      <c r="A44" s="133"/>
      <c r="B44" s="88"/>
      <c r="C44" s="200" t="s">
        <v>145</v>
      </c>
      <c r="D44" s="146"/>
      <c r="E44" s="144">
        <v>2500</v>
      </c>
      <c r="F44" s="201">
        <v>40000</v>
      </c>
      <c r="G44" s="129" t="s">
        <v>147</v>
      </c>
      <c r="H44" s="196" t="s">
        <v>77</v>
      </c>
      <c r="I44" s="130"/>
      <c r="J44" s="80"/>
      <c r="K44" s="80"/>
      <c r="L44" s="124"/>
      <c r="M44" s="124"/>
      <c r="N44" s="7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2"/>
      <c r="AK44" s="132"/>
      <c r="AL44" s="1"/>
      <c r="AM44" s="1"/>
    </row>
    <row r="45" spans="1:39" s="131" customFormat="1" ht="24">
      <c r="A45" s="133"/>
      <c r="B45" s="88"/>
      <c r="C45" s="200" t="s">
        <v>146</v>
      </c>
      <c r="D45" s="146"/>
      <c r="E45" s="144">
        <v>11400</v>
      </c>
      <c r="F45" s="201">
        <v>182400</v>
      </c>
      <c r="G45" s="129" t="s">
        <v>147</v>
      </c>
      <c r="H45" s="196" t="s">
        <v>77</v>
      </c>
      <c r="I45" s="130"/>
      <c r="J45" s="80"/>
      <c r="K45" s="80"/>
      <c r="L45" s="124"/>
      <c r="M45" s="124"/>
      <c r="N45" s="7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2"/>
      <c r="AK45" s="132"/>
      <c r="AL45" s="1"/>
      <c r="AM45" s="1"/>
    </row>
    <row r="46" spans="1:39" ht="21.75" customHeight="1">
      <c r="A46" s="28"/>
      <c r="B46" s="88"/>
      <c r="C46" s="200"/>
      <c r="D46" s="146"/>
      <c r="E46" s="144"/>
      <c r="F46" s="125"/>
      <c r="G46" s="146"/>
      <c r="H46" s="146"/>
      <c r="I46" s="166"/>
      <c r="J46" s="167"/>
      <c r="K46" s="167"/>
      <c r="L46" s="124"/>
      <c r="M46" s="124"/>
      <c r="N46" s="77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22"/>
      <c r="AK46" s="22"/>
    </row>
    <row r="47" spans="1:39" ht="15.75" customHeight="1">
      <c r="A47" s="39" t="s">
        <v>84</v>
      </c>
      <c r="B47" s="40"/>
      <c r="C47" s="107" t="s">
        <v>85</v>
      </c>
      <c r="D47" s="92"/>
      <c r="E47" s="108"/>
      <c r="F47" s="102"/>
      <c r="G47" s="92"/>
      <c r="H47" s="92"/>
      <c r="I47" s="92"/>
      <c r="J47" s="92"/>
      <c r="K47" s="92"/>
      <c r="L47" s="92"/>
      <c r="M47" s="92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22"/>
      <c r="AK47" s="22"/>
    </row>
    <row r="48" spans="1:39" ht="14.25">
      <c r="A48" s="53"/>
      <c r="B48" s="46"/>
      <c r="C48" s="46" t="s">
        <v>117</v>
      </c>
      <c r="D48" s="28"/>
      <c r="E48" s="30">
        <v>40000</v>
      </c>
      <c r="F48" s="52">
        <f>E48</f>
        <v>40000</v>
      </c>
      <c r="G48" s="31"/>
      <c r="H48" s="28"/>
      <c r="I48" s="31"/>
      <c r="J48" s="31">
        <v>1</v>
      </c>
      <c r="K48" s="31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22"/>
      <c r="AK48" s="22"/>
    </row>
    <row r="49" spans="1:37" ht="15.75" customHeight="1">
      <c r="A49" s="54"/>
      <c r="B49" s="3"/>
      <c r="C49" s="3"/>
      <c r="D49" s="1"/>
      <c r="E49" s="7"/>
      <c r="F49" s="8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thickBot="1">
      <c r="A50" s="55" t="s">
        <v>86</v>
      </c>
      <c r="B50" s="3"/>
      <c r="C50" s="3"/>
      <c r="D50" s="171">
        <f>SUM(F12:F48)</f>
        <v>586099</v>
      </c>
      <c r="E50" s="172"/>
      <c r="F50" s="172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hidden="1" customHeight="1">
      <c r="A51" s="56" t="s">
        <v>87</v>
      </c>
      <c r="B51" s="57"/>
      <c r="C51" s="57"/>
      <c r="D51" s="173">
        <f>PRODUCT(D50,0.1)</f>
        <v>58609.9</v>
      </c>
      <c r="E51" s="174"/>
      <c r="F51" s="175"/>
      <c r="G51" s="9"/>
      <c r="H51" s="9"/>
      <c r="I51" s="176"/>
      <c r="J51" s="158"/>
      <c r="K51" s="176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58"/>
      <c r="AI51" s="1"/>
      <c r="AJ51" s="1"/>
      <c r="AK51" s="1"/>
    </row>
    <row r="52" spans="1:37" ht="15.75" hidden="1" customHeight="1">
      <c r="A52" s="59" t="s">
        <v>88</v>
      </c>
      <c r="B52" s="60"/>
      <c r="C52" s="60"/>
      <c r="D52" s="177">
        <f>PRODUCT(D50,0.1)</f>
        <v>58609.9</v>
      </c>
      <c r="E52" s="178"/>
      <c r="F52" s="179"/>
      <c r="G52" s="9"/>
      <c r="H52" s="9"/>
      <c r="I52" s="61"/>
      <c r="J52" s="61"/>
      <c r="K52" s="170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62"/>
      <c r="AI52" s="1"/>
      <c r="AJ52" s="1"/>
      <c r="AK52" s="1"/>
    </row>
    <row r="53" spans="1:37" ht="15.75" hidden="1" customHeight="1">
      <c r="A53" s="59" t="s">
        <v>89</v>
      </c>
      <c r="B53" s="60"/>
      <c r="C53" s="60"/>
      <c r="D53" s="177">
        <f>SUM(D50:F52)</f>
        <v>703318.8</v>
      </c>
      <c r="E53" s="178"/>
      <c r="F53" s="179"/>
      <c r="G53" s="9"/>
      <c r="H53" s="9"/>
      <c r="I53" s="61"/>
      <c r="J53" s="61"/>
      <c r="K53" s="170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62"/>
      <c r="AI53" s="1"/>
      <c r="AJ53" s="1"/>
      <c r="AK53" s="1"/>
    </row>
    <row r="54" spans="1:37" ht="15.75" customHeight="1" thickTop="1">
      <c r="A54" s="63"/>
      <c r="B54" s="3"/>
      <c r="C54" s="3"/>
      <c r="D54" s="1"/>
      <c r="E54" s="7"/>
      <c r="F54" s="8"/>
      <c r="G54" s="9"/>
      <c r="H54" s="9"/>
      <c r="I54" s="61"/>
      <c r="J54" s="61"/>
      <c r="K54" s="170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62"/>
      <c r="AI54" s="1"/>
      <c r="AJ54" s="1"/>
      <c r="AK54" s="1"/>
    </row>
    <row r="55" spans="1:37" ht="15.75" customHeight="1">
      <c r="A55" s="64" t="s">
        <v>90</v>
      </c>
      <c r="B55" s="3"/>
      <c r="C55" s="3"/>
      <c r="D55" s="1"/>
      <c r="E55" s="7"/>
      <c r="F55" s="8"/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>
      <c r="A56" s="11"/>
      <c r="B56" s="3"/>
      <c r="C56" s="3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>
      <c r="A57" s="65" t="s">
        <v>91</v>
      </c>
      <c r="B57" s="66"/>
      <c r="C57" s="66"/>
      <c r="D57" s="67" t="s">
        <v>92</v>
      </c>
      <c r="E57" s="68"/>
      <c r="F57" s="8"/>
      <c r="G57" s="67" t="s">
        <v>93</v>
      </c>
      <c r="H57" s="1"/>
      <c r="I57" s="1"/>
      <c r="J57" s="67" t="s">
        <v>94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1"/>
    </row>
    <row r="58" spans="1:37" ht="15.75" customHeight="1">
      <c r="A58" s="65"/>
      <c r="B58" s="66"/>
      <c r="C58" s="66"/>
      <c r="D58" s="1"/>
      <c r="E58" s="68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61"/>
      <c r="AK58" s="61"/>
    </row>
    <row r="59" spans="1:37" ht="15.75" customHeight="1">
      <c r="A59" s="69"/>
      <c r="B59" s="66"/>
      <c r="C59" s="66"/>
      <c r="D59" s="1"/>
      <c r="E59" s="68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61"/>
      <c r="AK59" s="61"/>
    </row>
    <row r="60" spans="1:37" ht="15.75" customHeight="1">
      <c r="A60" s="168" t="s">
        <v>104</v>
      </c>
      <c r="B60" s="158"/>
      <c r="C60" s="158"/>
      <c r="D60" s="67" t="s">
        <v>95</v>
      </c>
      <c r="E60" s="68"/>
      <c r="F60" s="8"/>
      <c r="G60" s="67" t="s">
        <v>96</v>
      </c>
      <c r="H60" s="1"/>
      <c r="I60" s="1"/>
      <c r="J60" s="67" t="s">
        <v>97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customHeight="1">
      <c r="A61" s="169" t="s">
        <v>98</v>
      </c>
      <c r="B61" s="158"/>
      <c r="C61" s="158"/>
      <c r="D61" s="70" t="s">
        <v>99</v>
      </c>
      <c r="E61" s="68"/>
      <c r="F61" s="8"/>
      <c r="G61" s="70" t="s">
        <v>100</v>
      </c>
      <c r="H61" s="1"/>
      <c r="I61" s="1"/>
      <c r="J61" s="70" t="s">
        <v>101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61"/>
      <c r="AK61" s="61"/>
    </row>
    <row r="62" spans="1:37" ht="15.75" customHeight="1">
      <c r="A62" s="70"/>
      <c r="B62" s="71"/>
      <c r="C62" s="71"/>
      <c r="D62" s="1"/>
      <c r="E62" s="68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>
      <c r="A63" s="70" t="s">
        <v>102</v>
      </c>
      <c r="B63" s="71"/>
      <c r="C63" s="71"/>
      <c r="D63" s="70" t="s">
        <v>103</v>
      </c>
      <c r="E63" s="68"/>
      <c r="F63" s="8"/>
      <c r="G63" s="70" t="s">
        <v>103</v>
      </c>
      <c r="H63" s="1"/>
      <c r="I63" s="1"/>
      <c r="J63" s="70" t="s">
        <v>103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>
      <c r="B64" s="72"/>
      <c r="C64" s="72"/>
      <c r="D64" s="1"/>
      <c r="E64" s="7"/>
      <c r="F64" s="8"/>
      <c r="G64" s="9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2:35" ht="15.75" customHeight="1">
      <c r="B65" s="72"/>
      <c r="C65" s="72"/>
      <c r="D65" s="1"/>
      <c r="E65" s="7"/>
      <c r="F65" s="8"/>
      <c r="G65" s="9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2:35" ht="15.75" customHeight="1">
      <c r="B66" s="72"/>
      <c r="C66" s="72"/>
      <c r="D66" s="1"/>
      <c r="E66" s="7"/>
      <c r="F66" s="8"/>
      <c r="G66" s="9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2:35" ht="15.75" customHeight="1">
      <c r="B67" s="72"/>
      <c r="C67" s="72"/>
      <c r="D67" s="1"/>
      <c r="E67" s="7"/>
      <c r="F67" s="8"/>
      <c r="G67" s="9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2:35" ht="15.75" customHeight="1">
      <c r="B68" s="72"/>
      <c r="C68" s="72"/>
      <c r="D68" s="1"/>
      <c r="E68" s="7"/>
      <c r="F68" s="8"/>
      <c r="G68" s="9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2:35" ht="15.75" customHeight="1">
      <c r="B69" s="72"/>
      <c r="C69" s="72"/>
      <c r="D69" s="1"/>
      <c r="E69" s="7"/>
      <c r="F69" s="8"/>
      <c r="G69" s="9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2:35" ht="15.75" customHeight="1">
      <c r="B70" s="72"/>
      <c r="C70" s="72"/>
      <c r="D70" s="1"/>
      <c r="E70" s="7"/>
      <c r="F70" s="8"/>
      <c r="G70" s="9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2:35" ht="15.75" customHeight="1">
      <c r="E71" s="73"/>
    </row>
    <row r="72" spans="2:35" ht="15.75" customHeight="1">
      <c r="E72" s="73"/>
    </row>
    <row r="73" spans="2:35" ht="15.75" customHeight="1">
      <c r="E73" s="73"/>
    </row>
    <row r="74" spans="2:35" ht="15.75" customHeight="1">
      <c r="E74" s="73"/>
    </row>
    <row r="75" spans="2:35" ht="15.75" customHeight="1">
      <c r="E75" s="73"/>
    </row>
    <row r="76" spans="2:35" ht="15.75" customHeight="1">
      <c r="E76" s="73"/>
    </row>
    <row r="77" spans="2:35" ht="15.75" customHeight="1">
      <c r="E77" s="73"/>
    </row>
    <row r="78" spans="2:35" ht="15.75" customHeight="1">
      <c r="E78" s="73"/>
    </row>
    <row r="79" spans="2:35" ht="15.75" customHeight="1">
      <c r="E79" s="73"/>
    </row>
    <row r="80" spans="2:35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5:5" ht="15.75" customHeight="1">
      <c r="E241" s="73"/>
    </row>
    <row r="242" spans="5:5" ht="15.75" customHeight="1">
      <c r="E242" s="73"/>
    </row>
    <row r="243" spans="5:5" ht="15.75" customHeight="1">
      <c r="E243" s="73"/>
    </row>
    <row r="244" spans="5:5" ht="15.75" customHeight="1">
      <c r="E244" s="73"/>
    </row>
    <row r="245" spans="5:5" ht="15.75" customHeight="1">
      <c r="E245" s="73"/>
    </row>
    <row r="246" spans="5:5" ht="15.75" customHeight="1">
      <c r="E246" s="73"/>
    </row>
    <row r="247" spans="5:5" ht="15.75" customHeight="1">
      <c r="E247" s="73"/>
    </row>
    <row r="248" spans="5:5" ht="15.75" customHeight="1">
      <c r="E248" s="73"/>
    </row>
    <row r="249" spans="5:5" ht="15.75" customHeight="1">
      <c r="E249" s="73"/>
    </row>
    <row r="250" spans="5:5" ht="15.75" customHeight="1">
      <c r="E250" s="73"/>
    </row>
    <row r="251" spans="5:5" ht="15.75" customHeight="1">
      <c r="E251" s="73"/>
    </row>
    <row r="252" spans="5:5" ht="15.75" customHeight="1">
      <c r="E252" s="73"/>
    </row>
    <row r="253" spans="5:5" ht="15.75" customHeight="1">
      <c r="E253" s="73"/>
    </row>
    <row r="254" spans="5:5" ht="15.75" customHeight="1">
      <c r="E254" s="73"/>
    </row>
    <row r="255" spans="5:5" ht="15.75" customHeight="1">
      <c r="E255" s="73"/>
    </row>
    <row r="256" spans="5:5" ht="15.75" customHeight="1">
      <c r="E256" s="73"/>
    </row>
    <row r="257" spans="2:5" ht="15.75" customHeight="1">
      <c r="E257" s="73"/>
    </row>
    <row r="258" spans="2:5" ht="15.75" customHeight="1">
      <c r="E258" s="73"/>
    </row>
    <row r="259" spans="2:5" ht="15.75" customHeight="1">
      <c r="E259" s="73"/>
    </row>
    <row r="260" spans="2:5" ht="15.75" customHeight="1">
      <c r="E260" s="73"/>
    </row>
    <row r="261" spans="2:5" ht="15.75" customHeight="1">
      <c r="E261" s="73"/>
    </row>
    <row r="262" spans="2:5" ht="15.75" customHeight="1">
      <c r="E262" s="73"/>
    </row>
    <row r="263" spans="2:5" ht="15.75" customHeight="1">
      <c r="E263" s="73"/>
    </row>
    <row r="264" spans="2:5" ht="15.75" customHeight="1">
      <c r="B264" s="72"/>
      <c r="C264" s="72"/>
    </row>
    <row r="265" spans="2:5" ht="15.75" customHeight="1">
      <c r="B265" s="72"/>
      <c r="C265" s="72"/>
    </row>
    <row r="266" spans="2:5" ht="15.75" customHeight="1">
      <c r="B266" s="72"/>
      <c r="C266" s="72"/>
    </row>
    <row r="267" spans="2:5" ht="15.75" customHeight="1">
      <c r="B267" s="72"/>
      <c r="C267" s="72"/>
    </row>
    <row r="268" spans="2:5" ht="15.75" customHeight="1">
      <c r="B268" s="72"/>
      <c r="C268" s="72"/>
    </row>
    <row r="269" spans="2:5" ht="15.75" customHeight="1">
      <c r="B269" s="72"/>
      <c r="C269" s="72"/>
    </row>
    <row r="270" spans="2:5" ht="15.75" customHeight="1">
      <c r="B270" s="72"/>
      <c r="C270" s="72"/>
    </row>
    <row r="271" spans="2:5" ht="15.75" customHeight="1">
      <c r="B271" s="72"/>
      <c r="C271" s="72"/>
    </row>
    <row r="272" spans="2:5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  <row r="999" spans="2:3" ht="15.75" customHeight="1">
      <c r="B999" s="72"/>
      <c r="C999" s="72"/>
    </row>
    <row r="1000" spans="2:3" ht="15.75" customHeight="1">
      <c r="B1000" s="72"/>
      <c r="C1000" s="72"/>
    </row>
    <row r="1001" spans="2:3" ht="15.75" customHeight="1">
      <c r="B1001" s="72"/>
      <c r="C1001" s="72"/>
    </row>
    <row r="1002" spans="2:3" ht="15.75" customHeight="1">
      <c r="B1002" s="72"/>
      <c r="C1002" s="72"/>
    </row>
    <row r="1003" spans="2:3" ht="15.75" customHeight="1">
      <c r="B1003" s="72"/>
      <c r="C1003" s="72"/>
    </row>
    <row r="1004" spans="2:3" ht="15.75" customHeight="1">
      <c r="B1004" s="72"/>
      <c r="C1004" s="72"/>
    </row>
    <row r="1005" spans="2:3" ht="15.75" customHeight="1">
      <c r="B1005" s="72"/>
      <c r="C1005" s="72"/>
    </row>
    <row r="1006" spans="2:3" ht="15.75" customHeight="1">
      <c r="B1006" s="72"/>
      <c r="C1006" s="72"/>
    </row>
    <row r="1007" spans="2:3" ht="15.75" customHeight="1">
      <c r="B1007" s="72"/>
      <c r="C1007" s="72"/>
    </row>
  </sheetData>
  <mergeCells count="34">
    <mergeCell ref="G12:G16"/>
    <mergeCell ref="H12:H13"/>
    <mergeCell ref="H14:H15"/>
    <mergeCell ref="H31:H35"/>
    <mergeCell ref="F8:F9"/>
    <mergeCell ref="G8:G9"/>
    <mergeCell ref="H8:H9"/>
    <mergeCell ref="H25:H28"/>
    <mergeCell ref="F31:F34"/>
    <mergeCell ref="D31:D34"/>
    <mergeCell ref="G31:G35"/>
    <mergeCell ref="D25:D28"/>
    <mergeCell ref="G25:G28"/>
    <mergeCell ref="F25:F28"/>
    <mergeCell ref="I46:K46"/>
    <mergeCell ref="A60:C60"/>
    <mergeCell ref="A61:C61"/>
    <mergeCell ref="K53:AG53"/>
    <mergeCell ref="K54:AG54"/>
    <mergeCell ref="D50:F50"/>
    <mergeCell ref="D51:F51"/>
    <mergeCell ref="I51:J51"/>
    <mergeCell ref="K51:AG51"/>
    <mergeCell ref="D52:F52"/>
    <mergeCell ref="K52:AG52"/>
    <mergeCell ref="D53:F53"/>
    <mergeCell ref="I8:AI8"/>
    <mergeCell ref="A1:AI1"/>
    <mergeCell ref="A2:AI2"/>
    <mergeCell ref="A3:AI3"/>
    <mergeCell ref="A8:A9"/>
    <mergeCell ref="B8:B9"/>
    <mergeCell ref="C8:C9"/>
    <mergeCell ref="E8:E9"/>
  </mergeCells>
  <pageMargins left="0.7" right="0.42553191489361708" top="0.93617021276595747" bottom="0.80851063829787229" header="0" footer="0"/>
  <pageSetup paperSize="1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2024-07-30T01:47:33Z</dcterms:modified>
</cp:coreProperties>
</file>