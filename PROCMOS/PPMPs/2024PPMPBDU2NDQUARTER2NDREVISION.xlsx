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 PPMP BDU Rev 2" sheetId="1" r:id="rId4"/>
    <sheet state="hidden" name=" 2024 PPMP BDU 1" sheetId="2" r:id="rId5"/>
    <sheet state="hidden" name="PPMP BDU 1 as of March 7, 2024" sheetId="3" r:id="rId6"/>
    <sheet state="hidden" name="JAN - MARCH 2024" sheetId="4" r:id="rId7"/>
    <sheet state="visible" name="APRIL - JUNE 2024" sheetId="5" r:id="rId8"/>
    <sheet state="hidden" name="Copy of APRIL - JUNE 2024" sheetId="6" r:id="rId9"/>
    <sheet state="hidden" name="Copy of APRIL - JUNE" sheetId="7" r:id="rId10"/>
    <sheet state="hidden" name="Copy of 2024 PPMP BDU" sheetId="8" r:id="rId11"/>
    <sheet state="hidden" name="PPMP Sample" sheetId="9" r:id="rId12"/>
  </sheets>
  <definedNames/>
  <calcPr/>
  <extLst>
    <ext uri="GoogleSheetsCustomDataVersion2">
      <go:sheetsCustomData xmlns:go="http://customooxmlschemas.google.com/" r:id="rId13" roundtripDataChecksum="UG7SDEPF+sCOgs5IOggD+mNeFXfhKeVjD6kygIw3jM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3">
      <text>
        <t xml:space="preserve">======
ID#AAABEd1cmkU
upmnih    (2021-04-08 04:25:07)
Submitted by: Project Leader</t>
      </text>
    </comment>
    <comment authorId="0" ref="A93">
      <text>
        <t xml:space="preserve">======
ID#AAABEd1cmkg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mLQh4WIwg3nJxRvqM61COZwQt+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6">
      <text>
        <t xml:space="preserve">======
ID#AAABEd1cmkY
upmnih    (2021-04-08 04:25:07)
Prepared by: Project Staff/ Research Associate</t>
      </text>
    </comment>
    <comment authorId="0" ref="C86">
      <text>
        <t xml:space="preserve">======
ID#AAABEd1cmkc
upmnih    (2021-04-08 04:25:07)
Submitted by: Project Leader</t>
      </text>
    </comment>
  </commentList>
  <extLst>
    <ext uri="GoogleSheetsCustomDataVersion2">
      <go:sheetsCustomData xmlns:go="http://customooxmlschemas.google.com/" r:id="rId1" roundtripDataSignature="AMtx7mil/eg7WZoedK5kC8rO6lOO2XZnig=="/>
    </ext>
  </extLst>
</comments>
</file>

<file path=xl/sharedStrings.xml><?xml version="1.0" encoding="utf-8"?>
<sst xmlns="http://schemas.openxmlformats.org/spreadsheetml/2006/main" count="2253" uniqueCount="412">
  <si>
    <t xml:space="preserve">  PROJECT PROCUREMENT MANAGEMENT PLAN (PPMP) 2024</t>
  </si>
  <si>
    <t>For 1st Quarter of CY 2024</t>
  </si>
  <si>
    <t>END-USER/UNIT: RDD-CDABUS</t>
  </si>
  <si>
    <t>Charged to: “Functional Philippine Camouflage Fabric for Field Service Uniform(FSU)/ Battle Dress Unifom(BDU) Application”</t>
  </si>
  <si>
    <t>Projects, Programs and Activities (PAPs)</t>
  </si>
  <si>
    <t>CODE</t>
  </si>
  <si>
    <t>GENERAL DESCRIPTION</t>
  </si>
  <si>
    <t>QUANTITY/</t>
  </si>
  <si>
    <t>UNIT OF MEASURE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</si>
  <si>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</si>
  <si>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</si>
  <si>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</si>
  <si>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</si>
  <si>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</si>
  <si>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</si>
  <si>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</si>
  <si>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</si>
  <si>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</si>
  <si>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</si>
  <si>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</si>
  <si>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</si>
  <si>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</si>
  <si>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</si>
  <si>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</si>
  <si>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</si>
  <si>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</si>
  <si>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</si>
  <si>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</si>
  <si>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</si>
  <si>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OPS</t>
  </si>
  <si>
    <t>Customized Corporate Polo Shirt with Logo Embroidery</t>
  </si>
  <si>
    <t>40 pcs.</t>
  </si>
  <si>
    <t>Negotiated Procurement</t>
  </si>
  <si>
    <t>Printing Services (Camouflage Print 2)</t>
  </si>
  <si>
    <t>1 lot</t>
  </si>
  <si>
    <t xml:space="preserve">Sewing Services for the Battle Dress Uniform </t>
  </si>
  <si>
    <t>10 lots</t>
  </si>
  <si>
    <t>Professional Weaving Services (Natural Textile Fiber (NTF) blended yarns)</t>
  </si>
  <si>
    <t>200 lots</t>
  </si>
  <si>
    <t>Abrasion Resistance</t>
  </si>
  <si>
    <t>3 samples</t>
  </si>
  <si>
    <t>Agency to Agency</t>
  </si>
  <si>
    <t>Strength and Elongation (single strand, ASTM D 2256 / ASTM D 2256 M)</t>
  </si>
  <si>
    <t>Evenness (ASTM D 1425 / ASTM D 1425M)</t>
  </si>
  <si>
    <t>Hairiness (ASTM D 5647)</t>
  </si>
  <si>
    <t>Yarn shrinkage (oven, ASTM D 2259 single yarns)</t>
  </si>
  <si>
    <t>Yarn number (Skein, ASTM D 1907)</t>
  </si>
  <si>
    <t>Yarn twist (single, ASTM D 1423)</t>
  </si>
  <si>
    <t>FESEM Imaging</t>
  </si>
  <si>
    <t>25 samples</t>
  </si>
  <si>
    <t>Thermogravimetric Analysis</t>
  </si>
  <si>
    <t>Differential Scanning Calorimetry</t>
  </si>
  <si>
    <t>Laboratory Supplies Expenses</t>
  </si>
  <si>
    <t xml:space="preserve">Sodium Hydroxide,CAS # 1310-73-2, AR grade, 1 kg/bottle
</t>
  </si>
  <si>
    <t>15 btls</t>
  </si>
  <si>
    <t>Small Value Procurement</t>
  </si>
  <si>
    <t>Sodium Sulfite, anhydrous, AR grade, CAS # 7757-83-7, 500 g/bottle</t>
  </si>
  <si>
    <t>Acetone, CAS # 67-64-1, AR Grade, 2.5 L/bottle</t>
  </si>
  <si>
    <t>10 btls</t>
  </si>
  <si>
    <t>Other Supplies and Materials Expenses</t>
  </si>
  <si>
    <t xml:space="preserve">Customized Certificate Holder </t>
  </si>
  <si>
    <t>20 pcs</t>
  </si>
  <si>
    <t>Bag Tag</t>
  </si>
  <si>
    <t>Upgraded Box Packaging</t>
  </si>
  <si>
    <t>Infinity scarf</t>
  </si>
  <si>
    <t>10 pcs</t>
  </si>
  <si>
    <t>Headband belt</t>
  </si>
  <si>
    <t>Bamboo Lei</t>
  </si>
  <si>
    <t>Corrugated Box</t>
  </si>
  <si>
    <t>Sign Pen, Blue, 0.5mm</t>
  </si>
  <si>
    <t>30 pcs</t>
  </si>
  <si>
    <t>Mobile Prepaid Load Cards (Smart – 100 pesos load)</t>
  </si>
  <si>
    <t>40 pcs</t>
  </si>
  <si>
    <t>Mobile Prepaid Load Cards (Globe – 100 pesos load)</t>
  </si>
  <si>
    <t>P.E. Plastic Bag (20x30 inches, 0.002 inches (thickness) 50pcs/pack)</t>
  </si>
  <si>
    <t>10 packs</t>
  </si>
  <si>
    <t>P.E. Plastic Bag (25x50 inches, 0.002 inches (thickness) 50pcs/pack</t>
  </si>
  <si>
    <t>P.E. Plastic Bag (40x60 inches, 0.002 inches (thickness) 50pcs/pack)</t>
  </si>
  <si>
    <t>Nitrile Gloves (Medium)</t>
  </si>
  <si>
    <t>10 boxes</t>
  </si>
  <si>
    <t>Nitrile Gloves (Large)</t>
  </si>
  <si>
    <t>Labgown (Medium)</t>
  </si>
  <si>
    <t>6 pcs</t>
  </si>
  <si>
    <t>Labgown (Large)</t>
  </si>
  <si>
    <t>Mask</t>
  </si>
  <si>
    <t>Facial Tissue</t>
  </si>
  <si>
    <t>Rolled Tissue</t>
  </si>
  <si>
    <t>Parafilm</t>
  </si>
  <si>
    <t>10 rolls</t>
  </si>
  <si>
    <t>Ziplock (Small)</t>
  </si>
  <si>
    <t>Ziplock (Medium)</t>
  </si>
  <si>
    <t>Ziplock (Large)</t>
  </si>
  <si>
    <t>Ziplock (Extra Large)</t>
  </si>
  <si>
    <t>Office Equipment</t>
  </si>
  <si>
    <t>Laboratory Equipment</t>
  </si>
  <si>
    <t>Customized stainless bucket with cover and water tap</t>
  </si>
  <si>
    <t>Industrial filter paper, 60x60 cm</t>
  </si>
  <si>
    <t>5 packs</t>
  </si>
  <si>
    <t>Electrical Cables; Royal Cord, 3 Core</t>
  </si>
  <si>
    <t>2 units</t>
  </si>
  <si>
    <t>Electrical Breaker</t>
  </si>
  <si>
    <t>6 units</t>
  </si>
  <si>
    <t>Uninterruptible Power Supply</t>
  </si>
  <si>
    <t>Gooch Glass Filter</t>
  </si>
  <si>
    <t>24 pcs</t>
  </si>
  <si>
    <t>Beakers, borosilicate glass, 2L</t>
  </si>
  <si>
    <t>Beakers, borosilicate glass, 1L</t>
  </si>
  <si>
    <t>15 pcs</t>
  </si>
  <si>
    <t>Beakers, borosilicate glass, 500 mL</t>
  </si>
  <si>
    <t>Glass Cylinders</t>
  </si>
  <si>
    <t>pcs</t>
  </si>
  <si>
    <t>SSD external hard drive</t>
  </si>
  <si>
    <t>3 pcs</t>
  </si>
  <si>
    <t>Brown cones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</si>
  <si>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</si>
  <si>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</si>
  <si>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</si>
  <si>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</si>
  <si>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</si>
  <si>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</si>
  <si>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</si>
  <si>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</si>
  <si>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</si>
  <si>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</si>
  <si>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________________________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</si>
  <si>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</si>
  <si>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</si>
  <si>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</si>
  <si>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</si>
  <si>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</si>
  <si>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</si>
  <si>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</si>
  <si>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</si>
  <si>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Graduated cylinder, borosilicate glass, 1L</t>
  </si>
  <si>
    <t>Graduated cylinder, borosilicate glass, 500 mL</t>
  </si>
  <si>
    <t>Graduated cylinder, borosilicate glass, 100 mL</t>
  </si>
  <si>
    <t>Office Partition</t>
  </si>
  <si>
    <t>lots</t>
  </si>
  <si>
    <t>Industrial air compressor</t>
  </si>
  <si>
    <t>lot</t>
  </si>
  <si>
    <t>Other Professional Services</t>
  </si>
  <si>
    <t>Shopping</t>
  </si>
  <si>
    <t xml:space="preserve">
20-calendar days
30-calendar days
30-calendar days
30-calendar days
30-calendar days
30-calendar days
30-calendar days
30-calendar days
5-10 working days upon reeived of PO
</t>
  </si>
  <si>
    <t>20-calendar days</t>
  </si>
  <si>
    <t>10 Raw data files</t>
  </si>
  <si>
    <t>samples</t>
  </si>
  <si>
    <t>30-calendar days</t>
  </si>
  <si>
    <t>Negotaited - Small Value Procurement</t>
  </si>
  <si>
    <t>Shopping / Direct Retail</t>
  </si>
  <si>
    <t>Negotiated Procurement-Small Value Procurement</t>
  </si>
  <si>
    <t xml:space="preserve"> 
30-calendar days</t>
  </si>
  <si>
    <t>Paper fastener, 2" thick, metal, 70mm between prongs</t>
  </si>
  <si>
    <t>boxes</t>
  </si>
  <si>
    <t>Sticky Note, 2"x3" size, color yellow</t>
  </si>
  <si>
    <t>pcs.</t>
  </si>
  <si>
    <t>Sticky Note, 3"x3" size, color yellow</t>
  </si>
  <si>
    <t>Folder with tab legal, 100pcs/pack</t>
  </si>
  <si>
    <t>packs</t>
  </si>
  <si>
    <t>Rubber band, No. 18</t>
  </si>
  <si>
    <t>Pressboard folder, 100pcs/box</t>
  </si>
  <si>
    <t>box</t>
  </si>
  <si>
    <t>DATA FOLDER, made of chipboard, taglia lock</t>
  </si>
  <si>
    <t>Office Supply and  Equipment</t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</si>
  <si>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</si>
  <si>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</si>
  <si>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t>24/02-0048 dtd.
2-16-2024</t>
  </si>
  <si>
    <t>0210-24 dtd.
2-16-2024</t>
  </si>
  <si>
    <t>Office Services</t>
  </si>
  <si>
    <r>
      <rPr>
        <rFont val="Arial"/>
        <b/>
        <color theme="1"/>
        <sz val="9.0"/>
      </rPr>
      <t xml:space="preserve">Sewing Services for the Battle Dress Uniform
</t>
    </r>
    <r>
      <rPr>
        <rFont val="Arial"/>
        <b val="0"/>
        <i/>
        <color theme="1"/>
        <sz val="9.0"/>
      </rPr>
      <t>Inclusions:</t>
    </r>
    <r>
      <rPr>
        <rFont val="Arial"/>
        <b val="0"/>
        <color theme="1"/>
        <sz val="9.0"/>
      </rPr>
      <t xml:space="preserve">
Pattern/ cut/ sewn complete set of military uniform 
(jacket, pants, and ball cap)
Material: Lyocell/Bamboo fabrics
</t>
    </r>
    <r>
      <rPr>
        <rFont val="Arial"/>
        <b/>
        <color theme="1"/>
        <sz val="9.0"/>
      </rPr>
      <t>Turn Around Time: 10 calendar days</t>
    </r>
  </si>
  <si>
    <t>Cash Advance</t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</si>
  <si>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BIG PIX Graphics System, 
8837 Sampaloc St., San Antonio Village, Makati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</si>
  <si>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BIG PIX Graphics System, 
8837 Sampaloc St., San Antonio Village, Makati City</t>
    </r>
  </si>
  <si>
    <t xml:space="preserve">1 lot </t>
  </si>
  <si>
    <t>24/01 0046 dtd.
01-23-2024</t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</si>
  <si>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</si>
  <si>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</si>
  <si>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Research and Development Center, 
Army Support Command, Philippine Army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Address: Camp Alejandro Melchor Sr., Libis, Quezon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</si>
  <si>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Research and Development Center, 
Army Support Command, Philippine Army
Address: Camp Alejandro Melchor Sr., Libis, Quezon</t>
    </r>
  </si>
  <si>
    <t>24/02 0056 dtd.
02-07-2024</t>
  </si>
  <si>
    <t>Black Ink BTD60 for HL-T4000DW printer (Ink bottle twin pack)</t>
  </si>
  <si>
    <t>1 pack</t>
  </si>
  <si>
    <t>Petty Cash Fund</t>
  </si>
  <si>
    <t>Payment for the Application Fee of Waiver under PD 1466 to DTI-FTEB</t>
  </si>
  <si>
    <t>24/02 055 dtd.
02-07-2023</t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</si>
  <si>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</si>
  <si>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</si>
  <si>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t>20 pax</t>
  </si>
  <si>
    <t>2402/0073 dtd. 
02-16-2024</t>
  </si>
  <si>
    <r>
      <rPr>
        <rFont val="Arial"/>
        <b/>
        <color theme="1"/>
        <sz val="9.0"/>
      </rPr>
      <t xml:space="preserve">Meals Lunch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</si>
  <si>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>Meals Lunch</t>
    </r>
    <r>
      <rPr>
        <rFont val="Arial"/>
        <b/>
        <color theme="1"/>
        <sz val="9.0"/>
      </rPr>
      <t xml:space="preserve">
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</si>
  <si>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 val="0"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</si>
  <si>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</si>
  <si>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t>2402/0079 dtd.
02-21-2024</t>
  </si>
  <si>
    <t>n/a</t>
  </si>
  <si>
    <t>GRAB CAR</t>
  </si>
  <si>
    <t>Ammonium Iron (II) Sulfate Hexahydrate, 500 g, AR, CAS # 7783-85-9
1, 10-Phenanthroline Monohydrate, 5g, AR, 5144-89-8</t>
  </si>
  <si>
    <t>10 bottles
10 bottles</t>
  </si>
  <si>
    <t>3,000.00
1,800.00</t>
  </si>
  <si>
    <t>5-10 working days upon reeived of PO</t>
  </si>
  <si>
    <t>2309-2131 dtd.
09-22-2023</t>
  </si>
  <si>
    <t>2183-23 dtd.
09-26-2023</t>
  </si>
  <si>
    <t>23-1006 dtd.
11-8-2023</t>
  </si>
  <si>
    <t>2311-1230 dtd.
11-28-2023</t>
  </si>
  <si>
    <t>ALDERCHEM TRADING</t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</si>
  <si>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</si>
  <si>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rFont val="Arial"/>
        <b/>
        <color theme="1"/>
        <sz val="9.0"/>
      </rPr>
      <t xml:space="preserve">Customized Corporate Polo Shirt with Logo Embroidery
</t>
    </r>
    <r>
      <rPr>
        <rFont val="Arial"/>
        <b val="0"/>
        <color theme="1"/>
        <sz val="9.0"/>
      </rPr>
      <t>Material: Honeycomb
Logo Embroidery: COMBATex Program Logo, PTRI
Fabric Color: Battle Green/Army Green
Various Sizes:
-Small: Six (6) pieces
-Medium: Twelve (12) pieces
-Large: Eleven (11) pieces
-Extra Large: Eight (8) pieces
-Double Extra Large: Three (3) pieces
Delivery Period: 30 Calendar days</t>
    </r>
  </si>
  <si>
    <r>
      <rPr>
        <rFont val="Arial"/>
        <b/>
        <color theme="1"/>
        <sz val="9.0"/>
      </rPr>
      <t xml:space="preserve">Sewing Services for the Battle Dress Uniform
</t>
    </r>
    <r>
      <rPr>
        <rFont val="Arial"/>
        <b val="0"/>
        <i/>
        <color theme="1"/>
        <sz val="9.0"/>
      </rPr>
      <t>Inclusions:</t>
    </r>
    <r>
      <rPr>
        <rFont val="Arial"/>
        <b val="0"/>
        <color theme="1"/>
        <sz val="9.0"/>
      </rPr>
      <t xml:space="preserve">
Pattern/ cut/ sewn complete set of military uniform 
(jacket, pants, and ball cap)
Material: Lyocell/Bamboo fabrics
</t>
    </r>
    <r>
      <rPr>
        <rFont val="Arial"/>
        <b/>
        <color theme="1"/>
        <sz val="9.0"/>
      </rPr>
      <t>Turn Around Time: 10 calendar days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</si>
  <si>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BIG PIX Graphics System, 
8837 Sampaloc St., San Antonio Village, Makati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</si>
  <si>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BIG PIX Graphics System, 
8837 Sampaloc St., San Antonio Village, Makati City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</si>
  <si>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</si>
  <si>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From: BIG PIX Graphics System,
8837 Sampaloc St., San Antonio Village, Makati City
To: DOST-PTRI, Bicutan, Taguig City</t>
    </r>
  </si>
  <si>
    <r>
      <rPr>
        <rFont val="Arial"/>
        <b/>
        <color theme="1"/>
        <sz val="9.0"/>
      </rPr>
      <t xml:space="preserve">Courier Fee
</t>
    </r>
    <r>
      <rPr>
        <rFont val="Arial"/>
        <b val="0"/>
        <color theme="1"/>
        <sz val="9.0"/>
      </rPr>
      <t>-From: DOST-PTRI, Bicutan, Taguig City
To: Research and Development Center, 
Army Support Command, Philippine Army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Address: Camp Alejandro Melchor Sr., Libis, Quezon</t>
    </r>
  </si>
  <si>
    <r>
      <rPr>
        <rFont val="Arial"/>
        <b/>
        <color theme="1"/>
        <sz val="9.0"/>
      </rPr>
      <t xml:space="preserve">Courier Fee
</t>
    </r>
    <r>
      <rPr>
        <rFont val="Arial"/>
        <b/>
        <color theme="1"/>
        <sz val="9.0"/>
      </rPr>
      <t>-From: DOST-PTRI, Bicutan, Taguig City
To: Research and Development Center, 
Army Support Command, Philippine Army
Address: Camp Alejandro Melchor Sr., Libis, Quezon</t>
    </r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</si>
  <si>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</si>
  <si>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AM Snacks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</si>
  <si>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Meals Lunch
</t>
    </r>
    <r>
      <rPr>
        <rFont val="Arial"/>
        <b val="0"/>
        <color theme="1"/>
        <sz val="9.0"/>
      </rPr>
      <t>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</si>
  <si>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>Meals Lunch</t>
    </r>
    <r>
      <rPr>
        <rFont val="Arial"/>
        <b/>
        <color theme="1"/>
        <sz val="9.0"/>
      </rPr>
      <t xml:space="preserve">
Date: February 16, 2024
Event: Meeting with PNP-EOD/K9 Group
Time: 10:00 AM to 12:00 PM
Place: TELA Conference, DOST-PTRI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</si>
  <si>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 val="0"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</si>
  <si>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r>
      <rPr>
        <rFont val="Arial"/>
        <b/>
        <color theme="1"/>
        <sz val="9.0"/>
      </rPr>
      <t xml:space="preserve">Transportation and Delivery Expense
</t>
    </r>
    <r>
      <rPr>
        <rFont val="Arial"/>
        <b/>
        <color theme="1"/>
        <sz val="9.0"/>
      </rPr>
      <t>-To conduct facility visit and stakeholder engagement with 
Philippine Army
-Date: 21 February 2024, Wednesday
-From: DOST-PTRI, General Santos Avenue, Bicutan, Taguig City
-To: Research and Development Center, Army Support Command, 
Philippine Army Camp Alejandro Melchor Sr., Libis, Quezon City
-Vice Versa
Passengers:
1. Gilbert E. Bueno
2. Paul Angelo C. Manlapaz
3. Arnold S. Hermosura</t>
    </r>
  </si>
  <si>
    <t>For 2nd Quarter of CY 2024</t>
  </si>
  <si>
    <t>Apr</t>
  </si>
  <si>
    <t>May</t>
  </si>
  <si>
    <t>Jun</t>
  </si>
  <si>
    <t>sample</t>
  </si>
  <si>
    <t>Raw data files</t>
  </si>
  <si>
    <t>Printing Services (Camouflage Print)</t>
  </si>
  <si>
    <t>Negotaited Procurement</t>
  </si>
  <si>
    <t>Printing Services (DTF/DTG Print)</t>
  </si>
  <si>
    <t>yards</t>
  </si>
  <si>
    <t>Abrasion Resistance (ASTM D 3885) - 1st 10,000</t>
  </si>
  <si>
    <t>Breaking Strength (ISO 13934-2 / ASTM D5034)</t>
  </si>
  <si>
    <t>Type of Weave or Knit (ISO 3572)</t>
  </si>
  <si>
    <t>Yarn Number (ISO 7211/5, ASTM D1059) - Short Length</t>
  </si>
  <si>
    <t>Thread Count (ASTM D 3775)</t>
  </si>
  <si>
    <t>Fabric Weight / Mass Per Unit Area (ISO 3801, ASTM D 3776/D 3776M)</t>
  </si>
  <si>
    <t>Piling Resistance (ASTM D 3512, ASTM D 3512M) - Random Tumble</t>
  </si>
  <si>
    <t>Thickness (ISO 5084, ASTM D 1777)</t>
  </si>
  <si>
    <t>Fiber Composition (AATCC TM 20A)</t>
  </si>
  <si>
    <t>Colorfastness to Rubbing for Fabrics (ISO 105-X12, AATCC TM8)</t>
  </si>
  <si>
    <t>Colorfastness to Laundering (ISO 105-CO6, AATCC TM 61, JIS L 0844); per additional color</t>
  </si>
  <si>
    <t>Colorfastness to Perspiration (ISO 105-EO4, AATCC TM 15, JIS L 0848); per additional color</t>
  </si>
  <si>
    <t>Color Difference (AATCC EP 6)</t>
  </si>
  <si>
    <t>Color Quality (AATCC EP 6)</t>
  </si>
  <si>
    <t>Dimensional Change ISO 6330 : 2012</t>
  </si>
  <si>
    <t>Tearing Strength ASTM D2261-13</t>
  </si>
  <si>
    <t xml:space="preserve">Sewing Services for the ROTC Fatigue Uniform </t>
  </si>
  <si>
    <t>Iron (II) Sulfate Heptahydrate, AR 500g per bottle. CAS No. 7782-63-0</t>
  </si>
  <si>
    <t>bottles</t>
  </si>
  <si>
    <t>1,10-Phenanthroline AR 500g, CAS No. 66-71-7</t>
  </si>
  <si>
    <t>Ferrous Ammonium Sulfate, AR Grade 500g per bottle, CAS No. 7783-85-9</t>
  </si>
  <si>
    <t>Sodium Thiosulfate, AR 500g per bottle, CAS No. 7772-98-7</t>
  </si>
  <si>
    <t>Pottasium Iodide, AR 500g per bottle, CAS No. 7681-11-0</t>
  </si>
  <si>
    <t>Sodium Chloride, AR Grade, CAS No. 7758-19-2, 500g per bottle</t>
  </si>
  <si>
    <t>Bottle</t>
  </si>
  <si>
    <t>Pottasium Dichromate, AR 500g per bottel, CAS No. 7778-50-9</t>
  </si>
  <si>
    <t>Pottasium Hydrogen Phosphate, AR Grade 500g per bottle, CAS No. 7778-77-0</t>
  </si>
  <si>
    <t>Phenolphthalein, AR Grade 500g per bottle, CAS No. 77-09-8</t>
  </si>
  <si>
    <t>Sodium Hydroxide, liquid, 48-50%, TG, 25-30 kg/carbuoy</t>
  </si>
  <si>
    <t>cby</t>
  </si>
  <si>
    <t>Sodium Silicate, TG, 20 L/carbuoy</t>
  </si>
  <si>
    <t>Sodium Metabisulfite, TG, 25 kg/bag</t>
  </si>
  <si>
    <t>bag</t>
  </si>
  <si>
    <t>Glacial Acetic Acid, TG, 30 kg/carbuoy</t>
  </si>
  <si>
    <t>Hydrogen Peroxide, TG, 30 kg/carbuoy</t>
  </si>
  <si>
    <t>Sulfuric Acid, 95-98%, AR Grade, 2.5 L per bottle</t>
  </si>
  <si>
    <t>Hydrochloric Acid, 36%, AR Grade, 2.5 L per bottle</t>
  </si>
  <si>
    <t>Bleaching solution</t>
  </si>
  <si>
    <t>gallons</t>
  </si>
  <si>
    <t>Non-ionic wetting agent</t>
  </si>
  <si>
    <t>Fabric Softener</t>
  </si>
  <si>
    <t>sack</t>
  </si>
  <si>
    <t>Liquid Handsoap</t>
  </si>
  <si>
    <t>Disinfectant Spray</t>
  </si>
  <si>
    <t>Sodium Carbonate, AR Grade, 500 g per bottle</t>
  </si>
  <si>
    <t>Sodium Bicarbonate, AR Grade, 500 g per bottle</t>
  </si>
  <si>
    <t>Pectinase Enzyme, 1 L per Bottle</t>
  </si>
  <si>
    <t>btls</t>
  </si>
  <si>
    <t>Xylanase Enzyme, 1 L per Bottle</t>
  </si>
  <si>
    <t>Reagent bottle, clear, borosilicate glass, 1L</t>
  </si>
  <si>
    <t>Reagent bottle, clear, borosilicate glass, 500 mL</t>
  </si>
  <si>
    <t>Reagent bottle, amber, borosilicate glass, 1L</t>
  </si>
  <si>
    <t>Reagent bottle, amber, borosilicate glass, 500 mL</t>
  </si>
  <si>
    <t>Vacuum pump</t>
  </si>
  <si>
    <t>Vacuum Desiccator, borosilicate glass</t>
  </si>
  <si>
    <t>Set of Calibration Weights with Certificate and Case</t>
  </si>
  <si>
    <t>set</t>
  </si>
  <si>
    <t>LPG Tank/Fuel</t>
  </si>
  <si>
    <t>tank</t>
  </si>
  <si>
    <t>Lint-free wipes, Kimwipes</t>
  </si>
  <si>
    <t>Wi-Fi Duplex Wide-format All-in-One Ink Tank Printer</t>
  </si>
  <si>
    <t>units</t>
  </si>
  <si>
    <t>Ergonomic Mesh Chair</t>
  </si>
  <si>
    <t>Hair dryer/blower</t>
  </si>
  <si>
    <t>pc</t>
  </si>
  <si>
    <t>Pull-up Tissue</t>
  </si>
  <si>
    <t>Customized Certificate Holder, legal size</t>
  </si>
  <si>
    <t>Mannequin, Glass Fiber, with bag</t>
  </si>
  <si>
    <t>Transcriber</t>
  </si>
  <si>
    <t>Decorticated Banana Fibers</t>
  </si>
  <si>
    <t>kg</t>
  </si>
  <si>
    <t>Raw Bamboo Fibers</t>
  </si>
  <si>
    <t>Training Expenses</t>
  </si>
  <si>
    <t>Registration Fee on APAM PAASE</t>
  </si>
  <si>
    <t>pax</t>
  </si>
  <si>
    <t>Seminar on GHS Labelling, Storage, and Risk Assessment</t>
  </si>
  <si>
    <t>Name Plate Holder</t>
  </si>
  <si>
    <t>Air Compressor</t>
  </si>
  <si>
    <t>unit</t>
  </si>
  <si>
    <t>Heavy-Duty Electrical Cable Wire,  14/2C, 1.5 sq. mm, 75-100m</t>
  </si>
  <si>
    <t>roll</t>
  </si>
  <si>
    <t>Heavy-Duty Electrical Cable Wire,  8/3C, 75-100m</t>
  </si>
  <si>
    <t>60A Circuit Breaker, industrial type, automatic, three (3) phase</t>
  </si>
  <si>
    <t>30A Circuit Breaker, industrial type, automatic, one (1) phase</t>
  </si>
  <si>
    <t>Polyurethane Air Pneumatic Hose, 75-100m</t>
  </si>
  <si>
    <t>PVC Pipe 1 1/2 in or 2 diameter inches</t>
  </si>
  <si>
    <t>Heavy-Duty Electrical Cable Wire No. 8</t>
  </si>
  <si>
    <t>PVC Pipe Connector</t>
  </si>
  <si>
    <t>Electrical Tape</t>
  </si>
  <si>
    <t>Clamp</t>
  </si>
  <si>
    <t>Lock nut for breaker</t>
  </si>
  <si>
    <t>Multi-Station Magnetic Hot Plate Stirrer</t>
  </si>
  <si>
    <t>Laboratory Refrigerator</t>
  </si>
  <si>
    <t>Repair and Mentainance Expenses</t>
  </si>
  <si>
    <t>Repair and Mentainance Services</t>
  </si>
  <si>
    <t>KIMBERLY P. VIRON</t>
  </si>
  <si>
    <t>1 pc.</t>
  </si>
  <si>
    <t>Certificate Holder, Legal Size, Material: PTF Fabric</t>
  </si>
  <si>
    <t>Lei/Garland</t>
  </si>
  <si>
    <t>-Bag Tag</t>
  </si>
  <si>
    <t>-Infinity scarf</t>
  </si>
  <si>
    <t>5 pcs</t>
  </si>
  <si>
    <t>-Headband belt</t>
  </si>
  <si>
    <t>Packaging Box</t>
  </si>
  <si>
    <t>2 packs</t>
  </si>
  <si>
    <t>2 pcs</t>
  </si>
  <si>
    <t>(Sample Only)</t>
  </si>
  <si>
    <t>END-USER/UNIT: RDD-NFUS</t>
  </si>
  <si>
    <t>Charged to: Digitalization of Philippine Textiles to Protect and Sustain the Handloom Weaving Sector</t>
  </si>
  <si>
    <t>Office Supplies</t>
  </si>
  <si>
    <t>32gb OTG flashdrive</t>
  </si>
  <si>
    <t>80 pieces</t>
  </si>
  <si>
    <t>16GB microSD card</t>
  </si>
  <si>
    <t>5 pieces</t>
  </si>
  <si>
    <t>Powerbank</t>
  </si>
  <si>
    <t>10 pieces</t>
  </si>
  <si>
    <t>External hard drive, 1TB</t>
  </si>
  <si>
    <t>Wireless mouse</t>
  </si>
  <si>
    <t>Binder Clip 4 per pack black</t>
  </si>
  <si>
    <t>20 packs</t>
  </si>
  <si>
    <t>Binder clip 2 per pack black</t>
  </si>
  <si>
    <t>15 packs</t>
  </si>
  <si>
    <t>Paper clip vinyl coated assorted 100s</t>
  </si>
  <si>
    <t>Envelope document 5/pack</t>
  </si>
  <si>
    <t>Envelope expanding with elastic, legal</t>
  </si>
  <si>
    <t>30 packs</t>
  </si>
  <si>
    <t>Sticky flags</t>
  </si>
  <si>
    <t>Highlighter (yellow)</t>
  </si>
  <si>
    <t>Glue stick</t>
  </si>
  <si>
    <t>Long brown envelope</t>
  </si>
  <si>
    <t>50 packs</t>
  </si>
  <si>
    <t>Clearbook, long</t>
  </si>
  <si>
    <t>15 pieces</t>
  </si>
  <si>
    <t>Spray paint</t>
  </si>
  <si>
    <t>1 piece</t>
  </si>
  <si>
    <t>All in one laser printer</t>
  </si>
  <si>
    <t>3 units</t>
  </si>
  <si>
    <t>Certificate paper</t>
  </si>
  <si>
    <t>100 pieces</t>
  </si>
  <si>
    <t>ID and ID laces</t>
  </si>
  <si>
    <t>Manila paper</t>
  </si>
  <si>
    <t>50 pieces</t>
  </si>
  <si>
    <t>USB to VGA/HDMI adapter for Macbook</t>
  </si>
  <si>
    <t>USB to VGA/HDMI adapter for other laptops</t>
  </si>
  <si>
    <t>A4 paper/500 pcs/ream</t>
  </si>
  <si>
    <t>30 reams</t>
  </si>
  <si>
    <t>Paper shredder</t>
  </si>
  <si>
    <t>Black ink for printer</t>
  </si>
  <si>
    <t>8 carts</t>
  </si>
  <si>
    <t>Colored ink for printer</t>
  </si>
  <si>
    <t>Metal fasteners</t>
  </si>
  <si>
    <t>3 packs</t>
  </si>
  <si>
    <t>Folder for A4 size documents, 10 pcs per pack</t>
  </si>
  <si>
    <t>Blue sign pens</t>
  </si>
  <si>
    <t>20 pieces</t>
  </si>
  <si>
    <t>Regular pens</t>
  </si>
  <si>
    <t>Permanent markers</t>
  </si>
  <si>
    <t>Transparent tape</t>
  </si>
  <si>
    <t>Stapler</t>
  </si>
  <si>
    <t>3 pieces</t>
  </si>
  <si>
    <t>Staple wires</t>
  </si>
  <si>
    <t>Correction tape</t>
  </si>
  <si>
    <t>Scissors</t>
  </si>
  <si>
    <t>Laboratory Supplies</t>
  </si>
  <si>
    <t>Machining of components H1</t>
  </si>
  <si>
    <t>4 units</t>
  </si>
  <si>
    <t>Machining of components H2</t>
  </si>
  <si>
    <t>Machining of component M</t>
  </si>
  <si>
    <t>8 units</t>
  </si>
  <si>
    <t>Disposable ABR electrodes</t>
  </si>
  <si>
    <t>300 units</t>
  </si>
  <si>
    <t>Disposable snap electrodes</t>
  </si>
  <si>
    <t>100 units</t>
  </si>
  <si>
    <t>Skin prep gel</t>
  </si>
  <si>
    <t>Neurodiagnostic Conductive Electrode Paste</t>
  </si>
  <si>
    <t xml:space="preserve">4 units </t>
  </si>
  <si>
    <t>Gold/silver electrode</t>
  </si>
  <si>
    <t>70% Isopropyl alcohol</t>
  </si>
  <si>
    <t>10 units</t>
  </si>
  <si>
    <t>Micropore tape 1in</t>
  </si>
  <si>
    <t>6 boxes</t>
  </si>
  <si>
    <t>Sterile gauze, individually wrapped</t>
  </si>
  <si>
    <t>Alcohol swab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</si>
</sst>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9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b/>
      <i/>
      <sz val="11.0"/>
      <color theme="1"/>
      <name val="Arial"/>
    </font>
    <font>
      <i/>
      <sz val="11.0"/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Verdana"/>
    </font>
    <font>
      <sz val="11.0"/>
      <color theme="1"/>
      <name val="Verdana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/>
      <bottom/>
    </border>
  </borders>
  <cellStyleXfs count="1">
    <xf borderId="0" fillId="0" fontId="0" numFmtId="0" applyAlignment="1" applyFont="1"/>
  </cellStyleXfs>
  <cellXfs count="4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3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8" fillId="0" fontId="6" numFmtId="3" xfId="0" applyAlignment="1" applyBorder="1" applyFont="1" applyNumberForma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13" fillId="2" fontId="10" numFmtId="0" xfId="0" applyAlignment="1" applyBorder="1" applyFill="1" applyFont="1">
      <alignment horizontal="left" vertical="center"/>
    </xf>
    <xf borderId="14" fillId="2" fontId="2" numFmtId="0" xfId="0" applyBorder="1" applyFont="1"/>
    <xf borderId="14" fillId="2" fontId="2" numFmtId="3" xfId="0" applyAlignment="1" applyBorder="1" applyFont="1" applyNumberFormat="1">
      <alignment horizontal="center"/>
    </xf>
    <xf borderId="14" fillId="2" fontId="2" numFmtId="4" xfId="0" applyAlignment="1" applyBorder="1" applyFont="1" applyNumberFormat="1">
      <alignment horizontal="center"/>
    </xf>
    <xf borderId="14" fillId="2" fontId="2" numFmtId="4" xfId="0" applyAlignment="1" applyBorder="1" applyFont="1" applyNumberFormat="1">
      <alignment horizontal="right"/>
    </xf>
    <xf borderId="14" fillId="2" fontId="2" numFmtId="0" xfId="0" applyAlignment="1" applyBorder="1" applyFont="1">
      <alignment horizontal="center"/>
    </xf>
    <xf borderId="15" fillId="2" fontId="2" numFmtId="0" xfId="0" applyBorder="1" applyFont="1"/>
    <xf borderId="13" fillId="2" fontId="2" numFmtId="0" xfId="0" applyBorder="1" applyFont="1"/>
    <xf borderId="16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/>
    </xf>
    <xf borderId="18" fillId="0" fontId="2" numFmtId="3" xfId="0" applyAlignment="1" applyBorder="1" applyFont="1" applyNumberFormat="1">
      <alignment horizontal="center" shrinkToFit="0" vertical="center" wrapText="1"/>
    </xf>
    <xf borderId="18" fillId="0" fontId="2" numFmtId="4" xfId="0" applyAlignment="1" applyBorder="1" applyFont="1" applyNumberFormat="1">
      <alignment horizontal="center" shrinkToFit="0" vertical="center" wrapText="1"/>
    </xf>
    <xf borderId="18" fillId="0" fontId="2" numFmtId="4" xfId="0" applyAlignment="1" applyBorder="1" applyFont="1" applyNumberFormat="1">
      <alignment horizontal="right" shrinkToFit="0" vertical="center" wrapText="1"/>
    </xf>
    <xf borderId="17" fillId="0" fontId="2" numFmtId="4" xfId="0" applyAlignment="1" applyBorder="1" applyFont="1" applyNumberFormat="1">
      <alignment horizontal="right"/>
    </xf>
    <xf borderId="17" fillId="0" fontId="2" numFmtId="0" xfId="0" applyBorder="1" applyFont="1"/>
    <xf borderId="16" fillId="0" fontId="2" numFmtId="49" xfId="0" applyBorder="1" applyFont="1" applyNumberFormat="1"/>
    <xf borderId="14" fillId="3" fontId="2" numFmtId="0" xfId="0" applyAlignment="1" applyBorder="1" applyFill="1" applyFont="1">
      <alignment horizontal="center" shrinkToFit="0" vertical="center" wrapText="1"/>
    </xf>
    <xf borderId="14" fillId="3" fontId="2" numFmtId="3" xfId="0" applyAlignment="1" applyBorder="1" applyFont="1" applyNumberForma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14" fillId="4" fontId="2" numFmtId="0" xfId="0" applyAlignment="1" applyBorder="1" applyFill="1" applyFont="1">
      <alignment horizontal="center" shrinkToFit="0" vertical="center" wrapText="1"/>
    </xf>
    <xf borderId="18" fillId="0" fontId="2" numFmtId="3" xfId="0" applyAlignment="1" applyBorder="1" applyFont="1" applyNumberFormat="1">
      <alignment horizontal="center" vertical="top"/>
    </xf>
    <xf borderId="18" fillId="0" fontId="2" numFmtId="4" xfId="0" applyAlignment="1" applyBorder="1" applyFont="1" applyNumberFormat="1">
      <alignment horizontal="center" vertical="top"/>
    </xf>
    <xf borderId="17" fillId="0" fontId="2" numFmtId="4" xfId="0" applyAlignment="1" applyBorder="1" applyFont="1" applyNumberFormat="1">
      <alignment horizontal="right" vertical="top"/>
    </xf>
    <xf borderId="18" fillId="0" fontId="2" numFmtId="0" xfId="0" applyBorder="1" applyFont="1"/>
    <xf borderId="18" fillId="0" fontId="2" numFmtId="0" xfId="0" applyAlignment="1" applyBorder="1" applyFont="1">
      <alignment horizontal="center"/>
    </xf>
    <xf borderId="19" fillId="0" fontId="2" numFmtId="0" xfId="0" applyBorder="1" applyFont="1"/>
    <xf borderId="16" fillId="0" fontId="2" numFmtId="0" xfId="0" applyBorder="1" applyFont="1"/>
    <xf borderId="16" fillId="0" fontId="2" numFmtId="49" xfId="0" applyAlignment="1" applyBorder="1" applyFont="1" applyNumberFormat="1">
      <alignment horizontal="left" vertical="center"/>
    </xf>
    <xf borderId="17" fillId="0" fontId="6" numFmtId="0" xfId="0" applyAlignment="1" applyBorder="1" applyFont="1">
      <alignment horizontal="left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left" vertical="center"/>
    </xf>
    <xf borderId="17" fillId="2" fontId="2" numFmtId="0" xfId="0" applyBorder="1" applyFont="1"/>
    <xf borderId="17" fillId="2" fontId="2" numFmtId="0" xfId="0" applyAlignment="1" applyBorder="1" applyFont="1">
      <alignment horizontal="center"/>
    </xf>
    <xf borderId="17" fillId="0" fontId="2" numFmtId="164" xfId="0" applyAlignment="1" applyBorder="1" applyFont="1" applyNumberFormat="1">
      <alignment horizontal="center" shrinkToFit="0" vertical="center" wrapText="1"/>
    </xf>
    <xf borderId="13" fillId="5" fontId="2" numFmtId="49" xfId="0" applyAlignment="1" applyBorder="1" applyFill="1" applyFont="1" applyNumberFormat="1">
      <alignment horizontal="left" vertical="center"/>
    </xf>
    <xf borderId="14" fillId="5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18" fillId="0" fontId="9" numFmtId="3" xfId="0" applyAlignment="1" applyBorder="1" applyFont="1" applyNumberForma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21" fillId="4" fontId="2" numFmtId="0" xfId="0" applyAlignment="1" applyBorder="1" applyFont="1">
      <alignment horizontal="center" shrinkToFit="0" vertical="center" wrapText="1"/>
    </xf>
    <xf borderId="14" fillId="4" fontId="2" numFmtId="3" xfId="0" applyAlignment="1" applyBorder="1" applyFont="1" applyNumberFormat="1">
      <alignment horizontal="center" shrinkToFit="0" vertical="center" wrapText="1"/>
    </xf>
    <xf borderId="14" fillId="4" fontId="2" numFmtId="164" xfId="0" applyAlignment="1" applyBorder="1" applyFont="1" applyNumberFormat="1">
      <alignment horizontal="center" shrinkToFit="0" vertical="center" wrapText="1"/>
    </xf>
    <xf borderId="17" fillId="4" fontId="2" numFmtId="164" xfId="0" applyAlignment="1" applyBorder="1" applyFont="1" applyNumberFormat="1">
      <alignment horizontal="center" shrinkToFit="0" vertical="center" wrapText="1"/>
    </xf>
    <xf borderId="17" fillId="4" fontId="9" numFmtId="0" xfId="0" applyAlignment="1" applyBorder="1" applyFont="1">
      <alignment horizontal="left" shrinkToFit="0" vertical="center" wrapText="1"/>
    </xf>
    <xf borderId="17" fillId="4" fontId="2" numFmtId="0" xfId="0" applyBorder="1" applyFont="1"/>
    <xf borderId="22" fillId="4" fontId="9" numFmtId="0" xfId="0" applyBorder="1" applyFont="1"/>
    <xf borderId="22" fillId="4" fontId="2" numFmtId="0" xfId="0" applyBorder="1" applyFont="1"/>
    <xf borderId="13" fillId="3" fontId="2" numFmtId="49" xfId="0" applyAlignment="1" applyBorder="1" applyFont="1" applyNumberFormat="1">
      <alignment horizontal="left" vertical="center"/>
    </xf>
    <xf borderId="18" fillId="0" fontId="6" numFmtId="0" xfId="0" applyAlignment="1" applyBorder="1" applyFont="1">
      <alignment horizontal="left" shrinkToFit="0" vertical="center" wrapText="1"/>
    </xf>
    <xf borderId="18" fillId="0" fontId="6" numFmtId="3" xfId="0" applyAlignment="1" applyBorder="1" applyFont="1" applyNumberForma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8" fillId="0" fontId="9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4" fillId="0" fontId="8" numFmtId="0" xfId="0" applyBorder="1" applyFont="1"/>
    <xf borderId="25" fillId="0" fontId="8" numFmtId="0" xfId="0" applyBorder="1" applyFont="1"/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26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27" fillId="0" fontId="1" numFmtId="164" xfId="0" applyAlignment="1" applyBorder="1" applyFont="1" applyNumberFormat="1">
      <alignment horizontal="center"/>
    </xf>
    <xf borderId="28" fillId="0" fontId="8" numFmtId="0" xfId="0" applyBorder="1" applyFont="1"/>
    <xf borderId="29" fillId="0" fontId="8" numFmtId="0" xfId="0" applyBorder="1" applyFont="1"/>
    <xf borderId="0" fillId="0" fontId="9" numFmtId="0" xfId="0" applyAlignment="1" applyFont="1">
      <alignment horizontal="left"/>
    </xf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3" fillId="0" fontId="1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3" xfId="0" applyAlignment="1" applyFont="1" applyNumberFormat="1">
      <alignment horizontal="center"/>
    </xf>
    <xf borderId="0" fillId="0" fontId="11" numFmtId="4" xfId="0" applyAlignment="1" applyFont="1" applyNumberFormat="1">
      <alignment horizontal="center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1" numFmtId="0" xfId="0" applyAlignment="1" applyFont="1">
      <alignment shrinkToFit="0" vertical="center" wrapText="1"/>
    </xf>
    <xf borderId="0" fillId="0" fontId="16" numFmtId="3" xfId="0" applyAlignment="1" applyFont="1" applyNumberFormat="1">
      <alignment horizontal="center"/>
    </xf>
    <xf borderId="0" fillId="0" fontId="16" numFmtId="4" xfId="0" applyAlignment="1" applyFont="1" applyNumberFormat="1">
      <alignment horizontal="center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/>
    </xf>
    <xf borderId="0" fillId="0" fontId="17" numFmtId="0" xfId="0" applyAlignment="1" applyFont="1">
      <alignment shrinkToFit="0" wrapText="1"/>
    </xf>
    <xf borderId="0" fillId="0" fontId="19" numFmtId="0" xfId="0" applyFont="1"/>
    <xf borderId="0" fillId="0" fontId="17" numFmtId="0" xfId="0" applyAlignment="1" applyFont="1">
      <alignment horizontal="left" shrinkToFit="0" wrapText="1"/>
    </xf>
    <xf borderId="0" fillId="0" fontId="19" numFmtId="164" xfId="0" applyAlignment="1" applyFont="1" applyNumberFormat="1">
      <alignment horizontal="left" shrinkToFit="0" vertical="center" wrapText="1"/>
    </xf>
    <xf borderId="17" fillId="6" fontId="2" numFmtId="0" xfId="0" applyAlignment="1" applyBorder="1" applyFill="1" applyFont="1">
      <alignment horizontal="center"/>
    </xf>
    <xf borderId="17" fillId="7" fontId="2" numFmtId="0" xfId="0" applyAlignment="1" applyBorder="1" applyFill="1" applyFont="1">
      <alignment horizontal="center"/>
    </xf>
    <xf borderId="17" fillId="8" fontId="2" numFmtId="0" xfId="0" applyAlignment="1" applyBorder="1" applyFill="1" applyFont="1">
      <alignment horizontal="center"/>
    </xf>
    <xf borderId="17" fillId="9" fontId="2" numFmtId="0" xfId="0" applyAlignment="1" applyBorder="1" applyFill="1" applyFont="1">
      <alignment horizontal="center"/>
    </xf>
    <xf borderId="17" fillId="10" fontId="2" numFmtId="0" xfId="0" applyAlignment="1" applyBorder="1" applyFill="1" applyFont="1">
      <alignment horizontal="center"/>
    </xf>
    <xf borderId="14" fillId="11" fontId="2" numFmtId="0" xfId="0" applyBorder="1" applyFill="1" applyFont="1"/>
    <xf borderId="14" fillId="12" fontId="2" numFmtId="0" xfId="0" applyBorder="1" applyFill="1" applyFont="1"/>
    <xf borderId="14" fillId="13" fontId="2" numFmtId="0" xfId="0" applyBorder="1" applyFill="1" applyFont="1"/>
    <xf borderId="17" fillId="14" fontId="2" numFmtId="0" xfId="0" applyAlignment="1" applyBorder="1" applyFill="1" applyFont="1">
      <alignment horizontal="center"/>
    </xf>
    <xf borderId="14" fillId="8" fontId="2" numFmtId="0" xfId="0" applyAlignment="1" applyBorder="1" applyFont="1">
      <alignment horizontal="center"/>
    </xf>
    <xf borderId="14" fillId="6" fontId="2" numFmtId="0" xfId="0" applyAlignment="1" applyBorder="1" applyFont="1">
      <alignment horizontal="center"/>
    </xf>
    <xf borderId="17" fillId="15" fontId="2" numFmtId="0" xfId="0" applyAlignment="1" applyBorder="1" applyFill="1" applyFont="1">
      <alignment horizontal="center"/>
    </xf>
    <xf borderId="17" fillId="11" fontId="2" numFmtId="0" xfId="0" applyAlignment="1" applyBorder="1" applyFont="1">
      <alignment horizontal="center"/>
    </xf>
    <xf borderId="17" fillId="16" fontId="2" numFmtId="0" xfId="0" applyAlignment="1" applyBorder="1" applyFill="1" applyFont="1">
      <alignment horizontal="center"/>
    </xf>
    <xf borderId="17" fillId="17" fontId="2" numFmtId="0" xfId="0" applyAlignment="1" applyBorder="1" applyFill="1" applyFont="1">
      <alignment horizontal="center"/>
    </xf>
    <xf borderId="17" fillId="18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3" xfId="0" applyAlignment="1" applyFont="1" applyNumberFormat="1">
      <alignment horizontal="left" vertical="center"/>
    </xf>
    <xf borderId="0" fillId="0" fontId="2" numFmtId="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11" fillId="0" fontId="9" numFmtId="0" xfId="0" applyAlignment="1" applyBorder="1" applyFont="1">
      <alignment vertical="center"/>
    </xf>
    <xf borderId="13" fillId="2" fontId="10" numFmtId="0" xfId="0" applyAlignment="1" applyBorder="1" applyFont="1">
      <alignment horizontal="left" shrinkToFit="0" vertical="center" wrapText="1"/>
    </xf>
    <xf borderId="14" fillId="2" fontId="2" numFmtId="0" xfId="0" applyAlignment="1" applyBorder="1" applyFont="1">
      <alignment shrinkToFit="0" vertical="center" wrapText="1"/>
    </xf>
    <xf borderId="14" fillId="2" fontId="2" numFmtId="3" xfId="0" applyAlignment="1" applyBorder="1" applyFont="1" applyNumberFormat="1">
      <alignment horizontal="center" shrinkToFit="0" vertical="center" wrapText="1"/>
    </xf>
    <xf borderId="14" fillId="2" fontId="2" numFmtId="4" xfId="0" applyAlignment="1" applyBorder="1" applyFont="1" applyNumberFormat="1">
      <alignment horizontal="center" shrinkToFit="0" vertical="center" wrapText="1"/>
    </xf>
    <xf borderId="14" fillId="2" fontId="2" numFmtId="4" xfId="0" applyAlignment="1" applyBorder="1" applyFont="1" applyNumberFormat="1">
      <alignment horizontal="right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2" numFmtId="0" xfId="0" applyAlignment="1" applyBorder="1" applyFont="1">
      <alignment shrinkToFit="0" vertical="center" wrapText="1"/>
    </xf>
    <xf borderId="13" fillId="2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right" shrinkToFit="0" vertical="center" wrapText="1"/>
    </xf>
    <xf borderId="17" fillId="0" fontId="2" numFmtId="0" xfId="0" applyAlignment="1" applyBorder="1" applyFont="1">
      <alignment shrinkToFit="0" vertical="center" wrapText="1"/>
    </xf>
    <xf borderId="17" fillId="6" fontId="2" numFmtId="0" xfId="0" applyAlignment="1" applyBorder="1" applyFont="1">
      <alignment horizontal="center" shrinkToFit="0" vertical="center" wrapText="1"/>
    </xf>
    <xf borderId="16" fillId="0" fontId="2" numFmtId="49" xfId="0" applyAlignment="1" applyBorder="1" applyFont="1" applyNumberFormat="1">
      <alignment shrinkToFit="0" vertical="center" wrapText="1"/>
    </xf>
    <xf borderId="17" fillId="7" fontId="2" numFmtId="0" xfId="0" applyAlignment="1" applyBorder="1" applyFont="1">
      <alignment horizontal="center" shrinkToFit="0" vertical="center" wrapText="1"/>
    </xf>
    <xf borderId="17" fillId="8" fontId="2" numFmtId="0" xfId="0" applyAlignment="1" applyBorder="1" applyFont="1">
      <alignment horizontal="center" shrinkToFit="0" vertical="center" wrapText="1"/>
    </xf>
    <xf borderId="17" fillId="9" fontId="2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shrinkToFit="0" vertical="center" wrapText="1"/>
    </xf>
    <xf borderId="17" fillId="10" fontId="2" numFmtId="0" xfId="0" applyAlignment="1" applyBorder="1" applyFont="1">
      <alignment horizontal="center" shrinkToFit="0" vertical="center" wrapText="1"/>
    </xf>
    <xf borderId="19" fillId="0" fontId="8" numFmtId="0" xfId="0" applyBorder="1" applyFont="1"/>
    <xf borderId="16" fillId="0" fontId="8" numFmtId="0" xfId="0" applyBorder="1" applyFont="1"/>
    <xf borderId="14" fillId="11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2" fontId="2" numFmtId="0" xfId="0" applyAlignment="1" applyBorder="1" applyFont="1">
      <alignment shrinkToFit="0" vertical="center" wrapText="1"/>
    </xf>
    <xf borderId="16" fillId="0" fontId="2" numFmtId="49" xfId="0" applyAlignment="1" applyBorder="1" applyFont="1" applyNumberFormat="1">
      <alignment horizontal="left" shrinkToFit="0" vertical="center" wrapText="1"/>
    </xf>
    <xf borderId="17" fillId="5" fontId="9" numFmtId="0" xfId="0" applyAlignment="1" applyBorder="1" applyFont="1">
      <alignment vertical="center"/>
    </xf>
    <xf borderId="14" fillId="8" fontId="2" numFmtId="0" xfId="0" applyAlignment="1" applyBorder="1" applyFont="1">
      <alignment horizontal="center" shrinkToFit="0" vertical="center" wrapText="1"/>
    </xf>
    <xf borderId="18" fillId="5" fontId="9" numFmtId="0" xfId="0" applyAlignment="1" applyBorder="1" applyFont="1">
      <alignment vertical="center"/>
    </xf>
    <xf borderId="17" fillId="14" fontId="2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shrinkToFit="0" vertical="center" wrapText="1"/>
    </xf>
    <xf borderId="22" fillId="4" fontId="9" numFmtId="0" xfId="0" applyAlignment="1" applyBorder="1" applyFont="1">
      <alignment vertical="center"/>
    </xf>
    <xf borderId="22" fillId="4" fontId="2" numFmtId="0" xfId="0" applyAlignment="1" applyBorder="1" applyFont="1">
      <alignment vertical="center"/>
    </xf>
    <xf borderId="14" fillId="6" fontId="2" numFmtId="0" xfId="0" applyAlignment="1" applyBorder="1" applyFont="1">
      <alignment horizontal="center" shrinkToFit="0" vertical="center" wrapText="1"/>
    </xf>
    <xf borderId="17" fillId="15" fontId="2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shrinkToFit="0" vertical="center" wrapText="1"/>
    </xf>
    <xf borderId="13" fillId="3" fontId="2" numFmtId="49" xfId="0" applyAlignment="1" applyBorder="1" applyFont="1" applyNumberFormat="1">
      <alignment horizontal="left" shrinkToFit="0" vertical="center" wrapText="1"/>
    </xf>
    <xf borderId="30" fillId="0" fontId="6" numFmtId="0" xfId="0" applyAlignment="1" applyBorder="1" applyFont="1">
      <alignment shrinkToFit="0" vertical="center" wrapText="1"/>
    </xf>
    <xf borderId="25" fillId="0" fontId="16" numFmtId="0" xfId="0" applyAlignment="1" applyBorder="1" applyFont="1">
      <alignment shrinkToFit="0" vertical="center" wrapText="1"/>
    </xf>
    <xf borderId="17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20" fillId="2" fontId="16" numFmtId="0" xfId="0" applyAlignment="1" applyBorder="1" applyFont="1">
      <alignment shrinkToFit="0" vertical="center" wrapText="1"/>
    </xf>
    <xf borderId="31" fillId="2" fontId="6" numFmtId="0" xfId="0" applyAlignment="1" applyBorder="1" applyFont="1">
      <alignment shrinkToFit="0" vertical="center" wrapText="1"/>
    </xf>
    <xf borderId="32" fillId="2" fontId="6" numFmtId="0" xfId="0" applyAlignment="1" applyBorder="1" applyFont="1">
      <alignment shrinkToFit="0" vertical="center" wrapText="1"/>
    </xf>
    <xf borderId="32" fillId="2" fontId="16" numFmtId="3" xfId="0" applyAlignment="1" applyBorder="1" applyFont="1" applyNumberFormat="1">
      <alignment shrinkToFit="0" vertical="center" wrapText="1"/>
    </xf>
    <xf borderId="32" fillId="2" fontId="16" numFmtId="164" xfId="0" applyAlignment="1" applyBorder="1" applyFont="1" applyNumberFormat="1">
      <alignment shrinkToFit="0" vertical="center" wrapText="1"/>
    </xf>
    <xf borderId="32" fillId="2" fontId="16" numFmtId="0" xfId="0" applyAlignment="1" applyBorder="1" applyFont="1">
      <alignment shrinkToFit="0" vertical="center" wrapText="1"/>
    </xf>
    <xf borderId="17" fillId="2" fontId="16" numFmtId="0" xfId="0" applyAlignment="1" applyBorder="1" applyFont="1">
      <alignment shrinkToFit="0" vertical="center" wrapText="1"/>
    </xf>
    <xf borderId="22" fillId="2" fontId="16" numFmtId="0" xfId="0" applyAlignment="1" applyBorder="1" applyFont="1">
      <alignment vertical="center"/>
    </xf>
    <xf borderId="20" fillId="0" fontId="1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5" fillId="0" fontId="9" numFmtId="3" xfId="0" applyAlignment="1" applyBorder="1" applyFont="1" applyNumberFormat="1">
      <alignment horizontal="center" vertical="center"/>
    </xf>
    <xf borderId="25" fillId="0" fontId="9" numFmtId="164" xfId="0" applyAlignment="1" applyBorder="1" applyFont="1" applyNumberFormat="1">
      <alignment horizontal="center" vertical="center"/>
    </xf>
    <xf borderId="25" fillId="0" fontId="16" numFmtId="164" xfId="0" applyAlignment="1" applyBorder="1" applyFont="1" applyNumberFormat="1">
      <alignment vertical="center"/>
    </xf>
    <xf borderId="25" fillId="0" fontId="16" numFmtId="0" xfId="0" applyAlignment="1" applyBorder="1" applyFont="1">
      <alignment vertical="center"/>
    </xf>
    <xf borderId="25" fillId="0" fontId="9" numFmtId="0" xfId="0" applyAlignment="1" applyBorder="1" applyFont="1">
      <alignment vertical="center"/>
    </xf>
    <xf borderId="17" fillId="0" fontId="16" numFmtId="0" xfId="0" applyAlignment="1" applyBorder="1" applyFont="1">
      <alignment vertical="center"/>
    </xf>
    <xf borderId="32" fillId="2" fontId="9" numFmtId="164" xfId="0" applyAlignment="1" applyBorder="1" applyFont="1" applyNumberFormat="1">
      <alignment horizontal="center" shrinkToFit="0" vertical="center" wrapText="1"/>
    </xf>
    <xf borderId="29" fillId="0" fontId="6" numFmtId="0" xfId="0" applyAlignment="1" applyBorder="1" applyFont="1">
      <alignment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0" fillId="0" fontId="2" numFmtId="3" xfId="0" applyAlignment="1" applyBorder="1" applyFont="1" applyNumberFormat="1">
      <alignment horizontal="center" shrinkToFit="0" vertical="center" wrapText="1"/>
    </xf>
    <xf borderId="30" fillId="0" fontId="2" numFmtId="164" xfId="0" applyAlignment="1" applyBorder="1" applyFont="1" applyNumberFormat="1">
      <alignment horizontal="center" shrinkToFit="0" vertical="center" wrapText="1"/>
    </xf>
    <xf borderId="25" fillId="0" fontId="2" numFmtId="164" xfId="0" applyAlignment="1" applyBorder="1" applyFont="1" applyNumberFormat="1">
      <alignment horizontal="center" shrinkToFit="0" vertical="center" wrapText="1"/>
    </xf>
    <xf borderId="25" fillId="0" fontId="6" numFmtId="0" xfId="0" applyAlignment="1" applyBorder="1" applyFont="1">
      <alignment horizontal="left" shrinkToFit="0" vertical="center" wrapText="1"/>
    </xf>
    <xf borderId="25" fillId="0" fontId="2" numFmtId="0" xfId="0" applyAlignment="1" applyBorder="1" applyFont="1">
      <alignment shrinkToFit="0" vertical="center" wrapText="1"/>
    </xf>
    <xf borderId="32" fillId="8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31" fillId="2" fontId="6" numFmtId="49" xfId="0" applyAlignment="1" applyBorder="1" applyFont="1" applyNumberFormat="1">
      <alignment shrinkToFit="0" vertical="center" wrapText="1"/>
    </xf>
    <xf borderId="13" fillId="5" fontId="2" numFmtId="49" xfId="0" applyAlignment="1" applyBorder="1" applyFont="1" applyNumberFormat="1">
      <alignment horizontal="left" shrinkToFit="0" vertical="center" wrapText="1"/>
    </xf>
    <xf borderId="17" fillId="11" fontId="2" numFmtId="0" xfId="0" applyAlignment="1" applyBorder="1" applyFont="1">
      <alignment horizontal="center" shrinkToFit="0" vertical="center" wrapText="1"/>
    </xf>
    <xf borderId="17" fillId="16" fontId="2" numFmtId="0" xfId="0" applyAlignment="1" applyBorder="1" applyFont="1">
      <alignment horizontal="center" shrinkToFit="0" vertical="center" wrapText="1"/>
    </xf>
    <xf borderId="17" fillId="17" fontId="2" numFmtId="0" xfId="0" applyAlignment="1" applyBorder="1" applyFont="1">
      <alignment horizontal="center" shrinkToFit="0" vertical="center" wrapText="1"/>
    </xf>
    <xf borderId="17" fillId="18" fontId="2" numFmtId="0" xfId="0" applyAlignment="1" applyBorder="1" applyFont="1">
      <alignment horizontal="center" shrinkToFit="0" vertical="center" wrapText="1"/>
    </xf>
    <xf borderId="32" fillId="2" fontId="16" numFmtId="4" xfId="0" applyAlignment="1" applyBorder="1" applyFont="1" applyNumberFormat="1">
      <alignment shrinkToFit="0" vertical="center" wrapText="1"/>
    </xf>
    <xf borderId="33" fillId="0" fontId="1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shrinkToFit="0" vertical="center" wrapText="1"/>
    </xf>
    <xf borderId="29" fillId="0" fontId="9" numFmtId="3" xfId="0" applyAlignment="1" applyBorder="1" applyFont="1" applyNumberFormat="1">
      <alignment horizontal="center" shrinkToFit="0" vertical="center" wrapText="1"/>
    </xf>
    <xf borderId="29" fillId="0" fontId="9" numFmtId="4" xfId="0" applyAlignment="1" applyBorder="1" applyFont="1" applyNumberFormat="1">
      <alignment horizontal="right" shrinkToFit="0" vertical="center" wrapText="1"/>
    </xf>
    <xf borderId="29" fillId="0" fontId="9" numFmtId="164" xfId="0" applyAlignment="1" applyBorder="1" applyFont="1" applyNumberFormat="1">
      <alignment horizontal="right" shrinkToFit="0" vertical="center" wrapText="1"/>
    </xf>
    <xf borderId="31" fillId="5" fontId="9" numFmtId="0" xfId="0" applyAlignment="1" applyBorder="1" applyFont="1">
      <alignment horizontal="center" shrinkToFit="0" vertical="center" wrapText="1"/>
    </xf>
    <xf borderId="29" fillId="0" fontId="16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shrinkToFit="0" vertical="center" wrapText="1"/>
    </xf>
    <xf borderId="34" fillId="0" fontId="16" numFmtId="0" xfId="0" applyAlignment="1" applyBorder="1" applyFont="1">
      <alignment shrinkToFit="0" vertical="center" wrapText="1"/>
    </xf>
    <xf borderId="16" fillId="0" fontId="6" numFmtId="49" xfId="0" applyAlignment="1" applyBorder="1" applyFont="1" applyNumberFormat="1">
      <alignment shrinkToFit="0" vertical="center" wrapText="1"/>
    </xf>
    <xf borderId="29" fillId="0" fontId="6" numFmtId="49" xfId="0" applyAlignment="1" applyBorder="1" applyFont="1" applyNumberFormat="1">
      <alignment shrinkToFit="0" vertical="center" wrapText="1"/>
    </xf>
    <xf borderId="16" fillId="0" fontId="6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center" wrapText="1"/>
    </xf>
    <xf borderId="16" fillId="0" fontId="9" numFmtId="49" xfId="0" applyAlignment="1" applyBorder="1" applyFont="1" applyNumberFormat="1">
      <alignment shrinkToFit="0" vertical="center" wrapText="1"/>
    </xf>
    <xf borderId="29" fillId="0" fontId="9" numFmtId="49" xfId="0" applyAlignment="1" applyBorder="1" applyFont="1" applyNumberFormat="1">
      <alignment shrinkToFit="0" vertical="center" wrapText="1"/>
    </xf>
    <xf borderId="16" fillId="0" fontId="16" numFmtId="0" xfId="0" applyAlignment="1" applyBorder="1" applyFont="1">
      <alignment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shrinkToFit="0" vertical="center" wrapText="1"/>
    </xf>
    <xf borderId="29" fillId="0" fontId="9" numFmtId="4" xfId="0" applyAlignment="1" applyBorder="1" applyFont="1" applyNumberFormat="1">
      <alignment horizontal="center" shrinkToFit="0" vertical="center" wrapText="1"/>
    </xf>
    <xf borderId="29" fillId="0" fontId="9" numFmtId="164" xfId="0" applyAlignment="1" applyBorder="1" applyFont="1" applyNumberForma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29" fillId="0" fontId="9" numFmtId="2" xfId="0" applyAlignment="1" applyBorder="1" applyFont="1" applyNumberFormat="1">
      <alignment horizontal="right" shrinkToFit="0" vertical="center" wrapText="1"/>
    </xf>
    <xf borderId="16" fillId="0" fontId="16" numFmtId="0" xfId="0" applyAlignment="1" applyBorder="1" applyFont="1">
      <alignment vertical="center"/>
    </xf>
    <xf borderId="29" fillId="0" fontId="16" numFmtId="0" xfId="0" applyAlignment="1" applyBorder="1" applyFont="1">
      <alignment vertical="center"/>
    </xf>
    <xf borderId="29" fillId="0" fontId="16" numFmtId="3" xfId="0" applyAlignment="1" applyBorder="1" applyFont="1" applyNumberFormat="1">
      <alignment vertical="center"/>
    </xf>
    <xf borderId="29" fillId="0" fontId="16" numFmtId="4" xfId="0" applyAlignment="1" applyBorder="1" applyFont="1" applyNumberFormat="1">
      <alignment vertical="center"/>
    </xf>
    <xf borderId="29" fillId="0" fontId="16" numFmtId="164" xfId="0" applyAlignment="1" applyBorder="1" applyFont="1" applyNumberFormat="1">
      <alignment vertical="center"/>
    </xf>
    <xf borderId="29" fillId="0" fontId="16" numFmtId="2" xfId="0" applyAlignment="1" applyBorder="1" applyFont="1" applyNumberFormat="1">
      <alignment vertical="center"/>
    </xf>
    <xf borderId="13" fillId="19" fontId="16" numFmtId="0" xfId="0" applyAlignment="1" applyBorder="1" applyFill="1" applyFont="1">
      <alignment vertical="center"/>
    </xf>
    <xf borderId="31" fillId="19" fontId="16" numFmtId="0" xfId="0" applyAlignment="1" applyBorder="1" applyFont="1">
      <alignment vertical="center"/>
    </xf>
    <xf borderId="31" fillId="19" fontId="16" numFmtId="3" xfId="0" applyAlignment="1" applyBorder="1" applyFont="1" applyNumberFormat="1">
      <alignment vertical="center"/>
    </xf>
    <xf borderId="31" fillId="19" fontId="16" numFmtId="4" xfId="0" applyAlignment="1" applyBorder="1" applyFont="1" applyNumberFormat="1">
      <alignment vertical="center"/>
    </xf>
    <xf borderId="31" fillId="19" fontId="16" numFmtId="164" xfId="0" applyAlignment="1" applyBorder="1" applyFont="1" applyNumberFormat="1">
      <alignment vertical="center"/>
    </xf>
    <xf borderId="31" fillId="19" fontId="16" numFmtId="2" xfId="0" applyAlignment="1" applyBorder="1" applyFont="1" applyNumberFormat="1">
      <alignment vertical="center"/>
    </xf>
    <xf borderId="17" fillId="19" fontId="16" numFmtId="0" xfId="0" applyAlignment="1" applyBorder="1" applyFont="1">
      <alignment vertical="center"/>
    </xf>
    <xf borderId="22" fillId="19" fontId="16" numFmtId="0" xfId="0" applyAlignment="1" applyBorder="1" applyFont="1">
      <alignment vertical="center"/>
    </xf>
    <xf borderId="17" fillId="0" fontId="9" numFmtId="0" xfId="0" applyAlignment="1" applyBorder="1" applyFont="1">
      <alignment vertical="center"/>
    </xf>
    <xf borderId="29" fillId="0" fontId="9" numFmtId="0" xfId="0" applyAlignment="1" applyBorder="1" applyFont="1">
      <alignment vertical="center"/>
    </xf>
    <xf borderId="29" fillId="0" fontId="9" numFmtId="3" xfId="0" applyAlignment="1" applyBorder="1" applyFont="1" applyNumberFormat="1">
      <alignment horizontal="center" vertical="center"/>
    </xf>
    <xf borderId="29" fillId="0" fontId="9" numFmtId="4" xfId="0" applyAlignment="1" applyBorder="1" applyFont="1" applyNumberFormat="1">
      <alignment horizontal="center" vertical="center"/>
    </xf>
    <xf borderId="29" fillId="0" fontId="9" numFmtId="164" xfId="0" applyAlignment="1" applyBorder="1" applyFont="1" applyNumberFormat="1">
      <alignment horizontal="center" vertical="center"/>
    </xf>
    <xf borderId="29" fillId="0" fontId="9" numFmtId="0" xfId="0" applyAlignment="1" applyBorder="1" applyFont="1">
      <alignment horizontal="center" vertical="center"/>
    </xf>
    <xf borderId="29" fillId="0" fontId="9" numFmtId="2" xfId="0" applyAlignment="1" applyBorder="1" applyFont="1" applyNumberFormat="1">
      <alignment horizontal="right" vertical="center"/>
    </xf>
    <xf borderId="29" fillId="0" fontId="9" numFmtId="0" xfId="0" applyAlignment="1" applyBorder="1" applyFont="1">
      <alignment horizontal="right" vertical="center"/>
    </xf>
    <xf borderId="26" fillId="0" fontId="2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27" fillId="0" fontId="1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23" fillId="0" fontId="1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right" vertical="center"/>
    </xf>
    <xf borderId="0" fillId="0" fontId="7" numFmtId="0" xfId="0" applyAlignment="1" applyFont="1">
      <alignment shrinkToFit="0" vertical="center" wrapText="1"/>
    </xf>
    <xf borderId="0" fillId="0" fontId="16" numFmtId="3" xfId="0" applyAlignment="1" applyFont="1" applyNumberFormat="1">
      <alignment horizontal="center" vertical="center"/>
    </xf>
    <xf borderId="0" fillId="0" fontId="16" numFmtId="4" xfId="0" applyAlignment="1" applyFont="1" applyNumberFormat="1">
      <alignment horizontal="center" vertical="center"/>
    </xf>
    <xf borderId="0" fillId="0" fontId="16" numFmtId="4" xfId="0" applyAlignment="1" applyFont="1" applyNumberFormat="1">
      <alignment horizontal="right"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  <xf borderId="13" fillId="0" fontId="2" numFmtId="49" xfId="0" applyAlignment="1" applyBorder="1" applyFont="1" applyNumberFormat="1">
      <alignment horizontal="left" shrinkToFit="0" vertical="center" wrapText="1"/>
    </xf>
    <xf borderId="14" fillId="0" fontId="2" numFmtId="3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1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0" fontId="10" numFmtId="4" xfId="0" applyAlignment="1" applyBorder="1" applyFont="1" applyNumberFormat="1">
      <alignment horizontal="center" shrinkToFit="0" vertical="center" wrapText="1"/>
    </xf>
    <xf borderId="2" fillId="0" fontId="10" numFmtId="164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8" fillId="2" fontId="2" numFmtId="0" xfId="0" applyAlignment="1" applyBorder="1" applyFont="1">
      <alignment shrinkToFit="0" vertical="center" wrapText="1"/>
    </xf>
    <xf borderId="18" fillId="2" fontId="2" numFmtId="3" xfId="0" applyAlignment="1" applyBorder="1" applyFont="1" applyNumberFormat="1">
      <alignment horizontal="center" shrinkToFit="0" vertical="center" wrapText="1"/>
    </xf>
    <xf borderId="18" fillId="2" fontId="2" numFmtId="4" xfId="0" applyAlignment="1" applyBorder="1" applyFont="1" applyNumberFormat="1">
      <alignment horizontal="center" shrinkToFit="0" vertical="center" wrapText="1"/>
    </xf>
    <xf borderId="18" fillId="2" fontId="2" numFmtId="4" xfId="0" applyAlignment="1" applyBorder="1" applyFont="1" applyNumberFormat="1">
      <alignment horizontal="right" shrinkToFit="0" vertical="center" wrapText="1"/>
    </xf>
    <xf borderId="17" fillId="5" fontId="2" numFmtId="4" xfId="0" applyAlignment="1" applyBorder="1" applyFont="1" applyNumberFormat="1">
      <alignment shrinkToFit="0" vertical="top" wrapText="1"/>
    </xf>
    <xf borderId="17" fillId="0" fontId="2" numFmtId="0" xfId="0" applyAlignment="1" applyBorder="1" applyFont="1">
      <alignment horizontal="center" vertical="top"/>
    </xf>
    <xf borderId="17" fillId="0" fontId="2" numFmtId="3" xfId="0" applyAlignment="1" applyBorder="1" applyFont="1" applyNumberFormat="1">
      <alignment horizontal="center" readingOrder="0" vertical="top"/>
    </xf>
    <xf borderId="17" fillId="0" fontId="2" numFmtId="4" xfId="0" applyAlignment="1" applyBorder="1" applyFont="1" applyNumberFormat="1">
      <alignment horizontal="center" vertical="top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vertical="center"/>
    </xf>
    <xf borderId="17" fillId="5" fontId="2" numFmtId="49" xfId="0" applyAlignment="1" applyBorder="1" applyFont="1" applyNumberFormat="1">
      <alignment shrinkToFit="0" vertical="top" wrapText="1"/>
    </xf>
    <xf borderId="16" fillId="5" fontId="2" numFmtId="49" xfId="0" applyAlignment="1" applyBorder="1" applyFont="1" applyNumberFormat="1">
      <alignment shrinkToFit="0" vertical="center" wrapText="1"/>
    </xf>
    <xf borderId="18" fillId="0" fontId="2" numFmtId="3" xfId="0" applyAlignment="1" applyBorder="1" applyFont="1" applyNumberFormat="1">
      <alignment horizontal="center" readingOrder="0" shrinkToFit="0" vertical="center" wrapText="1"/>
    </xf>
    <xf borderId="16" fillId="5" fontId="2" numFmtId="49" xfId="0" applyAlignment="1" applyBorder="1" applyFont="1" applyNumberFormat="1">
      <alignment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2" numFmtId="3" xfId="0" applyAlignment="1" applyBorder="1" applyFont="1" applyNumberFormat="1">
      <alignment horizontal="center" shrinkToFit="0" vertical="center" wrapText="1"/>
    </xf>
    <xf borderId="18" fillId="0" fontId="2" numFmtId="4" xfId="0" applyAlignment="1" applyBorder="1" applyFont="1" applyNumberFormat="1">
      <alignment horizontal="center" readingOrder="0" shrinkToFit="0" vertical="center" wrapText="1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6" fillId="0" fontId="2" numFmtId="49" xfId="0" applyAlignment="1" applyBorder="1" applyFont="1" applyNumberFormat="1">
      <alignment readingOrder="0" shrinkToFit="0" vertical="center" wrapText="1"/>
    </xf>
    <xf borderId="16" fillId="0" fontId="2" numFmtId="0" xfId="0" applyAlignment="1" applyBorder="1" applyFont="1">
      <alignment horizontal="left" readingOrder="0" shrinkToFit="0" vertical="center" wrapText="1"/>
    </xf>
    <xf borderId="16" fillId="2" fontId="10" numFmtId="0" xfId="0" applyAlignment="1" applyBorder="1" applyFont="1">
      <alignment horizontal="left" shrinkToFit="0" vertical="center" wrapText="1"/>
    </xf>
    <xf borderId="17" fillId="2" fontId="2" numFmtId="4" xfId="0" applyAlignment="1" applyBorder="1" applyFont="1" applyNumberFormat="1">
      <alignment horizontal="center" shrinkToFit="0" vertical="center" wrapText="1"/>
    </xf>
    <xf borderId="17" fillId="2" fontId="2" numFmtId="4" xfId="0" applyAlignment="1" applyBorder="1" applyFont="1" applyNumberFormat="1">
      <alignment horizontal="right" shrinkToFit="0" vertical="center" wrapText="1"/>
    </xf>
    <xf borderId="16" fillId="5" fontId="22" numFmtId="49" xfId="0" applyAlignment="1" applyBorder="1" applyFont="1" applyNumberFormat="1">
      <alignment horizontal="left" readingOrder="0"/>
    </xf>
    <xf borderId="17" fillId="0" fontId="2" numFmtId="164" xfId="0" applyAlignment="1" applyBorder="1" applyFont="1" applyNumberFormat="1">
      <alignment horizontal="center" readingOrder="0" vertical="top"/>
    </xf>
    <xf borderId="17" fillId="0" fontId="2" numFmtId="4" xfId="0" applyAlignment="1" applyBorder="1" applyFont="1" applyNumberFormat="1">
      <alignment horizontal="right" readingOrder="0" vertical="top"/>
    </xf>
    <xf borderId="17" fillId="5" fontId="22" numFmtId="49" xfId="0" applyAlignment="1" applyBorder="1" applyFont="1" applyNumberFormat="1">
      <alignment horizontal="left" readingOrder="0"/>
    </xf>
    <xf borderId="17" fillId="0" fontId="2" numFmtId="49" xfId="0" applyAlignment="1" applyBorder="1" applyFont="1" applyNumberFormat="1">
      <alignment readingOrder="0" vertical="top"/>
    </xf>
    <xf borderId="16" fillId="0" fontId="2" numFmtId="49" xfId="0" applyAlignment="1" applyBorder="1" applyFont="1" applyNumberFormat="1">
      <alignment readingOrder="0" vertical="top"/>
    </xf>
    <xf borderId="28" fillId="5" fontId="22" numFmtId="49" xfId="0" applyAlignment="1" applyBorder="1" applyFont="1" applyNumberFormat="1">
      <alignment horizontal="left" readingOrder="0"/>
    </xf>
    <xf borderId="17" fillId="0" fontId="2" numFmtId="49" xfId="0" applyAlignment="1" applyBorder="1" applyFont="1" applyNumberFormat="1">
      <alignment vertical="top"/>
    </xf>
    <xf borderId="17" fillId="0" fontId="2" numFmtId="164" xfId="0" applyAlignment="1" applyBorder="1" applyFont="1" applyNumberFormat="1">
      <alignment horizontal="center" vertical="top"/>
    </xf>
    <xf borderId="17" fillId="0" fontId="2" numFmtId="49" xfId="0" applyAlignment="1" applyBorder="1" applyFont="1" applyNumberFormat="1">
      <alignment horizontal="left" shrinkToFit="0" vertical="center" wrapText="1"/>
    </xf>
    <xf borderId="17" fillId="5" fontId="2" numFmtId="0" xfId="0" applyAlignment="1" applyBorder="1" applyFont="1">
      <alignment horizontal="center" shrinkToFit="0" vertical="center" wrapText="1"/>
    </xf>
    <xf borderId="17" fillId="0" fontId="2" numFmtId="4" xfId="0" applyAlignment="1" applyBorder="1" applyFont="1" applyNumberFormat="1">
      <alignment horizontal="center" shrinkToFit="0" vertical="center" wrapText="1"/>
    </xf>
    <xf borderId="18" fillId="5" fontId="2" numFmtId="0" xfId="0" applyAlignment="1" applyBorder="1" applyFont="1">
      <alignment vertical="center"/>
    </xf>
    <xf borderId="17" fillId="4" fontId="2" numFmtId="0" xfId="0" applyAlignment="1" applyBorder="1" applyFont="1">
      <alignment horizontal="center" shrinkToFit="0" vertical="center" wrapText="1"/>
    </xf>
    <xf borderId="35" fillId="4" fontId="2" numFmtId="0" xfId="0" applyAlignment="1" applyBorder="1" applyFont="1">
      <alignment vertical="center"/>
    </xf>
    <xf borderId="17" fillId="0" fontId="2" numFmtId="0" xfId="0" applyAlignment="1" applyBorder="1" applyFont="1">
      <alignment horizontal="left" readingOrder="0" shrinkToFit="0" vertical="center" wrapText="1"/>
    </xf>
    <xf borderId="17" fillId="0" fontId="2" numFmtId="3" xfId="0" applyAlignment="1" applyBorder="1" applyFont="1" applyNumberFormat="1">
      <alignment horizontal="center" readingOrder="0" shrinkToFit="0" vertical="center" wrapText="1"/>
    </xf>
    <xf borderId="17" fillId="0" fontId="2" numFmtId="4" xfId="0" applyAlignment="1" applyBorder="1" applyFont="1" applyNumberFormat="1">
      <alignment horizontal="right" readingOrder="0" shrinkToFit="0" vertical="center" wrapText="1"/>
    </xf>
    <xf borderId="17" fillId="0" fontId="2" numFmtId="49" xfId="0" applyAlignment="1" applyBorder="1" applyFont="1" applyNumberFormat="1">
      <alignment horizontal="left" readingOrder="0" shrinkToFit="0" vertical="center" wrapText="1"/>
    </xf>
    <xf borderId="17" fillId="0" fontId="2" numFmtId="164" xfId="0" applyAlignment="1" applyBorder="1" applyFont="1" applyNumberFormat="1">
      <alignment horizontal="center" readingOrder="0" shrinkToFit="0" vertical="center" wrapText="1"/>
    </xf>
    <xf borderId="29" fillId="0" fontId="0" numFmtId="0" xfId="0" applyAlignment="1" applyBorder="1" applyFont="1">
      <alignment readingOrder="0"/>
    </xf>
    <xf borderId="16" fillId="0" fontId="0" numFmtId="0" xfId="0" applyBorder="1" applyFont="1"/>
    <xf borderId="16" fillId="0" fontId="0" numFmtId="0" xfId="0" applyAlignment="1" applyBorder="1" applyFont="1">
      <alignment horizontal="center" readingOrder="0"/>
    </xf>
    <xf borderId="17" fillId="2" fontId="10" numFmtId="0" xfId="0" applyAlignment="1" applyBorder="1" applyFont="1">
      <alignment horizontal="left" shrinkToFit="0" vertical="center" wrapText="1"/>
    </xf>
    <xf borderId="17" fillId="0" fontId="2" numFmtId="4" xfId="0" applyAlignment="1" applyBorder="1" applyFont="1" applyNumberFormat="1">
      <alignment horizontal="center" readingOrder="0" shrinkToFit="0" vertical="center" wrapText="1"/>
    </xf>
    <xf borderId="34" fillId="0" fontId="22" numFmtId="164" xfId="0" applyAlignment="1" applyBorder="1" applyFont="1" applyNumberFormat="1">
      <alignment horizontal="center" readingOrder="0"/>
    </xf>
    <xf borderId="17" fillId="5" fontId="2" numFmtId="49" xfId="0" applyAlignment="1" applyBorder="1" applyFont="1" applyNumberFormat="1">
      <alignment horizontal="left" shrinkToFit="0" vertical="center" wrapText="1"/>
    </xf>
    <xf borderId="17" fillId="3" fontId="2" numFmtId="0" xfId="0" applyAlignment="1" applyBorder="1" applyFont="1">
      <alignment horizontal="center" shrinkToFit="0" vertical="center" wrapText="1"/>
    </xf>
    <xf borderId="17" fillId="2" fontId="10" numFmtId="0" xfId="0" applyAlignment="1" applyBorder="1" applyFont="1">
      <alignment shrinkToFit="0" vertical="center" wrapText="1"/>
    </xf>
    <xf borderId="17" fillId="2" fontId="16" numFmtId="3" xfId="0" applyAlignment="1" applyBorder="1" applyFont="1" applyNumberFormat="1">
      <alignment shrinkToFit="0" vertical="center" wrapText="1"/>
    </xf>
    <xf borderId="17" fillId="2" fontId="16" numFmtId="164" xfId="0" applyAlignment="1" applyBorder="1" applyFont="1" applyNumberFormat="1">
      <alignment shrinkToFit="0" vertical="center" wrapText="1"/>
    </xf>
    <xf borderId="17" fillId="2" fontId="16" numFmtId="164" xfId="0" applyAlignment="1" applyBorder="1" applyFont="1" applyNumberFormat="1">
      <alignment horizontal="right" shrinkToFit="0" vertical="center" wrapText="1"/>
    </xf>
    <xf borderId="0" fillId="2" fontId="16" numFmtId="0" xfId="0" applyAlignment="1" applyFont="1">
      <alignment vertical="center"/>
    </xf>
    <xf borderId="17" fillId="0" fontId="2" numFmtId="0" xfId="0" applyAlignment="1" applyBorder="1" applyFont="1">
      <alignment readingOrder="0" shrinkToFit="0" vertical="center" wrapText="1"/>
    </xf>
    <xf borderId="17" fillId="0" fontId="10" numFmtId="0" xfId="0" applyAlignment="1" applyBorder="1" applyFont="1">
      <alignment shrinkToFit="0" vertical="center" wrapText="1"/>
    </xf>
    <xf borderId="35" fillId="2" fontId="16" numFmtId="0" xfId="0" applyAlignment="1" applyBorder="1" applyFont="1">
      <alignment vertical="center"/>
    </xf>
    <xf borderId="17" fillId="0" fontId="2" numFmtId="0" xfId="0" applyAlignment="1" applyBorder="1" applyFont="1">
      <alignment readingOrder="0" vertical="center"/>
    </xf>
    <xf borderId="17" fillId="0" fontId="10" numFmtId="0" xfId="0" applyAlignment="1" applyBorder="1" applyFont="1">
      <alignment vertical="center"/>
    </xf>
    <xf borderId="17" fillId="0" fontId="2" numFmtId="3" xfId="0" applyAlignment="1" applyBorder="1" applyFont="1" applyNumberFormat="1">
      <alignment horizontal="center" readingOrder="0" vertical="center"/>
    </xf>
    <xf borderId="17" fillId="0" fontId="2" numFmtId="164" xfId="0" applyAlignment="1" applyBorder="1" applyFont="1" applyNumberFormat="1">
      <alignment horizontal="right" readingOrder="0" shrinkToFit="0" vertical="center" wrapText="1"/>
    </xf>
    <xf borderId="17" fillId="0" fontId="2" numFmtId="0" xfId="0" applyAlignment="1" applyBorder="1" applyFont="1">
      <alignment horizontal="center" readingOrder="0" vertical="center"/>
    </xf>
    <xf borderId="17" fillId="2" fontId="10" numFmtId="49" xfId="0" applyAlignment="1" applyBorder="1" applyFont="1" applyNumberFormat="1">
      <alignment shrinkToFit="0" vertical="center" wrapText="1"/>
    </xf>
    <xf borderId="17" fillId="2" fontId="2" numFmtId="164" xfId="0" applyAlignment="1" applyBorder="1" applyFont="1" applyNumberFormat="1">
      <alignment horizontal="right" shrinkToFit="0" vertical="center" wrapText="1"/>
    </xf>
    <xf borderId="17" fillId="0" fontId="2" numFmtId="49" xfId="0" applyAlignment="1" applyBorder="1" applyFont="1" applyNumberFormat="1">
      <alignment shrinkToFit="0" vertical="top" wrapText="1"/>
    </xf>
    <xf borderId="17" fillId="0" fontId="2" numFmtId="3" xfId="0" applyAlignment="1" applyBorder="1" applyFont="1" applyNumberFormat="1">
      <alignment horizontal="center" vertical="top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vertical="center"/>
    </xf>
    <xf borderId="17" fillId="5" fontId="2" numFmtId="49" xfId="0" applyAlignment="1" applyBorder="1" applyFont="1" applyNumberFormat="1">
      <alignment vertical="top"/>
    </xf>
    <xf borderId="17" fillId="5" fontId="2" numFmtId="49" xfId="0" applyAlignment="1" applyBorder="1" applyFont="1" applyNumberFormat="1">
      <alignment shrinkToFit="0" wrapText="1"/>
    </xf>
    <xf borderId="17" fillId="5" fontId="2" numFmtId="49" xfId="0" applyAlignment="1" applyBorder="1" applyFont="1" applyNumberFormat="1">
      <alignment horizontal="left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horizontal="left" shrinkToFit="0" vertical="center" wrapText="1"/>
    </xf>
    <xf borderId="14" fillId="4" fontId="2" numFmtId="3" xfId="0" applyAlignment="1" applyBorder="1" applyFont="1" applyNumberFormat="1">
      <alignment horizontal="center" readingOrder="0" shrinkToFit="0" vertical="center" wrapText="1"/>
    </xf>
    <xf borderId="16" fillId="5" fontId="2" numFmtId="49" xfId="0" applyAlignment="1" applyBorder="1" applyFont="1" applyNumberFormat="1">
      <alignment horizontal="left" readingOrder="0" shrinkToFit="0" vertical="center" wrapText="1"/>
    </xf>
    <xf borderId="18" fillId="4" fontId="2" numFmtId="3" xfId="0" applyAlignment="1" applyBorder="1" applyFont="1" applyNumberFormat="1">
      <alignment horizontal="center" readingOrder="0" shrinkToFit="0" vertical="center" wrapText="1"/>
    </xf>
    <xf borderId="17" fillId="2" fontId="10" numFmtId="49" xfId="0" applyAlignment="1" applyBorder="1" applyFont="1" applyNumberFormat="1">
      <alignment readingOrder="0" shrinkToFit="0" vertical="center" wrapText="1"/>
    </xf>
    <xf borderId="14" fillId="4" fontId="2" numFmtId="3" xfId="0" applyAlignment="1" applyBorder="1" applyFont="1" applyNumberFormat="1">
      <alignment horizontal="left" readingOrder="0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23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10" numFmtId="164" xfId="0" applyAlignment="1" applyFont="1" applyNumberFormat="1">
      <alignment horizontal="right" vertical="center"/>
    </xf>
    <xf borderId="16" fillId="0" fontId="10" numFmtId="0" xfId="0" applyAlignment="1" applyBorder="1" applyFont="1">
      <alignment vertical="center"/>
    </xf>
    <xf borderId="27" fillId="0" fontId="10" numFmtId="164" xfId="0" applyAlignment="1" applyBorder="1" applyFont="1" applyNumberFormat="1">
      <alignment horizontal="center" vertical="center"/>
    </xf>
    <xf borderId="23" fillId="0" fontId="10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4" numFmtId="0" xfId="0" applyAlignment="1" applyFont="1">
      <alignment vertical="center"/>
    </xf>
    <xf borderId="0" fillId="0" fontId="10" numFmtId="0" xfId="0" applyAlignment="1" applyFont="1">
      <alignment horizontal="left" shrinkToFit="0" vertical="center" wrapText="1"/>
    </xf>
    <xf borderId="0" fillId="0" fontId="10" numFmtId="3" xfId="0" applyAlignment="1" applyFont="1" applyNumberFormat="1">
      <alignment horizontal="center" shrinkToFit="0" vertical="center" wrapText="1"/>
    </xf>
    <xf borderId="0" fillId="0" fontId="10" numFmtId="4" xfId="0" applyAlignment="1" applyFont="1" applyNumberFormat="1">
      <alignment horizontal="right" shrinkToFit="0" vertical="center" wrapText="1"/>
    </xf>
    <xf borderId="0" fillId="0" fontId="10" numFmtId="0" xfId="0" applyAlignment="1" applyFont="1">
      <alignment shrinkToFit="0" vertical="center" wrapText="1"/>
    </xf>
    <xf borderId="0" fillId="0" fontId="25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vertical="center"/>
    </xf>
    <xf borderId="0" fillId="0" fontId="27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right" vertical="center"/>
    </xf>
    <xf borderId="17" fillId="3" fontId="2" numFmtId="4" xfId="0" applyAlignment="1" applyBorder="1" applyFont="1" applyNumberFormat="1">
      <alignment shrinkToFit="0" vertical="top" wrapText="1"/>
    </xf>
    <xf borderId="17" fillId="3" fontId="2" numFmtId="49" xfId="0" applyAlignment="1" applyBorder="1" applyFont="1" applyNumberFormat="1">
      <alignment shrinkToFit="0" vertical="top" wrapText="1"/>
    </xf>
    <xf borderId="17" fillId="3" fontId="22" numFmtId="49" xfId="0" applyAlignment="1" applyBorder="1" applyFont="1" applyNumberFormat="1">
      <alignment horizontal="left" readingOrder="0"/>
    </xf>
    <xf borderId="17" fillId="3" fontId="2" numFmtId="49" xfId="0" applyAlignment="1" applyBorder="1" applyFont="1" applyNumberFormat="1">
      <alignment horizontal="left" shrinkToFit="0" vertical="center" wrapText="1"/>
    </xf>
    <xf borderId="17" fillId="3" fontId="2" numFmtId="0" xfId="0" applyAlignment="1" applyBorder="1" applyFont="1">
      <alignment readingOrder="0" vertical="center"/>
    </xf>
    <xf borderId="17" fillId="3" fontId="2" numFmtId="49" xfId="0" applyAlignment="1" applyBorder="1" applyFont="1" applyNumberFormat="1">
      <alignment vertical="top"/>
    </xf>
    <xf borderId="17" fillId="3" fontId="2" numFmtId="49" xfId="0" applyAlignment="1" applyBorder="1" applyFont="1" applyNumberFormat="1">
      <alignment shrinkToFit="0" wrapText="1"/>
    </xf>
    <xf borderId="17" fillId="3" fontId="2" numFmtId="49" xfId="0" applyAlignment="1" applyBorder="1" applyFont="1" applyNumberFormat="1">
      <alignment horizontal="left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7" fillId="0" fontId="28" numFmtId="4" xfId="0" applyAlignment="1" applyBorder="1" applyFont="1" applyNumberFormat="1">
      <alignment shrinkToFit="0" vertical="top" wrapText="1"/>
    </xf>
    <xf borderId="17" fillId="0" fontId="28" numFmtId="0" xfId="0" applyAlignment="1" applyBorder="1" applyFont="1">
      <alignment horizontal="center" vertical="top"/>
    </xf>
    <xf borderId="17" fillId="0" fontId="28" numFmtId="3" xfId="0" applyAlignment="1" applyBorder="1" applyFont="1" applyNumberFormat="1">
      <alignment horizontal="center" vertical="top"/>
    </xf>
    <xf borderId="18" fillId="0" fontId="28" numFmtId="4" xfId="0" applyAlignment="1" applyBorder="1" applyFont="1" applyNumberFormat="1">
      <alignment horizontal="center" vertical="top"/>
    </xf>
    <xf borderId="18" fillId="0" fontId="28" numFmtId="4" xfId="0" applyAlignment="1" applyBorder="1" applyFont="1" applyNumberFormat="1">
      <alignment horizontal="right" vertical="top"/>
    </xf>
    <xf borderId="17" fillId="0" fontId="28" numFmtId="49" xfId="0" applyAlignment="1" applyBorder="1" applyFont="1" applyNumberFormat="1">
      <alignment shrinkToFit="0" vertical="top" wrapText="1"/>
    </xf>
    <xf borderId="19" fillId="0" fontId="28" numFmtId="4" xfId="0" applyAlignment="1" applyBorder="1" applyFont="1" applyNumberFormat="1">
      <alignment horizontal="center" vertical="top"/>
    </xf>
    <xf borderId="19" fillId="0" fontId="28" numFmtId="4" xfId="0" applyAlignment="1" applyBorder="1" applyFont="1" applyNumberFormat="1">
      <alignment horizontal="right" vertical="top"/>
    </xf>
    <xf borderId="17" fillId="0" fontId="28" numFmtId="49" xfId="0" applyAlignment="1" applyBorder="1" applyFont="1" applyNumberFormat="1">
      <alignment vertical="top"/>
    </xf>
    <xf borderId="17" fillId="0" fontId="28" numFmtId="164" xfId="0" applyAlignment="1" applyBorder="1" applyFont="1" applyNumberFormat="1">
      <alignment horizontal="center" vertical="top"/>
    </xf>
    <xf borderId="17" fillId="0" fontId="28" numFmtId="4" xfId="0" applyAlignment="1" applyBorder="1" applyFont="1" applyNumberFormat="1">
      <alignment horizontal="right" vertical="top"/>
    </xf>
    <xf borderId="35" fillId="4" fontId="9" numFmtId="0" xfId="0" applyAlignment="1" applyBorder="1" applyFont="1">
      <alignment vertical="center"/>
    </xf>
    <xf borderId="17" fillId="0" fontId="28" numFmtId="4" xfId="0" applyAlignment="1" applyBorder="1" applyFont="1" applyNumberFormat="1">
      <alignment horizontal="center" vertical="top"/>
    </xf>
    <xf borderId="17" fillId="0" fontId="28" numFmtId="49" xfId="0" applyAlignment="1" applyBorder="1" applyFont="1" applyNumberFormat="1">
      <alignment shrinkToFit="0" wrapText="1"/>
    </xf>
    <xf borderId="17" fillId="2" fontId="6" numFmtId="0" xfId="0" applyAlignment="1" applyBorder="1" applyFont="1">
      <alignment shrinkToFit="0" vertical="center" wrapText="1"/>
    </xf>
    <xf borderId="17" fillId="0" fontId="9" numFmtId="3" xfId="0" applyAlignment="1" applyBorder="1" applyFont="1" applyNumberFormat="1">
      <alignment horizontal="center" vertical="center"/>
    </xf>
    <xf borderId="17" fillId="0" fontId="9" numFmtId="164" xfId="0" applyAlignment="1" applyBorder="1" applyFont="1" applyNumberFormat="1">
      <alignment horizontal="center" vertical="center"/>
    </xf>
    <xf borderId="17" fillId="0" fontId="16" numFmtId="164" xfId="0" applyAlignment="1" applyBorder="1" applyFont="1" applyNumberFormat="1">
      <alignment vertical="center"/>
    </xf>
    <xf borderId="17" fillId="2" fontId="9" numFmtId="164" xfId="0" applyAlignment="1" applyBorder="1" applyFont="1" applyNumberFormat="1">
      <alignment horizontal="center" shrinkToFit="0" vertical="center" wrapText="1"/>
    </xf>
    <xf borderId="17" fillId="2" fontId="6" numFmtId="49" xfId="0" applyAlignment="1" applyBorder="1" applyFont="1" applyNumberFormat="1">
      <alignment shrinkToFit="0" vertical="center" wrapText="1"/>
    </xf>
    <xf borderId="17" fillId="4" fontId="2" numFmtId="3" xfId="0" applyAlignment="1" applyBorder="1" applyFont="1" applyNumberFormat="1">
      <alignment horizontal="center" shrinkToFit="0" vertical="center" wrapText="1"/>
    </xf>
    <xf borderId="17" fillId="2" fontId="16" numFmtId="4" xfId="0" applyAlignment="1" applyBorder="1" applyFont="1" applyNumberFormat="1">
      <alignment shrinkToFit="0" vertical="center" wrapText="1"/>
    </xf>
    <xf borderId="17" fillId="0" fontId="9" numFmtId="3" xfId="0" applyAlignment="1" applyBorder="1" applyFont="1" applyNumberFormat="1">
      <alignment horizontal="center" shrinkToFit="0" vertical="center" wrapText="1"/>
    </xf>
    <xf borderId="17" fillId="0" fontId="9" numFmtId="4" xfId="0" applyAlignment="1" applyBorder="1" applyFont="1" applyNumberFormat="1">
      <alignment horizontal="right" shrinkToFit="0" vertical="center" wrapText="1"/>
    </xf>
    <xf borderId="17" fillId="0" fontId="9" numFmtId="164" xfId="0" applyAlignment="1" applyBorder="1" applyFont="1" applyNumberFormat="1">
      <alignment horizontal="right" shrinkToFit="0" vertical="center" wrapText="1"/>
    </xf>
    <xf borderId="17" fillId="5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shrinkToFit="0" vertical="center" wrapText="1"/>
    </xf>
    <xf borderId="17" fillId="0" fontId="6" numFmtId="49" xfId="0" applyAlignment="1" applyBorder="1" applyFont="1" applyNumberFormat="1">
      <alignment shrinkToFit="0" vertical="center" wrapText="1"/>
    </xf>
    <xf borderId="17" fillId="0" fontId="9" numFmtId="49" xfId="0" applyAlignment="1" applyBorder="1" applyFont="1" applyNumberFormat="1">
      <alignment shrinkToFit="0" vertical="center" wrapText="1"/>
    </xf>
    <xf borderId="17" fillId="0" fontId="9" numFmtId="4" xfId="0" applyAlignment="1" applyBorder="1" applyFont="1" applyNumberFormat="1">
      <alignment horizontal="center" shrinkToFit="0" vertical="center" wrapText="1"/>
    </xf>
    <xf borderId="17" fillId="0" fontId="9" numFmtId="164" xfId="0" applyAlignment="1" applyBorder="1" applyFont="1" applyNumberFormat="1">
      <alignment horizontal="center" shrinkToFit="0" vertical="center" wrapText="1"/>
    </xf>
    <xf borderId="17" fillId="0" fontId="9" numFmtId="2" xfId="0" applyAlignment="1" applyBorder="1" applyFont="1" applyNumberFormat="1">
      <alignment horizontal="right" shrinkToFit="0" vertical="center" wrapText="1"/>
    </xf>
    <xf borderId="17" fillId="0" fontId="16" numFmtId="3" xfId="0" applyAlignment="1" applyBorder="1" applyFont="1" applyNumberFormat="1">
      <alignment vertical="center"/>
    </xf>
    <xf borderId="17" fillId="0" fontId="16" numFmtId="4" xfId="0" applyAlignment="1" applyBorder="1" applyFont="1" applyNumberFormat="1">
      <alignment vertical="center"/>
    </xf>
    <xf borderId="17" fillId="0" fontId="16" numFmtId="2" xfId="0" applyAlignment="1" applyBorder="1" applyFont="1" applyNumberFormat="1">
      <alignment vertical="center"/>
    </xf>
    <xf borderId="17" fillId="19" fontId="16" numFmtId="3" xfId="0" applyAlignment="1" applyBorder="1" applyFont="1" applyNumberFormat="1">
      <alignment vertical="center"/>
    </xf>
    <xf borderId="17" fillId="19" fontId="16" numFmtId="4" xfId="0" applyAlignment="1" applyBorder="1" applyFont="1" applyNumberFormat="1">
      <alignment vertical="center"/>
    </xf>
    <xf borderId="17" fillId="19" fontId="16" numFmtId="164" xfId="0" applyAlignment="1" applyBorder="1" applyFont="1" applyNumberFormat="1">
      <alignment vertical="center"/>
    </xf>
    <xf borderId="17" fillId="19" fontId="16" numFmtId="2" xfId="0" applyAlignment="1" applyBorder="1" applyFont="1" applyNumberFormat="1">
      <alignment vertical="center"/>
    </xf>
    <xf borderId="35" fillId="19" fontId="16" numFmtId="0" xfId="0" applyAlignment="1" applyBorder="1" applyFont="1">
      <alignment vertical="center"/>
    </xf>
    <xf borderId="17" fillId="2" fontId="2" numFmtId="4" xfId="0" applyAlignment="1" applyBorder="1" applyFont="1" applyNumberFormat="1">
      <alignment horizontal="right"/>
    </xf>
    <xf borderId="12" fillId="0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left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4" fillId="2" fontId="6" numFmtId="4" xfId="0" applyAlignment="1" applyBorder="1" applyFont="1" applyNumberFormat="1">
      <alignment horizontal="right" shrinkToFit="0" vertical="center" wrapText="1"/>
    </xf>
    <xf borderId="14" fillId="2" fontId="6" numFmtId="164" xfId="0" applyAlignment="1" applyBorder="1" applyFont="1" applyNumberForma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right"/>
    </xf>
    <xf borderId="18" fillId="0" fontId="2" numFmtId="0" xfId="0" applyAlignment="1" applyBorder="1" applyFont="1">
      <alignment horizontal="right" shrinkToFit="0" vertical="center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min="3" max="3" width="11.63"/>
    <col customWidth="1" min="4" max="6" width="10.13"/>
    <col customWidth="1" min="7" max="7" width="11.25"/>
    <col customWidth="1" min="8" max="8" width="23.25"/>
    <col customWidth="1" min="9" max="9" width="10.38"/>
    <col customWidth="1" min="10" max="14" width="7.63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2"/>
      <c r="Z1" s="2"/>
    </row>
    <row r="2">
      <c r="A2" s="3" t="s">
        <v>1</v>
      </c>
      <c r="Y2" s="2"/>
      <c r="Z2" s="2"/>
    </row>
    <row r="3">
      <c r="A3" s="4"/>
      <c r="Y3" s="2"/>
      <c r="Z3" s="2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</row>
    <row r="5">
      <c r="A5" s="11"/>
      <c r="B5" s="6"/>
      <c r="C5" s="2"/>
      <c r="D5" s="12"/>
      <c r="E5" s="13"/>
      <c r="F5" s="14"/>
      <c r="G5" s="15"/>
      <c r="H5" s="16"/>
      <c r="I5" s="16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12"/>
      <c r="E6" s="13"/>
      <c r="F6" s="14"/>
      <c r="G6" s="15"/>
      <c r="H6" s="16"/>
      <c r="I6" s="16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</v>
      </c>
      <c r="B7" s="6"/>
      <c r="C7" s="2"/>
      <c r="D7" s="12"/>
      <c r="E7" s="13"/>
      <c r="F7" s="14"/>
      <c r="G7" s="15"/>
      <c r="H7" s="16"/>
      <c r="I7" s="16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7" t="s">
        <v>5</v>
      </c>
      <c r="B8" s="18" t="s">
        <v>6</v>
      </c>
      <c r="C8" s="19" t="s">
        <v>7</v>
      </c>
      <c r="D8" s="20"/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27"/>
      <c r="Z8" s="27"/>
    </row>
    <row r="9">
      <c r="A9" s="28"/>
      <c r="B9" s="29"/>
      <c r="C9" s="30" t="s">
        <v>14</v>
      </c>
      <c r="D9" s="31"/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34"/>
      <c r="Z9" s="27"/>
    </row>
    <row r="10" ht="15.75" customHeight="1">
      <c r="A10" s="35"/>
      <c r="B10" s="36" t="s">
        <v>29</v>
      </c>
      <c r="C10" s="37"/>
      <c r="D10" s="38"/>
      <c r="E10" s="39"/>
      <c r="F10" s="40"/>
      <c r="G10" s="37"/>
      <c r="H10" s="37"/>
      <c r="I10" s="37"/>
      <c r="J10" s="41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42"/>
      <c r="X10" s="43"/>
      <c r="Y10" s="27"/>
      <c r="Z10" s="27"/>
    </row>
    <row r="11" ht="15.75" customHeight="1">
      <c r="A11" s="35"/>
      <c r="B11" s="44" t="s">
        <v>30</v>
      </c>
      <c r="C11" s="4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49">
        <v>32000.0</v>
      </c>
      <c r="H11" s="45" t="s">
        <v>32</v>
      </c>
      <c r="I11" s="50"/>
      <c r="J11" s="45">
        <v>40.0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27"/>
      <c r="Z11" s="27"/>
    </row>
    <row r="12" ht="15.75" customHeight="1">
      <c r="A12" s="35"/>
      <c r="B12" s="51" t="s">
        <v>33</v>
      </c>
      <c r="C12" s="52" t="s">
        <v>34</v>
      </c>
      <c r="D12" s="53">
        <v>1.0</v>
      </c>
      <c r="E12" s="47" t="str">
        <f>IFERROR(__xludf.DUMMYFUNCTION("REGEXEXTRACT(C12,""[A-Za-z]+"")"),"lot")</f>
        <v>lot</v>
      </c>
      <c r="F12" s="48">
        <v>33000.0</v>
      </c>
      <c r="G12" s="48">
        <v>33000.0</v>
      </c>
      <c r="H12" s="45" t="s">
        <v>32</v>
      </c>
      <c r="I12" s="50"/>
      <c r="J12" s="45">
        <v>1.0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27"/>
      <c r="Z12" s="27"/>
    </row>
    <row r="13" ht="15.75" customHeight="1">
      <c r="A13" s="35"/>
      <c r="B13" s="51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55">
        <v>30000.0</v>
      </c>
      <c r="H13" s="45" t="s">
        <v>32</v>
      </c>
      <c r="I13" s="50"/>
      <c r="J13" s="45">
        <v>10.0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27"/>
      <c r="Z13" s="27"/>
    </row>
    <row r="14" ht="15.75" customHeight="1">
      <c r="A14" s="35"/>
      <c r="B14" s="51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55">
        <v>30000.0</v>
      </c>
      <c r="H14" s="45" t="s">
        <v>32</v>
      </c>
      <c r="I14" s="50"/>
      <c r="J14" s="45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27"/>
      <c r="Z14" s="27"/>
    </row>
    <row r="15" ht="15.75" customHeight="1">
      <c r="A15" s="35"/>
      <c r="B15" s="51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55">
        <v>2400.0</v>
      </c>
      <c r="H15" s="45" t="s">
        <v>41</v>
      </c>
      <c r="I15" s="50"/>
      <c r="J15" s="45">
        <v>3.0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27"/>
      <c r="Z15" s="27"/>
    </row>
    <row r="16" ht="15.75" customHeight="1">
      <c r="A16" s="35"/>
      <c r="B16" s="51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55">
        <v>2100.0</v>
      </c>
      <c r="H16" s="45" t="s">
        <v>41</v>
      </c>
      <c r="I16" s="50"/>
      <c r="J16" s="45">
        <v>3.0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27"/>
      <c r="Z16" s="27"/>
    </row>
    <row r="17" ht="15.75" customHeight="1">
      <c r="A17" s="35"/>
      <c r="B17" s="51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55">
        <v>3300.0</v>
      </c>
      <c r="H17" s="45" t="s">
        <v>41</v>
      </c>
      <c r="I17" s="50"/>
      <c r="J17" s="45">
        <v>3.0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27"/>
      <c r="Z17" s="27"/>
    </row>
    <row r="18" ht="15.75" customHeight="1">
      <c r="A18" s="35"/>
      <c r="B18" s="51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55">
        <v>3300.0</v>
      </c>
      <c r="H18" s="45" t="s">
        <v>41</v>
      </c>
      <c r="I18" s="50"/>
      <c r="J18" s="45">
        <v>3.0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27"/>
      <c r="Z18" s="27"/>
    </row>
    <row r="19" ht="15.75" customHeight="1">
      <c r="A19" s="35"/>
      <c r="B19" s="51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55">
        <v>2100.0</v>
      </c>
      <c r="H19" s="45" t="s">
        <v>41</v>
      </c>
      <c r="I19" s="50"/>
      <c r="J19" s="45">
        <v>3.0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27"/>
      <c r="Z19" s="27"/>
    </row>
    <row r="20" ht="15.75" customHeight="1">
      <c r="A20" s="35"/>
      <c r="B20" s="51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55">
        <v>1200.0</v>
      </c>
      <c r="H20" s="45" t="s">
        <v>41</v>
      </c>
      <c r="I20" s="50"/>
      <c r="J20" s="45">
        <v>3.0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27"/>
      <c r="Z20" s="27"/>
    </row>
    <row r="21" ht="15.75" customHeight="1">
      <c r="A21" s="35"/>
      <c r="B21" s="51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55">
        <v>2100.0</v>
      </c>
      <c r="H21" s="45" t="s">
        <v>41</v>
      </c>
      <c r="I21" s="50"/>
      <c r="J21" s="45">
        <v>3.0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27"/>
      <c r="Z21" s="27"/>
    </row>
    <row r="22" ht="15.75" customHeight="1">
      <c r="A22" s="35"/>
      <c r="B22" s="51" t="s">
        <v>48</v>
      </c>
      <c r="C22" s="56" t="s">
        <v>49</v>
      </c>
      <c r="D22" s="57">
        <v>25.0</v>
      </c>
      <c r="E22" s="58" t="str">
        <f>IFERROR(__xludf.DUMMYFUNCTION("REGEXEXTRACT(C22,""[A-Za-z]+"")"),"samples")</f>
        <v>samples</v>
      </c>
      <c r="F22" s="59">
        <v>8000.0</v>
      </c>
      <c r="G22" s="55">
        <v>200000.0</v>
      </c>
      <c r="H22" s="45" t="s">
        <v>41</v>
      </c>
      <c r="I22" s="60"/>
      <c r="J22" s="61"/>
      <c r="K22" s="60">
        <v>25.0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2"/>
      <c r="X22" s="63"/>
      <c r="Y22" s="27"/>
      <c r="Z22" s="27"/>
    </row>
    <row r="23" ht="15.75" customHeight="1">
      <c r="A23" s="35"/>
      <c r="B23" s="51" t="s">
        <v>50</v>
      </c>
      <c r="C23" s="56" t="s">
        <v>49</v>
      </c>
      <c r="D23" s="57">
        <v>25.0</v>
      </c>
      <c r="E23" s="58" t="str">
        <f>IFERROR(__xludf.DUMMYFUNCTION("REGEXEXTRACT(C23,""[A-Za-z]+"")"),"samples")</f>
        <v>samples</v>
      </c>
      <c r="F23" s="59">
        <v>3500.0</v>
      </c>
      <c r="G23" s="55">
        <v>87500.0</v>
      </c>
      <c r="H23" s="45" t="s">
        <v>41</v>
      </c>
      <c r="I23" s="60"/>
      <c r="J23" s="61"/>
      <c r="K23" s="60">
        <v>25.0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2"/>
      <c r="X23" s="63"/>
      <c r="Y23" s="27"/>
      <c r="Z23" s="27"/>
    </row>
    <row r="24" ht="15.75" customHeight="1">
      <c r="A24" s="35"/>
      <c r="B24" s="51" t="s">
        <v>51</v>
      </c>
      <c r="C24" s="56" t="s">
        <v>49</v>
      </c>
      <c r="D24" s="57">
        <v>25.0</v>
      </c>
      <c r="E24" s="58" t="str">
        <f>IFERROR(__xludf.DUMMYFUNCTION("REGEXEXTRACT(C24,""[A-Za-z]+"")"),"samples")</f>
        <v>samples</v>
      </c>
      <c r="F24" s="59">
        <v>3000.0</v>
      </c>
      <c r="G24" s="55">
        <v>75000.0</v>
      </c>
      <c r="H24" s="45" t="s">
        <v>41</v>
      </c>
      <c r="I24" s="60"/>
      <c r="J24" s="61"/>
      <c r="K24" s="60">
        <v>25.0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2"/>
      <c r="X24" s="63"/>
      <c r="Y24" s="27"/>
      <c r="Z24" s="27"/>
    </row>
    <row r="25" ht="15.75" customHeight="1">
      <c r="A25" s="35"/>
      <c r="B25" s="36" t="s">
        <v>52</v>
      </c>
      <c r="C25" s="37"/>
      <c r="D25" s="38"/>
      <c r="E25" s="39"/>
      <c r="F25" s="40"/>
      <c r="G25" s="37"/>
      <c r="H25" s="37"/>
      <c r="I25" s="37"/>
      <c r="J25" s="41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2"/>
      <c r="X25" s="43"/>
      <c r="Y25" s="27"/>
      <c r="Z25" s="27"/>
    </row>
    <row r="26" ht="15.75" customHeight="1">
      <c r="A26" s="35"/>
      <c r="B26" s="64" t="s">
        <v>53</v>
      </c>
      <c r="C26" s="54" t="s">
        <v>54</v>
      </c>
      <c r="D26" s="46">
        <v>15.0</v>
      </c>
      <c r="E26" s="55" t="str">
        <f>IFERROR(__xludf.DUMMYFUNCTION("REGEXEXTRACT(C26,""[A-Za-z]+"")")," btls ")</f>
        <v>btls</v>
      </c>
      <c r="F26" s="55">
        <v>3000.0</v>
      </c>
      <c r="G26" s="55">
        <v>45000.0</v>
      </c>
      <c r="H26" s="54" t="s">
        <v>55</v>
      </c>
      <c r="I26" s="65"/>
      <c r="J26" s="45">
        <v>8.0</v>
      </c>
      <c r="K26" s="45"/>
      <c r="L26" s="45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27"/>
      <c r="Z26" s="27"/>
    </row>
    <row r="27" ht="15.75" customHeight="1">
      <c r="A27" s="35"/>
      <c r="B27" s="64" t="s">
        <v>56</v>
      </c>
      <c r="C27" s="54" t="s">
        <v>54</v>
      </c>
      <c r="D27" s="46">
        <v>15.0</v>
      </c>
      <c r="E27" s="55" t="str">
        <f>IFERROR(__xludf.DUMMYFUNCTION("REGEXEXTRACT(C27,""[A-Za-z]+"")")," btls ")</f>
        <v>btls</v>
      </c>
      <c r="F27" s="55">
        <v>2000.0</v>
      </c>
      <c r="G27" s="55">
        <v>30000.0</v>
      </c>
      <c r="H27" s="54" t="s">
        <v>55</v>
      </c>
      <c r="I27" s="65"/>
      <c r="J27" s="45">
        <v>6.0</v>
      </c>
      <c r="K27" s="45"/>
      <c r="L27" s="45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27"/>
      <c r="Z27" s="27"/>
    </row>
    <row r="28" ht="15.75" customHeight="1">
      <c r="A28" s="35"/>
      <c r="B28" s="64" t="s">
        <v>57</v>
      </c>
      <c r="C28" s="54" t="s">
        <v>58</v>
      </c>
      <c r="D28" s="46">
        <v>10.0</v>
      </c>
      <c r="E28" s="55" t="str">
        <f>IFERROR(__xludf.DUMMYFUNCTION("REGEXEXTRACT(C28,""[A-Za-z]+"")")," btls ")</f>
        <v>btls</v>
      </c>
      <c r="F28" s="55">
        <v>4999.0</v>
      </c>
      <c r="G28" s="55">
        <v>49990.0</v>
      </c>
      <c r="H28" s="54" t="s">
        <v>55</v>
      </c>
      <c r="I28" s="65"/>
      <c r="J28" s="45"/>
      <c r="K28" s="45">
        <v>10.0</v>
      </c>
      <c r="L28" s="45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27"/>
      <c r="Z28" s="27"/>
    </row>
    <row r="29" ht="15.75" customHeight="1">
      <c r="A29" s="35"/>
      <c r="B29" s="36" t="s">
        <v>59</v>
      </c>
      <c r="C29" s="37"/>
      <c r="D29" s="38"/>
      <c r="E29" s="39" t="str">
        <f>IFERROR(__xludf.DUMMYFUNCTION("REGEXEXTRACT(C29,""[A-Za-z]+"")"),"#N/A")</f>
        <v>#N/A</v>
      </c>
      <c r="F29" s="40"/>
      <c r="G29" s="37"/>
      <c r="H29" s="37"/>
      <c r="I29" s="37"/>
      <c r="J29" s="41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2"/>
      <c r="X29" s="43"/>
      <c r="Y29" s="27"/>
      <c r="Z29" s="27"/>
    </row>
    <row r="30" ht="15.75" customHeight="1">
      <c r="A30" s="35"/>
      <c r="B30" s="64" t="s">
        <v>60</v>
      </c>
      <c r="C30" s="54" t="s">
        <v>61</v>
      </c>
      <c r="D30" s="57">
        <v>20.0</v>
      </c>
      <c r="E30" s="58" t="str">
        <f>IFERROR(__xludf.DUMMYFUNCTION("REGEXEXTRACT(C30,""[A-Za-z]+"")"),"pcs")</f>
        <v>pcs</v>
      </c>
      <c r="F30" s="59">
        <v>500.0</v>
      </c>
      <c r="G30" s="55">
        <v>10000.0</v>
      </c>
      <c r="H30" s="45" t="s">
        <v>55</v>
      </c>
      <c r="I30" s="60"/>
      <c r="J30" s="61">
        <v>20.0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2"/>
      <c r="X30" s="63"/>
      <c r="Y30" s="27"/>
      <c r="Z30" s="27"/>
    </row>
    <row r="31" ht="15.75" customHeight="1">
      <c r="A31" s="35"/>
      <c r="B31" s="64" t="s">
        <v>62</v>
      </c>
      <c r="C31" s="54" t="s">
        <v>61</v>
      </c>
      <c r="D31" s="57">
        <v>20.0</v>
      </c>
      <c r="E31" s="58" t="str">
        <f>IFERROR(__xludf.DUMMYFUNCTION("REGEXEXTRACT(C31,""[A-Za-z]+"")"),"pcs")</f>
        <v>pcs</v>
      </c>
      <c r="F31" s="59">
        <v>300.0</v>
      </c>
      <c r="G31" s="55">
        <v>6000.0</v>
      </c>
      <c r="H31" s="45" t="s">
        <v>55</v>
      </c>
      <c r="I31" s="60"/>
      <c r="J31" s="61">
        <v>20.0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2"/>
      <c r="X31" s="63"/>
      <c r="Y31" s="27"/>
      <c r="Z31" s="27"/>
    </row>
    <row r="32" ht="15.75" customHeight="1">
      <c r="A32" s="35"/>
      <c r="B32" s="64" t="s">
        <v>63</v>
      </c>
      <c r="C32" s="54" t="s">
        <v>61</v>
      </c>
      <c r="D32" s="57">
        <v>20.0</v>
      </c>
      <c r="E32" s="58" t="str">
        <f>IFERROR(__xludf.DUMMYFUNCTION("REGEXEXTRACT(C32,""[A-Za-z]+"")"),"pcs")</f>
        <v>pcs</v>
      </c>
      <c r="F32" s="59">
        <v>200.0</v>
      </c>
      <c r="G32" s="55">
        <v>4000.0</v>
      </c>
      <c r="H32" s="45" t="s">
        <v>55</v>
      </c>
      <c r="I32" s="60"/>
      <c r="J32" s="61">
        <v>20.0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2"/>
      <c r="X32" s="63"/>
      <c r="Y32" s="27"/>
      <c r="Z32" s="27"/>
    </row>
    <row r="33" ht="15.75" customHeight="1">
      <c r="A33" s="35"/>
      <c r="B33" s="64" t="s">
        <v>64</v>
      </c>
      <c r="C33" s="54" t="s">
        <v>65</v>
      </c>
      <c r="D33" s="57">
        <v>10.0</v>
      </c>
      <c r="E33" s="58" t="str">
        <f>IFERROR(__xludf.DUMMYFUNCTION("REGEXEXTRACT(C33,""[A-Za-z]+"")"),"pcs")</f>
        <v>pcs</v>
      </c>
      <c r="F33" s="59">
        <v>500.0</v>
      </c>
      <c r="G33" s="55">
        <v>5000.0</v>
      </c>
      <c r="H33" s="45" t="s">
        <v>55</v>
      </c>
      <c r="I33" s="60"/>
      <c r="J33" s="61">
        <v>10.0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2"/>
      <c r="X33" s="63"/>
      <c r="Y33" s="27"/>
      <c r="Z33" s="27"/>
    </row>
    <row r="34" ht="15.75" customHeight="1">
      <c r="A34" s="35"/>
      <c r="B34" s="64" t="s">
        <v>66</v>
      </c>
      <c r="C34" s="54" t="s">
        <v>65</v>
      </c>
      <c r="D34" s="57">
        <v>10.0</v>
      </c>
      <c r="E34" s="58" t="str">
        <f>IFERROR(__xludf.DUMMYFUNCTION("REGEXEXTRACT(C34,""[A-Za-z]+"")"),"pcs")</f>
        <v>pcs</v>
      </c>
      <c r="F34" s="59">
        <v>450.0</v>
      </c>
      <c r="G34" s="55">
        <v>4500.0</v>
      </c>
      <c r="H34" s="45" t="s">
        <v>55</v>
      </c>
      <c r="I34" s="60"/>
      <c r="J34" s="61">
        <v>10.0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2"/>
      <c r="X34" s="63"/>
      <c r="Y34" s="27"/>
      <c r="Z34" s="27"/>
    </row>
    <row r="35" ht="15.75" customHeight="1">
      <c r="A35" s="35"/>
      <c r="B35" s="64" t="s">
        <v>67</v>
      </c>
      <c r="C35" s="54" t="s">
        <v>61</v>
      </c>
      <c r="D35" s="57">
        <v>20.0</v>
      </c>
      <c r="E35" s="58" t="str">
        <f>IFERROR(__xludf.DUMMYFUNCTION("REGEXEXTRACT(C35,""[A-Za-z]+"")"),"pcs")</f>
        <v>pcs</v>
      </c>
      <c r="F35" s="59">
        <v>430.0</v>
      </c>
      <c r="G35" s="55">
        <v>8600.0</v>
      </c>
      <c r="H35" s="45" t="s">
        <v>55</v>
      </c>
      <c r="I35" s="60"/>
      <c r="J35" s="61">
        <v>20.0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2"/>
      <c r="X35" s="63"/>
      <c r="Y35" s="27"/>
      <c r="Z35" s="27"/>
    </row>
    <row r="36" ht="15.75" customHeight="1">
      <c r="A36" s="35"/>
      <c r="B36" s="64" t="s">
        <v>68</v>
      </c>
      <c r="C36" s="54" t="s">
        <v>65</v>
      </c>
      <c r="D36" s="57">
        <v>10.0</v>
      </c>
      <c r="E36" s="58" t="str">
        <f>IFERROR(__xludf.DUMMYFUNCTION("REGEXEXTRACT(C36,""[A-Za-z]+"")"),"pcs")</f>
        <v>pcs</v>
      </c>
      <c r="F36" s="59">
        <v>65.0</v>
      </c>
      <c r="G36" s="55">
        <v>650.0</v>
      </c>
      <c r="H36" s="45" t="s">
        <v>55</v>
      </c>
      <c r="I36" s="60"/>
      <c r="J36" s="61">
        <v>10.0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2"/>
      <c r="X36" s="63"/>
      <c r="Y36" s="27"/>
      <c r="Z36" s="27"/>
    </row>
    <row r="37" ht="15.75" customHeight="1">
      <c r="A37" s="35"/>
      <c r="B37" s="64" t="s">
        <v>69</v>
      </c>
      <c r="C37" s="54" t="s">
        <v>70</v>
      </c>
      <c r="D37" s="57">
        <v>30.0</v>
      </c>
      <c r="E37" s="58" t="str">
        <f>IFERROR(__xludf.DUMMYFUNCTION("REGEXEXTRACT(C37,""[A-Za-z]+"")"),"pcs")</f>
        <v>pcs</v>
      </c>
      <c r="F37" s="59">
        <v>150.0</v>
      </c>
      <c r="G37" s="55">
        <v>4500.0</v>
      </c>
      <c r="H37" s="45" t="s">
        <v>55</v>
      </c>
      <c r="I37" s="60"/>
      <c r="J37" s="61">
        <v>30.0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2"/>
      <c r="X37" s="63"/>
      <c r="Y37" s="27"/>
      <c r="Z37" s="27"/>
    </row>
    <row r="38" ht="15.75" customHeight="1">
      <c r="A38" s="35"/>
      <c r="B38" s="64" t="s">
        <v>71</v>
      </c>
      <c r="C38" s="54" t="s">
        <v>72</v>
      </c>
      <c r="D38" s="46">
        <v>40.0</v>
      </c>
      <c r="E38" s="47" t="str">
        <f>IFERROR(__xludf.DUMMYFUNCTION("REGEXEXTRACT(C38,""[A-Za-z]+"")"),"pcs")</f>
        <v>pcs</v>
      </c>
      <c r="F38" s="48">
        <v>199.0</v>
      </c>
      <c r="G38" s="55">
        <v>7960.0</v>
      </c>
      <c r="H38" s="45" t="s">
        <v>55</v>
      </c>
      <c r="I38" s="50"/>
      <c r="J38" s="45">
        <v>40.0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27"/>
      <c r="Z38" s="27"/>
    </row>
    <row r="39" ht="15.75" customHeight="1">
      <c r="A39" s="35"/>
      <c r="B39" s="64" t="s">
        <v>73</v>
      </c>
      <c r="C39" s="54" t="s">
        <v>72</v>
      </c>
      <c r="D39" s="46">
        <v>40.0</v>
      </c>
      <c r="E39" s="47" t="str">
        <f>IFERROR(__xludf.DUMMYFUNCTION("REGEXEXTRACT(C39,""[A-Za-z]+"")"),"pcs")</f>
        <v>pcs</v>
      </c>
      <c r="F39" s="48">
        <v>199.0</v>
      </c>
      <c r="G39" s="55">
        <v>7960.0</v>
      </c>
      <c r="H39" s="45" t="s">
        <v>55</v>
      </c>
      <c r="I39" s="50"/>
      <c r="J39" s="45">
        <v>40.0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27"/>
      <c r="Z39" s="27"/>
    </row>
    <row r="40" ht="15.75" customHeight="1">
      <c r="A40" s="35"/>
      <c r="B40" s="64" t="s">
        <v>74</v>
      </c>
      <c r="C40" s="52" t="s">
        <v>75</v>
      </c>
      <c r="D40" s="53">
        <v>10.0</v>
      </c>
      <c r="E40" s="47" t="str">
        <f>IFERROR(__xludf.DUMMYFUNCTION("REGEXEXTRACT(C40,""[A-Za-z]+"")"),"packs")</f>
        <v>packs</v>
      </c>
      <c r="F40" s="48">
        <v>2000.0</v>
      </c>
      <c r="G40" s="55">
        <v>4000.0</v>
      </c>
      <c r="H40" s="45" t="s">
        <v>55</v>
      </c>
      <c r="I40" s="50"/>
      <c r="J40" s="45">
        <v>2.0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27"/>
      <c r="Z40" s="27"/>
    </row>
    <row r="41" ht="15.75" customHeight="1">
      <c r="A41" s="35"/>
      <c r="B41" s="64" t="s">
        <v>76</v>
      </c>
      <c r="C41" s="52" t="s">
        <v>75</v>
      </c>
      <c r="D41" s="53">
        <v>10.0</v>
      </c>
      <c r="E41" s="47" t="str">
        <f>IFERROR(__xludf.DUMMYFUNCTION("REGEXEXTRACT(C41,""[A-Za-z]+"")"),"packs")</f>
        <v>packs</v>
      </c>
      <c r="F41" s="48">
        <v>2500.0</v>
      </c>
      <c r="G41" s="55">
        <v>5000.0</v>
      </c>
      <c r="H41" s="45" t="s">
        <v>55</v>
      </c>
      <c r="I41" s="50"/>
      <c r="J41" s="45">
        <v>2.0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27"/>
      <c r="Z41" s="27"/>
    </row>
    <row r="42">
      <c r="A42" s="35"/>
      <c r="B42" s="64" t="s">
        <v>77</v>
      </c>
      <c r="C42" s="52" t="s">
        <v>75</v>
      </c>
      <c r="D42" s="53">
        <v>10.0</v>
      </c>
      <c r="E42" s="47" t="str">
        <f>IFERROR(__xludf.DUMMYFUNCTION("REGEXEXTRACT(C42,""[A-Za-z]+"")"),"packs")</f>
        <v>packs</v>
      </c>
      <c r="F42" s="48">
        <v>3000.0</v>
      </c>
      <c r="G42" s="55">
        <v>6000.0</v>
      </c>
      <c r="H42" s="45" t="s">
        <v>55</v>
      </c>
      <c r="I42" s="50"/>
      <c r="J42" s="45">
        <v>2.0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27"/>
      <c r="Z42" s="27"/>
    </row>
    <row r="43" ht="15.75" customHeight="1">
      <c r="A43" s="35"/>
      <c r="B43" s="64" t="s">
        <v>78</v>
      </c>
      <c r="C43" s="54" t="s">
        <v>79</v>
      </c>
      <c r="D43" s="46">
        <v>10.0</v>
      </c>
      <c r="E43" s="47" t="str">
        <f>IFERROR(__xludf.DUMMYFUNCTION("REGEXEXTRACT(C43,""[A-Za-z]+"")"),"boxes")</f>
        <v>boxes</v>
      </c>
      <c r="F43" s="48">
        <v>300.0</v>
      </c>
      <c r="G43" s="55">
        <v>3000.0</v>
      </c>
      <c r="H43" s="45" t="s">
        <v>55</v>
      </c>
      <c r="I43" s="50"/>
      <c r="J43" s="45">
        <v>10.0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27"/>
      <c r="Z43" s="27"/>
    </row>
    <row r="44" ht="15.75" customHeight="1">
      <c r="A44" s="35"/>
      <c r="B44" s="64" t="s">
        <v>80</v>
      </c>
      <c r="C44" s="54" t="s">
        <v>79</v>
      </c>
      <c r="D44" s="46">
        <v>10.0</v>
      </c>
      <c r="E44" s="47" t="str">
        <f>IFERROR(__xludf.DUMMYFUNCTION("REGEXEXTRACT(C44,""[A-Za-z]+"")"),"boxes")</f>
        <v>boxes</v>
      </c>
      <c r="F44" s="48">
        <v>300.0</v>
      </c>
      <c r="G44" s="55">
        <v>3000.0</v>
      </c>
      <c r="H44" s="45" t="s">
        <v>55</v>
      </c>
      <c r="I44" s="50"/>
      <c r="J44" s="45">
        <v>10.0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27"/>
      <c r="Z44" s="27"/>
    </row>
    <row r="45" ht="15.75" customHeight="1">
      <c r="A45" s="35"/>
      <c r="B45" s="64" t="s">
        <v>81</v>
      </c>
      <c r="C45" s="52" t="s">
        <v>82</v>
      </c>
      <c r="D45" s="53">
        <v>6.0</v>
      </c>
      <c r="E45" s="47" t="str">
        <f>IFERROR(__xludf.DUMMYFUNCTION("REGEXEXTRACT(C45,""[A-Za-z]+"")"),"pcs")</f>
        <v>pcs</v>
      </c>
      <c r="F45" s="48">
        <v>500.0</v>
      </c>
      <c r="G45" s="55">
        <v>1000.0</v>
      </c>
      <c r="H45" s="45" t="s">
        <v>55</v>
      </c>
      <c r="I45" s="50"/>
      <c r="J45" s="45">
        <v>2.0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27"/>
      <c r="Z45" s="27"/>
    </row>
    <row r="46" ht="15.75" customHeight="1">
      <c r="A46" s="35"/>
      <c r="B46" s="64" t="s">
        <v>83</v>
      </c>
      <c r="C46" s="52" t="s">
        <v>82</v>
      </c>
      <c r="D46" s="53">
        <v>6.0</v>
      </c>
      <c r="E46" s="47" t="str">
        <f>IFERROR(__xludf.DUMMYFUNCTION("REGEXEXTRACT(C46,""[A-Za-z]+"")"),"pcs")</f>
        <v>pcs</v>
      </c>
      <c r="F46" s="48">
        <v>500.0</v>
      </c>
      <c r="G46" s="55">
        <v>1000.0</v>
      </c>
      <c r="H46" s="45" t="s">
        <v>55</v>
      </c>
      <c r="I46" s="50"/>
      <c r="J46" s="45">
        <v>2.0</v>
      </c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27"/>
      <c r="Z46" s="27"/>
    </row>
    <row r="47" ht="15.75" customHeight="1">
      <c r="A47" s="35"/>
      <c r="B47" s="64" t="s">
        <v>84</v>
      </c>
      <c r="C47" s="54" t="s">
        <v>79</v>
      </c>
      <c r="D47" s="46">
        <v>10.0</v>
      </c>
      <c r="E47" s="47" t="str">
        <f>IFERROR(__xludf.DUMMYFUNCTION("REGEXEXTRACT(C47,""[A-Za-z]+"")"),"boxes")</f>
        <v>boxes</v>
      </c>
      <c r="F47" s="48">
        <v>200.0</v>
      </c>
      <c r="G47" s="55">
        <v>2000.0</v>
      </c>
      <c r="H47" s="45" t="s">
        <v>55</v>
      </c>
      <c r="I47" s="50"/>
      <c r="J47" s="45">
        <v>10.0</v>
      </c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27"/>
      <c r="Z47" s="27"/>
    </row>
    <row r="48" ht="15.75" customHeight="1">
      <c r="A48" s="35"/>
      <c r="B48" s="64" t="s">
        <v>85</v>
      </c>
      <c r="C48" s="54" t="s">
        <v>75</v>
      </c>
      <c r="D48" s="46">
        <v>10.0</v>
      </c>
      <c r="E48" s="47" t="str">
        <f>IFERROR(__xludf.DUMMYFUNCTION("REGEXEXTRACT(C48,""[A-Za-z]+"")"),"packs")</f>
        <v>packs</v>
      </c>
      <c r="F48" s="48">
        <v>200.0</v>
      </c>
      <c r="G48" s="55">
        <v>2000.0</v>
      </c>
      <c r="H48" s="45" t="s">
        <v>55</v>
      </c>
      <c r="I48" s="50"/>
      <c r="J48" s="45">
        <v>10.0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27"/>
      <c r="Z48" s="27"/>
    </row>
    <row r="49" ht="15.75" customHeight="1">
      <c r="A49" s="35"/>
      <c r="B49" s="64" t="s">
        <v>86</v>
      </c>
      <c r="C49" s="54" t="s">
        <v>75</v>
      </c>
      <c r="D49" s="46">
        <v>10.0</v>
      </c>
      <c r="E49" s="47" t="str">
        <f>IFERROR(__xludf.DUMMYFUNCTION("REGEXEXTRACT(C49,""[A-Za-z]+"")"),"packs")</f>
        <v>packs</v>
      </c>
      <c r="F49" s="48">
        <v>200.0</v>
      </c>
      <c r="G49" s="55">
        <v>2000.0</v>
      </c>
      <c r="H49" s="45" t="s">
        <v>55</v>
      </c>
      <c r="I49" s="50"/>
      <c r="J49" s="45">
        <v>10.0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27"/>
      <c r="Z49" s="27"/>
    </row>
    <row r="50" ht="15.75" customHeight="1">
      <c r="A50" s="35"/>
      <c r="B50" s="64" t="s">
        <v>87</v>
      </c>
      <c r="C50" s="54" t="s">
        <v>88</v>
      </c>
      <c r="D50" s="46">
        <v>10.0</v>
      </c>
      <c r="E50" s="47" t="str">
        <f>IFERROR(__xludf.DUMMYFUNCTION("REGEXEXTRACT(C50,""[A-Za-z]+"")"),"rolls")</f>
        <v>rolls</v>
      </c>
      <c r="F50" s="48">
        <v>4000.0</v>
      </c>
      <c r="G50" s="55">
        <v>40000.0</v>
      </c>
      <c r="H50" s="45" t="s">
        <v>55</v>
      </c>
      <c r="I50" s="50"/>
      <c r="J50" s="45"/>
      <c r="K50" s="45">
        <v>10.0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27"/>
      <c r="Z50" s="27"/>
    </row>
    <row r="51" ht="15.75" customHeight="1">
      <c r="A51" s="35"/>
      <c r="B51" s="64" t="s">
        <v>89</v>
      </c>
      <c r="C51" s="54" t="s">
        <v>75</v>
      </c>
      <c r="D51" s="46">
        <v>10.0</v>
      </c>
      <c r="E51" s="47" t="str">
        <f>IFERROR(__xludf.DUMMYFUNCTION("REGEXEXTRACT(C51,""[A-Za-z]+"")"),"packs")</f>
        <v>packs</v>
      </c>
      <c r="F51" s="48">
        <v>200.0</v>
      </c>
      <c r="G51" s="55">
        <v>2000.0</v>
      </c>
      <c r="H51" s="45" t="s">
        <v>55</v>
      </c>
      <c r="I51" s="50"/>
      <c r="J51" s="45">
        <v>10.0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27"/>
      <c r="Z51" s="27"/>
    </row>
    <row r="52" ht="15.75" customHeight="1">
      <c r="A52" s="35"/>
      <c r="B52" s="64" t="s">
        <v>90</v>
      </c>
      <c r="C52" s="54" t="s">
        <v>75</v>
      </c>
      <c r="D52" s="46">
        <v>10.0</v>
      </c>
      <c r="E52" s="47" t="str">
        <f>IFERROR(__xludf.DUMMYFUNCTION("REGEXEXTRACT(C52,""[A-Za-z]+"")"),"packs")</f>
        <v>packs</v>
      </c>
      <c r="F52" s="48">
        <v>250.0</v>
      </c>
      <c r="G52" s="55">
        <v>2500.0</v>
      </c>
      <c r="H52" s="45" t="s">
        <v>55</v>
      </c>
      <c r="I52" s="50"/>
      <c r="J52" s="45">
        <v>10.0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27"/>
      <c r="Z52" s="27"/>
    </row>
    <row r="53" ht="15.75" customHeight="1">
      <c r="A53" s="35"/>
      <c r="B53" s="64" t="s">
        <v>91</v>
      </c>
      <c r="C53" s="54" t="s">
        <v>75</v>
      </c>
      <c r="D53" s="46">
        <v>10.0</v>
      </c>
      <c r="E53" s="55" t="str">
        <f>IFERROR(__xludf.DUMMYFUNCTION("REGEXEXTRACT(C53,""[A-Za-z]+"")")," packs ")</f>
        <v>packs</v>
      </c>
      <c r="F53" s="55">
        <v>350.0</v>
      </c>
      <c r="G53" s="55">
        <v>3500.0</v>
      </c>
      <c r="H53" s="54" t="s">
        <v>55</v>
      </c>
      <c r="I53" s="50"/>
      <c r="J53" s="45">
        <v>10.0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27"/>
      <c r="Z53" s="27"/>
    </row>
    <row r="54" ht="15.75" customHeight="1">
      <c r="A54" s="35"/>
      <c r="B54" s="64" t="s">
        <v>92</v>
      </c>
      <c r="C54" s="54" t="s">
        <v>75</v>
      </c>
      <c r="D54" s="46">
        <v>10.0</v>
      </c>
      <c r="E54" s="55" t="str">
        <f>IFERROR(__xludf.DUMMYFUNCTION("REGEXEXTRACT(C54,""[A-Za-z]+"")")," packs ")</f>
        <v>packs</v>
      </c>
      <c r="F54" s="55">
        <v>400.0</v>
      </c>
      <c r="G54" s="55">
        <v>4000.0</v>
      </c>
      <c r="H54" s="54" t="s">
        <v>55</v>
      </c>
      <c r="I54" s="50"/>
      <c r="J54" s="45">
        <v>10.0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27"/>
      <c r="Z54" s="27"/>
    </row>
    <row r="55" ht="15.75" hidden="1" customHeight="1">
      <c r="A55" s="35"/>
      <c r="B55" s="44"/>
      <c r="C55" s="54"/>
      <c r="D55" s="46"/>
      <c r="E55" s="55" t="str">
        <f>IFERROR(__xludf.DUMMYFUNCTION("REGEXEXTRACT(C55,""[A-Za-z]+"")"),"#N/A")</f>
        <v>#N/A</v>
      </c>
      <c r="F55" s="55"/>
      <c r="G55" s="55"/>
      <c r="H55" s="54"/>
      <c r="I55" s="50"/>
      <c r="J55" s="45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27"/>
      <c r="Z55" s="27"/>
    </row>
    <row r="56" ht="15.75" hidden="1" customHeight="1">
      <c r="A56" s="35"/>
      <c r="B56" s="44"/>
      <c r="C56" s="54"/>
      <c r="D56" s="46"/>
      <c r="E56" s="55" t="str">
        <f>IFERROR(__xludf.DUMMYFUNCTION("REGEXEXTRACT(C56,""[A-Za-z]+"")"),"#N/A")</f>
        <v>#N/A</v>
      </c>
      <c r="F56" s="55"/>
      <c r="G56" s="55"/>
      <c r="H56" s="54"/>
      <c r="I56" s="50"/>
      <c r="J56" s="45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27"/>
      <c r="Z56" s="27"/>
    </row>
    <row r="57" ht="15.75" hidden="1" customHeight="1">
      <c r="A57" s="35"/>
      <c r="B57" s="44"/>
      <c r="C57" s="54"/>
      <c r="D57" s="46"/>
      <c r="E57" s="55" t="str">
        <f>IFERROR(__xludf.DUMMYFUNCTION("REGEXEXTRACT(C57,""[A-Za-z]+"")"),"#N/A")</f>
        <v>#N/A</v>
      </c>
      <c r="F57" s="55"/>
      <c r="G57" s="55"/>
      <c r="H57" s="54"/>
      <c r="I57" s="50"/>
      <c r="J57" s="45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27"/>
      <c r="Z57" s="27"/>
    </row>
    <row r="58" ht="15.75" hidden="1" customHeight="1">
      <c r="A58" s="35"/>
      <c r="B58" s="44"/>
      <c r="C58" s="54"/>
      <c r="D58" s="46"/>
      <c r="E58" s="55" t="str">
        <f>IFERROR(__xludf.DUMMYFUNCTION("REGEXEXTRACT(C58,""[A-Za-z]+"")"),"#N/A")</f>
        <v>#N/A</v>
      </c>
      <c r="F58" s="55"/>
      <c r="G58" s="55"/>
      <c r="H58" s="54"/>
      <c r="I58" s="50"/>
      <c r="J58" s="45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27"/>
      <c r="Z58" s="27"/>
    </row>
    <row r="59" ht="15.75" hidden="1" customHeight="1">
      <c r="A59" s="35"/>
      <c r="B59" s="44"/>
      <c r="C59" s="54"/>
      <c r="D59" s="46"/>
      <c r="E59" s="55" t="str">
        <f>IFERROR(__xludf.DUMMYFUNCTION("REGEXEXTRACT(C59,""[A-Za-z]+"")"),"#N/A")</f>
        <v>#N/A</v>
      </c>
      <c r="F59" s="55"/>
      <c r="G59" s="55"/>
      <c r="H59" s="54"/>
      <c r="I59" s="50"/>
      <c r="J59" s="45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27"/>
      <c r="Z59" s="27"/>
    </row>
    <row r="60" ht="15.75" hidden="1" customHeight="1">
      <c r="A60" s="35"/>
      <c r="B60" s="44"/>
      <c r="C60" s="54"/>
      <c r="D60" s="46"/>
      <c r="E60" s="55" t="str">
        <f>IFERROR(__xludf.DUMMYFUNCTION("REGEXEXTRACT(C60,""[A-Za-z]+"")"),"#N/A")</f>
        <v>#N/A</v>
      </c>
      <c r="F60" s="55"/>
      <c r="G60" s="55"/>
      <c r="H60" s="54"/>
      <c r="I60" s="50"/>
      <c r="J60" s="45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27"/>
      <c r="Z60" s="27"/>
    </row>
    <row r="61" ht="15.75" hidden="1" customHeight="1">
      <c r="A61" s="66"/>
      <c r="B61" s="67"/>
      <c r="C61" s="54"/>
      <c r="D61" s="46"/>
      <c r="E61" s="55" t="str">
        <f>IFERROR(__xludf.DUMMYFUNCTION("REGEXEXTRACT(C61,""[A-Za-z]+"")"),"#N/A")</f>
        <v>#N/A</v>
      </c>
      <c r="F61" s="55"/>
      <c r="G61" s="55"/>
      <c r="H61" s="54"/>
      <c r="I61" s="50"/>
      <c r="J61" s="45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27"/>
      <c r="Z61" s="27"/>
    </row>
    <row r="62" ht="15.75" hidden="1" customHeight="1">
      <c r="A62" s="35"/>
      <c r="B62" s="36" t="s">
        <v>93</v>
      </c>
      <c r="C62" s="54"/>
      <c r="D62" s="46"/>
      <c r="E62" s="55" t="str">
        <f>IFERROR(__xludf.DUMMYFUNCTION("REGEXEXTRACT(C62,""[A-Za-z]+"")"),"#N/A")</f>
        <v>#N/A</v>
      </c>
      <c r="F62" s="55"/>
      <c r="G62" s="55"/>
      <c r="H62" s="54"/>
      <c r="I62" s="68"/>
      <c r="J62" s="69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27"/>
      <c r="Z62" s="27"/>
    </row>
    <row r="63" ht="15.75" hidden="1" customHeight="1">
      <c r="A63" s="35"/>
      <c r="B63" s="44"/>
      <c r="C63" s="54"/>
      <c r="D63" s="46"/>
      <c r="E63" s="55" t="str">
        <f>IFERROR(__xludf.DUMMYFUNCTION("REGEXEXTRACT(C63,""[A-Za-z]+"")"),"#N/A")</f>
        <v>#N/A</v>
      </c>
      <c r="F63" s="55"/>
      <c r="G63" s="55"/>
      <c r="H63" s="54"/>
      <c r="I63" s="50"/>
      <c r="J63" s="45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27"/>
      <c r="Z63" s="27"/>
    </row>
    <row r="64" ht="15.75" hidden="1" customHeight="1">
      <c r="A64" s="35"/>
      <c r="B64" s="44"/>
      <c r="C64" s="54"/>
      <c r="D64" s="46"/>
      <c r="E64" s="55" t="str">
        <f>IFERROR(__xludf.DUMMYFUNCTION("REGEXEXTRACT(C64,""[A-Za-z]+"")"),"#N/A")</f>
        <v>#N/A</v>
      </c>
      <c r="F64" s="55"/>
      <c r="G64" s="55"/>
      <c r="H64" s="54"/>
      <c r="I64" s="50"/>
      <c r="J64" s="45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27"/>
      <c r="Z64" s="27"/>
    </row>
    <row r="65" ht="15.75" hidden="1" customHeight="1">
      <c r="A65" s="35"/>
      <c r="B65" s="44"/>
      <c r="C65" s="54"/>
      <c r="D65" s="46"/>
      <c r="E65" s="55" t="str">
        <f>IFERROR(__xludf.DUMMYFUNCTION("REGEXEXTRACT(C65,""[A-Za-z]+"")"),"#N/A")</f>
        <v>#N/A</v>
      </c>
      <c r="F65" s="55"/>
      <c r="G65" s="55"/>
      <c r="H65" s="54"/>
      <c r="I65" s="50"/>
      <c r="J65" s="45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27"/>
      <c r="Z65" s="27"/>
    </row>
    <row r="66" ht="15.75" hidden="1" customHeight="1">
      <c r="A66" s="35"/>
      <c r="B66" s="44"/>
      <c r="C66" s="54"/>
      <c r="D66" s="46"/>
      <c r="E66" s="55" t="str">
        <f>IFERROR(__xludf.DUMMYFUNCTION("REGEXEXTRACT(C66,""[A-Za-z]+"")"),"#N/A")</f>
        <v>#N/A</v>
      </c>
      <c r="F66" s="55"/>
      <c r="G66" s="55"/>
      <c r="H66" s="54"/>
      <c r="I66" s="50"/>
      <c r="J66" s="45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27"/>
      <c r="Z66" s="27"/>
    </row>
    <row r="67" ht="15.75" hidden="1" customHeight="1">
      <c r="A67" s="35"/>
      <c r="B67" s="36" t="s">
        <v>94</v>
      </c>
      <c r="C67" s="54"/>
      <c r="D67" s="46"/>
      <c r="E67" s="55" t="str">
        <f>IFERROR(__xludf.DUMMYFUNCTION("REGEXEXTRACT(C67,""[A-Za-z]+"")"),"#N/A")</f>
        <v>#N/A</v>
      </c>
      <c r="F67" s="55"/>
      <c r="G67" s="55"/>
      <c r="H67" s="54"/>
      <c r="I67" s="68"/>
      <c r="J67" s="69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27"/>
      <c r="Z67" s="27"/>
    </row>
    <row r="68" ht="15.75" hidden="1" customHeight="1">
      <c r="A68" s="35"/>
      <c r="B68" s="44"/>
      <c r="C68" s="54"/>
      <c r="D68" s="46"/>
      <c r="E68" s="55" t="str">
        <f>IFERROR(__xludf.DUMMYFUNCTION("REGEXEXTRACT(C68,""[A-Za-z]+"")"),"#N/A")</f>
        <v>#N/A</v>
      </c>
      <c r="F68" s="55"/>
      <c r="G68" s="55"/>
      <c r="H68" s="54"/>
      <c r="I68" s="50"/>
      <c r="J68" s="45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27"/>
      <c r="Z68" s="27"/>
    </row>
    <row r="69" ht="15.75" hidden="1" customHeight="1">
      <c r="A69" s="35"/>
      <c r="B69" s="44"/>
      <c r="C69" s="54"/>
      <c r="D69" s="46"/>
      <c r="E69" s="55" t="str">
        <f>IFERROR(__xludf.DUMMYFUNCTION("REGEXEXTRACT(C69,""[A-Za-z]+"")"),"#N/A")</f>
        <v>#N/A</v>
      </c>
      <c r="F69" s="55"/>
      <c r="G69" s="55"/>
      <c r="H69" s="54"/>
      <c r="I69" s="50"/>
      <c r="J69" s="45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27"/>
      <c r="Z69" s="27"/>
    </row>
    <row r="70" ht="15.75" hidden="1" customHeight="1">
      <c r="A70" s="35"/>
      <c r="B70" s="44"/>
      <c r="C70" s="54"/>
      <c r="D70" s="46"/>
      <c r="E70" s="55" t="str">
        <f>IFERROR(__xludf.DUMMYFUNCTION("REGEXEXTRACT(C70,""[A-Za-z]+"")"),"#N/A")</f>
        <v>#N/A</v>
      </c>
      <c r="F70" s="55"/>
      <c r="G70" s="55"/>
      <c r="H70" s="54"/>
      <c r="I70" s="50"/>
      <c r="J70" s="45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27"/>
      <c r="Z70" s="27"/>
    </row>
    <row r="71" ht="15.75" customHeight="1">
      <c r="A71" s="35"/>
      <c r="B71" s="64" t="s">
        <v>95</v>
      </c>
      <c r="C71" s="54" t="s">
        <v>82</v>
      </c>
      <c r="D71" s="46">
        <v>6.0</v>
      </c>
      <c r="E71" s="55" t="str">
        <f>IFERROR(__xludf.DUMMYFUNCTION("REGEXEXTRACT(C71,""[A-Za-z]+"")")," pcs ")</f>
        <v>pcs</v>
      </c>
      <c r="F71" s="55">
        <v>7000.0</v>
      </c>
      <c r="G71" s="55">
        <v>4200.0</v>
      </c>
      <c r="H71" s="54" t="s">
        <v>55</v>
      </c>
      <c r="I71" s="65"/>
      <c r="J71" s="45">
        <v>6.0</v>
      </c>
      <c r="K71" s="45"/>
      <c r="L71" s="45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27"/>
      <c r="Z71" s="27"/>
    </row>
    <row r="72" ht="15.75" customHeight="1">
      <c r="A72" s="35"/>
      <c r="B72" s="64" t="s">
        <v>96</v>
      </c>
      <c r="C72" s="54" t="s">
        <v>97</v>
      </c>
      <c r="D72" s="46">
        <v>5.0</v>
      </c>
      <c r="E72" s="55" t="str">
        <f>IFERROR(__xludf.DUMMYFUNCTION("REGEXEXTRACT(C72,""[A-Za-z]+"")")," packs ")</f>
        <v>packs</v>
      </c>
      <c r="F72" s="55">
        <v>9999.0</v>
      </c>
      <c r="G72" s="55">
        <v>49995.0</v>
      </c>
      <c r="H72" s="54" t="s">
        <v>55</v>
      </c>
      <c r="I72" s="65"/>
      <c r="J72" s="45"/>
      <c r="K72" s="45">
        <v>10.0</v>
      </c>
      <c r="L72" s="45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27"/>
      <c r="Z72" s="27"/>
    </row>
    <row r="73" ht="15.75" customHeight="1">
      <c r="A73" s="35"/>
      <c r="B73" s="64" t="s">
        <v>98</v>
      </c>
      <c r="C73" s="54" t="s">
        <v>99</v>
      </c>
      <c r="D73" s="46">
        <v>2.0</v>
      </c>
      <c r="E73" s="55" t="str">
        <f>IFERROR(__xludf.DUMMYFUNCTION("REGEXEXTRACT(C73,""[A-Za-z]+"")")," units ")</f>
        <v>units</v>
      </c>
      <c r="F73" s="70">
        <v>7200.0</v>
      </c>
      <c r="G73" s="70">
        <v>14400.0</v>
      </c>
      <c r="H73" s="54" t="s">
        <v>55</v>
      </c>
      <c r="I73" s="65"/>
      <c r="J73" s="45">
        <v>2.0</v>
      </c>
      <c r="K73" s="45"/>
      <c r="L73" s="45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27"/>
      <c r="Z73" s="27"/>
    </row>
    <row r="74" ht="15.75" customHeight="1">
      <c r="A74" s="35"/>
      <c r="B74" s="71" t="s">
        <v>100</v>
      </c>
      <c r="C74" s="72" t="s">
        <v>101</v>
      </c>
      <c r="D74" s="46">
        <v>6.0</v>
      </c>
      <c r="E74" s="55" t="str">
        <f>IFERROR(__xludf.DUMMYFUNCTION("REGEXEXTRACT(C74,""[A-Za-z]+"")")," units ")</f>
        <v>units</v>
      </c>
      <c r="F74" s="70">
        <v>500.0</v>
      </c>
      <c r="G74" s="70">
        <v>3000.0</v>
      </c>
      <c r="H74" s="54" t="s">
        <v>55</v>
      </c>
      <c r="I74" s="65"/>
      <c r="J74" s="45"/>
      <c r="K74" s="45"/>
      <c r="L74" s="45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27"/>
      <c r="Z74" s="27"/>
    </row>
    <row r="75" ht="15.75" customHeight="1">
      <c r="A75" s="35"/>
      <c r="B75" s="64" t="s">
        <v>102</v>
      </c>
      <c r="C75" s="54" t="s">
        <v>99</v>
      </c>
      <c r="D75" s="46">
        <v>2.0</v>
      </c>
      <c r="E75" s="55" t="str">
        <f>IFERROR(__xludf.DUMMYFUNCTION("REGEXEXTRACT(C75,""[A-Za-z]+"")")," units ")</f>
        <v>units</v>
      </c>
      <c r="F75" s="70">
        <v>10000.0</v>
      </c>
      <c r="G75" s="70">
        <v>10000.0</v>
      </c>
      <c r="H75" s="54" t="s">
        <v>55</v>
      </c>
      <c r="I75" s="65"/>
      <c r="J75" s="45">
        <v>1.0</v>
      </c>
      <c r="K75" s="45"/>
      <c r="L75" s="45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27"/>
      <c r="Z75" s="27"/>
    </row>
    <row r="76" ht="15.75" customHeight="1">
      <c r="A76" s="73"/>
      <c r="B76" s="74" t="s">
        <v>103</v>
      </c>
      <c r="C76" s="72" t="s">
        <v>104</v>
      </c>
      <c r="D76" s="46">
        <v>24.0</v>
      </c>
      <c r="E76" s="55" t="str">
        <f>IFERROR(__xludf.DUMMYFUNCTION("REGEXEXTRACT(C76,""[A-Za-z]+"")")," pcs ")</f>
        <v>pcs</v>
      </c>
      <c r="F76" s="70">
        <v>2500.0</v>
      </c>
      <c r="G76" s="70">
        <f t="shared" ref="G76:G77" si="1">F76*24</f>
        <v>60000</v>
      </c>
      <c r="H76" s="54" t="s">
        <v>55</v>
      </c>
      <c r="I76" s="75"/>
      <c r="J76" s="75"/>
      <c r="K76" s="75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2"/>
      <c r="Z76" s="2"/>
    </row>
    <row r="77" ht="15.75" customHeight="1">
      <c r="A77" s="73"/>
      <c r="B77" s="64" t="s">
        <v>105</v>
      </c>
      <c r="C77" s="72" t="s">
        <v>61</v>
      </c>
      <c r="D77" s="57">
        <v>20.0</v>
      </c>
      <c r="E77" s="58" t="str">
        <f>IFERROR(__xludf.DUMMYFUNCTION("REGEXEXTRACT(C77,""[A-Za-z]+"")"),"pcs")</f>
        <v>pcs</v>
      </c>
      <c r="F77" s="59">
        <v>1300.0</v>
      </c>
      <c r="G77" s="70">
        <f t="shared" si="1"/>
        <v>31200</v>
      </c>
      <c r="H77" s="54" t="s">
        <v>55</v>
      </c>
      <c r="I77" s="76"/>
      <c r="J77" s="76"/>
      <c r="K77" s="76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27"/>
      <c r="Z77" s="27"/>
    </row>
    <row r="78" ht="15.75" customHeight="1">
      <c r="A78" s="73"/>
      <c r="B78" s="64" t="s">
        <v>106</v>
      </c>
      <c r="C78" s="72" t="s">
        <v>107</v>
      </c>
      <c r="D78" s="57">
        <v>15.0</v>
      </c>
      <c r="E78" s="58" t="str">
        <f>IFERROR(__xludf.DUMMYFUNCTION("REGEXEXTRACT(C78,""[A-Za-z]+"")"),"pcs")</f>
        <v>pcs</v>
      </c>
      <c r="F78" s="59">
        <v>800.0</v>
      </c>
      <c r="G78" s="70">
        <f>F78*20</f>
        <v>16000</v>
      </c>
      <c r="H78" s="54" t="s">
        <v>55</v>
      </c>
      <c r="I78" s="76"/>
      <c r="J78" s="76"/>
      <c r="K78" s="76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27"/>
      <c r="Z78" s="27"/>
    </row>
    <row r="79" ht="15.75" customHeight="1">
      <c r="A79" s="73"/>
      <c r="B79" s="64" t="s">
        <v>108</v>
      </c>
      <c r="C79" s="72" t="s">
        <v>107</v>
      </c>
      <c r="D79" s="57">
        <v>15.0</v>
      </c>
      <c r="E79" s="58" t="str">
        <f>IFERROR(__xludf.DUMMYFUNCTION("REGEXEXTRACT(C79,""[A-Za-z]+"")"),"pcs")</f>
        <v>pcs</v>
      </c>
      <c r="F79" s="59">
        <v>250.0</v>
      </c>
      <c r="G79" s="70">
        <f>F79*15</f>
        <v>3750</v>
      </c>
      <c r="H79" s="54" t="s">
        <v>55</v>
      </c>
      <c r="I79" s="76"/>
      <c r="J79" s="76"/>
      <c r="K79" s="76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27"/>
      <c r="Z79" s="27"/>
    </row>
    <row r="80" ht="15.75" customHeight="1">
      <c r="A80" s="73"/>
      <c r="B80" s="64" t="s">
        <v>109</v>
      </c>
      <c r="C80" s="72"/>
      <c r="D80" s="77"/>
      <c r="E80" s="78" t="s">
        <v>110</v>
      </c>
      <c r="F80" s="76"/>
      <c r="G80" s="70"/>
      <c r="H80" s="54" t="s">
        <v>55</v>
      </c>
      <c r="I80" s="76"/>
      <c r="J80" s="76"/>
      <c r="K80" s="76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27"/>
      <c r="Z80" s="27"/>
    </row>
    <row r="81" ht="15.75" customHeight="1">
      <c r="A81" s="79"/>
      <c r="B81" s="64" t="s">
        <v>111</v>
      </c>
      <c r="C81" s="56" t="s">
        <v>112</v>
      </c>
      <c r="D81" s="80">
        <v>3.0</v>
      </c>
      <c r="E81" s="81" t="str">
        <f>IFERROR(__xludf.DUMMYFUNCTION("REGEXEXTRACT(C81,""[A-Za-z]+"")")," pcs ")</f>
        <v>pcs</v>
      </c>
      <c r="F81" s="82">
        <v>10000.0</v>
      </c>
      <c r="G81" s="82">
        <v>30000.0</v>
      </c>
      <c r="H81" s="56" t="s">
        <v>55</v>
      </c>
      <c r="I81" s="83"/>
      <c r="J81" s="83"/>
      <c r="K81" s="83">
        <v>3.0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5"/>
      <c r="Z81" s="85"/>
      <c r="AA81" s="86"/>
      <c r="AB81" s="86"/>
    </row>
    <row r="82" ht="15.75" customHeight="1">
      <c r="A82" s="35"/>
      <c r="B82" s="87" t="s">
        <v>113</v>
      </c>
      <c r="C82" s="88"/>
      <c r="D82" s="89"/>
      <c r="E82" s="90" t="s">
        <v>110</v>
      </c>
      <c r="F82" s="65"/>
      <c r="G82" s="70"/>
      <c r="H82" s="54" t="s">
        <v>55</v>
      </c>
      <c r="I82" s="65"/>
      <c r="J82" s="65"/>
      <c r="K82" s="65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27"/>
      <c r="Z82" s="27"/>
    </row>
    <row r="83" ht="15.75" customHeight="1">
      <c r="A83" s="35"/>
      <c r="B83" s="91"/>
      <c r="C83" s="88"/>
      <c r="D83" s="89"/>
      <c r="E83" s="90"/>
      <c r="F83" s="88"/>
      <c r="G83" s="92"/>
      <c r="H83" s="88"/>
      <c r="I83" s="65"/>
      <c r="J83" s="65"/>
      <c r="K83" s="65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27"/>
      <c r="Z83" s="27"/>
    </row>
    <row r="84" ht="15.75" customHeight="1">
      <c r="A84" s="66"/>
      <c r="B84" s="93" t="s">
        <v>114</v>
      </c>
      <c r="C84" s="94"/>
      <c r="D84" s="94"/>
      <c r="E84" s="94"/>
      <c r="F84" s="94"/>
      <c r="G84" s="94"/>
      <c r="H84" s="94"/>
      <c r="I84" s="94"/>
      <c r="J84" s="94"/>
      <c r="K84" s="95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27"/>
      <c r="Z84" s="27"/>
    </row>
    <row r="85" ht="15.75" customHeight="1">
      <c r="A85" s="96"/>
      <c r="B85" s="97"/>
      <c r="C85" s="2"/>
      <c r="D85" s="12"/>
      <c r="E85" s="13"/>
      <c r="F85" s="14"/>
      <c r="G85" s="98"/>
      <c r="H85" s="16"/>
      <c r="I85" s="16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9" t="s">
        <v>115</v>
      </c>
      <c r="B86" s="6"/>
      <c r="C86" s="100">
        <f>SUM(G11:G75)</f>
        <v>850755</v>
      </c>
      <c r="H86" s="16"/>
      <c r="I86" s="16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101" t="s">
        <v>116</v>
      </c>
      <c r="B87" s="102"/>
      <c r="C87" s="103">
        <f>PRODUCT(C86,0.1)</f>
        <v>85075.5</v>
      </c>
      <c r="D87" s="104"/>
      <c r="E87" s="104"/>
      <c r="F87" s="104"/>
      <c r="G87" s="105"/>
      <c r="H87" s="16"/>
      <c r="I87" s="16"/>
      <c r="J87" s="106"/>
      <c r="L87" s="106"/>
      <c r="W87" s="106"/>
      <c r="X87" s="2"/>
      <c r="Y87" s="2"/>
      <c r="Z87" s="2"/>
    </row>
    <row r="88" ht="15.75" hidden="1" customHeight="1">
      <c r="A88" s="107" t="s">
        <v>117</v>
      </c>
      <c r="B88" s="108"/>
      <c r="C88" s="109">
        <f>PRODUCT(C86,0.1)</f>
        <v>85075.5</v>
      </c>
      <c r="D88" s="94"/>
      <c r="E88" s="94"/>
      <c r="F88" s="94"/>
      <c r="G88" s="95"/>
      <c r="H88" s="16"/>
      <c r="I88" s="16"/>
      <c r="J88" s="110"/>
      <c r="K88" s="111"/>
      <c r="L88" s="112"/>
      <c r="W88" s="112"/>
      <c r="X88" s="2"/>
      <c r="Y88" s="2"/>
      <c r="Z88" s="2"/>
    </row>
    <row r="89" ht="15.75" hidden="1" customHeight="1">
      <c r="A89" s="107" t="s">
        <v>118</v>
      </c>
      <c r="B89" s="108"/>
      <c r="C89" s="109">
        <f>SUM(C86:G88)</f>
        <v>1020906</v>
      </c>
      <c r="D89" s="94"/>
      <c r="E89" s="94"/>
      <c r="F89" s="94"/>
      <c r="G89" s="95"/>
      <c r="H89" s="16"/>
      <c r="I89" s="16"/>
      <c r="J89" s="110"/>
      <c r="K89" s="111"/>
      <c r="L89" s="112"/>
      <c r="W89" s="112"/>
      <c r="X89" s="2"/>
      <c r="Y89" s="2"/>
      <c r="Z89" s="2"/>
    </row>
    <row r="90" ht="15.75" customHeight="1">
      <c r="A90" s="113"/>
      <c r="B90" s="6"/>
      <c r="C90" s="2"/>
      <c r="D90" s="12"/>
      <c r="E90" s="13"/>
      <c r="F90" s="14"/>
      <c r="G90" s="15"/>
      <c r="H90" s="16"/>
      <c r="I90" s="16"/>
      <c r="J90" s="110"/>
      <c r="K90" s="111"/>
      <c r="L90" s="112"/>
      <c r="W90" s="112"/>
      <c r="X90" s="2"/>
      <c r="Y90" s="2"/>
      <c r="Z90" s="2"/>
    </row>
    <row r="91" ht="15.75" customHeight="1">
      <c r="A91" s="114" t="s">
        <v>119</v>
      </c>
      <c r="B91" s="6"/>
      <c r="C91" s="2"/>
      <c r="D91" s="12"/>
      <c r="E91" s="13"/>
      <c r="F91" s="14"/>
      <c r="G91" s="15"/>
      <c r="H91" s="16"/>
      <c r="I91" s="16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15"/>
      <c r="B92" s="6"/>
      <c r="C92" s="2"/>
      <c r="D92" s="12"/>
      <c r="E92" s="13"/>
      <c r="F92" s="14"/>
      <c r="G92" s="15"/>
      <c r="H92" s="16"/>
      <c r="I92" s="16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16" t="s">
        <v>120</v>
      </c>
      <c r="B93" s="97"/>
      <c r="C93" s="117" t="s">
        <v>121</v>
      </c>
      <c r="H93" s="111"/>
      <c r="I93" s="111"/>
      <c r="J93" s="3"/>
      <c r="K93" s="117" t="s">
        <v>122</v>
      </c>
      <c r="Q93" s="2"/>
      <c r="R93" s="2"/>
      <c r="S93" s="117" t="s">
        <v>123</v>
      </c>
      <c r="W93" s="2"/>
      <c r="X93" s="2"/>
      <c r="Z93" s="111"/>
    </row>
    <row r="94" ht="15.75" customHeight="1">
      <c r="A94" s="116"/>
      <c r="B94" s="97"/>
      <c r="C94" s="117"/>
      <c r="D94" s="118"/>
      <c r="E94" s="119"/>
      <c r="F94" s="120"/>
      <c r="G94" s="117"/>
      <c r="H94" s="111"/>
      <c r="I94" s="111"/>
      <c r="J94" s="3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1"/>
      <c r="Z94" s="111"/>
    </row>
    <row r="95" ht="15.75" customHeight="1">
      <c r="A95" s="97"/>
      <c r="B95" s="97"/>
      <c r="C95" s="111"/>
      <c r="D95" s="121"/>
      <c r="E95" s="122"/>
      <c r="F95" s="123"/>
      <c r="G95" s="124"/>
      <c r="H95" s="111"/>
      <c r="I95" s="111"/>
      <c r="J95" s="3"/>
      <c r="K95" s="111"/>
      <c r="L95" s="124"/>
      <c r="M95" s="124"/>
      <c r="N95" s="124"/>
      <c r="O95" s="124"/>
      <c r="P95" s="124"/>
      <c r="Q95" s="124"/>
      <c r="R95" s="124"/>
      <c r="S95" s="111"/>
      <c r="T95" s="124"/>
      <c r="U95" s="111"/>
      <c r="V95" s="111"/>
      <c r="W95" s="111"/>
      <c r="X95" s="111"/>
      <c r="Y95" s="111"/>
      <c r="Z95" s="111"/>
    </row>
    <row r="96" ht="15.75" customHeight="1">
      <c r="A96" s="125" t="s">
        <v>124</v>
      </c>
      <c r="C96" s="126" t="s">
        <v>125</v>
      </c>
      <c r="I96" s="2"/>
      <c r="J96" s="3"/>
      <c r="K96" s="126" t="s">
        <v>126</v>
      </c>
      <c r="Q96" s="2"/>
      <c r="R96" s="2"/>
      <c r="S96" s="126" t="s">
        <v>127</v>
      </c>
      <c r="W96" s="2"/>
      <c r="X96" s="2"/>
    </row>
    <row r="97" ht="15.0" customHeight="1">
      <c r="A97" s="127" t="s">
        <v>128</v>
      </c>
      <c r="C97" s="128" t="s">
        <v>129</v>
      </c>
      <c r="I97" s="129"/>
      <c r="J97" s="3"/>
      <c r="K97" s="130" t="s">
        <v>130</v>
      </c>
      <c r="Q97" s="2"/>
      <c r="R97" s="2"/>
      <c r="S97" s="128" t="s">
        <v>131</v>
      </c>
      <c r="W97" s="2"/>
      <c r="X97" s="2"/>
      <c r="Y97" s="111"/>
      <c r="Z97" s="111"/>
    </row>
    <row r="98" ht="15.75" customHeight="1">
      <c r="A98" s="2"/>
      <c r="B98" s="2"/>
      <c r="C98" s="2"/>
      <c r="D98" s="12"/>
      <c r="E98" s="13"/>
      <c r="F98" s="14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132</v>
      </c>
      <c r="B99" s="2"/>
      <c r="C99" s="2" t="s">
        <v>132</v>
      </c>
      <c r="D99" s="12"/>
      <c r="E99" s="13"/>
      <c r="F99" s="14"/>
      <c r="G99" s="2"/>
      <c r="H99" s="2"/>
      <c r="I99" s="2"/>
      <c r="J99" s="3"/>
      <c r="K99" s="2" t="s">
        <v>132</v>
      </c>
      <c r="L99" s="2"/>
      <c r="M99" s="2"/>
      <c r="N99" s="2"/>
      <c r="O99" s="2"/>
      <c r="P99" s="2"/>
      <c r="Q99" s="2"/>
      <c r="R99" s="2"/>
      <c r="S99" s="2" t="s">
        <v>132</v>
      </c>
      <c r="T99" s="2"/>
      <c r="U99" s="2"/>
      <c r="V99" s="2"/>
      <c r="W99" s="2"/>
      <c r="X99" s="2"/>
      <c r="Y99" s="2"/>
      <c r="Z99" s="2"/>
    </row>
    <row r="100" ht="15.75" customHeight="1">
      <c r="D100" s="131"/>
      <c r="E100" s="132"/>
      <c r="F100" s="133"/>
      <c r="J100" s="134"/>
    </row>
    <row r="101" ht="15.75" customHeight="1">
      <c r="D101" s="131"/>
      <c r="E101" s="132"/>
      <c r="F101" s="133"/>
      <c r="J101" s="135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</row>
    <row r="102" ht="15.75" customHeight="1">
      <c r="D102" s="131"/>
      <c r="E102" s="132"/>
      <c r="F102" s="133"/>
      <c r="J102" s="136"/>
      <c r="K102" s="137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</row>
    <row r="103" ht="15.75" customHeight="1">
      <c r="D103" s="131"/>
      <c r="E103" s="132"/>
      <c r="F103" s="133"/>
      <c r="J103" s="139"/>
    </row>
    <row r="104" ht="15.75" customHeight="1">
      <c r="D104" s="131"/>
      <c r="E104" s="132"/>
      <c r="F104" s="133"/>
      <c r="J104" s="140"/>
    </row>
    <row r="105" ht="15.75" customHeight="1">
      <c r="D105" s="131"/>
      <c r="E105" s="132"/>
      <c r="F105" s="133"/>
      <c r="J105" s="3"/>
    </row>
    <row r="106" ht="15.75" customHeight="1">
      <c r="D106" s="131"/>
      <c r="E106" s="132"/>
      <c r="F106" s="133"/>
      <c r="J106" s="3"/>
    </row>
    <row r="107" ht="15.75" customHeight="1">
      <c r="D107" s="131"/>
      <c r="E107" s="132"/>
      <c r="F107" s="133"/>
      <c r="J107" s="3"/>
    </row>
    <row r="108" ht="15.75" customHeight="1">
      <c r="D108" s="131"/>
      <c r="E108" s="132"/>
      <c r="F108" s="133"/>
      <c r="J108" s="3"/>
    </row>
    <row r="109" ht="15.75" customHeight="1">
      <c r="D109" s="131"/>
      <c r="E109" s="132"/>
      <c r="F109" s="133"/>
      <c r="J109" s="3"/>
    </row>
    <row r="110" ht="15.75" customHeight="1">
      <c r="D110" s="131"/>
      <c r="E110" s="132"/>
      <c r="F110" s="133"/>
      <c r="J110" s="3"/>
    </row>
    <row r="111" ht="15.75" customHeight="1">
      <c r="D111" s="131"/>
      <c r="E111" s="132"/>
      <c r="F111" s="133"/>
      <c r="J111" s="3"/>
    </row>
    <row r="112" ht="15.75" customHeight="1">
      <c r="D112" s="131"/>
      <c r="E112" s="132"/>
      <c r="F112" s="133"/>
      <c r="J112" s="3"/>
    </row>
    <row r="113" ht="15.75" customHeight="1">
      <c r="D113" s="131"/>
      <c r="E113" s="132"/>
      <c r="F113" s="133"/>
      <c r="J113" s="3"/>
    </row>
    <row r="114" ht="15.75" customHeight="1">
      <c r="D114" s="131"/>
      <c r="E114" s="132"/>
      <c r="F114" s="133"/>
      <c r="J114" s="3"/>
    </row>
    <row r="115" ht="15.75" customHeight="1">
      <c r="D115" s="131"/>
      <c r="E115" s="132"/>
      <c r="F115" s="133"/>
      <c r="J115" s="3"/>
    </row>
    <row r="116" ht="15.75" customHeight="1">
      <c r="D116" s="131"/>
      <c r="E116" s="132"/>
      <c r="F116" s="133"/>
      <c r="J116" s="3"/>
    </row>
    <row r="117" ht="15.75" customHeight="1">
      <c r="D117" s="131"/>
      <c r="E117" s="132"/>
      <c r="F117" s="133"/>
      <c r="J117" s="3"/>
    </row>
    <row r="118" ht="15.75" customHeight="1">
      <c r="D118" s="131"/>
      <c r="E118" s="132"/>
      <c r="F118" s="133"/>
      <c r="J118" s="3"/>
    </row>
    <row r="119" ht="15.75" customHeight="1">
      <c r="D119" s="131"/>
      <c r="E119" s="132"/>
      <c r="F119" s="133"/>
      <c r="J119" s="3"/>
    </row>
    <row r="120" ht="15.75" customHeight="1">
      <c r="D120" s="131"/>
      <c r="E120" s="132"/>
      <c r="F120" s="133"/>
      <c r="J120" s="3"/>
    </row>
    <row r="121" ht="15.75" customHeight="1">
      <c r="D121" s="131"/>
      <c r="E121" s="132"/>
      <c r="F121" s="133"/>
      <c r="J121" s="3"/>
    </row>
    <row r="122" ht="15.75" customHeight="1">
      <c r="D122" s="131"/>
      <c r="E122" s="132"/>
      <c r="F122" s="133"/>
      <c r="J122" s="3"/>
    </row>
    <row r="123" ht="15.75" customHeight="1">
      <c r="D123" s="131"/>
      <c r="E123" s="132"/>
      <c r="F123" s="133"/>
      <c r="J123" s="3"/>
    </row>
    <row r="124" ht="15.75" customHeight="1">
      <c r="D124" s="131"/>
      <c r="E124" s="132"/>
      <c r="F124" s="133"/>
      <c r="J124" s="3"/>
    </row>
    <row r="125" ht="15.75" customHeight="1">
      <c r="D125" s="131"/>
      <c r="E125" s="132"/>
      <c r="F125" s="133"/>
      <c r="J125" s="3"/>
    </row>
    <row r="126" ht="15.75" customHeight="1">
      <c r="D126" s="131"/>
      <c r="E126" s="132"/>
      <c r="F126" s="133"/>
      <c r="J126" s="3"/>
    </row>
    <row r="127" ht="15.75" customHeight="1">
      <c r="D127" s="131"/>
      <c r="E127" s="132"/>
      <c r="F127" s="133"/>
      <c r="J127" s="3"/>
    </row>
    <row r="128" ht="15.75" customHeight="1">
      <c r="D128" s="131"/>
      <c r="E128" s="132"/>
      <c r="F128" s="133"/>
      <c r="J128" s="3"/>
    </row>
    <row r="129" ht="15.75" customHeight="1">
      <c r="D129" s="131"/>
      <c r="E129" s="132"/>
      <c r="F129" s="133"/>
      <c r="J129" s="3"/>
    </row>
    <row r="130" ht="15.75" customHeight="1">
      <c r="D130" s="131"/>
      <c r="E130" s="132"/>
      <c r="F130" s="133"/>
      <c r="J130" s="3"/>
    </row>
    <row r="131" ht="15.75" customHeight="1">
      <c r="D131" s="131"/>
      <c r="E131" s="132"/>
      <c r="F131" s="133"/>
      <c r="J131" s="3"/>
    </row>
    <row r="132" ht="15.75" customHeight="1">
      <c r="D132" s="131"/>
      <c r="E132" s="132"/>
      <c r="F132" s="133"/>
      <c r="J132" s="3"/>
    </row>
    <row r="133" ht="15.75" customHeight="1">
      <c r="D133" s="131"/>
      <c r="E133" s="132"/>
      <c r="F133" s="133"/>
      <c r="J133" s="3"/>
    </row>
    <row r="134" ht="15.75" customHeight="1">
      <c r="D134" s="131"/>
      <c r="E134" s="132"/>
      <c r="F134" s="133"/>
      <c r="J134" s="3"/>
    </row>
    <row r="135" ht="15.75" customHeight="1">
      <c r="D135" s="131"/>
      <c r="E135" s="132"/>
      <c r="F135" s="133"/>
      <c r="J135" s="3"/>
    </row>
    <row r="136" ht="15.75" customHeight="1">
      <c r="D136" s="131"/>
      <c r="E136" s="132"/>
      <c r="F136" s="133"/>
      <c r="J136" s="3"/>
    </row>
    <row r="137" ht="15.75" customHeight="1">
      <c r="D137" s="131"/>
      <c r="E137" s="132"/>
      <c r="F137" s="133"/>
      <c r="J137" s="3"/>
    </row>
    <row r="138" ht="15.75" customHeight="1">
      <c r="D138" s="131"/>
      <c r="E138" s="132"/>
      <c r="F138" s="133"/>
      <c r="J138" s="3"/>
    </row>
    <row r="139" ht="15.75" customHeight="1">
      <c r="D139" s="131"/>
      <c r="E139" s="132"/>
      <c r="F139" s="133"/>
      <c r="J139" s="3"/>
    </row>
    <row r="140" ht="15.75" customHeight="1">
      <c r="D140" s="131"/>
      <c r="E140" s="132"/>
      <c r="F140" s="133"/>
      <c r="J140" s="3"/>
    </row>
    <row r="141" ht="15.75" customHeight="1">
      <c r="D141" s="131"/>
      <c r="E141" s="132"/>
      <c r="F141" s="133"/>
      <c r="J141" s="3"/>
    </row>
    <row r="142" ht="15.75" customHeight="1">
      <c r="D142" s="131"/>
      <c r="E142" s="132"/>
      <c r="F142" s="133"/>
      <c r="J142" s="3"/>
    </row>
    <row r="143" ht="15.75" customHeight="1">
      <c r="D143" s="131"/>
      <c r="E143" s="132"/>
      <c r="F143" s="133"/>
      <c r="J143" s="3"/>
    </row>
    <row r="144" ht="15.75" customHeight="1">
      <c r="D144" s="131"/>
      <c r="E144" s="132"/>
      <c r="F144" s="133"/>
      <c r="J144" s="3"/>
    </row>
    <row r="145" ht="15.75" customHeight="1">
      <c r="D145" s="131"/>
      <c r="E145" s="132"/>
      <c r="F145" s="133"/>
      <c r="J145" s="3"/>
    </row>
    <row r="146" ht="15.75" customHeight="1">
      <c r="D146" s="131"/>
      <c r="E146" s="132"/>
      <c r="F146" s="133"/>
      <c r="J146" s="3"/>
    </row>
    <row r="147" ht="15.75" customHeight="1">
      <c r="D147" s="131"/>
      <c r="E147" s="132"/>
      <c r="F147" s="133"/>
      <c r="J147" s="3"/>
    </row>
    <row r="148" ht="15.75" customHeight="1">
      <c r="D148" s="131"/>
      <c r="E148" s="132"/>
      <c r="F148" s="133"/>
      <c r="J148" s="3"/>
    </row>
    <row r="149" ht="15.75" customHeight="1">
      <c r="D149" s="131"/>
      <c r="E149" s="132"/>
      <c r="F149" s="133"/>
      <c r="J149" s="3"/>
    </row>
    <row r="150" ht="15.75" customHeight="1">
      <c r="D150" s="131"/>
      <c r="E150" s="132"/>
      <c r="F150" s="133"/>
      <c r="J150" s="3"/>
    </row>
    <row r="151" ht="15.75" customHeight="1">
      <c r="D151" s="131"/>
      <c r="E151" s="132"/>
      <c r="F151" s="133"/>
      <c r="J151" s="3"/>
    </row>
    <row r="152" ht="15.75" customHeight="1">
      <c r="D152" s="131"/>
      <c r="E152" s="132"/>
      <c r="F152" s="133"/>
      <c r="J152" s="3"/>
    </row>
    <row r="153" ht="15.75" customHeight="1">
      <c r="D153" s="131"/>
      <c r="E153" s="132"/>
      <c r="F153" s="133"/>
      <c r="J153" s="3"/>
    </row>
    <row r="154" ht="15.75" customHeight="1">
      <c r="D154" s="131"/>
      <c r="E154" s="132"/>
      <c r="F154" s="133"/>
      <c r="J154" s="3"/>
    </row>
    <row r="155" ht="15.75" customHeight="1">
      <c r="D155" s="131"/>
      <c r="E155" s="132"/>
      <c r="F155" s="133"/>
      <c r="J155" s="3"/>
    </row>
    <row r="156" ht="15.75" customHeight="1">
      <c r="D156" s="131"/>
      <c r="E156" s="132"/>
      <c r="F156" s="133"/>
      <c r="J156" s="3"/>
    </row>
    <row r="157" ht="15.75" customHeight="1">
      <c r="D157" s="131"/>
      <c r="E157" s="132"/>
      <c r="F157" s="133"/>
      <c r="J157" s="3"/>
    </row>
    <row r="158" ht="15.75" customHeight="1">
      <c r="D158" s="131"/>
      <c r="E158" s="132"/>
      <c r="F158" s="133"/>
      <c r="J158" s="3"/>
    </row>
    <row r="159" ht="15.75" customHeight="1">
      <c r="D159" s="131"/>
      <c r="E159" s="132"/>
      <c r="F159" s="133"/>
      <c r="J159" s="3"/>
    </row>
    <row r="160" ht="15.75" customHeight="1">
      <c r="D160" s="131"/>
      <c r="E160" s="132"/>
      <c r="F160" s="133"/>
      <c r="J160" s="3"/>
    </row>
    <row r="161" ht="15.75" customHeight="1">
      <c r="D161" s="131"/>
      <c r="E161" s="132"/>
      <c r="F161" s="133"/>
      <c r="J161" s="3"/>
    </row>
    <row r="162" ht="15.75" customHeight="1">
      <c r="D162" s="131"/>
      <c r="E162" s="132"/>
      <c r="F162" s="133"/>
      <c r="J162" s="3"/>
    </row>
    <row r="163" ht="15.75" customHeight="1">
      <c r="D163" s="131"/>
      <c r="E163" s="132"/>
      <c r="F163" s="133"/>
      <c r="J163" s="3"/>
    </row>
    <row r="164" ht="15.75" customHeight="1">
      <c r="D164" s="131"/>
      <c r="E164" s="132"/>
      <c r="F164" s="133"/>
      <c r="J164" s="3"/>
    </row>
    <row r="165" ht="15.75" customHeight="1">
      <c r="D165" s="131"/>
      <c r="E165" s="132"/>
      <c r="F165" s="133"/>
      <c r="J165" s="3"/>
    </row>
    <row r="166" ht="15.75" customHeight="1">
      <c r="D166" s="131"/>
      <c r="E166" s="132"/>
      <c r="F166" s="133"/>
      <c r="J166" s="3"/>
    </row>
    <row r="167" ht="15.75" customHeight="1">
      <c r="D167" s="131"/>
      <c r="E167" s="132"/>
      <c r="F167" s="133"/>
      <c r="J167" s="3"/>
    </row>
    <row r="168" ht="15.75" customHeight="1">
      <c r="D168" s="131"/>
      <c r="E168" s="132"/>
      <c r="F168" s="133"/>
      <c r="J168" s="3"/>
    </row>
    <row r="169" ht="15.75" customHeight="1">
      <c r="D169" s="131"/>
      <c r="E169" s="132"/>
      <c r="F169" s="133"/>
      <c r="J169" s="3"/>
    </row>
    <row r="170" ht="15.75" customHeight="1">
      <c r="D170" s="131"/>
      <c r="E170" s="132"/>
      <c r="F170" s="133"/>
      <c r="J170" s="3"/>
    </row>
    <row r="171" ht="15.75" customHeight="1">
      <c r="D171" s="131"/>
      <c r="E171" s="132"/>
      <c r="F171" s="133"/>
      <c r="J171" s="3"/>
    </row>
    <row r="172" ht="15.75" customHeight="1">
      <c r="D172" s="131"/>
      <c r="E172" s="132"/>
      <c r="F172" s="133"/>
      <c r="J172" s="3"/>
    </row>
    <row r="173" ht="15.75" customHeight="1">
      <c r="D173" s="131"/>
      <c r="E173" s="132"/>
      <c r="F173" s="133"/>
      <c r="J173" s="3"/>
    </row>
    <row r="174" ht="15.75" customHeight="1">
      <c r="D174" s="131"/>
      <c r="E174" s="132"/>
      <c r="F174" s="133"/>
      <c r="J174" s="3"/>
    </row>
    <row r="175" ht="15.75" customHeight="1">
      <c r="D175" s="131"/>
      <c r="E175" s="132"/>
      <c r="F175" s="133"/>
      <c r="J175" s="3"/>
    </row>
    <row r="176" ht="15.75" customHeight="1">
      <c r="D176" s="131"/>
      <c r="E176" s="132"/>
      <c r="F176" s="133"/>
      <c r="J176" s="3"/>
    </row>
    <row r="177" ht="15.75" customHeight="1">
      <c r="D177" s="131"/>
      <c r="E177" s="132"/>
      <c r="F177" s="133"/>
      <c r="J177" s="3"/>
    </row>
    <row r="178" ht="15.75" customHeight="1">
      <c r="D178" s="131"/>
      <c r="E178" s="132"/>
      <c r="F178" s="133"/>
      <c r="J178" s="3"/>
    </row>
    <row r="179" ht="15.75" customHeight="1">
      <c r="D179" s="131"/>
      <c r="E179" s="132"/>
      <c r="F179" s="133"/>
      <c r="J179" s="3"/>
    </row>
    <row r="180" ht="15.75" customHeight="1">
      <c r="D180" s="131"/>
      <c r="E180" s="132"/>
      <c r="F180" s="133"/>
      <c r="J180" s="3"/>
    </row>
    <row r="181" ht="15.75" customHeight="1">
      <c r="D181" s="131"/>
      <c r="E181" s="132"/>
      <c r="F181" s="133"/>
      <c r="J181" s="3"/>
    </row>
    <row r="182" ht="15.75" customHeight="1">
      <c r="D182" s="131"/>
      <c r="E182" s="132"/>
      <c r="F182" s="133"/>
      <c r="J182" s="3"/>
    </row>
    <row r="183" ht="15.75" customHeight="1">
      <c r="D183" s="131"/>
      <c r="E183" s="132"/>
      <c r="F183" s="133"/>
      <c r="J183" s="3"/>
    </row>
    <row r="184" ht="15.75" customHeight="1">
      <c r="D184" s="131"/>
      <c r="E184" s="132"/>
      <c r="F184" s="133"/>
      <c r="J184" s="3"/>
    </row>
    <row r="185" ht="15.75" customHeight="1">
      <c r="D185" s="131"/>
      <c r="E185" s="132"/>
      <c r="F185" s="133"/>
      <c r="J185" s="3"/>
    </row>
    <row r="186" ht="15.75" customHeight="1">
      <c r="D186" s="131"/>
      <c r="E186" s="132"/>
      <c r="F186" s="133"/>
      <c r="J186" s="3"/>
    </row>
    <row r="187" ht="15.75" customHeight="1">
      <c r="D187" s="131"/>
      <c r="E187" s="132"/>
      <c r="F187" s="133"/>
      <c r="J187" s="3"/>
    </row>
    <row r="188" ht="15.75" customHeight="1">
      <c r="D188" s="131"/>
      <c r="E188" s="132"/>
      <c r="F188" s="133"/>
      <c r="J188" s="3"/>
    </row>
    <row r="189" ht="15.75" customHeight="1">
      <c r="D189" s="131"/>
      <c r="E189" s="132"/>
      <c r="F189" s="133"/>
      <c r="J189" s="3"/>
    </row>
    <row r="190" ht="15.75" customHeight="1">
      <c r="D190" s="131"/>
      <c r="E190" s="132"/>
      <c r="F190" s="133"/>
      <c r="J190" s="3"/>
    </row>
    <row r="191" ht="15.75" customHeight="1">
      <c r="D191" s="131"/>
      <c r="E191" s="132"/>
      <c r="F191" s="133"/>
      <c r="J191" s="3"/>
    </row>
    <row r="192" ht="15.75" customHeight="1">
      <c r="D192" s="131"/>
      <c r="E192" s="132"/>
      <c r="F192" s="133"/>
      <c r="J192" s="3"/>
    </row>
    <row r="193" ht="15.75" customHeight="1">
      <c r="D193" s="131"/>
      <c r="E193" s="132"/>
      <c r="F193" s="133"/>
      <c r="J193" s="3"/>
    </row>
    <row r="194" ht="15.75" customHeight="1">
      <c r="D194" s="131"/>
      <c r="E194" s="132"/>
      <c r="F194" s="133"/>
      <c r="J194" s="3"/>
    </row>
    <row r="195" ht="15.75" customHeight="1">
      <c r="D195" s="131"/>
      <c r="E195" s="132"/>
      <c r="F195" s="133"/>
      <c r="J195" s="3"/>
    </row>
    <row r="196" ht="15.75" customHeight="1">
      <c r="D196" s="131"/>
      <c r="E196" s="132"/>
      <c r="F196" s="133"/>
      <c r="J196" s="3"/>
    </row>
    <row r="197" ht="15.75" customHeight="1">
      <c r="D197" s="131"/>
      <c r="E197" s="132"/>
      <c r="F197" s="133"/>
      <c r="J197" s="3"/>
    </row>
    <row r="198" ht="15.75" customHeight="1">
      <c r="D198" s="131"/>
      <c r="E198" s="132"/>
      <c r="F198" s="133"/>
      <c r="J198" s="3"/>
    </row>
    <row r="199" ht="15.75" customHeight="1">
      <c r="D199" s="131"/>
      <c r="E199" s="132"/>
      <c r="F199" s="133"/>
      <c r="J199" s="3"/>
    </row>
    <row r="200" ht="15.75" customHeight="1">
      <c r="D200" s="131"/>
      <c r="E200" s="132"/>
      <c r="F200" s="133"/>
      <c r="J200" s="3"/>
    </row>
    <row r="201" ht="15.75" customHeight="1">
      <c r="D201" s="131"/>
      <c r="E201" s="132"/>
      <c r="F201" s="133"/>
      <c r="J201" s="3"/>
    </row>
    <row r="202" ht="15.75" customHeight="1">
      <c r="D202" s="131"/>
      <c r="E202" s="132"/>
      <c r="F202" s="133"/>
      <c r="J202" s="3"/>
    </row>
    <row r="203" ht="15.75" customHeight="1">
      <c r="D203" s="131"/>
      <c r="E203" s="132"/>
      <c r="F203" s="133"/>
      <c r="J203" s="3"/>
    </row>
    <row r="204" ht="15.75" customHeight="1">
      <c r="D204" s="131"/>
      <c r="E204" s="132"/>
      <c r="F204" s="133"/>
      <c r="J204" s="3"/>
    </row>
    <row r="205" ht="15.75" customHeight="1">
      <c r="D205" s="131"/>
      <c r="E205" s="132"/>
      <c r="F205" s="133"/>
      <c r="J205" s="3"/>
    </row>
    <row r="206" ht="15.75" customHeight="1">
      <c r="D206" s="131"/>
      <c r="E206" s="132"/>
      <c r="F206" s="133"/>
      <c r="J206" s="3"/>
    </row>
    <row r="207" ht="15.75" customHeight="1">
      <c r="D207" s="131"/>
      <c r="E207" s="132"/>
      <c r="F207" s="133"/>
      <c r="J207" s="3"/>
    </row>
    <row r="208" ht="15.75" customHeight="1">
      <c r="D208" s="131"/>
      <c r="E208" s="132"/>
      <c r="F208" s="133"/>
      <c r="J208" s="3"/>
    </row>
    <row r="209" ht="15.75" customHeight="1">
      <c r="D209" s="131"/>
      <c r="E209" s="132"/>
      <c r="F209" s="133"/>
      <c r="J209" s="3"/>
    </row>
    <row r="210" ht="15.75" customHeight="1">
      <c r="D210" s="131"/>
      <c r="E210" s="132"/>
      <c r="F210" s="133"/>
      <c r="J210" s="3"/>
    </row>
    <row r="211" ht="15.75" customHeight="1">
      <c r="D211" s="131"/>
      <c r="E211" s="132"/>
      <c r="F211" s="133"/>
      <c r="J211" s="3"/>
    </row>
    <row r="212" ht="15.75" customHeight="1">
      <c r="D212" s="131"/>
      <c r="E212" s="132"/>
      <c r="F212" s="133"/>
      <c r="J212" s="3"/>
    </row>
    <row r="213" ht="15.75" customHeight="1">
      <c r="D213" s="131"/>
      <c r="E213" s="132"/>
      <c r="F213" s="133"/>
      <c r="J213" s="3"/>
    </row>
    <row r="214" ht="15.75" customHeight="1">
      <c r="D214" s="131"/>
      <c r="E214" s="132"/>
      <c r="F214" s="133"/>
      <c r="J214" s="3"/>
    </row>
    <row r="215" ht="15.75" customHeight="1">
      <c r="D215" s="131"/>
      <c r="E215" s="132"/>
      <c r="F215" s="133"/>
      <c r="J215" s="3"/>
    </row>
    <row r="216" ht="15.75" customHeight="1">
      <c r="D216" s="131"/>
      <c r="E216" s="132"/>
      <c r="F216" s="133"/>
      <c r="J216" s="3"/>
    </row>
    <row r="217" ht="15.75" customHeight="1">
      <c r="D217" s="131"/>
      <c r="E217" s="132"/>
      <c r="F217" s="133"/>
      <c r="J217" s="3"/>
    </row>
    <row r="218" ht="15.75" customHeight="1">
      <c r="D218" s="131"/>
      <c r="E218" s="132"/>
      <c r="F218" s="133"/>
      <c r="J218" s="3"/>
    </row>
    <row r="219" ht="15.75" customHeight="1">
      <c r="D219" s="131"/>
      <c r="E219" s="132"/>
      <c r="F219" s="133"/>
      <c r="J219" s="3"/>
    </row>
    <row r="220" ht="15.75" customHeight="1">
      <c r="D220" s="131"/>
      <c r="E220" s="132"/>
      <c r="F220" s="133"/>
      <c r="J220" s="3"/>
    </row>
    <row r="221" ht="15.75" customHeight="1">
      <c r="D221" s="131"/>
      <c r="E221" s="132"/>
      <c r="F221" s="133"/>
      <c r="J221" s="3"/>
    </row>
    <row r="222" ht="15.75" customHeight="1">
      <c r="D222" s="131"/>
      <c r="E222" s="132"/>
      <c r="F222" s="133"/>
      <c r="J222" s="3"/>
    </row>
    <row r="223" ht="15.75" customHeight="1">
      <c r="D223" s="131"/>
      <c r="E223" s="132"/>
      <c r="F223" s="133"/>
      <c r="J223" s="3"/>
    </row>
    <row r="224" ht="15.75" customHeight="1">
      <c r="D224" s="131"/>
      <c r="E224" s="132"/>
      <c r="F224" s="133"/>
      <c r="J224" s="3"/>
    </row>
    <row r="225" ht="15.75" customHeight="1">
      <c r="D225" s="131"/>
      <c r="E225" s="132"/>
      <c r="F225" s="133"/>
      <c r="J225" s="3"/>
    </row>
    <row r="226" ht="15.75" customHeight="1">
      <c r="D226" s="131"/>
      <c r="E226" s="132"/>
      <c r="F226" s="133"/>
      <c r="J226" s="3"/>
    </row>
    <row r="227" ht="15.75" customHeight="1">
      <c r="D227" s="131"/>
      <c r="E227" s="132"/>
      <c r="F227" s="133"/>
      <c r="J227" s="3"/>
    </row>
    <row r="228" ht="15.75" customHeight="1">
      <c r="D228" s="131"/>
      <c r="E228" s="132"/>
      <c r="F228" s="133"/>
      <c r="J228" s="3"/>
    </row>
    <row r="229" ht="15.75" customHeight="1">
      <c r="D229" s="131"/>
      <c r="E229" s="132"/>
      <c r="F229" s="133"/>
      <c r="J229" s="3"/>
    </row>
    <row r="230" ht="15.75" customHeight="1">
      <c r="D230" s="131"/>
      <c r="E230" s="132"/>
      <c r="F230" s="133"/>
      <c r="J230" s="3"/>
    </row>
    <row r="231" ht="15.75" customHeight="1">
      <c r="D231" s="131"/>
      <c r="E231" s="132"/>
      <c r="F231" s="133"/>
      <c r="J231" s="3"/>
    </row>
    <row r="232" ht="15.75" customHeight="1">
      <c r="D232" s="131"/>
      <c r="E232" s="132"/>
      <c r="F232" s="133"/>
      <c r="J232" s="3"/>
    </row>
    <row r="233" ht="15.75" customHeight="1">
      <c r="D233" s="131"/>
      <c r="E233" s="132"/>
      <c r="F233" s="133"/>
      <c r="J233" s="3"/>
    </row>
    <row r="234" ht="15.75" customHeight="1">
      <c r="D234" s="131"/>
      <c r="E234" s="132"/>
      <c r="F234" s="133"/>
      <c r="J234" s="3"/>
    </row>
    <row r="235" ht="15.75" customHeight="1">
      <c r="D235" s="131"/>
      <c r="E235" s="132"/>
      <c r="F235" s="133"/>
      <c r="J235" s="3"/>
    </row>
    <row r="236" ht="15.75" customHeight="1">
      <c r="D236" s="131"/>
      <c r="E236" s="132"/>
      <c r="F236" s="133"/>
      <c r="J236" s="3"/>
    </row>
    <row r="237" ht="15.75" customHeight="1">
      <c r="D237" s="131"/>
      <c r="E237" s="132"/>
      <c r="F237" s="133"/>
      <c r="J237" s="3"/>
    </row>
    <row r="238" ht="15.75" customHeight="1">
      <c r="D238" s="131"/>
      <c r="E238" s="132"/>
      <c r="F238" s="133"/>
      <c r="J238" s="3"/>
    </row>
    <row r="239" ht="15.75" customHeight="1">
      <c r="D239" s="131"/>
      <c r="E239" s="132"/>
      <c r="F239" s="133"/>
      <c r="J239" s="3"/>
    </row>
    <row r="240" ht="15.75" customHeight="1">
      <c r="D240" s="131"/>
      <c r="E240" s="132"/>
      <c r="F240" s="133"/>
      <c r="J240" s="3"/>
    </row>
    <row r="241" ht="15.75" customHeight="1">
      <c r="D241" s="131"/>
      <c r="E241" s="132"/>
      <c r="F241" s="133"/>
      <c r="J241" s="3"/>
    </row>
    <row r="242" ht="15.75" customHeight="1">
      <c r="D242" s="131"/>
      <c r="E242" s="132"/>
      <c r="F242" s="133"/>
      <c r="J242" s="3"/>
    </row>
    <row r="243" ht="15.75" customHeight="1">
      <c r="D243" s="131"/>
      <c r="E243" s="132"/>
      <c r="F243" s="133"/>
      <c r="J243" s="3"/>
    </row>
    <row r="244" ht="15.75" customHeight="1">
      <c r="D244" s="131"/>
      <c r="E244" s="132"/>
      <c r="F244" s="133"/>
      <c r="J244" s="3"/>
    </row>
    <row r="245" ht="15.75" customHeight="1">
      <c r="D245" s="131"/>
      <c r="E245" s="132"/>
      <c r="F245" s="133"/>
      <c r="J245" s="3"/>
    </row>
    <row r="246" ht="15.75" customHeight="1">
      <c r="D246" s="131"/>
      <c r="E246" s="132"/>
      <c r="F246" s="133"/>
      <c r="J246" s="3"/>
    </row>
    <row r="247" ht="15.75" customHeight="1">
      <c r="D247" s="131"/>
      <c r="E247" s="132"/>
      <c r="F247" s="133"/>
      <c r="J247" s="3"/>
    </row>
    <row r="248" ht="15.75" customHeight="1">
      <c r="D248" s="131"/>
      <c r="E248" s="132"/>
      <c r="F248" s="133"/>
      <c r="J248" s="3"/>
    </row>
    <row r="249" ht="15.75" customHeight="1">
      <c r="D249" s="131"/>
      <c r="E249" s="132"/>
      <c r="F249" s="133"/>
      <c r="J249" s="3"/>
    </row>
    <row r="250" ht="15.75" customHeight="1">
      <c r="D250" s="131"/>
      <c r="E250" s="132"/>
      <c r="F250" s="133"/>
      <c r="J250" s="3"/>
    </row>
    <row r="251" ht="15.75" customHeight="1">
      <c r="D251" s="131"/>
      <c r="E251" s="132"/>
      <c r="F251" s="133"/>
      <c r="J251" s="3"/>
    </row>
    <row r="252" ht="15.75" customHeight="1">
      <c r="D252" s="131"/>
      <c r="E252" s="132"/>
      <c r="F252" s="133"/>
      <c r="J252" s="3"/>
    </row>
    <row r="253" ht="15.75" customHeight="1">
      <c r="D253" s="131"/>
      <c r="E253" s="132"/>
      <c r="F253" s="133"/>
      <c r="J253" s="3"/>
    </row>
    <row r="254" ht="15.75" customHeight="1">
      <c r="D254" s="131"/>
      <c r="E254" s="132"/>
      <c r="F254" s="133"/>
      <c r="J254" s="3"/>
    </row>
    <row r="255" ht="15.75" customHeight="1">
      <c r="D255" s="131"/>
      <c r="E255" s="132"/>
      <c r="F255" s="133"/>
      <c r="J255" s="3"/>
    </row>
    <row r="256" ht="15.75" customHeight="1">
      <c r="D256" s="131"/>
      <c r="E256" s="132"/>
      <c r="F256" s="133"/>
      <c r="J256" s="3"/>
    </row>
    <row r="257" ht="15.75" customHeight="1">
      <c r="D257" s="131"/>
      <c r="E257" s="132"/>
      <c r="F257" s="133"/>
      <c r="J257" s="3"/>
    </row>
    <row r="258" ht="15.75" customHeight="1">
      <c r="D258" s="131"/>
      <c r="E258" s="132"/>
      <c r="F258" s="133"/>
      <c r="J258" s="3"/>
    </row>
    <row r="259" ht="15.75" customHeight="1">
      <c r="D259" s="131"/>
      <c r="E259" s="132"/>
      <c r="F259" s="133"/>
      <c r="J259" s="3"/>
    </row>
    <row r="260" ht="15.75" customHeight="1">
      <c r="D260" s="131"/>
      <c r="E260" s="132"/>
      <c r="F260" s="133"/>
      <c r="J260" s="3"/>
    </row>
    <row r="261" ht="15.75" customHeight="1">
      <c r="D261" s="131"/>
      <c r="E261" s="132"/>
      <c r="F261" s="133"/>
      <c r="J261" s="3"/>
    </row>
    <row r="262" ht="15.75" customHeight="1">
      <c r="D262" s="131"/>
      <c r="E262" s="132"/>
      <c r="F262" s="133"/>
      <c r="J262" s="3"/>
    </row>
    <row r="263" ht="15.75" customHeight="1">
      <c r="D263" s="131"/>
      <c r="E263" s="132"/>
      <c r="F263" s="133"/>
      <c r="J263" s="3"/>
    </row>
    <row r="264" ht="15.75" customHeight="1">
      <c r="D264" s="131"/>
      <c r="E264" s="132"/>
      <c r="F264" s="133"/>
      <c r="J264" s="3"/>
    </row>
    <row r="265" ht="15.75" customHeight="1">
      <c r="D265" s="131"/>
      <c r="E265" s="132"/>
      <c r="F265" s="133"/>
      <c r="J265" s="3"/>
    </row>
    <row r="266" ht="15.75" customHeight="1">
      <c r="D266" s="131"/>
      <c r="E266" s="132"/>
      <c r="F266" s="133"/>
      <c r="J266" s="3"/>
    </row>
    <row r="267" ht="15.75" customHeight="1">
      <c r="D267" s="131"/>
      <c r="E267" s="132"/>
      <c r="F267" s="133"/>
      <c r="J267" s="3"/>
    </row>
    <row r="268" ht="15.75" customHeight="1">
      <c r="D268" s="131"/>
      <c r="E268" s="132"/>
      <c r="F268" s="133"/>
      <c r="J268" s="3"/>
    </row>
    <row r="269" ht="15.75" customHeight="1">
      <c r="D269" s="131"/>
      <c r="E269" s="132"/>
      <c r="F269" s="133"/>
      <c r="J269" s="3"/>
    </row>
    <row r="270" ht="15.75" customHeight="1">
      <c r="D270" s="131"/>
      <c r="E270" s="132"/>
      <c r="F270" s="133"/>
      <c r="J270" s="3"/>
    </row>
    <row r="271" ht="15.75" customHeight="1">
      <c r="D271" s="131"/>
      <c r="E271" s="132"/>
      <c r="F271" s="133"/>
      <c r="J271" s="3"/>
    </row>
    <row r="272" ht="15.75" customHeight="1">
      <c r="D272" s="131"/>
      <c r="E272" s="132"/>
      <c r="F272" s="133"/>
      <c r="J272" s="3"/>
    </row>
    <row r="273" ht="15.75" customHeight="1">
      <c r="D273" s="131"/>
      <c r="E273" s="132"/>
      <c r="F273" s="133"/>
      <c r="J273" s="3"/>
    </row>
    <row r="274" ht="15.75" customHeight="1">
      <c r="D274" s="131"/>
      <c r="E274" s="132"/>
      <c r="F274" s="133"/>
      <c r="J274" s="3"/>
    </row>
    <row r="275" ht="15.75" customHeight="1">
      <c r="D275" s="131"/>
      <c r="E275" s="132"/>
      <c r="F275" s="133"/>
      <c r="J275" s="3"/>
    </row>
    <row r="276" ht="15.75" customHeight="1">
      <c r="D276" s="131"/>
      <c r="E276" s="132"/>
      <c r="F276" s="133"/>
      <c r="J276" s="3"/>
    </row>
    <row r="277" ht="15.75" customHeight="1">
      <c r="D277" s="131"/>
      <c r="E277" s="132"/>
      <c r="F277" s="133"/>
      <c r="J277" s="3"/>
    </row>
    <row r="278" ht="15.75" customHeight="1">
      <c r="D278" s="131"/>
      <c r="E278" s="132"/>
      <c r="F278" s="133"/>
      <c r="J278" s="3"/>
    </row>
    <row r="279" ht="15.75" customHeight="1">
      <c r="D279" s="131"/>
      <c r="E279" s="132"/>
      <c r="F279" s="133"/>
      <c r="J279" s="3"/>
    </row>
    <row r="280" ht="15.75" customHeight="1">
      <c r="D280" s="131"/>
      <c r="E280" s="132"/>
      <c r="F280" s="133"/>
      <c r="J280" s="3"/>
    </row>
    <row r="281" ht="15.75" customHeight="1">
      <c r="D281" s="131"/>
      <c r="E281" s="132"/>
      <c r="F281" s="133"/>
      <c r="J281" s="3"/>
    </row>
    <row r="282" ht="15.75" customHeight="1">
      <c r="D282" s="131"/>
      <c r="E282" s="132"/>
      <c r="F282" s="133"/>
      <c r="J282" s="3"/>
    </row>
    <row r="283" ht="15.75" customHeight="1">
      <c r="D283" s="131"/>
      <c r="E283" s="132"/>
      <c r="F283" s="133"/>
      <c r="J283" s="3"/>
    </row>
    <row r="284" ht="15.75" customHeight="1">
      <c r="D284" s="131"/>
      <c r="E284" s="132"/>
      <c r="F284" s="133"/>
      <c r="J284" s="3"/>
    </row>
    <row r="285" ht="15.75" customHeight="1">
      <c r="D285" s="131"/>
      <c r="E285" s="132"/>
      <c r="F285" s="133"/>
      <c r="J285" s="3"/>
    </row>
    <row r="286" ht="15.75" customHeight="1">
      <c r="D286" s="131"/>
      <c r="E286" s="132"/>
      <c r="F286" s="133"/>
      <c r="J286" s="3"/>
    </row>
    <row r="287" ht="15.75" customHeight="1">
      <c r="D287" s="131"/>
      <c r="E287" s="132"/>
      <c r="F287" s="133"/>
      <c r="J287" s="3"/>
    </row>
    <row r="288" ht="15.75" customHeight="1">
      <c r="D288" s="131"/>
      <c r="E288" s="132"/>
      <c r="F288" s="133"/>
      <c r="J288" s="3"/>
    </row>
    <row r="289" ht="15.75" customHeight="1">
      <c r="D289" s="131"/>
      <c r="E289" s="132"/>
      <c r="F289" s="133"/>
      <c r="J289" s="3"/>
    </row>
    <row r="290" ht="15.75" customHeight="1">
      <c r="D290" s="131"/>
      <c r="E290" s="132"/>
      <c r="F290" s="133"/>
      <c r="J290" s="3"/>
    </row>
    <row r="291" ht="15.75" customHeight="1">
      <c r="D291" s="131"/>
      <c r="E291" s="132"/>
      <c r="F291" s="133"/>
      <c r="J291" s="3"/>
    </row>
    <row r="292" ht="15.75" customHeight="1">
      <c r="D292" s="131"/>
      <c r="E292" s="132"/>
      <c r="F292" s="133"/>
      <c r="J292" s="3"/>
    </row>
    <row r="293" ht="15.75" customHeight="1">
      <c r="D293" s="131"/>
      <c r="E293" s="132"/>
      <c r="F293" s="133"/>
      <c r="J293" s="3"/>
    </row>
    <row r="294" ht="15.75" customHeight="1">
      <c r="D294" s="131"/>
      <c r="E294" s="132"/>
      <c r="F294" s="133"/>
      <c r="J294" s="3"/>
    </row>
    <row r="295" ht="15.75" customHeight="1">
      <c r="D295" s="131"/>
      <c r="E295" s="132"/>
      <c r="F295" s="133"/>
      <c r="J295" s="3"/>
    </row>
    <row r="296" ht="15.75" customHeight="1">
      <c r="D296" s="131"/>
      <c r="E296" s="132"/>
      <c r="F296" s="133"/>
      <c r="J296" s="3"/>
    </row>
    <row r="297" ht="15.75" customHeight="1">
      <c r="D297" s="131"/>
      <c r="E297" s="132"/>
      <c r="F297" s="133"/>
      <c r="J297" s="3"/>
    </row>
    <row r="298" ht="15.75" customHeight="1">
      <c r="D298" s="131"/>
      <c r="E298" s="132"/>
      <c r="F298" s="133"/>
      <c r="J298" s="3"/>
    </row>
    <row r="299" ht="15.75" customHeight="1">
      <c r="D299" s="131"/>
      <c r="E299" s="132"/>
      <c r="F299" s="133"/>
      <c r="J299" s="3"/>
    </row>
    <row r="300" ht="15.75" customHeight="1">
      <c r="D300" s="12"/>
      <c r="E300" s="3"/>
      <c r="J300" s="3"/>
    </row>
    <row r="301" ht="15.75" customHeight="1">
      <c r="D301" s="12"/>
      <c r="E301" s="3"/>
      <c r="J301" s="3"/>
    </row>
    <row r="302" ht="15.75" customHeight="1">
      <c r="D302" s="12"/>
      <c r="E302" s="3"/>
      <c r="J302" s="3"/>
    </row>
    <row r="303" ht="15.75" customHeight="1">
      <c r="D303" s="12"/>
      <c r="E303" s="3"/>
      <c r="J303" s="3"/>
    </row>
    <row r="304" ht="15.75" customHeight="1">
      <c r="D304" s="12"/>
      <c r="E304" s="3"/>
      <c r="J304" s="3"/>
    </row>
    <row r="305" ht="15.75" customHeight="1">
      <c r="D305" s="12"/>
      <c r="E305" s="3"/>
      <c r="J305" s="3"/>
    </row>
    <row r="306" ht="15.75" customHeight="1">
      <c r="D306" s="12"/>
      <c r="E306" s="3"/>
      <c r="J306" s="3"/>
    </row>
    <row r="307" ht="15.75" customHeight="1">
      <c r="D307" s="12"/>
      <c r="E307" s="3"/>
      <c r="J307" s="3"/>
    </row>
    <row r="308" ht="15.75" customHeight="1">
      <c r="D308" s="12"/>
      <c r="E308" s="3"/>
      <c r="J308" s="3"/>
    </row>
    <row r="309" ht="15.75" customHeight="1">
      <c r="D309" s="12"/>
      <c r="E309" s="3"/>
      <c r="J309" s="3"/>
    </row>
    <row r="310" ht="15.75" customHeight="1">
      <c r="D310" s="12"/>
      <c r="E310" s="3"/>
      <c r="J310" s="3"/>
    </row>
    <row r="311" ht="15.75" customHeight="1">
      <c r="D311" s="12"/>
      <c r="E311" s="3"/>
      <c r="J311" s="3"/>
    </row>
    <row r="312" ht="15.75" customHeight="1">
      <c r="D312" s="12"/>
      <c r="E312" s="3"/>
      <c r="J312" s="3"/>
    </row>
    <row r="313" ht="15.75" customHeight="1">
      <c r="D313" s="12"/>
      <c r="E313" s="3"/>
      <c r="J313" s="3"/>
    </row>
    <row r="314" ht="15.75" customHeight="1">
      <c r="D314" s="12"/>
      <c r="E314" s="3"/>
      <c r="J314" s="3"/>
    </row>
    <row r="315" ht="15.75" customHeight="1">
      <c r="D315" s="12"/>
      <c r="E315" s="3"/>
      <c r="J315" s="3"/>
    </row>
    <row r="316" ht="15.75" customHeight="1">
      <c r="D316" s="12"/>
      <c r="E316" s="3"/>
      <c r="J316" s="3"/>
    </row>
    <row r="317" ht="15.75" customHeight="1">
      <c r="D317" s="12"/>
      <c r="E317" s="3"/>
      <c r="J317" s="3"/>
    </row>
    <row r="318" ht="15.75" customHeight="1">
      <c r="D318" s="12"/>
      <c r="E318" s="3"/>
      <c r="J318" s="3"/>
    </row>
    <row r="319" ht="15.75" customHeight="1">
      <c r="D319" s="12"/>
      <c r="E319" s="3"/>
      <c r="J319" s="3"/>
    </row>
    <row r="320" ht="15.75" customHeight="1">
      <c r="D320" s="12"/>
      <c r="E320" s="3"/>
      <c r="J320" s="3"/>
    </row>
    <row r="321" ht="15.75" customHeight="1">
      <c r="D321" s="12"/>
      <c r="E321" s="3"/>
      <c r="J321" s="3"/>
    </row>
    <row r="322" ht="15.75" customHeight="1">
      <c r="D322" s="12"/>
      <c r="E322" s="3"/>
      <c r="J322" s="3"/>
    </row>
    <row r="323" ht="15.75" customHeight="1">
      <c r="D323" s="12"/>
      <c r="E323" s="3"/>
      <c r="J323" s="3"/>
    </row>
    <row r="324" ht="15.75" customHeight="1">
      <c r="D324" s="12"/>
      <c r="E324" s="3"/>
      <c r="J324" s="3"/>
    </row>
    <row r="325" ht="15.75" customHeight="1">
      <c r="D325" s="12"/>
      <c r="E325" s="3"/>
      <c r="J325" s="3"/>
    </row>
    <row r="326" ht="15.75" customHeight="1">
      <c r="D326" s="12"/>
      <c r="E326" s="3"/>
      <c r="J326" s="3"/>
    </row>
    <row r="327" ht="15.75" customHeight="1">
      <c r="D327" s="12"/>
      <c r="E327" s="3"/>
      <c r="J327" s="3"/>
    </row>
    <row r="328" ht="15.75" customHeight="1">
      <c r="D328" s="12"/>
      <c r="E328" s="3"/>
      <c r="J328" s="3"/>
    </row>
    <row r="329" ht="15.75" customHeight="1">
      <c r="D329" s="12"/>
      <c r="E329" s="3"/>
      <c r="J329" s="3"/>
    </row>
    <row r="330" ht="15.75" customHeight="1">
      <c r="D330" s="12"/>
      <c r="E330" s="3"/>
      <c r="J330" s="3"/>
    </row>
    <row r="331" ht="15.75" customHeight="1">
      <c r="D331" s="12"/>
      <c r="E331" s="3"/>
      <c r="J331" s="3"/>
    </row>
    <row r="332" ht="15.75" customHeight="1">
      <c r="D332" s="12"/>
      <c r="E332" s="3"/>
      <c r="J332" s="3"/>
    </row>
    <row r="333" ht="15.75" customHeight="1">
      <c r="D333" s="12"/>
      <c r="E333" s="3"/>
      <c r="J333" s="3"/>
    </row>
    <row r="334" ht="15.75" customHeight="1">
      <c r="D334" s="12"/>
      <c r="E334" s="3"/>
      <c r="J334" s="3"/>
    </row>
    <row r="335" ht="15.75" customHeight="1">
      <c r="D335" s="12"/>
      <c r="E335" s="3"/>
      <c r="J335" s="3"/>
    </row>
    <row r="336" ht="15.75" customHeight="1">
      <c r="D336" s="12"/>
      <c r="E336" s="3"/>
      <c r="J336" s="3"/>
    </row>
    <row r="337" ht="15.75" customHeight="1">
      <c r="D337" s="12"/>
      <c r="E337" s="3"/>
      <c r="J337" s="3"/>
    </row>
    <row r="338" ht="15.75" customHeight="1">
      <c r="D338" s="12"/>
      <c r="E338" s="3"/>
      <c r="J338" s="3"/>
    </row>
    <row r="339" ht="15.75" customHeight="1">
      <c r="D339" s="12"/>
      <c r="E339" s="3"/>
      <c r="J339" s="3"/>
    </row>
    <row r="340" ht="15.75" customHeight="1">
      <c r="D340" s="12"/>
      <c r="E340" s="3"/>
      <c r="J340" s="3"/>
    </row>
    <row r="341" ht="15.75" customHeight="1">
      <c r="D341" s="12"/>
      <c r="E341" s="3"/>
      <c r="J341" s="3"/>
    </row>
    <row r="342" ht="15.75" customHeight="1">
      <c r="D342" s="12"/>
      <c r="E342" s="3"/>
      <c r="J342" s="3"/>
    </row>
    <row r="343" ht="15.75" customHeight="1">
      <c r="D343" s="12"/>
      <c r="E343" s="3"/>
      <c r="J343" s="3"/>
    </row>
    <row r="344" ht="15.75" customHeight="1">
      <c r="D344" s="12"/>
      <c r="E344" s="3"/>
      <c r="J344" s="3"/>
    </row>
    <row r="345" ht="15.75" customHeight="1">
      <c r="D345" s="12"/>
      <c r="E345" s="3"/>
      <c r="J345" s="3"/>
    </row>
    <row r="346" ht="15.75" customHeight="1">
      <c r="D346" s="12"/>
      <c r="E346" s="3"/>
      <c r="J346" s="3"/>
    </row>
    <row r="347" ht="15.75" customHeight="1">
      <c r="D347" s="12"/>
      <c r="E347" s="3"/>
      <c r="J347" s="3"/>
    </row>
    <row r="348" ht="15.75" customHeight="1">
      <c r="D348" s="12"/>
      <c r="E348" s="3"/>
      <c r="J348" s="3"/>
    </row>
    <row r="349" ht="15.75" customHeight="1">
      <c r="D349" s="12"/>
      <c r="E349" s="3"/>
      <c r="J349" s="3"/>
    </row>
    <row r="350" ht="15.75" customHeight="1">
      <c r="D350" s="12"/>
      <c r="E350" s="3"/>
      <c r="J350" s="3"/>
    </row>
    <row r="351" ht="15.75" customHeight="1">
      <c r="D351" s="12"/>
      <c r="E351" s="3"/>
      <c r="J351" s="3"/>
    </row>
    <row r="352" ht="15.75" customHeight="1">
      <c r="D352" s="12"/>
      <c r="E352" s="3"/>
      <c r="J352" s="3"/>
    </row>
    <row r="353" ht="15.75" customHeight="1">
      <c r="D353" s="12"/>
      <c r="E353" s="3"/>
      <c r="J353" s="3"/>
    </row>
    <row r="354" ht="15.75" customHeight="1">
      <c r="D354" s="12"/>
      <c r="E354" s="3"/>
      <c r="J354" s="3"/>
    </row>
    <row r="355" ht="15.75" customHeight="1">
      <c r="D355" s="12"/>
      <c r="E355" s="3"/>
      <c r="J355" s="3"/>
    </row>
    <row r="356" ht="15.75" customHeight="1">
      <c r="D356" s="12"/>
      <c r="E356" s="3"/>
      <c r="J356" s="3"/>
    </row>
    <row r="357" ht="15.75" customHeight="1">
      <c r="D357" s="12"/>
      <c r="E357" s="3"/>
      <c r="J357" s="3"/>
    </row>
    <row r="358" ht="15.75" customHeight="1">
      <c r="D358" s="12"/>
      <c r="E358" s="3"/>
      <c r="J358" s="3"/>
    </row>
    <row r="359" ht="15.75" customHeight="1">
      <c r="D359" s="12"/>
      <c r="E359" s="3"/>
      <c r="J359" s="3"/>
    </row>
    <row r="360" ht="15.75" customHeight="1">
      <c r="D360" s="12"/>
      <c r="E360" s="3"/>
      <c r="J360" s="3"/>
    </row>
    <row r="361" ht="15.75" customHeight="1">
      <c r="D361" s="12"/>
      <c r="E361" s="3"/>
      <c r="J361" s="3"/>
    </row>
    <row r="362" ht="15.75" customHeight="1">
      <c r="D362" s="12"/>
      <c r="E362" s="3"/>
      <c r="J362" s="3"/>
    </row>
    <row r="363" ht="15.75" customHeight="1">
      <c r="D363" s="12"/>
      <c r="E363" s="3"/>
      <c r="J363" s="3"/>
    </row>
    <row r="364" ht="15.75" customHeight="1">
      <c r="D364" s="12"/>
      <c r="E364" s="3"/>
      <c r="J364" s="3"/>
    </row>
    <row r="365" ht="15.75" customHeight="1">
      <c r="D365" s="12"/>
      <c r="E365" s="3"/>
      <c r="J365" s="3"/>
    </row>
    <row r="366" ht="15.75" customHeight="1">
      <c r="D366" s="12"/>
      <c r="E366" s="3"/>
      <c r="J366" s="3"/>
    </row>
    <row r="367" ht="15.75" customHeight="1">
      <c r="D367" s="12"/>
      <c r="E367" s="3"/>
      <c r="J367" s="3"/>
    </row>
    <row r="368" ht="15.75" customHeight="1">
      <c r="D368" s="12"/>
      <c r="E368" s="3"/>
      <c r="J368" s="3"/>
    </row>
    <row r="369" ht="15.75" customHeight="1">
      <c r="D369" s="12"/>
      <c r="E369" s="3"/>
      <c r="J369" s="3"/>
    </row>
    <row r="370" ht="15.75" customHeight="1">
      <c r="D370" s="12"/>
      <c r="E370" s="3"/>
      <c r="J370" s="3"/>
    </row>
    <row r="371" ht="15.75" customHeight="1">
      <c r="D371" s="12"/>
      <c r="E371" s="3"/>
      <c r="J371" s="3"/>
    </row>
    <row r="372" ht="15.75" customHeight="1">
      <c r="D372" s="12"/>
      <c r="E372" s="3"/>
      <c r="J372" s="3"/>
    </row>
    <row r="373" ht="15.75" customHeight="1">
      <c r="D373" s="12"/>
      <c r="E373" s="3"/>
      <c r="J373" s="3"/>
    </row>
    <row r="374" ht="15.75" customHeight="1">
      <c r="D374" s="12"/>
      <c r="E374" s="3"/>
      <c r="J374" s="3"/>
    </row>
    <row r="375" ht="15.75" customHeight="1">
      <c r="D375" s="12"/>
      <c r="E375" s="3"/>
      <c r="J375" s="3"/>
    </row>
    <row r="376" ht="15.75" customHeight="1">
      <c r="D376" s="12"/>
      <c r="E376" s="3"/>
      <c r="J376" s="3"/>
    </row>
    <row r="377" ht="15.75" customHeight="1">
      <c r="D377" s="12"/>
      <c r="E377" s="3"/>
      <c r="J377" s="3"/>
    </row>
    <row r="378" ht="15.75" customHeight="1">
      <c r="D378" s="12"/>
      <c r="E378" s="3"/>
      <c r="J378" s="3"/>
    </row>
    <row r="379" ht="15.75" customHeight="1">
      <c r="D379" s="12"/>
      <c r="E379" s="3"/>
      <c r="J379" s="3"/>
    </row>
    <row r="380" ht="15.75" customHeight="1">
      <c r="D380" s="12"/>
      <c r="E380" s="3"/>
      <c r="J380" s="3"/>
    </row>
    <row r="381" ht="15.75" customHeight="1">
      <c r="D381" s="12"/>
      <c r="E381" s="3"/>
      <c r="J381" s="3"/>
    </row>
    <row r="382" ht="15.75" customHeight="1">
      <c r="D382" s="12"/>
      <c r="E382" s="3"/>
      <c r="J382" s="3"/>
    </row>
    <row r="383" ht="15.75" customHeight="1">
      <c r="D383" s="12"/>
      <c r="E383" s="3"/>
      <c r="J383" s="3"/>
    </row>
    <row r="384" ht="15.75" customHeight="1">
      <c r="D384" s="12"/>
      <c r="E384" s="3"/>
      <c r="J384" s="3"/>
    </row>
    <row r="385" ht="15.75" customHeight="1">
      <c r="D385" s="12"/>
      <c r="E385" s="3"/>
      <c r="J385" s="3"/>
    </row>
    <row r="386" ht="15.75" customHeight="1">
      <c r="D386" s="12"/>
      <c r="E386" s="3"/>
      <c r="J386" s="3"/>
    </row>
    <row r="387" ht="15.75" customHeight="1">
      <c r="D387" s="12"/>
      <c r="E387" s="3"/>
      <c r="J387" s="3"/>
    </row>
    <row r="388" ht="15.75" customHeight="1">
      <c r="D388" s="12"/>
      <c r="E388" s="3"/>
      <c r="J388" s="3"/>
    </row>
    <row r="389" ht="15.75" customHeight="1">
      <c r="D389" s="12"/>
      <c r="E389" s="3"/>
      <c r="J389" s="3"/>
    </row>
    <row r="390" ht="15.75" customHeight="1">
      <c r="D390" s="12"/>
      <c r="E390" s="3"/>
      <c r="J390" s="3"/>
    </row>
    <row r="391" ht="15.75" customHeight="1">
      <c r="D391" s="12"/>
      <c r="E391" s="3"/>
      <c r="J391" s="3"/>
    </row>
    <row r="392" ht="15.75" customHeight="1">
      <c r="D392" s="12"/>
      <c r="E392" s="3"/>
      <c r="J392" s="3"/>
    </row>
    <row r="393" ht="15.75" customHeight="1">
      <c r="D393" s="12"/>
      <c r="E393" s="3"/>
      <c r="J393" s="3"/>
    </row>
    <row r="394" ht="15.75" customHeight="1">
      <c r="D394" s="12"/>
      <c r="E394" s="3"/>
      <c r="J394" s="3"/>
    </row>
    <row r="395" ht="15.75" customHeight="1">
      <c r="D395" s="12"/>
      <c r="E395" s="3"/>
      <c r="J395" s="3"/>
    </row>
    <row r="396" ht="15.75" customHeight="1">
      <c r="D396" s="12"/>
      <c r="E396" s="3"/>
      <c r="J396" s="3"/>
    </row>
    <row r="397" ht="15.75" customHeight="1">
      <c r="D397" s="12"/>
      <c r="E397" s="3"/>
      <c r="J397" s="3"/>
    </row>
    <row r="398" ht="15.75" customHeight="1">
      <c r="D398" s="12"/>
      <c r="E398" s="3"/>
      <c r="J398" s="3"/>
    </row>
    <row r="399" ht="15.75" customHeight="1">
      <c r="D399" s="12"/>
      <c r="E399" s="3"/>
      <c r="J399" s="3"/>
    </row>
    <row r="400" ht="15.75" customHeight="1">
      <c r="D400" s="12"/>
      <c r="E400" s="3"/>
      <c r="J400" s="3"/>
    </row>
    <row r="401" ht="15.75" customHeight="1">
      <c r="D401" s="12"/>
      <c r="E401" s="3"/>
      <c r="J401" s="3"/>
    </row>
    <row r="402" ht="15.75" customHeight="1">
      <c r="D402" s="12"/>
      <c r="E402" s="3"/>
      <c r="J402" s="3"/>
    </row>
    <row r="403" ht="15.75" customHeight="1">
      <c r="D403" s="12"/>
      <c r="E403" s="3"/>
      <c r="J403" s="3"/>
    </row>
    <row r="404" ht="15.75" customHeight="1">
      <c r="D404" s="12"/>
      <c r="E404" s="3"/>
      <c r="J404" s="3"/>
    </row>
    <row r="405" ht="15.75" customHeight="1">
      <c r="D405" s="12"/>
      <c r="E405" s="3"/>
      <c r="J405" s="3"/>
    </row>
    <row r="406" ht="15.75" customHeight="1">
      <c r="D406" s="12"/>
      <c r="E406" s="3"/>
      <c r="J406" s="3"/>
    </row>
    <row r="407" ht="15.75" customHeight="1">
      <c r="D407" s="12"/>
      <c r="E407" s="3"/>
      <c r="J407" s="3"/>
    </row>
    <row r="408" ht="15.75" customHeight="1">
      <c r="D408" s="12"/>
      <c r="E408" s="3"/>
      <c r="J408" s="3"/>
    </row>
    <row r="409" ht="15.75" customHeight="1">
      <c r="D409" s="12"/>
      <c r="E409" s="3"/>
      <c r="J409" s="3"/>
    </row>
    <row r="410" ht="15.75" customHeight="1">
      <c r="D410" s="12"/>
      <c r="E410" s="3"/>
      <c r="J410" s="3"/>
    </row>
    <row r="411" ht="15.75" customHeight="1">
      <c r="D411" s="12"/>
      <c r="E411" s="3"/>
      <c r="J411" s="3"/>
    </row>
    <row r="412" ht="15.75" customHeight="1">
      <c r="D412" s="12"/>
      <c r="E412" s="3"/>
      <c r="J412" s="3"/>
    </row>
    <row r="413" ht="15.75" customHeight="1">
      <c r="D413" s="12"/>
      <c r="E413" s="3"/>
      <c r="J413" s="3"/>
    </row>
    <row r="414" ht="15.75" customHeight="1">
      <c r="D414" s="12"/>
      <c r="E414" s="3"/>
      <c r="J414" s="3"/>
    </row>
    <row r="415" ht="15.75" customHeight="1">
      <c r="D415" s="12"/>
      <c r="E415" s="3"/>
      <c r="J415" s="3"/>
    </row>
    <row r="416" ht="15.75" customHeight="1">
      <c r="D416" s="12"/>
      <c r="E416" s="3"/>
      <c r="J416" s="3"/>
    </row>
    <row r="417" ht="15.75" customHeight="1">
      <c r="D417" s="12"/>
      <c r="E417" s="3"/>
      <c r="J417" s="3"/>
    </row>
    <row r="418" ht="15.75" customHeight="1">
      <c r="D418" s="12"/>
      <c r="E418" s="3"/>
      <c r="J418" s="3"/>
    </row>
    <row r="419" ht="15.75" customHeight="1">
      <c r="D419" s="12"/>
      <c r="E419" s="3"/>
      <c r="J419" s="3"/>
    </row>
    <row r="420" ht="15.75" customHeight="1">
      <c r="D420" s="12"/>
      <c r="E420" s="3"/>
      <c r="J420" s="3"/>
    </row>
    <row r="421" ht="15.75" customHeight="1">
      <c r="D421" s="12"/>
      <c r="E421" s="3"/>
      <c r="J421" s="3"/>
    </row>
    <row r="422" ht="15.75" customHeight="1">
      <c r="D422" s="12"/>
      <c r="E422" s="3"/>
      <c r="J422" s="3"/>
    </row>
    <row r="423" ht="15.75" customHeight="1">
      <c r="D423" s="12"/>
      <c r="E423" s="3"/>
      <c r="J423" s="3"/>
    </row>
    <row r="424" ht="15.75" customHeight="1">
      <c r="D424" s="12"/>
      <c r="E424" s="3"/>
      <c r="J424" s="3"/>
    </row>
    <row r="425" ht="15.75" customHeight="1">
      <c r="D425" s="12"/>
      <c r="E425" s="3"/>
      <c r="J425" s="3"/>
    </row>
    <row r="426" ht="15.75" customHeight="1">
      <c r="D426" s="12"/>
      <c r="E426" s="3"/>
      <c r="J426" s="3"/>
    </row>
    <row r="427" ht="15.75" customHeight="1">
      <c r="D427" s="12"/>
      <c r="E427" s="3"/>
      <c r="J427" s="3"/>
    </row>
    <row r="428" ht="15.75" customHeight="1">
      <c r="D428" s="12"/>
      <c r="E428" s="3"/>
      <c r="J428" s="3"/>
    </row>
    <row r="429" ht="15.75" customHeight="1">
      <c r="D429" s="12"/>
      <c r="E429" s="3"/>
      <c r="J429" s="3"/>
    </row>
    <row r="430" ht="15.75" customHeight="1">
      <c r="D430" s="12"/>
      <c r="E430" s="3"/>
      <c r="J430" s="3"/>
    </row>
    <row r="431" ht="15.75" customHeight="1">
      <c r="D431" s="12"/>
      <c r="E431" s="3"/>
      <c r="J431" s="3"/>
    </row>
    <row r="432" ht="15.75" customHeight="1">
      <c r="D432" s="12"/>
      <c r="E432" s="3"/>
      <c r="J432" s="3"/>
    </row>
    <row r="433" ht="15.75" customHeight="1">
      <c r="D433" s="12"/>
      <c r="E433" s="3"/>
      <c r="J433" s="3"/>
    </row>
    <row r="434" ht="15.75" customHeight="1">
      <c r="D434" s="12"/>
      <c r="E434" s="3"/>
      <c r="J434" s="3"/>
    </row>
    <row r="435" ht="15.75" customHeight="1">
      <c r="D435" s="12"/>
      <c r="E435" s="3"/>
      <c r="J435" s="3"/>
    </row>
    <row r="436" ht="15.75" customHeight="1">
      <c r="D436" s="12"/>
      <c r="E436" s="3"/>
      <c r="J436" s="3"/>
    </row>
    <row r="437" ht="15.75" customHeight="1">
      <c r="D437" s="12"/>
      <c r="E437" s="3"/>
      <c r="J437" s="3"/>
    </row>
    <row r="438" ht="15.75" customHeight="1">
      <c r="D438" s="12"/>
      <c r="E438" s="3"/>
      <c r="J438" s="3"/>
    </row>
    <row r="439" ht="15.75" customHeight="1">
      <c r="D439" s="12"/>
      <c r="E439" s="3"/>
      <c r="J439" s="3"/>
    </row>
    <row r="440" ht="15.75" customHeight="1">
      <c r="D440" s="12"/>
      <c r="E440" s="3"/>
      <c r="J440" s="3"/>
    </row>
    <row r="441" ht="15.75" customHeight="1">
      <c r="D441" s="12"/>
      <c r="E441" s="3"/>
      <c r="J441" s="3"/>
    </row>
    <row r="442" ht="15.75" customHeight="1">
      <c r="D442" s="12"/>
      <c r="E442" s="3"/>
      <c r="J442" s="3"/>
    </row>
    <row r="443" ht="15.75" customHeight="1">
      <c r="D443" s="12"/>
      <c r="E443" s="3"/>
      <c r="J443" s="3"/>
    </row>
    <row r="444" ht="15.75" customHeight="1">
      <c r="D444" s="12"/>
      <c r="E444" s="3"/>
      <c r="J444" s="3"/>
    </row>
    <row r="445" ht="15.75" customHeight="1">
      <c r="D445" s="12"/>
      <c r="E445" s="3"/>
      <c r="J445" s="3"/>
    </row>
    <row r="446" ht="15.75" customHeight="1">
      <c r="D446" s="12"/>
      <c r="E446" s="3"/>
      <c r="J446" s="3"/>
    </row>
    <row r="447" ht="15.75" customHeight="1">
      <c r="D447" s="12"/>
      <c r="E447" s="3"/>
      <c r="J447" s="3"/>
    </row>
    <row r="448" ht="15.75" customHeight="1">
      <c r="D448" s="12"/>
      <c r="E448" s="3"/>
      <c r="J448" s="3"/>
    </row>
    <row r="449" ht="15.75" customHeight="1">
      <c r="D449" s="12"/>
      <c r="E449" s="3"/>
      <c r="J449" s="3"/>
    </row>
    <row r="450" ht="15.75" customHeight="1">
      <c r="D450" s="12"/>
      <c r="E450" s="3"/>
      <c r="J450" s="3"/>
    </row>
    <row r="451" ht="15.75" customHeight="1">
      <c r="D451" s="12"/>
      <c r="E451" s="3"/>
      <c r="J451" s="3"/>
    </row>
    <row r="452" ht="15.75" customHeight="1">
      <c r="D452" s="12"/>
      <c r="E452" s="3"/>
      <c r="J452" s="3"/>
    </row>
    <row r="453" ht="15.75" customHeight="1">
      <c r="D453" s="12"/>
      <c r="E453" s="3"/>
      <c r="J453" s="3"/>
    </row>
    <row r="454" ht="15.75" customHeight="1">
      <c r="D454" s="12"/>
      <c r="E454" s="3"/>
      <c r="J454" s="3"/>
    </row>
    <row r="455" ht="15.75" customHeight="1">
      <c r="D455" s="12"/>
      <c r="E455" s="3"/>
      <c r="J455" s="3"/>
    </row>
    <row r="456" ht="15.75" customHeight="1">
      <c r="D456" s="12"/>
      <c r="E456" s="3"/>
      <c r="J456" s="3"/>
    </row>
    <row r="457" ht="15.75" customHeight="1">
      <c r="D457" s="12"/>
      <c r="E457" s="3"/>
      <c r="J457" s="3"/>
    </row>
    <row r="458" ht="15.75" customHeight="1">
      <c r="D458" s="12"/>
      <c r="E458" s="3"/>
      <c r="J458" s="3"/>
    </row>
    <row r="459" ht="15.75" customHeight="1">
      <c r="D459" s="12"/>
      <c r="E459" s="3"/>
      <c r="J459" s="3"/>
    </row>
    <row r="460" ht="15.75" customHeight="1">
      <c r="D460" s="12"/>
      <c r="E460" s="3"/>
      <c r="J460" s="3"/>
    </row>
    <row r="461" ht="15.75" customHeight="1">
      <c r="D461" s="12"/>
      <c r="E461" s="3"/>
      <c r="J461" s="3"/>
    </row>
    <row r="462" ht="15.75" customHeight="1">
      <c r="D462" s="12"/>
      <c r="E462" s="3"/>
      <c r="J462" s="3"/>
    </row>
    <row r="463" ht="15.75" customHeight="1">
      <c r="D463" s="12"/>
      <c r="E463" s="3"/>
      <c r="J463" s="3"/>
    </row>
    <row r="464" ht="15.75" customHeight="1">
      <c r="D464" s="12"/>
      <c r="E464" s="3"/>
      <c r="J464" s="3"/>
    </row>
    <row r="465" ht="15.75" customHeight="1">
      <c r="D465" s="12"/>
      <c r="E465" s="3"/>
      <c r="J465" s="3"/>
    </row>
    <row r="466" ht="15.75" customHeight="1">
      <c r="D466" s="12"/>
      <c r="E466" s="3"/>
      <c r="J466" s="3"/>
    </row>
    <row r="467" ht="15.75" customHeight="1">
      <c r="D467" s="12"/>
      <c r="E467" s="3"/>
      <c r="J467" s="3"/>
    </row>
    <row r="468" ht="15.75" customHeight="1">
      <c r="D468" s="12"/>
      <c r="E468" s="3"/>
      <c r="J468" s="3"/>
    </row>
    <row r="469" ht="15.75" customHeight="1">
      <c r="D469" s="12"/>
      <c r="E469" s="3"/>
      <c r="J469" s="3"/>
    </row>
    <row r="470" ht="15.75" customHeight="1">
      <c r="D470" s="12"/>
      <c r="E470" s="3"/>
      <c r="J470" s="3"/>
    </row>
    <row r="471" ht="15.75" customHeight="1">
      <c r="D471" s="12"/>
      <c r="E471" s="3"/>
      <c r="J471" s="3"/>
    </row>
    <row r="472" ht="15.75" customHeight="1">
      <c r="D472" s="12"/>
      <c r="E472" s="3"/>
      <c r="J472" s="3"/>
    </row>
    <row r="473" ht="15.75" customHeight="1">
      <c r="D473" s="12"/>
      <c r="E473" s="3"/>
      <c r="J473" s="3"/>
    </row>
    <row r="474" ht="15.75" customHeight="1">
      <c r="D474" s="12"/>
      <c r="E474" s="3"/>
      <c r="J474" s="3"/>
    </row>
    <row r="475" ht="15.75" customHeight="1">
      <c r="D475" s="12"/>
      <c r="E475" s="3"/>
      <c r="J475" s="3"/>
    </row>
    <row r="476" ht="15.75" customHeight="1">
      <c r="D476" s="12"/>
      <c r="E476" s="3"/>
      <c r="J476" s="3"/>
    </row>
    <row r="477" ht="15.75" customHeight="1">
      <c r="D477" s="12"/>
      <c r="E477" s="3"/>
      <c r="J477" s="3"/>
    </row>
    <row r="478" ht="15.75" customHeight="1">
      <c r="D478" s="12"/>
      <c r="E478" s="3"/>
      <c r="J478" s="3"/>
    </row>
    <row r="479" ht="15.75" customHeight="1">
      <c r="D479" s="12"/>
      <c r="E479" s="3"/>
      <c r="J479" s="3"/>
    </row>
    <row r="480" ht="15.75" customHeight="1">
      <c r="D480" s="12"/>
      <c r="E480" s="3"/>
      <c r="J480" s="3"/>
    </row>
    <row r="481" ht="15.75" customHeight="1">
      <c r="D481" s="12"/>
      <c r="E481" s="3"/>
      <c r="J481" s="3"/>
    </row>
    <row r="482" ht="15.75" customHeight="1">
      <c r="D482" s="12"/>
      <c r="E482" s="3"/>
      <c r="J482" s="3"/>
    </row>
    <row r="483" ht="15.75" customHeight="1">
      <c r="D483" s="12"/>
      <c r="E483" s="3"/>
      <c r="J483" s="3"/>
    </row>
    <row r="484" ht="15.75" customHeight="1">
      <c r="D484" s="12"/>
      <c r="E484" s="3"/>
      <c r="J484" s="3"/>
    </row>
    <row r="485" ht="15.75" customHeight="1">
      <c r="D485" s="12"/>
      <c r="E485" s="3"/>
      <c r="J485" s="3"/>
    </row>
    <row r="486" ht="15.75" customHeight="1">
      <c r="D486" s="12"/>
      <c r="E486" s="3"/>
      <c r="J486" s="3"/>
    </row>
    <row r="487" ht="15.75" customHeight="1">
      <c r="D487" s="12"/>
      <c r="E487" s="3"/>
      <c r="J487" s="3"/>
    </row>
    <row r="488" ht="15.75" customHeight="1">
      <c r="D488" s="12"/>
      <c r="E488" s="3"/>
      <c r="J488" s="3"/>
    </row>
    <row r="489" ht="15.75" customHeight="1">
      <c r="D489" s="12"/>
      <c r="E489" s="3"/>
      <c r="J489" s="3"/>
    </row>
    <row r="490" ht="15.75" customHeight="1">
      <c r="D490" s="12"/>
      <c r="E490" s="3"/>
      <c r="J490" s="3"/>
    </row>
    <row r="491" ht="15.75" customHeight="1">
      <c r="D491" s="12"/>
      <c r="E491" s="3"/>
      <c r="J491" s="3"/>
    </row>
    <row r="492" ht="15.75" customHeight="1">
      <c r="D492" s="12"/>
      <c r="E492" s="3"/>
      <c r="J492" s="3"/>
    </row>
    <row r="493" ht="15.75" customHeight="1">
      <c r="D493" s="12"/>
      <c r="E493" s="3"/>
      <c r="J493" s="3"/>
    </row>
    <row r="494" ht="15.75" customHeight="1">
      <c r="D494" s="12"/>
      <c r="E494" s="3"/>
      <c r="J494" s="3"/>
    </row>
    <row r="495" ht="15.75" customHeight="1">
      <c r="D495" s="12"/>
      <c r="E495" s="3"/>
      <c r="J495" s="3"/>
    </row>
    <row r="496" ht="15.75" customHeight="1">
      <c r="D496" s="12"/>
      <c r="E496" s="3"/>
      <c r="J496" s="3"/>
    </row>
    <row r="497" ht="15.75" customHeight="1">
      <c r="D497" s="12"/>
      <c r="E497" s="3"/>
      <c r="J497" s="3"/>
    </row>
    <row r="498" ht="15.75" customHeight="1">
      <c r="D498" s="12"/>
      <c r="E498" s="3"/>
      <c r="J498" s="3"/>
    </row>
    <row r="499" ht="15.75" customHeight="1">
      <c r="D499" s="12"/>
      <c r="E499" s="3"/>
      <c r="J499" s="3"/>
    </row>
    <row r="500" ht="15.75" customHeight="1">
      <c r="D500" s="12"/>
      <c r="E500" s="3"/>
      <c r="J500" s="3"/>
    </row>
    <row r="501" ht="15.75" customHeight="1">
      <c r="D501" s="12"/>
      <c r="E501" s="3"/>
      <c r="J501" s="3"/>
    </row>
    <row r="502" ht="15.75" customHeight="1">
      <c r="D502" s="12"/>
      <c r="E502" s="3"/>
      <c r="J502" s="3"/>
    </row>
    <row r="503" ht="15.75" customHeight="1">
      <c r="D503" s="12"/>
      <c r="E503" s="3"/>
      <c r="J503" s="3"/>
    </row>
    <row r="504" ht="15.75" customHeight="1">
      <c r="D504" s="12"/>
      <c r="E504" s="3"/>
      <c r="J504" s="3"/>
    </row>
    <row r="505" ht="15.75" customHeight="1">
      <c r="D505" s="12"/>
      <c r="E505" s="3"/>
      <c r="J505" s="3"/>
    </row>
    <row r="506" ht="15.75" customHeight="1">
      <c r="D506" s="12"/>
      <c r="E506" s="3"/>
      <c r="J506" s="3"/>
    </row>
    <row r="507" ht="15.75" customHeight="1">
      <c r="D507" s="12"/>
      <c r="E507" s="3"/>
      <c r="J507" s="3"/>
    </row>
    <row r="508" ht="15.75" customHeight="1">
      <c r="D508" s="12"/>
      <c r="E508" s="3"/>
      <c r="J508" s="3"/>
    </row>
    <row r="509" ht="15.75" customHeight="1">
      <c r="D509" s="12"/>
      <c r="E509" s="3"/>
      <c r="J509" s="3"/>
    </row>
    <row r="510" ht="15.75" customHeight="1">
      <c r="D510" s="12"/>
      <c r="E510" s="3"/>
      <c r="J510" s="3"/>
    </row>
    <row r="511" ht="15.75" customHeight="1">
      <c r="D511" s="12"/>
      <c r="E511" s="3"/>
      <c r="J511" s="3"/>
    </row>
    <row r="512" ht="15.75" customHeight="1">
      <c r="D512" s="12"/>
      <c r="E512" s="3"/>
      <c r="J512" s="3"/>
    </row>
    <row r="513" ht="15.75" customHeight="1">
      <c r="D513" s="12"/>
      <c r="E513" s="3"/>
      <c r="J513" s="3"/>
    </row>
    <row r="514" ht="15.75" customHeight="1">
      <c r="D514" s="12"/>
      <c r="E514" s="3"/>
      <c r="J514" s="3"/>
    </row>
    <row r="515" ht="15.75" customHeight="1">
      <c r="D515" s="12"/>
      <c r="E515" s="3"/>
      <c r="J515" s="3"/>
    </row>
    <row r="516" ht="15.75" customHeight="1">
      <c r="D516" s="12"/>
      <c r="E516" s="3"/>
      <c r="J516" s="3"/>
    </row>
    <row r="517" ht="15.75" customHeight="1">
      <c r="D517" s="12"/>
      <c r="E517" s="3"/>
      <c r="J517" s="3"/>
    </row>
    <row r="518" ht="15.75" customHeight="1">
      <c r="D518" s="12"/>
      <c r="E518" s="3"/>
      <c r="J518" s="3"/>
    </row>
    <row r="519" ht="15.75" customHeight="1">
      <c r="D519" s="12"/>
      <c r="E519" s="3"/>
      <c r="J519" s="3"/>
    </row>
    <row r="520" ht="15.75" customHeight="1">
      <c r="D520" s="12"/>
      <c r="E520" s="3"/>
      <c r="J520" s="3"/>
    </row>
    <row r="521" ht="15.75" customHeight="1">
      <c r="D521" s="12"/>
      <c r="E521" s="3"/>
      <c r="J521" s="3"/>
    </row>
    <row r="522" ht="15.75" customHeight="1">
      <c r="D522" s="12"/>
      <c r="E522" s="3"/>
      <c r="J522" s="3"/>
    </row>
    <row r="523" ht="15.75" customHeight="1">
      <c r="D523" s="12"/>
      <c r="E523" s="3"/>
      <c r="J523" s="3"/>
    </row>
    <row r="524" ht="15.75" customHeight="1">
      <c r="D524" s="12"/>
      <c r="E524" s="3"/>
      <c r="J524" s="3"/>
    </row>
    <row r="525" ht="15.75" customHeight="1">
      <c r="D525" s="12"/>
      <c r="E525" s="3"/>
      <c r="J525" s="3"/>
    </row>
    <row r="526" ht="15.75" customHeight="1">
      <c r="D526" s="12"/>
      <c r="E526" s="3"/>
      <c r="J526" s="3"/>
    </row>
    <row r="527" ht="15.75" customHeight="1">
      <c r="D527" s="12"/>
      <c r="E527" s="3"/>
      <c r="J527" s="3"/>
    </row>
    <row r="528" ht="15.75" customHeight="1">
      <c r="D528" s="12"/>
      <c r="E528" s="3"/>
      <c r="J528" s="3"/>
    </row>
    <row r="529" ht="15.75" customHeight="1">
      <c r="D529" s="12"/>
      <c r="E529" s="3"/>
      <c r="J529" s="3"/>
    </row>
    <row r="530" ht="15.75" customHeight="1">
      <c r="D530" s="12"/>
      <c r="E530" s="3"/>
      <c r="J530" s="3"/>
    </row>
    <row r="531" ht="15.75" customHeight="1">
      <c r="D531" s="12"/>
      <c r="E531" s="3"/>
      <c r="J531" s="3"/>
    </row>
    <row r="532" ht="15.75" customHeight="1">
      <c r="D532" s="12"/>
      <c r="E532" s="3"/>
      <c r="J532" s="3"/>
    </row>
    <row r="533" ht="15.75" customHeight="1">
      <c r="D533" s="12"/>
      <c r="E533" s="3"/>
      <c r="J533" s="3"/>
    </row>
    <row r="534" ht="15.75" customHeight="1">
      <c r="D534" s="12"/>
      <c r="E534" s="3"/>
      <c r="J534" s="3"/>
    </row>
    <row r="535" ht="15.75" customHeight="1">
      <c r="D535" s="12"/>
      <c r="E535" s="3"/>
      <c r="J535" s="3"/>
    </row>
    <row r="536" ht="15.75" customHeight="1">
      <c r="D536" s="12"/>
      <c r="E536" s="3"/>
      <c r="J536" s="3"/>
    </row>
    <row r="537" ht="15.75" customHeight="1">
      <c r="D537" s="12"/>
      <c r="E537" s="3"/>
      <c r="J537" s="3"/>
    </row>
    <row r="538" ht="15.75" customHeight="1">
      <c r="D538" s="12"/>
      <c r="E538" s="3"/>
      <c r="J538" s="3"/>
    </row>
    <row r="539" ht="15.75" customHeight="1">
      <c r="D539" s="12"/>
      <c r="E539" s="3"/>
      <c r="J539" s="3"/>
    </row>
    <row r="540" ht="15.75" customHeight="1">
      <c r="D540" s="12"/>
      <c r="E540" s="3"/>
      <c r="J540" s="3"/>
    </row>
    <row r="541" ht="15.75" customHeight="1">
      <c r="D541" s="12"/>
      <c r="E541" s="3"/>
      <c r="J541" s="3"/>
    </row>
    <row r="542" ht="15.75" customHeight="1">
      <c r="D542" s="12"/>
      <c r="E542" s="3"/>
      <c r="J542" s="3"/>
    </row>
    <row r="543" ht="15.75" customHeight="1">
      <c r="D543" s="12"/>
      <c r="E543" s="3"/>
      <c r="J543" s="3"/>
    </row>
    <row r="544" ht="15.75" customHeight="1">
      <c r="D544" s="12"/>
      <c r="E544" s="3"/>
      <c r="J544" s="3"/>
    </row>
    <row r="545" ht="15.75" customHeight="1">
      <c r="D545" s="12"/>
      <c r="E545" s="3"/>
      <c r="J545" s="3"/>
    </row>
    <row r="546" ht="15.75" customHeight="1">
      <c r="D546" s="12"/>
      <c r="E546" s="3"/>
      <c r="J546" s="3"/>
    </row>
    <row r="547" ht="15.75" customHeight="1">
      <c r="D547" s="12"/>
      <c r="E547" s="3"/>
      <c r="J547" s="3"/>
    </row>
    <row r="548" ht="15.75" customHeight="1">
      <c r="D548" s="12"/>
      <c r="E548" s="3"/>
      <c r="J548" s="3"/>
    </row>
    <row r="549" ht="15.75" customHeight="1">
      <c r="D549" s="12"/>
      <c r="E549" s="3"/>
      <c r="J549" s="3"/>
    </row>
    <row r="550" ht="15.75" customHeight="1">
      <c r="D550" s="12"/>
      <c r="E550" s="3"/>
      <c r="J550" s="3"/>
    </row>
    <row r="551" ht="15.75" customHeight="1">
      <c r="D551" s="12"/>
      <c r="E551" s="3"/>
      <c r="J551" s="3"/>
    </row>
    <row r="552" ht="15.75" customHeight="1">
      <c r="D552" s="12"/>
      <c r="E552" s="3"/>
      <c r="J552" s="3"/>
    </row>
    <row r="553" ht="15.75" customHeight="1">
      <c r="D553" s="12"/>
      <c r="E553" s="3"/>
      <c r="J553" s="3"/>
    </row>
    <row r="554" ht="15.75" customHeight="1">
      <c r="D554" s="12"/>
      <c r="E554" s="3"/>
      <c r="J554" s="3"/>
    </row>
    <row r="555" ht="15.75" customHeight="1">
      <c r="D555" s="12"/>
      <c r="E555" s="3"/>
      <c r="J555" s="3"/>
    </row>
    <row r="556" ht="15.75" customHeight="1">
      <c r="D556" s="12"/>
      <c r="E556" s="3"/>
      <c r="J556" s="3"/>
    </row>
    <row r="557" ht="15.75" customHeight="1">
      <c r="D557" s="12"/>
      <c r="E557" s="3"/>
      <c r="J557" s="3"/>
    </row>
    <row r="558" ht="15.75" customHeight="1">
      <c r="D558" s="12"/>
      <c r="E558" s="3"/>
      <c r="J558" s="3"/>
    </row>
    <row r="559" ht="15.75" customHeight="1">
      <c r="D559" s="12"/>
      <c r="E559" s="3"/>
      <c r="J559" s="3"/>
    </row>
    <row r="560" ht="15.75" customHeight="1">
      <c r="D560" s="12"/>
      <c r="E560" s="3"/>
      <c r="J560" s="3"/>
    </row>
    <row r="561" ht="15.75" customHeight="1">
      <c r="D561" s="12"/>
      <c r="E561" s="3"/>
      <c r="J561" s="3"/>
    </row>
    <row r="562" ht="15.75" customHeight="1">
      <c r="D562" s="12"/>
      <c r="E562" s="3"/>
      <c r="J562" s="3"/>
    </row>
    <row r="563" ht="15.75" customHeight="1">
      <c r="D563" s="12"/>
      <c r="E563" s="3"/>
      <c r="J563" s="3"/>
    </row>
    <row r="564" ht="15.75" customHeight="1">
      <c r="D564" s="12"/>
      <c r="E564" s="3"/>
      <c r="J564" s="3"/>
    </row>
    <row r="565" ht="15.75" customHeight="1">
      <c r="D565" s="12"/>
      <c r="E565" s="3"/>
      <c r="J565" s="3"/>
    </row>
    <row r="566" ht="15.75" customHeight="1">
      <c r="D566" s="12"/>
      <c r="E566" s="3"/>
      <c r="J566" s="3"/>
    </row>
    <row r="567" ht="15.75" customHeight="1">
      <c r="D567" s="12"/>
      <c r="E567" s="3"/>
      <c r="J567" s="3"/>
    </row>
    <row r="568" ht="15.75" customHeight="1">
      <c r="D568" s="12"/>
      <c r="E568" s="3"/>
      <c r="J568" s="3"/>
    </row>
    <row r="569" ht="15.75" customHeight="1">
      <c r="D569" s="12"/>
      <c r="E569" s="3"/>
      <c r="J569" s="3"/>
    </row>
    <row r="570" ht="15.75" customHeight="1">
      <c r="D570" s="12"/>
      <c r="E570" s="3"/>
      <c r="J570" s="3"/>
    </row>
    <row r="571" ht="15.75" customHeight="1">
      <c r="D571" s="12"/>
      <c r="E571" s="3"/>
      <c r="J571" s="3"/>
    </row>
    <row r="572" ht="15.75" customHeight="1">
      <c r="D572" s="12"/>
      <c r="E572" s="3"/>
      <c r="J572" s="3"/>
    </row>
    <row r="573" ht="15.75" customHeight="1">
      <c r="D573" s="12"/>
      <c r="E573" s="3"/>
      <c r="J573" s="3"/>
    </row>
    <row r="574" ht="15.75" customHeight="1">
      <c r="D574" s="12"/>
      <c r="E574" s="3"/>
      <c r="J574" s="3"/>
    </row>
    <row r="575" ht="15.75" customHeight="1">
      <c r="D575" s="12"/>
      <c r="E575" s="3"/>
      <c r="J575" s="3"/>
    </row>
    <row r="576" ht="15.75" customHeight="1">
      <c r="D576" s="12"/>
      <c r="E576" s="3"/>
      <c r="J576" s="3"/>
    </row>
    <row r="577" ht="15.75" customHeight="1">
      <c r="D577" s="12"/>
      <c r="E577" s="3"/>
      <c r="J577" s="3"/>
    </row>
    <row r="578" ht="15.75" customHeight="1">
      <c r="D578" s="12"/>
      <c r="E578" s="3"/>
      <c r="J578" s="3"/>
    </row>
    <row r="579" ht="15.75" customHeight="1">
      <c r="D579" s="12"/>
      <c r="E579" s="3"/>
      <c r="J579" s="3"/>
    </row>
    <row r="580" ht="15.75" customHeight="1">
      <c r="D580" s="12"/>
      <c r="E580" s="3"/>
      <c r="J580" s="3"/>
    </row>
    <row r="581" ht="15.75" customHeight="1">
      <c r="D581" s="12"/>
      <c r="E581" s="3"/>
      <c r="J581" s="3"/>
    </row>
    <row r="582" ht="15.75" customHeight="1">
      <c r="D582" s="12"/>
      <c r="E582" s="3"/>
      <c r="J582" s="3"/>
    </row>
    <row r="583" ht="15.75" customHeight="1">
      <c r="D583" s="12"/>
      <c r="E583" s="3"/>
      <c r="J583" s="3"/>
    </row>
    <row r="584" ht="15.75" customHeight="1">
      <c r="D584" s="12"/>
      <c r="E584" s="3"/>
      <c r="J584" s="3"/>
    </row>
    <row r="585" ht="15.75" customHeight="1">
      <c r="D585" s="12"/>
      <c r="E585" s="3"/>
      <c r="J585" s="3"/>
    </row>
    <row r="586" ht="15.75" customHeight="1">
      <c r="D586" s="12"/>
      <c r="E586" s="3"/>
      <c r="J586" s="3"/>
    </row>
    <row r="587" ht="15.75" customHeight="1">
      <c r="D587" s="12"/>
      <c r="E587" s="3"/>
      <c r="J587" s="3"/>
    </row>
    <row r="588" ht="15.75" customHeight="1">
      <c r="D588" s="12"/>
      <c r="E588" s="3"/>
      <c r="J588" s="3"/>
    </row>
    <row r="589" ht="15.75" customHeight="1">
      <c r="D589" s="12"/>
      <c r="E589" s="3"/>
      <c r="J589" s="3"/>
    </row>
    <row r="590" ht="15.75" customHeight="1">
      <c r="D590" s="12"/>
      <c r="E590" s="3"/>
      <c r="J590" s="3"/>
    </row>
    <row r="591" ht="15.75" customHeight="1">
      <c r="D591" s="12"/>
      <c r="E591" s="3"/>
      <c r="J591" s="3"/>
    </row>
    <row r="592" ht="15.75" customHeight="1">
      <c r="D592" s="12"/>
      <c r="E592" s="3"/>
      <c r="J592" s="3"/>
    </row>
    <row r="593" ht="15.75" customHeight="1">
      <c r="D593" s="12"/>
      <c r="E593" s="3"/>
      <c r="J593" s="3"/>
    </row>
    <row r="594" ht="15.75" customHeight="1">
      <c r="D594" s="12"/>
      <c r="E594" s="3"/>
      <c r="J594" s="3"/>
    </row>
    <row r="595" ht="15.75" customHeight="1">
      <c r="D595" s="12"/>
      <c r="E595" s="3"/>
      <c r="J595" s="3"/>
    </row>
    <row r="596" ht="15.75" customHeight="1">
      <c r="D596" s="12"/>
      <c r="E596" s="3"/>
      <c r="J596" s="3"/>
    </row>
    <row r="597" ht="15.75" customHeight="1">
      <c r="D597" s="12"/>
      <c r="E597" s="3"/>
      <c r="J597" s="3"/>
    </row>
    <row r="598" ht="15.75" customHeight="1">
      <c r="D598" s="12"/>
      <c r="E598" s="3"/>
      <c r="J598" s="3"/>
    </row>
    <row r="599" ht="15.75" customHeight="1">
      <c r="D599" s="12"/>
      <c r="E599" s="3"/>
      <c r="J599" s="3"/>
    </row>
    <row r="600" ht="15.75" customHeight="1">
      <c r="D600" s="12"/>
      <c r="E600" s="3"/>
      <c r="J600" s="3"/>
    </row>
    <row r="601" ht="15.75" customHeight="1">
      <c r="D601" s="12"/>
      <c r="E601" s="3"/>
      <c r="J601" s="3"/>
    </row>
    <row r="602" ht="15.75" customHeight="1">
      <c r="D602" s="12"/>
      <c r="E602" s="3"/>
      <c r="J602" s="3"/>
    </row>
    <row r="603" ht="15.75" customHeight="1">
      <c r="D603" s="12"/>
      <c r="E603" s="3"/>
      <c r="J603" s="3"/>
    </row>
    <row r="604" ht="15.75" customHeight="1">
      <c r="D604" s="12"/>
      <c r="E604" s="3"/>
      <c r="J604" s="3"/>
    </row>
    <row r="605" ht="15.75" customHeight="1">
      <c r="D605" s="12"/>
      <c r="E605" s="3"/>
      <c r="J605" s="3"/>
    </row>
    <row r="606" ht="15.75" customHeight="1">
      <c r="D606" s="12"/>
      <c r="E606" s="3"/>
      <c r="J606" s="3"/>
    </row>
    <row r="607" ht="15.75" customHeight="1">
      <c r="D607" s="12"/>
      <c r="E607" s="3"/>
      <c r="J607" s="3"/>
    </row>
    <row r="608" ht="15.75" customHeight="1">
      <c r="D608" s="12"/>
      <c r="E608" s="3"/>
      <c r="J608" s="3"/>
    </row>
    <row r="609" ht="15.75" customHeight="1">
      <c r="D609" s="12"/>
      <c r="E609" s="3"/>
      <c r="J609" s="3"/>
    </row>
    <row r="610" ht="15.75" customHeight="1">
      <c r="D610" s="12"/>
      <c r="E610" s="3"/>
      <c r="J610" s="3"/>
    </row>
    <row r="611" ht="15.75" customHeight="1">
      <c r="D611" s="12"/>
      <c r="E611" s="3"/>
      <c r="J611" s="3"/>
    </row>
    <row r="612" ht="15.75" customHeight="1">
      <c r="D612" s="12"/>
      <c r="E612" s="3"/>
      <c r="J612" s="3"/>
    </row>
    <row r="613" ht="15.75" customHeight="1">
      <c r="D613" s="12"/>
      <c r="E613" s="3"/>
      <c r="J613" s="3"/>
    </row>
    <row r="614" ht="15.75" customHeight="1">
      <c r="D614" s="12"/>
      <c r="E614" s="3"/>
      <c r="J614" s="3"/>
    </row>
    <row r="615" ht="15.75" customHeight="1">
      <c r="D615" s="12"/>
      <c r="E615" s="3"/>
      <c r="J615" s="3"/>
    </row>
    <row r="616" ht="15.75" customHeight="1">
      <c r="D616" s="12"/>
      <c r="E616" s="3"/>
      <c r="J616" s="3"/>
    </row>
    <row r="617" ht="15.75" customHeight="1">
      <c r="D617" s="12"/>
      <c r="E617" s="3"/>
      <c r="J617" s="3"/>
    </row>
    <row r="618" ht="15.75" customHeight="1">
      <c r="D618" s="12"/>
      <c r="E618" s="3"/>
      <c r="J618" s="3"/>
    </row>
    <row r="619" ht="15.75" customHeight="1">
      <c r="D619" s="12"/>
      <c r="E619" s="3"/>
      <c r="J619" s="3"/>
    </row>
    <row r="620" ht="15.75" customHeight="1">
      <c r="D620" s="12"/>
      <c r="E620" s="3"/>
      <c r="J620" s="3"/>
    </row>
    <row r="621" ht="15.75" customHeight="1">
      <c r="D621" s="12"/>
      <c r="E621" s="3"/>
      <c r="J621" s="3"/>
    </row>
    <row r="622" ht="15.75" customHeight="1">
      <c r="D622" s="12"/>
      <c r="E622" s="3"/>
      <c r="J622" s="3"/>
    </row>
    <row r="623" ht="15.75" customHeight="1">
      <c r="D623" s="12"/>
      <c r="E623" s="3"/>
      <c r="J623" s="3"/>
    </row>
    <row r="624" ht="15.75" customHeight="1">
      <c r="D624" s="12"/>
      <c r="E624" s="3"/>
      <c r="J624" s="3"/>
    </row>
    <row r="625" ht="15.75" customHeight="1">
      <c r="D625" s="12"/>
      <c r="E625" s="3"/>
      <c r="J625" s="3"/>
    </row>
    <row r="626" ht="15.75" customHeight="1">
      <c r="D626" s="12"/>
      <c r="E626" s="3"/>
      <c r="J626" s="3"/>
    </row>
    <row r="627" ht="15.75" customHeight="1">
      <c r="D627" s="12"/>
      <c r="E627" s="3"/>
      <c r="J627" s="3"/>
    </row>
    <row r="628" ht="15.75" customHeight="1">
      <c r="D628" s="12"/>
      <c r="E628" s="3"/>
      <c r="J628" s="3"/>
    </row>
    <row r="629" ht="15.75" customHeight="1">
      <c r="D629" s="12"/>
      <c r="E629" s="3"/>
      <c r="J629" s="3"/>
    </row>
    <row r="630" ht="15.75" customHeight="1">
      <c r="D630" s="12"/>
      <c r="E630" s="3"/>
      <c r="J630" s="3"/>
    </row>
    <row r="631" ht="15.75" customHeight="1">
      <c r="D631" s="12"/>
      <c r="E631" s="3"/>
      <c r="J631" s="3"/>
    </row>
    <row r="632" ht="15.75" customHeight="1">
      <c r="D632" s="12"/>
      <c r="E632" s="3"/>
      <c r="J632" s="3"/>
    </row>
    <row r="633" ht="15.75" customHeight="1">
      <c r="D633" s="12"/>
      <c r="E633" s="3"/>
      <c r="J633" s="3"/>
    </row>
    <row r="634" ht="15.75" customHeight="1">
      <c r="D634" s="12"/>
      <c r="E634" s="3"/>
      <c r="J634" s="3"/>
    </row>
    <row r="635" ht="15.75" customHeight="1">
      <c r="D635" s="12"/>
      <c r="E635" s="3"/>
      <c r="J635" s="3"/>
    </row>
    <row r="636" ht="15.75" customHeight="1">
      <c r="D636" s="12"/>
      <c r="E636" s="3"/>
      <c r="J636" s="3"/>
    </row>
    <row r="637" ht="15.75" customHeight="1">
      <c r="D637" s="12"/>
      <c r="E637" s="3"/>
      <c r="J637" s="3"/>
    </row>
    <row r="638" ht="15.75" customHeight="1">
      <c r="D638" s="12"/>
      <c r="E638" s="3"/>
      <c r="J638" s="3"/>
    </row>
    <row r="639" ht="15.75" customHeight="1">
      <c r="D639" s="12"/>
      <c r="E639" s="3"/>
      <c r="J639" s="3"/>
    </row>
    <row r="640" ht="15.75" customHeight="1">
      <c r="D640" s="12"/>
      <c r="E640" s="3"/>
      <c r="J640" s="3"/>
    </row>
    <row r="641" ht="15.75" customHeight="1">
      <c r="D641" s="12"/>
      <c r="E641" s="3"/>
      <c r="J641" s="3"/>
    </row>
    <row r="642" ht="15.75" customHeight="1">
      <c r="D642" s="12"/>
      <c r="E642" s="3"/>
      <c r="J642" s="3"/>
    </row>
    <row r="643" ht="15.75" customHeight="1">
      <c r="D643" s="12"/>
      <c r="E643" s="3"/>
      <c r="J643" s="3"/>
    </row>
    <row r="644" ht="15.75" customHeight="1">
      <c r="D644" s="12"/>
      <c r="E644" s="3"/>
      <c r="J644" s="3"/>
    </row>
    <row r="645" ht="15.75" customHeight="1">
      <c r="D645" s="12"/>
      <c r="E645" s="3"/>
      <c r="J645" s="3"/>
    </row>
    <row r="646" ht="15.75" customHeight="1">
      <c r="D646" s="12"/>
      <c r="E646" s="3"/>
      <c r="J646" s="3"/>
    </row>
    <row r="647" ht="15.75" customHeight="1">
      <c r="D647" s="12"/>
      <c r="E647" s="3"/>
      <c r="J647" s="3"/>
    </row>
    <row r="648" ht="15.75" customHeight="1">
      <c r="D648" s="12"/>
      <c r="E648" s="3"/>
      <c r="J648" s="3"/>
    </row>
    <row r="649" ht="15.75" customHeight="1">
      <c r="D649" s="12"/>
      <c r="E649" s="3"/>
      <c r="J649" s="3"/>
    </row>
    <row r="650" ht="15.75" customHeight="1">
      <c r="D650" s="12"/>
      <c r="E650" s="3"/>
      <c r="J650" s="3"/>
    </row>
    <row r="651" ht="15.75" customHeight="1">
      <c r="D651" s="12"/>
      <c r="E651" s="3"/>
      <c r="J651" s="3"/>
    </row>
    <row r="652" ht="15.75" customHeight="1">
      <c r="D652" s="12"/>
      <c r="E652" s="3"/>
      <c r="J652" s="3"/>
    </row>
    <row r="653" ht="15.75" customHeight="1">
      <c r="D653" s="12"/>
      <c r="E653" s="3"/>
      <c r="J653" s="3"/>
    </row>
    <row r="654" ht="15.75" customHeight="1">
      <c r="D654" s="12"/>
      <c r="E654" s="3"/>
      <c r="J654" s="3"/>
    </row>
    <row r="655" ht="15.75" customHeight="1">
      <c r="D655" s="12"/>
      <c r="E655" s="3"/>
      <c r="J655" s="3"/>
    </row>
    <row r="656" ht="15.75" customHeight="1">
      <c r="D656" s="12"/>
      <c r="E656" s="3"/>
      <c r="J656" s="3"/>
    </row>
    <row r="657" ht="15.75" customHeight="1">
      <c r="D657" s="12"/>
      <c r="E657" s="3"/>
      <c r="J657" s="3"/>
    </row>
    <row r="658" ht="15.75" customHeight="1">
      <c r="D658" s="12"/>
      <c r="E658" s="3"/>
      <c r="J658" s="3"/>
    </row>
    <row r="659" ht="15.75" customHeight="1">
      <c r="D659" s="12"/>
      <c r="E659" s="3"/>
      <c r="J659" s="3"/>
    </row>
    <row r="660" ht="15.75" customHeight="1">
      <c r="D660" s="12"/>
      <c r="E660" s="3"/>
      <c r="J660" s="3"/>
    </row>
    <row r="661" ht="15.75" customHeight="1">
      <c r="D661" s="12"/>
      <c r="E661" s="3"/>
      <c r="J661" s="3"/>
    </row>
    <row r="662" ht="15.75" customHeight="1">
      <c r="D662" s="12"/>
      <c r="E662" s="3"/>
      <c r="J662" s="3"/>
    </row>
    <row r="663" ht="15.75" customHeight="1">
      <c r="D663" s="12"/>
      <c r="E663" s="3"/>
      <c r="J663" s="3"/>
    </row>
    <row r="664" ht="15.75" customHeight="1">
      <c r="D664" s="12"/>
      <c r="E664" s="3"/>
      <c r="J664" s="3"/>
    </row>
    <row r="665" ht="15.75" customHeight="1">
      <c r="D665" s="12"/>
      <c r="E665" s="3"/>
      <c r="J665" s="3"/>
    </row>
    <row r="666" ht="15.75" customHeight="1">
      <c r="D666" s="12"/>
      <c r="E666" s="3"/>
      <c r="J666" s="3"/>
    </row>
    <row r="667" ht="15.75" customHeight="1">
      <c r="D667" s="12"/>
      <c r="E667" s="3"/>
      <c r="J667" s="3"/>
    </row>
    <row r="668" ht="15.75" customHeight="1">
      <c r="D668" s="12"/>
      <c r="E668" s="3"/>
      <c r="J668" s="3"/>
    </row>
    <row r="669" ht="15.75" customHeight="1">
      <c r="D669" s="12"/>
      <c r="E669" s="3"/>
      <c r="J669" s="3"/>
    </row>
    <row r="670" ht="15.75" customHeight="1">
      <c r="D670" s="12"/>
      <c r="E670" s="3"/>
      <c r="J670" s="3"/>
    </row>
    <row r="671" ht="15.75" customHeight="1">
      <c r="D671" s="12"/>
      <c r="E671" s="3"/>
      <c r="J671" s="3"/>
    </row>
    <row r="672" ht="15.75" customHeight="1">
      <c r="D672" s="12"/>
      <c r="E672" s="3"/>
      <c r="J672" s="3"/>
    </row>
    <row r="673" ht="15.75" customHeight="1">
      <c r="D673" s="12"/>
      <c r="E673" s="3"/>
      <c r="J673" s="3"/>
    </row>
    <row r="674" ht="15.75" customHeight="1">
      <c r="D674" s="12"/>
      <c r="E674" s="3"/>
      <c r="J674" s="3"/>
    </row>
    <row r="675" ht="15.75" customHeight="1">
      <c r="D675" s="12"/>
      <c r="E675" s="3"/>
      <c r="J675" s="3"/>
    </row>
    <row r="676" ht="15.75" customHeight="1">
      <c r="D676" s="12"/>
      <c r="E676" s="3"/>
      <c r="J676" s="3"/>
    </row>
    <row r="677" ht="15.75" customHeight="1">
      <c r="D677" s="12"/>
      <c r="E677" s="3"/>
      <c r="J677" s="3"/>
    </row>
    <row r="678" ht="15.75" customHeight="1">
      <c r="D678" s="12"/>
      <c r="E678" s="3"/>
      <c r="J678" s="3"/>
    </row>
    <row r="679" ht="15.75" customHeight="1">
      <c r="D679" s="12"/>
      <c r="E679" s="3"/>
      <c r="J679" s="3"/>
    </row>
    <row r="680" ht="15.75" customHeight="1">
      <c r="D680" s="12"/>
      <c r="E680" s="3"/>
      <c r="J680" s="3"/>
    </row>
    <row r="681" ht="15.75" customHeight="1">
      <c r="D681" s="12"/>
      <c r="E681" s="3"/>
      <c r="J681" s="3"/>
    </row>
    <row r="682" ht="15.75" customHeight="1">
      <c r="D682" s="12"/>
      <c r="E682" s="3"/>
      <c r="J682" s="3"/>
    </row>
    <row r="683" ht="15.75" customHeight="1">
      <c r="D683" s="12"/>
      <c r="E683" s="3"/>
      <c r="J683" s="3"/>
    </row>
    <row r="684" ht="15.75" customHeight="1">
      <c r="D684" s="12"/>
      <c r="E684" s="3"/>
      <c r="J684" s="3"/>
    </row>
    <row r="685" ht="15.75" customHeight="1">
      <c r="D685" s="12"/>
      <c r="E685" s="3"/>
      <c r="J685" s="3"/>
    </row>
    <row r="686" ht="15.75" customHeight="1">
      <c r="D686" s="12"/>
      <c r="E686" s="3"/>
      <c r="J686" s="3"/>
    </row>
    <row r="687" ht="15.75" customHeight="1">
      <c r="D687" s="12"/>
      <c r="E687" s="3"/>
      <c r="J687" s="3"/>
    </row>
    <row r="688" ht="15.75" customHeight="1">
      <c r="D688" s="12"/>
      <c r="E688" s="3"/>
      <c r="J688" s="3"/>
    </row>
    <row r="689" ht="15.75" customHeight="1">
      <c r="D689" s="12"/>
      <c r="E689" s="3"/>
      <c r="J689" s="3"/>
    </row>
    <row r="690" ht="15.75" customHeight="1">
      <c r="D690" s="12"/>
      <c r="E690" s="3"/>
      <c r="J690" s="3"/>
    </row>
    <row r="691" ht="15.75" customHeight="1">
      <c r="D691" s="12"/>
      <c r="E691" s="3"/>
      <c r="J691" s="3"/>
    </row>
    <row r="692" ht="15.75" customHeight="1">
      <c r="D692" s="12"/>
      <c r="E692" s="3"/>
      <c r="J692" s="3"/>
    </row>
    <row r="693" ht="15.75" customHeight="1">
      <c r="D693" s="12"/>
      <c r="E693" s="3"/>
      <c r="J693" s="3"/>
    </row>
    <row r="694" ht="15.75" customHeight="1">
      <c r="D694" s="12"/>
      <c r="E694" s="3"/>
      <c r="J694" s="3"/>
    </row>
    <row r="695" ht="15.75" customHeight="1">
      <c r="D695" s="12"/>
      <c r="E695" s="3"/>
      <c r="J695" s="3"/>
    </row>
    <row r="696" ht="15.75" customHeight="1">
      <c r="D696" s="12"/>
      <c r="E696" s="3"/>
      <c r="J696" s="3"/>
    </row>
    <row r="697" ht="15.75" customHeight="1">
      <c r="D697" s="12"/>
      <c r="E697" s="3"/>
      <c r="J697" s="3"/>
    </row>
    <row r="698" ht="15.75" customHeight="1">
      <c r="D698" s="12"/>
      <c r="E698" s="3"/>
      <c r="J698" s="3"/>
    </row>
    <row r="699" ht="15.75" customHeight="1">
      <c r="D699" s="12"/>
      <c r="E699" s="3"/>
      <c r="J699" s="3"/>
    </row>
    <row r="700" ht="15.75" customHeight="1">
      <c r="D700" s="12"/>
      <c r="E700" s="3"/>
      <c r="J700" s="3"/>
    </row>
    <row r="701" ht="15.75" customHeight="1">
      <c r="D701" s="12"/>
      <c r="E701" s="3"/>
      <c r="J701" s="3"/>
    </row>
    <row r="702" ht="15.75" customHeight="1">
      <c r="D702" s="12"/>
      <c r="E702" s="3"/>
      <c r="J702" s="3"/>
    </row>
    <row r="703" ht="15.75" customHeight="1">
      <c r="D703" s="12"/>
      <c r="E703" s="3"/>
      <c r="J703" s="3"/>
    </row>
    <row r="704" ht="15.75" customHeight="1">
      <c r="D704" s="12"/>
      <c r="E704" s="3"/>
      <c r="J704" s="3"/>
    </row>
    <row r="705" ht="15.75" customHeight="1">
      <c r="D705" s="12"/>
      <c r="E705" s="3"/>
      <c r="J705" s="3"/>
    </row>
    <row r="706" ht="15.75" customHeight="1">
      <c r="D706" s="12"/>
      <c r="E706" s="3"/>
      <c r="J706" s="3"/>
    </row>
    <row r="707" ht="15.75" customHeight="1">
      <c r="D707" s="12"/>
      <c r="E707" s="3"/>
      <c r="J707" s="3"/>
    </row>
    <row r="708" ht="15.75" customHeight="1">
      <c r="D708" s="12"/>
      <c r="E708" s="3"/>
      <c r="J708" s="3"/>
    </row>
    <row r="709" ht="15.75" customHeight="1">
      <c r="D709" s="12"/>
      <c r="E709" s="3"/>
      <c r="J709" s="3"/>
    </row>
    <row r="710" ht="15.75" customHeight="1">
      <c r="D710" s="12"/>
      <c r="E710" s="3"/>
      <c r="J710" s="3"/>
    </row>
    <row r="711" ht="15.75" customHeight="1">
      <c r="D711" s="12"/>
      <c r="E711" s="3"/>
      <c r="J711" s="3"/>
    </row>
    <row r="712" ht="15.75" customHeight="1">
      <c r="D712" s="12"/>
      <c r="E712" s="3"/>
      <c r="J712" s="3"/>
    </row>
    <row r="713" ht="15.75" customHeight="1">
      <c r="D713" s="12"/>
      <c r="E713" s="3"/>
      <c r="J713" s="3"/>
    </row>
    <row r="714" ht="15.75" customHeight="1">
      <c r="D714" s="12"/>
      <c r="E714" s="3"/>
      <c r="J714" s="3"/>
    </row>
    <row r="715" ht="15.75" customHeight="1">
      <c r="D715" s="12"/>
      <c r="E715" s="3"/>
      <c r="J715" s="3"/>
    </row>
    <row r="716" ht="15.75" customHeight="1">
      <c r="D716" s="12"/>
      <c r="E716" s="3"/>
      <c r="J716" s="3"/>
    </row>
    <row r="717" ht="15.75" customHeight="1">
      <c r="D717" s="12"/>
      <c r="E717" s="3"/>
      <c r="J717" s="3"/>
    </row>
    <row r="718" ht="15.75" customHeight="1">
      <c r="D718" s="12"/>
      <c r="E718" s="3"/>
      <c r="J718" s="3"/>
    </row>
    <row r="719" ht="15.75" customHeight="1">
      <c r="D719" s="12"/>
      <c r="E719" s="3"/>
      <c r="J719" s="3"/>
    </row>
    <row r="720" ht="15.75" customHeight="1">
      <c r="D720" s="12"/>
      <c r="E720" s="3"/>
      <c r="J720" s="3"/>
    </row>
    <row r="721" ht="15.75" customHeight="1">
      <c r="D721" s="12"/>
      <c r="E721" s="3"/>
      <c r="J721" s="3"/>
    </row>
    <row r="722" ht="15.75" customHeight="1">
      <c r="D722" s="12"/>
      <c r="E722" s="3"/>
      <c r="J722" s="3"/>
    </row>
    <row r="723" ht="15.75" customHeight="1">
      <c r="D723" s="12"/>
      <c r="E723" s="3"/>
      <c r="J723" s="3"/>
    </row>
    <row r="724" ht="15.75" customHeight="1">
      <c r="D724" s="12"/>
      <c r="E724" s="3"/>
      <c r="J724" s="3"/>
    </row>
    <row r="725" ht="15.75" customHeight="1">
      <c r="D725" s="12"/>
      <c r="E725" s="3"/>
      <c r="J725" s="3"/>
    </row>
    <row r="726" ht="15.75" customHeight="1">
      <c r="D726" s="12"/>
      <c r="E726" s="3"/>
      <c r="J726" s="3"/>
    </row>
    <row r="727" ht="15.75" customHeight="1">
      <c r="D727" s="12"/>
      <c r="E727" s="3"/>
      <c r="J727" s="3"/>
    </row>
    <row r="728" ht="15.75" customHeight="1">
      <c r="D728" s="12"/>
      <c r="E728" s="3"/>
      <c r="J728" s="3"/>
    </row>
    <row r="729" ht="15.75" customHeight="1">
      <c r="D729" s="12"/>
      <c r="E729" s="3"/>
      <c r="J729" s="3"/>
    </row>
    <row r="730" ht="15.75" customHeight="1">
      <c r="D730" s="12"/>
      <c r="E730" s="3"/>
      <c r="J730" s="3"/>
    </row>
    <row r="731" ht="15.75" customHeight="1">
      <c r="D731" s="12"/>
      <c r="E731" s="3"/>
      <c r="J731" s="3"/>
    </row>
    <row r="732" ht="15.75" customHeight="1">
      <c r="D732" s="12"/>
      <c r="E732" s="3"/>
      <c r="J732" s="3"/>
    </row>
    <row r="733" ht="15.75" customHeight="1">
      <c r="D733" s="12"/>
      <c r="E733" s="3"/>
      <c r="J733" s="3"/>
    </row>
    <row r="734" ht="15.75" customHeight="1">
      <c r="D734" s="12"/>
      <c r="E734" s="3"/>
      <c r="J734" s="3"/>
    </row>
    <row r="735" ht="15.75" customHeight="1">
      <c r="D735" s="12"/>
      <c r="E735" s="3"/>
      <c r="J735" s="3"/>
    </row>
    <row r="736" ht="15.75" customHeight="1">
      <c r="D736" s="12"/>
      <c r="E736" s="3"/>
      <c r="J736" s="3"/>
    </row>
    <row r="737" ht="15.75" customHeight="1">
      <c r="D737" s="12"/>
      <c r="E737" s="3"/>
      <c r="J737" s="3"/>
    </row>
    <row r="738" ht="15.75" customHeight="1">
      <c r="D738" s="12"/>
      <c r="E738" s="3"/>
      <c r="J738" s="3"/>
    </row>
    <row r="739" ht="15.75" customHeight="1">
      <c r="D739" s="12"/>
      <c r="E739" s="3"/>
      <c r="J739" s="3"/>
    </row>
    <row r="740" ht="15.75" customHeight="1">
      <c r="D740" s="12"/>
      <c r="E740" s="3"/>
      <c r="J740" s="3"/>
    </row>
    <row r="741" ht="15.75" customHeight="1">
      <c r="D741" s="12"/>
      <c r="E741" s="3"/>
      <c r="J741" s="3"/>
    </row>
    <row r="742" ht="15.75" customHeight="1">
      <c r="D742" s="12"/>
      <c r="E742" s="3"/>
      <c r="J742" s="3"/>
    </row>
    <row r="743" ht="15.75" customHeight="1">
      <c r="D743" s="12"/>
      <c r="E743" s="3"/>
      <c r="J743" s="3"/>
    </row>
    <row r="744" ht="15.75" customHeight="1">
      <c r="D744" s="12"/>
      <c r="E744" s="3"/>
      <c r="J744" s="3"/>
    </row>
    <row r="745" ht="15.75" customHeight="1">
      <c r="D745" s="12"/>
      <c r="E745" s="3"/>
      <c r="J745" s="3"/>
    </row>
    <row r="746" ht="15.75" customHeight="1">
      <c r="D746" s="12"/>
      <c r="E746" s="3"/>
      <c r="J746" s="3"/>
    </row>
    <row r="747" ht="15.75" customHeight="1">
      <c r="D747" s="12"/>
      <c r="E747" s="3"/>
      <c r="J747" s="3"/>
    </row>
    <row r="748" ht="15.75" customHeight="1">
      <c r="D748" s="12"/>
      <c r="E748" s="3"/>
      <c r="J748" s="3"/>
    </row>
    <row r="749" ht="15.75" customHeight="1">
      <c r="D749" s="12"/>
      <c r="E749" s="3"/>
      <c r="J749" s="3"/>
    </row>
    <row r="750" ht="15.75" customHeight="1">
      <c r="D750" s="12"/>
      <c r="E750" s="3"/>
      <c r="J750" s="3"/>
    </row>
    <row r="751" ht="15.75" customHeight="1">
      <c r="D751" s="12"/>
      <c r="E751" s="3"/>
      <c r="J751" s="3"/>
    </row>
    <row r="752" ht="15.75" customHeight="1">
      <c r="D752" s="12"/>
      <c r="E752" s="3"/>
      <c r="J752" s="3"/>
    </row>
    <row r="753" ht="15.75" customHeight="1">
      <c r="D753" s="12"/>
      <c r="E753" s="3"/>
      <c r="J753" s="3"/>
    </row>
    <row r="754" ht="15.75" customHeight="1">
      <c r="D754" s="12"/>
      <c r="E754" s="3"/>
      <c r="J754" s="3"/>
    </row>
    <row r="755" ht="15.75" customHeight="1">
      <c r="D755" s="12"/>
      <c r="E755" s="3"/>
      <c r="J755" s="3"/>
    </row>
    <row r="756" ht="15.75" customHeight="1">
      <c r="D756" s="12"/>
      <c r="E756" s="3"/>
      <c r="J756" s="3"/>
    </row>
    <row r="757" ht="15.75" customHeight="1">
      <c r="D757" s="12"/>
      <c r="E757" s="3"/>
      <c r="J757" s="3"/>
    </row>
    <row r="758" ht="15.75" customHeight="1">
      <c r="D758" s="12"/>
      <c r="E758" s="3"/>
      <c r="J758" s="3"/>
    </row>
    <row r="759" ht="15.75" customHeight="1">
      <c r="D759" s="12"/>
      <c r="E759" s="3"/>
      <c r="J759" s="3"/>
    </row>
    <row r="760" ht="15.75" customHeight="1">
      <c r="D760" s="12"/>
      <c r="E760" s="3"/>
      <c r="J760" s="3"/>
    </row>
    <row r="761" ht="15.75" customHeight="1">
      <c r="D761" s="12"/>
      <c r="E761" s="3"/>
      <c r="J761" s="3"/>
    </row>
    <row r="762" ht="15.75" customHeight="1">
      <c r="D762" s="12"/>
      <c r="E762" s="3"/>
      <c r="J762" s="3"/>
    </row>
    <row r="763" ht="15.75" customHeight="1">
      <c r="D763" s="12"/>
      <c r="E763" s="3"/>
      <c r="J763" s="3"/>
    </row>
    <row r="764" ht="15.75" customHeight="1">
      <c r="D764" s="12"/>
      <c r="E764" s="3"/>
      <c r="J764" s="3"/>
    </row>
    <row r="765" ht="15.75" customHeight="1">
      <c r="D765" s="12"/>
      <c r="E765" s="3"/>
      <c r="J765" s="3"/>
    </row>
    <row r="766" ht="15.75" customHeight="1">
      <c r="D766" s="12"/>
      <c r="E766" s="3"/>
      <c r="J766" s="3"/>
    </row>
    <row r="767" ht="15.75" customHeight="1">
      <c r="D767" s="12"/>
      <c r="E767" s="3"/>
      <c r="J767" s="3"/>
    </row>
    <row r="768" ht="15.75" customHeight="1">
      <c r="D768" s="12"/>
      <c r="E768" s="3"/>
      <c r="J768" s="3"/>
    </row>
    <row r="769" ht="15.75" customHeight="1">
      <c r="D769" s="12"/>
      <c r="E769" s="3"/>
      <c r="J769" s="3"/>
    </row>
    <row r="770" ht="15.75" customHeight="1">
      <c r="D770" s="12"/>
      <c r="E770" s="3"/>
      <c r="J770" s="3"/>
    </row>
    <row r="771" ht="15.75" customHeight="1">
      <c r="D771" s="12"/>
      <c r="E771" s="3"/>
      <c r="J771" s="3"/>
    </row>
    <row r="772" ht="15.75" customHeight="1">
      <c r="D772" s="12"/>
      <c r="E772" s="3"/>
      <c r="J772" s="3"/>
    </row>
    <row r="773" ht="15.75" customHeight="1">
      <c r="D773" s="12"/>
      <c r="E773" s="3"/>
      <c r="J773" s="3"/>
    </row>
    <row r="774" ht="15.75" customHeight="1">
      <c r="D774" s="12"/>
      <c r="E774" s="3"/>
      <c r="J774" s="3"/>
    </row>
    <row r="775" ht="15.75" customHeight="1">
      <c r="D775" s="12"/>
      <c r="E775" s="3"/>
      <c r="J775" s="3"/>
    </row>
    <row r="776" ht="15.75" customHeight="1">
      <c r="D776" s="12"/>
      <c r="E776" s="3"/>
      <c r="J776" s="3"/>
    </row>
    <row r="777" ht="15.75" customHeight="1">
      <c r="D777" s="12"/>
      <c r="E777" s="3"/>
      <c r="J777" s="3"/>
    </row>
    <row r="778" ht="15.75" customHeight="1">
      <c r="D778" s="12"/>
      <c r="E778" s="3"/>
      <c r="J778" s="3"/>
    </row>
    <row r="779" ht="15.75" customHeight="1">
      <c r="D779" s="12"/>
      <c r="E779" s="3"/>
      <c r="J779" s="3"/>
    </row>
    <row r="780" ht="15.75" customHeight="1">
      <c r="D780" s="12"/>
      <c r="E780" s="3"/>
      <c r="J780" s="3"/>
    </row>
    <row r="781" ht="15.75" customHeight="1">
      <c r="D781" s="12"/>
      <c r="E781" s="3"/>
      <c r="J781" s="3"/>
    </row>
    <row r="782" ht="15.75" customHeight="1">
      <c r="D782" s="12"/>
      <c r="E782" s="3"/>
      <c r="J782" s="3"/>
    </row>
    <row r="783" ht="15.75" customHeight="1">
      <c r="D783" s="12"/>
      <c r="E783" s="3"/>
      <c r="J783" s="3"/>
    </row>
    <row r="784" ht="15.75" customHeight="1">
      <c r="D784" s="12"/>
      <c r="E784" s="3"/>
      <c r="J784" s="3"/>
    </row>
    <row r="785" ht="15.75" customHeight="1">
      <c r="D785" s="12"/>
      <c r="E785" s="3"/>
      <c r="J785" s="3"/>
    </row>
    <row r="786" ht="15.75" customHeight="1">
      <c r="D786" s="12"/>
      <c r="E786" s="3"/>
      <c r="J786" s="3"/>
    </row>
    <row r="787" ht="15.75" customHeight="1">
      <c r="D787" s="12"/>
      <c r="E787" s="3"/>
      <c r="J787" s="3"/>
    </row>
    <row r="788" ht="15.75" customHeight="1">
      <c r="D788" s="12"/>
      <c r="E788" s="3"/>
      <c r="J788" s="3"/>
    </row>
    <row r="789" ht="15.75" customHeight="1">
      <c r="D789" s="12"/>
      <c r="E789" s="3"/>
      <c r="J789" s="3"/>
    </row>
    <row r="790" ht="15.75" customHeight="1">
      <c r="D790" s="12"/>
      <c r="E790" s="3"/>
      <c r="J790" s="3"/>
    </row>
    <row r="791" ht="15.75" customHeight="1">
      <c r="D791" s="12"/>
      <c r="E791" s="3"/>
      <c r="J791" s="3"/>
    </row>
    <row r="792" ht="15.75" customHeight="1">
      <c r="D792" s="12"/>
      <c r="E792" s="3"/>
      <c r="J792" s="3"/>
    </row>
    <row r="793" ht="15.75" customHeight="1">
      <c r="D793" s="12"/>
      <c r="E793" s="3"/>
      <c r="J793" s="3"/>
    </row>
    <row r="794" ht="15.75" customHeight="1">
      <c r="D794" s="12"/>
      <c r="E794" s="3"/>
      <c r="J794" s="3"/>
    </row>
    <row r="795" ht="15.75" customHeight="1">
      <c r="D795" s="12"/>
      <c r="E795" s="3"/>
      <c r="J795" s="3"/>
    </row>
    <row r="796" ht="15.75" customHeight="1">
      <c r="D796" s="12"/>
      <c r="E796" s="3"/>
      <c r="J796" s="3"/>
    </row>
    <row r="797" ht="15.75" customHeight="1">
      <c r="D797" s="12"/>
      <c r="E797" s="3"/>
      <c r="J797" s="3"/>
    </row>
    <row r="798" ht="15.75" customHeight="1">
      <c r="D798" s="12"/>
      <c r="E798" s="3"/>
      <c r="J798" s="3"/>
    </row>
    <row r="799" ht="15.75" customHeight="1">
      <c r="D799" s="12"/>
      <c r="E799" s="3"/>
      <c r="J799" s="3"/>
    </row>
    <row r="800" ht="15.75" customHeight="1">
      <c r="D800" s="12"/>
      <c r="E800" s="3"/>
      <c r="J800" s="3"/>
    </row>
    <row r="801" ht="15.75" customHeight="1">
      <c r="D801" s="12"/>
      <c r="E801" s="3"/>
      <c r="J801" s="3"/>
    </row>
    <row r="802" ht="15.75" customHeight="1">
      <c r="D802" s="12"/>
      <c r="E802" s="3"/>
      <c r="J802" s="3"/>
    </row>
    <row r="803" ht="15.75" customHeight="1">
      <c r="D803" s="12"/>
      <c r="E803" s="3"/>
      <c r="J803" s="3"/>
    </row>
    <row r="804" ht="15.75" customHeight="1">
      <c r="D804" s="12"/>
      <c r="E804" s="3"/>
      <c r="J804" s="3"/>
    </row>
    <row r="805" ht="15.75" customHeight="1">
      <c r="D805" s="12"/>
      <c r="E805" s="3"/>
      <c r="J805" s="3"/>
    </row>
    <row r="806" ht="15.75" customHeight="1">
      <c r="D806" s="12"/>
      <c r="E806" s="3"/>
      <c r="J806" s="3"/>
    </row>
    <row r="807" ht="15.75" customHeight="1">
      <c r="D807" s="12"/>
      <c r="E807" s="3"/>
      <c r="J807" s="3"/>
    </row>
    <row r="808" ht="15.75" customHeight="1">
      <c r="D808" s="12"/>
      <c r="E808" s="3"/>
      <c r="J808" s="3"/>
    </row>
    <row r="809" ht="15.75" customHeight="1">
      <c r="D809" s="12"/>
      <c r="E809" s="3"/>
      <c r="J809" s="3"/>
    </row>
    <row r="810" ht="15.75" customHeight="1">
      <c r="D810" s="12"/>
      <c r="E810" s="3"/>
      <c r="J810" s="3"/>
    </row>
    <row r="811" ht="15.75" customHeight="1">
      <c r="D811" s="12"/>
      <c r="E811" s="3"/>
      <c r="J811" s="3"/>
    </row>
    <row r="812" ht="15.75" customHeight="1">
      <c r="D812" s="12"/>
      <c r="E812" s="3"/>
      <c r="J812" s="3"/>
    </row>
    <row r="813" ht="15.75" customHeight="1">
      <c r="D813" s="12"/>
      <c r="E813" s="3"/>
      <c r="J813" s="3"/>
    </row>
    <row r="814" ht="15.75" customHeight="1">
      <c r="D814" s="12"/>
      <c r="E814" s="3"/>
      <c r="J814" s="3"/>
    </row>
    <row r="815" ht="15.75" customHeight="1">
      <c r="D815" s="12"/>
      <c r="E815" s="3"/>
      <c r="J815" s="3"/>
    </row>
    <row r="816" ht="15.75" customHeight="1">
      <c r="D816" s="12"/>
      <c r="E816" s="3"/>
      <c r="J816" s="3"/>
    </row>
    <row r="817" ht="15.75" customHeight="1">
      <c r="D817" s="12"/>
      <c r="E817" s="3"/>
      <c r="J817" s="3"/>
    </row>
    <row r="818" ht="15.75" customHeight="1">
      <c r="D818" s="12"/>
      <c r="E818" s="3"/>
      <c r="J818" s="3"/>
    </row>
    <row r="819" ht="15.75" customHeight="1">
      <c r="D819" s="12"/>
      <c r="E819" s="3"/>
      <c r="J819" s="3"/>
    </row>
    <row r="820" ht="15.75" customHeight="1">
      <c r="D820" s="12"/>
      <c r="E820" s="3"/>
      <c r="J820" s="3"/>
    </row>
    <row r="821" ht="15.75" customHeight="1">
      <c r="D821" s="12"/>
      <c r="E821" s="3"/>
      <c r="J821" s="3"/>
    </row>
    <row r="822" ht="15.75" customHeight="1">
      <c r="D822" s="12"/>
      <c r="E822" s="3"/>
      <c r="J822" s="3"/>
    </row>
    <row r="823" ht="15.75" customHeight="1">
      <c r="D823" s="12"/>
      <c r="E823" s="3"/>
      <c r="J823" s="3"/>
    </row>
    <row r="824" ht="15.75" customHeight="1">
      <c r="D824" s="12"/>
      <c r="E824" s="3"/>
      <c r="J824" s="3"/>
    </row>
    <row r="825" ht="15.75" customHeight="1">
      <c r="D825" s="12"/>
      <c r="E825" s="3"/>
      <c r="J825" s="3"/>
    </row>
    <row r="826" ht="15.75" customHeight="1">
      <c r="D826" s="12"/>
      <c r="E826" s="3"/>
      <c r="J826" s="3"/>
    </row>
    <row r="827" ht="15.75" customHeight="1">
      <c r="D827" s="12"/>
      <c r="E827" s="3"/>
      <c r="J827" s="3"/>
    </row>
    <row r="828" ht="15.75" customHeight="1">
      <c r="D828" s="12"/>
      <c r="E828" s="3"/>
      <c r="J828" s="3"/>
    </row>
    <row r="829" ht="15.75" customHeight="1">
      <c r="D829" s="12"/>
      <c r="E829" s="3"/>
      <c r="J829" s="3"/>
    </row>
    <row r="830" ht="15.75" customHeight="1">
      <c r="D830" s="12"/>
      <c r="E830" s="3"/>
      <c r="J830" s="3"/>
    </row>
    <row r="831" ht="15.75" customHeight="1">
      <c r="D831" s="12"/>
      <c r="E831" s="3"/>
      <c r="J831" s="3"/>
    </row>
    <row r="832" ht="15.75" customHeight="1">
      <c r="D832" s="12"/>
      <c r="E832" s="3"/>
      <c r="J832" s="3"/>
    </row>
    <row r="833" ht="15.75" customHeight="1">
      <c r="D833" s="12"/>
      <c r="E833" s="3"/>
      <c r="J833" s="3"/>
    </row>
    <row r="834" ht="15.75" customHeight="1">
      <c r="D834" s="12"/>
      <c r="E834" s="3"/>
      <c r="J834" s="3"/>
    </row>
    <row r="835" ht="15.75" customHeight="1">
      <c r="D835" s="12"/>
      <c r="E835" s="3"/>
      <c r="J835" s="3"/>
    </row>
    <row r="836" ht="15.75" customHeight="1">
      <c r="D836" s="12"/>
      <c r="E836" s="3"/>
      <c r="J836" s="3"/>
    </row>
    <row r="837" ht="15.75" customHeight="1">
      <c r="D837" s="12"/>
      <c r="E837" s="3"/>
      <c r="J837" s="3"/>
    </row>
    <row r="838" ht="15.75" customHeight="1">
      <c r="D838" s="12"/>
      <c r="E838" s="3"/>
      <c r="J838" s="3"/>
    </row>
    <row r="839" ht="15.75" customHeight="1">
      <c r="D839" s="12"/>
      <c r="E839" s="3"/>
      <c r="J839" s="3"/>
    </row>
    <row r="840" ht="15.75" customHeight="1">
      <c r="D840" s="12"/>
      <c r="E840" s="3"/>
      <c r="J840" s="3"/>
    </row>
    <row r="841" ht="15.75" customHeight="1">
      <c r="D841" s="12"/>
      <c r="E841" s="3"/>
      <c r="J841" s="3"/>
    </row>
    <row r="842" ht="15.75" customHeight="1">
      <c r="D842" s="12"/>
      <c r="E842" s="3"/>
      <c r="J842" s="3"/>
    </row>
    <row r="843" ht="15.75" customHeight="1">
      <c r="D843" s="12"/>
      <c r="E843" s="3"/>
      <c r="J843" s="3"/>
    </row>
    <row r="844" ht="15.75" customHeight="1">
      <c r="D844" s="12"/>
      <c r="E844" s="3"/>
      <c r="J844" s="3"/>
    </row>
    <row r="845" ht="15.75" customHeight="1">
      <c r="D845" s="12"/>
      <c r="E845" s="3"/>
      <c r="J845" s="3"/>
    </row>
    <row r="846" ht="15.75" customHeight="1">
      <c r="D846" s="12"/>
      <c r="E846" s="3"/>
      <c r="J846" s="3"/>
    </row>
    <row r="847" ht="15.75" customHeight="1">
      <c r="D847" s="12"/>
      <c r="E847" s="3"/>
      <c r="J847" s="3"/>
    </row>
    <row r="848" ht="15.75" customHeight="1">
      <c r="D848" s="12"/>
      <c r="E848" s="3"/>
      <c r="J848" s="3"/>
    </row>
    <row r="849" ht="15.75" customHeight="1">
      <c r="D849" s="12"/>
      <c r="E849" s="3"/>
      <c r="J849" s="3"/>
    </row>
    <row r="850" ht="15.75" customHeight="1">
      <c r="D850" s="12"/>
      <c r="E850" s="3"/>
      <c r="J850" s="3"/>
    </row>
    <row r="851" ht="15.75" customHeight="1">
      <c r="D851" s="12"/>
      <c r="E851" s="3"/>
      <c r="J851" s="3"/>
    </row>
    <row r="852" ht="15.75" customHeight="1">
      <c r="D852" s="12"/>
      <c r="E852" s="3"/>
      <c r="J852" s="3"/>
    </row>
    <row r="853" ht="15.75" customHeight="1">
      <c r="D853" s="12"/>
      <c r="E853" s="3"/>
      <c r="J853" s="3"/>
    </row>
    <row r="854" ht="15.75" customHeight="1">
      <c r="D854" s="12"/>
      <c r="E854" s="3"/>
      <c r="J854" s="3"/>
    </row>
    <row r="855" ht="15.75" customHeight="1">
      <c r="D855" s="12"/>
      <c r="E855" s="3"/>
      <c r="J855" s="3"/>
    </row>
    <row r="856" ht="15.75" customHeight="1">
      <c r="D856" s="12"/>
      <c r="E856" s="3"/>
      <c r="J856" s="3"/>
    </row>
    <row r="857" ht="15.75" customHeight="1">
      <c r="D857" s="12"/>
      <c r="E857" s="3"/>
      <c r="J857" s="3"/>
    </row>
    <row r="858" ht="15.75" customHeight="1">
      <c r="D858" s="12"/>
      <c r="E858" s="3"/>
      <c r="J858" s="3"/>
    </row>
    <row r="859" ht="15.75" customHeight="1">
      <c r="D859" s="12"/>
      <c r="E859" s="3"/>
      <c r="J859" s="3"/>
    </row>
    <row r="860" ht="15.75" customHeight="1">
      <c r="D860" s="12"/>
      <c r="E860" s="3"/>
      <c r="J860" s="3"/>
    </row>
    <row r="861" ht="15.75" customHeight="1">
      <c r="D861" s="12"/>
      <c r="E861" s="3"/>
      <c r="J861" s="3"/>
    </row>
    <row r="862" ht="15.75" customHeight="1">
      <c r="D862" s="12"/>
      <c r="E862" s="3"/>
      <c r="J862" s="3"/>
    </row>
    <row r="863" ht="15.75" customHeight="1">
      <c r="D863" s="12"/>
      <c r="E863" s="3"/>
      <c r="J863" s="3"/>
    </row>
    <row r="864" ht="15.75" customHeight="1">
      <c r="D864" s="12"/>
      <c r="E864" s="3"/>
      <c r="J864" s="3"/>
    </row>
    <row r="865" ht="15.75" customHeight="1">
      <c r="D865" s="12"/>
      <c r="E865" s="3"/>
      <c r="J865" s="3"/>
    </row>
    <row r="866" ht="15.75" customHeight="1">
      <c r="D866" s="12"/>
      <c r="E866" s="3"/>
      <c r="J866" s="3"/>
    </row>
    <row r="867" ht="15.75" customHeight="1">
      <c r="D867" s="12"/>
      <c r="E867" s="3"/>
      <c r="J867" s="3"/>
    </row>
    <row r="868" ht="15.75" customHeight="1">
      <c r="D868" s="12"/>
      <c r="E868" s="3"/>
      <c r="J868" s="3"/>
    </row>
    <row r="869" ht="15.75" customHeight="1">
      <c r="D869" s="12"/>
      <c r="E869" s="3"/>
      <c r="J869" s="3"/>
    </row>
    <row r="870" ht="15.75" customHeight="1">
      <c r="D870" s="12"/>
      <c r="E870" s="3"/>
      <c r="J870" s="3"/>
    </row>
    <row r="871" ht="15.75" customHeight="1">
      <c r="D871" s="12"/>
      <c r="E871" s="3"/>
      <c r="J871" s="3"/>
    </row>
    <row r="872" ht="15.75" customHeight="1">
      <c r="D872" s="12"/>
      <c r="E872" s="3"/>
      <c r="J872" s="3"/>
    </row>
    <row r="873" ht="15.75" customHeight="1">
      <c r="D873" s="12"/>
      <c r="E873" s="3"/>
      <c r="J873" s="3"/>
    </row>
    <row r="874" ht="15.75" customHeight="1">
      <c r="D874" s="12"/>
      <c r="E874" s="3"/>
      <c r="J874" s="3"/>
    </row>
    <row r="875" ht="15.75" customHeight="1">
      <c r="D875" s="12"/>
      <c r="E875" s="3"/>
      <c r="J875" s="3"/>
    </row>
    <row r="876" ht="15.75" customHeight="1">
      <c r="D876" s="12"/>
      <c r="E876" s="3"/>
      <c r="J876" s="3"/>
    </row>
    <row r="877" ht="15.75" customHeight="1">
      <c r="D877" s="12"/>
      <c r="E877" s="3"/>
      <c r="J877" s="3"/>
    </row>
    <row r="878" ht="15.75" customHeight="1">
      <c r="D878" s="12"/>
      <c r="E878" s="3"/>
      <c r="J878" s="3"/>
    </row>
    <row r="879" ht="15.75" customHeight="1">
      <c r="D879" s="12"/>
      <c r="E879" s="3"/>
      <c r="J879" s="3"/>
    </row>
    <row r="880" ht="15.75" customHeight="1">
      <c r="D880" s="12"/>
      <c r="E880" s="3"/>
      <c r="J880" s="3"/>
    </row>
    <row r="881" ht="15.75" customHeight="1">
      <c r="D881" s="12"/>
      <c r="E881" s="3"/>
      <c r="J881" s="3"/>
    </row>
    <row r="882" ht="15.75" customHeight="1">
      <c r="D882" s="12"/>
      <c r="E882" s="3"/>
      <c r="J882" s="3"/>
    </row>
    <row r="883" ht="15.75" customHeight="1">
      <c r="D883" s="12"/>
      <c r="E883" s="3"/>
      <c r="J883" s="3"/>
    </row>
    <row r="884" ht="15.75" customHeight="1">
      <c r="D884" s="12"/>
      <c r="E884" s="3"/>
      <c r="J884" s="3"/>
    </row>
    <row r="885" ht="15.75" customHeight="1">
      <c r="D885" s="12"/>
      <c r="E885" s="3"/>
      <c r="J885" s="3"/>
    </row>
    <row r="886" ht="15.75" customHeight="1">
      <c r="D886" s="12"/>
      <c r="E886" s="3"/>
      <c r="J886" s="3"/>
    </row>
    <row r="887" ht="15.75" customHeight="1">
      <c r="D887" s="12"/>
      <c r="E887" s="3"/>
      <c r="J887" s="3"/>
    </row>
    <row r="888" ht="15.75" customHeight="1">
      <c r="D888" s="12"/>
      <c r="E888" s="3"/>
      <c r="J888" s="3"/>
    </row>
    <row r="889" ht="15.75" customHeight="1">
      <c r="D889" s="12"/>
      <c r="E889" s="3"/>
      <c r="J889" s="3"/>
    </row>
    <row r="890" ht="15.75" customHeight="1">
      <c r="D890" s="12"/>
      <c r="E890" s="3"/>
      <c r="J890" s="3"/>
    </row>
    <row r="891" ht="15.75" customHeight="1">
      <c r="D891" s="12"/>
      <c r="E891" s="3"/>
      <c r="J891" s="3"/>
    </row>
    <row r="892" ht="15.75" customHeight="1">
      <c r="D892" s="12"/>
      <c r="E892" s="3"/>
      <c r="J892" s="3"/>
    </row>
    <row r="893" ht="15.75" customHeight="1">
      <c r="D893" s="12"/>
      <c r="E893" s="3"/>
      <c r="J893" s="3"/>
    </row>
    <row r="894" ht="15.75" customHeight="1">
      <c r="D894" s="12"/>
      <c r="E894" s="3"/>
      <c r="J894" s="3"/>
    </row>
    <row r="895" ht="15.75" customHeight="1">
      <c r="D895" s="12"/>
      <c r="E895" s="3"/>
      <c r="J895" s="3"/>
    </row>
    <row r="896" ht="15.75" customHeight="1">
      <c r="D896" s="12"/>
      <c r="E896" s="3"/>
      <c r="J896" s="3"/>
    </row>
    <row r="897" ht="15.75" customHeight="1">
      <c r="D897" s="12"/>
      <c r="E897" s="3"/>
      <c r="J897" s="3"/>
    </row>
    <row r="898" ht="15.75" customHeight="1">
      <c r="D898" s="12"/>
      <c r="E898" s="3"/>
      <c r="J898" s="3"/>
    </row>
    <row r="899" ht="15.75" customHeight="1">
      <c r="D899" s="12"/>
      <c r="E899" s="3"/>
      <c r="J899" s="3"/>
    </row>
    <row r="900" ht="15.75" customHeight="1">
      <c r="D900" s="12"/>
      <c r="E900" s="3"/>
      <c r="J900" s="3"/>
    </row>
    <row r="901" ht="15.75" customHeight="1">
      <c r="D901" s="12"/>
      <c r="E901" s="3"/>
      <c r="J901" s="3"/>
    </row>
    <row r="902" ht="15.75" customHeight="1">
      <c r="D902" s="12"/>
      <c r="E902" s="3"/>
      <c r="J902" s="3"/>
    </row>
    <row r="903" ht="15.75" customHeight="1">
      <c r="D903" s="12"/>
      <c r="E903" s="3"/>
      <c r="J903" s="3"/>
    </row>
    <row r="904" ht="15.75" customHeight="1">
      <c r="D904" s="12"/>
      <c r="E904" s="3"/>
      <c r="J904" s="3"/>
    </row>
    <row r="905" ht="15.75" customHeight="1">
      <c r="D905" s="12"/>
      <c r="E905" s="3"/>
      <c r="J905" s="3"/>
    </row>
    <row r="906" ht="15.75" customHeight="1">
      <c r="D906" s="12"/>
      <c r="E906" s="3"/>
      <c r="J906" s="3"/>
    </row>
    <row r="907" ht="15.75" customHeight="1">
      <c r="D907" s="12"/>
      <c r="E907" s="3"/>
      <c r="J907" s="3"/>
    </row>
    <row r="908" ht="15.75" customHeight="1">
      <c r="D908" s="12"/>
      <c r="E908" s="3"/>
      <c r="J908" s="3"/>
    </row>
    <row r="909" ht="15.75" customHeight="1">
      <c r="D909" s="12"/>
      <c r="E909" s="3"/>
      <c r="J909" s="3"/>
    </row>
    <row r="910" ht="15.75" customHeight="1">
      <c r="D910" s="12"/>
      <c r="E910" s="3"/>
      <c r="J910" s="3"/>
    </row>
    <row r="911" ht="15.75" customHeight="1">
      <c r="D911" s="12"/>
      <c r="E911" s="3"/>
      <c r="J911" s="3"/>
    </row>
    <row r="912" ht="15.75" customHeight="1">
      <c r="D912" s="12"/>
      <c r="E912" s="3"/>
      <c r="J912" s="3"/>
    </row>
    <row r="913" ht="15.75" customHeight="1">
      <c r="D913" s="12"/>
      <c r="E913" s="3"/>
      <c r="J913" s="3"/>
    </row>
    <row r="914" ht="15.75" customHeight="1">
      <c r="D914" s="12"/>
      <c r="E914" s="3"/>
      <c r="J914" s="3"/>
    </row>
    <row r="915" ht="15.75" customHeight="1">
      <c r="D915" s="12"/>
      <c r="E915" s="3"/>
      <c r="J915" s="3"/>
    </row>
    <row r="916" ht="15.75" customHeight="1">
      <c r="D916" s="12"/>
      <c r="E916" s="3"/>
      <c r="J916" s="3"/>
    </row>
    <row r="917" ht="15.75" customHeight="1">
      <c r="D917" s="12"/>
      <c r="E917" s="3"/>
      <c r="J917" s="3"/>
    </row>
    <row r="918" ht="15.75" customHeight="1">
      <c r="D918" s="12"/>
      <c r="E918" s="3"/>
      <c r="J918" s="3"/>
    </row>
    <row r="919" ht="15.75" customHeight="1">
      <c r="D919" s="12"/>
      <c r="E919" s="3"/>
      <c r="J919" s="3"/>
    </row>
    <row r="920" ht="15.75" customHeight="1">
      <c r="D920" s="12"/>
      <c r="E920" s="3"/>
      <c r="J920" s="3"/>
    </row>
    <row r="921" ht="15.75" customHeight="1">
      <c r="D921" s="12"/>
      <c r="E921" s="3"/>
      <c r="J921" s="3"/>
    </row>
    <row r="922" ht="15.75" customHeight="1">
      <c r="D922" s="12"/>
      <c r="E922" s="3"/>
      <c r="J922" s="3"/>
    </row>
    <row r="923" ht="15.75" customHeight="1">
      <c r="D923" s="12"/>
      <c r="E923" s="3"/>
      <c r="J923" s="3"/>
    </row>
    <row r="924" ht="15.75" customHeight="1">
      <c r="D924" s="12"/>
      <c r="E924" s="3"/>
      <c r="J924" s="3"/>
    </row>
    <row r="925" ht="15.75" customHeight="1">
      <c r="D925" s="12"/>
      <c r="E925" s="3"/>
      <c r="J925" s="3"/>
    </row>
    <row r="926" ht="15.75" customHeight="1">
      <c r="D926" s="12"/>
      <c r="E926" s="3"/>
      <c r="J926" s="3"/>
    </row>
    <row r="927" ht="15.75" customHeight="1">
      <c r="D927" s="12"/>
      <c r="E927" s="3"/>
      <c r="J927" s="3"/>
    </row>
    <row r="928" ht="15.75" customHeight="1">
      <c r="D928" s="12"/>
      <c r="E928" s="3"/>
      <c r="J928" s="3"/>
    </row>
    <row r="929" ht="15.75" customHeight="1">
      <c r="D929" s="12"/>
      <c r="E929" s="3"/>
      <c r="J929" s="3"/>
    </row>
    <row r="930" ht="15.75" customHeight="1">
      <c r="D930" s="12"/>
      <c r="E930" s="3"/>
      <c r="J930" s="3"/>
    </row>
    <row r="931" ht="15.75" customHeight="1">
      <c r="D931" s="12"/>
      <c r="E931" s="3"/>
      <c r="J931" s="3"/>
    </row>
    <row r="932" ht="15.75" customHeight="1">
      <c r="D932" s="12"/>
      <c r="E932" s="3"/>
      <c r="J932" s="3"/>
    </row>
    <row r="933" ht="15.75" customHeight="1">
      <c r="D933" s="12"/>
      <c r="E933" s="3"/>
      <c r="J933" s="3"/>
    </row>
    <row r="934" ht="15.75" customHeight="1">
      <c r="D934" s="12"/>
      <c r="E934" s="3"/>
      <c r="J934" s="3"/>
    </row>
    <row r="935" ht="15.75" customHeight="1">
      <c r="D935" s="12"/>
      <c r="E935" s="3"/>
      <c r="J935" s="3"/>
    </row>
    <row r="936" ht="15.75" customHeight="1">
      <c r="D936" s="12"/>
      <c r="E936" s="3"/>
      <c r="J936" s="3"/>
    </row>
    <row r="937" ht="15.75" customHeight="1">
      <c r="D937" s="12"/>
      <c r="E937" s="3"/>
      <c r="J937" s="3"/>
    </row>
    <row r="938" ht="15.75" customHeight="1">
      <c r="D938" s="12"/>
      <c r="E938" s="3"/>
      <c r="J938" s="3"/>
    </row>
    <row r="939" ht="15.75" customHeight="1">
      <c r="D939" s="12"/>
      <c r="E939" s="3"/>
      <c r="J939" s="3"/>
    </row>
    <row r="940" ht="15.75" customHeight="1">
      <c r="D940" s="12"/>
      <c r="E940" s="3"/>
      <c r="J940" s="3"/>
    </row>
    <row r="941" ht="15.75" customHeight="1">
      <c r="D941" s="12"/>
      <c r="E941" s="3"/>
      <c r="J941" s="3"/>
    </row>
    <row r="942" ht="15.75" customHeight="1">
      <c r="D942" s="12"/>
      <c r="E942" s="3"/>
      <c r="J942" s="3"/>
    </row>
    <row r="943" ht="15.75" customHeight="1">
      <c r="D943" s="12"/>
      <c r="E943" s="3"/>
      <c r="J943" s="3"/>
    </row>
    <row r="944" ht="15.75" customHeight="1">
      <c r="D944" s="12"/>
      <c r="E944" s="3"/>
      <c r="J944" s="3"/>
    </row>
    <row r="945" ht="15.75" customHeight="1">
      <c r="D945" s="12"/>
      <c r="E945" s="3"/>
      <c r="J945" s="3"/>
    </row>
    <row r="946" ht="15.75" customHeight="1">
      <c r="D946" s="12"/>
      <c r="E946" s="3"/>
      <c r="J946" s="3"/>
    </row>
    <row r="947" ht="15.75" customHeight="1">
      <c r="D947" s="12"/>
      <c r="E947" s="3"/>
      <c r="J947" s="3"/>
    </row>
    <row r="948" ht="15.75" customHeight="1">
      <c r="D948" s="12"/>
      <c r="E948" s="3"/>
      <c r="J948" s="3"/>
    </row>
    <row r="949" ht="15.75" customHeight="1">
      <c r="D949" s="12"/>
      <c r="E949" s="3"/>
      <c r="J949" s="3"/>
    </row>
    <row r="950" ht="15.75" customHeight="1">
      <c r="D950" s="12"/>
      <c r="E950" s="3"/>
      <c r="J950" s="3"/>
    </row>
    <row r="951" ht="15.75" customHeight="1">
      <c r="D951" s="12"/>
      <c r="E951" s="3"/>
      <c r="J951" s="3"/>
    </row>
    <row r="952" ht="15.75" customHeight="1">
      <c r="D952" s="12"/>
      <c r="E952" s="3"/>
      <c r="J952" s="3"/>
    </row>
    <row r="953" ht="15.75" customHeight="1">
      <c r="D953" s="12"/>
      <c r="E953" s="3"/>
      <c r="J953" s="3"/>
    </row>
    <row r="954" ht="15.75" customHeight="1">
      <c r="D954" s="12"/>
      <c r="E954" s="3"/>
      <c r="J954" s="3"/>
    </row>
    <row r="955" ht="15.75" customHeight="1">
      <c r="D955" s="12"/>
      <c r="E955" s="3"/>
      <c r="J955" s="3"/>
    </row>
    <row r="956" ht="15.75" customHeight="1">
      <c r="D956" s="12"/>
      <c r="E956" s="3"/>
      <c r="J956" s="3"/>
    </row>
    <row r="957" ht="15.75" customHeight="1">
      <c r="D957" s="12"/>
      <c r="E957" s="3"/>
      <c r="J957" s="3"/>
    </row>
    <row r="958" ht="15.75" customHeight="1">
      <c r="D958" s="12"/>
      <c r="E958" s="3"/>
      <c r="J958" s="3"/>
    </row>
    <row r="959" ht="15.75" customHeight="1">
      <c r="D959" s="12"/>
      <c r="E959" s="3"/>
      <c r="J959" s="3"/>
    </row>
    <row r="960" ht="15.75" customHeight="1">
      <c r="D960" s="12"/>
      <c r="E960" s="3"/>
      <c r="J960" s="3"/>
    </row>
    <row r="961" ht="15.75" customHeight="1">
      <c r="D961" s="12"/>
      <c r="E961" s="3"/>
      <c r="J961" s="3"/>
    </row>
    <row r="962" ht="15.75" customHeight="1">
      <c r="D962" s="12"/>
      <c r="E962" s="3"/>
      <c r="J962" s="3"/>
    </row>
    <row r="963" ht="15.75" customHeight="1">
      <c r="D963" s="12"/>
      <c r="E963" s="3"/>
      <c r="J963" s="3"/>
    </row>
    <row r="964" ht="15.75" customHeight="1">
      <c r="D964" s="12"/>
      <c r="E964" s="3"/>
      <c r="J964" s="3"/>
    </row>
    <row r="965" ht="15.75" customHeight="1">
      <c r="D965" s="12"/>
      <c r="E965" s="3"/>
      <c r="J965" s="3"/>
    </row>
    <row r="966" ht="15.75" customHeight="1">
      <c r="D966" s="12"/>
      <c r="E966" s="3"/>
      <c r="J966" s="3"/>
    </row>
    <row r="967" ht="15.75" customHeight="1">
      <c r="D967" s="12"/>
      <c r="E967" s="3"/>
      <c r="J967" s="3"/>
    </row>
    <row r="968" ht="15.75" customHeight="1">
      <c r="D968" s="12"/>
      <c r="E968" s="3"/>
      <c r="J968" s="3"/>
    </row>
    <row r="969" ht="15.75" customHeight="1">
      <c r="D969" s="12"/>
      <c r="E969" s="3"/>
      <c r="J969" s="3"/>
    </row>
    <row r="970" ht="15.75" customHeight="1">
      <c r="D970" s="12"/>
      <c r="E970" s="3"/>
      <c r="J970" s="3"/>
    </row>
    <row r="971" ht="15.75" customHeight="1">
      <c r="D971" s="12"/>
      <c r="E971" s="3"/>
      <c r="J971" s="3"/>
    </row>
    <row r="972" ht="15.75" customHeight="1">
      <c r="D972" s="12"/>
      <c r="E972" s="3"/>
      <c r="J972" s="3"/>
    </row>
    <row r="973" ht="15.75" customHeight="1">
      <c r="D973" s="12"/>
      <c r="E973" s="3"/>
      <c r="J973" s="3"/>
    </row>
    <row r="974" ht="15.75" customHeight="1">
      <c r="D974" s="12"/>
      <c r="E974" s="3"/>
      <c r="J974" s="3"/>
    </row>
    <row r="975" ht="15.75" customHeight="1">
      <c r="D975" s="12"/>
      <c r="E975" s="3"/>
      <c r="J975" s="3"/>
    </row>
    <row r="976" ht="15.75" customHeight="1">
      <c r="D976" s="12"/>
      <c r="E976" s="3"/>
      <c r="J976" s="3"/>
    </row>
    <row r="977" ht="15.75" customHeight="1">
      <c r="D977" s="12"/>
      <c r="E977" s="3"/>
      <c r="J977" s="3"/>
    </row>
    <row r="978" ht="15.75" customHeight="1">
      <c r="D978" s="12"/>
      <c r="E978" s="3"/>
      <c r="J978" s="3"/>
    </row>
    <row r="979" ht="15.75" customHeight="1">
      <c r="D979" s="12"/>
      <c r="E979" s="3"/>
      <c r="J979" s="3"/>
    </row>
    <row r="980" ht="15.75" customHeight="1">
      <c r="D980" s="12"/>
      <c r="E980" s="3"/>
      <c r="J980" s="3"/>
    </row>
    <row r="981" ht="15.75" customHeight="1">
      <c r="D981" s="12"/>
      <c r="E981" s="3"/>
      <c r="J981" s="3"/>
    </row>
    <row r="982" ht="15.75" customHeight="1">
      <c r="D982" s="12"/>
      <c r="E982" s="3"/>
      <c r="J982" s="3"/>
    </row>
    <row r="983" ht="15.75" customHeight="1">
      <c r="D983" s="12"/>
      <c r="E983" s="3"/>
      <c r="J983" s="3"/>
    </row>
    <row r="984" ht="15.75" customHeight="1">
      <c r="D984" s="12"/>
      <c r="E984" s="3"/>
      <c r="J984" s="3"/>
    </row>
    <row r="985" ht="15.75" customHeight="1">
      <c r="D985" s="12"/>
      <c r="E985" s="3"/>
      <c r="J985" s="3"/>
    </row>
    <row r="986" ht="15.75" customHeight="1">
      <c r="D986" s="12"/>
      <c r="E986" s="3"/>
      <c r="J986" s="3"/>
    </row>
    <row r="987" ht="15.75" customHeight="1">
      <c r="D987" s="12"/>
      <c r="E987" s="3"/>
      <c r="J987" s="3"/>
    </row>
    <row r="988" ht="15.75" customHeight="1">
      <c r="D988" s="12"/>
      <c r="E988" s="3"/>
      <c r="J988" s="3"/>
    </row>
    <row r="989" ht="15.75" customHeight="1">
      <c r="D989" s="12"/>
      <c r="E989" s="3"/>
      <c r="J989" s="3"/>
    </row>
    <row r="990" ht="15.75" customHeight="1">
      <c r="D990" s="12"/>
      <c r="E990" s="3"/>
      <c r="J990" s="3"/>
    </row>
    <row r="991" ht="15.75" customHeight="1">
      <c r="D991" s="12"/>
      <c r="E991" s="3"/>
      <c r="J991" s="3"/>
    </row>
    <row r="992" ht="15.75" customHeight="1">
      <c r="D992" s="12"/>
      <c r="E992" s="3"/>
      <c r="J992" s="3"/>
    </row>
    <row r="993" ht="15.75" customHeight="1">
      <c r="D993" s="12"/>
      <c r="E993" s="3"/>
      <c r="J993" s="3"/>
    </row>
    <row r="994" ht="15.75" customHeight="1">
      <c r="D994" s="12"/>
      <c r="E994" s="3"/>
      <c r="J994" s="3"/>
    </row>
    <row r="995" ht="15.75" customHeight="1">
      <c r="D995" s="12"/>
      <c r="E995" s="3"/>
      <c r="J995" s="3"/>
    </row>
    <row r="996" ht="15.75" customHeight="1">
      <c r="D996" s="12"/>
      <c r="E996" s="3"/>
      <c r="J996" s="3"/>
    </row>
    <row r="997" ht="15.75" customHeight="1">
      <c r="D997" s="12"/>
      <c r="E997" s="3"/>
      <c r="J997" s="3"/>
    </row>
    <row r="998" ht="15.75" customHeight="1">
      <c r="D998" s="12"/>
      <c r="E998" s="3"/>
      <c r="J998" s="3"/>
    </row>
    <row r="999" ht="15.75" customHeight="1">
      <c r="D999" s="12"/>
      <c r="E999" s="3"/>
      <c r="J999" s="3"/>
    </row>
    <row r="1000" ht="15.75" customHeight="1">
      <c r="D1000" s="12"/>
      <c r="E1000" s="3"/>
      <c r="J1000" s="3"/>
    </row>
    <row r="1001" ht="15.75" customHeight="1">
      <c r="D1001" s="12"/>
      <c r="E1001" s="3"/>
      <c r="J1001" s="3"/>
    </row>
    <row r="1002" ht="15.75" customHeight="1">
      <c r="D1002" s="12"/>
      <c r="E1002" s="3"/>
      <c r="J1002" s="3"/>
    </row>
    <row r="1003" ht="15.75" customHeight="1">
      <c r="D1003" s="12"/>
      <c r="E1003" s="3"/>
      <c r="J1003" s="3"/>
    </row>
    <row r="1004" ht="15.75" customHeight="1">
      <c r="D1004" s="12"/>
      <c r="E1004" s="3"/>
      <c r="J1004" s="3"/>
    </row>
    <row r="1005" ht="15.75" customHeight="1">
      <c r="D1005" s="12"/>
      <c r="E1005" s="3"/>
      <c r="J1005" s="3"/>
    </row>
  </sheetData>
  <mergeCells count="37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C89:G89"/>
    <mergeCell ref="C93:G93"/>
    <mergeCell ref="A96:B96"/>
    <mergeCell ref="C96:H96"/>
    <mergeCell ref="A97:B97"/>
    <mergeCell ref="C97:H97"/>
    <mergeCell ref="G8:G9"/>
    <mergeCell ref="H8:H9"/>
    <mergeCell ref="B84:K84"/>
    <mergeCell ref="C86:G86"/>
    <mergeCell ref="C87:G87"/>
    <mergeCell ref="J87:K87"/>
    <mergeCell ref="C88:G88"/>
    <mergeCell ref="K96:P96"/>
    <mergeCell ref="S96:V96"/>
    <mergeCell ref="X96:Z96"/>
    <mergeCell ref="K97:P97"/>
    <mergeCell ref="S97:V97"/>
    <mergeCell ref="J100:V100"/>
    <mergeCell ref="J103:V103"/>
    <mergeCell ref="J104:V104"/>
    <mergeCell ref="L87:V87"/>
    <mergeCell ref="L88:V88"/>
    <mergeCell ref="L89:V89"/>
    <mergeCell ref="L90:V90"/>
    <mergeCell ref="K93:P93"/>
    <mergeCell ref="S93:V93"/>
    <mergeCell ref="X93:Y93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3.25"/>
    <col customWidth="1" min="9" max="9" width="10.38"/>
    <col customWidth="1" min="10" max="14" width="7.63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2"/>
      <c r="Z1" s="2"/>
    </row>
    <row r="2">
      <c r="A2" s="3" t="s">
        <v>1</v>
      </c>
      <c r="Y2" s="2"/>
      <c r="Z2" s="2"/>
    </row>
    <row r="3">
      <c r="A3" s="4"/>
      <c r="Y3" s="2"/>
      <c r="Z3" s="2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</row>
    <row r="5">
      <c r="A5" s="11"/>
      <c r="B5" s="6"/>
      <c r="C5" s="2"/>
      <c r="D5" s="12"/>
      <c r="E5" s="13"/>
      <c r="F5" s="14"/>
      <c r="G5" s="15"/>
      <c r="H5" s="16"/>
      <c r="I5" s="16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/>
      <c r="C6" s="2"/>
      <c r="D6" s="12"/>
      <c r="E6" s="13"/>
      <c r="F6" s="14"/>
      <c r="G6" s="15"/>
      <c r="H6" s="16"/>
      <c r="I6" s="16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</v>
      </c>
      <c r="B7" s="6"/>
      <c r="C7" s="2"/>
      <c r="D7" s="12"/>
      <c r="E7" s="13"/>
      <c r="F7" s="14"/>
      <c r="G7" s="15"/>
      <c r="H7" s="16"/>
      <c r="I7" s="16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27"/>
      <c r="Z8" s="27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34"/>
      <c r="Z9" s="27"/>
    </row>
    <row r="10" ht="15.75" customHeight="1">
      <c r="A10" s="35"/>
      <c r="B10" s="36" t="s">
        <v>29</v>
      </c>
      <c r="C10" s="37"/>
      <c r="D10" s="38"/>
      <c r="E10" s="39"/>
      <c r="F10" s="40"/>
      <c r="G10" s="37"/>
      <c r="H10" s="37"/>
      <c r="I10" s="37"/>
      <c r="J10" s="41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42"/>
      <c r="X10" s="43"/>
      <c r="Y10" s="27"/>
      <c r="Z10" s="27"/>
    </row>
    <row r="11" ht="15.75" customHeight="1">
      <c r="A11" s="35"/>
      <c r="B11" s="44" t="s">
        <v>30</v>
      </c>
      <c r="C11" s="4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49">
        <f t="shared" ref="G11:G24" si="1">F11*D11</f>
        <v>32000</v>
      </c>
      <c r="H11" s="45" t="s">
        <v>32</v>
      </c>
      <c r="I11" s="50"/>
      <c r="J11" s="141">
        <v>40.0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27"/>
      <c r="Z11" s="27"/>
    </row>
    <row r="12" ht="15.75" customHeight="1">
      <c r="A12" s="35"/>
      <c r="B12" s="51" t="s">
        <v>33</v>
      </c>
      <c r="C12" s="52" t="s">
        <v>34</v>
      </c>
      <c r="D12" s="46">
        <v>1.0</v>
      </c>
      <c r="E12" s="47" t="str">
        <f>IFERROR(__xludf.DUMMYFUNCTION("REGEXEXTRACT(C12,""[A-Za-z]+"")"),"lot")</f>
        <v>lot</v>
      </c>
      <c r="F12" s="48">
        <v>33000.0</v>
      </c>
      <c r="G12" s="49">
        <f t="shared" si="1"/>
        <v>33000</v>
      </c>
      <c r="H12" s="45" t="s">
        <v>32</v>
      </c>
      <c r="I12" s="50"/>
      <c r="J12" s="142">
        <v>1.0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27"/>
      <c r="Z12" s="27"/>
    </row>
    <row r="13" ht="15.75" customHeight="1">
      <c r="A13" s="35"/>
      <c r="B13" s="51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49">
        <f t="shared" si="1"/>
        <v>30000</v>
      </c>
      <c r="H13" s="45" t="s">
        <v>32</v>
      </c>
      <c r="I13" s="50"/>
      <c r="J13" s="143">
        <v>10.0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27"/>
      <c r="Z13" s="27"/>
    </row>
    <row r="14" ht="15.75" customHeight="1">
      <c r="A14" s="35"/>
      <c r="B14" s="51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49">
        <f t="shared" si="1"/>
        <v>30000</v>
      </c>
      <c r="H14" s="45" t="s">
        <v>32</v>
      </c>
      <c r="I14" s="50"/>
      <c r="J14" s="144">
        <v>200.0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27"/>
      <c r="Z14" s="27"/>
    </row>
    <row r="15" ht="15.75" customHeight="1">
      <c r="A15" s="35"/>
      <c r="B15" s="51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49">
        <f t="shared" si="1"/>
        <v>2400</v>
      </c>
      <c r="H15" s="45" t="s">
        <v>41</v>
      </c>
      <c r="I15" s="50"/>
      <c r="J15" s="145">
        <v>3.0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27"/>
      <c r="Z15" s="27"/>
    </row>
    <row r="16" ht="15.75" customHeight="1">
      <c r="A16" s="35"/>
      <c r="B16" s="51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49">
        <f t="shared" si="1"/>
        <v>2100</v>
      </c>
      <c r="H16" s="45" t="s">
        <v>41</v>
      </c>
      <c r="I16" s="50"/>
      <c r="J16" s="145">
        <v>3.0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27"/>
      <c r="Z16" s="27"/>
    </row>
    <row r="17" ht="15.75" customHeight="1">
      <c r="A17" s="35"/>
      <c r="B17" s="51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49">
        <f t="shared" si="1"/>
        <v>3300</v>
      </c>
      <c r="H17" s="45" t="s">
        <v>41</v>
      </c>
      <c r="I17" s="50"/>
      <c r="J17" s="145">
        <v>3.0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27"/>
      <c r="Z17" s="27"/>
    </row>
    <row r="18" ht="15.75" customHeight="1">
      <c r="A18" s="35"/>
      <c r="B18" s="51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49">
        <f t="shared" si="1"/>
        <v>3300</v>
      </c>
      <c r="H18" s="45" t="s">
        <v>41</v>
      </c>
      <c r="I18" s="50"/>
      <c r="J18" s="145">
        <v>3.0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27"/>
      <c r="Z18" s="27"/>
    </row>
    <row r="19" ht="15.75" customHeight="1">
      <c r="A19" s="35"/>
      <c r="B19" s="51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49">
        <f t="shared" si="1"/>
        <v>2100</v>
      </c>
      <c r="H19" s="45" t="s">
        <v>41</v>
      </c>
      <c r="I19" s="50"/>
      <c r="J19" s="145">
        <v>3.0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27"/>
      <c r="Z19" s="27"/>
    </row>
    <row r="20" ht="15.75" customHeight="1">
      <c r="A20" s="35"/>
      <c r="B20" s="51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49">
        <f t="shared" si="1"/>
        <v>1200</v>
      </c>
      <c r="H20" s="45" t="s">
        <v>41</v>
      </c>
      <c r="I20" s="50"/>
      <c r="J20" s="145">
        <v>3.0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27"/>
      <c r="Z20" s="27"/>
    </row>
    <row r="21" ht="15.75" customHeight="1">
      <c r="A21" s="35"/>
      <c r="B21" s="51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49">
        <f t="shared" si="1"/>
        <v>2100</v>
      </c>
      <c r="H21" s="45" t="s">
        <v>41</v>
      </c>
      <c r="I21" s="50"/>
      <c r="J21" s="145">
        <v>3.0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27"/>
      <c r="Z21" s="27"/>
    </row>
    <row r="22" ht="15.75" customHeight="1">
      <c r="A22" s="35"/>
      <c r="B22" s="51" t="s">
        <v>48</v>
      </c>
      <c r="C22" s="56" t="s">
        <v>49</v>
      </c>
      <c r="D22" s="57">
        <v>25.0</v>
      </c>
      <c r="E22" s="58" t="str">
        <f>IFERROR(__xludf.DUMMYFUNCTION("REGEXEXTRACT(C22,""[A-Za-z]+"")"),"samples")</f>
        <v>samples</v>
      </c>
      <c r="F22" s="59">
        <v>8000.0</v>
      </c>
      <c r="G22" s="49">
        <f t="shared" si="1"/>
        <v>200000</v>
      </c>
      <c r="H22" s="45" t="s">
        <v>41</v>
      </c>
      <c r="I22" s="60"/>
      <c r="J22" s="61"/>
      <c r="K22" s="146">
        <v>25.0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2"/>
      <c r="X22" s="63"/>
      <c r="Y22" s="27"/>
      <c r="Z22" s="27"/>
    </row>
    <row r="23" ht="15.75" customHeight="1">
      <c r="A23" s="35"/>
      <c r="B23" s="51" t="s">
        <v>50</v>
      </c>
      <c r="C23" s="56" t="s">
        <v>49</v>
      </c>
      <c r="D23" s="57">
        <v>25.0</v>
      </c>
      <c r="E23" s="58" t="str">
        <f>IFERROR(__xludf.DUMMYFUNCTION("REGEXEXTRACT(C23,""[A-Za-z]+"")"),"samples")</f>
        <v>samples</v>
      </c>
      <c r="F23" s="59">
        <v>3500.0</v>
      </c>
      <c r="G23" s="49">
        <f t="shared" si="1"/>
        <v>87500</v>
      </c>
      <c r="H23" s="45" t="s">
        <v>41</v>
      </c>
      <c r="I23" s="60"/>
      <c r="J23" s="61"/>
      <c r="K23" s="147">
        <v>25.0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2"/>
      <c r="X23" s="63"/>
      <c r="Y23" s="27"/>
      <c r="Z23" s="27"/>
    </row>
    <row r="24" ht="15.75" customHeight="1">
      <c r="A24" s="35"/>
      <c r="B24" s="51" t="s">
        <v>51</v>
      </c>
      <c r="C24" s="56" t="s">
        <v>49</v>
      </c>
      <c r="D24" s="57">
        <v>25.0</v>
      </c>
      <c r="E24" s="58" t="str">
        <f>IFERROR(__xludf.DUMMYFUNCTION("REGEXEXTRACT(C24,""[A-Za-z]+"")"),"samples")</f>
        <v>samples</v>
      </c>
      <c r="F24" s="59">
        <v>3000.0</v>
      </c>
      <c r="G24" s="49">
        <f t="shared" si="1"/>
        <v>75000</v>
      </c>
      <c r="H24" s="45" t="s">
        <v>41</v>
      </c>
      <c r="I24" s="60"/>
      <c r="J24" s="61"/>
      <c r="K24" s="148">
        <v>25.0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2"/>
      <c r="X24" s="63"/>
      <c r="Y24" s="27"/>
      <c r="Z24" s="27"/>
    </row>
    <row r="25" ht="15.75" customHeight="1">
      <c r="A25" s="35"/>
      <c r="B25" s="36" t="s">
        <v>52</v>
      </c>
      <c r="C25" s="37"/>
      <c r="D25" s="39"/>
      <c r="E25" s="39"/>
      <c r="F25" s="40"/>
      <c r="G25" s="37"/>
      <c r="H25" s="37"/>
      <c r="I25" s="37"/>
      <c r="J25" s="41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2"/>
      <c r="X25" s="43"/>
      <c r="Y25" s="27"/>
      <c r="Z25" s="27"/>
    </row>
    <row r="26" ht="15.75" customHeight="1">
      <c r="A26" s="35"/>
      <c r="B26" s="64" t="s">
        <v>53</v>
      </c>
      <c r="C26" s="54" t="s">
        <v>54</v>
      </c>
      <c r="D26" s="46">
        <v>15.0</v>
      </c>
      <c r="E26" s="55" t="str">
        <f>IFERROR(__xludf.DUMMYFUNCTION("REGEXEXTRACT(C26,""[A-Za-z]+"")")," btls ")</f>
        <v>btls</v>
      </c>
      <c r="F26" s="55">
        <v>3000.0</v>
      </c>
      <c r="G26" s="55">
        <f t="shared" ref="G26:G39" si="2">F26*D26</f>
        <v>45000</v>
      </c>
      <c r="H26" s="54" t="s">
        <v>55</v>
      </c>
      <c r="I26" s="65"/>
      <c r="J26" s="45"/>
      <c r="K26" s="143">
        <v>15.0</v>
      </c>
      <c r="L26" s="45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27"/>
      <c r="Z26" s="27"/>
    </row>
    <row r="27" ht="15.75" customHeight="1">
      <c r="A27" s="35"/>
      <c r="B27" s="64" t="s">
        <v>56</v>
      </c>
      <c r="C27" s="54" t="s">
        <v>54</v>
      </c>
      <c r="D27" s="46">
        <v>15.0</v>
      </c>
      <c r="E27" s="55" t="str">
        <f>IFERROR(__xludf.DUMMYFUNCTION("REGEXEXTRACT(C27,""[A-Za-z]+"")")," btls ")</f>
        <v>btls</v>
      </c>
      <c r="F27" s="55">
        <v>2000.0</v>
      </c>
      <c r="G27" s="55">
        <f t="shared" si="2"/>
        <v>30000</v>
      </c>
      <c r="H27" s="54" t="s">
        <v>55</v>
      </c>
      <c r="I27" s="65"/>
      <c r="J27" s="45"/>
      <c r="K27" s="143">
        <v>15.0</v>
      </c>
      <c r="L27" s="45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27"/>
      <c r="Z27" s="27"/>
    </row>
    <row r="28" ht="15.75" customHeight="1">
      <c r="A28" s="35"/>
      <c r="B28" s="64" t="s">
        <v>57</v>
      </c>
      <c r="C28" s="54" t="s">
        <v>58</v>
      </c>
      <c r="D28" s="46">
        <v>10.0</v>
      </c>
      <c r="E28" s="55" t="str">
        <f>IFERROR(__xludf.DUMMYFUNCTION("REGEXEXTRACT(C28,""[A-Za-z]+"")")," btls ")</f>
        <v>btls</v>
      </c>
      <c r="F28" s="55">
        <v>4999.0</v>
      </c>
      <c r="G28" s="55">
        <f t="shared" si="2"/>
        <v>49990</v>
      </c>
      <c r="H28" s="54" t="s">
        <v>55</v>
      </c>
      <c r="I28" s="65"/>
      <c r="J28" s="45"/>
      <c r="K28" s="143">
        <v>10.0</v>
      </c>
      <c r="L28" s="45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27"/>
      <c r="Z28" s="27"/>
    </row>
    <row r="29" ht="15.75" customHeight="1">
      <c r="A29" s="35"/>
      <c r="B29" s="64" t="s">
        <v>78</v>
      </c>
      <c r="C29" s="54" t="s">
        <v>79</v>
      </c>
      <c r="D29" s="46">
        <v>10.0</v>
      </c>
      <c r="E29" s="47" t="str">
        <f>IFERROR(__xludf.DUMMYFUNCTION("REGEXEXTRACT(C29,""[A-Za-z]+"")"),"boxes")</f>
        <v>boxes</v>
      </c>
      <c r="F29" s="48">
        <v>300.0</v>
      </c>
      <c r="G29" s="55">
        <f t="shared" si="2"/>
        <v>3000</v>
      </c>
      <c r="H29" s="45" t="s">
        <v>55</v>
      </c>
      <c r="I29" s="50"/>
      <c r="J29" s="45"/>
      <c r="K29" s="149">
        <v>10.0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27"/>
      <c r="Z29" s="27"/>
    </row>
    <row r="30" ht="15.75" customHeight="1">
      <c r="A30" s="35"/>
      <c r="B30" s="64" t="s">
        <v>80</v>
      </c>
      <c r="C30" s="54" t="s">
        <v>79</v>
      </c>
      <c r="D30" s="46">
        <v>10.0</v>
      </c>
      <c r="E30" s="47" t="str">
        <f>IFERROR(__xludf.DUMMYFUNCTION("REGEXEXTRACT(C30,""[A-Za-z]+"")"),"boxes")</f>
        <v>boxes</v>
      </c>
      <c r="F30" s="48">
        <v>300.0</v>
      </c>
      <c r="G30" s="55">
        <f t="shared" si="2"/>
        <v>3000</v>
      </c>
      <c r="H30" s="45" t="s">
        <v>55</v>
      </c>
      <c r="I30" s="50"/>
      <c r="J30" s="45"/>
      <c r="K30" s="149">
        <v>10.0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27"/>
      <c r="Z30" s="27"/>
    </row>
    <row r="31" ht="15.75" customHeight="1">
      <c r="A31" s="35"/>
      <c r="B31" s="64" t="s">
        <v>81</v>
      </c>
      <c r="C31" s="52" t="s">
        <v>82</v>
      </c>
      <c r="D31" s="46">
        <v>6.0</v>
      </c>
      <c r="E31" s="47" t="str">
        <f>IFERROR(__xludf.DUMMYFUNCTION("REGEXEXTRACT(C31,""[A-Za-z]+"")"),"pcs")</f>
        <v>pcs</v>
      </c>
      <c r="F31" s="48">
        <v>500.0</v>
      </c>
      <c r="G31" s="55">
        <f t="shared" si="2"/>
        <v>3000</v>
      </c>
      <c r="H31" s="45" t="s">
        <v>55</v>
      </c>
      <c r="I31" s="50"/>
      <c r="J31" s="45"/>
      <c r="K31" s="149">
        <v>2.0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27"/>
      <c r="Z31" s="27"/>
    </row>
    <row r="32" ht="15.75" customHeight="1">
      <c r="A32" s="35"/>
      <c r="B32" s="64" t="s">
        <v>83</v>
      </c>
      <c r="C32" s="52" t="s">
        <v>82</v>
      </c>
      <c r="D32" s="46">
        <v>6.0</v>
      </c>
      <c r="E32" s="47" t="str">
        <f>IFERROR(__xludf.DUMMYFUNCTION("REGEXEXTRACT(C32,""[A-Za-z]+"")"),"pcs")</f>
        <v>pcs</v>
      </c>
      <c r="F32" s="48">
        <v>500.0</v>
      </c>
      <c r="G32" s="55">
        <f t="shared" si="2"/>
        <v>3000</v>
      </c>
      <c r="H32" s="45" t="s">
        <v>55</v>
      </c>
      <c r="I32" s="50"/>
      <c r="J32" s="45"/>
      <c r="K32" s="149">
        <v>2.0</v>
      </c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27"/>
      <c r="Z32" s="27"/>
    </row>
    <row r="33" ht="15.75" customHeight="1">
      <c r="A33" s="73"/>
      <c r="B33" s="64" t="s">
        <v>105</v>
      </c>
      <c r="C33" s="72" t="s">
        <v>61</v>
      </c>
      <c r="D33" s="57">
        <v>20.0</v>
      </c>
      <c r="E33" s="58" t="str">
        <f>IFERROR(__xludf.DUMMYFUNCTION("REGEXEXTRACT(C33,""[A-Za-z]+"")"),"pcs")</f>
        <v>pcs</v>
      </c>
      <c r="F33" s="59">
        <v>1300.0</v>
      </c>
      <c r="G33" s="55">
        <f t="shared" si="2"/>
        <v>26000</v>
      </c>
      <c r="H33" s="54" t="s">
        <v>55</v>
      </c>
      <c r="I33" s="76"/>
      <c r="J33" s="45"/>
      <c r="K33" s="145">
        <v>20.0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7"/>
      <c r="Z33" s="27"/>
    </row>
    <row r="34" ht="15.75" customHeight="1">
      <c r="A34" s="73"/>
      <c r="B34" s="64" t="s">
        <v>106</v>
      </c>
      <c r="C34" s="72" t="s">
        <v>107</v>
      </c>
      <c r="D34" s="57">
        <v>15.0</v>
      </c>
      <c r="E34" s="58" t="str">
        <f>IFERROR(__xludf.DUMMYFUNCTION("REGEXEXTRACT(C34,""[A-Za-z]+"")"),"pcs")</f>
        <v>pcs</v>
      </c>
      <c r="F34" s="59">
        <v>800.0</v>
      </c>
      <c r="G34" s="55">
        <f t="shared" si="2"/>
        <v>12000</v>
      </c>
      <c r="H34" s="54" t="s">
        <v>55</v>
      </c>
      <c r="I34" s="76"/>
      <c r="J34" s="45"/>
      <c r="K34" s="145">
        <v>15.0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27"/>
      <c r="Z34" s="27"/>
    </row>
    <row r="35" ht="15.75" customHeight="1">
      <c r="A35" s="73"/>
      <c r="B35" s="64" t="s">
        <v>108</v>
      </c>
      <c r="C35" s="72" t="s">
        <v>107</v>
      </c>
      <c r="D35" s="57">
        <v>15.0</v>
      </c>
      <c r="E35" s="58" t="str">
        <f>IFERROR(__xludf.DUMMYFUNCTION("REGEXEXTRACT(C35,""[A-Za-z]+"")"),"pcs")</f>
        <v>pcs</v>
      </c>
      <c r="F35" s="59">
        <v>250.0</v>
      </c>
      <c r="G35" s="55">
        <f t="shared" si="2"/>
        <v>3750</v>
      </c>
      <c r="H35" s="54" t="s">
        <v>55</v>
      </c>
      <c r="I35" s="76"/>
      <c r="J35" s="45"/>
      <c r="K35" s="145">
        <v>15.0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27"/>
      <c r="Z35" s="27"/>
    </row>
    <row r="36" ht="15.75" customHeight="1">
      <c r="A36" s="73"/>
      <c r="B36" s="64" t="s">
        <v>133</v>
      </c>
      <c r="C36" s="72"/>
      <c r="D36" s="46">
        <v>10.0</v>
      </c>
      <c r="E36" s="55" t="s">
        <v>110</v>
      </c>
      <c r="F36" s="59">
        <v>2400.0</v>
      </c>
      <c r="G36" s="55">
        <f t="shared" si="2"/>
        <v>24000</v>
      </c>
      <c r="H36" s="54" t="s">
        <v>55</v>
      </c>
      <c r="I36" s="76"/>
      <c r="J36" s="45"/>
      <c r="K36" s="145">
        <v>10.0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27"/>
      <c r="Z36" s="27"/>
    </row>
    <row r="37" ht="15.75" customHeight="1">
      <c r="A37" s="79"/>
      <c r="B37" s="64" t="s">
        <v>134</v>
      </c>
      <c r="C37" s="56"/>
      <c r="D37" s="46">
        <v>10.0</v>
      </c>
      <c r="E37" s="55" t="s">
        <v>110</v>
      </c>
      <c r="F37" s="59">
        <v>2000.0</v>
      </c>
      <c r="G37" s="55">
        <f t="shared" si="2"/>
        <v>20000</v>
      </c>
      <c r="H37" s="54" t="s">
        <v>55</v>
      </c>
      <c r="I37" s="83"/>
      <c r="J37" s="45"/>
      <c r="K37" s="145">
        <v>10.0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5"/>
      <c r="Z37" s="85"/>
      <c r="AA37" s="86"/>
      <c r="AB37" s="86"/>
    </row>
    <row r="38" ht="15.75" customHeight="1">
      <c r="A38" s="79"/>
      <c r="B38" s="64" t="s">
        <v>135</v>
      </c>
      <c r="C38" s="56"/>
      <c r="D38" s="46">
        <v>10.0</v>
      </c>
      <c r="E38" s="55" t="s">
        <v>110</v>
      </c>
      <c r="F38" s="59">
        <v>1000.0</v>
      </c>
      <c r="G38" s="55">
        <f t="shared" si="2"/>
        <v>10000</v>
      </c>
      <c r="H38" s="54" t="s">
        <v>55</v>
      </c>
      <c r="I38" s="83"/>
      <c r="J38" s="45"/>
      <c r="K38" s="145">
        <v>10.0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5"/>
      <c r="Z38" s="85"/>
      <c r="AA38" s="86"/>
      <c r="AB38" s="86"/>
    </row>
    <row r="39" ht="15.75" customHeight="1">
      <c r="A39" s="73"/>
      <c r="B39" s="74" t="s">
        <v>103</v>
      </c>
      <c r="C39" s="72" t="s">
        <v>104</v>
      </c>
      <c r="D39" s="46">
        <v>24.0</v>
      </c>
      <c r="E39" s="55" t="str">
        <f>IFERROR(__xludf.DUMMYFUNCTION("REGEXEXTRACT(C39,""[A-Za-z]+"")")," pcs ")</f>
        <v>pcs</v>
      </c>
      <c r="F39" s="70">
        <v>2500.0</v>
      </c>
      <c r="G39" s="55">
        <f t="shared" si="2"/>
        <v>60000</v>
      </c>
      <c r="H39" s="54" t="s">
        <v>55</v>
      </c>
      <c r="I39" s="75"/>
      <c r="J39" s="45"/>
      <c r="K39" s="145">
        <v>24.0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2"/>
      <c r="Z39" s="2"/>
    </row>
    <row r="40" ht="15.75" customHeight="1">
      <c r="A40" s="35"/>
      <c r="B40" s="36" t="s">
        <v>59</v>
      </c>
      <c r="C40" s="37"/>
      <c r="D40" s="39"/>
      <c r="E40" s="39"/>
      <c r="F40" s="40"/>
      <c r="G40" s="37"/>
      <c r="H40" s="37"/>
      <c r="I40" s="37"/>
      <c r="J40" s="4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42"/>
      <c r="X40" s="43"/>
      <c r="Y40" s="27"/>
      <c r="Z40" s="27"/>
    </row>
    <row r="41" ht="15.75" customHeight="1">
      <c r="A41" s="35"/>
      <c r="B41" s="64" t="s">
        <v>136</v>
      </c>
      <c r="C41" s="54"/>
      <c r="D41" s="46">
        <v>2.0</v>
      </c>
      <c r="E41" s="55" t="s">
        <v>137</v>
      </c>
      <c r="F41" s="55">
        <v>20000.0</v>
      </c>
      <c r="G41" s="55">
        <f t="shared" ref="G41:G86" si="3">F41*D41</f>
        <v>40000</v>
      </c>
      <c r="H41" s="54" t="s">
        <v>55</v>
      </c>
      <c r="I41" s="88"/>
      <c r="J41" s="150">
        <v>2.0</v>
      </c>
      <c r="K41" s="61"/>
      <c r="L41" s="61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2"/>
      <c r="X41" s="63"/>
      <c r="Y41" s="27"/>
      <c r="Z41" s="27"/>
    </row>
    <row r="42" ht="15.75" customHeight="1">
      <c r="A42" s="35"/>
      <c r="B42" s="64" t="s">
        <v>60</v>
      </c>
      <c r="C42" s="54" t="s">
        <v>61</v>
      </c>
      <c r="D42" s="57">
        <v>20.0</v>
      </c>
      <c r="E42" s="58" t="str">
        <f>IFERROR(__xludf.DUMMYFUNCTION("REGEXEXTRACT(C42,""[A-Za-z]+"")"),"pcs")</f>
        <v>pcs</v>
      </c>
      <c r="F42" s="59">
        <v>500.0</v>
      </c>
      <c r="G42" s="55">
        <f t="shared" si="3"/>
        <v>10000</v>
      </c>
      <c r="H42" s="45" t="s">
        <v>55</v>
      </c>
      <c r="I42" s="60"/>
      <c r="J42" s="151">
        <v>20.0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2"/>
      <c r="X42" s="63"/>
      <c r="Y42" s="27"/>
      <c r="Z42" s="27"/>
    </row>
    <row r="43" ht="15.75" customHeight="1">
      <c r="A43" s="35"/>
      <c r="B43" s="64" t="s">
        <v>62</v>
      </c>
      <c r="C43" s="54" t="s">
        <v>61</v>
      </c>
      <c r="D43" s="57">
        <v>20.0</v>
      </c>
      <c r="E43" s="58" t="str">
        <f>IFERROR(__xludf.DUMMYFUNCTION("REGEXEXTRACT(C43,""[A-Za-z]+"")"),"pcs")</f>
        <v>pcs</v>
      </c>
      <c r="F43" s="59">
        <v>300.0</v>
      </c>
      <c r="G43" s="55">
        <f t="shared" si="3"/>
        <v>6000</v>
      </c>
      <c r="H43" s="45" t="s">
        <v>55</v>
      </c>
      <c r="I43" s="60"/>
      <c r="J43" s="151">
        <v>20.0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2"/>
      <c r="X43" s="63"/>
      <c r="Y43" s="27"/>
      <c r="Z43" s="27"/>
    </row>
    <row r="44" ht="15.75" customHeight="1">
      <c r="A44" s="35"/>
      <c r="B44" s="64" t="s">
        <v>63</v>
      </c>
      <c r="C44" s="54" t="s">
        <v>61</v>
      </c>
      <c r="D44" s="57">
        <v>20.0</v>
      </c>
      <c r="E44" s="58" t="str">
        <f>IFERROR(__xludf.DUMMYFUNCTION("REGEXEXTRACT(C44,""[A-Za-z]+"")"),"pcs")</f>
        <v>pcs</v>
      </c>
      <c r="F44" s="59">
        <v>200.0</v>
      </c>
      <c r="G44" s="55">
        <f t="shared" si="3"/>
        <v>4000</v>
      </c>
      <c r="H44" s="45" t="s">
        <v>55</v>
      </c>
      <c r="I44" s="60"/>
      <c r="J44" s="151">
        <v>20.0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2"/>
      <c r="X44" s="63"/>
      <c r="Y44" s="27"/>
      <c r="Z44" s="27"/>
    </row>
    <row r="45" ht="15.75" customHeight="1">
      <c r="A45" s="35"/>
      <c r="B45" s="64" t="s">
        <v>64</v>
      </c>
      <c r="C45" s="54" t="s">
        <v>65</v>
      </c>
      <c r="D45" s="57">
        <v>10.0</v>
      </c>
      <c r="E45" s="58" t="str">
        <f>IFERROR(__xludf.DUMMYFUNCTION("REGEXEXTRACT(C45,""[A-Za-z]+"")"),"pcs")</f>
        <v>pcs</v>
      </c>
      <c r="F45" s="59">
        <v>500.0</v>
      </c>
      <c r="G45" s="55">
        <f t="shared" si="3"/>
        <v>5000</v>
      </c>
      <c r="H45" s="45" t="s">
        <v>55</v>
      </c>
      <c r="I45" s="60"/>
      <c r="J45" s="151">
        <v>10.0</v>
      </c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2"/>
      <c r="X45" s="63"/>
      <c r="Y45" s="27"/>
      <c r="Z45" s="27"/>
    </row>
    <row r="46" ht="15.75" customHeight="1">
      <c r="A46" s="35"/>
      <c r="B46" s="64" t="s">
        <v>66</v>
      </c>
      <c r="C46" s="54" t="s">
        <v>65</v>
      </c>
      <c r="D46" s="57">
        <v>10.0</v>
      </c>
      <c r="E46" s="58" t="str">
        <f>IFERROR(__xludf.DUMMYFUNCTION("REGEXEXTRACT(C46,""[A-Za-z]+"")"),"pcs")</f>
        <v>pcs</v>
      </c>
      <c r="F46" s="59">
        <v>450.0</v>
      </c>
      <c r="G46" s="55">
        <f t="shared" si="3"/>
        <v>4500</v>
      </c>
      <c r="H46" s="45" t="s">
        <v>55</v>
      </c>
      <c r="I46" s="60"/>
      <c r="J46" s="151">
        <v>10.0</v>
      </c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2"/>
      <c r="X46" s="63"/>
      <c r="Y46" s="27"/>
      <c r="Z46" s="27"/>
    </row>
    <row r="47" ht="15.75" customHeight="1">
      <c r="A47" s="35"/>
      <c r="B47" s="64" t="s">
        <v>67</v>
      </c>
      <c r="C47" s="54" t="s">
        <v>61</v>
      </c>
      <c r="D47" s="57">
        <v>20.0</v>
      </c>
      <c r="E47" s="58" t="str">
        <f>IFERROR(__xludf.DUMMYFUNCTION("REGEXEXTRACT(C47,""[A-Za-z]+"")"),"pcs")</f>
        <v>pcs</v>
      </c>
      <c r="F47" s="59">
        <v>430.0</v>
      </c>
      <c r="G47" s="55">
        <f t="shared" si="3"/>
        <v>8600</v>
      </c>
      <c r="H47" s="45" t="s">
        <v>55</v>
      </c>
      <c r="I47" s="60"/>
      <c r="J47" s="151">
        <v>20.0</v>
      </c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2"/>
      <c r="X47" s="63"/>
      <c r="Y47" s="27"/>
      <c r="Z47" s="27"/>
    </row>
    <row r="48" ht="15.75" customHeight="1">
      <c r="A48" s="35"/>
      <c r="B48" s="64" t="s">
        <v>68</v>
      </c>
      <c r="C48" s="54" t="s">
        <v>65</v>
      </c>
      <c r="D48" s="57">
        <v>10.0</v>
      </c>
      <c r="E48" s="58" t="str">
        <f>IFERROR(__xludf.DUMMYFUNCTION("REGEXEXTRACT(C48,""[A-Za-z]+"")"),"pcs")</f>
        <v>pcs</v>
      </c>
      <c r="F48" s="59">
        <v>65.0</v>
      </c>
      <c r="G48" s="55">
        <f t="shared" si="3"/>
        <v>650</v>
      </c>
      <c r="H48" s="45" t="s">
        <v>55</v>
      </c>
      <c r="I48" s="60"/>
      <c r="J48" s="151">
        <v>10.0</v>
      </c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2"/>
      <c r="X48" s="63"/>
      <c r="Y48" s="27"/>
      <c r="Z48" s="27"/>
    </row>
    <row r="49" ht="15.75" customHeight="1">
      <c r="A49" s="35"/>
      <c r="B49" s="64" t="s">
        <v>69</v>
      </c>
      <c r="C49" s="54" t="s">
        <v>70</v>
      </c>
      <c r="D49" s="57">
        <v>30.0</v>
      </c>
      <c r="E49" s="58" t="str">
        <f>IFERROR(__xludf.DUMMYFUNCTION("REGEXEXTRACT(C49,""[A-Za-z]+"")"),"pcs")</f>
        <v>pcs</v>
      </c>
      <c r="F49" s="59">
        <v>150.0</v>
      </c>
      <c r="G49" s="55">
        <f t="shared" si="3"/>
        <v>4500</v>
      </c>
      <c r="H49" s="45" t="s">
        <v>55</v>
      </c>
      <c r="I49" s="60"/>
      <c r="J49" s="151">
        <v>30.0</v>
      </c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2"/>
      <c r="X49" s="63"/>
      <c r="Y49" s="27"/>
      <c r="Z49" s="27"/>
    </row>
    <row r="50" ht="15.75" customHeight="1">
      <c r="A50" s="35"/>
      <c r="B50" s="64" t="s">
        <v>71</v>
      </c>
      <c r="C50" s="54" t="s">
        <v>72</v>
      </c>
      <c r="D50" s="46">
        <v>40.0</v>
      </c>
      <c r="E50" s="47" t="str">
        <f>IFERROR(__xludf.DUMMYFUNCTION("REGEXEXTRACT(C50,""[A-Za-z]+"")"),"pcs")</f>
        <v>pcs</v>
      </c>
      <c r="F50" s="48">
        <v>199.0</v>
      </c>
      <c r="G50" s="55">
        <f t="shared" si="3"/>
        <v>7960</v>
      </c>
      <c r="H50" s="45" t="s">
        <v>55</v>
      </c>
      <c r="I50" s="50"/>
      <c r="J50" s="152">
        <v>40.0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27"/>
      <c r="Z50" s="27"/>
    </row>
    <row r="51" ht="15.75" customHeight="1">
      <c r="A51" s="35"/>
      <c r="B51" s="64" t="s">
        <v>73</v>
      </c>
      <c r="C51" s="54" t="s">
        <v>72</v>
      </c>
      <c r="D51" s="46">
        <v>40.0</v>
      </c>
      <c r="E51" s="47" t="str">
        <f>IFERROR(__xludf.DUMMYFUNCTION("REGEXEXTRACT(C51,""[A-Za-z]+"")"),"pcs")</f>
        <v>pcs</v>
      </c>
      <c r="F51" s="48">
        <v>199.0</v>
      </c>
      <c r="G51" s="55">
        <f t="shared" si="3"/>
        <v>7960</v>
      </c>
      <c r="H51" s="45" t="s">
        <v>55</v>
      </c>
      <c r="I51" s="50"/>
      <c r="J51" s="152">
        <v>40.0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27"/>
      <c r="Z51" s="27"/>
    </row>
    <row r="52" ht="15.75" customHeight="1">
      <c r="A52" s="35"/>
      <c r="B52" s="64" t="s">
        <v>74</v>
      </c>
      <c r="C52" s="52" t="s">
        <v>75</v>
      </c>
      <c r="D52" s="46">
        <v>10.0</v>
      </c>
      <c r="E52" s="47" t="str">
        <f>IFERROR(__xludf.DUMMYFUNCTION("REGEXEXTRACT(C52,""[A-Za-z]+"")"),"packs")</f>
        <v>packs</v>
      </c>
      <c r="F52" s="48">
        <v>2000.0</v>
      </c>
      <c r="G52" s="55">
        <f t="shared" si="3"/>
        <v>20000</v>
      </c>
      <c r="H52" s="45" t="s">
        <v>55</v>
      </c>
      <c r="I52" s="50"/>
      <c r="J52" s="142">
        <v>2.0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27"/>
      <c r="Z52" s="27"/>
    </row>
    <row r="53" ht="15.75" customHeight="1">
      <c r="A53" s="35"/>
      <c r="B53" s="64" t="s">
        <v>76</v>
      </c>
      <c r="C53" s="52" t="s">
        <v>75</v>
      </c>
      <c r="D53" s="46">
        <v>10.0</v>
      </c>
      <c r="E53" s="47" t="str">
        <f>IFERROR(__xludf.DUMMYFUNCTION("REGEXEXTRACT(C53,""[A-Za-z]+"")"),"packs")</f>
        <v>packs</v>
      </c>
      <c r="F53" s="48">
        <v>2500.0</v>
      </c>
      <c r="G53" s="55">
        <f t="shared" si="3"/>
        <v>25000</v>
      </c>
      <c r="H53" s="45" t="s">
        <v>55</v>
      </c>
      <c r="I53" s="50"/>
      <c r="J53" s="142">
        <v>2.0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27"/>
      <c r="Z53" s="27"/>
    </row>
    <row r="54">
      <c r="A54" s="35"/>
      <c r="B54" s="64" t="s">
        <v>77</v>
      </c>
      <c r="C54" s="52" t="s">
        <v>75</v>
      </c>
      <c r="D54" s="46">
        <v>10.0</v>
      </c>
      <c r="E54" s="47" t="str">
        <f>IFERROR(__xludf.DUMMYFUNCTION("REGEXEXTRACT(C54,""[A-Za-z]+"")"),"packs")</f>
        <v>packs</v>
      </c>
      <c r="F54" s="48">
        <v>3000.0</v>
      </c>
      <c r="G54" s="55">
        <f t="shared" si="3"/>
        <v>30000</v>
      </c>
      <c r="H54" s="45" t="s">
        <v>55</v>
      </c>
      <c r="I54" s="50"/>
      <c r="J54" s="142">
        <v>2.0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27"/>
      <c r="Z54" s="27"/>
    </row>
    <row r="55" ht="15.75" customHeight="1">
      <c r="A55" s="35"/>
      <c r="B55" s="64" t="s">
        <v>84</v>
      </c>
      <c r="C55" s="54" t="s">
        <v>79</v>
      </c>
      <c r="D55" s="46">
        <v>10.0</v>
      </c>
      <c r="E55" s="47" t="str">
        <f>IFERROR(__xludf.DUMMYFUNCTION("REGEXEXTRACT(C55,""[A-Za-z]+"")"),"boxes")</f>
        <v>boxes</v>
      </c>
      <c r="F55" s="48">
        <v>200.0</v>
      </c>
      <c r="G55" s="55">
        <f t="shared" si="3"/>
        <v>2000</v>
      </c>
      <c r="H55" s="45" t="s">
        <v>55</v>
      </c>
      <c r="I55" s="50"/>
      <c r="J55" s="141">
        <v>10.0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27"/>
      <c r="Z55" s="27"/>
    </row>
    <row r="56" ht="15.75" customHeight="1">
      <c r="A56" s="35"/>
      <c r="B56" s="64" t="s">
        <v>85</v>
      </c>
      <c r="C56" s="54" t="s">
        <v>75</v>
      </c>
      <c r="D56" s="46">
        <v>10.0</v>
      </c>
      <c r="E56" s="47" t="str">
        <f>IFERROR(__xludf.DUMMYFUNCTION("REGEXEXTRACT(C56,""[A-Za-z]+"")"),"packs")</f>
        <v>packs</v>
      </c>
      <c r="F56" s="48">
        <v>200.0</v>
      </c>
      <c r="G56" s="55">
        <f t="shared" si="3"/>
        <v>2000</v>
      </c>
      <c r="H56" s="45" t="s">
        <v>55</v>
      </c>
      <c r="I56" s="50"/>
      <c r="J56" s="141">
        <v>10.0</v>
      </c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27"/>
      <c r="Z56" s="27"/>
    </row>
    <row r="57" ht="15.75" customHeight="1">
      <c r="A57" s="35"/>
      <c r="B57" s="64" t="s">
        <v>86</v>
      </c>
      <c r="C57" s="54" t="s">
        <v>75</v>
      </c>
      <c r="D57" s="46">
        <v>10.0</v>
      </c>
      <c r="E57" s="47" t="str">
        <f>IFERROR(__xludf.DUMMYFUNCTION("REGEXEXTRACT(C57,""[A-Za-z]+"")"),"packs")</f>
        <v>packs</v>
      </c>
      <c r="F57" s="48">
        <v>200.0</v>
      </c>
      <c r="G57" s="55">
        <f t="shared" si="3"/>
        <v>2000</v>
      </c>
      <c r="H57" s="45" t="s">
        <v>55</v>
      </c>
      <c r="I57" s="50"/>
      <c r="J57" s="141">
        <v>10.0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27"/>
      <c r="Z57" s="27"/>
    </row>
    <row r="58" ht="15.75" customHeight="1">
      <c r="A58" s="35"/>
      <c r="B58" s="64" t="s">
        <v>89</v>
      </c>
      <c r="C58" s="54" t="s">
        <v>75</v>
      </c>
      <c r="D58" s="46">
        <v>10.0</v>
      </c>
      <c r="E58" s="47" t="str">
        <f>IFERROR(__xludf.DUMMYFUNCTION("REGEXEXTRACT(C58,""[A-Za-z]+"")"),"packs")</f>
        <v>packs</v>
      </c>
      <c r="F58" s="48">
        <v>200.0</v>
      </c>
      <c r="G58" s="55">
        <f t="shared" si="3"/>
        <v>2000</v>
      </c>
      <c r="H58" s="45" t="s">
        <v>55</v>
      </c>
      <c r="I58" s="50"/>
      <c r="J58" s="141">
        <v>10.0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27"/>
      <c r="Z58" s="27"/>
    </row>
    <row r="59" ht="15.75" customHeight="1">
      <c r="A59" s="35"/>
      <c r="B59" s="64" t="s">
        <v>90</v>
      </c>
      <c r="C59" s="54" t="s">
        <v>75</v>
      </c>
      <c r="D59" s="46">
        <v>10.0</v>
      </c>
      <c r="E59" s="47" t="str">
        <f>IFERROR(__xludf.DUMMYFUNCTION("REGEXEXTRACT(C59,""[A-Za-z]+"")"),"packs")</f>
        <v>packs</v>
      </c>
      <c r="F59" s="48">
        <v>250.0</v>
      </c>
      <c r="G59" s="55">
        <f t="shared" si="3"/>
        <v>2500</v>
      </c>
      <c r="H59" s="45" t="s">
        <v>55</v>
      </c>
      <c r="I59" s="50"/>
      <c r="J59" s="141">
        <v>10.0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27"/>
      <c r="Z59" s="27"/>
    </row>
    <row r="60" ht="15.75" customHeight="1">
      <c r="A60" s="35"/>
      <c r="B60" s="64" t="s">
        <v>91</v>
      </c>
      <c r="C60" s="54" t="s">
        <v>75</v>
      </c>
      <c r="D60" s="46">
        <v>10.0</v>
      </c>
      <c r="E60" s="55" t="str">
        <f>IFERROR(__xludf.DUMMYFUNCTION("REGEXEXTRACT(C60,""[A-Za-z]+"")")," packs ")</f>
        <v>packs</v>
      </c>
      <c r="F60" s="55">
        <v>350.0</v>
      </c>
      <c r="G60" s="55">
        <f t="shared" si="3"/>
        <v>3500</v>
      </c>
      <c r="H60" s="54" t="s">
        <v>55</v>
      </c>
      <c r="I60" s="50"/>
      <c r="J60" s="141">
        <v>10.0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27"/>
      <c r="Z60" s="27"/>
    </row>
    <row r="61" ht="15.75" customHeight="1">
      <c r="A61" s="35"/>
      <c r="B61" s="64" t="s">
        <v>92</v>
      </c>
      <c r="C61" s="54" t="s">
        <v>75</v>
      </c>
      <c r="D61" s="46">
        <v>10.0</v>
      </c>
      <c r="E61" s="55" t="str">
        <f>IFERROR(__xludf.DUMMYFUNCTION("REGEXEXTRACT(C61,""[A-Za-z]+"")")," packs ")</f>
        <v>packs</v>
      </c>
      <c r="F61" s="55">
        <v>400.0</v>
      </c>
      <c r="G61" s="55">
        <f t="shared" si="3"/>
        <v>4000</v>
      </c>
      <c r="H61" s="54" t="s">
        <v>55</v>
      </c>
      <c r="I61" s="50"/>
      <c r="J61" s="141">
        <v>10.0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27"/>
      <c r="Z61" s="27"/>
    </row>
    <row r="62" ht="15.75" hidden="1" customHeight="1">
      <c r="A62" s="35"/>
      <c r="B62" s="44"/>
      <c r="C62" s="54"/>
      <c r="D62" s="46"/>
      <c r="E62" s="55" t="str">
        <f>IFERROR(__xludf.DUMMYFUNCTION("REGEXEXTRACT(C62,""[A-Za-z]+"")"),"#N/A")</f>
        <v>#N/A</v>
      </c>
      <c r="F62" s="55"/>
      <c r="G62" s="55">
        <f t="shared" si="3"/>
        <v>0</v>
      </c>
      <c r="H62" s="54"/>
      <c r="I62" s="50"/>
      <c r="J62" s="45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27"/>
      <c r="Z62" s="27"/>
    </row>
    <row r="63" ht="15.75" hidden="1" customHeight="1">
      <c r="A63" s="35"/>
      <c r="B63" s="44"/>
      <c r="C63" s="54"/>
      <c r="D63" s="46"/>
      <c r="E63" s="55" t="str">
        <f>IFERROR(__xludf.DUMMYFUNCTION("REGEXEXTRACT(C63,""[A-Za-z]+"")"),"#N/A")</f>
        <v>#N/A</v>
      </c>
      <c r="F63" s="55"/>
      <c r="G63" s="55">
        <f t="shared" si="3"/>
        <v>0</v>
      </c>
      <c r="H63" s="54"/>
      <c r="I63" s="50"/>
      <c r="J63" s="45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27"/>
      <c r="Z63" s="27"/>
    </row>
    <row r="64" ht="15.75" hidden="1" customHeight="1">
      <c r="A64" s="35"/>
      <c r="B64" s="44"/>
      <c r="C64" s="54"/>
      <c r="D64" s="46"/>
      <c r="E64" s="55" t="str">
        <f>IFERROR(__xludf.DUMMYFUNCTION("REGEXEXTRACT(C64,""[A-Za-z]+"")"),"#N/A")</f>
        <v>#N/A</v>
      </c>
      <c r="F64" s="55"/>
      <c r="G64" s="55">
        <f t="shared" si="3"/>
        <v>0</v>
      </c>
      <c r="H64" s="54"/>
      <c r="I64" s="50"/>
      <c r="J64" s="45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27"/>
      <c r="Z64" s="27"/>
    </row>
    <row r="65" ht="15.75" hidden="1" customHeight="1">
      <c r="A65" s="35"/>
      <c r="B65" s="44"/>
      <c r="C65" s="54"/>
      <c r="D65" s="46"/>
      <c r="E65" s="55" t="str">
        <f>IFERROR(__xludf.DUMMYFUNCTION("REGEXEXTRACT(C65,""[A-Za-z]+"")"),"#N/A")</f>
        <v>#N/A</v>
      </c>
      <c r="F65" s="55"/>
      <c r="G65" s="55">
        <f t="shared" si="3"/>
        <v>0</v>
      </c>
      <c r="H65" s="54"/>
      <c r="I65" s="50"/>
      <c r="J65" s="45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27"/>
      <c r="Z65" s="27"/>
    </row>
    <row r="66" ht="15.75" hidden="1" customHeight="1">
      <c r="A66" s="35"/>
      <c r="B66" s="44"/>
      <c r="C66" s="54"/>
      <c r="D66" s="46"/>
      <c r="E66" s="55" t="str">
        <f>IFERROR(__xludf.DUMMYFUNCTION("REGEXEXTRACT(C66,""[A-Za-z]+"")"),"#N/A")</f>
        <v>#N/A</v>
      </c>
      <c r="F66" s="55"/>
      <c r="G66" s="55">
        <f t="shared" si="3"/>
        <v>0</v>
      </c>
      <c r="H66" s="54"/>
      <c r="I66" s="50"/>
      <c r="J66" s="45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27"/>
      <c r="Z66" s="27"/>
    </row>
    <row r="67" ht="15.75" hidden="1" customHeight="1">
      <c r="A67" s="35"/>
      <c r="B67" s="44"/>
      <c r="C67" s="54"/>
      <c r="D67" s="46"/>
      <c r="E67" s="55" t="str">
        <f>IFERROR(__xludf.DUMMYFUNCTION("REGEXEXTRACT(C67,""[A-Za-z]+"")"),"#N/A")</f>
        <v>#N/A</v>
      </c>
      <c r="F67" s="55"/>
      <c r="G67" s="55">
        <f t="shared" si="3"/>
        <v>0</v>
      </c>
      <c r="H67" s="54"/>
      <c r="I67" s="50"/>
      <c r="J67" s="45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27"/>
      <c r="Z67" s="27"/>
    </row>
    <row r="68" ht="15.75" hidden="1" customHeight="1">
      <c r="A68" s="66"/>
      <c r="B68" s="67"/>
      <c r="C68" s="54"/>
      <c r="D68" s="46"/>
      <c r="E68" s="55" t="str">
        <f>IFERROR(__xludf.DUMMYFUNCTION("REGEXEXTRACT(C68,""[A-Za-z]+"")"),"#N/A")</f>
        <v>#N/A</v>
      </c>
      <c r="F68" s="55"/>
      <c r="G68" s="55">
        <f t="shared" si="3"/>
        <v>0</v>
      </c>
      <c r="H68" s="54"/>
      <c r="I68" s="50"/>
      <c r="J68" s="45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27"/>
      <c r="Z68" s="27"/>
    </row>
    <row r="69" ht="15.75" hidden="1" customHeight="1">
      <c r="A69" s="35"/>
      <c r="B69" s="36" t="s">
        <v>93</v>
      </c>
      <c r="C69" s="54"/>
      <c r="D69" s="46"/>
      <c r="E69" s="55" t="str">
        <f>IFERROR(__xludf.DUMMYFUNCTION("REGEXEXTRACT(C69,""[A-Za-z]+"")"),"#N/A")</f>
        <v>#N/A</v>
      </c>
      <c r="F69" s="55"/>
      <c r="G69" s="55">
        <f t="shared" si="3"/>
        <v>0</v>
      </c>
      <c r="H69" s="54"/>
      <c r="I69" s="68"/>
      <c r="J69" s="69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27"/>
      <c r="Z69" s="27"/>
    </row>
    <row r="70" ht="15.75" hidden="1" customHeight="1">
      <c r="A70" s="35"/>
      <c r="B70" s="44"/>
      <c r="C70" s="54"/>
      <c r="D70" s="46"/>
      <c r="E70" s="55" t="str">
        <f>IFERROR(__xludf.DUMMYFUNCTION("REGEXEXTRACT(C70,""[A-Za-z]+"")"),"#N/A")</f>
        <v>#N/A</v>
      </c>
      <c r="F70" s="55"/>
      <c r="G70" s="55">
        <f t="shared" si="3"/>
        <v>0</v>
      </c>
      <c r="H70" s="54"/>
      <c r="I70" s="50"/>
      <c r="J70" s="45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27"/>
      <c r="Z70" s="27"/>
    </row>
    <row r="71" ht="15.75" hidden="1" customHeight="1">
      <c r="A71" s="35"/>
      <c r="B71" s="44"/>
      <c r="C71" s="54"/>
      <c r="D71" s="46"/>
      <c r="E71" s="55" t="str">
        <f>IFERROR(__xludf.DUMMYFUNCTION("REGEXEXTRACT(C71,""[A-Za-z]+"")"),"#N/A")</f>
        <v>#N/A</v>
      </c>
      <c r="F71" s="55"/>
      <c r="G71" s="55">
        <f t="shared" si="3"/>
        <v>0</v>
      </c>
      <c r="H71" s="54"/>
      <c r="I71" s="50"/>
      <c r="J71" s="45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27"/>
      <c r="Z71" s="27"/>
    </row>
    <row r="72" ht="15.75" hidden="1" customHeight="1">
      <c r="A72" s="35"/>
      <c r="B72" s="44"/>
      <c r="C72" s="54"/>
      <c r="D72" s="46"/>
      <c r="E72" s="55" t="str">
        <f>IFERROR(__xludf.DUMMYFUNCTION("REGEXEXTRACT(C72,""[A-Za-z]+"")"),"#N/A")</f>
        <v>#N/A</v>
      </c>
      <c r="F72" s="55"/>
      <c r="G72" s="55">
        <f t="shared" si="3"/>
        <v>0</v>
      </c>
      <c r="H72" s="54"/>
      <c r="I72" s="50"/>
      <c r="J72" s="45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27"/>
      <c r="Z72" s="27"/>
    </row>
    <row r="73" ht="15.75" hidden="1" customHeight="1">
      <c r="A73" s="35"/>
      <c r="B73" s="44"/>
      <c r="C73" s="54"/>
      <c r="D73" s="46"/>
      <c r="E73" s="55" t="str">
        <f>IFERROR(__xludf.DUMMYFUNCTION("REGEXEXTRACT(C73,""[A-Za-z]+"")"),"#N/A")</f>
        <v>#N/A</v>
      </c>
      <c r="F73" s="55"/>
      <c r="G73" s="55">
        <f t="shared" si="3"/>
        <v>0</v>
      </c>
      <c r="H73" s="54"/>
      <c r="I73" s="50"/>
      <c r="J73" s="45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27"/>
      <c r="Z73" s="27"/>
    </row>
    <row r="74" ht="15.75" hidden="1" customHeight="1">
      <c r="A74" s="35"/>
      <c r="B74" s="36" t="s">
        <v>94</v>
      </c>
      <c r="C74" s="54"/>
      <c r="D74" s="46"/>
      <c r="E74" s="55" t="str">
        <f>IFERROR(__xludf.DUMMYFUNCTION("REGEXEXTRACT(C74,""[A-Za-z]+"")"),"#N/A")</f>
        <v>#N/A</v>
      </c>
      <c r="F74" s="55"/>
      <c r="G74" s="55">
        <f t="shared" si="3"/>
        <v>0</v>
      </c>
      <c r="H74" s="54"/>
      <c r="I74" s="68"/>
      <c r="J74" s="69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27"/>
      <c r="Z74" s="27"/>
    </row>
    <row r="75" ht="15.75" hidden="1" customHeight="1">
      <c r="A75" s="35"/>
      <c r="B75" s="44"/>
      <c r="C75" s="54"/>
      <c r="D75" s="46"/>
      <c r="E75" s="55" t="str">
        <f>IFERROR(__xludf.DUMMYFUNCTION("REGEXEXTRACT(C75,""[A-Za-z]+"")"),"#N/A")</f>
        <v>#N/A</v>
      </c>
      <c r="F75" s="55"/>
      <c r="G75" s="55">
        <f t="shared" si="3"/>
        <v>0</v>
      </c>
      <c r="H75" s="54"/>
      <c r="I75" s="50"/>
      <c r="J75" s="45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27"/>
      <c r="Z75" s="27"/>
    </row>
    <row r="76" ht="15.75" hidden="1" customHeight="1">
      <c r="A76" s="35"/>
      <c r="B76" s="44"/>
      <c r="C76" s="54"/>
      <c r="D76" s="46"/>
      <c r="E76" s="55" t="str">
        <f>IFERROR(__xludf.DUMMYFUNCTION("REGEXEXTRACT(C76,""[A-Za-z]+"")"),"#N/A")</f>
        <v>#N/A</v>
      </c>
      <c r="F76" s="55"/>
      <c r="G76" s="55">
        <f t="shared" si="3"/>
        <v>0</v>
      </c>
      <c r="H76" s="54"/>
      <c r="I76" s="50"/>
      <c r="J76" s="45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27"/>
      <c r="Z76" s="27"/>
    </row>
    <row r="77" ht="15.75" hidden="1" customHeight="1">
      <c r="A77" s="35"/>
      <c r="B77" s="44"/>
      <c r="C77" s="54"/>
      <c r="D77" s="46"/>
      <c r="E77" s="55" t="str">
        <f>IFERROR(__xludf.DUMMYFUNCTION("REGEXEXTRACT(C77,""[A-Za-z]+"")"),"#N/A")</f>
        <v>#N/A</v>
      </c>
      <c r="F77" s="55"/>
      <c r="G77" s="55">
        <f t="shared" si="3"/>
        <v>0</v>
      </c>
      <c r="H77" s="54"/>
      <c r="I77" s="50"/>
      <c r="J77" s="45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27"/>
      <c r="Z77" s="27"/>
    </row>
    <row r="78" ht="15.75" customHeight="1">
      <c r="A78" s="35"/>
      <c r="B78" s="64" t="s">
        <v>98</v>
      </c>
      <c r="C78" s="54" t="s">
        <v>99</v>
      </c>
      <c r="D78" s="46">
        <v>2.0</v>
      </c>
      <c r="E78" s="55" t="str">
        <f>IFERROR(__xludf.DUMMYFUNCTION("REGEXEXTRACT(C78,""[A-Za-z]+"")")," units ")</f>
        <v>units</v>
      </c>
      <c r="F78" s="70">
        <v>7200.0</v>
      </c>
      <c r="G78" s="55">
        <f t="shared" si="3"/>
        <v>14400</v>
      </c>
      <c r="H78" s="54" t="s">
        <v>55</v>
      </c>
      <c r="I78" s="65"/>
      <c r="J78" s="50"/>
      <c r="K78" s="143">
        <v>2.0</v>
      </c>
      <c r="L78" s="45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27"/>
      <c r="Z78" s="27"/>
    </row>
    <row r="79" ht="15.75" customHeight="1">
      <c r="A79" s="35"/>
      <c r="B79" s="71" t="s">
        <v>100</v>
      </c>
      <c r="C79" s="72" t="s">
        <v>101</v>
      </c>
      <c r="D79" s="46">
        <v>6.0</v>
      </c>
      <c r="E79" s="55" t="str">
        <f>IFERROR(__xludf.DUMMYFUNCTION("REGEXEXTRACT(C79,""[A-Za-z]+"")")," units ")</f>
        <v>units</v>
      </c>
      <c r="F79" s="70">
        <v>500.0</v>
      </c>
      <c r="G79" s="55">
        <f t="shared" si="3"/>
        <v>3000</v>
      </c>
      <c r="H79" s="54" t="s">
        <v>55</v>
      </c>
      <c r="I79" s="65"/>
      <c r="J79" s="50"/>
      <c r="K79" s="143">
        <v>6.0</v>
      </c>
      <c r="L79" s="45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27"/>
      <c r="Z79" s="27"/>
    </row>
    <row r="80" ht="15.75" customHeight="1">
      <c r="A80" s="35"/>
      <c r="B80" s="64" t="s">
        <v>102</v>
      </c>
      <c r="C80" s="54" t="s">
        <v>99</v>
      </c>
      <c r="D80" s="46">
        <v>2.0</v>
      </c>
      <c r="E80" s="55" t="str">
        <f>IFERROR(__xludf.DUMMYFUNCTION("REGEXEXTRACT(C80,""[A-Za-z]+"")")," units ")</f>
        <v>units</v>
      </c>
      <c r="F80" s="70">
        <v>10000.0</v>
      </c>
      <c r="G80" s="55">
        <f t="shared" si="3"/>
        <v>20000</v>
      </c>
      <c r="H80" s="54" t="s">
        <v>55</v>
      </c>
      <c r="I80" s="65"/>
      <c r="J80" s="50"/>
      <c r="K80" s="143">
        <v>1.0</v>
      </c>
      <c r="L80" s="45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27"/>
      <c r="Z80" s="27"/>
    </row>
    <row r="81" ht="15.75" customHeight="1">
      <c r="A81" s="35"/>
      <c r="B81" s="71" t="s">
        <v>113</v>
      </c>
      <c r="C81" s="88"/>
      <c r="D81" s="80">
        <v>600.0</v>
      </c>
      <c r="E81" s="80" t="s">
        <v>110</v>
      </c>
      <c r="F81" s="59">
        <v>80.0</v>
      </c>
      <c r="G81" s="55">
        <f t="shared" si="3"/>
        <v>48000</v>
      </c>
      <c r="H81" s="54" t="s">
        <v>55</v>
      </c>
      <c r="I81" s="65"/>
      <c r="J81" s="45"/>
      <c r="K81" s="153">
        <v>600.0</v>
      </c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27"/>
      <c r="Z81" s="27"/>
    </row>
    <row r="82" ht="15.75" customHeight="1">
      <c r="A82" s="79"/>
      <c r="B82" s="64" t="s">
        <v>111</v>
      </c>
      <c r="C82" s="56" t="s">
        <v>112</v>
      </c>
      <c r="D82" s="80">
        <v>3.0</v>
      </c>
      <c r="E82" s="55" t="str">
        <f>IFERROR(__xludf.DUMMYFUNCTION("REGEXEXTRACT(C82,""[A-Za-z]+"")")," pcs ")</f>
        <v>pcs</v>
      </c>
      <c r="F82" s="82">
        <v>10000.0</v>
      </c>
      <c r="G82" s="55">
        <f t="shared" si="3"/>
        <v>30000</v>
      </c>
      <c r="H82" s="56" t="s">
        <v>55</v>
      </c>
      <c r="I82" s="83"/>
      <c r="J82" s="45"/>
      <c r="K82" s="154">
        <v>3.0</v>
      </c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5"/>
      <c r="Z82" s="85"/>
      <c r="AA82" s="86"/>
      <c r="AB82" s="86"/>
    </row>
    <row r="83" ht="15.75" customHeight="1">
      <c r="A83" s="35"/>
      <c r="B83" s="64" t="s">
        <v>138</v>
      </c>
      <c r="C83" s="54"/>
      <c r="D83" s="46">
        <v>1.0</v>
      </c>
      <c r="E83" s="55" t="s">
        <v>139</v>
      </c>
      <c r="F83" s="55">
        <v>49000.0</v>
      </c>
      <c r="G83" s="55">
        <f t="shared" si="3"/>
        <v>49000</v>
      </c>
      <c r="H83" s="56" t="s">
        <v>55</v>
      </c>
      <c r="I83" s="65"/>
      <c r="J83" s="45"/>
      <c r="K83" s="153">
        <v>1.0</v>
      </c>
      <c r="L83" s="45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27"/>
      <c r="Z83" s="27"/>
    </row>
    <row r="84" ht="15.75" customHeight="1">
      <c r="A84" s="35"/>
      <c r="B84" s="64" t="s">
        <v>96</v>
      </c>
      <c r="C84" s="54" t="s">
        <v>97</v>
      </c>
      <c r="D84" s="46">
        <v>5.0</v>
      </c>
      <c r="E84" s="55" t="str">
        <f>IFERROR(__xludf.DUMMYFUNCTION("REGEXEXTRACT(C84,""[A-Za-z]+"")")," packs ")</f>
        <v>packs</v>
      </c>
      <c r="F84" s="55">
        <v>9999.0</v>
      </c>
      <c r="G84" s="55">
        <f t="shared" si="3"/>
        <v>49995</v>
      </c>
      <c r="H84" s="54" t="s">
        <v>55</v>
      </c>
      <c r="I84" s="65"/>
      <c r="J84" s="45"/>
      <c r="K84" s="153">
        <v>10.0</v>
      </c>
      <c r="L84" s="45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27"/>
      <c r="Z84" s="27"/>
    </row>
    <row r="85" ht="15.75" customHeight="1">
      <c r="A85" s="35"/>
      <c r="B85" s="64" t="s">
        <v>87</v>
      </c>
      <c r="C85" s="54" t="s">
        <v>88</v>
      </c>
      <c r="D85" s="46">
        <v>10.0</v>
      </c>
      <c r="E85" s="47" t="str">
        <f>IFERROR(__xludf.DUMMYFUNCTION("REGEXEXTRACT(C85,""[A-Za-z]+"")"),"rolls")</f>
        <v>rolls</v>
      </c>
      <c r="F85" s="48">
        <v>4000.0</v>
      </c>
      <c r="G85" s="55">
        <f t="shared" si="3"/>
        <v>40000</v>
      </c>
      <c r="H85" s="45" t="s">
        <v>55</v>
      </c>
      <c r="I85" s="50"/>
      <c r="J85" s="45"/>
      <c r="K85" s="155">
        <v>10.0</v>
      </c>
      <c r="L85" s="45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27"/>
      <c r="Z85" s="27"/>
    </row>
    <row r="86" ht="15.75" customHeight="1">
      <c r="A86" s="35"/>
      <c r="B86" s="64" t="s">
        <v>95</v>
      </c>
      <c r="C86" s="54" t="s">
        <v>82</v>
      </c>
      <c r="D86" s="46">
        <v>6.0</v>
      </c>
      <c r="E86" s="55" t="str">
        <f>IFERROR(__xludf.DUMMYFUNCTION("REGEXEXTRACT(C86,""[A-Za-z]+"")")," pcs ")</f>
        <v>pcs</v>
      </c>
      <c r="F86" s="55">
        <v>7000.0</v>
      </c>
      <c r="G86" s="55">
        <f t="shared" si="3"/>
        <v>42000</v>
      </c>
      <c r="H86" s="54" t="s">
        <v>55</v>
      </c>
      <c r="I86" s="65"/>
      <c r="J86" s="45"/>
      <c r="K86" s="156">
        <v>6.0</v>
      </c>
      <c r="L86" s="45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27"/>
      <c r="Z86" s="27"/>
    </row>
    <row r="87" ht="15.75" customHeight="1">
      <c r="A87" s="66"/>
      <c r="B87" s="93"/>
      <c r="C87" s="94"/>
      <c r="D87" s="94"/>
      <c r="E87" s="94"/>
      <c r="F87" s="94"/>
      <c r="G87" s="94"/>
      <c r="H87" s="94"/>
      <c r="I87" s="94"/>
      <c r="J87" s="94"/>
      <c r="K87" s="95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27"/>
      <c r="Z87" s="27"/>
    </row>
    <row r="88" ht="15.75" customHeight="1">
      <c r="A88" s="96"/>
      <c r="B88" s="97"/>
      <c r="C88" s="2"/>
      <c r="D88" s="12"/>
      <c r="E88" s="13"/>
      <c r="F88" s="14"/>
      <c r="G88" s="98"/>
      <c r="H88" s="16"/>
      <c r="I88" s="16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9" t="s">
        <v>115</v>
      </c>
      <c r="B89" s="6"/>
      <c r="C89" s="100">
        <f>SUM(G11:G86)</f>
        <v>1285305</v>
      </c>
      <c r="H89" s="16"/>
      <c r="I89" s="16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101" t="s">
        <v>116</v>
      </c>
      <c r="B90" s="102"/>
      <c r="C90" s="103">
        <f>PRODUCT(C89,0.1)</f>
        <v>128530.5</v>
      </c>
      <c r="D90" s="104"/>
      <c r="E90" s="104"/>
      <c r="F90" s="104"/>
      <c r="G90" s="105"/>
      <c r="H90" s="16"/>
      <c r="I90" s="16"/>
      <c r="J90" s="106"/>
      <c r="L90" s="106"/>
      <c r="W90" s="106"/>
      <c r="X90" s="2"/>
      <c r="Y90" s="2"/>
      <c r="Z90" s="2"/>
    </row>
    <row r="91" ht="15.75" hidden="1" customHeight="1">
      <c r="A91" s="107" t="s">
        <v>117</v>
      </c>
      <c r="B91" s="108"/>
      <c r="C91" s="109">
        <f>PRODUCT(C89,0.1)</f>
        <v>128530.5</v>
      </c>
      <c r="D91" s="94"/>
      <c r="E91" s="94"/>
      <c r="F91" s="94"/>
      <c r="G91" s="95"/>
      <c r="H91" s="16"/>
      <c r="I91" s="16"/>
      <c r="J91" s="110"/>
      <c r="K91" s="111"/>
      <c r="L91" s="112"/>
      <c r="W91" s="112"/>
      <c r="X91" s="2"/>
      <c r="Y91" s="2"/>
      <c r="Z91" s="2"/>
    </row>
    <row r="92" ht="15.75" hidden="1" customHeight="1">
      <c r="A92" s="107" t="s">
        <v>118</v>
      </c>
      <c r="B92" s="108"/>
      <c r="C92" s="109">
        <f>SUM(C89:G91)</f>
        <v>1542366</v>
      </c>
      <c r="D92" s="94"/>
      <c r="E92" s="94"/>
      <c r="F92" s="94"/>
      <c r="G92" s="95"/>
      <c r="H92" s="16"/>
      <c r="I92" s="16"/>
      <c r="J92" s="110"/>
      <c r="K92" s="111"/>
      <c r="L92" s="112"/>
      <c r="W92" s="112"/>
      <c r="X92" s="2"/>
      <c r="Y92" s="2"/>
      <c r="Z92" s="2"/>
    </row>
    <row r="93" ht="15.75" customHeight="1">
      <c r="A93" s="113"/>
      <c r="B93" s="6"/>
      <c r="C93" s="2"/>
      <c r="D93" s="12"/>
      <c r="E93" s="13"/>
      <c r="F93" s="14"/>
      <c r="G93" s="15"/>
      <c r="H93" s="16"/>
      <c r="I93" s="16"/>
      <c r="J93" s="110"/>
      <c r="K93" s="111"/>
      <c r="L93" s="112"/>
      <c r="W93" s="112"/>
      <c r="X93" s="2"/>
      <c r="Y93" s="2"/>
      <c r="Z93" s="2"/>
    </row>
    <row r="94" ht="15.75" customHeight="1">
      <c r="A94" s="114" t="s">
        <v>119</v>
      </c>
      <c r="B94" s="6"/>
      <c r="C94" s="2"/>
      <c r="D94" s="12"/>
      <c r="E94" s="13"/>
      <c r="F94" s="14"/>
      <c r="G94" s="15"/>
      <c r="H94" s="16"/>
      <c r="I94" s="16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15"/>
      <c r="B95" s="6"/>
      <c r="C95" s="2"/>
      <c r="D95" s="12"/>
      <c r="E95" s="13"/>
      <c r="F95" s="14"/>
      <c r="G95" s="15"/>
      <c r="H95" s="16"/>
      <c r="I95" s="16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16" t="s">
        <v>120</v>
      </c>
      <c r="B96" s="97"/>
      <c r="D96" s="117" t="s">
        <v>121</v>
      </c>
      <c r="H96" s="117"/>
      <c r="I96" s="111"/>
      <c r="J96" s="3"/>
      <c r="K96" s="117" t="s">
        <v>122</v>
      </c>
      <c r="Q96" s="2"/>
      <c r="R96" s="2"/>
      <c r="S96" s="117" t="s">
        <v>123</v>
      </c>
      <c r="W96" s="2"/>
      <c r="X96" s="2"/>
      <c r="Z96" s="111"/>
    </row>
    <row r="97" ht="15.75" customHeight="1">
      <c r="A97" s="116"/>
      <c r="B97" s="97"/>
      <c r="D97" s="117"/>
      <c r="E97" s="118"/>
      <c r="F97" s="119"/>
      <c r="G97" s="120"/>
      <c r="H97" s="117"/>
      <c r="I97" s="111"/>
      <c r="J97" s="3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1"/>
      <c r="Z97" s="111"/>
    </row>
    <row r="98" ht="15.75" customHeight="1">
      <c r="A98" s="97"/>
      <c r="B98" s="97"/>
      <c r="D98" s="111"/>
      <c r="E98" s="121"/>
      <c r="F98" s="122"/>
      <c r="G98" s="123"/>
      <c r="H98" s="124"/>
      <c r="I98" s="111"/>
      <c r="J98" s="3"/>
      <c r="K98" s="111"/>
      <c r="L98" s="124"/>
      <c r="M98" s="124"/>
      <c r="N98" s="124"/>
      <c r="O98" s="124"/>
      <c r="P98" s="124"/>
      <c r="Q98" s="124"/>
      <c r="R98" s="124"/>
      <c r="S98" s="111"/>
      <c r="T98" s="124"/>
      <c r="U98" s="111"/>
      <c r="V98" s="111"/>
      <c r="W98" s="111"/>
      <c r="X98" s="111"/>
      <c r="Y98" s="111"/>
      <c r="Z98" s="111"/>
    </row>
    <row r="99" ht="15.75" customHeight="1">
      <c r="A99" s="125" t="s">
        <v>124</v>
      </c>
      <c r="D99" s="126" t="s">
        <v>125</v>
      </c>
      <c r="H99" s="126"/>
      <c r="I99" s="126"/>
      <c r="J99" s="3"/>
      <c r="K99" s="126" t="s">
        <v>126</v>
      </c>
      <c r="Q99" s="2"/>
      <c r="R99" s="2"/>
      <c r="S99" s="126" t="s">
        <v>127</v>
      </c>
      <c r="W99" s="2"/>
      <c r="X99" s="2"/>
    </row>
    <row r="100" ht="15.0" customHeight="1">
      <c r="A100" s="127" t="s">
        <v>128</v>
      </c>
      <c r="D100" s="128" t="s">
        <v>129</v>
      </c>
      <c r="J100" s="3"/>
      <c r="K100" s="130" t="s">
        <v>130</v>
      </c>
      <c r="Q100" s="2"/>
      <c r="R100" s="2"/>
      <c r="S100" s="128" t="s">
        <v>131</v>
      </c>
      <c r="W100" s="2"/>
      <c r="X100" s="2"/>
      <c r="Y100" s="111"/>
      <c r="Z100" s="111"/>
    </row>
    <row r="101" ht="15.75" customHeight="1">
      <c r="A101" s="2"/>
      <c r="B101" s="2"/>
      <c r="D101" s="2"/>
      <c r="E101" s="12"/>
      <c r="F101" s="13"/>
      <c r="G101" s="14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132</v>
      </c>
      <c r="B102" s="2"/>
      <c r="D102" s="2" t="s">
        <v>132</v>
      </c>
      <c r="E102" s="12"/>
      <c r="F102" s="13"/>
      <c r="G102" s="14"/>
      <c r="H102" s="2"/>
      <c r="I102" s="2"/>
      <c r="J102" s="3"/>
      <c r="K102" s="2" t="s">
        <v>132</v>
      </c>
      <c r="L102" s="2"/>
      <c r="M102" s="2"/>
      <c r="N102" s="2"/>
      <c r="O102" s="2"/>
      <c r="P102" s="2"/>
      <c r="Q102" s="2"/>
      <c r="R102" s="2"/>
      <c r="S102" s="2" t="s">
        <v>132</v>
      </c>
      <c r="T102" s="2"/>
      <c r="U102" s="2"/>
      <c r="V102" s="2"/>
      <c r="W102" s="2"/>
      <c r="X102" s="2"/>
      <c r="Y102" s="2"/>
      <c r="Z102" s="2"/>
    </row>
    <row r="103" ht="15.75" customHeight="1">
      <c r="D103" s="131"/>
      <c r="E103" s="132"/>
      <c r="F103" s="133"/>
      <c r="J103" s="134"/>
    </row>
    <row r="104" ht="15.75" customHeight="1">
      <c r="D104" s="131"/>
      <c r="E104" s="132"/>
      <c r="F104" s="133"/>
      <c r="J104" s="135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</row>
    <row r="105" ht="15.75" customHeight="1">
      <c r="D105" s="131"/>
      <c r="E105" s="132"/>
      <c r="F105" s="133"/>
      <c r="J105" s="136"/>
      <c r="K105" s="137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</row>
    <row r="106" ht="15.75" customHeight="1">
      <c r="D106" s="131"/>
      <c r="E106" s="132"/>
      <c r="F106" s="133"/>
      <c r="J106" s="139"/>
    </row>
    <row r="107" ht="15.75" customHeight="1">
      <c r="D107" s="131"/>
      <c r="E107" s="132"/>
      <c r="F107" s="133"/>
      <c r="J107" s="140"/>
    </row>
    <row r="108" ht="15.75" customHeight="1">
      <c r="D108" s="131"/>
      <c r="E108" s="132"/>
      <c r="F108" s="133"/>
      <c r="J108" s="3"/>
    </row>
    <row r="109" ht="15.75" customHeight="1">
      <c r="D109" s="131"/>
      <c r="E109" s="132"/>
      <c r="F109" s="133"/>
      <c r="J109" s="3"/>
    </row>
    <row r="110" ht="15.75" customHeight="1">
      <c r="D110" s="131"/>
      <c r="E110" s="132"/>
      <c r="F110" s="133"/>
      <c r="J110" s="3"/>
    </row>
    <row r="111" ht="15.75" customHeight="1">
      <c r="D111" s="131"/>
      <c r="E111" s="132"/>
      <c r="F111" s="133"/>
      <c r="J111" s="3"/>
    </row>
    <row r="112" ht="15.75" customHeight="1">
      <c r="D112" s="131"/>
      <c r="E112" s="132"/>
      <c r="F112" s="133"/>
      <c r="J112" s="3"/>
    </row>
    <row r="113" ht="15.75" customHeight="1">
      <c r="D113" s="131"/>
      <c r="E113" s="132"/>
      <c r="F113" s="133"/>
      <c r="J113" s="3"/>
    </row>
    <row r="114" ht="15.75" customHeight="1">
      <c r="D114" s="131"/>
      <c r="E114" s="132"/>
      <c r="F114" s="133"/>
      <c r="J114" s="3"/>
    </row>
    <row r="115" ht="15.75" customHeight="1">
      <c r="D115" s="131"/>
      <c r="E115" s="132"/>
      <c r="F115" s="133"/>
      <c r="J115" s="3"/>
    </row>
    <row r="116" ht="15.75" customHeight="1">
      <c r="D116" s="131"/>
      <c r="E116" s="132"/>
      <c r="F116" s="133"/>
      <c r="J116" s="3"/>
    </row>
    <row r="117" ht="15.75" customHeight="1">
      <c r="D117" s="131"/>
      <c r="E117" s="132"/>
      <c r="F117" s="133"/>
      <c r="J117" s="3"/>
    </row>
    <row r="118" ht="15.75" customHeight="1">
      <c r="D118" s="131"/>
      <c r="E118" s="132"/>
      <c r="F118" s="133"/>
      <c r="J118" s="3"/>
    </row>
    <row r="119" ht="15.75" customHeight="1">
      <c r="D119" s="131"/>
      <c r="E119" s="132"/>
      <c r="F119" s="133"/>
      <c r="J119" s="3"/>
    </row>
    <row r="120" ht="15.75" customHeight="1">
      <c r="D120" s="131"/>
      <c r="E120" s="132"/>
      <c r="F120" s="133"/>
      <c r="J120" s="3"/>
    </row>
    <row r="121" ht="15.75" customHeight="1">
      <c r="D121" s="131"/>
      <c r="E121" s="132"/>
      <c r="F121" s="133"/>
      <c r="J121" s="3"/>
    </row>
    <row r="122" ht="15.75" customHeight="1">
      <c r="D122" s="131"/>
      <c r="E122" s="132"/>
      <c r="F122" s="133"/>
      <c r="J122" s="3"/>
    </row>
    <row r="123" ht="15.75" customHeight="1">
      <c r="D123" s="131"/>
      <c r="E123" s="132"/>
      <c r="F123" s="133"/>
      <c r="J123" s="3"/>
    </row>
    <row r="124" ht="15.75" customHeight="1">
      <c r="D124" s="131"/>
      <c r="E124" s="132"/>
      <c r="F124" s="133"/>
      <c r="J124" s="3"/>
    </row>
    <row r="125" ht="15.75" customHeight="1">
      <c r="D125" s="131"/>
      <c r="E125" s="132"/>
      <c r="F125" s="133"/>
      <c r="J125" s="3"/>
    </row>
    <row r="126" ht="15.75" customHeight="1">
      <c r="D126" s="131"/>
      <c r="E126" s="132"/>
      <c r="F126" s="133"/>
      <c r="J126" s="3"/>
    </row>
    <row r="127" ht="15.75" customHeight="1">
      <c r="D127" s="131"/>
      <c r="E127" s="132"/>
      <c r="F127" s="133"/>
      <c r="J127" s="3"/>
    </row>
    <row r="128" ht="15.75" customHeight="1">
      <c r="D128" s="131"/>
      <c r="E128" s="132"/>
      <c r="F128" s="133"/>
      <c r="J128" s="3"/>
    </row>
    <row r="129" ht="15.75" customHeight="1">
      <c r="D129" s="131"/>
      <c r="E129" s="132"/>
      <c r="F129" s="133"/>
      <c r="J129" s="3"/>
    </row>
    <row r="130" ht="15.75" customHeight="1">
      <c r="D130" s="131"/>
      <c r="E130" s="132"/>
      <c r="F130" s="133"/>
      <c r="J130" s="3"/>
    </row>
    <row r="131" ht="15.75" customHeight="1">
      <c r="D131" s="131"/>
      <c r="E131" s="132"/>
      <c r="F131" s="133"/>
      <c r="J131" s="3"/>
    </row>
    <row r="132" ht="15.75" customHeight="1">
      <c r="D132" s="131"/>
      <c r="E132" s="132"/>
      <c r="F132" s="133"/>
      <c r="J132" s="3"/>
    </row>
    <row r="133" ht="15.75" customHeight="1">
      <c r="D133" s="131"/>
      <c r="E133" s="132"/>
      <c r="F133" s="133"/>
      <c r="J133" s="3"/>
    </row>
    <row r="134" ht="15.75" customHeight="1">
      <c r="D134" s="131"/>
      <c r="E134" s="132"/>
      <c r="F134" s="133"/>
      <c r="J134" s="3"/>
    </row>
    <row r="135" ht="15.75" customHeight="1">
      <c r="D135" s="131"/>
      <c r="E135" s="132"/>
      <c r="F135" s="133"/>
      <c r="J135" s="3"/>
    </row>
    <row r="136" ht="15.75" customHeight="1">
      <c r="D136" s="131"/>
      <c r="E136" s="132"/>
      <c r="F136" s="133"/>
      <c r="J136" s="3"/>
    </row>
    <row r="137" ht="15.75" customHeight="1">
      <c r="D137" s="131"/>
      <c r="E137" s="132"/>
      <c r="F137" s="133"/>
      <c r="J137" s="3"/>
    </row>
    <row r="138" ht="15.75" customHeight="1">
      <c r="D138" s="131"/>
      <c r="E138" s="132"/>
      <c r="F138" s="133"/>
      <c r="J138" s="3"/>
    </row>
    <row r="139" ht="15.75" customHeight="1">
      <c r="D139" s="131"/>
      <c r="E139" s="132"/>
      <c r="F139" s="133"/>
      <c r="J139" s="3"/>
    </row>
    <row r="140" ht="15.75" customHeight="1">
      <c r="D140" s="131"/>
      <c r="E140" s="132"/>
      <c r="F140" s="133"/>
      <c r="J140" s="3"/>
    </row>
    <row r="141" ht="15.75" customHeight="1">
      <c r="D141" s="131"/>
      <c r="E141" s="132"/>
      <c r="F141" s="133"/>
      <c r="J141" s="3"/>
    </row>
    <row r="142" ht="15.75" customHeight="1">
      <c r="D142" s="131"/>
      <c r="E142" s="132"/>
      <c r="F142" s="133"/>
      <c r="J142" s="3"/>
    </row>
    <row r="143" ht="15.75" customHeight="1">
      <c r="D143" s="131"/>
      <c r="E143" s="132"/>
      <c r="F143" s="133"/>
      <c r="J143" s="3"/>
    </row>
    <row r="144" ht="15.75" customHeight="1">
      <c r="D144" s="131"/>
      <c r="E144" s="132"/>
      <c r="F144" s="133"/>
      <c r="J144" s="3"/>
    </row>
    <row r="145" ht="15.75" customHeight="1">
      <c r="D145" s="131"/>
      <c r="E145" s="132"/>
      <c r="F145" s="133"/>
      <c r="J145" s="3"/>
    </row>
    <row r="146" ht="15.75" customHeight="1">
      <c r="D146" s="131"/>
      <c r="E146" s="132"/>
      <c r="F146" s="133"/>
      <c r="J146" s="3"/>
    </row>
    <row r="147" ht="15.75" customHeight="1">
      <c r="D147" s="131"/>
      <c r="E147" s="132"/>
      <c r="F147" s="133"/>
      <c r="J147" s="3"/>
    </row>
    <row r="148" ht="15.75" customHeight="1">
      <c r="D148" s="131"/>
      <c r="E148" s="132"/>
      <c r="F148" s="133"/>
      <c r="J148" s="3"/>
    </row>
    <row r="149" ht="15.75" customHeight="1">
      <c r="D149" s="131"/>
      <c r="E149" s="132"/>
      <c r="F149" s="133"/>
      <c r="J149" s="3"/>
    </row>
    <row r="150" ht="15.75" customHeight="1">
      <c r="D150" s="131"/>
      <c r="E150" s="132"/>
      <c r="F150" s="133"/>
      <c r="J150" s="3"/>
    </row>
    <row r="151" ht="15.75" customHeight="1">
      <c r="D151" s="131"/>
      <c r="E151" s="132"/>
      <c r="F151" s="133"/>
      <c r="J151" s="3"/>
    </row>
    <row r="152" ht="15.75" customHeight="1">
      <c r="D152" s="131"/>
      <c r="E152" s="132"/>
      <c r="F152" s="133"/>
      <c r="J152" s="3"/>
    </row>
    <row r="153" ht="15.75" customHeight="1">
      <c r="D153" s="131"/>
      <c r="E153" s="132"/>
      <c r="F153" s="133"/>
      <c r="J153" s="3"/>
    </row>
    <row r="154" ht="15.75" customHeight="1">
      <c r="D154" s="131"/>
      <c r="E154" s="132"/>
      <c r="F154" s="133"/>
      <c r="J154" s="3"/>
    </row>
    <row r="155" ht="15.75" customHeight="1">
      <c r="D155" s="131"/>
      <c r="E155" s="132"/>
      <c r="F155" s="133"/>
      <c r="J155" s="3"/>
    </row>
    <row r="156" ht="15.75" customHeight="1">
      <c r="D156" s="131"/>
      <c r="E156" s="132"/>
      <c r="F156" s="133"/>
      <c r="J156" s="3"/>
    </row>
    <row r="157" ht="15.75" customHeight="1">
      <c r="D157" s="131"/>
      <c r="E157" s="132"/>
      <c r="F157" s="133"/>
      <c r="J157" s="3"/>
    </row>
    <row r="158" ht="15.75" customHeight="1">
      <c r="D158" s="131"/>
      <c r="E158" s="132"/>
      <c r="F158" s="133"/>
      <c r="J158" s="3"/>
    </row>
    <row r="159" ht="15.75" customHeight="1">
      <c r="D159" s="131"/>
      <c r="E159" s="132"/>
      <c r="F159" s="133"/>
      <c r="J159" s="3"/>
    </row>
    <row r="160" ht="15.75" customHeight="1">
      <c r="D160" s="131"/>
      <c r="E160" s="132"/>
      <c r="F160" s="133"/>
      <c r="J160" s="3"/>
    </row>
    <row r="161" ht="15.75" customHeight="1">
      <c r="D161" s="131"/>
      <c r="E161" s="132"/>
      <c r="F161" s="133"/>
      <c r="J161" s="3"/>
    </row>
    <row r="162" ht="15.75" customHeight="1">
      <c r="D162" s="131"/>
      <c r="E162" s="132"/>
      <c r="F162" s="133"/>
      <c r="J162" s="3"/>
    </row>
    <row r="163" ht="15.75" customHeight="1">
      <c r="D163" s="131"/>
      <c r="E163" s="132"/>
      <c r="F163" s="133"/>
      <c r="J163" s="3"/>
    </row>
    <row r="164" ht="15.75" customHeight="1">
      <c r="D164" s="131"/>
      <c r="E164" s="132"/>
      <c r="F164" s="133"/>
      <c r="J164" s="3"/>
    </row>
    <row r="165" ht="15.75" customHeight="1">
      <c r="D165" s="131"/>
      <c r="E165" s="132"/>
      <c r="F165" s="133"/>
      <c r="J165" s="3"/>
    </row>
    <row r="166" ht="15.75" customHeight="1">
      <c r="D166" s="131"/>
      <c r="E166" s="132"/>
      <c r="F166" s="133"/>
      <c r="J166" s="3"/>
    </row>
    <row r="167" ht="15.75" customHeight="1">
      <c r="D167" s="131"/>
      <c r="E167" s="132"/>
      <c r="F167" s="133"/>
      <c r="J167" s="3"/>
    </row>
    <row r="168" ht="15.75" customHeight="1">
      <c r="D168" s="131"/>
      <c r="E168" s="132"/>
      <c r="F168" s="133"/>
      <c r="J168" s="3"/>
    </row>
    <row r="169" ht="15.75" customHeight="1">
      <c r="D169" s="131"/>
      <c r="E169" s="132"/>
      <c r="F169" s="133"/>
      <c r="J169" s="3"/>
    </row>
    <row r="170" ht="15.75" customHeight="1">
      <c r="D170" s="131"/>
      <c r="E170" s="132"/>
      <c r="F170" s="133"/>
      <c r="J170" s="3"/>
    </row>
    <row r="171" ht="15.75" customHeight="1">
      <c r="D171" s="131"/>
      <c r="E171" s="132"/>
      <c r="F171" s="133"/>
      <c r="J171" s="3"/>
    </row>
    <row r="172" ht="15.75" customHeight="1">
      <c r="D172" s="131"/>
      <c r="E172" s="132"/>
      <c r="F172" s="133"/>
      <c r="J172" s="3"/>
    </row>
    <row r="173" ht="15.75" customHeight="1">
      <c r="D173" s="131"/>
      <c r="E173" s="132"/>
      <c r="F173" s="133"/>
      <c r="J173" s="3"/>
    </row>
    <row r="174" ht="15.75" customHeight="1">
      <c r="D174" s="131"/>
      <c r="E174" s="132"/>
      <c r="F174" s="133"/>
      <c r="J174" s="3"/>
    </row>
    <row r="175" ht="15.75" customHeight="1">
      <c r="D175" s="131"/>
      <c r="E175" s="132"/>
      <c r="F175" s="133"/>
      <c r="J175" s="3"/>
    </row>
    <row r="176" ht="15.75" customHeight="1">
      <c r="D176" s="131"/>
      <c r="E176" s="132"/>
      <c r="F176" s="133"/>
      <c r="J176" s="3"/>
    </row>
    <row r="177" ht="15.75" customHeight="1">
      <c r="D177" s="131"/>
      <c r="E177" s="132"/>
      <c r="F177" s="133"/>
      <c r="J177" s="3"/>
    </row>
    <row r="178" ht="15.75" customHeight="1">
      <c r="D178" s="131"/>
      <c r="E178" s="132"/>
      <c r="F178" s="133"/>
      <c r="J178" s="3"/>
    </row>
    <row r="179" ht="15.75" customHeight="1">
      <c r="D179" s="131"/>
      <c r="E179" s="132"/>
      <c r="F179" s="133"/>
      <c r="J179" s="3"/>
    </row>
    <row r="180" ht="15.75" customHeight="1">
      <c r="D180" s="131"/>
      <c r="E180" s="132"/>
      <c r="F180" s="133"/>
      <c r="J180" s="3"/>
    </row>
    <row r="181" ht="15.75" customHeight="1">
      <c r="D181" s="131"/>
      <c r="E181" s="132"/>
      <c r="F181" s="133"/>
      <c r="J181" s="3"/>
    </row>
    <row r="182" ht="15.75" customHeight="1">
      <c r="D182" s="131"/>
      <c r="E182" s="132"/>
      <c r="F182" s="133"/>
      <c r="J182" s="3"/>
    </row>
    <row r="183" ht="15.75" customHeight="1">
      <c r="D183" s="131"/>
      <c r="E183" s="132"/>
      <c r="F183" s="133"/>
      <c r="J183" s="3"/>
    </row>
    <row r="184" ht="15.75" customHeight="1">
      <c r="D184" s="131"/>
      <c r="E184" s="132"/>
      <c r="F184" s="133"/>
      <c r="J184" s="3"/>
    </row>
    <row r="185" ht="15.75" customHeight="1">
      <c r="D185" s="131"/>
      <c r="E185" s="132"/>
      <c r="F185" s="133"/>
      <c r="J185" s="3"/>
    </row>
    <row r="186" ht="15.75" customHeight="1">
      <c r="D186" s="131"/>
      <c r="E186" s="132"/>
      <c r="F186" s="133"/>
      <c r="J186" s="3"/>
    </row>
    <row r="187" ht="15.75" customHeight="1">
      <c r="D187" s="131"/>
      <c r="E187" s="132"/>
      <c r="F187" s="133"/>
      <c r="J187" s="3"/>
    </row>
    <row r="188" ht="15.75" customHeight="1">
      <c r="D188" s="131"/>
      <c r="E188" s="132"/>
      <c r="F188" s="133"/>
      <c r="J188" s="3"/>
    </row>
    <row r="189" ht="15.75" customHeight="1">
      <c r="D189" s="131"/>
      <c r="E189" s="132"/>
      <c r="F189" s="133"/>
      <c r="J189" s="3"/>
    </row>
    <row r="190" ht="15.75" customHeight="1">
      <c r="D190" s="131"/>
      <c r="E190" s="132"/>
      <c r="F190" s="133"/>
      <c r="J190" s="3"/>
    </row>
    <row r="191" ht="15.75" customHeight="1">
      <c r="D191" s="131"/>
      <c r="E191" s="132"/>
      <c r="F191" s="133"/>
      <c r="J191" s="3"/>
    </row>
    <row r="192" ht="15.75" customHeight="1">
      <c r="D192" s="131"/>
      <c r="E192" s="132"/>
      <c r="F192" s="133"/>
      <c r="J192" s="3"/>
    </row>
    <row r="193" ht="15.75" customHeight="1">
      <c r="D193" s="131"/>
      <c r="E193" s="132"/>
      <c r="F193" s="133"/>
      <c r="J193" s="3"/>
    </row>
    <row r="194" ht="15.75" customHeight="1">
      <c r="D194" s="131"/>
      <c r="E194" s="132"/>
      <c r="F194" s="133"/>
      <c r="J194" s="3"/>
    </row>
    <row r="195" ht="15.75" customHeight="1">
      <c r="D195" s="131"/>
      <c r="E195" s="132"/>
      <c r="F195" s="133"/>
      <c r="J195" s="3"/>
    </row>
    <row r="196" ht="15.75" customHeight="1">
      <c r="D196" s="131"/>
      <c r="E196" s="132"/>
      <c r="F196" s="133"/>
      <c r="J196" s="3"/>
    </row>
    <row r="197" ht="15.75" customHeight="1">
      <c r="D197" s="131"/>
      <c r="E197" s="132"/>
      <c r="F197" s="133"/>
      <c r="J197" s="3"/>
    </row>
    <row r="198" ht="15.75" customHeight="1">
      <c r="D198" s="131"/>
      <c r="E198" s="132"/>
      <c r="F198" s="133"/>
      <c r="J198" s="3"/>
    </row>
    <row r="199" ht="15.75" customHeight="1">
      <c r="D199" s="131"/>
      <c r="E199" s="132"/>
      <c r="F199" s="133"/>
      <c r="J199" s="3"/>
    </row>
    <row r="200" ht="15.75" customHeight="1">
      <c r="D200" s="131"/>
      <c r="E200" s="132"/>
      <c r="F200" s="133"/>
      <c r="J200" s="3"/>
    </row>
    <row r="201" ht="15.75" customHeight="1">
      <c r="D201" s="131"/>
      <c r="E201" s="132"/>
      <c r="F201" s="133"/>
      <c r="J201" s="3"/>
    </row>
    <row r="202" ht="15.75" customHeight="1">
      <c r="D202" s="131"/>
      <c r="E202" s="132"/>
      <c r="F202" s="133"/>
      <c r="J202" s="3"/>
    </row>
    <row r="203" ht="15.75" customHeight="1">
      <c r="D203" s="131"/>
      <c r="E203" s="132"/>
      <c r="F203" s="133"/>
      <c r="J203" s="3"/>
    </row>
    <row r="204" ht="15.75" customHeight="1">
      <c r="D204" s="131"/>
      <c r="E204" s="132"/>
      <c r="F204" s="133"/>
      <c r="J204" s="3"/>
    </row>
    <row r="205" ht="15.75" customHeight="1">
      <c r="D205" s="131"/>
      <c r="E205" s="132"/>
      <c r="F205" s="133"/>
      <c r="J205" s="3"/>
    </row>
    <row r="206" ht="15.75" customHeight="1">
      <c r="D206" s="131"/>
      <c r="E206" s="132"/>
      <c r="F206" s="133"/>
      <c r="J206" s="3"/>
    </row>
    <row r="207" ht="15.75" customHeight="1">
      <c r="D207" s="131"/>
      <c r="E207" s="132"/>
      <c r="F207" s="133"/>
      <c r="J207" s="3"/>
    </row>
    <row r="208" ht="15.75" customHeight="1">
      <c r="D208" s="131"/>
      <c r="E208" s="132"/>
      <c r="F208" s="133"/>
      <c r="J208" s="3"/>
    </row>
    <row r="209" ht="15.75" customHeight="1">
      <c r="D209" s="131"/>
      <c r="E209" s="132"/>
      <c r="F209" s="133"/>
      <c r="J209" s="3"/>
    </row>
    <row r="210" ht="15.75" customHeight="1">
      <c r="D210" s="131"/>
      <c r="E210" s="132"/>
      <c r="F210" s="133"/>
      <c r="J210" s="3"/>
    </row>
    <row r="211" ht="15.75" customHeight="1">
      <c r="D211" s="131"/>
      <c r="E211" s="132"/>
      <c r="F211" s="133"/>
      <c r="J211" s="3"/>
    </row>
    <row r="212" ht="15.75" customHeight="1">
      <c r="D212" s="131"/>
      <c r="E212" s="132"/>
      <c r="F212" s="133"/>
      <c r="J212" s="3"/>
    </row>
    <row r="213" ht="15.75" customHeight="1">
      <c r="D213" s="131"/>
      <c r="E213" s="132"/>
      <c r="F213" s="133"/>
      <c r="J213" s="3"/>
    </row>
    <row r="214" ht="15.75" customHeight="1">
      <c r="D214" s="131"/>
      <c r="E214" s="132"/>
      <c r="F214" s="133"/>
      <c r="J214" s="3"/>
    </row>
    <row r="215" ht="15.75" customHeight="1">
      <c r="D215" s="131"/>
      <c r="E215" s="132"/>
      <c r="F215" s="133"/>
      <c r="J215" s="3"/>
    </row>
    <row r="216" ht="15.75" customHeight="1">
      <c r="D216" s="131"/>
      <c r="E216" s="132"/>
      <c r="F216" s="133"/>
      <c r="J216" s="3"/>
    </row>
    <row r="217" ht="15.75" customHeight="1">
      <c r="D217" s="131"/>
      <c r="E217" s="132"/>
      <c r="F217" s="133"/>
      <c r="J217" s="3"/>
    </row>
    <row r="218" ht="15.75" customHeight="1">
      <c r="D218" s="131"/>
      <c r="E218" s="132"/>
      <c r="F218" s="133"/>
      <c r="J218" s="3"/>
    </row>
    <row r="219" ht="15.75" customHeight="1">
      <c r="D219" s="131"/>
      <c r="E219" s="132"/>
      <c r="F219" s="133"/>
      <c r="J219" s="3"/>
    </row>
    <row r="220" ht="15.75" customHeight="1">
      <c r="D220" s="131"/>
      <c r="E220" s="132"/>
      <c r="F220" s="133"/>
      <c r="J220" s="3"/>
    </row>
    <row r="221" ht="15.75" customHeight="1">
      <c r="D221" s="131"/>
      <c r="E221" s="132"/>
      <c r="F221" s="133"/>
      <c r="J221" s="3"/>
    </row>
    <row r="222" ht="15.75" customHeight="1">
      <c r="D222" s="131"/>
      <c r="E222" s="132"/>
      <c r="F222" s="133"/>
      <c r="J222" s="3"/>
    </row>
    <row r="223" ht="15.75" customHeight="1">
      <c r="D223" s="131"/>
      <c r="E223" s="132"/>
      <c r="F223" s="133"/>
      <c r="J223" s="3"/>
    </row>
    <row r="224" ht="15.75" customHeight="1">
      <c r="D224" s="131"/>
      <c r="E224" s="132"/>
      <c r="F224" s="133"/>
      <c r="J224" s="3"/>
    </row>
    <row r="225" ht="15.75" customHeight="1">
      <c r="D225" s="131"/>
      <c r="E225" s="132"/>
      <c r="F225" s="133"/>
      <c r="J225" s="3"/>
    </row>
    <row r="226" ht="15.75" customHeight="1">
      <c r="D226" s="131"/>
      <c r="E226" s="132"/>
      <c r="F226" s="133"/>
      <c r="J226" s="3"/>
    </row>
    <row r="227" ht="15.75" customHeight="1">
      <c r="D227" s="131"/>
      <c r="E227" s="132"/>
      <c r="F227" s="133"/>
      <c r="J227" s="3"/>
    </row>
    <row r="228" ht="15.75" customHeight="1">
      <c r="D228" s="131"/>
      <c r="E228" s="132"/>
      <c r="F228" s="133"/>
      <c r="J228" s="3"/>
    </row>
    <row r="229" ht="15.75" customHeight="1">
      <c r="D229" s="131"/>
      <c r="E229" s="132"/>
      <c r="F229" s="133"/>
      <c r="J229" s="3"/>
    </row>
    <row r="230" ht="15.75" customHeight="1">
      <c r="D230" s="131"/>
      <c r="E230" s="132"/>
      <c r="F230" s="133"/>
      <c r="J230" s="3"/>
    </row>
    <row r="231" ht="15.75" customHeight="1">
      <c r="D231" s="131"/>
      <c r="E231" s="132"/>
      <c r="F231" s="133"/>
      <c r="J231" s="3"/>
    </row>
    <row r="232" ht="15.75" customHeight="1">
      <c r="D232" s="131"/>
      <c r="E232" s="132"/>
      <c r="F232" s="133"/>
      <c r="J232" s="3"/>
    </row>
    <row r="233" ht="15.75" customHeight="1">
      <c r="D233" s="131"/>
      <c r="E233" s="132"/>
      <c r="F233" s="133"/>
      <c r="J233" s="3"/>
    </row>
    <row r="234" ht="15.75" customHeight="1">
      <c r="D234" s="131"/>
      <c r="E234" s="132"/>
      <c r="F234" s="133"/>
      <c r="J234" s="3"/>
    </row>
    <row r="235" ht="15.75" customHeight="1">
      <c r="D235" s="131"/>
      <c r="E235" s="132"/>
      <c r="F235" s="133"/>
      <c r="J235" s="3"/>
    </row>
    <row r="236" ht="15.75" customHeight="1">
      <c r="D236" s="131"/>
      <c r="E236" s="132"/>
      <c r="F236" s="133"/>
      <c r="J236" s="3"/>
    </row>
    <row r="237" ht="15.75" customHeight="1">
      <c r="D237" s="131"/>
      <c r="E237" s="132"/>
      <c r="F237" s="133"/>
      <c r="J237" s="3"/>
    </row>
    <row r="238" ht="15.75" customHeight="1">
      <c r="D238" s="131"/>
      <c r="E238" s="132"/>
      <c r="F238" s="133"/>
      <c r="J238" s="3"/>
    </row>
    <row r="239" ht="15.75" customHeight="1">
      <c r="D239" s="131"/>
      <c r="E239" s="132"/>
      <c r="F239" s="133"/>
      <c r="J239" s="3"/>
    </row>
    <row r="240" ht="15.75" customHeight="1">
      <c r="D240" s="131"/>
      <c r="E240" s="132"/>
      <c r="F240" s="133"/>
      <c r="J240" s="3"/>
    </row>
    <row r="241" ht="15.75" customHeight="1">
      <c r="D241" s="131"/>
      <c r="E241" s="132"/>
      <c r="F241" s="133"/>
      <c r="J241" s="3"/>
    </row>
    <row r="242" ht="15.75" customHeight="1">
      <c r="D242" s="131"/>
      <c r="E242" s="132"/>
      <c r="F242" s="133"/>
      <c r="J242" s="3"/>
    </row>
    <row r="243" ht="15.75" customHeight="1">
      <c r="D243" s="131"/>
      <c r="E243" s="132"/>
      <c r="F243" s="133"/>
      <c r="J243" s="3"/>
    </row>
    <row r="244" ht="15.75" customHeight="1">
      <c r="D244" s="131"/>
      <c r="E244" s="132"/>
      <c r="F244" s="133"/>
      <c r="J244" s="3"/>
    </row>
    <row r="245" ht="15.75" customHeight="1">
      <c r="D245" s="131"/>
      <c r="E245" s="132"/>
      <c r="F245" s="133"/>
      <c r="J245" s="3"/>
    </row>
    <row r="246" ht="15.75" customHeight="1">
      <c r="D246" s="131"/>
      <c r="E246" s="132"/>
      <c r="F246" s="133"/>
      <c r="J246" s="3"/>
    </row>
    <row r="247" ht="15.75" customHeight="1">
      <c r="D247" s="131"/>
      <c r="E247" s="132"/>
      <c r="F247" s="133"/>
      <c r="J247" s="3"/>
    </row>
    <row r="248" ht="15.75" customHeight="1">
      <c r="D248" s="131"/>
      <c r="E248" s="132"/>
      <c r="F248" s="133"/>
      <c r="J248" s="3"/>
    </row>
    <row r="249" ht="15.75" customHeight="1">
      <c r="D249" s="131"/>
      <c r="E249" s="132"/>
      <c r="F249" s="133"/>
      <c r="J249" s="3"/>
    </row>
    <row r="250" ht="15.75" customHeight="1">
      <c r="D250" s="131"/>
      <c r="E250" s="132"/>
      <c r="F250" s="133"/>
      <c r="J250" s="3"/>
    </row>
    <row r="251" ht="15.75" customHeight="1">
      <c r="D251" s="131"/>
      <c r="E251" s="132"/>
      <c r="F251" s="133"/>
      <c r="J251" s="3"/>
    </row>
    <row r="252" ht="15.75" customHeight="1">
      <c r="D252" s="131"/>
      <c r="E252" s="132"/>
      <c r="F252" s="133"/>
      <c r="J252" s="3"/>
    </row>
    <row r="253" ht="15.75" customHeight="1">
      <c r="D253" s="131"/>
      <c r="E253" s="132"/>
      <c r="F253" s="133"/>
      <c r="J253" s="3"/>
    </row>
    <row r="254" ht="15.75" customHeight="1">
      <c r="D254" s="131"/>
      <c r="E254" s="132"/>
      <c r="F254" s="133"/>
      <c r="J254" s="3"/>
    </row>
    <row r="255" ht="15.75" customHeight="1">
      <c r="D255" s="131"/>
      <c r="E255" s="132"/>
      <c r="F255" s="133"/>
      <c r="J255" s="3"/>
    </row>
    <row r="256" ht="15.75" customHeight="1">
      <c r="D256" s="131"/>
      <c r="E256" s="132"/>
      <c r="F256" s="133"/>
      <c r="J256" s="3"/>
    </row>
    <row r="257" ht="15.75" customHeight="1">
      <c r="D257" s="131"/>
      <c r="E257" s="132"/>
      <c r="F257" s="133"/>
      <c r="J257" s="3"/>
    </row>
    <row r="258" ht="15.75" customHeight="1">
      <c r="D258" s="131"/>
      <c r="E258" s="132"/>
      <c r="F258" s="133"/>
      <c r="J258" s="3"/>
    </row>
    <row r="259" ht="15.75" customHeight="1">
      <c r="D259" s="131"/>
      <c r="E259" s="132"/>
      <c r="F259" s="133"/>
      <c r="J259" s="3"/>
    </row>
    <row r="260" ht="15.75" customHeight="1">
      <c r="D260" s="131"/>
      <c r="E260" s="132"/>
      <c r="F260" s="133"/>
      <c r="J260" s="3"/>
    </row>
    <row r="261" ht="15.75" customHeight="1">
      <c r="D261" s="131"/>
      <c r="E261" s="132"/>
      <c r="F261" s="133"/>
      <c r="J261" s="3"/>
    </row>
    <row r="262" ht="15.75" customHeight="1">
      <c r="D262" s="131"/>
      <c r="E262" s="132"/>
      <c r="F262" s="133"/>
      <c r="J262" s="3"/>
    </row>
    <row r="263" ht="15.75" customHeight="1">
      <c r="D263" s="131"/>
      <c r="E263" s="132"/>
      <c r="F263" s="133"/>
      <c r="J263" s="3"/>
    </row>
    <row r="264" ht="15.75" customHeight="1">
      <c r="D264" s="131"/>
      <c r="E264" s="132"/>
      <c r="F264" s="133"/>
      <c r="J264" s="3"/>
    </row>
    <row r="265" ht="15.75" customHeight="1">
      <c r="D265" s="131"/>
      <c r="E265" s="132"/>
      <c r="F265" s="133"/>
      <c r="J265" s="3"/>
    </row>
    <row r="266" ht="15.75" customHeight="1">
      <c r="D266" s="131"/>
      <c r="E266" s="132"/>
      <c r="F266" s="133"/>
      <c r="J266" s="3"/>
    </row>
    <row r="267" ht="15.75" customHeight="1">
      <c r="D267" s="131"/>
      <c r="E267" s="132"/>
      <c r="F267" s="133"/>
      <c r="J267" s="3"/>
    </row>
    <row r="268" ht="15.75" customHeight="1">
      <c r="D268" s="131"/>
      <c r="E268" s="132"/>
      <c r="F268" s="133"/>
      <c r="J268" s="3"/>
    </row>
    <row r="269" ht="15.75" customHeight="1">
      <c r="D269" s="131"/>
      <c r="E269" s="132"/>
      <c r="F269" s="133"/>
      <c r="J269" s="3"/>
    </row>
    <row r="270" ht="15.75" customHeight="1">
      <c r="D270" s="131"/>
      <c r="E270" s="132"/>
      <c r="F270" s="133"/>
      <c r="J270" s="3"/>
    </row>
    <row r="271" ht="15.75" customHeight="1">
      <c r="D271" s="131"/>
      <c r="E271" s="132"/>
      <c r="F271" s="133"/>
      <c r="J271" s="3"/>
    </row>
    <row r="272" ht="15.75" customHeight="1">
      <c r="D272" s="131"/>
      <c r="E272" s="132"/>
      <c r="F272" s="133"/>
      <c r="J272" s="3"/>
    </row>
    <row r="273" ht="15.75" customHeight="1">
      <c r="D273" s="131"/>
      <c r="E273" s="132"/>
      <c r="F273" s="133"/>
      <c r="J273" s="3"/>
    </row>
    <row r="274" ht="15.75" customHeight="1">
      <c r="D274" s="131"/>
      <c r="E274" s="132"/>
      <c r="F274" s="133"/>
      <c r="J274" s="3"/>
    </row>
    <row r="275" ht="15.75" customHeight="1">
      <c r="D275" s="131"/>
      <c r="E275" s="132"/>
      <c r="F275" s="133"/>
      <c r="J275" s="3"/>
    </row>
    <row r="276" ht="15.75" customHeight="1">
      <c r="D276" s="131"/>
      <c r="E276" s="132"/>
      <c r="F276" s="133"/>
      <c r="J276" s="3"/>
    </row>
    <row r="277" ht="15.75" customHeight="1">
      <c r="D277" s="131"/>
      <c r="E277" s="132"/>
      <c r="F277" s="133"/>
      <c r="J277" s="3"/>
    </row>
    <row r="278" ht="15.75" customHeight="1">
      <c r="D278" s="131"/>
      <c r="E278" s="132"/>
      <c r="F278" s="133"/>
      <c r="J278" s="3"/>
    </row>
    <row r="279" ht="15.75" customHeight="1">
      <c r="D279" s="131"/>
      <c r="E279" s="132"/>
      <c r="F279" s="133"/>
      <c r="J279" s="3"/>
    </row>
    <row r="280" ht="15.75" customHeight="1">
      <c r="D280" s="131"/>
      <c r="E280" s="132"/>
      <c r="F280" s="133"/>
      <c r="J280" s="3"/>
    </row>
    <row r="281" ht="15.75" customHeight="1">
      <c r="D281" s="131"/>
      <c r="E281" s="132"/>
      <c r="F281" s="133"/>
      <c r="J281" s="3"/>
    </row>
    <row r="282" ht="15.75" customHeight="1">
      <c r="D282" s="131"/>
      <c r="E282" s="132"/>
      <c r="F282" s="133"/>
      <c r="J282" s="3"/>
    </row>
    <row r="283" ht="15.75" customHeight="1">
      <c r="D283" s="131"/>
      <c r="E283" s="132"/>
      <c r="F283" s="133"/>
      <c r="J283" s="3"/>
    </row>
    <row r="284" ht="15.75" customHeight="1">
      <c r="D284" s="131"/>
      <c r="E284" s="132"/>
      <c r="F284" s="133"/>
      <c r="J284" s="3"/>
    </row>
    <row r="285" ht="15.75" customHeight="1">
      <c r="D285" s="131"/>
      <c r="E285" s="132"/>
      <c r="F285" s="133"/>
      <c r="J285" s="3"/>
    </row>
    <row r="286" ht="15.75" customHeight="1">
      <c r="D286" s="131"/>
      <c r="E286" s="132"/>
      <c r="F286" s="133"/>
      <c r="J286" s="3"/>
    </row>
    <row r="287" ht="15.75" customHeight="1">
      <c r="D287" s="131"/>
      <c r="E287" s="132"/>
      <c r="F287" s="133"/>
      <c r="J287" s="3"/>
    </row>
    <row r="288" ht="15.75" customHeight="1">
      <c r="D288" s="131"/>
      <c r="E288" s="132"/>
      <c r="F288" s="133"/>
      <c r="J288" s="3"/>
    </row>
    <row r="289" ht="15.75" customHeight="1">
      <c r="D289" s="131"/>
      <c r="E289" s="132"/>
      <c r="F289" s="133"/>
      <c r="J289" s="3"/>
    </row>
    <row r="290" ht="15.75" customHeight="1">
      <c r="D290" s="131"/>
      <c r="E290" s="132"/>
      <c r="F290" s="133"/>
      <c r="J290" s="3"/>
    </row>
    <row r="291" ht="15.75" customHeight="1">
      <c r="D291" s="131"/>
      <c r="E291" s="132"/>
      <c r="F291" s="133"/>
      <c r="J291" s="3"/>
    </row>
    <row r="292" ht="15.75" customHeight="1">
      <c r="D292" s="131"/>
      <c r="E292" s="132"/>
      <c r="F292" s="133"/>
      <c r="J292" s="3"/>
    </row>
    <row r="293" ht="15.75" customHeight="1">
      <c r="D293" s="131"/>
      <c r="E293" s="132"/>
      <c r="F293" s="133"/>
      <c r="J293" s="3"/>
    </row>
    <row r="294" ht="15.75" customHeight="1">
      <c r="D294" s="131"/>
      <c r="E294" s="132"/>
      <c r="F294" s="133"/>
      <c r="J294" s="3"/>
    </row>
    <row r="295" ht="15.75" customHeight="1">
      <c r="D295" s="131"/>
      <c r="E295" s="132"/>
      <c r="F295" s="133"/>
      <c r="J295" s="3"/>
    </row>
    <row r="296" ht="15.75" customHeight="1">
      <c r="D296" s="131"/>
      <c r="E296" s="132"/>
      <c r="F296" s="133"/>
      <c r="J296" s="3"/>
    </row>
    <row r="297" ht="15.75" customHeight="1">
      <c r="D297" s="131"/>
      <c r="E297" s="132"/>
      <c r="F297" s="133"/>
      <c r="J297" s="3"/>
    </row>
    <row r="298" ht="15.75" customHeight="1">
      <c r="D298" s="131"/>
      <c r="E298" s="132"/>
      <c r="F298" s="133"/>
      <c r="J298" s="3"/>
    </row>
    <row r="299" ht="15.75" customHeight="1">
      <c r="D299" s="131"/>
      <c r="E299" s="132"/>
      <c r="F299" s="133"/>
      <c r="J299" s="3"/>
    </row>
    <row r="300" ht="15.75" customHeight="1">
      <c r="D300" s="131"/>
      <c r="E300" s="132"/>
      <c r="F300" s="133"/>
      <c r="J300" s="3"/>
    </row>
    <row r="301" ht="15.75" customHeight="1">
      <c r="D301" s="131"/>
      <c r="E301" s="132"/>
      <c r="F301" s="133"/>
      <c r="J301" s="3"/>
    </row>
    <row r="302" ht="15.75" customHeight="1">
      <c r="D302" s="131"/>
      <c r="E302" s="132"/>
      <c r="F302" s="133"/>
      <c r="J302" s="3"/>
    </row>
    <row r="303" ht="15.75" customHeight="1">
      <c r="D303" s="12"/>
      <c r="E303" s="3"/>
      <c r="J303" s="3"/>
    </row>
    <row r="304" ht="15.75" customHeight="1">
      <c r="D304" s="12"/>
      <c r="E304" s="3"/>
      <c r="J304" s="3"/>
    </row>
    <row r="305" ht="15.75" customHeight="1">
      <c r="D305" s="12"/>
      <c r="E305" s="3"/>
      <c r="J305" s="3"/>
    </row>
    <row r="306" ht="15.75" customHeight="1">
      <c r="D306" s="12"/>
      <c r="E306" s="3"/>
      <c r="J306" s="3"/>
    </row>
    <row r="307" ht="15.75" customHeight="1">
      <c r="D307" s="12"/>
      <c r="E307" s="3"/>
      <c r="J307" s="3"/>
    </row>
    <row r="308" ht="15.75" customHeight="1">
      <c r="D308" s="12"/>
      <c r="E308" s="3"/>
      <c r="J308" s="3"/>
    </row>
    <row r="309" ht="15.75" customHeight="1">
      <c r="D309" s="12"/>
      <c r="E309" s="3"/>
      <c r="J309" s="3"/>
    </row>
    <row r="310" ht="15.75" customHeight="1">
      <c r="D310" s="12"/>
      <c r="E310" s="3"/>
      <c r="J310" s="3"/>
    </row>
    <row r="311" ht="15.75" customHeight="1">
      <c r="D311" s="12"/>
      <c r="E311" s="3"/>
      <c r="J311" s="3"/>
    </row>
    <row r="312" ht="15.75" customHeight="1">
      <c r="D312" s="12"/>
      <c r="E312" s="3"/>
      <c r="J312" s="3"/>
    </row>
    <row r="313" ht="15.75" customHeight="1">
      <c r="D313" s="12"/>
      <c r="E313" s="3"/>
      <c r="J313" s="3"/>
    </row>
    <row r="314" ht="15.75" customHeight="1">
      <c r="D314" s="12"/>
      <c r="E314" s="3"/>
      <c r="J314" s="3"/>
    </row>
    <row r="315" ht="15.75" customHeight="1">
      <c r="D315" s="12"/>
      <c r="E315" s="3"/>
      <c r="J315" s="3"/>
    </row>
    <row r="316" ht="15.75" customHeight="1">
      <c r="D316" s="12"/>
      <c r="E316" s="3"/>
      <c r="J316" s="3"/>
    </row>
    <row r="317" ht="15.75" customHeight="1">
      <c r="D317" s="12"/>
      <c r="E317" s="3"/>
      <c r="J317" s="3"/>
    </row>
    <row r="318" ht="15.75" customHeight="1">
      <c r="D318" s="12"/>
      <c r="E318" s="3"/>
      <c r="J318" s="3"/>
    </row>
    <row r="319" ht="15.75" customHeight="1">
      <c r="D319" s="12"/>
      <c r="E319" s="3"/>
      <c r="J319" s="3"/>
    </row>
    <row r="320" ht="15.75" customHeight="1">
      <c r="D320" s="12"/>
      <c r="E320" s="3"/>
      <c r="J320" s="3"/>
    </row>
    <row r="321" ht="15.75" customHeight="1">
      <c r="D321" s="12"/>
      <c r="E321" s="3"/>
      <c r="J321" s="3"/>
    </row>
    <row r="322" ht="15.75" customHeight="1">
      <c r="D322" s="12"/>
      <c r="E322" s="3"/>
      <c r="J322" s="3"/>
    </row>
    <row r="323" ht="15.75" customHeight="1">
      <c r="D323" s="12"/>
      <c r="E323" s="3"/>
      <c r="J323" s="3"/>
    </row>
    <row r="324" ht="15.75" customHeight="1">
      <c r="D324" s="12"/>
      <c r="E324" s="3"/>
      <c r="J324" s="3"/>
    </row>
    <row r="325" ht="15.75" customHeight="1">
      <c r="D325" s="12"/>
      <c r="E325" s="3"/>
      <c r="J325" s="3"/>
    </row>
    <row r="326" ht="15.75" customHeight="1">
      <c r="D326" s="12"/>
      <c r="E326" s="3"/>
      <c r="J326" s="3"/>
    </row>
    <row r="327" ht="15.75" customHeight="1">
      <c r="D327" s="12"/>
      <c r="E327" s="3"/>
      <c r="J327" s="3"/>
    </row>
    <row r="328" ht="15.75" customHeight="1">
      <c r="D328" s="12"/>
      <c r="E328" s="3"/>
      <c r="J328" s="3"/>
    </row>
    <row r="329" ht="15.75" customHeight="1">
      <c r="D329" s="12"/>
      <c r="E329" s="3"/>
      <c r="J329" s="3"/>
    </row>
    <row r="330" ht="15.75" customHeight="1">
      <c r="D330" s="12"/>
      <c r="E330" s="3"/>
      <c r="J330" s="3"/>
    </row>
    <row r="331" ht="15.75" customHeight="1">
      <c r="D331" s="12"/>
      <c r="E331" s="3"/>
      <c r="J331" s="3"/>
    </row>
    <row r="332" ht="15.75" customHeight="1">
      <c r="D332" s="12"/>
      <c r="E332" s="3"/>
      <c r="J332" s="3"/>
    </row>
    <row r="333" ht="15.75" customHeight="1">
      <c r="D333" s="12"/>
      <c r="E333" s="3"/>
      <c r="J333" s="3"/>
    </row>
    <row r="334" ht="15.75" customHeight="1">
      <c r="D334" s="12"/>
      <c r="E334" s="3"/>
      <c r="J334" s="3"/>
    </row>
    <row r="335" ht="15.75" customHeight="1">
      <c r="D335" s="12"/>
      <c r="E335" s="3"/>
      <c r="J335" s="3"/>
    </row>
    <row r="336" ht="15.75" customHeight="1">
      <c r="D336" s="12"/>
      <c r="E336" s="3"/>
      <c r="J336" s="3"/>
    </row>
    <row r="337" ht="15.75" customHeight="1">
      <c r="D337" s="12"/>
      <c r="E337" s="3"/>
      <c r="J337" s="3"/>
    </row>
    <row r="338" ht="15.75" customHeight="1">
      <c r="D338" s="12"/>
      <c r="E338" s="3"/>
      <c r="J338" s="3"/>
    </row>
    <row r="339" ht="15.75" customHeight="1">
      <c r="D339" s="12"/>
      <c r="E339" s="3"/>
      <c r="J339" s="3"/>
    </row>
    <row r="340" ht="15.75" customHeight="1">
      <c r="D340" s="12"/>
      <c r="E340" s="3"/>
      <c r="J340" s="3"/>
    </row>
    <row r="341" ht="15.75" customHeight="1">
      <c r="D341" s="12"/>
      <c r="E341" s="3"/>
      <c r="J341" s="3"/>
    </row>
    <row r="342" ht="15.75" customHeight="1">
      <c r="D342" s="12"/>
      <c r="E342" s="3"/>
      <c r="J342" s="3"/>
    </row>
    <row r="343" ht="15.75" customHeight="1">
      <c r="D343" s="12"/>
      <c r="E343" s="3"/>
      <c r="J343" s="3"/>
    </row>
    <row r="344" ht="15.75" customHeight="1">
      <c r="D344" s="12"/>
      <c r="E344" s="3"/>
      <c r="J344" s="3"/>
    </row>
    <row r="345" ht="15.75" customHeight="1">
      <c r="D345" s="12"/>
      <c r="E345" s="3"/>
      <c r="J345" s="3"/>
    </row>
    <row r="346" ht="15.75" customHeight="1">
      <c r="D346" s="12"/>
      <c r="E346" s="3"/>
      <c r="J346" s="3"/>
    </row>
    <row r="347" ht="15.75" customHeight="1">
      <c r="D347" s="12"/>
      <c r="E347" s="3"/>
      <c r="J347" s="3"/>
    </row>
    <row r="348" ht="15.75" customHeight="1">
      <c r="D348" s="12"/>
      <c r="E348" s="3"/>
      <c r="J348" s="3"/>
    </row>
    <row r="349" ht="15.75" customHeight="1">
      <c r="D349" s="12"/>
      <c r="E349" s="3"/>
      <c r="J349" s="3"/>
    </row>
    <row r="350" ht="15.75" customHeight="1">
      <c r="D350" s="12"/>
      <c r="E350" s="3"/>
      <c r="J350" s="3"/>
    </row>
    <row r="351" ht="15.75" customHeight="1">
      <c r="D351" s="12"/>
      <c r="E351" s="3"/>
      <c r="J351" s="3"/>
    </row>
    <row r="352" ht="15.75" customHeight="1">
      <c r="D352" s="12"/>
      <c r="E352" s="3"/>
      <c r="J352" s="3"/>
    </row>
    <row r="353" ht="15.75" customHeight="1">
      <c r="D353" s="12"/>
      <c r="E353" s="3"/>
      <c r="J353" s="3"/>
    </row>
    <row r="354" ht="15.75" customHeight="1">
      <c r="D354" s="12"/>
      <c r="E354" s="3"/>
      <c r="J354" s="3"/>
    </row>
    <row r="355" ht="15.75" customHeight="1">
      <c r="D355" s="12"/>
      <c r="E355" s="3"/>
      <c r="J355" s="3"/>
    </row>
    <row r="356" ht="15.75" customHeight="1">
      <c r="D356" s="12"/>
      <c r="E356" s="3"/>
      <c r="J356" s="3"/>
    </row>
    <row r="357" ht="15.75" customHeight="1">
      <c r="D357" s="12"/>
      <c r="E357" s="3"/>
      <c r="J357" s="3"/>
    </row>
    <row r="358" ht="15.75" customHeight="1">
      <c r="D358" s="12"/>
      <c r="E358" s="3"/>
      <c r="J358" s="3"/>
    </row>
    <row r="359" ht="15.75" customHeight="1">
      <c r="D359" s="12"/>
      <c r="E359" s="3"/>
      <c r="J359" s="3"/>
    </row>
    <row r="360" ht="15.75" customHeight="1">
      <c r="D360" s="12"/>
      <c r="E360" s="3"/>
      <c r="J360" s="3"/>
    </row>
    <row r="361" ht="15.75" customHeight="1">
      <c r="D361" s="12"/>
      <c r="E361" s="3"/>
      <c r="J361" s="3"/>
    </row>
    <row r="362" ht="15.75" customHeight="1">
      <c r="D362" s="12"/>
      <c r="E362" s="3"/>
      <c r="J362" s="3"/>
    </row>
    <row r="363" ht="15.75" customHeight="1">
      <c r="D363" s="12"/>
      <c r="E363" s="3"/>
      <c r="J363" s="3"/>
    </row>
    <row r="364" ht="15.75" customHeight="1">
      <c r="D364" s="12"/>
      <c r="E364" s="3"/>
      <c r="J364" s="3"/>
    </row>
    <row r="365" ht="15.75" customHeight="1">
      <c r="D365" s="12"/>
      <c r="E365" s="3"/>
      <c r="J365" s="3"/>
    </row>
    <row r="366" ht="15.75" customHeight="1">
      <c r="D366" s="12"/>
      <c r="E366" s="3"/>
      <c r="J366" s="3"/>
    </row>
    <row r="367" ht="15.75" customHeight="1">
      <c r="D367" s="12"/>
      <c r="E367" s="3"/>
      <c r="J367" s="3"/>
    </row>
    <row r="368" ht="15.75" customHeight="1">
      <c r="D368" s="12"/>
      <c r="E368" s="3"/>
      <c r="J368" s="3"/>
    </row>
    <row r="369" ht="15.75" customHeight="1">
      <c r="D369" s="12"/>
      <c r="E369" s="3"/>
      <c r="J369" s="3"/>
    </row>
    <row r="370" ht="15.75" customHeight="1">
      <c r="D370" s="12"/>
      <c r="E370" s="3"/>
      <c r="J370" s="3"/>
    </row>
    <row r="371" ht="15.75" customHeight="1">
      <c r="D371" s="12"/>
      <c r="E371" s="3"/>
      <c r="J371" s="3"/>
    </row>
    <row r="372" ht="15.75" customHeight="1">
      <c r="D372" s="12"/>
      <c r="E372" s="3"/>
      <c r="J372" s="3"/>
    </row>
    <row r="373" ht="15.75" customHeight="1">
      <c r="D373" s="12"/>
      <c r="E373" s="3"/>
      <c r="J373" s="3"/>
    </row>
    <row r="374" ht="15.75" customHeight="1">
      <c r="D374" s="12"/>
      <c r="E374" s="3"/>
      <c r="J374" s="3"/>
    </row>
    <row r="375" ht="15.75" customHeight="1">
      <c r="D375" s="12"/>
      <c r="E375" s="3"/>
      <c r="J375" s="3"/>
    </row>
    <row r="376" ht="15.75" customHeight="1">
      <c r="D376" s="12"/>
      <c r="E376" s="3"/>
      <c r="J376" s="3"/>
    </row>
    <row r="377" ht="15.75" customHeight="1">
      <c r="D377" s="12"/>
      <c r="E377" s="3"/>
      <c r="J377" s="3"/>
    </row>
    <row r="378" ht="15.75" customHeight="1">
      <c r="D378" s="12"/>
      <c r="E378" s="3"/>
      <c r="J378" s="3"/>
    </row>
    <row r="379" ht="15.75" customHeight="1">
      <c r="D379" s="12"/>
      <c r="E379" s="3"/>
      <c r="J379" s="3"/>
    </row>
    <row r="380" ht="15.75" customHeight="1">
      <c r="D380" s="12"/>
      <c r="E380" s="3"/>
      <c r="J380" s="3"/>
    </row>
    <row r="381" ht="15.75" customHeight="1">
      <c r="D381" s="12"/>
      <c r="E381" s="3"/>
      <c r="J381" s="3"/>
    </row>
    <row r="382" ht="15.75" customHeight="1">
      <c r="D382" s="12"/>
      <c r="E382" s="3"/>
      <c r="J382" s="3"/>
    </row>
    <row r="383" ht="15.75" customHeight="1">
      <c r="D383" s="12"/>
      <c r="E383" s="3"/>
      <c r="J383" s="3"/>
    </row>
    <row r="384" ht="15.75" customHeight="1">
      <c r="D384" s="12"/>
      <c r="E384" s="3"/>
      <c r="J384" s="3"/>
    </row>
    <row r="385" ht="15.75" customHeight="1">
      <c r="D385" s="12"/>
      <c r="E385" s="3"/>
      <c r="J385" s="3"/>
    </row>
    <row r="386" ht="15.75" customHeight="1">
      <c r="D386" s="12"/>
      <c r="E386" s="3"/>
      <c r="J386" s="3"/>
    </row>
    <row r="387" ht="15.75" customHeight="1">
      <c r="D387" s="12"/>
      <c r="E387" s="3"/>
      <c r="J387" s="3"/>
    </row>
    <row r="388" ht="15.75" customHeight="1">
      <c r="D388" s="12"/>
      <c r="E388" s="3"/>
      <c r="J388" s="3"/>
    </row>
    <row r="389" ht="15.75" customHeight="1">
      <c r="D389" s="12"/>
      <c r="E389" s="3"/>
      <c r="J389" s="3"/>
    </row>
    <row r="390" ht="15.75" customHeight="1">
      <c r="D390" s="12"/>
      <c r="E390" s="3"/>
      <c r="J390" s="3"/>
    </row>
    <row r="391" ht="15.75" customHeight="1">
      <c r="D391" s="12"/>
      <c r="E391" s="3"/>
      <c r="J391" s="3"/>
    </row>
    <row r="392" ht="15.75" customHeight="1">
      <c r="D392" s="12"/>
      <c r="E392" s="3"/>
      <c r="J392" s="3"/>
    </row>
    <row r="393" ht="15.75" customHeight="1">
      <c r="D393" s="12"/>
      <c r="E393" s="3"/>
      <c r="J393" s="3"/>
    </row>
    <row r="394" ht="15.75" customHeight="1">
      <c r="D394" s="12"/>
      <c r="E394" s="3"/>
      <c r="J394" s="3"/>
    </row>
    <row r="395" ht="15.75" customHeight="1">
      <c r="D395" s="12"/>
      <c r="E395" s="3"/>
      <c r="J395" s="3"/>
    </row>
    <row r="396" ht="15.75" customHeight="1">
      <c r="D396" s="12"/>
      <c r="E396" s="3"/>
      <c r="J396" s="3"/>
    </row>
    <row r="397" ht="15.75" customHeight="1">
      <c r="D397" s="12"/>
      <c r="E397" s="3"/>
      <c r="J397" s="3"/>
    </row>
    <row r="398" ht="15.75" customHeight="1">
      <c r="D398" s="12"/>
      <c r="E398" s="3"/>
      <c r="J398" s="3"/>
    </row>
    <row r="399" ht="15.75" customHeight="1">
      <c r="D399" s="12"/>
      <c r="E399" s="3"/>
      <c r="J399" s="3"/>
    </row>
    <row r="400" ht="15.75" customHeight="1">
      <c r="D400" s="12"/>
      <c r="E400" s="3"/>
      <c r="J400" s="3"/>
    </row>
    <row r="401" ht="15.75" customHeight="1">
      <c r="D401" s="12"/>
      <c r="E401" s="3"/>
      <c r="J401" s="3"/>
    </row>
    <row r="402" ht="15.75" customHeight="1">
      <c r="D402" s="12"/>
      <c r="E402" s="3"/>
      <c r="J402" s="3"/>
    </row>
    <row r="403" ht="15.75" customHeight="1">
      <c r="D403" s="12"/>
      <c r="E403" s="3"/>
      <c r="J403" s="3"/>
    </row>
    <row r="404" ht="15.75" customHeight="1">
      <c r="D404" s="12"/>
      <c r="E404" s="3"/>
      <c r="J404" s="3"/>
    </row>
    <row r="405" ht="15.75" customHeight="1">
      <c r="D405" s="12"/>
      <c r="E405" s="3"/>
      <c r="J405" s="3"/>
    </row>
    <row r="406" ht="15.75" customHeight="1">
      <c r="D406" s="12"/>
      <c r="E406" s="3"/>
      <c r="J406" s="3"/>
    </row>
    <row r="407" ht="15.75" customHeight="1">
      <c r="D407" s="12"/>
      <c r="E407" s="3"/>
      <c r="J407" s="3"/>
    </row>
    <row r="408" ht="15.75" customHeight="1">
      <c r="D408" s="12"/>
      <c r="E408" s="3"/>
      <c r="J408" s="3"/>
    </row>
    <row r="409" ht="15.75" customHeight="1">
      <c r="D409" s="12"/>
      <c r="E409" s="3"/>
      <c r="J409" s="3"/>
    </row>
    <row r="410" ht="15.75" customHeight="1">
      <c r="D410" s="12"/>
      <c r="E410" s="3"/>
      <c r="J410" s="3"/>
    </row>
    <row r="411" ht="15.75" customHeight="1">
      <c r="D411" s="12"/>
      <c r="E411" s="3"/>
      <c r="J411" s="3"/>
    </row>
    <row r="412" ht="15.75" customHeight="1">
      <c r="D412" s="12"/>
      <c r="E412" s="3"/>
      <c r="J412" s="3"/>
    </row>
    <row r="413" ht="15.75" customHeight="1">
      <c r="D413" s="12"/>
      <c r="E413" s="3"/>
      <c r="J413" s="3"/>
    </row>
    <row r="414" ht="15.75" customHeight="1">
      <c r="D414" s="12"/>
      <c r="E414" s="3"/>
      <c r="J414" s="3"/>
    </row>
    <row r="415" ht="15.75" customHeight="1">
      <c r="D415" s="12"/>
      <c r="E415" s="3"/>
      <c r="J415" s="3"/>
    </row>
    <row r="416" ht="15.75" customHeight="1">
      <c r="D416" s="12"/>
      <c r="E416" s="3"/>
      <c r="J416" s="3"/>
    </row>
    <row r="417" ht="15.75" customHeight="1">
      <c r="D417" s="12"/>
      <c r="E417" s="3"/>
      <c r="J417" s="3"/>
    </row>
    <row r="418" ht="15.75" customHeight="1">
      <c r="D418" s="12"/>
      <c r="E418" s="3"/>
      <c r="J418" s="3"/>
    </row>
    <row r="419" ht="15.75" customHeight="1">
      <c r="D419" s="12"/>
      <c r="E419" s="3"/>
      <c r="J419" s="3"/>
    </row>
    <row r="420" ht="15.75" customHeight="1">
      <c r="D420" s="12"/>
      <c r="E420" s="3"/>
      <c r="J420" s="3"/>
    </row>
    <row r="421" ht="15.75" customHeight="1">
      <c r="D421" s="12"/>
      <c r="E421" s="3"/>
      <c r="J421" s="3"/>
    </row>
    <row r="422" ht="15.75" customHeight="1">
      <c r="D422" s="12"/>
      <c r="E422" s="3"/>
      <c r="J422" s="3"/>
    </row>
    <row r="423" ht="15.75" customHeight="1">
      <c r="D423" s="12"/>
      <c r="E423" s="3"/>
      <c r="J423" s="3"/>
    </row>
    <row r="424" ht="15.75" customHeight="1">
      <c r="D424" s="12"/>
      <c r="E424" s="3"/>
      <c r="J424" s="3"/>
    </row>
    <row r="425" ht="15.75" customHeight="1">
      <c r="D425" s="12"/>
      <c r="E425" s="3"/>
      <c r="J425" s="3"/>
    </row>
    <row r="426" ht="15.75" customHeight="1">
      <c r="D426" s="12"/>
      <c r="E426" s="3"/>
      <c r="J426" s="3"/>
    </row>
    <row r="427" ht="15.75" customHeight="1">
      <c r="D427" s="12"/>
      <c r="E427" s="3"/>
      <c r="J427" s="3"/>
    </row>
    <row r="428" ht="15.75" customHeight="1">
      <c r="D428" s="12"/>
      <c r="E428" s="3"/>
      <c r="J428" s="3"/>
    </row>
    <row r="429" ht="15.75" customHeight="1">
      <c r="D429" s="12"/>
      <c r="E429" s="3"/>
      <c r="J429" s="3"/>
    </row>
    <row r="430" ht="15.75" customHeight="1">
      <c r="D430" s="12"/>
      <c r="E430" s="3"/>
      <c r="J430" s="3"/>
    </row>
    <row r="431" ht="15.75" customHeight="1">
      <c r="D431" s="12"/>
      <c r="E431" s="3"/>
      <c r="J431" s="3"/>
    </row>
    <row r="432" ht="15.75" customHeight="1">
      <c r="D432" s="12"/>
      <c r="E432" s="3"/>
      <c r="J432" s="3"/>
    </row>
    <row r="433" ht="15.75" customHeight="1">
      <c r="D433" s="12"/>
      <c r="E433" s="3"/>
      <c r="J433" s="3"/>
    </row>
    <row r="434" ht="15.75" customHeight="1">
      <c r="D434" s="12"/>
      <c r="E434" s="3"/>
      <c r="J434" s="3"/>
    </row>
    <row r="435" ht="15.75" customHeight="1">
      <c r="D435" s="12"/>
      <c r="E435" s="3"/>
      <c r="J435" s="3"/>
    </row>
    <row r="436" ht="15.75" customHeight="1">
      <c r="D436" s="12"/>
      <c r="E436" s="3"/>
      <c r="J436" s="3"/>
    </row>
    <row r="437" ht="15.75" customHeight="1">
      <c r="D437" s="12"/>
      <c r="E437" s="3"/>
      <c r="J437" s="3"/>
    </row>
    <row r="438" ht="15.75" customHeight="1">
      <c r="D438" s="12"/>
      <c r="E438" s="3"/>
      <c r="J438" s="3"/>
    </row>
    <row r="439" ht="15.75" customHeight="1">
      <c r="D439" s="12"/>
      <c r="E439" s="3"/>
      <c r="J439" s="3"/>
    </row>
    <row r="440" ht="15.75" customHeight="1">
      <c r="D440" s="12"/>
      <c r="E440" s="3"/>
      <c r="J440" s="3"/>
    </row>
    <row r="441" ht="15.75" customHeight="1">
      <c r="D441" s="12"/>
      <c r="E441" s="3"/>
      <c r="J441" s="3"/>
    </row>
    <row r="442" ht="15.75" customHeight="1">
      <c r="D442" s="12"/>
      <c r="E442" s="3"/>
      <c r="J442" s="3"/>
    </row>
    <row r="443" ht="15.75" customHeight="1">
      <c r="D443" s="12"/>
      <c r="E443" s="3"/>
      <c r="J443" s="3"/>
    </row>
    <row r="444" ht="15.75" customHeight="1">
      <c r="D444" s="12"/>
      <c r="E444" s="3"/>
      <c r="J444" s="3"/>
    </row>
    <row r="445" ht="15.75" customHeight="1">
      <c r="D445" s="12"/>
      <c r="E445" s="3"/>
      <c r="J445" s="3"/>
    </row>
    <row r="446" ht="15.75" customHeight="1">
      <c r="D446" s="12"/>
      <c r="E446" s="3"/>
      <c r="J446" s="3"/>
    </row>
    <row r="447" ht="15.75" customHeight="1">
      <c r="D447" s="12"/>
      <c r="E447" s="3"/>
      <c r="J447" s="3"/>
    </row>
    <row r="448" ht="15.75" customHeight="1">
      <c r="D448" s="12"/>
      <c r="E448" s="3"/>
      <c r="J448" s="3"/>
    </row>
    <row r="449" ht="15.75" customHeight="1">
      <c r="D449" s="12"/>
      <c r="E449" s="3"/>
      <c r="J449" s="3"/>
    </row>
    <row r="450" ht="15.75" customHeight="1">
      <c r="D450" s="12"/>
      <c r="E450" s="3"/>
      <c r="J450" s="3"/>
    </row>
    <row r="451" ht="15.75" customHeight="1">
      <c r="D451" s="12"/>
      <c r="E451" s="3"/>
      <c r="J451" s="3"/>
    </row>
    <row r="452" ht="15.75" customHeight="1">
      <c r="D452" s="12"/>
      <c r="E452" s="3"/>
      <c r="J452" s="3"/>
    </row>
    <row r="453" ht="15.75" customHeight="1">
      <c r="D453" s="12"/>
      <c r="E453" s="3"/>
      <c r="J453" s="3"/>
    </row>
    <row r="454" ht="15.75" customHeight="1">
      <c r="D454" s="12"/>
      <c r="E454" s="3"/>
      <c r="J454" s="3"/>
    </row>
    <row r="455" ht="15.75" customHeight="1">
      <c r="D455" s="12"/>
      <c r="E455" s="3"/>
      <c r="J455" s="3"/>
    </row>
    <row r="456" ht="15.75" customHeight="1">
      <c r="D456" s="12"/>
      <c r="E456" s="3"/>
      <c r="J456" s="3"/>
    </row>
    <row r="457" ht="15.75" customHeight="1">
      <c r="D457" s="12"/>
      <c r="E457" s="3"/>
      <c r="J457" s="3"/>
    </row>
    <row r="458" ht="15.75" customHeight="1">
      <c r="D458" s="12"/>
      <c r="E458" s="3"/>
      <c r="J458" s="3"/>
    </row>
    <row r="459" ht="15.75" customHeight="1">
      <c r="D459" s="12"/>
      <c r="E459" s="3"/>
      <c r="J459" s="3"/>
    </row>
    <row r="460" ht="15.75" customHeight="1">
      <c r="D460" s="12"/>
      <c r="E460" s="3"/>
      <c r="J460" s="3"/>
    </row>
    <row r="461" ht="15.75" customHeight="1">
      <c r="D461" s="12"/>
      <c r="E461" s="3"/>
      <c r="J461" s="3"/>
    </row>
    <row r="462" ht="15.75" customHeight="1">
      <c r="D462" s="12"/>
      <c r="E462" s="3"/>
      <c r="J462" s="3"/>
    </row>
    <row r="463" ht="15.75" customHeight="1">
      <c r="D463" s="12"/>
      <c r="E463" s="3"/>
      <c r="J463" s="3"/>
    </row>
    <row r="464" ht="15.75" customHeight="1">
      <c r="D464" s="12"/>
      <c r="E464" s="3"/>
      <c r="J464" s="3"/>
    </row>
    <row r="465" ht="15.75" customHeight="1">
      <c r="D465" s="12"/>
      <c r="E465" s="3"/>
      <c r="J465" s="3"/>
    </row>
    <row r="466" ht="15.75" customHeight="1">
      <c r="D466" s="12"/>
      <c r="E466" s="3"/>
      <c r="J466" s="3"/>
    </row>
    <row r="467" ht="15.75" customHeight="1">
      <c r="D467" s="12"/>
      <c r="E467" s="3"/>
      <c r="J467" s="3"/>
    </row>
    <row r="468" ht="15.75" customHeight="1">
      <c r="D468" s="12"/>
      <c r="E468" s="3"/>
      <c r="J468" s="3"/>
    </row>
    <row r="469" ht="15.75" customHeight="1">
      <c r="D469" s="12"/>
      <c r="E469" s="3"/>
      <c r="J469" s="3"/>
    </row>
    <row r="470" ht="15.75" customHeight="1">
      <c r="D470" s="12"/>
      <c r="E470" s="3"/>
      <c r="J470" s="3"/>
    </row>
    <row r="471" ht="15.75" customHeight="1">
      <c r="D471" s="12"/>
      <c r="E471" s="3"/>
      <c r="J471" s="3"/>
    </row>
    <row r="472" ht="15.75" customHeight="1">
      <c r="D472" s="12"/>
      <c r="E472" s="3"/>
      <c r="J472" s="3"/>
    </row>
    <row r="473" ht="15.75" customHeight="1">
      <c r="D473" s="12"/>
      <c r="E473" s="3"/>
      <c r="J473" s="3"/>
    </row>
    <row r="474" ht="15.75" customHeight="1">
      <c r="D474" s="12"/>
      <c r="E474" s="3"/>
      <c r="J474" s="3"/>
    </row>
    <row r="475" ht="15.75" customHeight="1">
      <c r="D475" s="12"/>
      <c r="E475" s="3"/>
      <c r="J475" s="3"/>
    </row>
    <row r="476" ht="15.75" customHeight="1">
      <c r="D476" s="12"/>
      <c r="E476" s="3"/>
      <c r="J476" s="3"/>
    </row>
    <row r="477" ht="15.75" customHeight="1">
      <c r="D477" s="12"/>
      <c r="E477" s="3"/>
      <c r="J477" s="3"/>
    </row>
    <row r="478" ht="15.75" customHeight="1">
      <c r="D478" s="12"/>
      <c r="E478" s="3"/>
      <c r="J478" s="3"/>
    </row>
    <row r="479" ht="15.75" customHeight="1">
      <c r="D479" s="12"/>
      <c r="E479" s="3"/>
      <c r="J479" s="3"/>
    </row>
    <row r="480" ht="15.75" customHeight="1">
      <c r="D480" s="12"/>
      <c r="E480" s="3"/>
      <c r="J480" s="3"/>
    </row>
    <row r="481" ht="15.75" customHeight="1">
      <c r="D481" s="12"/>
      <c r="E481" s="3"/>
      <c r="J481" s="3"/>
    </row>
    <row r="482" ht="15.75" customHeight="1">
      <c r="D482" s="12"/>
      <c r="E482" s="3"/>
      <c r="J482" s="3"/>
    </row>
    <row r="483" ht="15.75" customHeight="1">
      <c r="D483" s="12"/>
      <c r="E483" s="3"/>
      <c r="J483" s="3"/>
    </row>
    <row r="484" ht="15.75" customHeight="1">
      <c r="D484" s="12"/>
      <c r="E484" s="3"/>
      <c r="J484" s="3"/>
    </row>
    <row r="485" ht="15.75" customHeight="1">
      <c r="D485" s="12"/>
      <c r="E485" s="3"/>
      <c r="J485" s="3"/>
    </row>
    <row r="486" ht="15.75" customHeight="1">
      <c r="D486" s="12"/>
      <c r="E486" s="3"/>
      <c r="J486" s="3"/>
    </row>
    <row r="487" ht="15.75" customHeight="1">
      <c r="D487" s="12"/>
      <c r="E487" s="3"/>
      <c r="J487" s="3"/>
    </row>
    <row r="488" ht="15.75" customHeight="1">
      <c r="D488" s="12"/>
      <c r="E488" s="3"/>
      <c r="J488" s="3"/>
    </row>
    <row r="489" ht="15.75" customHeight="1">
      <c r="D489" s="12"/>
      <c r="E489" s="3"/>
      <c r="J489" s="3"/>
    </row>
    <row r="490" ht="15.75" customHeight="1">
      <c r="D490" s="12"/>
      <c r="E490" s="3"/>
      <c r="J490" s="3"/>
    </row>
    <row r="491" ht="15.75" customHeight="1">
      <c r="D491" s="12"/>
      <c r="E491" s="3"/>
      <c r="J491" s="3"/>
    </row>
    <row r="492" ht="15.75" customHeight="1">
      <c r="D492" s="12"/>
      <c r="E492" s="3"/>
      <c r="J492" s="3"/>
    </row>
    <row r="493" ht="15.75" customHeight="1">
      <c r="D493" s="12"/>
      <c r="E493" s="3"/>
      <c r="J493" s="3"/>
    </row>
    <row r="494" ht="15.75" customHeight="1">
      <c r="D494" s="12"/>
      <c r="E494" s="3"/>
      <c r="J494" s="3"/>
    </row>
    <row r="495" ht="15.75" customHeight="1">
      <c r="D495" s="12"/>
      <c r="E495" s="3"/>
      <c r="J495" s="3"/>
    </row>
    <row r="496" ht="15.75" customHeight="1">
      <c r="D496" s="12"/>
      <c r="E496" s="3"/>
      <c r="J496" s="3"/>
    </row>
    <row r="497" ht="15.75" customHeight="1">
      <c r="D497" s="12"/>
      <c r="E497" s="3"/>
      <c r="J497" s="3"/>
    </row>
    <row r="498" ht="15.75" customHeight="1">
      <c r="D498" s="12"/>
      <c r="E498" s="3"/>
      <c r="J498" s="3"/>
    </row>
    <row r="499" ht="15.75" customHeight="1">
      <c r="D499" s="12"/>
      <c r="E499" s="3"/>
      <c r="J499" s="3"/>
    </row>
    <row r="500" ht="15.75" customHeight="1">
      <c r="D500" s="12"/>
      <c r="E500" s="3"/>
      <c r="J500" s="3"/>
    </row>
    <row r="501" ht="15.75" customHeight="1">
      <c r="D501" s="12"/>
      <c r="E501" s="3"/>
      <c r="J501" s="3"/>
    </row>
    <row r="502" ht="15.75" customHeight="1">
      <c r="D502" s="12"/>
      <c r="E502" s="3"/>
      <c r="J502" s="3"/>
    </row>
    <row r="503" ht="15.75" customHeight="1">
      <c r="D503" s="12"/>
      <c r="E503" s="3"/>
      <c r="J503" s="3"/>
    </row>
    <row r="504" ht="15.75" customHeight="1">
      <c r="D504" s="12"/>
      <c r="E504" s="3"/>
      <c r="J504" s="3"/>
    </row>
    <row r="505" ht="15.75" customHeight="1">
      <c r="D505" s="12"/>
      <c r="E505" s="3"/>
      <c r="J505" s="3"/>
    </row>
    <row r="506" ht="15.75" customHeight="1">
      <c r="D506" s="12"/>
      <c r="E506" s="3"/>
      <c r="J506" s="3"/>
    </row>
    <row r="507" ht="15.75" customHeight="1">
      <c r="D507" s="12"/>
      <c r="E507" s="3"/>
      <c r="J507" s="3"/>
    </row>
    <row r="508" ht="15.75" customHeight="1">
      <c r="D508" s="12"/>
      <c r="E508" s="3"/>
      <c r="J508" s="3"/>
    </row>
    <row r="509" ht="15.75" customHeight="1">
      <c r="D509" s="12"/>
      <c r="E509" s="3"/>
      <c r="J509" s="3"/>
    </row>
    <row r="510" ht="15.75" customHeight="1">
      <c r="D510" s="12"/>
      <c r="E510" s="3"/>
      <c r="J510" s="3"/>
    </row>
    <row r="511" ht="15.75" customHeight="1">
      <c r="D511" s="12"/>
      <c r="E511" s="3"/>
      <c r="J511" s="3"/>
    </row>
    <row r="512" ht="15.75" customHeight="1">
      <c r="D512" s="12"/>
      <c r="E512" s="3"/>
      <c r="J512" s="3"/>
    </row>
    <row r="513" ht="15.75" customHeight="1">
      <c r="D513" s="12"/>
      <c r="E513" s="3"/>
      <c r="J513" s="3"/>
    </row>
    <row r="514" ht="15.75" customHeight="1">
      <c r="D514" s="12"/>
      <c r="E514" s="3"/>
      <c r="J514" s="3"/>
    </row>
    <row r="515" ht="15.75" customHeight="1">
      <c r="D515" s="12"/>
      <c r="E515" s="3"/>
      <c r="J515" s="3"/>
    </row>
    <row r="516" ht="15.75" customHeight="1">
      <c r="D516" s="12"/>
      <c r="E516" s="3"/>
      <c r="J516" s="3"/>
    </row>
    <row r="517" ht="15.75" customHeight="1">
      <c r="D517" s="12"/>
      <c r="E517" s="3"/>
      <c r="J517" s="3"/>
    </row>
    <row r="518" ht="15.75" customHeight="1">
      <c r="D518" s="12"/>
      <c r="E518" s="3"/>
      <c r="J518" s="3"/>
    </row>
    <row r="519" ht="15.75" customHeight="1">
      <c r="D519" s="12"/>
      <c r="E519" s="3"/>
      <c r="J519" s="3"/>
    </row>
    <row r="520" ht="15.75" customHeight="1">
      <c r="D520" s="12"/>
      <c r="E520" s="3"/>
      <c r="J520" s="3"/>
    </row>
    <row r="521" ht="15.75" customHeight="1">
      <c r="D521" s="12"/>
      <c r="E521" s="3"/>
      <c r="J521" s="3"/>
    </row>
    <row r="522" ht="15.75" customHeight="1">
      <c r="D522" s="12"/>
      <c r="E522" s="3"/>
      <c r="J522" s="3"/>
    </row>
    <row r="523" ht="15.75" customHeight="1">
      <c r="D523" s="12"/>
      <c r="E523" s="3"/>
      <c r="J523" s="3"/>
    </row>
    <row r="524" ht="15.75" customHeight="1">
      <c r="D524" s="12"/>
      <c r="E524" s="3"/>
      <c r="J524" s="3"/>
    </row>
    <row r="525" ht="15.75" customHeight="1">
      <c r="D525" s="12"/>
      <c r="E525" s="3"/>
      <c r="J525" s="3"/>
    </row>
    <row r="526" ht="15.75" customHeight="1">
      <c r="D526" s="12"/>
      <c r="E526" s="3"/>
      <c r="J526" s="3"/>
    </row>
    <row r="527" ht="15.75" customHeight="1">
      <c r="D527" s="12"/>
      <c r="E527" s="3"/>
      <c r="J527" s="3"/>
    </row>
    <row r="528" ht="15.75" customHeight="1">
      <c r="D528" s="12"/>
      <c r="E528" s="3"/>
      <c r="J528" s="3"/>
    </row>
    <row r="529" ht="15.75" customHeight="1">
      <c r="D529" s="12"/>
      <c r="E529" s="3"/>
      <c r="J529" s="3"/>
    </row>
    <row r="530" ht="15.75" customHeight="1">
      <c r="D530" s="12"/>
      <c r="E530" s="3"/>
      <c r="J530" s="3"/>
    </row>
    <row r="531" ht="15.75" customHeight="1">
      <c r="D531" s="12"/>
      <c r="E531" s="3"/>
      <c r="J531" s="3"/>
    </row>
    <row r="532" ht="15.75" customHeight="1">
      <c r="D532" s="12"/>
      <c r="E532" s="3"/>
      <c r="J532" s="3"/>
    </row>
    <row r="533" ht="15.75" customHeight="1">
      <c r="D533" s="12"/>
      <c r="E533" s="3"/>
      <c r="J533" s="3"/>
    </row>
    <row r="534" ht="15.75" customHeight="1">
      <c r="D534" s="12"/>
      <c r="E534" s="3"/>
      <c r="J534" s="3"/>
    </row>
    <row r="535" ht="15.75" customHeight="1">
      <c r="D535" s="12"/>
      <c r="E535" s="3"/>
      <c r="J535" s="3"/>
    </row>
    <row r="536" ht="15.75" customHeight="1">
      <c r="D536" s="12"/>
      <c r="E536" s="3"/>
      <c r="J536" s="3"/>
    </row>
    <row r="537" ht="15.75" customHeight="1">
      <c r="D537" s="12"/>
      <c r="E537" s="3"/>
      <c r="J537" s="3"/>
    </row>
    <row r="538" ht="15.75" customHeight="1">
      <c r="D538" s="12"/>
      <c r="E538" s="3"/>
      <c r="J538" s="3"/>
    </row>
    <row r="539" ht="15.75" customHeight="1">
      <c r="D539" s="12"/>
      <c r="E539" s="3"/>
      <c r="J539" s="3"/>
    </row>
    <row r="540" ht="15.75" customHeight="1">
      <c r="D540" s="12"/>
      <c r="E540" s="3"/>
      <c r="J540" s="3"/>
    </row>
    <row r="541" ht="15.75" customHeight="1">
      <c r="D541" s="12"/>
      <c r="E541" s="3"/>
      <c r="J541" s="3"/>
    </row>
    <row r="542" ht="15.75" customHeight="1">
      <c r="D542" s="12"/>
      <c r="E542" s="3"/>
      <c r="J542" s="3"/>
    </row>
    <row r="543" ht="15.75" customHeight="1">
      <c r="D543" s="12"/>
      <c r="E543" s="3"/>
      <c r="J543" s="3"/>
    </row>
    <row r="544" ht="15.75" customHeight="1">
      <c r="D544" s="12"/>
      <c r="E544" s="3"/>
      <c r="J544" s="3"/>
    </row>
    <row r="545" ht="15.75" customHeight="1">
      <c r="D545" s="12"/>
      <c r="E545" s="3"/>
      <c r="J545" s="3"/>
    </row>
    <row r="546" ht="15.75" customHeight="1">
      <c r="D546" s="12"/>
      <c r="E546" s="3"/>
      <c r="J546" s="3"/>
    </row>
    <row r="547" ht="15.75" customHeight="1">
      <c r="D547" s="12"/>
      <c r="E547" s="3"/>
      <c r="J547" s="3"/>
    </row>
    <row r="548" ht="15.75" customHeight="1">
      <c r="D548" s="12"/>
      <c r="E548" s="3"/>
      <c r="J548" s="3"/>
    </row>
    <row r="549" ht="15.75" customHeight="1">
      <c r="D549" s="12"/>
      <c r="E549" s="3"/>
      <c r="J549" s="3"/>
    </row>
    <row r="550" ht="15.75" customHeight="1">
      <c r="D550" s="12"/>
      <c r="E550" s="3"/>
      <c r="J550" s="3"/>
    </row>
    <row r="551" ht="15.75" customHeight="1">
      <c r="D551" s="12"/>
      <c r="E551" s="3"/>
      <c r="J551" s="3"/>
    </row>
    <row r="552" ht="15.75" customHeight="1">
      <c r="D552" s="12"/>
      <c r="E552" s="3"/>
      <c r="J552" s="3"/>
    </row>
    <row r="553" ht="15.75" customHeight="1">
      <c r="D553" s="12"/>
      <c r="E553" s="3"/>
      <c r="J553" s="3"/>
    </row>
    <row r="554" ht="15.75" customHeight="1">
      <c r="D554" s="12"/>
      <c r="E554" s="3"/>
      <c r="J554" s="3"/>
    </row>
    <row r="555" ht="15.75" customHeight="1">
      <c r="D555" s="12"/>
      <c r="E555" s="3"/>
      <c r="J555" s="3"/>
    </row>
    <row r="556" ht="15.75" customHeight="1">
      <c r="D556" s="12"/>
      <c r="E556" s="3"/>
      <c r="J556" s="3"/>
    </row>
    <row r="557" ht="15.75" customHeight="1">
      <c r="D557" s="12"/>
      <c r="E557" s="3"/>
      <c r="J557" s="3"/>
    </row>
    <row r="558" ht="15.75" customHeight="1">
      <c r="D558" s="12"/>
      <c r="E558" s="3"/>
      <c r="J558" s="3"/>
    </row>
    <row r="559" ht="15.75" customHeight="1">
      <c r="D559" s="12"/>
      <c r="E559" s="3"/>
      <c r="J559" s="3"/>
    </row>
    <row r="560" ht="15.75" customHeight="1">
      <c r="D560" s="12"/>
      <c r="E560" s="3"/>
      <c r="J560" s="3"/>
    </row>
    <row r="561" ht="15.75" customHeight="1">
      <c r="D561" s="12"/>
      <c r="E561" s="3"/>
      <c r="J561" s="3"/>
    </row>
    <row r="562" ht="15.75" customHeight="1">
      <c r="D562" s="12"/>
      <c r="E562" s="3"/>
      <c r="J562" s="3"/>
    </row>
    <row r="563" ht="15.75" customHeight="1">
      <c r="D563" s="12"/>
      <c r="E563" s="3"/>
      <c r="J563" s="3"/>
    </row>
    <row r="564" ht="15.75" customHeight="1">
      <c r="D564" s="12"/>
      <c r="E564" s="3"/>
      <c r="J564" s="3"/>
    </row>
    <row r="565" ht="15.75" customHeight="1">
      <c r="D565" s="12"/>
      <c r="E565" s="3"/>
      <c r="J565" s="3"/>
    </row>
    <row r="566" ht="15.75" customHeight="1">
      <c r="D566" s="12"/>
      <c r="E566" s="3"/>
      <c r="J566" s="3"/>
    </row>
    <row r="567" ht="15.75" customHeight="1">
      <c r="D567" s="12"/>
      <c r="E567" s="3"/>
      <c r="J567" s="3"/>
    </row>
    <row r="568" ht="15.75" customHeight="1">
      <c r="D568" s="12"/>
      <c r="E568" s="3"/>
      <c r="J568" s="3"/>
    </row>
    <row r="569" ht="15.75" customHeight="1">
      <c r="D569" s="12"/>
      <c r="E569" s="3"/>
      <c r="J569" s="3"/>
    </row>
    <row r="570" ht="15.75" customHeight="1">
      <c r="D570" s="12"/>
      <c r="E570" s="3"/>
      <c r="J570" s="3"/>
    </row>
    <row r="571" ht="15.75" customHeight="1">
      <c r="D571" s="12"/>
      <c r="E571" s="3"/>
      <c r="J571" s="3"/>
    </row>
    <row r="572" ht="15.75" customHeight="1">
      <c r="D572" s="12"/>
      <c r="E572" s="3"/>
      <c r="J572" s="3"/>
    </row>
    <row r="573" ht="15.75" customHeight="1">
      <c r="D573" s="12"/>
      <c r="E573" s="3"/>
      <c r="J573" s="3"/>
    </row>
    <row r="574" ht="15.75" customHeight="1">
      <c r="D574" s="12"/>
      <c r="E574" s="3"/>
      <c r="J574" s="3"/>
    </row>
    <row r="575" ht="15.75" customHeight="1">
      <c r="D575" s="12"/>
      <c r="E575" s="3"/>
      <c r="J575" s="3"/>
    </row>
    <row r="576" ht="15.75" customHeight="1">
      <c r="D576" s="12"/>
      <c r="E576" s="3"/>
      <c r="J576" s="3"/>
    </row>
    <row r="577" ht="15.75" customHeight="1">
      <c r="D577" s="12"/>
      <c r="E577" s="3"/>
      <c r="J577" s="3"/>
    </row>
    <row r="578" ht="15.75" customHeight="1">
      <c r="D578" s="12"/>
      <c r="E578" s="3"/>
      <c r="J578" s="3"/>
    </row>
    <row r="579" ht="15.75" customHeight="1">
      <c r="D579" s="12"/>
      <c r="E579" s="3"/>
      <c r="J579" s="3"/>
    </row>
    <row r="580" ht="15.75" customHeight="1">
      <c r="D580" s="12"/>
      <c r="E580" s="3"/>
      <c r="J580" s="3"/>
    </row>
    <row r="581" ht="15.75" customHeight="1">
      <c r="D581" s="12"/>
      <c r="E581" s="3"/>
      <c r="J581" s="3"/>
    </row>
    <row r="582" ht="15.75" customHeight="1">
      <c r="D582" s="12"/>
      <c r="E582" s="3"/>
      <c r="J582" s="3"/>
    </row>
    <row r="583" ht="15.75" customHeight="1">
      <c r="D583" s="12"/>
      <c r="E583" s="3"/>
      <c r="J583" s="3"/>
    </row>
    <row r="584" ht="15.75" customHeight="1">
      <c r="D584" s="12"/>
      <c r="E584" s="3"/>
      <c r="J584" s="3"/>
    </row>
    <row r="585" ht="15.75" customHeight="1">
      <c r="D585" s="12"/>
      <c r="E585" s="3"/>
      <c r="J585" s="3"/>
    </row>
    <row r="586" ht="15.75" customHeight="1">
      <c r="D586" s="12"/>
      <c r="E586" s="3"/>
      <c r="J586" s="3"/>
    </row>
    <row r="587" ht="15.75" customHeight="1">
      <c r="D587" s="12"/>
      <c r="E587" s="3"/>
      <c r="J587" s="3"/>
    </row>
    <row r="588" ht="15.75" customHeight="1">
      <c r="D588" s="12"/>
      <c r="E588" s="3"/>
      <c r="J588" s="3"/>
    </row>
    <row r="589" ht="15.75" customHeight="1">
      <c r="D589" s="12"/>
      <c r="E589" s="3"/>
      <c r="J589" s="3"/>
    </row>
    <row r="590" ht="15.75" customHeight="1">
      <c r="D590" s="12"/>
      <c r="E590" s="3"/>
      <c r="J590" s="3"/>
    </row>
    <row r="591" ht="15.75" customHeight="1">
      <c r="D591" s="12"/>
      <c r="E591" s="3"/>
      <c r="J591" s="3"/>
    </row>
    <row r="592" ht="15.75" customHeight="1">
      <c r="D592" s="12"/>
      <c r="E592" s="3"/>
      <c r="J592" s="3"/>
    </row>
    <row r="593" ht="15.75" customHeight="1">
      <c r="D593" s="12"/>
      <c r="E593" s="3"/>
      <c r="J593" s="3"/>
    </row>
    <row r="594" ht="15.75" customHeight="1">
      <c r="D594" s="12"/>
      <c r="E594" s="3"/>
      <c r="J594" s="3"/>
    </row>
    <row r="595" ht="15.75" customHeight="1">
      <c r="D595" s="12"/>
      <c r="E595" s="3"/>
      <c r="J595" s="3"/>
    </row>
    <row r="596" ht="15.75" customHeight="1">
      <c r="D596" s="12"/>
      <c r="E596" s="3"/>
      <c r="J596" s="3"/>
    </row>
    <row r="597" ht="15.75" customHeight="1">
      <c r="D597" s="12"/>
      <c r="E597" s="3"/>
      <c r="J597" s="3"/>
    </row>
    <row r="598" ht="15.75" customHeight="1">
      <c r="D598" s="12"/>
      <c r="E598" s="3"/>
      <c r="J598" s="3"/>
    </row>
    <row r="599" ht="15.75" customHeight="1">
      <c r="D599" s="12"/>
      <c r="E599" s="3"/>
      <c r="J599" s="3"/>
    </row>
    <row r="600" ht="15.75" customHeight="1">
      <c r="D600" s="12"/>
      <c r="E600" s="3"/>
      <c r="J600" s="3"/>
    </row>
    <row r="601" ht="15.75" customHeight="1">
      <c r="D601" s="12"/>
      <c r="E601" s="3"/>
      <c r="J601" s="3"/>
    </row>
    <row r="602" ht="15.75" customHeight="1">
      <c r="D602" s="12"/>
      <c r="E602" s="3"/>
      <c r="J602" s="3"/>
    </row>
    <row r="603" ht="15.75" customHeight="1">
      <c r="D603" s="12"/>
      <c r="E603" s="3"/>
      <c r="J603" s="3"/>
    </row>
    <row r="604" ht="15.75" customHeight="1">
      <c r="D604" s="12"/>
      <c r="E604" s="3"/>
      <c r="J604" s="3"/>
    </row>
    <row r="605" ht="15.75" customHeight="1">
      <c r="D605" s="12"/>
      <c r="E605" s="3"/>
      <c r="J605" s="3"/>
    </row>
    <row r="606" ht="15.75" customHeight="1">
      <c r="D606" s="12"/>
      <c r="E606" s="3"/>
      <c r="J606" s="3"/>
    </row>
    <row r="607" ht="15.75" customHeight="1">
      <c r="D607" s="12"/>
      <c r="E607" s="3"/>
      <c r="J607" s="3"/>
    </row>
    <row r="608" ht="15.75" customHeight="1">
      <c r="D608" s="12"/>
      <c r="E608" s="3"/>
      <c r="J608" s="3"/>
    </row>
    <row r="609" ht="15.75" customHeight="1">
      <c r="D609" s="12"/>
      <c r="E609" s="3"/>
      <c r="J609" s="3"/>
    </row>
    <row r="610" ht="15.75" customHeight="1">
      <c r="D610" s="12"/>
      <c r="E610" s="3"/>
      <c r="J610" s="3"/>
    </row>
    <row r="611" ht="15.75" customHeight="1">
      <c r="D611" s="12"/>
      <c r="E611" s="3"/>
      <c r="J611" s="3"/>
    </row>
    <row r="612" ht="15.75" customHeight="1">
      <c r="D612" s="12"/>
      <c r="E612" s="3"/>
      <c r="J612" s="3"/>
    </row>
    <row r="613" ht="15.75" customHeight="1">
      <c r="D613" s="12"/>
      <c r="E613" s="3"/>
      <c r="J613" s="3"/>
    </row>
    <row r="614" ht="15.75" customHeight="1">
      <c r="D614" s="12"/>
      <c r="E614" s="3"/>
      <c r="J614" s="3"/>
    </row>
    <row r="615" ht="15.75" customHeight="1">
      <c r="D615" s="12"/>
      <c r="E615" s="3"/>
      <c r="J615" s="3"/>
    </row>
    <row r="616" ht="15.75" customHeight="1">
      <c r="D616" s="12"/>
      <c r="E616" s="3"/>
      <c r="J616" s="3"/>
    </row>
    <row r="617" ht="15.75" customHeight="1">
      <c r="D617" s="12"/>
      <c r="E617" s="3"/>
      <c r="J617" s="3"/>
    </row>
    <row r="618" ht="15.75" customHeight="1">
      <c r="D618" s="12"/>
      <c r="E618" s="3"/>
      <c r="J618" s="3"/>
    </row>
    <row r="619" ht="15.75" customHeight="1">
      <c r="D619" s="12"/>
      <c r="E619" s="3"/>
      <c r="J619" s="3"/>
    </row>
    <row r="620" ht="15.75" customHeight="1">
      <c r="D620" s="12"/>
      <c r="E620" s="3"/>
      <c r="J620" s="3"/>
    </row>
    <row r="621" ht="15.75" customHeight="1">
      <c r="D621" s="12"/>
      <c r="E621" s="3"/>
      <c r="J621" s="3"/>
    </row>
    <row r="622" ht="15.75" customHeight="1">
      <c r="D622" s="12"/>
      <c r="E622" s="3"/>
      <c r="J622" s="3"/>
    </row>
    <row r="623" ht="15.75" customHeight="1">
      <c r="D623" s="12"/>
      <c r="E623" s="3"/>
      <c r="J623" s="3"/>
    </row>
    <row r="624" ht="15.75" customHeight="1">
      <c r="D624" s="12"/>
      <c r="E624" s="3"/>
      <c r="J624" s="3"/>
    </row>
    <row r="625" ht="15.75" customHeight="1">
      <c r="D625" s="12"/>
      <c r="E625" s="3"/>
      <c r="J625" s="3"/>
    </row>
    <row r="626" ht="15.75" customHeight="1">
      <c r="D626" s="12"/>
      <c r="E626" s="3"/>
      <c r="J626" s="3"/>
    </row>
    <row r="627" ht="15.75" customHeight="1">
      <c r="D627" s="12"/>
      <c r="E627" s="3"/>
      <c r="J627" s="3"/>
    </row>
    <row r="628" ht="15.75" customHeight="1">
      <c r="D628" s="12"/>
      <c r="E628" s="3"/>
      <c r="J628" s="3"/>
    </row>
    <row r="629" ht="15.75" customHeight="1">
      <c r="D629" s="12"/>
      <c r="E629" s="3"/>
      <c r="J629" s="3"/>
    </row>
    <row r="630" ht="15.75" customHeight="1">
      <c r="D630" s="12"/>
      <c r="E630" s="3"/>
      <c r="J630" s="3"/>
    </row>
    <row r="631" ht="15.75" customHeight="1">
      <c r="D631" s="12"/>
      <c r="E631" s="3"/>
      <c r="J631" s="3"/>
    </row>
    <row r="632" ht="15.75" customHeight="1">
      <c r="D632" s="12"/>
      <c r="E632" s="3"/>
      <c r="J632" s="3"/>
    </row>
    <row r="633" ht="15.75" customHeight="1">
      <c r="D633" s="12"/>
      <c r="E633" s="3"/>
      <c r="J633" s="3"/>
    </row>
    <row r="634" ht="15.75" customHeight="1">
      <c r="D634" s="12"/>
      <c r="E634" s="3"/>
      <c r="J634" s="3"/>
    </row>
    <row r="635" ht="15.75" customHeight="1">
      <c r="D635" s="12"/>
      <c r="E635" s="3"/>
      <c r="J635" s="3"/>
    </row>
    <row r="636" ht="15.75" customHeight="1">
      <c r="D636" s="12"/>
      <c r="E636" s="3"/>
      <c r="J636" s="3"/>
    </row>
    <row r="637" ht="15.75" customHeight="1">
      <c r="D637" s="12"/>
      <c r="E637" s="3"/>
      <c r="J637" s="3"/>
    </row>
    <row r="638" ht="15.75" customHeight="1">
      <c r="D638" s="12"/>
      <c r="E638" s="3"/>
      <c r="J638" s="3"/>
    </row>
    <row r="639" ht="15.75" customHeight="1">
      <c r="D639" s="12"/>
      <c r="E639" s="3"/>
      <c r="J639" s="3"/>
    </row>
    <row r="640" ht="15.75" customHeight="1">
      <c r="D640" s="12"/>
      <c r="E640" s="3"/>
      <c r="J640" s="3"/>
    </row>
    <row r="641" ht="15.75" customHeight="1">
      <c r="D641" s="12"/>
      <c r="E641" s="3"/>
      <c r="J641" s="3"/>
    </row>
    <row r="642" ht="15.75" customHeight="1">
      <c r="D642" s="12"/>
      <c r="E642" s="3"/>
      <c r="J642" s="3"/>
    </row>
    <row r="643" ht="15.75" customHeight="1">
      <c r="D643" s="12"/>
      <c r="E643" s="3"/>
      <c r="J643" s="3"/>
    </row>
    <row r="644" ht="15.75" customHeight="1">
      <c r="D644" s="12"/>
      <c r="E644" s="3"/>
      <c r="J644" s="3"/>
    </row>
    <row r="645" ht="15.75" customHeight="1">
      <c r="D645" s="12"/>
      <c r="E645" s="3"/>
      <c r="J645" s="3"/>
    </row>
    <row r="646" ht="15.75" customHeight="1">
      <c r="D646" s="12"/>
      <c r="E646" s="3"/>
      <c r="J646" s="3"/>
    </row>
    <row r="647" ht="15.75" customHeight="1">
      <c r="D647" s="12"/>
      <c r="E647" s="3"/>
      <c r="J647" s="3"/>
    </row>
    <row r="648" ht="15.75" customHeight="1">
      <c r="D648" s="12"/>
      <c r="E648" s="3"/>
      <c r="J648" s="3"/>
    </row>
    <row r="649" ht="15.75" customHeight="1">
      <c r="D649" s="12"/>
      <c r="E649" s="3"/>
      <c r="J649" s="3"/>
    </row>
    <row r="650" ht="15.75" customHeight="1">
      <c r="D650" s="12"/>
      <c r="E650" s="3"/>
      <c r="J650" s="3"/>
    </row>
    <row r="651" ht="15.75" customHeight="1">
      <c r="D651" s="12"/>
      <c r="E651" s="3"/>
      <c r="J651" s="3"/>
    </row>
    <row r="652" ht="15.75" customHeight="1">
      <c r="D652" s="12"/>
      <c r="E652" s="3"/>
      <c r="J652" s="3"/>
    </row>
    <row r="653" ht="15.75" customHeight="1">
      <c r="D653" s="12"/>
      <c r="E653" s="3"/>
      <c r="J653" s="3"/>
    </row>
    <row r="654" ht="15.75" customHeight="1">
      <c r="D654" s="12"/>
      <c r="E654" s="3"/>
      <c r="J654" s="3"/>
    </row>
    <row r="655" ht="15.75" customHeight="1">
      <c r="D655" s="12"/>
      <c r="E655" s="3"/>
      <c r="J655" s="3"/>
    </row>
    <row r="656" ht="15.75" customHeight="1">
      <c r="D656" s="12"/>
      <c r="E656" s="3"/>
      <c r="J656" s="3"/>
    </row>
    <row r="657" ht="15.75" customHeight="1">
      <c r="D657" s="12"/>
      <c r="E657" s="3"/>
      <c r="J657" s="3"/>
    </row>
    <row r="658" ht="15.75" customHeight="1">
      <c r="D658" s="12"/>
      <c r="E658" s="3"/>
      <c r="J658" s="3"/>
    </row>
    <row r="659" ht="15.75" customHeight="1">
      <c r="D659" s="12"/>
      <c r="E659" s="3"/>
      <c r="J659" s="3"/>
    </row>
    <row r="660" ht="15.75" customHeight="1">
      <c r="D660" s="12"/>
      <c r="E660" s="3"/>
      <c r="J660" s="3"/>
    </row>
    <row r="661" ht="15.75" customHeight="1">
      <c r="D661" s="12"/>
      <c r="E661" s="3"/>
      <c r="J661" s="3"/>
    </row>
    <row r="662" ht="15.75" customHeight="1">
      <c r="D662" s="12"/>
      <c r="E662" s="3"/>
      <c r="J662" s="3"/>
    </row>
    <row r="663" ht="15.75" customHeight="1">
      <c r="D663" s="12"/>
      <c r="E663" s="3"/>
      <c r="J663" s="3"/>
    </row>
    <row r="664" ht="15.75" customHeight="1">
      <c r="D664" s="12"/>
      <c r="E664" s="3"/>
      <c r="J664" s="3"/>
    </row>
    <row r="665" ht="15.75" customHeight="1">
      <c r="D665" s="12"/>
      <c r="E665" s="3"/>
      <c r="J665" s="3"/>
    </row>
    <row r="666" ht="15.75" customHeight="1">
      <c r="D666" s="12"/>
      <c r="E666" s="3"/>
      <c r="J666" s="3"/>
    </row>
    <row r="667" ht="15.75" customHeight="1">
      <c r="D667" s="12"/>
      <c r="E667" s="3"/>
      <c r="J667" s="3"/>
    </row>
    <row r="668" ht="15.75" customHeight="1">
      <c r="D668" s="12"/>
      <c r="E668" s="3"/>
      <c r="J668" s="3"/>
    </row>
    <row r="669" ht="15.75" customHeight="1">
      <c r="D669" s="12"/>
      <c r="E669" s="3"/>
      <c r="J669" s="3"/>
    </row>
    <row r="670" ht="15.75" customHeight="1">
      <c r="D670" s="12"/>
      <c r="E670" s="3"/>
      <c r="J670" s="3"/>
    </row>
    <row r="671" ht="15.75" customHeight="1">
      <c r="D671" s="12"/>
      <c r="E671" s="3"/>
      <c r="J671" s="3"/>
    </row>
    <row r="672" ht="15.75" customHeight="1">
      <c r="D672" s="12"/>
      <c r="E672" s="3"/>
      <c r="J672" s="3"/>
    </row>
    <row r="673" ht="15.75" customHeight="1">
      <c r="D673" s="12"/>
      <c r="E673" s="3"/>
      <c r="J673" s="3"/>
    </row>
    <row r="674" ht="15.75" customHeight="1">
      <c r="D674" s="12"/>
      <c r="E674" s="3"/>
      <c r="J674" s="3"/>
    </row>
    <row r="675" ht="15.75" customHeight="1">
      <c r="D675" s="12"/>
      <c r="E675" s="3"/>
      <c r="J675" s="3"/>
    </row>
    <row r="676" ht="15.75" customHeight="1">
      <c r="D676" s="12"/>
      <c r="E676" s="3"/>
      <c r="J676" s="3"/>
    </row>
    <row r="677" ht="15.75" customHeight="1">
      <c r="D677" s="12"/>
      <c r="E677" s="3"/>
      <c r="J677" s="3"/>
    </row>
    <row r="678" ht="15.75" customHeight="1">
      <c r="D678" s="12"/>
      <c r="E678" s="3"/>
      <c r="J678" s="3"/>
    </row>
    <row r="679" ht="15.75" customHeight="1">
      <c r="D679" s="12"/>
      <c r="E679" s="3"/>
      <c r="J679" s="3"/>
    </row>
    <row r="680" ht="15.75" customHeight="1">
      <c r="D680" s="12"/>
      <c r="E680" s="3"/>
      <c r="J680" s="3"/>
    </row>
    <row r="681" ht="15.75" customHeight="1">
      <c r="D681" s="12"/>
      <c r="E681" s="3"/>
      <c r="J681" s="3"/>
    </row>
    <row r="682" ht="15.75" customHeight="1">
      <c r="D682" s="12"/>
      <c r="E682" s="3"/>
      <c r="J682" s="3"/>
    </row>
    <row r="683" ht="15.75" customHeight="1">
      <c r="D683" s="12"/>
      <c r="E683" s="3"/>
      <c r="J683" s="3"/>
    </row>
    <row r="684" ht="15.75" customHeight="1">
      <c r="D684" s="12"/>
      <c r="E684" s="3"/>
      <c r="J684" s="3"/>
    </row>
    <row r="685" ht="15.75" customHeight="1">
      <c r="D685" s="12"/>
      <c r="E685" s="3"/>
      <c r="J685" s="3"/>
    </row>
    <row r="686" ht="15.75" customHeight="1">
      <c r="D686" s="12"/>
      <c r="E686" s="3"/>
      <c r="J686" s="3"/>
    </row>
    <row r="687" ht="15.75" customHeight="1">
      <c r="D687" s="12"/>
      <c r="E687" s="3"/>
      <c r="J687" s="3"/>
    </row>
    <row r="688" ht="15.75" customHeight="1">
      <c r="D688" s="12"/>
      <c r="E688" s="3"/>
      <c r="J688" s="3"/>
    </row>
    <row r="689" ht="15.75" customHeight="1">
      <c r="D689" s="12"/>
      <c r="E689" s="3"/>
      <c r="J689" s="3"/>
    </row>
    <row r="690" ht="15.75" customHeight="1">
      <c r="D690" s="12"/>
      <c r="E690" s="3"/>
      <c r="J690" s="3"/>
    </row>
    <row r="691" ht="15.75" customHeight="1">
      <c r="D691" s="12"/>
      <c r="E691" s="3"/>
      <c r="J691" s="3"/>
    </row>
    <row r="692" ht="15.75" customHeight="1">
      <c r="D692" s="12"/>
      <c r="E692" s="3"/>
      <c r="J692" s="3"/>
    </row>
    <row r="693" ht="15.75" customHeight="1">
      <c r="D693" s="12"/>
      <c r="E693" s="3"/>
      <c r="J693" s="3"/>
    </row>
    <row r="694" ht="15.75" customHeight="1">
      <c r="D694" s="12"/>
      <c r="E694" s="3"/>
      <c r="J694" s="3"/>
    </row>
    <row r="695" ht="15.75" customHeight="1">
      <c r="D695" s="12"/>
      <c r="E695" s="3"/>
      <c r="J695" s="3"/>
    </row>
    <row r="696" ht="15.75" customHeight="1">
      <c r="D696" s="12"/>
      <c r="E696" s="3"/>
      <c r="J696" s="3"/>
    </row>
    <row r="697" ht="15.75" customHeight="1">
      <c r="D697" s="12"/>
      <c r="E697" s="3"/>
      <c r="J697" s="3"/>
    </row>
    <row r="698" ht="15.75" customHeight="1">
      <c r="D698" s="12"/>
      <c r="E698" s="3"/>
      <c r="J698" s="3"/>
    </row>
    <row r="699" ht="15.75" customHeight="1">
      <c r="D699" s="12"/>
      <c r="E699" s="3"/>
      <c r="J699" s="3"/>
    </row>
    <row r="700" ht="15.75" customHeight="1">
      <c r="D700" s="12"/>
      <c r="E700" s="3"/>
      <c r="J700" s="3"/>
    </row>
    <row r="701" ht="15.75" customHeight="1">
      <c r="D701" s="12"/>
      <c r="E701" s="3"/>
      <c r="J701" s="3"/>
    </row>
    <row r="702" ht="15.75" customHeight="1">
      <c r="D702" s="12"/>
      <c r="E702" s="3"/>
      <c r="J702" s="3"/>
    </row>
    <row r="703" ht="15.75" customHeight="1">
      <c r="D703" s="12"/>
      <c r="E703" s="3"/>
      <c r="J703" s="3"/>
    </row>
    <row r="704" ht="15.75" customHeight="1">
      <c r="D704" s="12"/>
      <c r="E704" s="3"/>
      <c r="J704" s="3"/>
    </row>
    <row r="705" ht="15.75" customHeight="1">
      <c r="D705" s="12"/>
      <c r="E705" s="3"/>
      <c r="J705" s="3"/>
    </row>
    <row r="706" ht="15.75" customHeight="1">
      <c r="D706" s="12"/>
      <c r="E706" s="3"/>
      <c r="J706" s="3"/>
    </row>
    <row r="707" ht="15.75" customHeight="1">
      <c r="D707" s="12"/>
      <c r="E707" s="3"/>
      <c r="J707" s="3"/>
    </row>
    <row r="708" ht="15.75" customHeight="1">
      <c r="D708" s="12"/>
      <c r="E708" s="3"/>
      <c r="J708" s="3"/>
    </row>
    <row r="709" ht="15.75" customHeight="1">
      <c r="D709" s="12"/>
      <c r="E709" s="3"/>
      <c r="J709" s="3"/>
    </row>
    <row r="710" ht="15.75" customHeight="1">
      <c r="D710" s="12"/>
      <c r="E710" s="3"/>
      <c r="J710" s="3"/>
    </row>
    <row r="711" ht="15.75" customHeight="1">
      <c r="D711" s="12"/>
      <c r="E711" s="3"/>
      <c r="J711" s="3"/>
    </row>
    <row r="712" ht="15.75" customHeight="1">
      <c r="D712" s="12"/>
      <c r="E712" s="3"/>
      <c r="J712" s="3"/>
    </row>
    <row r="713" ht="15.75" customHeight="1">
      <c r="D713" s="12"/>
      <c r="E713" s="3"/>
      <c r="J713" s="3"/>
    </row>
    <row r="714" ht="15.75" customHeight="1">
      <c r="D714" s="12"/>
      <c r="E714" s="3"/>
      <c r="J714" s="3"/>
    </row>
    <row r="715" ht="15.75" customHeight="1">
      <c r="D715" s="12"/>
      <c r="E715" s="3"/>
      <c r="J715" s="3"/>
    </row>
    <row r="716" ht="15.75" customHeight="1">
      <c r="D716" s="12"/>
      <c r="E716" s="3"/>
      <c r="J716" s="3"/>
    </row>
    <row r="717" ht="15.75" customHeight="1">
      <c r="D717" s="12"/>
      <c r="E717" s="3"/>
      <c r="J717" s="3"/>
    </row>
    <row r="718" ht="15.75" customHeight="1">
      <c r="D718" s="12"/>
      <c r="E718" s="3"/>
      <c r="J718" s="3"/>
    </row>
    <row r="719" ht="15.75" customHeight="1">
      <c r="D719" s="12"/>
      <c r="E719" s="3"/>
      <c r="J719" s="3"/>
    </row>
    <row r="720" ht="15.75" customHeight="1">
      <c r="D720" s="12"/>
      <c r="E720" s="3"/>
      <c r="J720" s="3"/>
    </row>
    <row r="721" ht="15.75" customHeight="1">
      <c r="D721" s="12"/>
      <c r="E721" s="3"/>
      <c r="J721" s="3"/>
    </row>
    <row r="722" ht="15.75" customHeight="1">
      <c r="D722" s="12"/>
      <c r="E722" s="3"/>
      <c r="J722" s="3"/>
    </row>
    <row r="723" ht="15.75" customHeight="1">
      <c r="D723" s="12"/>
      <c r="E723" s="3"/>
      <c r="J723" s="3"/>
    </row>
    <row r="724" ht="15.75" customHeight="1">
      <c r="D724" s="12"/>
      <c r="E724" s="3"/>
      <c r="J724" s="3"/>
    </row>
    <row r="725" ht="15.75" customHeight="1">
      <c r="D725" s="12"/>
      <c r="E725" s="3"/>
      <c r="J725" s="3"/>
    </row>
    <row r="726" ht="15.75" customHeight="1">
      <c r="D726" s="12"/>
      <c r="E726" s="3"/>
      <c r="J726" s="3"/>
    </row>
    <row r="727" ht="15.75" customHeight="1">
      <c r="D727" s="12"/>
      <c r="E727" s="3"/>
      <c r="J727" s="3"/>
    </row>
    <row r="728" ht="15.75" customHeight="1">
      <c r="D728" s="12"/>
      <c r="E728" s="3"/>
      <c r="J728" s="3"/>
    </row>
    <row r="729" ht="15.75" customHeight="1">
      <c r="D729" s="12"/>
      <c r="E729" s="3"/>
      <c r="J729" s="3"/>
    </row>
    <row r="730" ht="15.75" customHeight="1">
      <c r="D730" s="12"/>
      <c r="E730" s="3"/>
      <c r="J730" s="3"/>
    </row>
    <row r="731" ht="15.75" customHeight="1">
      <c r="D731" s="12"/>
      <c r="E731" s="3"/>
      <c r="J731" s="3"/>
    </row>
    <row r="732" ht="15.75" customHeight="1">
      <c r="D732" s="12"/>
      <c r="E732" s="3"/>
      <c r="J732" s="3"/>
    </row>
    <row r="733" ht="15.75" customHeight="1">
      <c r="D733" s="12"/>
      <c r="E733" s="3"/>
      <c r="J733" s="3"/>
    </row>
    <row r="734" ht="15.75" customHeight="1">
      <c r="D734" s="12"/>
      <c r="E734" s="3"/>
      <c r="J734" s="3"/>
    </row>
    <row r="735" ht="15.75" customHeight="1">
      <c r="D735" s="12"/>
      <c r="E735" s="3"/>
      <c r="J735" s="3"/>
    </row>
    <row r="736" ht="15.75" customHeight="1">
      <c r="D736" s="12"/>
      <c r="E736" s="3"/>
      <c r="J736" s="3"/>
    </row>
    <row r="737" ht="15.75" customHeight="1">
      <c r="D737" s="12"/>
      <c r="E737" s="3"/>
      <c r="J737" s="3"/>
    </row>
    <row r="738" ht="15.75" customHeight="1">
      <c r="D738" s="12"/>
      <c r="E738" s="3"/>
      <c r="J738" s="3"/>
    </row>
    <row r="739" ht="15.75" customHeight="1">
      <c r="D739" s="12"/>
      <c r="E739" s="3"/>
      <c r="J739" s="3"/>
    </row>
    <row r="740" ht="15.75" customHeight="1">
      <c r="D740" s="12"/>
      <c r="E740" s="3"/>
      <c r="J740" s="3"/>
    </row>
    <row r="741" ht="15.75" customHeight="1">
      <c r="D741" s="12"/>
      <c r="E741" s="3"/>
      <c r="J741" s="3"/>
    </row>
    <row r="742" ht="15.75" customHeight="1">
      <c r="D742" s="12"/>
      <c r="E742" s="3"/>
      <c r="J742" s="3"/>
    </row>
    <row r="743" ht="15.75" customHeight="1">
      <c r="D743" s="12"/>
      <c r="E743" s="3"/>
      <c r="J743" s="3"/>
    </row>
    <row r="744" ht="15.75" customHeight="1">
      <c r="D744" s="12"/>
      <c r="E744" s="3"/>
      <c r="J744" s="3"/>
    </row>
    <row r="745" ht="15.75" customHeight="1">
      <c r="D745" s="12"/>
      <c r="E745" s="3"/>
      <c r="J745" s="3"/>
    </row>
    <row r="746" ht="15.75" customHeight="1">
      <c r="D746" s="12"/>
      <c r="E746" s="3"/>
      <c r="J746" s="3"/>
    </row>
    <row r="747" ht="15.75" customHeight="1">
      <c r="D747" s="12"/>
      <c r="E747" s="3"/>
      <c r="J747" s="3"/>
    </row>
    <row r="748" ht="15.75" customHeight="1">
      <c r="D748" s="12"/>
      <c r="E748" s="3"/>
      <c r="J748" s="3"/>
    </row>
    <row r="749" ht="15.75" customHeight="1">
      <c r="D749" s="12"/>
      <c r="E749" s="3"/>
      <c r="J749" s="3"/>
    </row>
    <row r="750" ht="15.75" customHeight="1">
      <c r="D750" s="12"/>
      <c r="E750" s="3"/>
      <c r="J750" s="3"/>
    </row>
    <row r="751" ht="15.75" customHeight="1">
      <c r="D751" s="12"/>
      <c r="E751" s="3"/>
      <c r="J751" s="3"/>
    </row>
    <row r="752" ht="15.75" customHeight="1">
      <c r="D752" s="12"/>
      <c r="E752" s="3"/>
      <c r="J752" s="3"/>
    </row>
    <row r="753" ht="15.75" customHeight="1">
      <c r="D753" s="12"/>
      <c r="E753" s="3"/>
      <c r="J753" s="3"/>
    </row>
    <row r="754" ht="15.75" customHeight="1">
      <c r="D754" s="12"/>
      <c r="E754" s="3"/>
      <c r="J754" s="3"/>
    </row>
    <row r="755" ht="15.75" customHeight="1">
      <c r="D755" s="12"/>
      <c r="E755" s="3"/>
      <c r="J755" s="3"/>
    </row>
    <row r="756" ht="15.75" customHeight="1">
      <c r="D756" s="12"/>
      <c r="E756" s="3"/>
      <c r="J756" s="3"/>
    </row>
    <row r="757" ht="15.75" customHeight="1">
      <c r="D757" s="12"/>
      <c r="E757" s="3"/>
      <c r="J757" s="3"/>
    </row>
    <row r="758" ht="15.75" customHeight="1">
      <c r="D758" s="12"/>
      <c r="E758" s="3"/>
      <c r="J758" s="3"/>
    </row>
    <row r="759" ht="15.75" customHeight="1">
      <c r="D759" s="12"/>
      <c r="E759" s="3"/>
      <c r="J759" s="3"/>
    </row>
    <row r="760" ht="15.75" customHeight="1">
      <c r="D760" s="12"/>
      <c r="E760" s="3"/>
      <c r="J760" s="3"/>
    </row>
    <row r="761" ht="15.75" customHeight="1">
      <c r="D761" s="12"/>
      <c r="E761" s="3"/>
      <c r="J761" s="3"/>
    </row>
    <row r="762" ht="15.75" customHeight="1">
      <c r="D762" s="12"/>
      <c r="E762" s="3"/>
      <c r="J762" s="3"/>
    </row>
    <row r="763" ht="15.75" customHeight="1">
      <c r="D763" s="12"/>
      <c r="E763" s="3"/>
      <c r="J763" s="3"/>
    </row>
    <row r="764" ht="15.75" customHeight="1">
      <c r="D764" s="12"/>
      <c r="E764" s="3"/>
      <c r="J764" s="3"/>
    </row>
    <row r="765" ht="15.75" customHeight="1">
      <c r="D765" s="12"/>
      <c r="E765" s="3"/>
      <c r="J765" s="3"/>
    </row>
    <row r="766" ht="15.75" customHeight="1">
      <c r="D766" s="12"/>
      <c r="E766" s="3"/>
      <c r="J766" s="3"/>
    </row>
    <row r="767" ht="15.75" customHeight="1">
      <c r="D767" s="12"/>
      <c r="E767" s="3"/>
      <c r="J767" s="3"/>
    </row>
    <row r="768" ht="15.75" customHeight="1">
      <c r="D768" s="12"/>
      <c r="E768" s="3"/>
      <c r="J768" s="3"/>
    </row>
    <row r="769" ht="15.75" customHeight="1">
      <c r="D769" s="12"/>
      <c r="E769" s="3"/>
      <c r="J769" s="3"/>
    </row>
    <row r="770" ht="15.75" customHeight="1">
      <c r="D770" s="12"/>
      <c r="E770" s="3"/>
      <c r="J770" s="3"/>
    </row>
    <row r="771" ht="15.75" customHeight="1">
      <c r="D771" s="12"/>
      <c r="E771" s="3"/>
      <c r="J771" s="3"/>
    </row>
    <row r="772" ht="15.75" customHeight="1">
      <c r="D772" s="12"/>
      <c r="E772" s="3"/>
      <c r="J772" s="3"/>
    </row>
    <row r="773" ht="15.75" customHeight="1">
      <c r="D773" s="12"/>
      <c r="E773" s="3"/>
      <c r="J773" s="3"/>
    </row>
    <row r="774" ht="15.75" customHeight="1">
      <c r="D774" s="12"/>
      <c r="E774" s="3"/>
      <c r="J774" s="3"/>
    </row>
    <row r="775" ht="15.75" customHeight="1">
      <c r="D775" s="12"/>
      <c r="E775" s="3"/>
      <c r="J775" s="3"/>
    </row>
    <row r="776" ht="15.75" customHeight="1">
      <c r="D776" s="12"/>
      <c r="E776" s="3"/>
      <c r="J776" s="3"/>
    </row>
    <row r="777" ht="15.75" customHeight="1">
      <c r="D777" s="12"/>
      <c r="E777" s="3"/>
      <c r="J777" s="3"/>
    </row>
    <row r="778" ht="15.75" customHeight="1">
      <c r="D778" s="12"/>
      <c r="E778" s="3"/>
      <c r="J778" s="3"/>
    </row>
    <row r="779" ht="15.75" customHeight="1">
      <c r="D779" s="12"/>
      <c r="E779" s="3"/>
      <c r="J779" s="3"/>
    </row>
    <row r="780" ht="15.75" customHeight="1">
      <c r="D780" s="12"/>
      <c r="E780" s="3"/>
      <c r="J780" s="3"/>
    </row>
    <row r="781" ht="15.75" customHeight="1">
      <c r="D781" s="12"/>
      <c r="E781" s="3"/>
      <c r="J781" s="3"/>
    </row>
    <row r="782" ht="15.75" customHeight="1">
      <c r="D782" s="12"/>
      <c r="E782" s="3"/>
      <c r="J782" s="3"/>
    </row>
    <row r="783" ht="15.75" customHeight="1">
      <c r="D783" s="12"/>
      <c r="E783" s="3"/>
      <c r="J783" s="3"/>
    </row>
    <row r="784" ht="15.75" customHeight="1">
      <c r="D784" s="12"/>
      <c r="E784" s="3"/>
      <c r="J784" s="3"/>
    </row>
    <row r="785" ht="15.75" customHeight="1">
      <c r="D785" s="12"/>
      <c r="E785" s="3"/>
      <c r="J785" s="3"/>
    </row>
    <row r="786" ht="15.75" customHeight="1">
      <c r="D786" s="12"/>
      <c r="E786" s="3"/>
      <c r="J786" s="3"/>
    </row>
    <row r="787" ht="15.75" customHeight="1">
      <c r="D787" s="12"/>
      <c r="E787" s="3"/>
      <c r="J787" s="3"/>
    </row>
    <row r="788" ht="15.75" customHeight="1">
      <c r="D788" s="12"/>
      <c r="E788" s="3"/>
      <c r="J788" s="3"/>
    </row>
    <row r="789" ht="15.75" customHeight="1">
      <c r="D789" s="12"/>
      <c r="E789" s="3"/>
      <c r="J789" s="3"/>
    </row>
    <row r="790" ht="15.75" customHeight="1">
      <c r="D790" s="12"/>
      <c r="E790" s="3"/>
      <c r="J790" s="3"/>
    </row>
    <row r="791" ht="15.75" customHeight="1">
      <c r="D791" s="12"/>
      <c r="E791" s="3"/>
      <c r="J791" s="3"/>
    </row>
    <row r="792" ht="15.75" customHeight="1">
      <c r="D792" s="12"/>
      <c r="E792" s="3"/>
      <c r="J792" s="3"/>
    </row>
    <row r="793" ht="15.75" customHeight="1">
      <c r="D793" s="12"/>
      <c r="E793" s="3"/>
      <c r="J793" s="3"/>
    </row>
    <row r="794" ht="15.75" customHeight="1">
      <c r="D794" s="12"/>
      <c r="E794" s="3"/>
      <c r="J794" s="3"/>
    </row>
    <row r="795" ht="15.75" customHeight="1">
      <c r="D795" s="12"/>
      <c r="E795" s="3"/>
      <c r="J795" s="3"/>
    </row>
    <row r="796" ht="15.75" customHeight="1">
      <c r="D796" s="12"/>
      <c r="E796" s="3"/>
      <c r="J796" s="3"/>
    </row>
    <row r="797" ht="15.75" customHeight="1">
      <c r="D797" s="12"/>
      <c r="E797" s="3"/>
      <c r="J797" s="3"/>
    </row>
    <row r="798" ht="15.75" customHeight="1">
      <c r="D798" s="12"/>
      <c r="E798" s="3"/>
      <c r="J798" s="3"/>
    </row>
    <row r="799" ht="15.75" customHeight="1">
      <c r="D799" s="12"/>
      <c r="E799" s="3"/>
      <c r="J799" s="3"/>
    </row>
    <row r="800" ht="15.75" customHeight="1">
      <c r="D800" s="12"/>
      <c r="E800" s="3"/>
      <c r="J800" s="3"/>
    </row>
    <row r="801" ht="15.75" customHeight="1">
      <c r="D801" s="12"/>
      <c r="E801" s="3"/>
      <c r="J801" s="3"/>
    </row>
    <row r="802" ht="15.75" customHeight="1">
      <c r="D802" s="12"/>
      <c r="E802" s="3"/>
      <c r="J802" s="3"/>
    </row>
    <row r="803" ht="15.75" customHeight="1">
      <c r="D803" s="12"/>
      <c r="E803" s="3"/>
      <c r="J803" s="3"/>
    </row>
    <row r="804" ht="15.75" customHeight="1">
      <c r="D804" s="12"/>
      <c r="E804" s="3"/>
      <c r="J804" s="3"/>
    </row>
    <row r="805" ht="15.75" customHeight="1">
      <c r="D805" s="12"/>
      <c r="E805" s="3"/>
      <c r="J805" s="3"/>
    </row>
    <row r="806" ht="15.75" customHeight="1">
      <c r="D806" s="12"/>
      <c r="E806" s="3"/>
      <c r="J806" s="3"/>
    </row>
    <row r="807" ht="15.75" customHeight="1">
      <c r="D807" s="12"/>
      <c r="E807" s="3"/>
      <c r="J807" s="3"/>
    </row>
    <row r="808" ht="15.75" customHeight="1">
      <c r="D808" s="12"/>
      <c r="E808" s="3"/>
      <c r="J808" s="3"/>
    </row>
    <row r="809" ht="15.75" customHeight="1">
      <c r="D809" s="12"/>
      <c r="E809" s="3"/>
      <c r="J809" s="3"/>
    </row>
    <row r="810" ht="15.75" customHeight="1">
      <c r="D810" s="12"/>
      <c r="E810" s="3"/>
      <c r="J810" s="3"/>
    </row>
    <row r="811" ht="15.75" customHeight="1">
      <c r="D811" s="12"/>
      <c r="E811" s="3"/>
      <c r="J811" s="3"/>
    </row>
    <row r="812" ht="15.75" customHeight="1">
      <c r="D812" s="12"/>
      <c r="E812" s="3"/>
      <c r="J812" s="3"/>
    </row>
    <row r="813" ht="15.75" customHeight="1">
      <c r="D813" s="12"/>
      <c r="E813" s="3"/>
      <c r="J813" s="3"/>
    </row>
    <row r="814" ht="15.75" customHeight="1">
      <c r="D814" s="12"/>
      <c r="E814" s="3"/>
      <c r="J814" s="3"/>
    </row>
    <row r="815" ht="15.75" customHeight="1">
      <c r="D815" s="12"/>
      <c r="E815" s="3"/>
      <c r="J815" s="3"/>
    </row>
    <row r="816" ht="15.75" customHeight="1">
      <c r="D816" s="12"/>
      <c r="E816" s="3"/>
      <c r="J816" s="3"/>
    </row>
    <row r="817" ht="15.75" customHeight="1">
      <c r="D817" s="12"/>
      <c r="E817" s="3"/>
      <c r="J817" s="3"/>
    </row>
    <row r="818" ht="15.75" customHeight="1">
      <c r="D818" s="12"/>
      <c r="E818" s="3"/>
      <c r="J818" s="3"/>
    </row>
    <row r="819" ht="15.75" customHeight="1">
      <c r="D819" s="12"/>
      <c r="E819" s="3"/>
      <c r="J819" s="3"/>
    </row>
    <row r="820" ht="15.75" customHeight="1">
      <c r="D820" s="12"/>
      <c r="E820" s="3"/>
      <c r="J820" s="3"/>
    </row>
    <row r="821" ht="15.75" customHeight="1">
      <c r="D821" s="12"/>
      <c r="E821" s="3"/>
      <c r="J821" s="3"/>
    </row>
    <row r="822" ht="15.75" customHeight="1">
      <c r="D822" s="12"/>
      <c r="E822" s="3"/>
      <c r="J822" s="3"/>
    </row>
    <row r="823" ht="15.75" customHeight="1">
      <c r="D823" s="12"/>
      <c r="E823" s="3"/>
      <c r="J823" s="3"/>
    </row>
    <row r="824" ht="15.75" customHeight="1">
      <c r="D824" s="12"/>
      <c r="E824" s="3"/>
      <c r="J824" s="3"/>
    </row>
    <row r="825" ht="15.75" customHeight="1">
      <c r="D825" s="12"/>
      <c r="E825" s="3"/>
      <c r="J825" s="3"/>
    </row>
    <row r="826" ht="15.75" customHeight="1">
      <c r="D826" s="12"/>
      <c r="E826" s="3"/>
      <c r="J826" s="3"/>
    </row>
    <row r="827" ht="15.75" customHeight="1">
      <c r="D827" s="12"/>
      <c r="E827" s="3"/>
      <c r="J827" s="3"/>
    </row>
    <row r="828" ht="15.75" customHeight="1">
      <c r="D828" s="12"/>
      <c r="E828" s="3"/>
      <c r="J828" s="3"/>
    </row>
    <row r="829" ht="15.75" customHeight="1">
      <c r="D829" s="12"/>
      <c r="E829" s="3"/>
      <c r="J829" s="3"/>
    </row>
    <row r="830" ht="15.75" customHeight="1">
      <c r="D830" s="12"/>
      <c r="E830" s="3"/>
      <c r="J830" s="3"/>
    </row>
    <row r="831" ht="15.75" customHeight="1">
      <c r="D831" s="12"/>
      <c r="E831" s="3"/>
      <c r="J831" s="3"/>
    </row>
    <row r="832" ht="15.75" customHeight="1">
      <c r="D832" s="12"/>
      <c r="E832" s="3"/>
      <c r="J832" s="3"/>
    </row>
    <row r="833" ht="15.75" customHeight="1">
      <c r="D833" s="12"/>
      <c r="E833" s="3"/>
      <c r="J833" s="3"/>
    </row>
    <row r="834" ht="15.75" customHeight="1">
      <c r="D834" s="12"/>
      <c r="E834" s="3"/>
      <c r="J834" s="3"/>
    </row>
    <row r="835" ht="15.75" customHeight="1">
      <c r="D835" s="12"/>
      <c r="E835" s="3"/>
      <c r="J835" s="3"/>
    </row>
    <row r="836" ht="15.75" customHeight="1">
      <c r="D836" s="12"/>
      <c r="E836" s="3"/>
      <c r="J836" s="3"/>
    </row>
    <row r="837" ht="15.75" customHeight="1">
      <c r="D837" s="12"/>
      <c r="E837" s="3"/>
      <c r="J837" s="3"/>
    </row>
    <row r="838" ht="15.75" customHeight="1">
      <c r="D838" s="12"/>
      <c r="E838" s="3"/>
      <c r="J838" s="3"/>
    </row>
    <row r="839" ht="15.75" customHeight="1">
      <c r="D839" s="12"/>
      <c r="E839" s="3"/>
      <c r="J839" s="3"/>
    </row>
    <row r="840" ht="15.75" customHeight="1">
      <c r="D840" s="12"/>
      <c r="E840" s="3"/>
      <c r="J840" s="3"/>
    </row>
    <row r="841" ht="15.75" customHeight="1">
      <c r="D841" s="12"/>
      <c r="E841" s="3"/>
      <c r="J841" s="3"/>
    </row>
    <row r="842" ht="15.75" customHeight="1">
      <c r="D842" s="12"/>
      <c r="E842" s="3"/>
      <c r="J842" s="3"/>
    </row>
    <row r="843" ht="15.75" customHeight="1">
      <c r="D843" s="12"/>
      <c r="E843" s="3"/>
      <c r="J843" s="3"/>
    </row>
    <row r="844" ht="15.75" customHeight="1">
      <c r="D844" s="12"/>
      <c r="E844" s="3"/>
      <c r="J844" s="3"/>
    </row>
    <row r="845" ht="15.75" customHeight="1">
      <c r="D845" s="12"/>
      <c r="E845" s="3"/>
      <c r="J845" s="3"/>
    </row>
    <row r="846" ht="15.75" customHeight="1">
      <c r="D846" s="12"/>
      <c r="E846" s="3"/>
      <c r="J846" s="3"/>
    </row>
    <row r="847" ht="15.75" customHeight="1">
      <c r="D847" s="12"/>
      <c r="E847" s="3"/>
      <c r="J847" s="3"/>
    </row>
    <row r="848" ht="15.75" customHeight="1">
      <c r="D848" s="12"/>
      <c r="E848" s="3"/>
      <c r="J848" s="3"/>
    </row>
    <row r="849" ht="15.75" customHeight="1">
      <c r="D849" s="12"/>
      <c r="E849" s="3"/>
      <c r="J849" s="3"/>
    </row>
    <row r="850" ht="15.75" customHeight="1">
      <c r="D850" s="12"/>
      <c r="E850" s="3"/>
      <c r="J850" s="3"/>
    </row>
    <row r="851" ht="15.75" customHeight="1">
      <c r="D851" s="12"/>
      <c r="E851" s="3"/>
      <c r="J851" s="3"/>
    </row>
    <row r="852" ht="15.75" customHeight="1">
      <c r="D852" s="12"/>
      <c r="E852" s="3"/>
      <c r="J852" s="3"/>
    </row>
    <row r="853" ht="15.75" customHeight="1">
      <c r="D853" s="12"/>
      <c r="E853" s="3"/>
      <c r="J853" s="3"/>
    </row>
    <row r="854" ht="15.75" customHeight="1">
      <c r="D854" s="12"/>
      <c r="E854" s="3"/>
      <c r="J854" s="3"/>
    </row>
    <row r="855" ht="15.75" customHeight="1">
      <c r="D855" s="12"/>
      <c r="E855" s="3"/>
      <c r="J855" s="3"/>
    </row>
    <row r="856" ht="15.75" customHeight="1">
      <c r="D856" s="12"/>
      <c r="E856" s="3"/>
      <c r="J856" s="3"/>
    </row>
    <row r="857" ht="15.75" customHeight="1">
      <c r="D857" s="12"/>
      <c r="E857" s="3"/>
      <c r="J857" s="3"/>
    </row>
    <row r="858" ht="15.75" customHeight="1">
      <c r="D858" s="12"/>
      <c r="E858" s="3"/>
      <c r="J858" s="3"/>
    </row>
    <row r="859" ht="15.75" customHeight="1">
      <c r="D859" s="12"/>
      <c r="E859" s="3"/>
      <c r="J859" s="3"/>
    </row>
    <row r="860" ht="15.75" customHeight="1">
      <c r="D860" s="12"/>
      <c r="E860" s="3"/>
      <c r="J860" s="3"/>
    </row>
    <row r="861" ht="15.75" customHeight="1">
      <c r="D861" s="12"/>
      <c r="E861" s="3"/>
      <c r="J861" s="3"/>
    </row>
    <row r="862" ht="15.75" customHeight="1">
      <c r="D862" s="12"/>
      <c r="E862" s="3"/>
      <c r="J862" s="3"/>
    </row>
    <row r="863" ht="15.75" customHeight="1">
      <c r="D863" s="12"/>
      <c r="E863" s="3"/>
      <c r="J863" s="3"/>
    </row>
    <row r="864" ht="15.75" customHeight="1">
      <c r="D864" s="12"/>
      <c r="E864" s="3"/>
      <c r="J864" s="3"/>
    </row>
    <row r="865" ht="15.75" customHeight="1">
      <c r="D865" s="12"/>
      <c r="E865" s="3"/>
      <c r="J865" s="3"/>
    </row>
    <row r="866" ht="15.75" customHeight="1">
      <c r="D866" s="12"/>
      <c r="E866" s="3"/>
      <c r="J866" s="3"/>
    </row>
    <row r="867" ht="15.75" customHeight="1">
      <c r="D867" s="12"/>
      <c r="E867" s="3"/>
      <c r="J867" s="3"/>
    </row>
    <row r="868" ht="15.75" customHeight="1">
      <c r="D868" s="12"/>
      <c r="E868" s="3"/>
      <c r="J868" s="3"/>
    </row>
    <row r="869" ht="15.75" customHeight="1">
      <c r="D869" s="12"/>
      <c r="E869" s="3"/>
      <c r="J869" s="3"/>
    </row>
    <row r="870" ht="15.75" customHeight="1">
      <c r="D870" s="12"/>
      <c r="E870" s="3"/>
      <c r="J870" s="3"/>
    </row>
    <row r="871" ht="15.75" customHeight="1">
      <c r="D871" s="12"/>
      <c r="E871" s="3"/>
      <c r="J871" s="3"/>
    </row>
    <row r="872" ht="15.75" customHeight="1">
      <c r="D872" s="12"/>
      <c r="E872" s="3"/>
      <c r="J872" s="3"/>
    </row>
    <row r="873" ht="15.75" customHeight="1">
      <c r="D873" s="12"/>
      <c r="E873" s="3"/>
      <c r="J873" s="3"/>
    </row>
    <row r="874" ht="15.75" customHeight="1">
      <c r="D874" s="12"/>
      <c r="E874" s="3"/>
      <c r="J874" s="3"/>
    </row>
    <row r="875" ht="15.75" customHeight="1">
      <c r="D875" s="12"/>
      <c r="E875" s="3"/>
      <c r="J875" s="3"/>
    </row>
    <row r="876" ht="15.75" customHeight="1">
      <c r="D876" s="12"/>
      <c r="E876" s="3"/>
      <c r="J876" s="3"/>
    </row>
    <row r="877" ht="15.75" customHeight="1">
      <c r="D877" s="12"/>
      <c r="E877" s="3"/>
      <c r="J877" s="3"/>
    </row>
    <row r="878" ht="15.75" customHeight="1">
      <c r="D878" s="12"/>
      <c r="E878" s="3"/>
      <c r="J878" s="3"/>
    </row>
    <row r="879" ht="15.75" customHeight="1">
      <c r="D879" s="12"/>
      <c r="E879" s="3"/>
      <c r="J879" s="3"/>
    </row>
    <row r="880" ht="15.75" customHeight="1">
      <c r="D880" s="12"/>
      <c r="E880" s="3"/>
      <c r="J880" s="3"/>
    </row>
    <row r="881" ht="15.75" customHeight="1">
      <c r="D881" s="12"/>
      <c r="E881" s="3"/>
      <c r="J881" s="3"/>
    </row>
    <row r="882" ht="15.75" customHeight="1">
      <c r="D882" s="12"/>
      <c r="E882" s="3"/>
      <c r="J882" s="3"/>
    </row>
    <row r="883" ht="15.75" customHeight="1">
      <c r="D883" s="12"/>
      <c r="E883" s="3"/>
      <c r="J883" s="3"/>
    </row>
    <row r="884" ht="15.75" customHeight="1">
      <c r="D884" s="12"/>
      <c r="E884" s="3"/>
      <c r="J884" s="3"/>
    </row>
    <row r="885" ht="15.75" customHeight="1">
      <c r="D885" s="12"/>
      <c r="E885" s="3"/>
      <c r="J885" s="3"/>
    </row>
    <row r="886" ht="15.75" customHeight="1">
      <c r="D886" s="12"/>
      <c r="E886" s="3"/>
      <c r="J886" s="3"/>
    </row>
    <row r="887" ht="15.75" customHeight="1">
      <c r="D887" s="12"/>
      <c r="E887" s="3"/>
      <c r="J887" s="3"/>
    </row>
    <row r="888" ht="15.75" customHeight="1">
      <c r="D888" s="12"/>
      <c r="E888" s="3"/>
      <c r="J888" s="3"/>
    </row>
    <row r="889" ht="15.75" customHeight="1">
      <c r="D889" s="12"/>
      <c r="E889" s="3"/>
      <c r="J889" s="3"/>
    </row>
    <row r="890" ht="15.75" customHeight="1">
      <c r="D890" s="12"/>
      <c r="E890" s="3"/>
      <c r="J890" s="3"/>
    </row>
    <row r="891" ht="15.75" customHeight="1">
      <c r="D891" s="12"/>
      <c r="E891" s="3"/>
      <c r="J891" s="3"/>
    </row>
    <row r="892" ht="15.75" customHeight="1">
      <c r="D892" s="12"/>
      <c r="E892" s="3"/>
      <c r="J892" s="3"/>
    </row>
    <row r="893" ht="15.75" customHeight="1">
      <c r="D893" s="12"/>
      <c r="E893" s="3"/>
      <c r="J893" s="3"/>
    </row>
    <row r="894" ht="15.75" customHeight="1">
      <c r="D894" s="12"/>
      <c r="E894" s="3"/>
      <c r="J894" s="3"/>
    </row>
    <row r="895" ht="15.75" customHeight="1">
      <c r="D895" s="12"/>
      <c r="E895" s="3"/>
      <c r="J895" s="3"/>
    </row>
    <row r="896" ht="15.75" customHeight="1">
      <c r="D896" s="12"/>
      <c r="E896" s="3"/>
      <c r="J896" s="3"/>
    </row>
    <row r="897" ht="15.75" customHeight="1">
      <c r="D897" s="12"/>
      <c r="E897" s="3"/>
      <c r="J897" s="3"/>
    </row>
    <row r="898" ht="15.75" customHeight="1">
      <c r="D898" s="12"/>
      <c r="E898" s="3"/>
      <c r="J898" s="3"/>
    </row>
    <row r="899" ht="15.75" customHeight="1">
      <c r="D899" s="12"/>
      <c r="E899" s="3"/>
      <c r="J899" s="3"/>
    </row>
    <row r="900" ht="15.75" customHeight="1">
      <c r="D900" s="12"/>
      <c r="E900" s="3"/>
      <c r="J900" s="3"/>
    </row>
    <row r="901" ht="15.75" customHeight="1">
      <c r="D901" s="12"/>
      <c r="E901" s="3"/>
      <c r="J901" s="3"/>
    </row>
    <row r="902" ht="15.75" customHeight="1">
      <c r="D902" s="12"/>
      <c r="E902" s="3"/>
      <c r="J902" s="3"/>
    </row>
    <row r="903" ht="15.75" customHeight="1">
      <c r="D903" s="12"/>
      <c r="E903" s="3"/>
      <c r="J903" s="3"/>
    </row>
    <row r="904" ht="15.75" customHeight="1">
      <c r="D904" s="12"/>
      <c r="E904" s="3"/>
      <c r="J904" s="3"/>
    </row>
    <row r="905" ht="15.75" customHeight="1">
      <c r="D905" s="12"/>
      <c r="E905" s="3"/>
      <c r="J905" s="3"/>
    </row>
    <row r="906" ht="15.75" customHeight="1">
      <c r="D906" s="12"/>
      <c r="E906" s="3"/>
      <c r="J906" s="3"/>
    </row>
    <row r="907" ht="15.75" customHeight="1">
      <c r="D907" s="12"/>
      <c r="E907" s="3"/>
      <c r="J907" s="3"/>
    </row>
    <row r="908" ht="15.75" customHeight="1">
      <c r="D908" s="12"/>
      <c r="E908" s="3"/>
      <c r="J908" s="3"/>
    </row>
    <row r="909" ht="15.75" customHeight="1">
      <c r="D909" s="12"/>
      <c r="E909" s="3"/>
      <c r="J909" s="3"/>
    </row>
    <row r="910" ht="15.75" customHeight="1">
      <c r="D910" s="12"/>
      <c r="E910" s="3"/>
      <c r="J910" s="3"/>
    </row>
    <row r="911" ht="15.75" customHeight="1">
      <c r="D911" s="12"/>
      <c r="E911" s="3"/>
      <c r="J911" s="3"/>
    </row>
    <row r="912" ht="15.75" customHeight="1">
      <c r="D912" s="12"/>
      <c r="E912" s="3"/>
      <c r="J912" s="3"/>
    </row>
    <row r="913" ht="15.75" customHeight="1">
      <c r="D913" s="12"/>
      <c r="E913" s="3"/>
      <c r="J913" s="3"/>
    </row>
    <row r="914" ht="15.75" customHeight="1">
      <c r="D914" s="12"/>
      <c r="E914" s="3"/>
      <c r="J914" s="3"/>
    </row>
    <row r="915" ht="15.75" customHeight="1">
      <c r="D915" s="12"/>
      <c r="E915" s="3"/>
      <c r="J915" s="3"/>
    </row>
    <row r="916" ht="15.75" customHeight="1">
      <c r="D916" s="12"/>
      <c r="E916" s="3"/>
      <c r="J916" s="3"/>
    </row>
    <row r="917" ht="15.75" customHeight="1">
      <c r="D917" s="12"/>
      <c r="E917" s="3"/>
      <c r="J917" s="3"/>
    </row>
    <row r="918" ht="15.75" customHeight="1">
      <c r="D918" s="12"/>
      <c r="E918" s="3"/>
      <c r="J918" s="3"/>
    </row>
    <row r="919" ht="15.75" customHeight="1">
      <c r="D919" s="12"/>
      <c r="E919" s="3"/>
      <c r="J919" s="3"/>
    </row>
    <row r="920" ht="15.75" customHeight="1">
      <c r="D920" s="12"/>
      <c r="E920" s="3"/>
      <c r="J920" s="3"/>
    </row>
    <row r="921" ht="15.75" customHeight="1">
      <c r="D921" s="12"/>
      <c r="E921" s="3"/>
      <c r="J921" s="3"/>
    </row>
    <row r="922" ht="15.75" customHeight="1">
      <c r="D922" s="12"/>
      <c r="E922" s="3"/>
      <c r="J922" s="3"/>
    </row>
    <row r="923" ht="15.75" customHeight="1">
      <c r="D923" s="12"/>
      <c r="E923" s="3"/>
      <c r="J923" s="3"/>
    </row>
    <row r="924" ht="15.75" customHeight="1">
      <c r="D924" s="12"/>
      <c r="E924" s="3"/>
      <c r="J924" s="3"/>
    </row>
    <row r="925" ht="15.75" customHeight="1">
      <c r="D925" s="12"/>
      <c r="E925" s="3"/>
      <c r="J925" s="3"/>
    </row>
    <row r="926" ht="15.75" customHeight="1">
      <c r="D926" s="12"/>
      <c r="E926" s="3"/>
      <c r="J926" s="3"/>
    </row>
    <row r="927" ht="15.75" customHeight="1">
      <c r="D927" s="12"/>
      <c r="E927" s="3"/>
      <c r="J927" s="3"/>
    </row>
    <row r="928" ht="15.75" customHeight="1">
      <c r="D928" s="12"/>
      <c r="E928" s="3"/>
      <c r="J928" s="3"/>
    </row>
    <row r="929" ht="15.75" customHeight="1">
      <c r="D929" s="12"/>
      <c r="E929" s="3"/>
      <c r="J929" s="3"/>
    </row>
    <row r="930" ht="15.75" customHeight="1">
      <c r="D930" s="12"/>
      <c r="E930" s="3"/>
      <c r="J930" s="3"/>
    </row>
    <row r="931" ht="15.75" customHeight="1">
      <c r="D931" s="12"/>
      <c r="E931" s="3"/>
      <c r="J931" s="3"/>
    </row>
    <row r="932" ht="15.75" customHeight="1">
      <c r="D932" s="12"/>
      <c r="E932" s="3"/>
      <c r="J932" s="3"/>
    </row>
    <row r="933" ht="15.75" customHeight="1">
      <c r="D933" s="12"/>
      <c r="E933" s="3"/>
      <c r="J933" s="3"/>
    </row>
    <row r="934" ht="15.75" customHeight="1">
      <c r="D934" s="12"/>
      <c r="E934" s="3"/>
      <c r="J934" s="3"/>
    </row>
    <row r="935" ht="15.75" customHeight="1">
      <c r="D935" s="12"/>
      <c r="E935" s="3"/>
      <c r="J935" s="3"/>
    </row>
    <row r="936" ht="15.75" customHeight="1">
      <c r="D936" s="12"/>
      <c r="E936" s="3"/>
      <c r="J936" s="3"/>
    </row>
    <row r="937" ht="15.75" customHeight="1">
      <c r="D937" s="12"/>
      <c r="E937" s="3"/>
      <c r="J937" s="3"/>
    </row>
    <row r="938" ht="15.75" customHeight="1">
      <c r="D938" s="12"/>
      <c r="E938" s="3"/>
      <c r="J938" s="3"/>
    </row>
    <row r="939" ht="15.75" customHeight="1">
      <c r="D939" s="12"/>
      <c r="E939" s="3"/>
      <c r="J939" s="3"/>
    </row>
    <row r="940" ht="15.75" customHeight="1">
      <c r="D940" s="12"/>
      <c r="E940" s="3"/>
      <c r="J940" s="3"/>
    </row>
    <row r="941" ht="15.75" customHeight="1">
      <c r="D941" s="12"/>
      <c r="E941" s="3"/>
      <c r="J941" s="3"/>
    </row>
    <row r="942" ht="15.75" customHeight="1">
      <c r="D942" s="12"/>
      <c r="E942" s="3"/>
      <c r="J942" s="3"/>
    </row>
    <row r="943" ht="15.75" customHeight="1">
      <c r="D943" s="12"/>
      <c r="E943" s="3"/>
      <c r="J943" s="3"/>
    </row>
    <row r="944" ht="15.75" customHeight="1">
      <c r="D944" s="12"/>
      <c r="E944" s="3"/>
      <c r="J944" s="3"/>
    </row>
    <row r="945" ht="15.75" customHeight="1">
      <c r="D945" s="12"/>
      <c r="E945" s="3"/>
      <c r="J945" s="3"/>
    </row>
    <row r="946" ht="15.75" customHeight="1">
      <c r="D946" s="12"/>
      <c r="E946" s="3"/>
      <c r="J946" s="3"/>
    </row>
    <row r="947" ht="15.75" customHeight="1">
      <c r="D947" s="12"/>
      <c r="E947" s="3"/>
      <c r="J947" s="3"/>
    </row>
    <row r="948" ht="15.75" customHeight="1">
      <c r="D948" s="12"/>
      <c r="E948" s="3"/>
      <c r="J948" s="3"/>
    </row>
    <row r="949" ht="15.75" customHeight="1">
      <c r="D949" s="12"/>
      <c r="E949" s="3"/>
      <c r="J949" s="3"/>
    </row>
    <row r="950" ht="15.75" customHeight="1">
      <c r="D950" s="12"/>
      <c r="E950" s="3"/>
      <c r="J950" s="3"/>
    </row>
    <row r="951" ht="15.75" customHeight="1">
      <c r="D951" s="12"/>
      <c r="E951" s="3"/>
      <c r="J951" s="3"/>
    </row>
    <row r="952" ht="15.75" customHeight="1">
      <c r="D952" s="12"/>
      <c r="E952" s="3"/>
      <c r="J952" s="3"/>
    </row>
    <row r="953" ht="15.75" customHeight="1">
      <c r="D953" s="12"/>
      <c r="E953" s="3"/>
      <c r="J953" s="3"/>
    </row>
    <row r="954" ht="15.75" customHeight="1">
      <c r="D954" s="12"/>
      <c r="E954" s="3"/>
      <c r="J954" s="3"/>
    </row>
    <row r="955" ht="15.75" customHeight="1">
      <c r="D955" s="12"/>
      <c r="E955" s="3"/>
      <c r="J955" s="3"/>
    </row>
    <row r="956" ht="15.75" customHeight="1">
      <c r="D956" s="12"/>
      <c r="E956" s="3"/>
      <c r="J956" s="3"/>
    </row>
    <row r="957" ht="15.75" customHeight="1">
      <c r="D957" s="12"/>
      <c r="E957" s="3"/>
      <c r="J957" s="3"/>
    </row>
    <row r="958" ht="15.75" customHeight="1">
      <c r="D958" s="12"/>
      <c r="E958" s="3"/>
      <c r="J958" s="3"/>
    </row>
    <row r="959" ht="15.75" customHeight="1">
      <c r="D959" s="12"/>
      <c r="E959" s="3"/>
      <c r="J959" s="3"/>
    </row>
    <row r="960" ht="15.75" customHeight="1">
      <c r="D960" s="12"/>
      <c r="E960" s="3"/>
      <c r="J960" s="3"/>
    </row>
    <row r="961" ht="15.75" customHeight="1">
      <c r="D961" s="12"/>
      <c r="E961" s="3"/>
      <c r="J961" s="3"/>
    </row>
    <row r="962" ht="15.75" customHeight="1">
      <c r="D962" s="12"/>
      <c r="E962" s="3"/>
      <c r="J962" s="3"/>
    </row>
    <row r="963" ht="15.75" customHeight="1">
      <c r="D963" s="12"/>
      <c r="E963" s="3"/>
      <c r="J963" s="3"/>
    </row>
    <row r="964" ht="15.75" customHeight="1">
      <c r="D964" s="12"/>
      <c r="E964" s="3"/>
      <c r="J964" s="3"/>
    </row>
    <row r="965" ht="15.75" customHeight="1">
      <c r="D965" s="12"/>
      <c r="E965" s="3"/>
      <c r="J965" s="3"/>
    </row>
    <row r="966" ht="15.75" customHeight="1">
      <c r="D966" s="12"/>
      <c r="E966" s="3"/>
      <c r="J966" s="3"/>
    </row>
    <row r="967" ht="15.75" customHeight="1">
      <c r="D967" s="12"/>
      <c r="E967" s="3"/>
      <c r="J967" s="3"/>
    </row>
    <row r="968" ht="15.75" customHeight="1">
      <c r="D968" s="12"/>
      <c r="E968" s="3"/>
      <c r="J968" s="3"/>
    </row>
    <row r="969" ht="15.75" customHeight="1">
      <c r="D969" s="12"/>
      <c r="E969" s="3"/>
      <c r="J969" s="3"/>
    </row>
    <row r="970" ht="15.75" customHeight="1">
      <c r="D970" s="12"/>
      <c r="E970" s="3"/>
      <c r="J970" s="3"/>
    </row>
    <row r="971" ht="15.75" customHeight="1">
      <c r="D971" s="12"/>
      <c r="E971" s="3"/>
      <c r="J971" s="3"/>
    </row>
    <row r="972" ht="15.75" customHeight="1">
      <c r="D972" s="12"/>
      <c r="E972" s="3"/>
      <c r="J972" s="3"/>
    </row>
    <row r="973" ht="15.75" customHeight="1">
      <c r="D973" s="12"/>
      <c r="E973" s="3"/>
      <c r="J973" s="3"/>
    </row>
    <row r="974" ht="15.75" customHeight="1">
      <c r="D974" s="12"/>
      <c r="E974" s="3"/>
      <c r="J974" s="3"/>
    </row>
    <row r="975" ht="15.75" customHeight="1">
      <c r="D975" s="12"/>
      <c r="E975" s="3"/>
      <c r="J975" s="3"/>
    </row>
    <row r="976" ht="15.75" customHeight="1">
      <c r="D976" s="12"/>
      <c r="E976" s="3"/>
      <c r="J976" s="3"/>
    </row>
    <row r="977" ht="15.75" customHeight="1">
      <c r="D977" s="12"/>
      <c r="E977" s="3"/>
      <c r="J977" s="3"/>
    </row>
    <row r="978" ht="15.75" customHeight="1">
      <c r="D978" s="12"/>
      <c r="E978" s="3"/>
      <c r="J978" s="3"/>
    </row>
    <row r="979" ht="15.75" customHeight="1">
      <c r="D979" s="12"/>
      <c r="E979" s="3"/>
      <c r="J979" s="3"/>
    </row>
    <row r="980" ht="15.75" customHeight="1">
      <c r="D980" s="12"/>
      <c r="E980" s="3"/>
      <c r="J980" s="3"/>
    </row>
    <row r="981" ht="15.75" customHeight="1">
      <c r="D981" s="12"/>
      <c r="E981" s="3"/>
      <c r="J981" s="3"/>
    </row>
    <row r="982" ht="15.75" customHeight="1">
      <c r="D982" s="12"/>
      <c r="E982" s="3"/>
      <c r="J982" s="3"/>
    </row>
    <row r="983" ht="15.75" customHeight="1">
      <c r="D983" s="12"/>
      <c r="E983" s="3"/>
      <c r="J983" s="3"/>
    </row>
    <row r="984" ht="15.75" customHeight="1">
      <c r="D984" s="12"/>
      <c r="E984" s="3"/>
      <c r="J984" s="3"/>
    </row>
    <row r="985" ht="15.75" customHeight="1">
      <c r="D985" s="12"/>
      <c r="E985" s="3"/>
      <c r="J985" s="3"/>
    </row>
    <row r="986" ht="15.75" customHeight="1">
      <c r="D986" s="12"/>
      <c r="E986" s="3"/>
      <c r="J986" s="3"/>
    </row>
    <row r="987" ht="15.75" customHeight="1">
      <c r="D987" s="12"/>
      <c r="E987" s="3"/>
      <c r="J987" s="3"/>
    </row>
    <row r="988" ht="15.75" customHeight="1">
      <c r="D988" s="12"/>
      <c r="E988" s="3"/>
      <c r="J988" s="3"/>
    </row>
    <row r="989" ht="15.75" customHeight="1">
      <c r="D989" s="12"/>
      <c r="E989" s="3"/>
      <c r="J989" s="3"/>
    </row>
    <row r="990" ht="15.75" customHeight="1">
      <c r="D990" s="12"/>
      <c r="E990" s="3"/>
      <c r="J990" s="3"/>
    </row>
    <row r="991" ht="15.75" customHeight="1">
      <c r="D991" s="12"/>
      <c r="E991" s="3"/>
      <c r="J991" s="3"/>
    </row>
    <row r="992" ht="15.75" customHeight="1">
      <c r="D992" s="12"/>
      <c r="E992" s="3"/>
      <c r="J992" s="3"/>
    </row>
    <row r="993" ht="15.75" customHeight="1">
      <c r="D993" s="12"/>
      <c r="E993" s="3"/>
      <c r="J993" s="3"/>
    </row>
    <row r="994" ht="15.75" customHeight="1">
      <c r="D994" s="12"/>
      <c r="E994" s="3"/>
      <c r="J994" s="3"/>
    </row>
    <row r="995" ht="15.75" customHeight="1">
      <c r="D995" s="12"/>
      <c r="E995" s="3"/>
      <c r="J995" s="3"/>
    </row>
    <row r="996" ht="15.75" customHeight="1">
      <c r="D996" s="12"/>
      <c r="E996" s="3"/>
      <c r="J996" s="3"/>
    </row>
    <row r="997" ht="15.75" customHeight="1">
      <c r="D997" s="12"/>
      <c r="E997" s="3"/>
      <c r="J997" s="3"/>
    </row>
    <row r="998" ht="15.75" customHeight="1">
      <c r="D998" s="12"/>
      <c r="E998" s="3"/>
      <c r="J998" s="3"/>
    </row>
    <row r="999" ht="15.75" customHeight="1">
      <c r="D999" s="12"/>
      <c r="E999" s="3"/>
      <c r="J999" s="3"/>
    </row>
    <row r="1000" ht="15.75" customHeight="1">
      <c r="D1000" s="12"/>
      <c r="E1000" s="3"/>
      <c r="J1000" s="3"/>
    </row>
    <row r="1001" ht="15.75" customHeight="1">
      <c r="D1001" s="12"/>
      <c r="E1001" s="3"/>
      <c r="J1001" s="3"/>
    </row>
    <row r="1002" ht="15.75" customHeight="1">
      <c r="D1002" s="12"/>
      <c r="E1002" s="3"/>
      <c r="J1002" s="3"/>
    </row>
    <row r="1003" ht="15.75" customHeight="1">
      <c r="D1003" s="12"/>
      <c r="E1003" s="3"/>
      <c r="J1003" s="3"/>
    </row>
    <row r="1004" ht="15.75" customHeight="1">
      <c r="D1004" s="12"/>
      <c r="E1004" s="3"/>
      <c r="J1004" s="3"/>
    </row>
    <row r="1005" ht="15.75" customHeight="1">
      <c r="D1005" s="12"/>
      <c r="E1005" s="3"/>
      <c r="J1005" s="3"/>
    </row>
    <row r="1006" ht="15.75" customHeight="1">
      <c r="D1006" s="12"/>
      <c r="E1006" s="3"/>
      <c r="J1006" s="3"/>
    </row>
    <row r="1007" ht="15.75" customHeight="1">
      <c r="D1007" s="12"/>
      <c r="E1007" s="3"/>
      <c r="J1007" s="3"/>
    </row>
    <row r="1008" ht="15.75" customHeight="1">
      <c r="D1008" s="12"/>
      <c r="E1008" s="3"/>
      <c r="J1008" s="3"/>
    </row>
  </sheetData>
  <mergeCells count="37"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C92:G92"/>
    <mergeCell ref="D96:G96"/>
    <mergeCell ref="A99:B99"/>
    <mergeCell ref="D99:G99"/>
    <mergeCell ref="A100:B100"/>
    <mergeCell ref="D100:I100"/>
    <mergeCell ref="G8:G9"/>
    <mergeCell ref="H8:H9"/>
    <mergeCell ref="B87:K87"/>
    <mergeCell ref="C89:G89"/>
    <mergeCell ref="C90:G90"/>
    <mergeCell ref="J90:K90"/>
    <mergeCell ref="C91:G91"/>
    <mergeCell ref="K99:P99"/>
    <mergeCell ref="S99:V99"/>
    <mergeCell ref="X99:Z99"/>
    <mergeCell ref="K100:P100"/>
    <mergeCell ref="S100:V100"/>
    <mergeCell ref="J103:V103"/>
    <mergeCell ref="J106:V106"/>
    <mergeCell ref="J107:V107"/>
    <mergeCell ref="L90:V90"/>
    <mergeCell ref="L91:V91"/>
    <mergeCell ref="L92:V92"/>
    <mergeCell ref="L93:V93"/>
    <mergeCell ref="K96:P96"/>
    <mergeCell ref="S96:V96"/>
    <mergeCell ref="X96:Y96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5.38"/>
    <col customWidth="1" min="9" max="9" width="12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0" t="s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11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160" t="s">
        <v>3</v>
      </c>
      <c r="B6" s="161"/>
      <c r="C6" s="161"/>
      <c r="D6" s="162"/>
      <c r="E6" s="163"/>
      <c r="F6" s="163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5" t="s">
        <v>4</v>
      </c>
      <c r="B7" s="161"/>
      <c r="C7" s="161"/>
      <c r="D7" s="162"/>
      <c r="E7" s="163"/>
      <c r="F7" s="163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115"/>
      <c r="Z8" s="115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166"/>
      <c r="Z9" s="115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168"/>
      <c r="D10" s="169"/>
      <c r="E10" s="170"/>
      <c r="F10" s="171"/>
      <c r="G10" s="168"/>
      <c r="H10" s="168"/>
      <c r="I10" s="168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115"/>
      <c r="Z10" s="115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74" t="s">
        <v>30</v>
      </c>
      <c r="C11" s="17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176">
        <f t="shared" ref="G11:G25" si="1">F11*D11</f>
        <v>32000</v>
      </c>
      <c r="H11" s="175" t="s">
        <v>141</v>
      </c>
      <c r="I11" s="177" t="s">
        <v>142</v>
      </c>
      <c r="J11" s="178">
        <v>40.0</v>
      </c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15"/>
      <c r="Z11" s="115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179" t="s">
        <v>33</v>
      </c>
      <c r="C12" s="52" t="s">
        <v>34</v>
      </c>
      <c r="D12" s="46">
        <v>1.0</v>
      </c>
      <c r="E12" s="47" t="str">
        <f>IFERROR(__xludf.DUMMYFUNCTION("REGEXEXTRACT(C12,""[A-Za-z]+"")"),"lot")</f>
        <v>lot</v>
      </c>
      <c r="F12" s="48">
        <v>33000.0</v>
      </c>
      <c r="G12" s="176">
        <f t="shared" si="1"/>
        <v>33000</v>
      </c>
      <c r="H12" s="175" t="s">
        <v>141</v>
      </c>
      <c r="I12" s="177"/>
      <c r="J12" s="180">
        <v>1.0</v>
      </c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15"/>
      <c r="Z12" s="115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179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176">
        <f t="shared" si="1"/>
        <v>30000</v>
      </c>
      <c r="H13" s="175" t="s">
        <v>141</v>
      </c>
      <c r="I13" s="177"/>
      <c r="J13" s="181">
        <v>10.0</v>
      </c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15"/>
      <c r="Z13" s="115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179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176">
        <f t="shared" si="1"/>
        <v>30000</v>
      </c>
      <c r="H14" s="175" t="s">
        <v>141</v>
      </c>
      <c r="I14" s="177"/>
      <c r="J14" s="182">
        <v>200.0</v>
      </c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15"/>
      <c r="Z14" s="115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179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176">
        <f t="shared" si="1"/>
        <v>2400</v>
      </c>
      <c r="H15" s="54" t="s">
        <v>41</v>
      </c>
      <c r="I15" s="183" t="s">
        <v>143</v>
      </c>
      <c r="J15" s="184">
        <v>3.0</v>
      </c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15"/>
      <c r="Z15" s="115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179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176">
        <f t="shared" si="1"/>
        <v>2100</v>
      </c>
      <c r="H16" s="185"/>
      <c r="I16" s="185"/>
      <c r="J16" s="184">
        <v>3.0</v>
      </c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15"/>
      <c r="Z16" s="115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179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3300</v>
      </c>
      <c r="H17" s="185"/>
      <c r="I17" s="185"/>
      <c r="J17" s="184">
        <v>3.0</v>
      </c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15"/>
      <c r="Z17" s="115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179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176">
        <f t="shared" si="1"/>
        <v>3300</v>
      </c>
      <c r="H18" s="185"/>
      <c r="I18" s="185"/>
      <c r="J18" s="184">
        <v>3.0</v>
      </c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15"/>
      <c r="Z18" s="115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179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176">
        <f t="shared" si="1"/>
        <v>2100</v>
      </c>
      <c r="H19" s="185"/>
      <c r="I19" s="185"/>
      <c r="J19" s="184">
        <v>3.0</v>
      </c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15"/>
      <c r="Z19" s="115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179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176">
        <f t="shared" si="1"/>
        <v>1200</v>
      </c>
      <c r="H20" s="185"/>
      <c r="I20" s="185"/>
      <c r="J20" s="184">
        <v>3.0</v>
      </c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15"/>
      <c r="Z20" s="115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179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176">
        <f t="shared" si="1"/>
        <v>2100</v>
      </c>
      <c r="H21" s="185"/>
      <c r="I21" s="185"/>
      <c r="J21" s="184">
        <v>3.0</v>
      </c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15"/>
      <c r="Z21" s="115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179" t="s">
        <v>144</v>
      </c>
      <c r="C22" s="56"/>
      <c r="D22" s="46">
        <v>3.0</v>
      </c>
      <c r="E22" s="47" t="s">
        <v>145</v>
      </c>
      <c r="F22" s="48">
        <v>600.0</v>
      </c>
      <c r="G22" s="176">
        <f t="shared" si="1"/>
        <v>1800</v>
      </c>
      <c r="H22" s="185"/>
      <c r="I22" s="186"/>
      <c r="J22" s="54"/>
      <c r="K22" s="187"/>
      <c r="L22" s="188"/>
      <c r="M22" s="188"/>
      <c r="N22" s="188"/>
      <c r="O22" s="188"/>
      <c r="P22" s="188"/>
      <c r="Q22" s="188"/>
      <c r="R22" s="188"/>
      <c r="S22" s="188"/>
      <c r="T22" s="188"/>
      <c r="U22" s="177"/>
      <c r="V22" s="177"/>
      <c r="W22" s="177"/>
      <c r="X22" s="189"/>
      <c r="Y22" s="115"/>
      <c r="Z22" s="115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179" t="s">
        <v>48</v>
      </c>
      <c r="C23" s="56" t="s">
        <v>49</v>
      </c>
      <c r="D23" s="46">
        <v>6.0</v>
      </c>
      <c r="E23" s="47" t="str">
        <f>IFERROR(__xludf.DUMMYFUNCTION("REGEXEXTRACT(C23,""[A-Za-z]+"")"),"samples")</f>
        <v>samples</v>
      </c>
      <c r="F23" s="176">
        <v>8000.0</v>
      </c>
      <c r="G23" s="176">
        <f t="shared" si="1"/>
        <v>48000</v>
      </c>
      <c r="H23" s="185"/>
      <c r="I23" s="183" t="s">
        <v>146</v>
      </c>
      <c r="J23" s="54"/>
      <c r="K23" s="187">
        <v>25.0</v>
      </c>
      <c r="L23" s="188"/>
      <c r="M23" s="188"/>
      <c r="N23" s="188"/>
      <c r="O23" s="188"/>
      <c r="P23" s="188"/>
      <c r="Q23" s="188"/>
      <c r="R23" s="188"/>
      <c r="S23" s="188"/>
      <c r="T23" s="188"/>
      <c r="U23" s="177"/>
      <c r="V23" s="177"/>
      <c r="W23" s="177"/>
      <c r="X23" s="189"/>
      <c r="Y23" s="115"/>
      <c r="Z23" s="115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179" t="s">
        <v>50</v>
      </c>
      <c r="C24" s="56" t="s">
        <v>49</v>
      </c>
      <c r="D24" s="46">
        <v>6.0</v>
      </c>
      <c r="E24" s="47" t="str">
        <f>IFERROR(__xludf.DUMMYFUNCTION("REGEXEXTRACT(C24,""[A-Za-z]+"")"),"samples")</f>
        <v>samples</v>
      </c>
      <c r="F24" s="176">
        <v>3500.0</v>
      </c>
      <c r="G24" s="176">
        <f t="shared" si="1"/>
        <v>21000</v>
      </c>
      <c r="H24" s="185"/>
      <c r="I24" s="185"/>
      <c r="J24" s="54"/>
      <c r="K24" s="187">
        <v>25.0</v>
      </c>
      <c r="L24" s="188"/>
      <c r="M24" s="188"/>
      <c r="N24" s="188"/>
      <c r="O24" s="188"/>
      <c r="P24" s="188"/>
      <c r="Q24" s="188"/>
      <c r="R24" s="188"/>
      <c r="S24" s="188"/>
      <c r="T24" s="188"/>
      <c r="U24" s="177"/>
      <c r="V24" s="177"/>
      <c r="W24" s="177"/>
      <c r="X24" s="189"/>
      <c r="Y24" s="115"/>
      <c r="Z24" s="115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179" t="s">
        <v>51</v>
      </c>
      <c r="C25" s="56" t="s">
        <v>49</v>
      </c>
      <c r="D25" s="46">
        <v>6.0</v>
      </c>
      <c r="E25" s="47" t="str">
        <f>IFERROR(__xludf.DUMMYFUNCTION("REGEXEXTRACT(C25,""[A-Za-z]+"")"),"samples")</f>
        <v>samples</v>
      </c>
      <c r="F25" s="176">
        <v>3000.0</v>
      </c>
      <c r="G25" s="176">
        <f t="shared" si="1"/>
        <v>18000</v>
      </c>
      <c r="H25" s="186"/>
      <c r="I25" s="186"/>
      <c r="J25" s="54"/>
      <c r="K25" s="187">
        <v>25.0</v>
      </c>
      <c r="L25" s="188"/>
      <c r="M25" s="188"/>
      <c r="N25" s="188"/>
      <c r="O25" s="188"/>
      <c r="P25" s="188"/>
      <c r="Q25" s="188"/>
      <c r="R25" s="188"/>
      <c r="S25" s="188"/>
      <c r="T25" s="188"/>
      <c r="U25" s="177"/>
      <c r="V25" s="177"/>
      <c r="W25" s="177"/>
      <c r="X25" s="189"/>
      <c r="Y25" s="115"/>
      <c r="Z25" s="115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167" t="s">
        <v>52</v>
      </c>
      <c r="C26" s="168"/>
      <c r="D26" s="170"/>
      <c r="E26" s="170"/>
      <c r="F26" s="171"/>
      <c r="G26" s="168"/>
      <c r="H26" s="168"/>
      <c r="I26" s="168"/>
      <c r="J26" s="172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90"/>
      <c r="V26" s="190"/>
      <c r="W26" s="190"/>
      <c r="X26" s="174"/>
      <c r="Y26" s="115"/>
      <c r="Z26" s="115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191" t="s">
        <v>136</v>
      </c>
      <c r="C27" s="54"/>
      <c r="D27" s="46">
        <v>2.0</v>
      </c>
      <c r="E27" s="55" t="s">
        <v>137</v>
      </c>
      <c r="F27" s="55">
        <v>20000.0</v>
      </c>
      <c r="G27" s="55">
        <f t="shared" ref="G27:G41" si="2">F27*D27</f>
        <v>40000</v>
      </c>
      <c r="H27" s="175" t="s">
        <v>141</v>
      </c>
      <c r="I27" s="192" t="s">
        <v>146</v>
      </c>
      <c r="J27" s="193">
        <v>2.0</v>
      </c>
      <c r="K27" s="54"/>
      <c r="L27" s="54"/>
      <c r="M27" s="188"/>
      <c r="N27" s="188"/>
      <c r="O27" s="188"/>
      <c r="P27" s="188"/>
      <c r="Q27" s="188"/>
      <c r="R27" s="188"/>
      <c r="S27" s="188"/>
      <c r="T27" s="188"/>
      <c r="U27" s="177"/>
      <c r="V27" s="177"/>
      <c r="W27" s="177"/>
      <c r="X27" s="189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35"/>
      <c r="B28" s="191" t="s">
        <v>53</v>
      </c>
      <c r="C28" s="54" t="s">
        <v>54</v>
      </c>
      <c r="D28" s="46">
        <v>15.0</v>
      </c>
      <c r="E28" s="55" t="str">
        <f>IFERROR(__xludf.DUMMYFUNCTION("REGEXEXTRACT(C28,""[A-Za-z]+"")")," btls ")</f>
        <v>btls</v>
      </c>
      <c r="F28" s="55">
        <v>3000.0</v>
      </c>
      <c r="G28" s="55">
        <f t="shared" si="2"/>
        <v>45000</v>
      </c>
      <c r="H28" s="54" t="s">
        <v>147</v>
      </c>
      <c r="I28" s="194" t="s">
        <v>146</v>
      </c>
      <c r="J28" s="175"/>
      <c r="K28" s="181">
        <v>15.0</v>
      </c>
      <c r="L28" s="175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15"/>
      <c r="Z28" s="115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191" t="s">
        <v>56</v>
      </c>
      <c r="C29" s="54" t="s">
        <v>54</v>
      </c>
      <c r="D29" s="46">
        <v>15.0</v>
      </c>
      <c r="E29" s="55" t="str">
        <f>IFERROR(__xludf.DUMMYFUNCTION("REGEXEXTRACT(C29,""[A-Za-z]+"")")," btls ")</f>
        <v>btls</v>
      </c>
      <c r="F29" s="55">
        <v>2000.0</v>
      </c>
      <c r="G29" s="55">
        <f t="shared" si="2"/>
        <v>30000</v>
      </c>
      <c r="H29" s="185"/>
      <c r="I29" s="186"/>
      <c r="J29" s="175"/>
      <c r="K29" s="181">
        <v>15.0</v>
      </c>
      <c r="L29" s="175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15"/>
      <c r="Z29" s="115"/>
      <c r="AA29" s="6"/>
      <c r="AB29" s="6"/>
      <c r="AC29" s="6"/>
      <c r="AD29" s="6"/>
      <c r="AE29" s="6"/>
      <c r="AF29" s="6"/>
      <c r="AG29" s="6"/>
      <c r="AH29" s="6"/>
      <c r="AI29" s="6"/>
    </row>
    <row r="30">
      <c r="A30" s="35"/>
      <c r="B30" s="191" t="s">
        <v>57</v>
      </c>
      <c r="C30" s="54" t="s">
        <v>58</v>
      </c>
      <c r="D30" s="46">
        <v>10.0</v>
      </c>
      <c r="E30" s="55" t="str">
        <f>IFERROR(__xludf.DUMMYFUNCTION("REGEXEXTRACT(C30,""[A-Za-z]+"")")," btls ")</f>
        <v>btls</v>
      </c>
      <c r="F30" s="55">
        <v>4999.0</v>
      </c>
      <c r="G30" s="55">
        <f t="shared" si="2"/>
        <v>49990</v>
      </c>
      <c r="H30" s="54" t="s">
        <v>147</v>
      </c>
      <c r="I30" s="65" t="s">
        <v>146</v>
      </c>
      <c r="J30" s="175"/>
      <c r="K30" s="181">
        <v>10.0</v>
      </c>
      <c r="L30" s="175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15"/>
      <c r="Z30" s="115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191" t="s">
        <v>78</v>
      </c>
      <c r="C31" s="54" t="s">
        <v>79</v>
      </c>
      <c r="D31" s="46">
        <v>10.0</v>
      </c>
      <c r="E31" s="47" t="str">
        <f>IFERROR(__xludf.DUMMYFUNCTION("REGEXEXTRACT(C31,""[A-Za-z]+"")"),"boxes")</f>
        <v>boxes</v>
      </c>
      <c r="F31" s="48">
        <v>300.0</v>
      </c>
      <c r="G31" s="55">
        <f t="shared" si="2"/>
        <v>3000</v>
      </c>
      <c r="H31" s="54" t="s">
        <v>141</v>
      </c>
      <c r="I31" s="194" t="s">
        <v>146</v>
      </c>
      <c r="J31" s="175"/>
      <c r="K31" s="195">
        <v>10.0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15"/>
      <c r="Z31" s="115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191" t="s">
        <v>80</v>
      </c>
      <c r="C32" s="54" t="s">
        <v>79</v>
      </c>
      <c r="D32" s="46">
        <v>10.0</v>
      </c>
      <c r="E32" s="47" t="str">
        <f>IFERROR(__xludf.DUMMYFUNCTION("REGEXEXTRACT(C32,""[A-Za-z]+"")"),"boxes")</f>
        <v>boxes</v>
      </c>
      <c r="F32" s="48">
        <v>300.0</v>
      </c>
      <c r="G32" s="55">
        <f t="shared" si="2"/>
        <v>3000</v>
      </c>
      <c r="H32" s="185"/>
      <c r="I32" s="185"/>
      <c r="J32" s="175"/>
      <c r="K32" s="195">
        <v>10.0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15"/>
      <c r="Z32" s="115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191" t="s">
        <v>81</v>
      </c>
      <c r="C33" s="52" t="s">
        <v>82</v>
      </c>
      <c r="D33" s="46">
        <v>6.0</v>
      </c>
      <c r="E33" s="47" t="str">
        <f>IFERROR(__xludf.DUMMYFUNCTION("REGEXEXTRACT(C33,""[A-Za-z]+"")"),"pcs")</f>
        <v>pcs</v>
      </c>
      <c r="F33" s="48">
        <v>500.0</v>
      </c>
      <c r="G33" s="55">
        <f t="shared" si="2"/>
        <v>3000</v>
      </c>
      <c r="H33" s="185"/>
      <c r="I33" s="185"/>
      <c r="J33" s="175"/>
      <c r="K33" s="195">
        <v>2.0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15"/>
      <c r="Z33" s="115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191" t="s">
        <v>83</v>
      </c>
      <c r="C34" s="52" t="s">
        <v>82</v>
      </c>
      <c r="D34" s="46">
        <v>6.0</v>
      </c>
      <c r="E34" s="47" t="str">
        <f>IFERROR(__xludf.DUMMYFUNCTION("REGEXEXTRACT(C34,""[A-Za-z]+"")"),"pcs")</f>
        <v>pcs</v>
      </c>
      <c r="F34" s="48">
        <v>500.0</v>
      </c>
      <c r="G34" s="55">
        <f t="shared" si="2"/>
        <v>3000</v>
      </c>
      <c r="H34" s="186"/>
      <c r="I34" s="186"/>
      <c r="J34" s="175"/>
      <c r="K34" s="195">
        <v>2.0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15"/>
      <c r="Z34" s="115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73"/>
      <c r="B35" s="191" t="s">
        <v>105</v>
      </c>
      <c r="C35" s="72" t="s">
        <v>61</v>
      </c>
      <c r="D35" s="46">
        <v>20.0</v>
      </c>
      <c r="E35" s="47" t="str">
        <f>IFERROR(__xludf.DUMMYFUNCTION("REGEXEXTRACT(C35,""[A-Za-z]+"")"),"pcs")</f>
        <v>pcs</v>
      </c>
      <c r="F35" s="176">
        <v>1300.0</v>
      </c>
      <c r="G35" s="55">
        <f t="shared" si="2"/>
        <v>26000</v>
      </c>
      <c r="H35" s="54" t="s">
        <v>147</v>
      </c>
      <c r="I35" s="194" t="s">
        <v>146</v>
      </c>
      <c r="J35" s="175"/>
      <c r="K35" s="184">
        <v>20.0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15"/>
      <c r="Z35" s="115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73"/>
      <c r="B36" s="191" t="s">
        <v>106</v>
      </c>
      <c r="C36" s="72" t="s">
        <v>107</v>
      </c>
      <c r="D36" s="46">
        <v>15.0</v>
      </c>
      <c r="E36" s="47" t="str">
        <f>IFERROR(__xludf.DUMMYFUNCTION("REGEXEXTRACT(C36,""[A-Za-z]+"")"),"pcs")</f>
        <v>pcs</v>
      </c>
      <c r="F36" s="176">
        <v>800.0</v>
      </c>
      <c r="G36" s="55">
        <f t="shared" si="2"/>
        <v>12000</v>
      </c>
      <c r="H36" s="185"/>
      <c r="I36" s="185"/>
      <c r="J36" s="175"/>
      <c r="K36" s="184">
        <v>15.0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15"/>
      <c r="Z36" s="115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73"/>
      <c r="B37" s="191" t="s">
        <v>108</v>
      </c>
      <c r="C37" s="72" t="s">
        <v>107</v>
      </c>
      <c r="D37" s="46">
        <v>15.0</v>
      </c>
      <c r="E37" s="47" t="str">
        <f>IFERROR(__xludf.DUMMYFUNCTION("REGEXEXTRACT(C37,""[A-Za-z]+"")"),"pcs")</f>
        <v>pcs</v>
      </c>
      <c r="F37" s="176">
        <v>250.0</v>
      </c>
      <c r="G37" s="55">
        <f t="shared" si="2"/>
        <v>3750</v>
      </c>
      <c r="H37" s="185"/>
      <c r="I37" s="185"/>
      <c r="J37" s="175"/>
      <c r="K37" s="184">
        <v>15.0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15"/>
      <c r="Z37" s="115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73"/>
      <c r="B38" s="191" t="s">
        <v>133</v>
      </c>
      <c r="C38" s="72"/>
      <c r="D38" s="46">
        <v>10.0</v>
      </c>
      <c r="E38" s="55" t="s">
        <v>110</v>
      </c>
      <c r="F38" s="176">
        <v>2400.0</v>
      </c>
      <c r="G38" s="55">
        <f t="shared" si="2"/>
        <v>24000</v>
      </c>
      <c r="H38" s="185"/>
      <c r="I38" s="185"/>
      <c r="J38" s="175"/>
      <c r="K38" s="184">
        <v>10.0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15"/>
      <c r="Z38" s="115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79"/>
      <c r="B39" s="191" t="s">
        <v>134</v>
      </c>
      <c r="C39" s="56"/>
      <c r="D39" s="46">
        <v>10.0</v>
      </c>
      <c r="E39" s="55" t="s">
        <v>110</v>
      </c>
      <c r="F39" s="176">
        <v>2000.0</v>
      </c>
      <c r="G39" s="55">
        <f t="shared" si="2"/>
        <v>20000</v>
      </c>
      <c r="H39" s="185"/>
      <c r="I39" s="185"/>
      <c r="J39" s="175"/>
      <c r="K39" s="184">
        <v>10.0</v>
      </c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7"/>
      <c r="Z39" s="197"/>
      <c r="AA39" s="198"/>
      <c r="AB39" s="198"/>
      <c r="AC39" s="198"/>
      <c r="AD39" s="198"/>
      <c r="AE39" s="198"/>
      <c r="AF39" s="198"/>
      <c r="AG39" s="198"/>
      <c r="AH39" s="198"/>
      <c r="AI39" s="198"/>
    </row>
    <row r="40" ht="15.75" customHeight="1">
      <c r="A40" s="79"/>
      <c r="B40" s="191" t="s">
        <v>135</v>
      </c>
      <c r="C40" s="56"/>
      <c r="D40" s="46">
        <v>10.0</v>
      </c>
      <c r="E40" s="55" t="s">
        <v>110</v>
      </c>
      <c r="F40" s="176">
        <v>1000.0</v>
      </c>
      <c r="G40" s="55">
        <f t="shared" si="2"/>
        <v>10000</v>
      </c>
      <c r="H40" s="185"/>
      <c r="I40" s="185"/>
      <c r="J40" s="175"/>
      <c r="K40" s="184">
        <v>10.0</v>
      </c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7"/>
      <c r="Z40" s="197"/>
      <c r="AA40" s="198"/>
      <c r="AB40" s="198"/>
      <c r="AC40" s="198"/>
      <c r="AD40" s="198"/>
      <c r="AE40" s="198"/>
      <c r="AF40" s="198"/>
      <c r="AG40" s="198"/>
      <c r="AH40" s="198"/>
      <c r="AI40" s="198"/>
    </row>
    <row r="41" ht="15.75" customHeight="1">
      <c r="A41" s="73"/>
      <c r="B41" s="74" t="s">
        <v>103</v>
      </c>
      <c r="C41" s="72" t="s">
        <v>104</v>
      </c>
      <c r="D41" s="46">
        <v>24.0</v>
      </c>
      <c r="E41" s="55" t="str">
        <f>IFERROR(__xludf.DUMMYFUNCTION("REGEXEXTRACT(C41,""[A-Za-z]+"")")," pcs ")</f>
        <v>pcs</v>
      </c>
      <c r="F41" s="70">
        <v>2500.0</v>
      </c>
      <c r="G41" s="55">
        <f t="shared" si="2"/>
        <v>60000</v>
      </c>
      <c r="H41" s="185"/>
      <c r="I41" s="186"/>
      <c r="J41" s="175"/>
      <c r="K41" s="184">
        <v>24.0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167" t="s">
        <v>59</v>
      </c>
      <c r="C42" s="168"/>
      <c r="D42" s="170"/>
      <c r="E42" s="170"/>
      <c r="F42" s="171"/>
      <c r="G42" s="168"/>
      <c r="H42" s="168"/>
      <c r="I42" s="168"/>
      <c r="J42" s="172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73"/>
      <c r="X42" s="174"/>
      <c r="Y42" s="115"/>
      <c r="Z42" s="115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191" t="s">
        <v>60</v>
      </c>
      <c r="C43" s="54" t="s">
        <v>61</v>
      </c>
      <c r="D43" s="46">
        <v>20.0</v>
      </c>
      <c r="E43" s="47" t="str">
        <f>IFERROR(__xludf.DUMMYFUNCTION("REGEXEXTRACT(C43,""[A-Za-z]+"")"),"pcs")</f>
        <v>pcs</v>
      </c>
      <c r="F43" s="176">
        <v>500.0</v>
      </c>
      <c r="G43" s="55">
        <f t="shared" ref="G43:G85" si="3">F43*D43</f>
        <v>10000</v>
      </c>
      <c r="H43" s="54" t="s">
        <v>141</v>
      </c>
      <c r="I43" s="194" t="s">
        <v>146</v>
      </c>
      <c r="J43" s="199">
        <v>20.0</v>
      </c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77"/>
      <c r="W43" s="177"/>
      <c r="X43" s="177"/>
      <c r="Y43" s="115"/>
      <c r="Z43" s="115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191" t="s">
        <v>62</v>
      </c>
      <c r="C44" s="54" t="s">
        <v>61</v>
      </c>
      <c r="D44" s="46">
        <v>20.0</v>
      </c>
      <c r="E44" s="47" t="str">
        <f>IFERROR(__xludf.DUMMYFUNCTION("REGEXEXTRACT(C44,""[A-Za-z]+"")"),"pcs")</f>
        <v>pcs</v>
      </c>
      <c r="F44" s="176">
        <v>300.0</v>
      </c>
      <c r="G44" s="55">
        <f t="shared" si="3"/>
        <v>6000</v>
      </c>
      <c r="H44" s="185"/>
      <c r="I44" s="185"/>
      <c r="J44" s="199">
        <v>20.0</v>
      </c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77"/>
      <c r="W44" s="177"/>
      <c r="X44" s="177"/>
      <c r="Y44" s="115"/>
      <c r="Z44" s="115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191" t="s">
        <v>63</v>
      </c>
      <c r="C45" s="54" t="s">
        <v>61</v>
      </c>
      <c r="D45" s="46">
        <v>20.0</v>
      </c>
      <c r="E45" s="47" t="str">
        <f>IFERROR(__xludf.DUMMYFUNCTION("REGEXEXTRACT(C45,""[A-Za-z]+"")"),"pcs")</f>
        <v>pcs</v>
      </c>
      <c r="F45" s="176">
        <v>200.0</v>
      </c>
      <c r="G45" s="55">
        <f t="shared" si="3"/>
        <v>4000</v>
      </c>
      <c r="H45" s="185"/>
      <c r="I45" s="185"/>
      <c r="J45" s="199">
        <v>20.0</v>
      </c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77"/>
      <c r="W45" s="177"/>
      <c r="X45" s="177"/>
      <c r="Y45" s="115"/>
      <c r="Z45" s="115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191" t="s">
        <v>64</v>
      </c>
      <c r="C46" s="54" t="s">
        <v>65</v>
      </c>
      <c r="D46" s="46">
        <v>10.0</v>
      </c>
      <c r="E46" s="47" t="str">
        <f>IFERROR(__xludf.DUMMYFUNCTION("REGEXEXTRACT(C46,""[A-Za-z]+"")"),"pcs")</f>
        <v>pcs</v>
      </c>
      <c r="F46" s="176">
        <v>500.0</v>
      </c>
      <c r="G46" s="55">
        <f t="shared" si="3"/>
        <v>5000</v>
      </c>
      <c r="H46" s="185"/>
      <c r="I46" s="185"/>
      <c r="J46" s="199">
        <v>10.0</v>
      </c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77"/>
      <c r="W46" s="177"/>
      <c r="X46" s="177"/>
      <c r="Y46" s="115"/>
      <c r="Z46" s="115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191" t="s">
        <v>66</v>
      </c>
      <c r="C47" s="54" t="s">
        <v>65</v>
      </c>
      <c r="D47" s="46">
        <v>10.0</v>
      </c>
      <c r="E47" s="47" t="str">
        <f>IFERROR(__xludf.DUMMYFUNCTION("REGEXEXTRACT(C47,""[A-Za-z]+"")"),"pcs")</f>
        <v>pcs</v>
      </c>
      <c r="F47" s="176">
        <v>450.0</v>
      </c>
      <c r="G47" s="55">
        <f t="shared" si="3"/>
        <v>4500</v>
      </c>
      <c r="H47" s="185"/>
      <c r="I47" s="185"/>
      <c r="J47" s="199">
        <v>10.0</v>
      </c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77"/>
      <c r="W47" s="177"/>
      <c r="X47" s="177"/>
      <c r="Y47" s="115"/>
      <c r="Z47" s="115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191" t="s">
        <v>67</v>
      </c>
      <c r="C48" s="54" t="s">
        <v>61</v>
      </c>
      <c r="D48" s="46">
        <v>20.0</v>
      </c>
      <c r="E48" s="47" t="str">
        <f>IFERROR(__xludf.DUMMYFUNCTION("REGEXEXTRACT(C48,""[A-Za-z]+"")"),"pcs")</f>
        <v>pcs</v>
      </c>
      <c r="F48" s="176">
        <v>430.0</v>
      </c>
      <c r="G48" s="55">
        <f t="shared" si="3"/>
        <v>8600</v>
      </c>
      <c r="H48" s="185"/>
      <c r="I48" s="185"/>
      <c r="J48" s="199">
        <v>20.0</v>
      </c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77"/>
      <c r="W48" s="177"/>
      <c r="X48" s="177"/>
      <c r="Y48" s="115"/>
      <c r="Z48" s="115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191" t="s">
        <v>68</v>
      </c>
      <c r="C49" s="54" t="s">
        <v>65</v>
      </c>
      <c r="D49" s="46">
        <v>10.0</v>
      </c>
      <c r="E49" s="47" t="str">
        <f>IFERROR(__xludf.DUMMYFUNCTION("REGEXEXTRACT(C49,""[A-Za-z]+"")"),"pcs")</f>
        <v>pcs</v>
      </c>
      <c r="F49" s="176">
        <v>65.0</v>
      </c>
      <c r="G49" s="55">
        <f t="shared" si="3"/>
        <v>650</v>
      </c>
      <c r="H49" s="186"/>
      <c r="I49" s="186"/>
      <c r="J49" s="199">
        <v>10.0</v>
      </c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77"/>
      <c r="W49" s="177"/>
      <c r="X49" s="177"/>
      <c r="Y49" s="115"/>
      <c r="Z49" s="115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191" t="s">
        <v>69</v>
      </c>
      <c r="C50" s="54" t="s">
        <v>70</v>
      </c>
      <c r="D50" s="46">
        <v>30.0</v>
      </c>
      <c r="E50" s="47" t="str">
        <f>IFERROR(__xludf.DUMMYFUNCTION("REGEXEXTRACT(C50,""[A-Za-z]+"")"),"pcs")</f>
        <v>pcs</v>
      </c>
      <c r="F50" s="176">
        <v>150.0</v>
      </c>
      <c r="G50" s="55">
        <f t="shared" si="3"/>
        <v>4500</v>
      </c>
      <c r="H50" s="175" t="s">
        <v>141</v>
      </c>
      <c r="I50" s="188" t="s">
        <v>146</v>
      </c>
      <c r="J50" s="199">
        <v>30.0</v>
      </c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77"/>
      <c r="W50" s="177"/>
      <c r="X50" s="177"/>
      <c r="Y50" s="115"/>
      <c r="Z50" s="115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191" t="s">
        <v>71</v>
      </c>
      <c r="C51" s="54" t="s">
        <v>72</v>
      </c>
      <c r="D51" s="46">
        <v>40.0</v>
      </c>
      <c r="E51" s="47" t="str">
        <f>IFERROR(__xludf.DUMMYFUNCTION("REGEXEXTRACT(C51,""[A-Za-z]+"")"),"pcs")</f>
        <v>pcs</v>
      </c>
      <c r="F51" s="48">
        <v>199.0</v>
      </c>
      <c r="G51" s="55">
        <f t="shared" si="3"/>
        <v>7960</v>
      </c>
      <c r="H51" s="54" t="s">
        <v>148</v>
      </c>
      <c r="I51" s="188" t="s">
        <v>146</v>
      </c>
      <c r="J51" s="200">
        <v>40.0</v>
      </c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15"/>
      <c r="Z51" s="115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191" t="s">
        <v>73</v>
      </c>
      <c r="C52" s="54" t="s">
        <v>72</v>
      </c>
      <c r="D52" s="46">
        <v>40.0</v>
      </c>
      <c r="E52" s="47" t="str">
        <f>IFERROR(__xludf.DUMMYFUNCTION("REGEXEXTRACT(C52,""[A-Za-z]+"")"),"pcs")</f>
        <v>pcs</v>
      </c>
      <c r="F52" s="48">
        <v>199.0</v>
      </c>
      <c r="G52" s="55">
        <f t="shared" si="3"/>
        <v>7960</v>
      </c>
      <c r="H52" s="186"/>
      <c r="I52" s="186"/>
      <c r="J52" s="200">
        <v>40.0</v>
      </c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15"/>
      <c r="Z52" s="115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191" t="s">
        <v>74</v>
      </c>
      <c r="C53" s="52" t="s">
        <v>75</v>
      </c>
      <c r="D53" s="46">
        <v>10.0</v>
      </c>
      <c r="E53" s="47" t="str">
        <f>IFERROR(__xludf.DUMMYFUNCTION("REGEXEXTRACT(C53,""[A-Za-z]+"")"),"packs")</f>
        <v>packs</v>
      </c>
      <c r="F53" s="48">
        <v>2000.0</v>
      </c>
      <c r="G53" s="55">
        <f t="shared" si="3"/>
        <v>20000</v>
      </c>
      <c r="H53" s="78" t="s">
        <v>149</v>
      </c>
      <c r="I53" s="188" t="s">
        <v>146</v>
      </c>
      <c r="J53" s="180">
        <v>2.0</v>
      </c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15"/>
      <c r="Z53" s="115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191" t="s">
        <v>76</v>
      </c>
      <c r="C54" s="52" t="s">
        <v>75</v>
      </c>
      <c r="D54" s="46">
        <v>10.0</v>
      </c>
      <c r="E54" s="47" t="str">
        <f>IFERROR(__xludf.DUMMYFUNCTION("REGEXEXTRACT(C54,""[A-Za-z]+"")"),"packs")</f>
        <v>packs</v>
      </c>
      <c r="F54" s="48">
        <v>2500.0</v>
      </c>
      <c r="G54" s="55">
        <f t="shared" si="3"/>
        <v>25000</v>
      </c>
      <c r="H54" s="185"/>
      <c r="I54" s="185"/>
      <c r="J54" s="180">
        <v>2.0</v>
      </c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15"/>
      <c r="Z54" s="115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35"/>
      <c r="B55" s="191" t="s">
        <v>77</v>
      </c>
      <c r="C55" s="52" t="s">
        <v>75</v>
      </c>
      <c r="D55" s="46">
        <v>10.0</v>
      </c>
      <c r="E55" s="47" t="str">
        <f>IFERROR(__xludf.DUMMYFUNCTION("REGEXEXTRACT(C55,""[A-Za-z]+"")"),"packs")</f>
        <v>packs</v>
      </c>
      <c r="F55" s="48">
        <v>3000.0</v>
      </c>
      <c r="G55" s="55">
        <f t="shared" si="3"/>
        <v>30000</v>
      </c>
      <c r="H55" s="186"/>
      <c r="I55" s="186"/>
      <c r="J55" s="180">
        <v>2.0</v>
      </c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15"/>
      <c r="Z55" s="115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191" t="s">
        <v>84</v>
      </c>
      <c r="C56" s="54" t="s">
        <v>79</v>
      </c>
      <c r="D56" s="46">
        <v>10.0</v>
      </c>
      <c r="E56" s="47" t="str">
        <f>IFERROR(__xludf.DUMMYFUNCTION("REGEXEXTRACT(C56,""[A-Za-z]+"")"),"boxes")</f>
        <v>boxes</v>
      </c>
      <c r="F56" s="48">
        <v>200.0</v>
      </c>
      <c r="G56" s="55">
        <f t="shared" si="3"/>
        <v>2000</v>
      </c>
      <c r="H56" s="54" t="s">
        <v>141</v>
      </c>
      <c r="I56" s="188" t="s">
        <v>150</v>
      </c>
      <c r="J56" s="178">
        <v>10.0</v>
      </c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15"/>
      <c r="Z56" s="115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191" t="s">
        <v>85</v>
      </c>
      <c r="C57" s="54" t="s">
        <v>75</v>
      </c>
      <c r="D57" s="46">
        <v>10.0</v>
      </c>
      <c r="E57" s="47" t="str">
        <f>IFERROR(__xludf.DUMMYFUNCTION("REGEXEXTRACT(C57,""[A-Za-z]+"")"),"packs")</f>
        <v>packs</v>
      </c>
      <c r="F57" s="48">
        <v>200.0</v>
      </c>
      <c r="G57" s="55">
        <f t="shared" si="3"/>
        <v>2000</v>
      </c>
      <c r="H57" s="185"/>
      <c r="I57" s="185"/>
      <c r="J57" s="178">
        <v>10.0</v>
      </c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15"/>
      <c r="Z57" s="115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191" t="s">
        <v>86</v>
      </c>
      <c r="C58" s="54" t="s">
        <v>75</v>
      </c>
      <c r="D58" s="46">
        <v>10.0</v>
      </c>
      <c r="E58" s="47" t="str">
        <f>IFERROR(__xludf.DUMMYFUNCTION("REGEXEXTRACT(C58,""[A-Za-z]+"")"),"packs")</f>
        <v>packs</v>
      </c>
      <c r="F58" s="48">
        <v>200.0</v>
      </c>
      <c r="G58" s="55">
        <f t="shared" si="3"/>
        <v>2000</v>
      </c>
      <c r="H58" s="185"/>
      <c r="I58" s="185"/>
      <c r="J58" s="178">
        <v>10.0</v>
      </c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15"/>
      <c r="Z58" s="115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191" t="s">
        <v>89</v>
      </c>
      <c r="C59" s="54" t="s">
        <v>75</v>
      </c>
      <c r="D59" s="46">
        <v>10.0</v>
      </c>
      <c r="E59" s="47" t="str">
        <f>IFERROR(__xludf.DUMMYFUNCTION("REGEXEXTRACT(C59,""[A-Za-z]+"")"),"packs")</f>
        <v>packs</v>
      </c>
      <c r="F59" s="48">
        <v>200.0</v>
      </c>
      <c r="G59" s="55">
        <f t="shared" si="3"/>
        <v>2000</v>
      </c>
      <c r="H59" s="185"/>
      <c r="I59" s="185"/>
      <c r="J59" s="178">
        <v>10.0</v>
      </c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15"/>
      <c r="Z59" s="115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191" t="s">
        <v>90</v>
      </c>
      <c r="C60" s="54" t="s">
        <v>75</v>
      </c>
      <c r="D60" s="46">
        <v>10.0</v>
      </c>
      <c r="E60" s="47" t="str">
        <f>IFERROR(__xludf.DUMMYFUNCTION("REGEXEXTRACT(C60,""[A-Za-z]+"")"),"packs")</f>
        <v>packs</v>
      </c>
      <c r="F60" s="48">
        <v>250.0</v>
      </c>
      <c r="G60" s="55">
        <f t="shared" si="3"/>
        <v>2500</v>
      </c>
      <c r="H60" s="185"/>
      <c r="I60" s="185"/>
      <c r="J60" s="178">
        <v>10.0</v>
      </c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15"/>
      <c r="Z60" s="115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191" t="s">
        <v>91</v>
      </c>
      <c r="C61" s="54" t="s">
        <v>75</v>
      </c>
      <c r="D61" s="46">
        <v>10.0</v>
      </c>
      <c r="E61" s="55" t="str">
        <f>IFERROR(__xludf.DUMMYFUNCTION("REGEXEXTRACT(C61,""[A-Za-z]+"")")," packs ")</f>
        <v>packs</v>
      </c>
      <c r="F61" s="55">
        <v>350.0</v>
      </c>
      <c r="G61" s="55">
        <f t="shared" si="3"/>
        <v>3500</v>
      </c>
      <c r="H61" s="185"/>
      <c r="I61" s="185"/>
      <c r="J61" s="178">
        <v>10.0</v>
      </c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15"/>
      <c r="Z61" s="115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191" t="s">
        <v>92</v>
      </c>
      <c r="C62" s="54" t="s">
        <v>75</v>
      </c>
      <c r="D62" s="46">
        <v>10.0</v>
      </c>
      <c r="E62" s="55" t="str">
        <f>IFERROR(__xludf.DUMMYFUNCTION("REGEXEXTRACT(C62,""[A-Za-z]+"")")," packs ")</f>
        <v>packs</v>
      </c>
      <c r="F62" s="55">
        <v>400.0</v>
      </c>
      <c r="G62" s="55">
        <f t="shared" si="3"/>
        <v>4000</v>
      </c>
      <c r="H62" s="186"/>
      <c r="I62" s="186"/>
      <c r="J62" s="178">
        <v>10.0</v>
      </c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15"/>
      <c r="Z62" s="115"/>
      <c r="AA62" s="6"/>
      <c r="AB62" s="6"/>
      <c r="AC62" s="6"/>
      <c r="AD62" s="6"/>
      <c r="AE62" s="6"/>
      <c r="AF62" s="6"/>
      <c r="AG62" s="6"/>
      <c r="AH62" s="6"/>
      <c r="AI62" s="6"/>
    </row>
    <row r="63" ht="15.75" hidden="1" customHeight="1">
      <c r="A63" s="35"/>
      <c r="B63" s="74"/>
      <c r="C63" s="54"/>
      <c r="D63" s="46"/>
      <c r="E63" s="55" t="str">
        <f>IFERROR(__xludf.DUMMYFUNCTION("REGEXEXTRACT(C63,""[A-Za-z]+"")"),"#N/A")</f>
        <v>#N/A</v>
      </c>
      <c r="F63" s="55"/>
      <c r="G63" s="55">
        <f t="shared" si="3"/>
        <v>0</v>
      </c>
      <c r="H63" s="54"/>
      <c r="I63" s="177"/>
      <c r="J63" s="175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15"/>
      <c r="Z63" s="115"/>
      <c r="AA63" s="6"/>
      <c r="AB63" s="6"/>
      <c r="AC63" s="6"/>
      <c r="AD63" s="6"/>
      <c r="AE63" s="6"/>
      <c r="AF63" s="6"/>
      <c r="AG63" s="6"/>
      <c r="AH63" s="6"/>
      <c r="AI63" s="6"/>
    </row>
    <row r="64" ht="15.75" hidden="1" customHeight="1">
      <c r="A64" s="35"/>
      <c r="B64" s="74"/>
      <c r="C64" s="54"/>
      <c r="D64" s="46"/>
      <c r="E64" s="55" t="str">
        <f>IFERROR(__xludf.DUMMYFUNCTION("REGEXEXTRACT(C64,""[A-Za-z]+"")"),"#N/A")</f>
        <v>#N/A</v>
      </c>
      <c r="F64" s="55"/>
      <c r="G64" s="55">
        <f t="shared" si="3"/>
        <v>0</v>
      </c>
      <c r="H64" s="54"/>
      <c r="I64" s="177"/>
      <c r="J64" s="175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15"/>
      <c r="Z64" s="115"/>
      <c r="AA64" s="6"/>
      <c r="AB64" s="6"/>
      <c r="AC64" s="6"/>
      <c r="AD64" s="6"/>
      <c r="AE64" s="6"/>
      <c r="AF64" s="6"/>
      <c r="AG64" s="6"/>
      <c r="AH64" s="6"/>
      <c r="AI64" s="6"/>
    </row>
    <row r="65" ht="15.75" hidden="1" customHeight="1">
      <c r="A65" s="35"/>
      <c r="B65" s="74"/>
      <c r="C65" s="54"/>
      <c r="D65" s="46"/>
      <c r="E65" s="55" t="str">
        <f>IFERROR(__xludf.DUMMYFUNCTION("REGEXEXTRACT(C65,""[A-Za-z]+"")"),"#N/A")</f>
        <v>#N/A</v>
      </c>
      <c r="F65" s="55"/>
      <c r="G65" s="55">
        <f t="shared" si="3"/>
        <v>0</v>
      </c>
      <c r="H65" s="54"/>
      <c r="I65" s="177"/>
      <c r="J65" s="175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15"/>
      <c r="Z65" s="115"/>
      <c r="AA65" s="6"/>
      <c r="AB65" s="6"/>
      <c r="AC65" s="6"/>
      <c r="AD65" s="6"/>
      <c r="AE65" s="6"/>
      <c r="AF65" s="6"/>
      <c r="AG65" s="6"/>
      <c r="AH65" s="6"/>
      <c r="AI65" s="6"/>
    </row>
    <row r="66" ht="15.75" hidden="1" customHeight="1">
      <c r="A66" s="35"/>
      <c r="B66" s="74"/>
      <c r="C66" s="54"/>
      <c r="D66" s="46"/>
      <c r="E66" s="55" t="str">
        <f>IFERROR(__xludf.DUMMYFUNCTION("REGEXEXTRACT(C66,""[A-Za-z]+"")"),"#N/A")</f>
        <v>#N/A</v>
      </c>
      <c r="F66" s="55"/>
      <c r="G66" s="55">
        <f t="shared" si="3"/>
        <v>0</v>
      </c>
      <c r="H66" s="54"/>
      <c r="I66" s="177"/>
      <c r="J66" s="175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15"/>
      <c r="Z66" s="115"/>
      <c r="AA66" s="6"/>
      <c r="AB66" s="6"/>
      <c r="AC66" s="6"/>
      <c r="AD66" s="6"/>
      <c r="AE66" s="6"/>
      <c r="AF66" s="6"/>
      <c r="AG66" s="6"/>
      <c r="AH66" s="6"/>
      <c r="AI66" s="6"/>
    </row>
    <row r="67" ht="15.75" hidden="1" customHeight="1">
      <c r="A67" s="35"/>
      <c r="B67" s="74"/>
      <c r="C67" s="54"/>
      <c r="D67" s="46"/>
      <c r="E67" s="55" t="str">
        <f>IFERROR(__xludf.DUMMYFUNCTION("REGEXEXTRACT(C67,""[A-Za-z]+"")"),"#N/A")</f>
        <v>#N/A</v>
      </c>
      <c r="F67" s="55"/>
      <c r="G67" s="55">
        <f t="shared" si="3"/>
        <v>0</v>
      </c>
      <c r="H67" s="54"/>
      <c r="I67" s="177"/>
      <c r="J67" s="175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15"/>
      <c r="Z67" s="115"/>
      <c r="AA67" s="6"/>
      <c r="AB67" s="6"/>
      <c r="AC67" s="6"/>
      <c r="AD67" s="6"/>
      <c r="AE67" s="6"/>
      <c r="AF67" s="6"/>
      <c r="AG67" s="6"/>
      <c r="AH67" s="6"/>
      <c r="AI67" s="6"/>
    </row>
    <row r="68" ht="15.75" hidden="1" customHeight="1">
      <c r="A68" s="35"/>
      <c r="B68" s="74"/>
      <c r="C68" s="54"/>
      <c r="D68" s="46"/>
      <c r="E68" s="55" t="str">
        <f>IFERROR(__xludf.DUMMYFUNCTION("REGEXEXTRACT(C68,""[A-Za-z]+"")"),"#N/A")</f>
        <v>#N/A</v>
      </c>
      <c r="F68" s="55"/>
      <c r="G68" s="55">
        <f t="shared" si="3"/>
        <v>0</v>
      </c>
      <c r="H68" s="54"/>
      <c r="I68" s="177"/>
      <c r="J68" s="175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15"/>
      <c r="Z68" s="115"/>
      <c r="AA68" s="6"/>
      <c r="AB68" s="6"/>
      <c r="AC68" s="6"/>
      <c r="AD68" s="6"/>
      <c r="AE68" s="6"/>
      <c r="AF68" s="6"/>
      <c r="AG68" s="6"/>
      <c r="AH68" s="6"/>
      <c r="AI68" s="6"/>
    </row>
    <row r="69" ht="15.75" hidden="1" customHeight="1">
      <c r="A69" s="66"/>
      <c r="B69" s="75"/>
      <c r="C69" s="54"/>
      <c r="D69" s="46"/>
      <c r="E69" s="55" t="str">
        <f>IFERROR(__xludf.DUMMYFUNCTION("REGEXEXTRACT(C69,""[A-Za-z]+"")"),"#N/A")</f>
        <v>#N/A</v>
      </c>
      <c r="F69" s="55"/>
      <c r="G69" s="55">
        <f t="shared" si="3"/>
        <v>0</v>
      </c>
      <c r="H69" s="54"/>
      <c r="I69" s="177"/>
      <c r="J69" s="175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15"/>
      <c r="Z69" s="115"/>
      <c r="AA69" s="6"/>
      <c r="AB69" s="6"/>
      <c r="AC69" s="6"/>
      <c r="AD69" s="6"/>
      <c r="AE69" s="6"/>
      <c r="AF69" s="6"/>
      <c r="AG69" s="6"/>
      <c r="AH69" s="6"/>
      <c r="AI69" s="6"/>
    </row>
    <row r="70" ht="15.75" hidden="1" customHeight="1">
      <c r="A70" s="35"/>
      <c r="B70" s="167" t="s">
        <v>93</v>
      </c>
      <c r="C70" s="54"/>
      <c r="D70" s="46"/>
      <c r="E70" s="55" t="str">
        <f>IFERROR(__xludf.DUMMYFUNCTION("REGEXEXTRACT(C70,""[A-Za-z]+"")"),"#N/A")</f>
        <v>#N/A</v>
      </c>
      <c r="F70" s="55"/>
      <c r="G70" s="55">
        <f t="shared" si="3"/>
        <v>0</v>
      </c>
      <c r="H70" s="54"/>
      <c r="I70" s="190"/>
      <c r="J70" s="201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15"/>
      <c r="Z70" s="115"/>
      <c r="AA70" s="6"/>
      <c r="AB70" s="6"/>
      <c r="AC70" s="6"/>
      <c r="AD70" s="6"/>
      <c r="AE70" s="6"/>
      <c r="AF70" s="6"/>
      <c r="AG70" s="6"/>
      <c r="AH70" s="6"/>
      <c r="AI70" s="6"/>
    </row>
    <row r="71" ht="15.75" hidden="1" customHeight="1">
      <c r="A71" s="35"/>
      <c r="B71" s="74"/>
      <c r="C71" s="54"/>
      <c r="D71" s="46"/>
      <c r="E71" s="55" t="str">
        <f>IFERROR(__xludf.DUMMYFUNCTION("REGEXEXTRACT(C71,""[A-Za-z]+"")"),"#N/A")</f>
        <v>#N/A</v>
      </c>
      <c r="F71" s="55"/>
      <c r="G71" s="55">
        <f t="shared" si="3"/>
        <v>0</v>
      </c>
      <c r="H71" s="54"/>
      <c r="I71" s="177"/>
      <c r="J71" s="175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15"/>
      <c r="Z71" s="115"/>
      <c r="AA71" s="6"/>
      <c r="AB71" s="6"/>
      <c r="AC71" s="6"/>
      <c r="AD71" s="6"/>
      <c r="AE71" s="6"/>
      <c r="AF71" s="6"/>
      <c r="AG71" s="6"/>
      <c r="AH71" s="6"/>
      <c r="AI71" s="6"/>
    </row>
    <row r="72" ht="15.75" hidden="1" customHeight="1">
      <c r="A72" s="35"/>
      <c r="B72" s="74"/>
      <c r="C72" s="54"/>
      <c r="D72" s="46"/>
      <c r="E72" s="55" t="str">
        <f>IFERROR(__xludf.DUMMYFUNCTION("REGEXEXTRACT(C72,""[A-Za-z]+"")"),"#N/A")</f>
        <v>#N/A</v>
      </c>
      <c r="F72" s="55"/>
      <c r="G72" s="55">
        <f t="shared" si="3"/>
        <v>0</v>
      </c>
      <c r="H72" s="54"/>
      <c r="I72" s="177"/>
      <c r="J72" s="175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15"/>
      <c r="Z72" s="115"/>
      <c r="AA72" s="6"/>
      <c r="AB72" s="6"/>
      <c r="AC72" s="6"/>
      <c r="AD72" s="6"/>
      <c r="AE72" s="6"/>
      <c r="AF72" s="6"/>
      <c r="AG72" s="6"/>
      <c r="AH72" s="6"/>
      <c r="AI72" s="6"/>
    </row>
    <row r="73" ht="15.75" hidden="1" customHeight="1">
      <c r="A73" s="35"/>
      <c r="B73" s="74"/>
      <c r="C73" s="54"/>
      <c r="D73" s="46"/>
      <c r="E73" s="55" t="str">
        <f>IFERROR(__xludf.DUMMYFUNCTION("REGEXEXTRACT(C73,""[A-Za-z]+"")"),"#N/A")</f>
        <v>#N/A</v>
      </c>
      <c r="F73" s="55"/>
      <c r="G73" s="55">
        <f t="shared" si="3"/>
        <v>0</v>
      </c>
      <c r="H73" s="54"/>
      <c r="I73" s="177"/>
      <c r="J73" s="175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15"/>
      <c r="Z73" s="115"/>
      <c r="AA73" s="6"/>
      <c r="AB73" s="6"/>
      <c r="AC73" s="6"/>
      <c r="AD73" s="6"/>
      <c r="AE73" s="6"/>
      <c r="AF73" s="6"/>
      <c r="AG73" s="6"/>
      <c r="AH73" s="6"/>
      <c r="AI73" s="6"/>
    </row>
    <row r="74" ht="15.75" hidden="1" customHeight="1">
      <c r="A74" s="35"/>
      <c r="B74" s="74"/>
      <c r="C74" s="54"/>
      <c r="D74" s="46"/>
      <c r="E74" s="55" t="str">
        <f>IFERROR(__xludf.DUMMYFUNCTION("REGEXEXTRACT(C74,""[A-Za-z]+"")"),"#N/A")</f>
        <v>#N/A</v>
      </c>
      <c r="F74" s="55"/>
      <c r="G74" s="55">
        <f t="shared" si="3"/>
        <v>0</v>
      </c>
      <c r="H74" s="54"/>
      <c r="I74" s="177"/>
      <c r="J74" s="175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15"/>
      <c r="Z74" s="115"/>
      <c r="AA74" s="6"/>
      <c r="AB74" s="6"/>
      <c r="AC74" s="6"/>
      <c r="AD74" s="6"/>
      <c r="AE74" s="6"/>
      <c r="AF74" s="6"/>
      <c r="AG74" s="6"/>
      <c r="AH74" s="6"/>
      <c r="AI74" s="6"/>
    </row>
    <row r="75" ht="15.75" hidden="1" customHeight="1">
      <c r="A75" s="35"/>
      <c r="B75" s="167" t="s">
        <v>94</v>
      </c>
      <c r="C75" s="54"/>
      <c r="D75" s="46"/>
      <c r="E75" s="55" t="str">
        <f>IFERROR(__xludf.DUMMYFUNCTION("REGEXEXTRACT(C75,""[A-Za-z]+"")"),"#N/A")</f>
        <v>#N/A</v>
      </c>
      <c r="F75" s="55"/>
      <c r="G75" s="55">
        <f t="shared" si="3"/>
        <v>0</v>
      </c>
      <c r="H75" s="54"/>
      <c r="I75" s="190"/>
      <c r="J75" s="201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15"/>
      <c r="Z75" s="115"/>
      <c r="AA75" s="6"/>
      <c r="AB75" s="6"/>
      <c r="AC75" s="6"/>
      <c r="AD75" s="6"/>
      <c r="AE75" s="6"/>
      <c r="AF75" s="6"/>
      <c r="AG75" s="6"/>
      <c r="AH75" s="6"/>
      <c r="AI75" s="6"/>
    </row>
    <row r="76" ht="15.75" hidden="1" customHeight="1">
      <c r="A76" s="35"/>
      <c r="B76" s="74"/>
      <c r="C76" s="54"/>
      <c r="D76" s="46"/>
      <c r="E76" s="55" t="str">
        <f>IFERROR(__xludf.DUMMYFUNCTION("REGEXEXTRACT(C76,""[A-Za-z]+"")"),"#N/A")</f>
        <v>#N/A</v>
      </c>
      <c r="F76" s="55"/>
      <c r="G76" s="55">
        <f t="shared" si="3"/>
        <v>0</v>
      </c>
      <c r="H76" s="54"/>
      <c r="I76" s="177"/>
      <c r="J76" s="175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15"/>
      <c r="Z76" s="115"/>
      <c r="AA76" s="6"/>
      <c r="AB76" s="6"/>
      <c r="AC76" s="6"/>
      <c r="AD76" s="6"/>
      <c r="AE76" s="6"/>
      <c r="AF76" s="6"/>
      <c r="AG76" s="6"/>
      <c r="AH76" s="6"/>
      <c r="AI76" s="6"/>
    </row>
    <row r="77" ht="15.75" hidden="1" customHeight="1">
      <c r="A77" s="35"/>
      <c r="B77" s="74"/>
      <c r="C77" s="54"/>
      <c r="D77" s="46"/>
      <c r="E77" s="55" t="str">
        <f>IFERROR(__xludf.DUMMYFUNCTION("REGEXEXTRACT(C77,""[A-Za-z]+"")"),"#N/A")</f>
        <v>#N/A</v>
      </c>
      <c r="F77" s="55"/>
      <c r="G77" s="55">
        <f t="shared" si="3"/>
        <v>0</v>
      </c>
      <c r="H77" s="54"/>
      <c r="I77" s="177"/>
      <c r="J77" s="175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15"/>
      <c r="Z77" s="115"/>
      <c r="AA77" s="6"/>
      <c r="AB77" s="6"/>
      <c r="AC77" s="6"/>
      <c r="AD77" s="6"/>
      <c r="AE77" s="6"/>
      <c r="AF77" s="6"/>
      <c r="AG77" s="6"/>
      <c r="AH77" s="6"/>
      <c r="AI77" s="6"/>
    </row>
    <row r="78" ht="15.75" hidden="1" customHeight="1">
      <c r="A78" s="35"/>
      <c r="B78" s="74"/>
      <c r="C78" s="54"/>
      <c r="D78" s="46"/>
      <c r="E78" s="55" t="str">
        <f>IFERROR(__xludf.DUMMYFUNCTION("REGEXEXTRACT(C78,""[A-Za-z]+"")"),"#N/A")</f>
        <v>#N/A</v>
      </c>
      <c r="F78" s="55"/>
      <c r="G78" s="55">
        <f t="shared" si="3"/>
        <v>0</v>
      </c>
      <c r="H78" s="54"/>
      <c r="I78" s="177"/>
      <c r="J78" s="175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15"/>
      <c r="Z78" s="115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202"/>
      <c r="B79" s="203" t="s">
        <v>151</v>
      </c>
      <c r="C79" s="204"/>
      <c r="D79" s="46">
        <v>30.0</v>
      </c>
      <c r="E79" s="55" t="s">
        <v>152</v>
      </c>
      <c r="F79" s="176">
        <v>100.0</v>
      </c>
      <c r="G79" s="55">
        <f t="shared" si="3"/>
        <v>3000</v>
      </c>
      <c r="H79" s="54" t="s">
        <v>141</v>
      </c>
      <c r="I79" s="188" t="s">
        <v>146</v>
      </c>
      <c r="J79" s="205"/>
      <c r="K79" s="205"/>
      <c r="L79" s="53">
        <v>30.0</v>
      </c>
      <c r="M79" s="205"/>
      <c r="N79" s="205"/>
      <c r="O79" s="205"/>
      <c r="P79" s="205"/>
      <c r="Q79" s="205"/>
      <c r="R79" s="205"/>
      <c r="S79" s="205"/>
      <c r="T79" s="205"/>
      <c r="U79" s="205"/>
      <c r="V79" s="206"/>
      <c r="W79" s="206"/>
      <c r="X79" s="206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</row>
    <row r="80" ht="15.75" customHeight="1">
      <c r="A80" s="202"/>
      <c r="B80" s="203" t="s">
        <v>153</v>
      </c>
      <c r="C80" s="204"/>
      <c r="D80" s="46">
        <v>20.0</v>
      </c>
      <c r="E80" s="55" t="s">
        <v>154</v>
      </c>
      <c r="F80" s="176">
        <v>30.0</v>
      </c>
      <c r="G80" s="55">
        <f t="shared" si="3"/>
        <v>600</v>
      </c>
      <c r="H80" s="185"/>
      <c r="I80" s="185"/>
      <c r="J80" s="205"/>
      <c r="K80" s="205"/>
      <c r="L80" s="53">
        <v>20.0</v>
      </c>
      <c r="M80" s="205"/>
      <c r="N80" s="205"/>
      <c r="O80" s="205"/>
      <c r="P80" s="205"/>
      <c r="Q80" s="205"/>
      <c r="R80" s="205"/>
      <c r="S80" s="205"/>
      <c r="T80" s="205"/>
      <c r="U80" s="205"/>
      <c r="V80" s="206"/>
      <c r="W80" s="206"/>
      <c r="X80" s="206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</row>
    <row r="81" ht="15.75" customHeight="1">
      <c r="A81" s="202"/>
      <c r="B81" s="203" t="s">
        <v>155</v>
      </c>
      <c r="C81" s="204"/>
      <c r="D81" s="46">
        <v>20.0</v>
      </c>
      <c r="E81" s="55" t="s">
        <v>154</v>
      </c>
      <c r="F81" s="176">
        <v>50.0</v>
      </c>
      <c r="G81" s="55">
        <f t="shared" si="3"/>
        <v>1000</v>
      </c>
      <c r="H81" s="185"/>
      <c r="I81" s="185"/>
      <c r="J81" s="205"/>
      <c r="K81" s="205"/>
      <c r="L81" s="53">
        <v>20.0</v>
      </c>
      <c r="M81" s="205"/>
      <c r="N81" s="205"/>
      <c r="O81" s="205"/>
      <c r="P81" s="205"/>
      <c r="Q81" s="205"/>
      <c r="R81" s="205"/>
      <c r="S81" s="205"/>
      <c r="T81" s="205"/>
      <c r="U81" s="205"/>
      <c r="V81" s="206"/>
      <c r="W81" s="206"/>
      <c r="X81" s="206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</row>
    <row r="82" ht="15.75" customHeight="1">
      <c r="A82" s="202"/>
      <c r="B82" s="203" t="s">
        <v>156</v>
      </c>
      <c r="C82" s="204"/>
      <c r="D82" s="46">
        <v>2.0</v>
      </c>
      <c r="E82" s="55" t="s">
        <v>157</v>
      </c>
      <c r="F82" s="176">
        <v>400.0</v>
      </c>
      <c r="G82" s="55">
        <f t="shared" si="3"/>
        <v>800</v>
      </c>
      <c r="H82" s="185"/>
      <c r="I82" s="185"/>
      <c r="J82" s="205"/>
      <c r="K82" s="205"/>
      <c r="L82" s="53">
        <v>2.0</v>
      </c>
      <c r="M82" s="205"/>
      <c r="N82" s="205"/>
      <c r="O82" s="205"/>
      <c r="P82" s="205"/>
      <c r="Q82" s="205"/>
      <c r="R82" s="205"/>
      <c r="S82" s="205"/>
      <c r="T82" s="205"/>
      <c r="U82" s="205"/>
      <c r="V82" s="206"/>
      <c r="W82" s="206"/>
      <c r="X82" s="206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</row>
    <row r="83" ht="15.75" customHeight="1">
      <c r="A83" s="202"/>
      <c r="B83" s="203" t="s">
        <v>158</v>
      </c>
      <c r="C83" s="204"/>
      <c r="D83" s="46">
        <v>2.0</v>
      </c>
      <c r="E83" s="55" t="s">
        <v>152</v>
      </c>
      <c r="F83" s="176">
        <v>200.0</v>
      </c>
      <c r="G83" s="55">
        <f t="shared" si="3"/>
        <v>400</v>
      </c>
      <c r="H83" s="185"/>
      <c r="I83" s="185"/>
      <c r="J83" s="205"/>
      <c r="K83" s="205"/>
      <c r="L83" s="53">
        <v>2.0</v>
      </c>
      <c r="M83" s="205"/>
      <c r="N83" s="205"/>
      <c r="O83" s="205"/>
      <c r="P83" s="205"/>
      <c r="Q83" s="205"/>
      <c r="R83" s="205"/>
      <c r="S83" s="205"/>
      <c r="T83" s="205"/>
      <c r="U83" s="205"/>
      <c r="V83" s="206"/>
      <c r="W83" s="206"/>
      <c r="X83" s="206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</row>
    <row r="84" ht="15.75" customHeight="1">
      <c r="A84" s="202"/>
      <c r="B84" s="203" t="s">
        <v>159</v>
      </c>
      <c r="C84" s="204"/>
      <c r="D84" s="46">
        <v>1.0</v>
      </c>
      <c r="E84" s="55" t="s">
        <v>160</v>
      </c>
      <c r="F84" s="176">
        <v>800.0</v>
      </c>
      <c r="G84" s="55">
        <f t="shared" si="3"/>
        <v>800</v>
      </c>
      <c r="H84" s="185"/>
      <c r="I84" s="185"/>
      <c r="J84" s="205"/>
      <c r="K84" s="205"/>
      <c r="L84" s="53">
        <v>1.0</v>
      </c>
      <c r="M84" s="205"/>
      <c r="N84" s="205"/>
      <c r="O84" s="205"/>
      <c r="P84" s="205"/>
      <c r="Q84" s="205"/>
      <c r="R84" s="205"/>
      <c r="S84" s="205"/>
      <c r="T84" s="205"/>
      <c r="U84" s="205"/>
      <c r="V84" s="206"/>
      <c r="W84" s="206"/>
      <c r="X84" s="206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</row>
    <row r="85" ht="15.75" customHeight="1">
      <c r="A85" s="202"/>
      <c r="B85" s="203" t="s">
        <v>161</v>
      </c>
      <c r="C85" s="204"/>
      <c r="D85" s="46">
        <v>40.0</v>
      </c>
      <c r="E85" s="55" t="s">
        <v>154</v>
      </c>
      <c r="F85" s="176">
        <v>150.0</v>
      </c>
      <c r="G85" s="55">
        <f t="shared" si="3"/>
        <v>6000</v>
      </c>
      <c r="H85" s="186"/>
      <c r="I85" s="186"/>
      <c r="J85" s="205"/>
      <c r="K85" s="205"/>
      <c r="L85" s="53">
        <v>40.0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6"/>
      <c r="W85" s="206"/>
      <c r="X85" s="206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</row>
    <row r="86" ht="15.75" customHeight="1">
      <c r="A86" s="208"/>
      <c r="B86" s="209" t="s">
        <v>162</v>
      </c>
      <c r="C86" s="210" t="s">
        <v>162</v>
      </c>
      <c r="D86" s="211"/>
      <c r="E86" s="212"/>
      <c r="F86" s="212"/>
      <c r="G86" s="212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4"/>
      <c r="W86" s="214"/>
      <c r="X86" s="214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</row>
    <row r="87">
      <c r="A87" s="216"/>
      <c r="B87" s="217" t="s">
        <v>163</v>
      </c>
      <c r="C87" s="218" t="s">
        <v>164</v>
      </c>
      <c r="D87" s="219">
        <v>40.0</v>
      </c>
      <c r="E87" s="55" t="s">
        <v>154</v>
      </c>
      <c r="F87" s="220">
        <v>800.0</v>
      </c>
      <c r="G87" s="55">
        <f>F87*D87</f>
        <v>32000</v>
      </c>
      <c r="H87" s="221"/>
      <c r="I87" s="222"/>
      <c r="J87" s="222"/>
      <c r="K87" s="222"/>
      <c r="L87" s="222"/>
      <c r="M87" s="223" t="s">
        <v>165</v>
      </c>
      <c r="N87" s="223" t="s">
        <v>166</v>
      </c>
      <c r="O87" s="222"/>
      <c r="P87" s="222"/>
      <c r="Q87" s="222"/>
      <c r="R87" s="222"/>
      <c r="S87" s="222"/>
      <c r="T87" s="222"/>
      <c r="U87" s="222"/>
      <c r="V87" s="224"/>
      <c r="W87" s="224"/>
      <c r="X87" s="224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115"/>
    </row>
    <row r="88" ht="15.75" customHeight="1">
      <c r="A88" s="208"/>
      <c r="B88" s="209" t="s">
        <v>167</v>
      </c>
      <c r="C88" s="210" t="s">
        <v>162</v>
      </c>
      <c r="D88" s="211"/>
      <c r="E88" s="212"/>
      <c r="F88" s="225">
        <f>E88*D88</f>
        <v>0</v>
      </c>
      <c r="G88" s="212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4"/>
      <c r="W88" s="214"/>
      <c r="X88" s="214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</row>
    <row r="89">
      <c r="A89" s="35"/>
      <c r="B89" s="226" t="s">
        <v>168</v>
      </c>
      <c r="C89" s="227"/>
      <c r="D89" s="228">
        <v>1.0</v>
      </c>
      <c r="E89" s="229" t="s">
        <v>139</v>
      </c>
      <c r="F89" s="230">
        <v>3000.0</v>
      </c>
      <c r="G89" s="229">
        <v>3000.0</v>
      </c>
      <c r="H89" s="227"/>
      <c r="I89" s="231"/>
      <c r="J89" s="232"/>
      <c r="K89" s="233"/>
      <c r="L89" s="234"/>
      <c r="M89" s="232"/>
      <c r="N89" s="232"/>
      <c r="O89" s="232"/>
      <c r="P89" s="232"/>
      <c r="Q89" s="232"/>
      <c r="R89" s="232"/>
      <c r="S89" s="232"/>
      <c r="T89" s="232"/>
      <c r="U89" s="232"/>
      <c r="V89" s="177"/>
      <c r="W89" s="177"/>
      <c r="X89" s="177"/>
      <c r="Y89" s="115"/>
      <c r="Z89" s="115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208"/>
      <c r="B90" s="235" t="s">
        <v>94</v>
      </c>
      <c r="C90" s="210" t="s">
        <v>94</v>
      </c>
      <c r="D90" s="211"/>
      <c r="E90" s="212"/>
      <c r="F90" s="225">
        <f>E90*D90</f>
        <v>0</v>
      </c>
      <c r="G90" s="212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4"/>
      <c r="W90" s="214"/>
      <c r="X90" s="214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</row>
    <row r="91" ht="15.75" customHeight="1">
      <c r="A91" s="35"/>
      <c r="B91" s="191" t="s">
        <v>98</v>
      </c>
      <c r="C91" s="54" t="s">
        <v>99</v>
      </c>
      <c r="D91" s="46">
        <v>2.0</v>
      </c>
      <c r="E91" s="55" t="str">
        <f>IFERROR(__xludf.DUMMYFUNCTION("REGEXEXTRACT(C91,""[A-Za-z]+"")")," units ")</f>
        <v>units</v>
      </c>
      <c r="F91" s="70">
        <v>7200.0</v>
      </c>
      <c r="G91" s="55">
        <f t="shared" ref="G91:G99" si="4">F91*D91</f>
        <v>14400</v>
      </c>
      <c r="H91" s="54" t="s">
        <v>55</v>
      </c>
      <c r="I91" s="65"/>
      <c r="J91" s="177"/>
      <c r="K91" s="181">
        <v>2.0</v>
      </c>
      <c r="L91" s="175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15"/>
      <c r="Z91" s="115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236" t="s">
        <v>100</v>
      </c>
      <c r="C92" s="72" t="s">
        <v>101</v>
      </c>
      <c r="D92" s="46">
        <v>6.0</v>
      </c>
      <c r="E92" s="55" t="str">
        <f>IFERROR(__xludf.DUMMYFUNCTION("REGEXEXTRACT(C92,""[A-Za-z]+"")")," units ")</f>
        <v>units</v>
      </c>
      <c r="F92" s="70">
        <v>500.0</v>
      </c>
      <c r="G92" s="55">
        <f t="shared" si="4"/>
        <v>3000</v>
      </c>
      <c r="H92" s="54" t="s">
        <v>55</v>
      </c>
      <c r="I92" s="65"/>
      <c r="J92" s="177"/>
      <c r="K92" s="181">
        <v>6.0</v>
      </c>
      <c r="L92" s="175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15"/>
      <c r="Z92" s="115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191" t="s">
        <v>102</v>
      </c>
      <c r="C93" s="54" t="s">
        <v>99</v>
      </c>
      <c r="D93" s="46">
        <v>2.0</v>
      </c>
      <c r="E93" s="55" t="str">
        <f>IFERROR(__xludf.DUMMYFUNCTION("REGEXEXTRACT(C93,""[A-Za-z]+"")")," units ")</f>
        <v>units</v>
      </c>
      <c r="F93" s="70">
        <v>10000.0</v>
      </c>
      <c r="G93" s="55">
        <f t="shared" si="4"/>
        <v>20000</v>
      </c>
      <c r="H93" s="54" t="s">
        <v>55</v>
      </c>
      <c r="I93" s="65"/>
      <c r="J93" s="177"/>
      <c r="K93" s="181">
        <v>1.0</v>
      </c>
      <c r="L93" s="175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15"/>
      <c r="Z93" s="115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236" t="s">
        <v>113</v>
      </c>
      <c r="C94" s="88"/>
      <c r="D94" s="80">
        <v>600.0</v>
      </c>
      <c r="E94" s="80" t="s">
        <v>110</v>
      </c>
      <c r="F94" s="176">
        <v>80.0</v>
      </c>
      <c r="G94" s="55">
        <f t="shared" si="4"/>
        <v>48000</v>
      </c>
      <c r="H94" s="54" t="s">
        <v>55</v>
      </c>
      <c r="I94" s="65"/>
      <c r="J94" s="175"/>
      <c r="K94" s="237">
        <v>600.0</v>
      </c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15"/>
      <c r="Z94" s="115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79"/>
      <c r="B95" s="191" t="s">
        <v>111</v>
      </c>
      <c r="C95" s="56" t="s">
        <v>112</v>
      </c>
      <c r="D95" s="80">
        <v>3.0</v>
      </c>
      <c r="E95" s="55" t="str">
        <f>IFERROR(__xludf.DUMMYFUNCTION("REGEXEXTRACT(C95,""[A-Za-z]+"")")," pcs ")</f>
        <v>pcs</v>
      </c>
      <c r="F95" s="82">
        <v>10000.0</v>
      </c>
      <c r="G95" s="55">
        <f t="shared" si="4"/>
        <v>30000</v>
      </c>
      <c r="H95" s="56" t="s">
        <v>55</v>
      </c>
      <c r="I95" s="83"/>
      <c r="J95" s="175"/>
      <c r="K95" s="238">
        <v>3.0</v>
      </c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7"/>
      <c r="Z95" s="197"/>
      <c r="AA95" s="198"/>
      <c r="AB95" s="198"/>
      <c r="AC95" s="198"/>
      <c r="AD95" s="198"/>
      <c r="AE95" s="198"/>
      <c r="AF95" s="198"/>
      <c r="AG95" s="198"/>
      <c r="AH95" s="198"/>
      <c r="AI95" s="198"/>
    </row>
    <row r="96" ht="15.75" customHeight="1">
      <c r="A96" s="35"/>
      <c r="B96" s="191" t="s">
        <v>138</v>
      </c>
      <c r="C96" s="54"/>
      <c r="D96" s="46">
        <v>1.0</v>
      </c>
      <c r="E96" s="55" t="s">
        <v>139</v>
      </c>
      <c r="F96" s="55">
        <v>49000.0</v>
      </c>
      <c r="G96" s="55">
        <f t="shared" si="4"/>
        <v>49000</v>
      </c>
      <c r="H96" s="56" t="s">
        <v>55</v>
      </c>
      <c r="I96" s="65"/>
      <c r="J96" s="175"/>
      <c r="K96" s="237">
        <v>1.0</v>
      </c>
      <c r="L96" s="175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15"/>
      <c r="Z96" s="115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191" t="s">
        <v>96</v>
      </c>
      <c r="C97" s="54" t="s">
        <v>97</v>
      </c>
      <c r="D97" s="46">
        <v>5.0</v>
      </c>
      <c r="E97" s="55" t="str">
        <f>IFERROR(__xludf.DUMMYFUNCTION("REGEXEXTRACT(C97,""[A-Za-z]+"")")," packs ")</f>
        <v>packs</v>
      </c>
      <c r="F97" s="55">
        <v>9999.0</v>
      </c>
      <c r="G97" s="55">
        <f t="shared" si="4"/>
        <v>49995</v>
      </c>
      <c r="H97" s="54" t="s">
        <v>55</v>
      </c>
      <c r="I97" s="65"/>
      <c r="J97" s="175"/>
      <c r="K97" s="237">
        <v>10.0</v>
      </c>
      <c r="L97" s="175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15"/>
      <c r="Z97" s="115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191" t="s">
        <v>87</v>
      </c>
      <c r="C98" s="54" t="s">
        <v>88</v>
      </c>
      <c r="D98" s="46">
        <v>10.0</v>
      </c>
      <c r="E98" s="47" t="str">
        <f>IFERROR(__xludf.DUMMYFUNCTION("REGEXEXTRACT(C98,""[A-Za-z]+"")"),"rolls")</f>
        <v>rolls</v>
      </c>
      <c r="F98" s="48">
        <v>4000.0</v>
      </c>
      <c r="G98" s="55">
        <f t="shared" si="4"/>
        <v>40000</v>
      </c>
      <c r="H98" s="175" t="s">
        <v>55</v>
      </c>
      <c r="I98" s="177"/>
      <c r="J98" s="175"/>
      <c r="K98" s="239">
        <v>10.0</v>
      </c>
      <c r="L98" s="175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15"/>
      <c r="Z98" s="115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191" t="s">
        <v>95</v>
      </c>
      <c r="C99" s="54" t="s">
        <v>82</v>
      </c>
      <c r="D99" s="46">
        <v>6.0</v>
      </c>
      <c r="E99" s="55" t="str">
        <f>IFERROR(__xludf.DUMMYFUNCTION("REGEXEXTRACT(C99,""[A-Za-z]+"")")," pcs ")</f>
        <v>pcs</v>
      </c>
      <c r="F99" s="55">
        <v>7000.0</v>
      </c>
      <c r="G99" s="55">
        <f t="shared" si="4"/>
        <v>42000</v>
      </c>
      <c r="H99" s="54" t="s">
        <v>55</v>
      </c>
      <c r="I99" s="65"/>
      <c r="J99" s="175"/>
      <c r="K99" s="240">
        <v>6.0</v>
      </c>
      <c r="L99" s="175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15"/>
      <c r="Z99" s="115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208"/>
      <c r="B100" s="213"/>
      <c r="C100" s="210" t="s">
        <v>169</v>
      </c>
      <c r="D100" s="211"/>
      <c r="E100" s="241"/>
      <c r="F100" s="212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4"/>
      <c r="W100" s="214"/>
      <c r="X100" s="214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</row>
    <row r="101">
      <c r="A101" s="242"/>
      <c r="B101" s="243" t="s">
        <v>170</v>
      </c>
      <c r="C101" s="226" t="s">
        <v>171</v>
      </c>
      <c r="D101" s="244" t="s">
        <v>172</v>
      </c>
      <c r="E101" s="245">
        <v>200.0</v>
      </c>
      <c r="F101" s="246">
        <v>200.0</v>
      </c>
      <c r="G101" s="247" t="s">
        <v>169</v>
      </c>
      <c r="H101" s="248"/>
      <c r="I101" s="248"/>
      <c r="J101" s="249">
        <v>1.0</v>
      </c>
      <c r="K101" s="248"/>
      <c r="L101" s="250" t="s">
        <v>173</v>
      </c>
      <c r="M101" s="251"/>
      <c r="N101" s="248"/>
      <c r="O101" s="248"/>
      <c r="P101" s="248"/>
      <c r="Q101" s="248"/>
      <c r="R101" s="248"/>
      <c r="S101" s="248"/>
      <c r="T101" s="248"/>
      <c r="U101" s="248"/>
      <c r="V101" s="206"/>
      <c r="W101" s="206"/>
      <c r="X101" s="206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115"/>
    </row>
    <row r="102">
      <c r="A102" s="242"/>
      <c r="B102" s="252" t="s">
        <v>174</v>
      </c>
      <c r="C102" s="253" t="s">
        <v>175</v>
      </c>
      <c r="D102" s="244" t="s">
        <v>34</v>
      </c>
      <c r="E102" s="245">
        <v>200.0</v>
      </c>
      <c r="F102" s="245">
        <v>200.0</v>
      </c>
      <c r="G102" s="249" t="s">
        <v>169</v>
      </c>
      <c r="H102" s="248"/>
      <c r="I102" s="248"/>
      <c r="J102" s="248"/>
      <c r="K102" s="248"/>
      <c r="L102" s="105"/>
      <c r="M102" s="105"/>
      <c r="N102" s="248"/>
      <c r="O102" s="248"/>
      <c r="P102" s="248"/>
      <c r="Q102" s="248"/>
      <c r="R102" s="248"/>
      <c r="S102" s="248"/>
      <c r="T102" s="248"/>
      <c r="U102" s="248"/>
      <c r="V102" s="206"/>
      <c r="W102" s="206"/>
      <c r="X102" s="206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115"/>
    </row>
    <row r="103">
      <c r="A103" s="242"/>
      <c r="B103" s="254" t="s">
        <v>176</v>
      </c>
      <c r="C103" s="226" t="s">
        <v>177</v>
      </c>
      <c r="D103" s="244" t="s">
        <v>172</v>
      </c>
      <c r="E103" s="245">
        <v>200.0</v>
      </c>
      <c r="F103" s="246">
        <v>200.0</v>
      </c>
      <c r="G103" s="247" t="s">
        <v>169</v>
      </c>
      <c r="H103" s="248"/>
      <c r="I103" s="248"/>
      <c r="J103" s="249">
        <v>1.0</v>
      </c>
      <c r="K103" s="248"/>
      <c r="L103" s="255" t="s">
        <v>178</v>
      </c>
      <c r="M103" s="248"/>
      <c r="N103" s="248"/>
      <c r="O103" s="248"/>
      <c r="P103" s="248"/>
      <c r="Q103" s="248"/>
      <c r="R103" s="248"/>
      <c r="S103" s="248"/>
      <c r="T103" s="248"/>
      <c r="U103" s="248"/>
      <c r="V103" s="206"/>
      <c r="W103" s="206"/>
      <c r="X103" s="206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115"/>
    </row>
    <row r="104">
      <c r="A104" s="242"/>
      <c r="B104" s="256" t="s">
        <v>179</v>
      </c>
      <c r="C104" s="257" t="s">
        <v>179</v>
      </c>
      <c r="D104" s="244" t="s">
        <v>180</v>
      </c>
      <c r="E104" s="245">
        <v>680.0</v>
      </c>
      <c r="F104" s="245">
        <f t="shared" ref="F104:F105" si="5">E104*1</f>
        <v>680</v>
      </c>
      <c r="G104" s="249" t="s">
        <v>181</v>
      </c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06"/>
      <c r="W104" s="206"/>
      <c r="X104" s="206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115"/>
    </row>
    <row r="105">
      <c r="A105" s="258"/>
      <c r="B105" s="256" t="s">
        <v>35</v>
      </c>
      <c r="C105" s="257" t="s">
        <v>35</v>
      </c>
      <c r="D105" s="244" t="s">
        <v>34</v>
      </c>
      <c r="E105" s="245">
        <v>3000.0</v>
      </c>
      <c r="F105" s="245">
        <f t="shared" si="5"/>
        <v>3000</v>
      </c>
      <c r="G105" s="249" t="s">
        <v>181</v>
      </c>
      <c r="H105" s="248"/>
      <c r="I105" s="248"/>
      <c r="J105" s="249">
        <v>1.0</v>
      </c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06"/>
      <c r="W105" s="206"/>
      <c r="X105" s="206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115"/>
    </row>
    <row r="106">
      <c r="A106" s="258"/>
      <c r="B106" s="256" t="s">
        <v>182</v>
      </c>
      <c r="C106" s="257" t="s">
        <v>182</v>
      </c>
      <c r="D106" s="244" t="s">
        <v>34</v>
      </c>
      <c r="E106" s="245">
        <v>330.0</v>
      </c>
      <c r="F106" s="245">
        <v>330.0</v>
      </c>
      <c r="G106" s="249" t="s">
        <v>181</v>
      </c>
      <c r="H106" s="248"/>
      <c r="I106" s="248"/>
      <c r="J106" s="248"/>
      <c r="K106" s="248"/>
      <c r="L106" s="255" t="s">
        <v>183</v>
      </c>
      <c r="M106" s="248"/>
      <c r="N106" s="248"/>
      <c r="O106" s="248"/>
      <c r="P106" s="248"/>
      <c r="Q106" s="248"/>
      <c r="R106" s="248"/>
      <c r="S106" s="248"/>
      <c r="T106" s="248"/>
      <c r="U106" s="248"/>
      <c r="V106" s="206"/>
      <c r="W106" s="206"/>
      <c r="X106" s="206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115"/>
    </row>
    <row r="107">
      <c r="A107" s="258"/>
      <c r="B107" s="252" t="s">
        <v>184</v>
      </c>
      <c r="C107" s="253" t="s">
        <v>185</v>
      </c>
      <c r="D107" s="244" t="s">
        <v>186</v>
      </c>
      <c r="E107" s="245">
        <v>100.0</v>
      </c>
      <c r="F107" s="245">
        <v>2000.0</v>
      </c>
      <c r="G107" s="259" t="s">
        <v>169</v>
      </c>
      <c r="H107" s="251"/>
      <c r="I107" s="251"/>
      <c r="J107" s="251"/>
      <c r="K107" s="251"/>
      <c r="L107" s="250" t="s">
        <v>187</v>
      </c>
      <c r="M107" s="251"/>
      <c r="N107" s="251"/>
      <c r="O107" s="251"/>
      <c r="P107" s="251"/>
      <c r="Q107" s="251"/>
      <c r="R107" s="251"/>
      <c r="S107" s="251"/>
      <c r="T107" s="251"/>
      <c r="U107" s="251"/>
      <c r="V107" s="260"/>
      <c r="W107" s="260"/>
      <c r="X107" s="260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115"/>
    </row>
    <row r="108">
      <c r="A108" s="258"/>
      <c r="B108" s="252" t="s">
        <v>188</v>
      </c>
      <c r="C108" s="253" t="s">
        <v>189</v>
      </c>
      <c r="D108" s="244" t="s">
        <v>186</v>
      </c>
      <c r="E108" s="245">
        <v>150.0</v>
      </c>
      <c r="F108" s="245">
        <v>3000.0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86"/>
      <c r="W108" s="186"/>
      <c r="X108" s="186"/>
    </row>
    <row r="109">
      <c r="A109" s="258"/>
      <c r="B109" s="254" t="s">
        <v>190</v>
      </c>
      <c r="C109" s="226" t="s">
        <v>191</v>
      </c>
      <c r="D109" s="244" t="s">
        <v>34</v>
      </c>
      <c r="E109" s="261">
        <v>2000.0</v>
      </c>
      <c r="F109" s="262">
        <v>2000.0</v>
      </c>
      <c r="G109" s="249" t="s">
        <v>169</v>
      </c>
      <c r="H109" s="248"/>
      <c r="I109" s="248"/>
      <c r="J109" s="263">
        <v>1.0</v>
      </c>
      <c r="K109" s="248"/>
      <c r="L109" s="255" t="s">
        <v>192</v>
      </c>
      <c r="M109" s="255" t="s">
        <v>193</v>
      </c>
      <c r="N109" s="248"/>
      <c r="O109" s="248"/>
      <c r="P109" s="255" t="s">
        <v>193</v>
      </c>
      <c r="Q109" s="255" t="s">
        <v>193</v>
      </c>
      <c r="R109" s="255" t="s">
        <v>194</v>
      </c>
      <c r="S109" s="264">
        <f>SUM(684 + 591)</f>
        <v>1275</v>
      </c>
      <c r="T109" s="248"/>
      <c r="U109" s="248"/>
      <c r="V109" s="206"/>
      <c r="W109" s="206"/>
      <c r="X109" s="206"/>
      <c r="Y109" s="207"/>
      <c r="Z109" s="207"/>
      <c r="AA109" s="207"/>
      <c r="AB109" s="115"/>
      <c r="AC109" s="207"/>
      <c r="AD109" s="207"/>
      <c r="AE109" s="207"/>
      <c r="AF109" s="207"/>
      <c r="AG109" s="207"/>
      <c r="AH109" s="207"/>
      <c r="AI109" s="115"/>
    </row>
    <row r="110" ht="15.75" customHeight="1">
      <c r="A110" s="265"/>
      <c r="B110" s="266"/>
      <c r="C110" s="266"/>
      <c r="D110" s="267"/>
      <c r="E110" s="268"/>
      <c r="F110" s="269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70"/>
      <c r="T110" s="266"/>
      <c r="U110" s="266"/>
      <c r="V110" s="224"/>
      <c r="W110" s="224"/>
      <c r="X110" s="224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</row>
    <row r="111" ht="15.75" customHeight="1">
      <c r="A111" s="271"/>
      <c r="B111" s="272"/>
      <c r="C111" s="272"/>
      <c r="D111" s="273"/>
      <c r="E111" s="274"/>
      <c r="F111" s="275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6"/>
      <c r="T111" s="272"/>
      <c r="U111" s="272"/>
      <c r="V111" s="277"/>
      <c r="W111" s="277"/>
      <c r="X111" s="277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</row>
    <row r="112">
      <c r="A112" s="265"/>
      <c r="B112" s="279" t="s">
        <v>195</v>
      </c>
      <c r="C112" s="280" t="s">
        <v>195</v>
      </c>
      <c r="D112" s="281" t="s">
        <v>196</v>
      </c>
      <c r="E112" s="282" t="s">
        <v>197</v>
      </c>
      <c r="F112" s="283">
        <v>48000.0</v>
      </c>
      <c r="G112" s="284" t="s">
        <v>141</v>
      </c>
      <c r="H112" s="255" t="s">
        <v>198</v>
      </c>
      <c r="I112" s="266"/>
      <c r="J112" s="266"/>
      <c r="K112" s="266"/>
      <c r="L112" s="280" t="s">
        <v>199</v>
      </c>
      <c r="M112" s="280" t="s">
        <v>200</v>
      </c>
      <c r="N112" s="266"/>
      <c r="O112" s="266"/>
      <c r="P112" s="280" t="s">
        <v>201</v>
      </c>
      <c r="Q112" s="280" t="s">
        <v>202</v>
      </c>
      <c r="R112" s="255" t="s">
        <v>203</v>
      </c>
      <c r="S112" s="285">
        <v>20000.0</v>
      </c>
      <c r="T112" s="286">
        <v>20000.0</v>
      </c>
      <c r="U112" s="266"/>
      <c r="V112" s="224"/>
      <c r="W112" s="224"/>
      <c r="X112" s="224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115"/>
    </row>
    <row r="113" ht="15.75" customHeight="1">
      <c r="A113" s="265"/>
      <c r="B113" s="266"/>
      <c r="C113" s="266"/>
      <c r="D113" s="267"/>
      <c r="E113" s="268"/>
      <c r="F113" s="269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70"/>
      <c r="T113" s="266"/>
      <c r="U113" s="266"/>
      <c r="V113" s="224"/>
      <c r="W113" s="224"/>
      <c r="X113" s="224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</row>
    <row r="114" ht="15.75" customHeight="1">
      <c r="A114" s="35"/>
      <c r="B114" s="91"/>
      <c r="C114" s="88"/>
      <c r="D114" s="88"/>
      <c r="E114" s="88"/>
      <c r="F114" s="88"/>
      <c r="G114" s="88"/>
      <c r="H114" s="88"/>
      <c r="I114" s="65"/>
      <c r="J114" s="65"/>
      <c r="K114" s="65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15"/>
      <c r="Z114" s="115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66"/>
      <c r="B115" s="93"/>
      <c r="C115" s="94"/>
      <c r="D115" s="94"/>
      <c r="E115" s="94"/>
      <c r="F115" s="94"/>
      <c r="G115" s="94"/>
      <c r="H115" s="94"/>
      <c r="I115" s="94"/>
      <c r="J115" s="94"/>
      <c r="K115" s="95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15"/>
      <c r="Z115" s="115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96"/>
      <c r="B116" s="97"/>
      <c r="C116" s="6"/>
      <c r="D116" s="7"/>
      <c r="E116" s="8"/>
      <c r="F116" s="9"/>
      <c r="G116" s="287"/>
      <c r="H116" s="159"/>
      <c r="I116" s="159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99" t="s">
        <v>115</v>
      </c>
      <c r="B117" s="6"/>
      <c r="C117" s="288">
        <f>SUM(G11:G99)</f>
        <v>1059205</v>
      </c>
      <c r="H117" s="159"/>
      <c r="I117" s="159"/>
      <c r="J117" s="10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hidden="1" customHeight="1">
      <c r="A118" s="101" t="s">
        <v>116</v>
      </c>
      <c r="B118" s="102"/>
      <c r="C118" s="289">
        <f>PRODUCT(C117,0.1)</f>
        <v>105920.5</v>
      </c>
      <c r="D118" s="104"/>
      <c r="E118" s="104"/>
      <c r="F118" s="104"/>
      <c r="G118" s="105"/>
      <c r="H118" s="159"/>
      <c r="I118" s="159"/>
      <c r="J118" s="290"/>
      <c r="L118" s="290"/>
      <c r="W118" s="290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hidden="1" customHeight="1">
      <c r="A119" s="107" t="s">
        <v>117</v>
      </c>
      <c r="B119" s="108"/>
      <c r="C119" s="291">
        <f>PRODUCT(C117,0.1)</f>
        <v>105920.5</v>
      </c>
      <c r="D119" s="94"/>
      <c r="E119" s="94"/>
      <c r="F119" s="94"/>
      <c r="G119" s="95"/>
      <c r="H119" s="159"/>
      <c r="I119" s="159"/>
      <c r="J119" s="292"/>
      <c r="K119" s="97"/>
      <c r="L119" s="293"/>
      <c r="W119" s="293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hidden="1" customHeight="1">
      <c r="A120" s="107" t="s">
        <v>118</v>
      </c>
      <c r="B120" s="108"/>
      <c r="C120" s="291">
        <f>SUM(C117:G119)</f>
        <v>1271046</v>
      </c>
      <c r="D120" s="94"/>
      <c r="E120" s="94"/>
      <c r="F120" s="94"/>
      <c r="G120" s="95"/>
      <c r="H120" s="159"/>
      <c r="I120" s="159"/>
      <c r="J120" s="292"/>
      <c r="K120" s="97"/>
      <c r="L120" s="293"/>
      <c r="W120" s="293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113"/>
      <c r="B121" s="6"/>
      <c r="C121" s="6"/>
      <c r="D121" s="7"/>
      <c r="E121" s="8"/>
      <c r="F121" s="9"/>
      <c r="G121" s="158"/>
      <c r="H121" s="159"/>
      <c r="I121" s="159"/>
      <c r="J121" s="292"/>
      <c r="K121" s="97"/>
      <c r="L121" s="293"/>
      <c r="W121" s="293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114" t="s">
        <v>119</v>
      </c>
      <c r="B122" s="6"/>
      <c r="C122" s="6"/>
      <c r="D122" s="7"/>
      <c r="E122" s="8"/>
      <c r="F122" s="9"/>
      <c r="G122" s="158"/>
      <c r="H122" s="159"/>
      <c r="I122" s="159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115"/>
      <c r="B123" s="6"/>
      <c r="C123" s="6"/>
      <c r="D123" s="7"/>
      <c r="E123" s="8"/>
      <c r="F123" s="9"/>
      <c r="G123" s="158"/>
      <c r="H123" s="159"/>
      <c r="I123" s="159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116" t="s">
        <v>120</v>
      </c>
      <c r="B124" s="97"/>
      <c r="C124" s="6"/>
      <c r="D124" s="117" t="s">
        <v>121</v>
      </c>
      <c r="H124" s="117"/>
      <c r="I124" s="97"/>
      <c r="J124" s="10"/>
      <c r="K124" s="117" t="s">
        <v>122</v>
      </c>
      <c r="Q124" s="6"/>
      <c r="R124" s="6"/>
      <c r="S124" s="117" t="s">
        <v>123</v>
      </c>
      <c r="W124" s="6"/>
      <c r="X124" s="6"/>
      <c r="Z124" s="97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116"/>
      <c r="B125" s="97"/>
      <c r="C125" s="6"/>
      <c r="D125" s="117"/>
      <c r="E125" s="118"/>
      <c r="F125" s="119"/>
      <c r="G125" s="120"/>
      <c r="H125" s="117"/>
      <c r="I125" s="97"/>
      <c r="J125" s="10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97"/>
      <c r="Z125" s="97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97"/>
      <c r="B126" s="97"/>
      <c r="C126" s="6"/>
      <c r="D126" s="97"/>
      <c r="E126" s="294"/>
      <c r="F126" s="295"/>
      <c r="G126" s="296"/>
      <c r="H126" s="297"/>
      <c r="I126" s="97"/>
      <c r="J126" s="10"/>
      <c r="K126" s="97"/>
      <c r="L126" s="297"/>
      <c r="M126" s="297"/>
      <c r="N126" s="297"/>
      <c r="O126" s="297"/>
      <c r="P126" s="297"/>
      <c r="Q126" s="297"/>
      <c r="R126" s="297"/>
      <c r="S126" s="97"/>
      <c r="T126" s="297"/>
      <c r="U126" s="97"/>
      <c r="V126" s="97"/>
      <c r="W126" s="97"/>
      <c r="X126" s="97"/>
      <c r="Y126" s="97"/>
      <c r="Z126" s="97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125" t="s">
        <v>124</v>
      </c>
      <c r="C127" s="6"/>
      <c r="D127" s="117" t="s">
        <v>125</v>
      </c>
      <c r="H127" s="117"/>
      <c r="I127" s="117"/>
      <c r="J127" s="10"/>
      <c r="K127" s="117" t="s">
        <v>126</v>
      </c>
      <c r="Q127" s="6"/>
      <c r="R127" s="6"/>
      <c r="S127" s="117" t="s">
        <v>127</v>
      </c>
      <c r="W127" s="6"/>
      <c r="X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0" customHeight="1">
      <c r="A128" s="127" t="s">
        <v>128</v>
      </c>
      <c r="C128" s="6"/>
      <c r="D128" s="128" t="s">
        <v>129</v>
      </c>
      <c r="J128" s="10"/>
      <c r="K128" s="130" t="s">
        <v>130</v>
      </c>
      <c r="Q128" s="6"/>
      <c r="R128" s="6"/>
      <c r="S128" s="128" t="s">
        <v>131</v>
      </c>
      <c r="W128" s="6"/>
      <c r="X128" s="6"/>
      <c r="Y128" s="97"/>
      <c r="Z128" s="97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/>
      <c r="B129" s="6"/>
      <c r="C129" s="6"/>
      <c r="D129" s="6"/>
      <c r="E129" s="7"/>
      <c r="F129" s="8"/>
      <c r="G129" s="9"/>
      <c r="H129" s="6"/>
      <c r="I129" s="6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 t="s">
        <v>132</v>
      </c>
      <c r="B130" s="6"/>
      <c r="C130" s="6"/>
      <c r="D130" s="6" t="s">
        <v>132</v>
      </c>
      <c r="E130" s="7"/>
      <c r="F130" s="8"/>
      <c r="G130" s="9"/>
      <c r="H130" s="6"/>
      <c r="I130" s="6"/>
      <c r="J130" s="10"/>
      <c r="K130" s="6" t="s">
        <v>132</v>
      </c>
      <c r="L130" s="6"/>
      <c r="M130" s="6"/>
      <c r="N130" s="6"/>
      <c r="O130" s="6"/>
      <c r="P130" s="6"/>
      <c r="Q130" s="6"/>
      <c r="R130" s="6"/>
      <c r="S130" s="6" t="s">
        <v>132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298"/>
      <c r="E131" s="299"/>
      <c r="F131" s="300"/>
      <c r="G131" s="6"/>
      <c r="H131" s="6"/>
      <c r="I131" s="6"/>
      <c r="J131" s="13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298"/>
      <c r="E132" s="299"/>
      <c r="F132" s="300"/>
      <c r="G132" s="6"/>
      <c r="H132" s="6"/>
      <c r="I132" s="6"/>
      <c r="J132" s="135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298"/>
      <c r="E133" s="299"/>
      <c r="F133" s="300"/>
      <c r="G133" s="6"/>
      <c r="H133" s="6"/>
      <c r="I133" s="6"/>
      <c r="J133" s="301"/>
      <c r="K133" s="302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298"/>
      <c r="E134" s="299"/>
      <c r="F134" s="300"/>
      <c r="G134" s="6"/>
      <c r="H134" s="6"/>
      <c r="I134" s="6"/>
      <c r="J134" s="134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298"/>
      <c r="E135" s="299"/>
      <c r="F135" s="300"/>
      <c r="G135" s="6"/>
      <c r="H135" s="6"/>
      <c r="I135" s="6"/>
      <c r="J135" s="140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298"/>
      <c r="E136" s="299"/>
      <c r="F136" s="300"/>
      <c r="G136" s="6"/>
      <c r="H136" s="6"/>
      <c r="I136" s="6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298"/>
      <c r="E137" s="299"/>
      <c r="F137" s="300"/>
      <c r="G137" s="6"/>
      <c r="H137" s="6"/>
      <c r="I137" s="6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298"/>
      <c r="E138" s="299"/>
      <c r="F138" s="300"/>
      <c r="G138" s="6"/>
      <c r="H138" s="6"/>
      <c r="I138" s="6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298"/>
      <c r="E139" s="299"/>
      <c r="F139" s="300"/>
      <c r="G139" s="6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298"/>
      <c r="E140" s="299"/>
      <c r="F140" s="300"/>
      <c r="G140" s="6"/>
      <c r="H140" s="6"/>
      <c r="I140" s="6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298"/>
      <c r="E330" s="299"/>
      <c r="F330" s="300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7"/>
      <c r="E331" s="10"/>
      <c r="F331" s="6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7"/>
      <c r="E332" s="10"/>
      <c r="F332" s="6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7"/>
      <c r="E333" s="10"/>
      <c r="F333" s="6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7"/>
      <c r="E334" s="10"/>
      <c r="F334" s="6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7"/>
      <c r="E335" s="10"/>
      <c r="F335" s="6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7"/>
      <c r="E336" s="10"/>
      <c r="F336" s="6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7"/>
      <c r="E337" s="10"/>
      <c r="F337" s="6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7"/>
      <c r="E338" s="10"/>
      <c r="F338" s="6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7"/>
      <c r="E339" s="10"/>
      <c r="F339" s="6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7"/>
      <c r="E340" s="10"/>
      <c r="F340" s="6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6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6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6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6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6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6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6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6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6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6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6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6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6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6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6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6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6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6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6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6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6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6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6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6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6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6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6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6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6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6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6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6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6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6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6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6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6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6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6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6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6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6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  <row r="1036" ht="15.75" customHeight="1">
      <c r="A1036" s="6"/>
      <c r="B1036" s="6"/>
      <c r="C1036" s="6"/>
      <c r="D1036" s="7"/>
      <c r="E1036" s="10"/>
      <c r="F1036" s="6"/>
      <c r="G1036" s="6"/>
      <c r="H1036" s="6"/>
      <c r="I1036" s="6"/>
      <c r="J1036" s="10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</row>
  </sheetData>
  <mergeCells count="87">
    <mergeCell ref="S107:S108"/>
    <mergeCell ref="T107:T108"/>
    <mergeCell ref="U107:U108"/>
    <mergeCell ref="V107:V108"/>
    <mergeCell ref="W107:W108"/>
    <mergeCell ref="X107:X108"/>
    <mergeCell ref="Y107:Y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AE107:AE108"/>
    <mergeCell ref="AF107:AF108"/>
    <mergeCell ref="B115:K115"/>
    <mergeCell ref="C117:G117"/>
    <mergeCell ref="C118:G118"/>
    <mergeCell ref="J118:K118"/>
    <mergeCell ref="L118:V118"/>
    <mergeCell ref="C119:G119"/>
    <mergeCell ref="C120:G120"/>
    <mergeCell ref="L119:V119"/>
    <mergeCell ref="L120:V120"/>
    <mergeCell ref="L121:V121"/>
    <mergeCell ref="D124:G124"/>
    <mergeCell ref="K124:P124"/>
    <mergeCell ref="S124:V124"/>
    <mergeCell ref="X124:Y124"/>
    <mergeCell ref="S127:V127"/>
    <mergeCell ref="S128:V128"/>
    <mergeCell ref="J131:V131"/>
    <mergeCell ref="J134:V134"/>
    <mergeCell ref="J135:V135"/>
    <mergeCell ref="A127:B127"/>
    <mergeCell ref="D127:G127"/>
    <mergeCell ref="K127:P127"/>
    <mergeCell ref="X127:Z127"/>
    <mergeCell ref="A128:B128"/>
    <mergeCell ref="D128:I128"/>
    <mergeCell ref="K128:P128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5:H25"/>
    <mergeCell ref="I15:I22"/>
    <mergeCell ref="I23:I25"/>
    <mergeCell ref="H28:H29"/>
    <mergeCell ref="I28:I29"/>
    <mergeCell ref="H31:H34"/>
    <mergeCell ref="I31:I34"/>
    <mergeCell ref="H35:H41"/>
    <mergeCell ref="I35:I41"/>
    <mergeCell ref="H43:H49"/>
    <mergeCell ref="I43:I49"/>
    <mergeCell ref="I51:I52"/>
    <mergeCell ref="H51:H52"/>
    <mergeCell ref="H53:H55"/>
    <mergeCell ref="I53:I55"/>
    <mergeCell ref="H56:H62"/>
    <mergeCell ref="I56:I62"/>
    <mergeCell ref="H79:H85"/>
    <mergeCell ref="I79:I85"/>
    <mergeCell ref="L107:L108"/>
    <mergeCell ref="M107:M108"/>
    <mergeCell ref="N107:N108"/>
    <mergeCell ref="O107:O108"/>
    <mergeCell ref="P107:P108"/>
    <mergeCell ref="Q107:Q108"/>
    <mergeCell ref="R107:R108"/>
    <mergeCell ref="L101:L102"/>
    <mergeCell ref="M101:M102"/>
    <mergeCell ref="G107:G108"/>
    <mergeCell ref="H107:H108"/>
    <mergeCell ref="I107:I108"/>
    <mergeCell ref="J107:J108"/>
    <mergeCell ref="K107:K108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5.38"/>
    <col customWidth="1" min="9" max="9" width="12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0" t="s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11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160" t="s">
        <v>3</v>
      </c>
      <c r="B6" s="161"/>
      <c r="C6" s="161"/>
      <c r="D6" s="162"/>
      <c r="E6" s="163"/>
      <c r="F6" s="163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5" t="s">
        <v>4</v>
      </c>
      <c r="B7" s="161"/>
      <c r="C7" s="161"/>
      <c r="D7" s="162"/>
      <c r="E7" s="163"/>
      <c r="F7" s="163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115"/>
      <c r="Z8" s="115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32" t="s">
        <v>15</v>
      </c>
      <c r="K9" s="32" t="s">
        <v>16</v>
      </c>
      <c r="L9" s="32" t="s">
        <v>17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166"/>
      <c r="Z9" s="115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168"/>
      <c r="D10" s="169"/>
      <c r="E10" s="170"/>
      <c r="F10" s="171"/>
      <c r="G10" s="168"/>
      <c r="H10" s="168"/>
      <c r="I10" s="168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115"/>
      <c r="Z10" s="115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74" t="s">
        <v>30</v>
      </c>
      <c r="C11" s="175" t="s">
        <v>31</v>
      </c>
      <c r="D11" s="46">
        <v>40.0</v>
      </c>
      <c r="E11" s="47" t="str">
        <f>IFERROR(__xludf.DUMMYFUNCTION("REGEXEXTRACT(C11,""[A-Za-z]+"")"),"pcs")</f>
        <v>pcs</v>
      </c>
      <c r="F11" s="48">
        <v>800.0</v>
      </c>
      <c r="G11" s="176">
        <f t="shared" ref="G11:G25" si="1">F11*D11</f>
        <v>32000</v>
      </c>
      <c r="H11" s="175" t="s">
        <v>141</v>
      </c>
      <c r="I11" s="177" t="s">
        <v>142</v>
      </c>
      <c r="J11" s="178">
        <v>40.0</v>
      </c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15"/>
      <c r="Z11" s="115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179" t="s">
        <v>33</v>
      </c>
      <c r="C12" s="52" t="s">
        <v>34</v>
      </c>
      <c r="D12" s="46">
        <v>1.0</v>
      </c>
      <c r="E12" s="47" t="str">
        <f>IFERROR(__xludf.DUMMYFUNCTION("REGEXEXTRACT(C12,""[A-Za-z]+"")"),"lot")</f>
        <v>lot</v>
      </c>
      <c r="F12" s="48">
        <v>33000.0</v>
      </c>
      <c r="G12" s="176">
        <f t="shared" si="1"/>
        <v>33000</v>
      </c>
      <c r="H12" s="175" t="s">
        <v>141</v>
      </c>
      <c r="I12" s="177"/>
      <c r="J12" s="180">
        <v>1.0</v>
      </c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15"/>
      <c r="Z12" s="115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179" t="s">
        <v>35</v>
      </c>
      <c r="C13" s="54" t="s">
        <v>36</v>
      </c>
      <c r="D13" s="46">
        <v>10.0</v>
      </c>
      <c r="E13" s="47" t="str">
        <f>IFERROR(__xludf.DUMMYFUNCTION("REGEXEXTRACT(C13,""[A-Za-z]+"")"),"lots")</f>
        <v>lots</v>
      </c>
      <c r="F13" s="48">
        <v>3000.0</v>
      </c>
      <c r="G13" s="176">
        <f t="shared" si="1"/>
        <v>30000</v>
      </c>
      <c r="H13" s="175" t="s">
        <v>141</v>
      </c>
      <c r="I13" s="177"/>
      <c r="J13" s="181">
        <v>10.0</v>
      </c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15"/>
      <c r="Z13" s="115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179" t="s">
        <v>37</v>
      </c>
      <c r="C14" s="54" t="s">
        <v>38</v>
      </c>
      <c r="D14" s="46">
        <v>200.0</v>
      </c>
      <c r="E14" s="47" t="str">
        <f>IFERROR(__xludf.DUMMYFUNCTION("REGEXEXTRACT(C14,""[A-Za-z]+"")"),"lots")</f>
        <v>lots</v>
      </c>
      <c r="F14" s="48">
        <v>150.0</v>
      </c>
      <c r="G14" s="176">
        <f t="shared" si="1"/>
        <v>30000</v>
      </c>
      <c r="H14" s="175" t="s">
        <v>141</v>
      </c>
      <c r="I14" s="177"/>
      <c r="J14" s="182">
        <v>200.0</v>
      </c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15"/>
      <c r="Z14" s="115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179" t="s">
        <v>39</v>
      </c>
      <c r="C15" s="54" t="s">
        <v>40</v>
      </c>
      <c r="D15" s="46">
        <v>3.0</v>
      </c>
      <c r="E15" s="47" t="str">
        <f>IFERROR(__xludf.DUMMYFUNCTION("REGEXEXTRACT(C15,""[A-Za-z]+"")"),"samples")</f>
        <v>samples</v>
      </c>
      <c r="F15" s="48">
        <v>800.0</v>
      </c>
      <c r="G15" s="176">
        <f t="shared" si="1"/>
        <v>2400</v>
      </c>
      <c r="H15" s="54" t="s">
        <v>41</v>
      </c>
      <c r="I15" s="183" t="s">
        <v>143</v>
      </c>
      <c r="J15" s="184">
        <v>3.0</v>
      </c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15"/>
      <c r="Z15" s="115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179" t="s">
        <v>42</v>
      </c>
      <c r="C16" s="54" t="s">
        <v>40</v>
      </c>
      <c r="D16" s="46">
        <v>3.0</v>
      </c>
      <c r="E16" s="47" t="str">
        <f>IFERROR(__xludf.DUMMYFUNCTION("REGEXEXTRACT(C16,""[A-Za-z]+"")"),"samples")</f>
        <v>samples</v>
      </c>
      <c r="F16" s="48">
        <v>700.0</v>
      </c>
      <c r="G16" s="176">
        <f t="shared" si="1"/>
        <v>2100</v>
      </c>
      <c r="H16" s="185"/>
      <c r="I16" s="185"/>
      <c r="J16" s="184">
        <v>3.0</v>
      </c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15"/>
      <c r="Z16" s="115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179" t="s">
        <v>43</v>
      </c>
      <c r="C17" s="54" t="s">
        <v>40</v>
      </c>
      <c r="D17" s="46">
        <v>3.0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3300</v>
      </c>
      <c r="H17" s="185"/>
      <c r="I17" s="185"/>
      <c r="J17" s="184">
        <v>3.0</v>
      </c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15"/>
      <c r="Z17" s="115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179" t="s">
        <v>44</v>
      </c>
      <c r="C18" s="54" t="s">
        <v>40</v>
      </c>
      <c r="D18" s="46">
        <v>3.0</v>
      </c>
      <c r="E18" s="47" t="str">
        <f>IFERROR(__xludf.DUMMYFUNCTION("REGEXEXTRACT(C18,""[A-Za-z]+"")"),"samples")</f>
        <v>samples</v>
      </c>
      <c r="F18" s="48">
        <v>1100.0</v>
      </c>
      <c r="G18" s="176">
        <f t="shared" si="1"/>
        <v>3300</v>
      </c>
      <c r="H18" s="185"/>
      <c r="I18" s="185"/>
      <c r="J18" s="184">
        <v>3.0</v>
      </c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15"/>
      <c r="Z18" s="115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179" t="s">
        <v>45</v>
      </c>
      <c r="C19" s="54" t="s">
        <v>40</v>
      </c>
      <c r="D19" s="46">
        <v>3.0</v>
      </c>
      <c r="E19" s="47" t="str">
        <f>IFERROR(__xludf.DUMMYFUNCTION("REGEXEXTRACT(C19,""[A-Za-z]+"")"),"samples")</f>
        <v>samples</v>
      </c>
      <c r="F19" s="48">
        <v>700.0</v>
      </c>
      <c r="G19" s="176">
        <f t="shared" si="1"/>
        <v>2100</v>
      </c>
      <c r="H19" s="185"/>
      <c r="I19" s="185"/>
      <c r="J19" s="184">
        <v>3.0</v>
      </c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15"/>
      <c r="Z19" s="115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179" t="s">
        <v>46</v>
      </c>
      <c r="C20" s="54" t="s">
        <v>40</v>
      </c>
      <c r="D20" s="46">
        <v>3.0</v>
      </c>
      <c r="E20" s="47" t="str">
        <f>IFERROR(__xludf.DUMMYFUNCTION("REGEXEXTRACT(C20,""[A-Za-z]+"")"),"samples")</f>
        <v>samples</v>
      </c>
      <c r="F20" s="48">
        <v>400.0</v>
      </c>
      <c r="G20" s="176">
        <f t="shared" si="1"/>
        <v>1200</v>
      </c>
      <c r="H20" s="185"/>
      <c r="I20" s="185"/>
      <c r="J20" s="184">
        <v>3.0</v>
      </c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15"/>
      <c r="Z20" s="115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179" t="s">
        <v>47</v>
      </c>
      <c r="C21" s="54" t="s">
        <v>40</v>
      </c>
      <c r="D21" s="46">
        <v>3.0</v>
      </c>
      <c r="E21" s="47" t="str">
        <f>IFERROR(__xludf.DUMMYFUNCTION("REGEXEXTRACT(C21,""[A-Za-z]+"")"),"samples")</f>
        <v>samples</v>
      </c>
      <c r="F21" s="48">
        <v>700.0</v>
      </c>
      <c r="G21" s="176">
        <f t="shared" si="1"/>
        <v>2100</v>
      </c>
      <c r="H21" s="185"/>
      <c r="I21" s="185"/>
      <c r="J21" s="184">
        <v>3.0</v>
      </c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15"/>
      <c r="Z21" s="115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179" t="s">
        <v>144</v>
      </c>
      <c r="C22" s="56"/>
      <c r="D22" s="46">
        <v>3.0</v>
      </c>
      <c r="E22" s="47" t="s">
        <v>145</v>
      </c>
      <c r="F22" s="48">
        <v>600.0</v>
      </c>
      <c r="G22" s="176">
        <f t="shared" si="1"/>
        <v>1800</v>
      </c>
      <c r="H22" s="185"/>
      <c r="I22" s="186"/>
      <c r="J22" s="54"/>
      <c r="K22" s="187"/>
      <c r="L22" s="188"/>
      <c r="M22" s="188"/>
      <c r="N22" s="188"/>
      <c r="O22" s="188"/>
      <c r="P22" s="188"/>
      <c r="Q22" s="188"/>
      <c r="R22" s="188"/>
      <c r="S22" s="188"/>
      <c r="T22" s="188"/>
      <c r="U22" s="177"/>
      <c r="V22" s="177"/>
      <c r="W22" s="177"/>
      <c r="X22" s="189"/>
      <c r="Y22" s="115"/>
      <c r="Z22" s="115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179" t="s">
        <v>48</v>
      </c>
      <c r="C23" s="56" t="s">
        <v>49</v>
      </c>
      <c r="D23" s="46">
        <v>6.0</v>
      </c>
      <c r="E23" s="47" t="str">
        <f>IFERROR(__xludf.DUMMYFUNCTION("REGEXEXTRACT(C23,""[A-Za-z]+"")"),"samples")</f>
        <v>samples</v>
      </c>
      <c r="F23" s="176">
        <v>8000.0</v>
      </c>
      <c r="G23" s="176">
        <f t="shared" si="1"/>
        <v>48000</v>
      </c>
      <c r="H23" s="185"/>
      <c r="I23" s="183" t="s">
        <v>146</v>
      </c>
      <c r="J23" s="54"/>
      <c r="K23" s="187">
        <v>25.0</v>
      </c>
      <c r="L23" s="188"/>
      <c r="M23" s="188"/>
      <c r="N23" s="188"/>
      <c r="O23" s="188"/>
      <c r="P23" s="188"/>
      <c r="Q23" s="188"/>
      <c r="R23" s="188"/>
      <c r="S23" s="188"/>
      <c r="T23" s="188"/>
      <c r="U23" s="177"/>
      <c r="V23" s="177"/>
      <c r="W23" s="177"/>
      <c r="X23" s="189"/>
      <c r="Y23" s="115"/>
      <c r="Z23" s="115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179" t="s">
        <v>50</v>
      </c>
      <c r="C24" s="56" t="s">
        <v>49</v>
      </c>
      <c r="D24" s="46">
        <v>6.0</v>
      </c>
      <c r="E24" s="47" t="str">
        <f>IFERROR(__xludf.DUMMYFUNCTION("REGEXEXTRACT(C24,""[A-Za-z]+"")"),"samples")</f>
        <v>samples</v>
      </c>
      <c r="F24" s="176">
        <v>3500.0</v>
      </c>
      <c r="G24" s="176">
        <f t="shared" si="1"/>
        <v>21000</v>
      </c>
      <c r="H24" s="185"/>
      <c r="I24" s="185"/>
      <c r="J24" s="54"/>
      <c r="K24" s="187">
        <v>25.0</v>
      </c>
      <c r="L24" s="188"/>
      <c r="M24" s="188"/>
      <c r="N24" s="188"/>
      <c r="O24" s="188"/>
      <c r="P24" s="188"/>
      <c r="Q24" s="188"/>
      <c r="R24" s="188"/>
      <c r="S24" s="188"/>
      <c r="T24" s="188"/>
      <c r="U24" s="177"/>
      <c r="V24" s="177"/>
      <c r="W24" s="177"/>
      <c r="X24" s="189"/>
      <c r="Y24" s="115"/>
      <c r="Z24" s="115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179" t="s">
        <v>51</v>
      </c>
      <c r="C25" s="56" t="s">
        <v>49</v>
      </c>
      <c r="D25" s="46">
        <v>6.0</v>
      </c>
      <c r="E25" s="47" t="str">
        <f>IFERROR(__xludf.DUMMYFUNCTION("REGEXEXTRACT(C25,""[A-Za-z]+"")"),"samples")</f>
        <v>samples</v>
      </c>
      <c r="F25" s="176">
        <v>3000.0</v>
      </c>
      <c r="G25" s="176">
        <f t="shared" si="1"/>
        <v>18000</v>
      </c>
      <c r="H25" s="186"/>
      <c r="I25" s="186"/>
      <c r="J25" s="54"/>
      <c r="K25" s="187">
        <v>25.0</v>
      </c>
      <c r="L25" s="188"/>
      <c r="M25" s="188"/>
      <c r="N25" s="188"/>
      <c r="O25" s="188"/>
      <c r="P25" s="188"/>
      <c r="Q25" s="188"/>
      <c r="R25" s="188"/>
      <c r="S25" s="188"/>
      <c r="T25" s="188"/>
      <c r="U25" s="177"/>
      <c r="V25" s="177"/>
      <c r="W25" s="177"/>
      <c r="X25" s="189"/>
      <c r="Y25" s="115"/>
      <c r="Z25" s="115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167" t="s">
        <v>52</v>
      </c>
      <c r="C26" s="168"/>
      <c r="D26" s="170"/>
      <c r="E26" s="170"/>
      <c r="F26" s="171"/>
      <c r="G26" s="168"/>
      <c r="H26" s="168"/>
      <c r="I26" s="168"/>
      <c r="J26" s="172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90"/>
      <c r="V26" s="190"/>
      <c r="W26" s="190"/>
      <c r="X26" s="174"/>
      <c r="Y26" s="115"/>
      <c r="Z26" s="115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191" t="s">
        <v>136</v>
      </c>
      <c r="C27" s="54"/>
      <c r="D27" s="46">
        <v>2.0</v>
      </c>
      <c r="E27" s="55" t="s">
        <v>137</v>
      </c>
      <c r="F27" s="55">
        <v>20000.0</v>
      </c>
      <c r="G27" s="55">
        <f t="shared" ref="G27:G41" si="2">F27*D27</f>
        <v>40000</v>
      </c>
      <c r="H27" s="175" t="s">
        <v>141</v>
      </c>
      <c r="I27" s="192" t="s">
        <v>146</v>
      </c>
      <c r="J27" s="193">
        <v>2.0</v>
      </c>
      <c r="K27" s="54"/>
      <c r="L27" s="54"/>
      <c r="M27" s="188"/>
      <c r="N27" s="188"/>
      <c r="O27" s="188"/>
      <c r="P27" s="188"/>
      <c r="Q27" s="188"/>
      <c r="R27" s="188"/>
      <c r="S27" s="188"/>
      <c r="T27" s="188"/>
      <c r="U27" s="177"/>
      <c r="V27" s="177"/>
      <c r="W27" s="177"/>
      <c r="X27" s="189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s="35"/>
      <c r="B28" s="191" t="s">
        <v>53</v>
      </c>
      <c r="C28" s="54" t="s">
        <v>54</v>
      </c>
      <c r="D28" s="46">
        <v>15.0</v>
      </c>
      <c r="E28" s="55" t="str">
        <f>IFERROR(__xludf.DUMMYFUNCTION("REGEXEXTRACT(C28,""[A-Za-z]+"")")," btls ")</f>
        <v>btls</v>
      </c>
      <c r="F28" s="55">
        <v>3000.0</v>
      </c>
      <c r="G28" s="55">
        <f t="shared" si="2"/>
        <v>45000</v>
      </c>
      <c r="H28" s="54" t="s">
        <v>147</v>
      </c>
      <c r="I28" s="194" t="s">
        <v>146</v>
      </c>
      <c r="J28" s="175"/>
      <c r="K28" s="181">
        <v>15.0</v>
      </c>
      <c r="L28" s="175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15"/>
      <c r="Z28" s="115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191" t="s">
        <v>56</v>
      </c>
      <c r="C29" s="54" t="s">
        <v>54</v>
      </c>
      <c r="D29" s="46">
        <v>15.0</v>
      </c>
      <c r="E29" s="55" t="str">
        <f>IFERROR(__xludf.DUMMYFUNCTION("REGEXEXTRACT(C29,""[A-Za-z]+"")")," btls ")</f>
        <v>btls</v>
      </c>
      <c r="F29" s="55">
        <v>2000.0</v>
      </c>
      <c r="G29" s="55">
        <f t="shared" si="2"/>
        <v>30000</v>
      </c>
      <c r="H29" s="185"/>
      <c r="I29" s="186"/>
      <c r="J29" s="175"/>
      <c r="K29" s="181">
        <v>15.0</v>
      </c>
      <c r="L29" s="175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15"/>
      <c r="Z29" s="115"/>
      <c r="AA29" s="6"/>
      <c r="AB29" s="6"/>
      <c r="AC29" s="6"/>
      <c r="AD29" s="6"/>
      <c r="AE29" s="6"/>
      <c r="AF29" s="6"/>
      <c r="AG29" s="6"/>
      <c r="AH29" s="6"/>
      <c r="AI29" s="6"/>
    </row>
    <row r="30">
      <c r="A30" s="35"/>
      <c r="B30" s="191" t="s">
        <v>57</v>
      </c>
      <c r="C30" s="54" t="s">
        <v>58</v>
      </c>
      <c r="D30" s="46">
        <v>10.0</v>
      </c>
      <c r="E30" s="55" t="str">
        <f>IFERROR(__xludf.DUMMYFUNCTION("REGEXEXTRACT(C30,""[A-Za-z]+"")")," btls ")</f>
        <v>btls</v>
      </c>
      <c r="F30" s="55">
        <v>4999.0</v>
      </c>
      <c r="G30" s="55">
        <f t="shared" si="2"/>
        <v>49990</v>
      </c>
      <c r="H30" s="54" t="s">
        <v>147</v>
      </c>
      <c r="I30" s="65" t="s">
        <v>146</v>
      </c>
      <c r="J30" s="175"/>
      <c r="K30" s="181">
        <v>10.0</v>
      </c>
      <c r="L30" s="175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15"/>
      <c r="Z30" s="115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191" t="s">
        <v>78</v>
      </c>
      <c r="C31" s="54" t="s">
        <v>79</v>
      </c>
      <c r="D31" s="46">
        <v>10.0</v>
      </c>
      <c r="E31" s="47" t="str">
        <f>IFERROR(__xludf.DUMMYFUNCTION("REGEXEXTRACT(C31,""[A-Za-z]+"")"),"boxes")</f>
        <v>boxes</v>
      </c>
      <c r="F31" s="48">
        <v>300.0</v>
      </c>
      <c r="G31" s="55">
        <f t="shared" si="2"/>
        <v>3000</v>
      </c>
      <c r="H31" s="54" t="s">
        <v>141</v>
      </c>
      <c r="I31" s="194" t="s">
        <v>146</v>
      </c>
      <c r="J31" s="175"/>
      <c r="K31" s="195">
        <v>10.0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15"/>
      <c r="Z31" s="115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191" t="s">
        <v>80</v>
      </c>
      <c r="C32" s="54" t="s">
        <v>79</v>
      </c>
      <c r="D32" s="46">
        <v>10.0</v>
      </c>
      <c r="E32" s="47" t="str">
        <f>IFERROR(__xludf.DUMMYFUNCTION("REGEXEXTRACT(C32,""[A-Za-z]+"")"),"boxes")</f>
        <v>boxes</v>
      </c>
      <c r="F32" s="48">
        <v>300.0</v>
      </c>
      <c r="G32" s="55">
        <f t="shared" si="2"/>
        <v>3000</v>
      </c>
      <c r="H32" s="185"/>
      <c r="I32" s="185"/>
      <c r="J32" s="175"/>
      <c r="K32" s="195">
        <v>10.0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15"/>
      <c r="Z32" s="115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191" t="s">
        <v>81</v>
      </c>
      <c r="C33" s="52" t="s">
        <v>82</v>
      </c>
      <c r="D33" s="46">
        <v>6.0</v>
      </c>
      <c r="E33" s="47" t="str">
        <f>IFERROR(__xludf.DUMMYFUNCTION("REGEXEXTRACT(C33,""[A-Za-z]+"")"),"pcs")</f>
        <v>pcs</v>
      </c>
      <c r="F33" s="48">
        <v>500.0</v>
      </c>
      <c r="G33" s="55">
        <f t="shared" si="2"/>
        <v>3000</v>
      </c>
      <c r="H33" s="185"/>
      <c r="I33" s="185"/>
      <c r="J33" s="175"/>
      <c r="K33" s="195">
        <v>2.0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15"/>
      <c r="Z33" s="115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191" t="s">
        <v>83</v>
      </c>
      <c r="C34" s="52" t="s">
        <v>82</v>
      </c>
      <c r="D34" s="46">
        <v>6.0</v>
      </c>
      <c r="E34" s="47" t="str">
        <f>IFERROR(__xludf.DUMMYFUNCTION("REGEXEXTRACT(C34,""[A-Za-z]+"")"),"pcs")</f>
        <v>pcs</v>
      </c>
      <c r="F34" s="48">
        <v>500.0</v>
      </c>
      <c r="G34" s="55">
        <f t="shared" si="2"/>
        <v>3000</v>
      </c>
      <c r="H34" s="186"/>
      <c r="I34" s="186"/>
      <c r="J34" s="175"/>
      <c r="K34" s="195">
        <v>2.0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15"/>
      <c r="Z34" s="115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73"/>
      <c r="B35" s="191" t="s">
        <v>105</v>
      </c>
      <c r="C35" s="72" t="s">
        <v>61</v>
      </c>
      <c r="D35" s="46">
        <v>20.0</v>
      </c>
      <c r="E35" s="47" t="str">
        <f>IFERROR(__xludf.DUMMYFUNCTION("REGEXEXTRACT(C35,""[A-Za-z]+"")"),"pcs")</f>
        <v>pcs</v>
      </c>
      <c r="F35" s="176">
        <v>1300.0</v>
      </c>
      <c r="G35" s="55">
        <f t="shared" si="2"/>
        <v>26000</v>
      </c>
      <c r="H35" s="54" t="s">
        <v>147</v>
      </c>
      <c r="I35" s="194" t="s">
        <v>146</v>
      </c>
      <c r="J35" s="175"/>
      <c r="K35" s="184">
        <v>20.0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15"/>
      <c r="Z35" s="115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73"/>
      <c r="B36" s="191" t="s">
        <v>106</v>
      </c>
      <c r="C36" s="72" t="s">
        <v>107</v>
      </c>
      <c r="D36" s="46">
        <v>15.0</v>
      </c>
      <c r="E36" s="47" t="str">
        <f>IFERROR(__xludf.DUMMYFUNCTION("REGEXEXTRACT(C36,""[A-Za-z]+"")"),"pcs")</f>
        <v>pcs</v>
      </c>
      <c r="F36" s="176">
        <v>800.0</v>
      </c>
      <c r="G36" s="55">
        <f t="shared" si="2"/>
        <v>12000</v>
      </c>
      <c r="H36" s="185"/>
      <c r="I36" s="185"/>
      <c r="J36" s="175"/>
      <c r="K36" s="184">
        <v>15.0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15"/>
      <c r="Z36" s="115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73"/>
      <c r="B37" s="191" t="s">
        <v>108</v>
      </c>
      <c r="C37" s="72" t="s">
        <v>107</v>
      </c>
      <c r="D37" s="46">
        <v>15.0</v>
      </c>
      <c r="E37" s="47" t="str">
        <f>IFERROR(__xludf.DUMMYFUNCTION("REGEXEXTRACT(C37,""[A-Za-z]+"")"),"pcs")</f>
        <v>pcs</v>
      </c>
      <c r="F37" s="176">
        <v>250.0</v>
      </c>
      <c r="G37" s="55">
        <f t="shared" si="2"/>
        <v>3750</v>
      </c>
      <c r="H37" s="185"/>
      <c r="I37" s="185"/>
      <c r="J37" s="175"/>
      <c r="K37" s="184">
        <v>15.0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15"/>
      <c r="Z37" s="115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73"/>
      <c r="B38" s="191" t="s">
        <v>133</v>
      </c>
      <c r="C38" s="72"/>
      <c r="D38" s="46">
        <v>10.0</v>
      </c>
      <c r="E38" s="55" t="s">
        <v>110</v>
      </c>
      <c r="F38" s="176">
        <v>2400.0</v>
      </c>
      <c r="G38" s="55">
        <f t="shared" si="2"/>
        <v>24000</v>
      </c>
      <c r="H38" s="185"/>
      <c r="I38" s="185"/>
      <c r="J38" s="175"/>
      <c r="K38" s="184">
        <v>10.0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15"/>
      <c r="Z38" s="115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79"/>
      <c r="B39" s="191" t="s">
        <v>134</v>
      </c>
      <c r="C39" s="56"/>
      <c r="D39" s="46">
        <v>10.0</v>
      </c>
      <c r="E39" s="55" t="s">
        <v>110</v>
      </c>
      <c r="F39" s="176">
        <v>2000.0</v>
      </c>
      <c r="G39" s="55">
        <f t="shared" si="2"/>
        <v>20000</v>
      </c>
      <c r="H39" s="185"/>
      <c r="I39" s="185"/>
      <c r="J39" s="175"/>
      <c r="K39" s="184">
        <v>10.0</v>
      </c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7"/>
      <c r="Z39" s="197"/>
      <c r="AA39" s="198"/>
      <c r="AB39" s="198"/>
      <c r="AC39" s="198"/>
      <c r="AD39" s="198"/>
      <c r="AE39" s="198"/>
      <c r="AF39" s="198"/>
      <c r="AG39" s="198"/>
      <c r="AH39" s="198"/>
      <c r="AI39" s="198"/>
    </row>
    <row r="40" ht="15.75" customHeight="1">
      <c r="A40" s="79"/>
      <c r="B40" s="191" t="s">
        <v>135</v>
      </c>
      <c r="C40" s="56"/>
      <c r="D40" s="46">
        <v>10.0</v>
      </c>
      <c r="E40" s="55" t="s">
        <v>110</v>
      </c>
      <c r="F40" s="176">
        <v>1000.0</v>
      </c>
      <c r="G40" s="55">
        <f t="shared" si="2"/>
        <v>10000</v>
      </c>
      <c r="H40" s="185"/>
      <c r="I40" s="185"/>
      <c r="J40" s="175"/>
      <c r="K40" s="184">
        <v>10.0</v>
      </c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7"/>
      <c r="Z40" s="197"/>
      <c r="AA40" s="198"/>
      <c r="AB40" s="198"/>
      <c r="AC40" s="198"/>
      <c r="AD40" s="198"/>
      <c r="AE40" s="198"/>
      <c r="AF40" s="198"/>
      <c r="AG40" s="198"/>
      <c r="AH40" s="198"/>
      <c r="AI40" s="198"/>
    </row>
    <row r="41" ht="15.75" customHeight="1">
      <c r="A41" s="73"/>
      <c r="B41" s="74" t="s">
        <v>103</v>
      </c>
      <c r="C41" s="72" t="s">
        <v>104</v>
      </c>
      <c r="D41" s="46">
        <v>24.0</v>
      </c>
      <c r="E41" s="55" t="str">
        <f>IFERROR(__xludf.DUMMYFUNCTION("REGEXEXTRACT(C41,""[A-Za-z]+"")")," pcs ")</f>
        <v>pcs</v>
      </c>
      <c r="F41" s="70">
        <v>2500.0</v>
      </c>
      <c r="G41" s="55">
        <f t="shared" si="2"/>
        <v>60000</v>
      </c>
      <c r="H41" s="185"/>
      <c r="I41" s="186"/>
      <c r="J41" s="175"/>
      <c r="K41" s="184">
        <v>24.0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167" t="s">
        <v>59</v>
      </c>
      <c r="C42" s="168"/>
      <c r="D42" s="170"/>
      <c r="E42" s="170"/>
      <c r="F42" s="171"/>
      <c r="G42" s="168"/>
      <c r="H42" s="168"/>
      <c r="I42" s="168"/>
      <c r="J42" s="172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73"/>
      <c r="X42" s="174"/>
      <c r="Y42" s="115"/>
      <c r="Z42" s="115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191" t="s">
        <v>60</v>
      </c>
      <c r="C43" s="54" t="s">
        <v>61</v>
      </c>
      <c r="D43" s="46">
        <v>20.0</v>
      </c>
      <c r="E43" s="47" t="str">
        <f>IFERROR(__xludf.DUMMYFUNCTION("REGEXEXTRACT(C43,""[A-Za-z]+"")"),"pcs")</f>
        <v>pcs</v>
      </c>
      <c r="F43" s="176">
        <v>500.0</v>
      </c>
      <c r="G43" s="55">
        <f t="shared" ref="G43:G85" si="3">F43*D43</f>
        <v>10000</v>
      </c>
      <c r="H43" s="54" t="s">
        <v>141</v>
      </c>
      <c r="I43" s="194" t="s">
        <v>146</v>
      </c>
      <c r="J43" s="199">
        <v>20.0</v>
      </c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77"/>
      <c r="W43" s="177"/>
      <c r="X43" s="177"/>
      <c r="Y43" s="115"/>
      <c r="Z43" s="115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191" t="s">
        <v>62</v>
      </c>
      <c r="C44" s="54" t="s">
        <v>61</v>
      </c>
      <c r="D44" s="46">
        <v>20.0</v>
      </c>
      <c r="E44" s="47" t="str">
        <f>IFERROR(__xludf.DUMMYFUNCTION("REGEXEXTRACT(C44,""[A-Za-z]+"")"),"pcs")</f>
        <v>pcs</v>
      </c>
      <c r="F44" s="176">
        <v>300.0</v>
      </c>
      <c r="G44" s="55">
        <f t="shared" si="3"/>
        <v>6000</v>
      </c>
      <c r="H44" s="185"/>
      <c r="I44" s="185"/>
      <c r="J44" s="199">
        <v>20.0</v>
      </c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77"/>
      <c r="W44" s="177"/>
      <c r="X44" s="177"/>
      <c r="Y44" s="115"/>
      <c r="Z44" s="115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191" t="s">
        <v>63</v>
      </c>
      <c r="C45" s="54" t="s">
        <v>61</v>
      </c>
      <c r="D45" s="46">
        <v>20.0</v>
      </c>
      <c r="E45" s="47" t="str">
        <f>IFERROR(__xludf.DUMMYFUNCTION("REGEXEXTRACT(C45,""[A-Za-z]+"")"),"pcs")</f>
        <v>pcs</v>
      </c>
      <c r="F45" s="176">
        <v>200.0</v>
      </c>
      <c r="G45" s="55">
        <f t="shared" si="3"/>
        <v>4000</v>
      </c>
      <c r="H45" s="185"/>
      <c r="I45" s="185"/>
      <c r="J45" s="199">
        <v>20.0</v>
      </c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77"/>
      <c r="W45" s="177"/>
      <c r="X45" s="177"/>
      <c r="Y45" s="115"/>
      <c r="Z45" s="115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191" t="s">
        <v>64</v>
      </c>
      <c r="C46" s="54" t="s">
        <v>65</v>
      </c>
      <c r="D46" s="46">
        <v>10.0</v>
      </c>
      <c r="E46" s="47" t="str">
        <f>IFERROR(__xludf.DUMMYFUNCTION("REGEXEXTRACT(C46,""[A-Za-z]+"")"),"pcs")</f>
        <v>pcs</v>
      </c>
      <c r="F46" s="176">
        <v>500.0</v>
      </c>
      <c r="G46" s="55">
        <f t="shared" si="3"/>
        <v>5000</v>
      </c>
      <c r="H46" s="185"/>
      <c r="I46" s="185"/>
      <c r="J46" s="199">
        <v>10.0</v>
      </c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77"/>
      <c r="W46" s="177"/>
      <c r="X46" s="177"/>
      <c r="Y46" s="115"/>
      <c r="Z46" s="115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191" t="s">
        <v>66</v>
      </c>
      <c r="C47" s="54" t="s">
        <v>65</v>
      </c>
      <c r="D47" s="46">
        <v>10.0</v>
      </c>
      <c r="E47" s="47" t="str">
        <f>IFERROR(__xludf.DUMMYFUNCTION("REGEXEXTRACT(C47,""[A-Za-z]+"")"),"pcs")</f>
        <v>pcs</v>
      </c>
      <c r="F47" s="176">
        <v>450.0</v>
      </c>
      <c r="G47" s="55">
        <f t="shared" si="3"/>
        <v>4500</v>
      </c>
      <c r="H47" s="185"/>
      <c r="I47" s="185"/>
      <c r="J47" s="199">
        <v>10.0</v>
      </c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77"/>
      <c r="W47" s="177"/>
      <c r="X47" s="177"/>
      <c r="Y47" s="115"/>
      <c r="Z47" s="115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191" t="s">
        <v>67</v>
      </c>
      <c r="C48" s="54" t="s">
        <v>61</v>
      </c>
      <c r="D48" s="46">
        <v>20.0</v>
      </c>
      <c r="E48" s="47" t="str">
        <f>IFERROR(__xludf.DUMMYFUNCTION("REGEXEXTRACT(C48,""[A-Za-z]+"")"),"pcs")</f>
        <v>pcs</v>
      </c>
      <c r="F48" s="176">
        <v>430.0</v>
      </c>
      <c r="G48" s="55">
        <f t="shared" si="3"/>
        <v>8600</v>
      </c>
      <c r="H48" s="185"/>
      <c r="I48" s="185"/>
      <c r="J48" s="199">
        <v>20.0</v>
      </c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77"/>
      <c r="W48" s="177"/>
      <c r="X48" s="177"/>
      <c r="Y48" s="115"/>
      <c r="Z48" s="115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191" t="s">
        <v>68</v>
      </c>
      <c r="C49" s="54" t="s">
        <v>65</v>
      </c>
      <c r="D49" s="46">
        <v>10.0</v>
      </c>
      <c r="E49" s="47" t="str">
        <f>IFERROR(__xludf.DUMMYFUNCTION("REGEXEXTRACT(C49,""[A-Za-z]+"")"),"pcs")</f>
        <v>pcs</v>
      </c>
      <c r="F49" s="176">
        <v>65.0</v>
      </c>
      <c r="G49" s="55">
        <f t="shared" si="3"/>
        <v>650</v>
      </c>
      <c r="H49" s="186"/>
      <c r="I49" s="186"/>
      <c r="J49" s="199">
        <v>10.0</v>
      </c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77"/>
      <c r="W49" s="177"/>
      <c r="X49" s="177"/>
      <c r="Y49" s="115"/>
      <c r="Z49" s="115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191" t="s">
        <v>69</v>
      </c>
      <c r="C50" s="54" t="s">
        <v>70</v>
      </c>
      <c r="D50" s="46">
        <v>30.0</v>
      </c>
      <c r="E50" s="47" t="str">
        <f>IFERROR(__xludf.DUMMYFUNCTION("REGEXEXTRACT(C50,""[A-Za-z]+"")"),"pcs")</f>
        <v>pcs</v>
      </c>
      <c r="F50" s="176">
        <v>150.0</v>
      </c>
      <c r="G50" s="55">
        <f t="shared" si="3"/>
        <v>4500</v>
      </c>
      <c r="H50" s="175" t="s">
        <v>141</v>
      </c>
      <c r="I50" s="188" t="s">
        <v>146</v>
      </c>
      <c r="J50" s="199">
        <v>30.0</v>
      </c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77"/>
      <c r="W50" s="177"/>
      <c r="X50" s="177"/>
      <c r="Y50" s="115"/>
      <c r="Z50" s="115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191" t="s">
        <v>71</v>
      </c>
      <c r="C51" s="54" t="s">
        <v>72</v>
      </c>
      <c r="D51" s="46">
        <v>40.0</v>
      </c>
      <c r="E51" s="47" t="str">
        <f>IFERROR(__xludf.DUMMYFUNCTION("REGEXEXTRACT(C51,""[A-Za-z]+"")"),"pcs")</f>
        <v>pcs</v>
      </c>
      <c r="F51" s="48">
        <v>199.0</v>
      </c>
      <c r="G51" s="55">
        <f t="shared" si="3"/>
        <v>7960</v>
      </c>
      <c r="H51" s="54" t="s">
        <v>148</v>
      </c>
      <c r="I51" s="188" t="s">
        <v>146</v>
      </c>
      <c r="J51" s="200">
        <v>40.0</v>
      </c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15"/>
      <c r="Z51" s="115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191" t="s">
        <v>73</v>
      </c>
      <c r="C52" s="54" t="s">
        <v>72</v>
      </c>
      <c r="D52" s="46">
        <v>40.0</v>
      </c>
      <c r="E52" s="47" t="str">
        <f>IFERROR(__xludf.DUMMYFUNCTION("REGEXEXTRACT(C52,""[A-Za-z]+"")"),"pcs")</f>
        <v>pcs</v>
      </c>
      <c r="F52" s="48">
        <v>199.0</v>
      </c>
      <c r="G52" s="55">
        <f t="shared" si="3"/>
        <v>7960</v>
      </c>
      <c r="H52" s="186"/>
      <c r="I52" s="186"/>
      <c r="J52" s="200">
        <v>40.0</v>
      </c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15"/>
      <c r="Z52" s="115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191" t="s">
        <v>74</v>
      </c>
      <c r="C53" s="52" t="s">
        <v>75</v>
      </c>
      <c r="D53" s="46">
        <v>10.0</v>
      </c>
      <c r="E53" s="47" t="str">
        <f>IFERROR(__xludf.DUMMYFUNCTION("REGEXEXTRACT(C53,""[A-Za-z]+"")"),"packs")</f>
        <v>packs</v>
      </c>
      <c r="F53" s="48">
        <v>2000.0</v>
      </c>
      <c r="G53" s="55">
        <f t="shared" si="3"/>
        <v>20000</v>
      </c>
      <c r="H53" s="78" t="s">
        <v>149</v>
      </c>
      <c r="I53" s="188" t="s">
        <v>146</v>
      </c>
      <c r="J53" s="180">
        <v>2.0</v>
      </c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15"/>
      <c r="Z53" s="115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191" t="s">
        <v>76</v>
      </c>
      <c r="C54" s="52" t="s">
        <v>75</v>
      </c>
      <c r="D54" s="46">
        <v>10.0</v>
      </c>
      <c r="E54" s="47" t="str">
        <f>IFERROR(__xludf.DUMMYFUNCTION("REGEXEXTRACT(C54,""[A-Za-z]+"")"),"packs")</f>
        <v>packs</v>
      </c>
      <c r="F54" s="48">
        <v>2500.0</v>
      </c>
      <c r="G54" s="55">
        <f t="shared" si="3"/>
        <v>25000</v>
      </c>
      <c r="H54" s="185"/>
      <c r="I54" s="185"/>
      <c r="J54" s="180">
        <v>2.0</v>
      </c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15"/>
      <c r="Z54" s="115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35"/>
      <c r="B55" s="191" t="s">
        <v>77</v>
      </c>
      <c r="C55" s="52" t="s">
        <v>75</v>
      </c>
      <c r="D55" s="46">
        <v>10.0</v>
      </c>
      <c r="E55" s="47" t="str">
        <f>IFERROR(__xludf.DUMMYFUNCTION("REGEXEXTRACT(C55,""[A-Za-z]+"")"),"packs")</f>
        <v>packs</v>
      </c>
      <c r="F55" s="48">
        <v>3000.0</v>
      </c>
      <c r="G55" s="55">
        <f t="shared" si="3"/>
        <v>30000</v>
      </c>
      <c r="H55" s="186"/>
      <c r="I55" s="186"/>
      <c r="J55" s="180">
        <v>2.0</v>
      </c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15"/>
      <c r="Z55" s="115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191" t="s">
        <v>84</v>
      </c>
      <c r="C56" s="54" t="s">
        <v>79</v>
      </c>
      <c r="D56" s="46">
        <v>10.0</v>
      </c>
      <c r="E56" s="47" t="str">
        <f>IFERROR(__xludf.DUMMYFUNCTION("REGEXEXTRACT(C56,""[A-Za-z]+"")"),"boxes")</f>
        <v>boxes</v>
      </c>
      <c r="F56" s="48">
        <v>200.0</v>
      </c>
      <c r="G56" s="55">
        <f t="shared" si="3"/>
        <v>2000</v>
      </c>
      <c r="H56" s="54" t="s">
        <v>141</v>
      </c>
      <c r="I56" s="188" t="s">
        <v>150</v>
      </c>
      <c r="J56" s="178">
        <v>10.0</v>
      </c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15"/>
      <c r="Z56" s="115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191" t="s">
        <v>85</v>
      </c>
      <c r="C57" s="54" t="s">
        <v>75</v>
      </c>
      <c r="D57" s="46">
        <v>10.0</v>
      </c>
      <c r="E57" s="47" t="str">
        <f>IFERROR(__xludf.DUMMYFUNCTION("REGEXEXTRACT(C57,""[A-Za-z]+"")"),"packs")</f>
        <v>packs</v>
      </c>
      <c r="F57" s="48">
        <v>200.0</v>
      </c>
      <c r="G57" s="55">
        <f t="shared" si="3"/>
        <v>2000</v>
      </c>
      <c r="H57" s="185"/>
      <c r="I57" s="185"/>
      <c r="J57" s="178">
        <v>10.0</v>
      </c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15"/>
      <c r="Z57" s="115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191" t="s">
        <v>86</v>
      </c>
      <c r="C58" s="54" t="s">
        <v>75</v>
      </c>
      <c r="D58" s="46">
        <v>10.0</v>
      </c>
      <c r="E58" s="47" t="str">
        <f>IFERROR(__xludf.DUMMYFUNCTION("REGEXEXTRACT(C58,""[A-Za-z]+"")"),"packs")</f>
        <v>packs</v>
      </c>
      <c r="F58" s="48">
        <v>200.0</v>
      </c>
      <c r="G58" s="55">
        <f t="shared" si="3"/>
        <v>2000</v>
      </c>
      <c r="H58" s="185"/>
      <c r="I58" s="185"/>
      <c r="J58" s="178">
        <v>10.0</v>
      </c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15"/>
      <c r="Z58" s="115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191" t="s">
        <v>89</v>
      </c>
      <c r="C59" s="54" t="s">
        <v>75</v>
      </c>
      <c r="D59" s="46">
        <v>10.0</v>
      </c>
      <c r="E59" s="47" t="str">
        <f>IFERROR(__xludf.DUMMYFUNCTION("REGEXEXTRACT(C59,""[A-Za-z]+"")"),"packs")</f>
        <v>packs</v>
      </c>
      <c r="F59" s="48">
        <v>200.0</v>
      </c>
      <c r="G59" s="55">
        <f t="shared" si="3"/>
        <v>2000</v>
      </c>
      <c r="H59" s="185"/>
      <c r="I59" s="185"/>
      <c r="J59" s="178">
        <v>10.0</v>
      </c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15"/>
      <c r="Z59" s="115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191" t="s">
        <v>90</v>
      </c>
      <c r="C60" s="54" t="s">
        <v>75</v>
      </c>
      <c r="D60" s="46">
        <v>10.0</v>
      </c>
      <c r="E60" s="47" t="str">
        <f>IFERROR(__xludf.DUMMYFUNCTION("REGEXEXTRACT(C60,""[A-Za-z]+"")"),"packs")</f>
        <v>packs</v>
      </c>
      <c r="F60" s="48">
        <v>250.0</v>
      </c>
      <c r="G60" s="55">
        <f t="shared" si="3"/>
        <v>2500</v>
      </c>
      <c r="H60" s="185"/>
      <c r="I60" s="185"/>
      <c r="J60" s="178">
        <v>10.0</v>
      </c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15"/>
      <c r="Z60" s="115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191" t="s">
        <v>91</v>
      </c>
      <c r="C61" s="54" t="s">
        <v>75</v>
      </c>
      <c r="D61" s="46">
        <v>10.0</v>
      </c>
      <c r="E61" s="55" t="str">
        <f>IFERROR(__xludf.DUMMYFUNCTION("REGEXEXTRACT(C61,""[A-Za-z]+"")")," packs ")</f>
        <v>packs</v>
      </c>
      <c r="F61" s="55">
        <v>350.0</v>
      </c>
      <c r="G61" s="55">
        <f t="shared" si="3"/>
        <v>3500</v>
      </c>
      <c r="H61" s="185"/>
      <c r="I61" s="185"/>
      <c r="J61" s="178">
        <v>10.0</v>
      </c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15"/>
      <c r="Z61" s="115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191" t="s">
        <v>92</v>
      </c>
      <c r="C62" s="54" t="s">
        <v>75</v>
      </c>
      <c r="D62" s="46">
        <v>10.0</v>
      </c>
      <c r="E62" s="55" t="str">
        <f>IFERROR(__xludf.DUMMYFUNCTION("REGEXEXTRACT(C62,""[A-Za-z]+"")")," packs ")</f>
        <v>packs</v>
      </c>
      <c r="F62" s="55">
        <v>400.0</v>
      </c>
      <c r="G62" s="55">
        <f t="shared" si="3"/>
        <v>4000</v>
      </c>
      <c r="H62" s="186"/>
      <c r="I62" s="186"/>
      <c r="J62" s="178">
        <v>10.0</v>
      </c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15"/>
      <c r="Z62" s="115"/>
      <c r="AA62" s="6"/>
      <c r="AB62" s="6"/>
      <c r="AC62" s="6"/>
      <c r="AD62" s="6"/>
      <c r="AE62" s="6"/>
      <c r="AF62" s="6"/>
      <c r="AG62" s="6"/>
      <c r="AH62" s="6"/>
      <c r="AI62" s="6"/>
    </row>
    <row r="63" ht="15.75" hidden="1" customHeight="1">
      <c r="A63" s="35"/>
      <c r="B63" s="74"/>
      <c r="C63" s="54"/>
      <c r="D63" s="46"/>
      <c r="E63" s="55" t="str">
        <f>IFERROR(__xludf.DUMMYFUNCTION("REGEXEXTRACT(C63,""[A-Za-z]+"")"),"#N/A")</f>
        <v>#N/A</v>
      </c>
      <c r="F63" s="55"/>
      <c r="G63" s="55">
        <f t="shared" si="3"/>
        <v>0</v>
      </c>
      <c r="H63" s="54"/>
      <c r="I63" s="177"/>
      <c r="J63" s="175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15"/>
      <c r="Z63" s="115"/>
      <c r="AA63" s="6"/>
      <c r="AB63" s="6"/>
      <c r="AC63" s="6"/>
      <c r="AD63" s="6"/>
      <c r="AE63" s="6"/>
      <c r="AF63" s="6"/>
      <c r="AG63" s="6"/>
      <c r="AH63" s="6"/>
      <c r="AI63" s="6"/>
    </row>
    <row r="64" ht="15.75" hidden="1" customHeight="1">
      <c r="A64" s="35"/>
      <c r="B64" s="74"/>
      <c r="C64" s="54"/>
      <c r="D64" s="46"/>
      <c r="E64" s="55" t="str">
        <f>IFERROR(__xludf.DUMMYFUNCTION("REGEXEXTRACT(C64,""[A-Za-z]+"")"),"#N/A")</f>
        <v>#N/A</v>
      </c>
      <c r="F64" s="55"/>
      <c r="G64" s="55">
        <f t="shared" si="3"/>
        <v>0</v>
      </c>
      <c r="H64" s="54"/>
      <c r="I64" s="177"/>
      <c r="J64" s="175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15"/>
      <c r="Z64" s="115"/>
      <c r="AA64" s="6"/>
      <c r="AB64" s="6"/>
      <c r="AC64" s="6"/>
      <c r="AD64" s="6"/>
      <c r="AE64" s="6"/>
      <c r="AF64" s="6"/>
      <c r="AG64" s="6"/>
      <c r="AH64" s="6"/>
      <c r="AI64" s="6"/>
    </row>
    <row r="65" ht="15.75" hidden="1" customHeight="1">
      <c r="A65" s="35"/>
      <c r="B65" s="74"/>
      <c r="C65" s="54"/>
      <c r="D65" s="46"/>
      <c r="E65" s="55" t="str">
        <f>IFERROR(__xludf.DUMMYFUNCTION("REGEXEXTRACT(C65,""[A-Za-z]+"")"),"#N/A")</f>
        <v>#N/A</v>
      </c>
      <c r="F65" s="55"/>
      <c r="G65" s="55">
        <f t="shared" si="3"/>
        <v>0</v>
      </c>
      <c r="H65" s="54"/>
      <c r="I65" s="177"/>
      <c r="J65" s="175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15"/>
      <c r="Z65" s="115"/>
      <c r="AA65" s="6"/>
      <c r="AB65" s="6"/>
      <c r="AC65" s="6"/>
      <c r="AD65" s="6"/>
      <c r="AE65" s="6"/>
      <c r="AF65" s="6"/>
      <c r="AG65" s="6"/>
      <c r="AH65" s="6"/>
      <c r="AI65" s="6"/>
    </row>
    <row r="66" ht="15.75" hidden="1" customHeight="1">
      <c r="A66" s="35"/>
      <c r="B66" s="74"/>
      <c r="C66" s="54"/>
      <c r="D66" s="46"/>
      <c r="E66" s="55" t="str">
        <f>IFERROR(__xludf.DUMMYFUNCTION("REGEXEXTRACT(C66,""[A-Za-z]+"")"),"#N/A")</f>
        <v>#N/A</v>
      </c>
      <c r="F66" s="55"/>
      <c r="G66" s="55">
        <f t="shared" si="3"/>
        <v>0</v>
      </c>
      <c r="H66" s="54"/>
      <c r="I66" s="177"/>
      <c r="J66" s="175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15"/>
      <c r="Z66" s="115"/>
      <c r="AA66" s="6"/>
      <c r="AB66" s="6"/>
      <c r="AC66" s="6"/>
      <c r="AD66" s="6"/>
      <c r="AE66" s="6"/>
      <c r="AF66" s="6"/>
      <c r="AG66" s="6"/>
      <c r="AH66" s="6"/>
      <c r="AI66" s="6"/>
    </row>
    <row r="67" ht="15.75" hidden="1" customHeight="1">
      <c r="A67" s="35"/>
      <c r="B67" s="74"/>
      <c r="C67" s="54"/>
      <c r="D67" s="46"/>
      <c r="E67" s="55" t="str">
        <f>IFERROR(__xludf.DUMMYFUNCTION("REGEXEXTRACT(C67,""[A-Za-z]+"")"),"#N/A")</f>
        <v>#N/A</v>
      </c>
      <c r="F67" s="55"/>
      <c r="G67" s="55">
        <f t="shared" si="3"/>
        <v>0</v>
      </c>
      <c r="H67" s="54"/>
      <c r="I67" s="177"/>
      <c r="J67" s="175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15"/>
      <c r="Z67" s="115"/>
      <c r="AA67" s="6"/>
      <c r="AB67" s="6"/>
      <c r="AC67" s="6"/>
      <c r="AD67" s="6"/>
      <c r="AE67" s="6"/>
      <c r="AF67" s="6"/>
      <c r="AG67" s="6"/>
      <c r="AH67" s="6"/>
      <c r="AI67" s="6"/>
    </row>
    <row r="68" ht="15.75" hidden="1" customHeight="1">
      <c r="A68" s="35"/>
      <c r="B68" s="74"/>
      <c r="C68" s="54"/>
      <c r="D68" s="46"/>
      <c r="E68" s="55" t="str">
        <f>IFERROR(__xludf.DUMMYFUNCTION("REGEXEXTRACT(C68,""[A-Za-z]+"")"),"#N/A")</f>
        <v>#N/A</v>
      </c>
      <c r="F68" s="55"/>
      <c r="G68" s="55">
        <f t="shared" si="3"/>
        <v>0</v>
      </c>
      <c r="H68" s="54"/>
      <c r="I68" s="177"/>
      <c r="J68" s="175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15"/>
      <c r="Z68" s="115"/>
      <c r="AA68" s="6"/>
      <c r="AB68" s="6"/>
      <c r="AC68" s="6"/>
      <c r="AD68" s="6"/>
      <c r="AE68" s="6"/>
      <c r="AF68" s="6"/>
      <c r="AG68" s="6"/>
      <c r="AH68" s="6"/>
      <c r="AI68" s="6"/>
    </row>
    <row r="69" ht="15.75" hidden="1" customHeight="1">
      <c r="A69" s="66"/>
      <c r="B69" s="75"/>
      <c r="C69" s="54"/>
      <c r="D69" s="46"/>
      <c r="E69" s="55" t="str">
        <f>IFERROR(__xludf.DUMMYFUNCTION("REGEXEXTRACT(C69,""[A-Za-z]+"")"),"#N/A")</f>
        <v>#N/A</v>
      </c>
      <c r="F69" s="55"/>
      <c r="G69" s="55">
        <f t="shared" si="3"/>
        <v>0</v>
      </c>
      <c r="H69" s="54"/>
      <c r="I69" s="177"/>
      <c r="J69" s="175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15"/>
      <c r="Z69" s="115"/>
      <c r="AA69" s="6"/>
      <c r="AB69" s="6"/>
      <c r="AC69" s="6"/>
      <c r="AD69" s="6"/>
      <c r="AE69" s="6"/>
      <c r="AF69" s="6"/>
      <c r="AG69" s="6"/>
      <c r="AH69" s="6"/>
      <c r="AI69" s="6"/>
    </row>
    <row r="70" ht="15.75" hidden="1" customHeight="1">
      <c r="A70" s="35"/>
      <c r="B70" s="167" t="s">
        <v>93</v>
      </c>
      <c r="C70" s="54"/>
      <c r="D70" s="46"/>
      <c r="E70" s="55" t="str">
        <f>IFERROR(__xludf.DUMMYFUNCTION("REGEXEXTRACT(C70,""[A-Za-z]+"")"),"#N/A")</f>
        <v>#N/A</v>
      </c>
      <c r="F70" s="55"/>
      <c r="G70" s="55">
        <f t="shared" si="3"/>
        <v>0</v>
      </c>
      <c r="H70" s="54"/>
      <c r="I70" s="190"/>
      <c r="J70" s="201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15"/>
      <c r="Z70" s="115"/>
      <c r="AA70" s="6"/>
      <c r="AB70" s="6"/>
      <c r="AC70" s="6"/>
      <c r="AD70" s="6"/>
      <c r="AE70" s="6"/>
      <c r="AF70" s="6"/>
      <c r="AG70" s="6"/>
      <c r="AH70" s="6"/>
      <c r="AI70" s="6"/>
    </row>
    <row r="71" ht="15.75" hidden="1" customHeight="1">
      <c r="A71" s="35"/>
      <c r="B71" s="74"/>
      <c r="C71" s="54"/>
      <c r="D71" s="46"/>
      <c r="E71" s="55" t="str">
        <f>IFERROR(__xludf.DUMMYFUNCTION("REGEXEXTRACT(C71,""[A-Za-z]+"")"),"#N/A")</f>
        <v>#N/A</v>
      </c>
      <c r="F71" s="55"/>
      <c r="G71" s="55">
        <f t="shared" si="3"/>
        <v>0</v>
      </c>
      <c r="H71" s="54"/>
      <c r="I71" s="177"/>
      <c r="J71" s="175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15"/>
      <c r="Z71" s="115"/>
      <c r="AA71" s="6"/>
      <c r="AB71" s="6"/>
      <c r="AC71" s="6"/>
      <c r="AD71" s="6"/>
      <c r="AE71" s="6"/>
      <c r="AF71" s="6"/>
      <c r="AG71" s="6"/>
      <c r="AH71" s="6"/>
      <c r="AI71" s="6"/>
    </row>
    <row r="72" ht="15.75" hidden="1" customHeight="1">
      <c r="A72" s="35"/>
      <c r="B72" s="74"/>
      <c r="C72" s="54"/>
      <c r="D72" s="46"/>
      <c r="E72" s="55" t="str">
        <f>IFERROR(__xludf.DUMMYFUNCTION("REGEXEXTRACT(C72,""[A-Za-z]+"")"),"#N/A")</f>
        <v>#N/A</v>
      </c>
      <c r="F72" s="55"/>
      <c r="G72" s="55">
        <f t="shared" si="3"/>
        <v>0</v>
      </c>
      <c r="H72" s="54"/>
      <c r="I72" s="177"/>
      <c r="J72" s="175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15"/>
      <c r="Z72" s="115"/>
      <c r="AA72" s="6"/>
      <c r="AB72" s="6"/>
      <c r="AC72" s="6"/>
      <c r="AD72" s="6"/>
      <c r="AE72" s="6"/>
      <c r="AF72" s="6"/>
      <c r="AG72" s="6"/>
      <c r="AH72" s="6"/>
      <c r="AI72" s="6"/>
    </row>
    <row r="73" ht="15.75" hidden="1" customHeight="1">
      <c r="A73" s="35"/>
      <c r="B73" s="74"/>
      <c r="C73" s="54"/>
      <c r="D73" s="46"/>
      <c r="E73" s="55" t="str">
        <f>IFERROR(__xludf.DUMMYFUNCTION("REGEXEXTRACT(C73,""[A-Za-z]+"")"),"#N/A")</f>
        <v>#N/A</v>
      </c>
      <c r="F73" s="55"/>
      <c r="G73" s="55">
        <f t="shared" si="3"/>
        <v>0</v>
      </c>
      <c r="H73" s="54"/>
      <c r="I73" s="177"/>
      <c r="J73" s="175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15"/>
      <c r="Z73" s="115"/>
      <c r="AA73" s="6"/>
      <c r="AB73" s="6"/>
      <c r="AC73" s="6"/>
      <c r="AD73" s="6"/>
      <c r="AE73" s="6"/>
      <c r="AF73" s="6"/>
      <c r="AG73" s="6"/>
      <c r="AH73" s="6"/>
      <c r="AI73" s="6"/>
    </row>
    <row r="74" ht="15.75" hidden="1" customHeight="1">
      <c r="A74" s="35"/>
      <c r="B74" s="74"/>
      <c r="C74" s="54"/>
      <c r="D74" s="46"/>
      <c r="E74" s="55" t="str">
        <f>IFERROR(__xludf.DUMMYFUNCTION("REGEXEXTRACT(C74,""[A-Za-z]+"")"),"#N/A")</f>
        <v>#N/A</v>
      </c>
      <c r="F74" s="55"/>
      <c r="G74" s="55">
        <f t="shared" si="3"/>
        <v>0</v>
      </c>
      <c r="H74" s="54"/>
      <c r="I74" s="177"/>
      <c r="J74" s="175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15"/>
      <c r="Z74" s="115"/>
      <c r="AA74" s="6"/>
      <c r="AB74" s="6"/>
      <c r="AC74" s="6"/>
      <c r="AD74" s="6"/>
      <c r="AE74" s="6"/>
      <c r="AF74" s="6"/>
      <c r="AG74" s="6"/>
      <c r="AH74" s="6"/>
      <c r="AI74" s="6"/>
    </row>
    <row r="75" ht="15.75" hidden="1" customHeight="1">
      <c r="A75" s="35"/>
      <c r="B75" s="167" t="s">
        <v>94</v>
      </c>
      <c r="C75" s="54"/>
      <c r="D75" s="46"/>
      <c r="E75" s="55" t="str">
        <f>IFERROR(__xludf.DUMMYFUNCTION("REGEXEXTRACT(C75,""[A-Za-z]+"")"),"#N/A")</f>
        <v>#N/A</v>
      </c>
      <c r="F75" s="55"/>
      <c r="G75" s="55">
        <f t="shared" si="3"/>
        <v>0</v>
      </c>
      <c r="H75" s="54"/>
      <c r="I75" s="190"/>
      <c r="J75" s="201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15"/>
      <c r="Z75" s="115"/>
      <c r="AA75" s="6"/>
      <c r="AB75" s="6"/>
      <c r="AC75" s="6"/>
      <c r="AD75" s="6"/>
      <c r="AE75" s="6"/>
      <c r="AF75" s="6"/>
      <c r="AG75" s="6"/>
      <c r="AH75" s="6"/>
      <c r="AI75" s="6"/>
    </row>
    <row r="76" ht="15.75" hidden="1" customHeight="1">
      <c r="A76" s="35"/>
      <c r="B76" s="74"/>
      <c r="C76" s="54"/>
      <c r="D76" s="46"/>
      <c r="E76" s="55" t="str">
        <f>IFERROR(__xludf.DUMMYFUNCTION("REGEXEXTRACT(C76,""[A-Za-z]+"")"),"#N/A")</f>
        <v>#N/A</v>
      </c>
      <c r="F76" s="55"/>
      <c r="G76" s="55">
        <f t="shared" si="3"/>
        <v>0</v>
      </c>
      <c r="H76" s="54"/>
      <c r="I76" s="177"/>
      <c r="J76" s="175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15"/>
      <c r="Z76" s="115"/>
      <c r="AA76" s="6"/>
      <c r="AB76" s="6"/>
      <c r="AC76" s="6"/>
      <c r="AD76" s="6"/>
      <c r="AE76" s="6"/>
      <c r="AF76" s="6"/>
      <c r="AG76" s="6"/>
      <c r="AH76" s="6"/>
      <c r="AI76" s="6"/>
    </row>
    <row r="77" ht="15.75" hidden="1" customHeight="1">
      <c r="A77" s="35"/>
      <c r="B77" s="74"/>
      <c r="C77" s="54"/>
      <c r="D77" s="46"/>
      <c r="E77" s="55" t="str">
        <f>IFERROR(__xludf.DUMMYFUNCTION("REGEXEXTRACT(C77,""[A-Za-z]+"")"),"#N/A")</f>
        <v>#N/A</v>
      </c>
      <c r="F77" s="55"/>
      <c r="G77" s="55">
        <f t="shared" si="3"/>
        <v>0</v>
      </c>
      <c r="H77" s="54"/>
      <c r="I77" s="177"/>
      <c r="J77" s="175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15"/>
      <c r="Z77" s="115"/>
      <c r="AA77" s="6"/>
      <c r="AB77" s="6"/>
      <c r="AC77" s="6"/>
      <c r="AD77" s="6"/>
      <c r="AE77" s="6"/>
      <c r="AF77" s="6"/>
      <c r="AG77" s="6"/>
      <c r="AH77" s="6"/>
      <c r="AI77" s="6"/>
    </row>
    <row r="78" ht="15.75" hidden="1" customHeight="1">
      <c r="A78" s="35"/>
      <c r="B78" s="74"/>
      <c r="C78" s="54"/>
      <c r="D78" s="46"/>
      <c r="E78" s="55" t="str">
        <f>IFERROR(__xludf.DUMMYFUNCTION("REGEXEXTRACT(C78,""[A-Za-z]+"")"),"#N/A")</f>
        <v>#N/A</v>
      </c>
      <c r="F78" s="55"/>
      <c r="G78" s="55">
        <f t="shared" si="3"/>
        <v>0</v>
      </c>
      <c r="H78" s="54"/>
      <c r="I78" s="177"/>
      <c r="J78" s="175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15"/>
      <c r="Z78" s="115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202"/>
      <c r="B79" s="304" t="s">
        <v>151</v>
      </c>
      <c r="C79" s="204"/>
      <c r="D79" s="46">
        <v>30.0</v>
      </c>
      <c r="E79" s="55" t="s">
        <v>152</v>
      </c>
      <c r="F79" s="176">
        <v>100.0</v>
      </c>
      <c r="G79" s="55">
        <f t="shared" si="3"/>
        <v>3000</v>
      </c>
      <c r="H79" s="54" t="s">
        <v>141</v>
      </c>
      <c r="I79" s="188" t="s">
        <v>146</v>
      </c>
      <c r="J79" s="205"/>
      <c r="K79" s="205"/>
      <c r="L79" s="305">
        <v>30.0</v>
      </c>
      <c r="M79" s="205"/>
      <c r="N79" s="205"/>
      <c r="O79" s="205"/>
      <c r="P79" s="205"/>
      <c r="Q79" s="205"/>
      <c r="R79" s="205"/>
      <c r="S79" s="205"/>
      <c r="T79" s="205"/>
      <c r="U79" s="205"/>
      <c r="V79" s="206"/>
      <c r="W79" s="206"/>
      <c r="X79" s="206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</row>
    <row r="80" ht="15.75" customHeight="1">
      <c r="A80" s="202"/>
      <c r="B80" s="304" t="s">
        <v>153</v>
      </c>
      <c r="C80" s="204"/>
      <c r="D80" s="46">
        <v>20.0</v>
      </c>
      <c r="E80" s="55" t="s">
        <v>154</v>
      </c>
      <c r="F80" s="176">
        <v>30.0</v>
      </c>
      <c r="G80" s="55">
        <f t="shared" si="3"/>
        <v>600</v>
      </c>
      <c r="H80" s="185"/>
      <c r="I80" s="185"/>
      <c r="J80" s="205"/>
      <c r="K80" s="205"/>
      <c r="L80" s="305">
        <v>20.0</v>
      </c>
      <c r="M80" s="205"/>
      <c r="N80" s="205"/>
      <c r="O80" s="205"/>
      <c r="P80" s="205"/>
      <c r="Q80" s="205"/>
      <c r="R80" s="205"/>
      <c r="S80" s="205"/>
      <c r="T80" s="205"/>
      <c r="U80" s="205"/>
      <c r="V80" s="206"/>
      <c r="W80" s="206"/>
      <c r="X80" s="206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</row>
    <row r="81" ht="15.75" customHeight="1">
      <c r="A81" s="202"/>
      <c r="B81" s="304" t="s">
        <v>155</v>
      </c>
      <c r="C81" s="204"/>
      <c r="D81" s="46">
        <v>20.0</v>
      </c>
      <c r="E81" s="55" t="s">
        <v>154</v>
      </c>
      <c r="F81" s="176">
        <v>50.0</v>
      </c>
      <c r="G81" s="55">
        <f t="shared" si="3"/>
        <v>1000</v>
      </c>
      <c r="H81" s="185"/>
      <c r="I81" s="185"/>
      <c r="J81" s="205"/>
      <c r="K81" s="205"/>
      <c r="L81" s="305">
        <v>20.0</v>
      </c>
      <c r="M81" s="205"/>
      <c r="N81" s="205"/>
      <c r="O81" s="205"/>
      <c r="P81" s="205"/>
      <c r="Q81" s="205"/>
      <c r="R81" s="205"/>
      <c r="S81" s="205"/>
      <c r="T81" s="205"/>
      <c r="U81" s="205"/>
      <c r="V81" s="206"/>
      <c r="W81" s="206"/>
      <c r="X81" s="206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</row>
    <row r="82" ht="15.75" customHeight="1">
      <c r="A82" s="202"/>
      <c r="B82" s="304" t="s">
        <v>156</v>
      </c>
      <c r="C82" s="204"/>
      <c r="D82" s="46">
        <v>2.0</v>
      </c>
      <c r="E82" s="55" t="s">
        <v>157</v>
      </c>
      <c r="F82" s="176">
        <v>400.0</v>
      </c>
      <c r="G82" s="55">
        <f t="shared" si="3"/>
        <v>800</v>
      </c>
      <c r="H82" s="185"/>
      <c r="I82" s="185"/>
      <c r="J82" s="205"/>
      <c r="K82" s="205"/>
      <c r="L82" s="305">
        <v>2.0</v>
      </c>
      <c r="M82" s="205"/>
      <c r="N82" s="205"/>
      <c r="O82" s="205"/>
      <c r="P82" s="205"/>
      <c r="Q82" s="205"/>
      <c r="R82" s="205"/>
      <c r="S82" s="205"/>
      <c r="T82" s="205"/>
      <c r="U82" s="205"/>
      <c r="V82" s="206"/>
      <c r="W82" s="206"/>
      <c r="X82" s="206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</row>
    <row r="83" ht="15.75" customHeight="1">
      <c r="A83" s="202"/>
      <c r="B83" s="304" t="s">
        <v>158</v>
      </c>
      <c r="C83" s="204"/>
      <c r="D83" s="46">
        <v>2.0</v>
      </c>
      <c r="E83" s="55" t="s">
        <v>152</v>
      </c>
      <c r="F83" s="176">
        <v>200.0</v>
      </c>
      <c r="G83" s="55">
        <f t="shared" si="3"/>
        <v>400</v>
      </c>
      <c r="H83" s="185"/>
      <c r="I83" s="185"/>
      <c r="J83" s="205"/>
      <c r="K83" s="205"/>
      <c r="L83" s="305">
        <v>2.0</v>
      </c>
      <c r="M83" s="205"/>
      <c r="N83" s="205"/>
      <c r="O83" s="205"/>
      <c r="P83" s="205"/>
      <c r="Q83" s="205"/>
      <c r="R83" s="205"/>
      <c r="S83" s="205"/>
      <c r="T83" s="205"/>
      <c r="U83" s="205"/>
      <c r="V83" s="206"/>
      <c r="W83" s="206"/>
      <c r="X83" s="206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</row>
    <row r="84" ht="15.75" customHeight="1">
      <c r="A84" s="202"/>
      <c r="B84" s="304" t="s">
        <v>159</v>
      </c>
      <c r="C84" s="204"/>
      <c r="D84" s="46">
        <v>1.0</v>
      </c>
      <c r="E84" s="55" t="s">
        <v>160</v>
      </c>
      <c r="F84" s="176">
        <v>800.0</v>
      </c>
      <c r="G84" s="55">
        <f t="shared" si="3"/>
        <v>800</v>
      </c>
      <c r="H84" s="185"/>
      <c r="I84" s="185"/>
      <c r="J84" s="205"/>
      <c r="K84" s="205"/>
      <c r="L84" s="305">
        <v>1.0</v>
      </c>
      <c r="M84" s="205"/>
      <c r="N84" s="205"/>
      <c r="O84" s="205"/>
      <c r="P84" s="205"/>
      <c r="Q84" s="205"/>
      <c r="R84" s="205"/>
      <c r="S84" s="205"/>
      <c r="T84" s="205"/>
      <c r="U84" s="205"/>
      <c r="V84" s="206"/>
      <c r="W84" s="206"/>
      <c r="X84" s="206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</row>
    <row r="85" ht="15.75" customHeight="1">
      <c r="A85" s="202"/>
      <c r="B85" s="304" t="s">
        <v>161</v>
      </c>
      <c r="C85" s="204"/>
      <c r="D85" s="46">
        <v>40.0</v>
      </c>
      <c r="E85" s="55" t="s">
        <v>154</v>
      </c>
      <c r="F85" s="176">
        <v>150.0</v>
      </c>
      <c r="G85" s="55">
        <f t="shared" si="3"/>
        <v>6000</v>
      </c>
      <c r="H85" s="186"/>
      <c r="I85" s="186"/>
      <c r="J85" s="205"/>
      <c r="K85" s="205"/>
      <c r="L85" s="305">
        <v>40.0</v>
      </c>
      <c r="M85" s="205"/>
      <c r="N85" s="205"/>
      <c r="O85" s="205"/>
      <c r="P85" s="205"/>
      <c r="Q85" s="205"/>
      <c r="R85" s="205"/>
      <c r="S85" s="205"/>
      <c r="T85" s="205"/>
      <c r="U85" s="205"/>
      <c r="V85" s="206"/>
      <c r="W85" s="206"/>
      <c r="X85" s="206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</row>
    <row r="86" ht="15.75" customHeight="1">
      <c r="A86" s="208"/>
      <c r="B86" s="209" t="s">
        <v>162</v>
      </c>
      <c r="C86" s="210" t="s">
        <v>162</v>
      </c>
      <c r="D86" s="211"/>
      <c r="E86" s="212"/>
      <c r="F86" s="212"/>
      <c r="G86" s="212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4"/>
      <c r="W86" s="214"/>
      <c r="X86" s="214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</row>
    <row r="87">
      <c r="A87" s="216"/>
      <c r="B87" s="217" t="s">
        <v>204</v>
      </c>
      <c r="C87" s="218" t="s">
        <v>205</v>
      </c>
      <c r="D87" s="219">
        <v>40.0</v>
      </c>
      <c r="E87" s="55" t="s">
        <v>154</v>
      </c>
      <c r="F87" s="220">
        <v>800.0</v>
      </c>
      <c r="G87" s="55">
        <f>F87*D87</f>
        <v>32000</v>
      </c>
      <c r="H87" s="221"/>
      <c r="I87" s="222"/>
      <c r="J87" s="222"/>
      <c r="K87" s="222"/>
      <c r="L87" s="222"/>
      <c r="M87" s="223" t="s">
        <v>165</v>
      </c>
      <c r="N87" s="223" t="s">
        <v>166</v>
      </c>
      <c r="O87" s="222"/>
      <c r="P87" s="222"/>
      <c r="Q87" s="222"/>
      <c r="R87" s="222"/>
      <c r="S87" s="222"/>
      <c r="T87" s="222"/>
      <c r="U87" s="222"/>
      <c r="V87" s="224"/>
      <c r="W87" s="224"/>
      <c r="X87" s="224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115"/>
    </row>
    <row r="88" ht="15.75" customHeight="1">
      <c r="A88" s="208"/>
      <c r="B88" s="209" t="s">
        <v>167</v>
      </c>
      <c r="C88" s="210" t="s">
        <v>162</v>
      </c>
      <c r="D88" s="211"/>
      <c r="E88" s="212"/>
      <c r="F88" s="225">
        <f>E88*D88</f>
        <v>0</v>
      </c>
      <c r="G88" s="212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4"/>
      <c r="W88" s="214"/>
      <c r="X88" s="214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</row>
    <row r="89">
      <c r="A89" s="35"/>
      <c r="B89" s="226" t="s">
        <v>206</v>
      </c>
      <c r="C89" s="227"/>
      <c r="D89" s="228">
        <v>1.0</v>
      </c>
      <c r="E89" s="229" t="s">
        <v>139</v>
      </c>
      <c r="F89" s="230">
        <v>3000.0</v>
      </c>
      <c r="G89" s="229">
        <v>3000.0</v>
      </c>
      <c r="H89" s="227"/>
      <c r="I89" s="231"/>
      <c r="J89" s="232"/>
      <c r="K89" s="233"/>
      <c r="L89" s="234"/>
      <c r="M89" s="232"/>
      <c r="N89" s="232"/>
      <c r="O89" s="232"/>
      <c r="P89" s="232"/>
      <c r="Q89" s="232"/>
      <c r="R89" s="232"/>
      <c r="S89" s="232"/>
      <c r="T89" s="232"/>
      <c r="U89" s="232"/>
      <c r="V89" s="177"/>
      <c r="W89" s="177"/>
      <c r="X89" s="177"/>
      <c r="Y89" s="115"/>
      <c r="Z89" s="115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208"/>
      <c r="B90" s="235" t="s">
        <v>94</v>
      </c>
      <c r="C90" s="210" t="s">
        <v>94</v>
      </c>
      <c r="D90" s="211"/>
      <c r="E90" s="212"/>
      <c r="F90" s="225">
        <f>E90*D90</f>
        <v>0</v>
      </c>
      <c r="G90" s="212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4"/>
      <c r="W90" s="214"/>
      <c r="X90" s="214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</row>
    <row r="91" ht="15.75" customHeight="1">
      <c r="A91" s="35"/>
      <c r="B91" s="191" t="s">
        <v>98</v>
      </c>
      <c r="C91" s="54" t="s">
        <v>99</v>
      </c>
      <c r="D91" s="46">
        <v>2.0</v>
      </c>
      <c r="E91" s="55" t="str">
        <f>IFERROR(__xludf.DUMMYFUNCTION("REGEXEXTRACT(C91,""[A-Za-z]+"")")," units ")</f>
        <v>units</v>
      </c>
      <c r="F91" s="70">
        <v>7200.0</v>
      </c>
      <c r="G91" s="55">
        <f t="shared" ref="G91:G99" si="4">F91*D91</f>
        <v>14400</v>
      </c>
      <c r="H91" s="54" t="s">
        <v>55</v>
      </c>
      <c r="I91" s="65"/>
      <c r="J91" s="177"/>
      <c r="K91" s="181">
        <v>2.0</v>
      </c>
      <c r="L91" s="175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15"/>
      <c r="Z91" s="115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236" t="s">
        <v>100</v>
      </c>
      <c r="C92" s="72" t="s">
        <v>101</v>
      </c>
      <c r="D92" s="46">
        <v>6.0</v>
      </c>
      <c r="E92" s="55" t="str">
        <f>IFERROR(__xludf.DUMMYFUNCTION("REGEXEXTRACT(C92,""[A-Za-z]+"")")," units ")</f>
        <v>units</v>
      </c>
      <c r="F92" s="70">
        <v>500.0</v>
      </c>
      <c r="G92" s="55">
        <f t="shared" si="4"/>
        <v>3000</v>
      </c>
      <c r="H92" s="54" t="s">
        <v>55</v>
      </c>
      <c r="I92" s="65"/>
      <c r="J92" s="177"/>
      <c r="K92" s="181">
        <v>6.0</v>
      </c>
      <c r="L92" s="175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15"/>
      <c r="Z92" s="115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191" t="s">
        <v>102</v>
      </c>
      <c r="C93" s="54" t="s">
        <v>99</v>
      </c>
      <c r="D93" s="46">
        <v>2.0</v>
      </c>
      <c r="E93" s="55" t="str">
        <f>IFERROR(__xludf.DUMMYFUNCTION("REGEXEXTRACT(C93,""[A-Za-z]+"")")," units ")</f>
        <v>units</v>
      </c>
      <c r="F93" s="70">
        <v>10000.0</v>
      </c>
      <c r="G93" s="55">
        <f t="shared" si="4"/>
        <v>20000</v>
      </c>
      <c r="H93" s="54" t="s">
        <v>55</v>
      </c>
      <c r="I93" s="65"/>
      <c r="J93" s="177"/>
      <c r="K93" s="181">
        <v>1.0</v>
      </c>
      <c r="L93" s="175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15"/>
      <c r="Z93" s="115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236" t="s">
        <v>113</v>
      </c>
      <c r="C94" s="88"/>
      <c r="D94" s="80">
        <v>600.0</v>
      </c>
      <c r="E94" s="80" t="s">
        <v>110</v>
      </c>
      <c r="F94" s="176">
        <v>80.0</v>
      </c>
      <c r="G94" s="55">
        <f t="shared" si="4"/>
        <v>48000</v>
      </c>
      <c r="H94" s="54" t="s">
        <v>55</v>
      </c>
      <c r="I94" s="65"/>
      <c r="J94" s="175"/>
      <c r="K94" s="237">
        <v>600.0</v>
      </c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15"/>
      <c r="Z94" s="115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79"/>
      <c r="B95" s="191" t="s">
        <v>111</v>
      </c>
      <c r="C95" s="56" t="s">
        <v>112</v>
      </c>
      <c r="D95" s="80">
        <v>3.0</v>
      </c>
      <c r="E95" s="55" t="str">
        <f>IFERROR(__xludf.DUMMYFUNCTION("REGEXEXTRACT(C95,""[A-Za-z]+"")")," pcs ")</f>
        <v>pcs</v>
      </c>
      <c r="F95" s="82">
        <v>10000.0</v>
      </c>
      <c r="G95" s="55">
        <f t="shared" si="4"/>
        <v>30000</v>
      </c>
      <c r="H95" s="56" t="s">
        <v>55</v>
      </c>
      <c r="I95" s="83"/>
      <c r="J95" s="175"/>
      <c r="K95" s="238">
        <v>3.0</v>
      </c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7"/>
      <c r="Z95" s="197"/>
      <c r="AA95" s="198"/>
      <c r="AB95" s="198"/>
      <c r="AC95" s="198"/>
      <c r="AD95" s="198"/>
      <c r="AE95" s="198"/>
      <c r="AF95" s="198"/>
      <c r="AG95" s="198"/>
      <c r="AH95" s="198"/>
      <c r="AI95" s="198"/>
    </row>
    <row r="96" ht="15.75" customHeight="1">
      <c r="A96" s="35"/>
      <c r="B96" s="191" t="s">
        <v>138</v>
      </c>
      <c r="C96" s="54"/>
      <c r="D96" s="46">
        <v>1.0</v>
      </c>
      <c r="E96" s="55" t="s">
        <v>139</v>
      </c>
      <c r="F96" s="55">
        <v>49000.0</v>
      </c>
      <c r="G96" s="55">
        <f t="shared" si="4"/>
        <v>49000</v>
      </c>
      <c r="H96" s="56" t="s">
        <v>55</v>
      </c>
      <c r="I96" s="65"/>
      <c r="J96" s="175"/>
      <c r="K96" s="237">
        <v>1.0</v>
      </c>
      <c r="L96" s="175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15"/>
      <c r="Z96" s="115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191" t="s">
        <v>96</v>
      </c>
      <c r="C97" s="54" t="s">
        <v>97</v>
      </c>
      <c r="D97" s="46">
        <v>5.0</v>
      </c>
      <c r="E97" s="55" t="str">
        <f>IFERROR(__xludf.DUMMYFUNCTION("REGEXEXTRACT(C97,""[A-Za-z]+"")")," packs ")</f>
        <v>packs</v>
      </c>
      <c r="F97" s="55">
        <v>9999.0</v>
      </c>
      <c r="G97" s="55">
        <f t="shared" si="4"/>
        <v>49995</v>
      </c>
      <c r="H97" s="54" t="s">
        <v>55</v>
      </c>
      <c r="I97" s="65"/>
      <c r="J97" s="175"/>
      <c r="K97" s="237">
        <v>10.0</v>
      </c>
      <c r="L97" s="175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15"/>
      <c r="Z97" s="115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191" t="s">
        <v>87</v>
      </c>
      <c r="C98" s="54" t="s">
        <v>88</v>
      </c>
      <c r="D98" s="46">
        <v>10.0</v>
      </c>
      <c r="E98" s="47" t="str">
        <f>IFERROR(__xludf.DUMMYFUNCTION("REGEXEXTRACT(C98,""[A-Za-z]+"")"),"rolls")</f>
        <v>rolls</v>
      </c>
      <c r="F98" s="48">
        <v>4000.0</v>
      </c>
      <c r="G98" s="55">
        <f t="shared" si="4"/>
        <v>40000</v>
      </c>
      <c r="H98" s="175" t="s">
        <v>55</v>
      </c>
      <c r="I98" s="177"/>
      <c r="J98" s="175"/>
      <c r="K98" s="239">
        <v>10.0</v>
      </c>
      <c r="L98" s="175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15"/>
      <c r="Z98" s="115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191" t="s">
        <v>95</v>
      </c>
      <c r="C99" s="54" t="s">
        <v>82</v>
      </c>
      <c r="D99" s="46">
        <v>6.0</v>
      </c>
      <c r="E99" s="55" t="str">
        <f>IFERROR(__xludf.DUMMYFUNCTION("REGEXEXTRACT(C99,""[A-Za-z]+"")")," pcs ")</f>
        <v>pcs</v>
      </c>
      <c r="F99" s="55">
        <v>7000.0</v>
      </c>
      <c r="G99" s="55">
        <f t="shared" si="4"/>
        <v>42000</v>
      </c>
      <c r="H99" s="54" t="s">
        <v>55</v>
      </c>
      <c r="I99" s="65"/>
      <c r="J99" s="175"/>
      <c r="K99" s="240">
        <v>6.0</v>
      </c>
      <c r="L99" s="175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15"/>
      <c r="Z99" s="115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208"/>
      <c r="B100" s="213"/>
      <c r="C100" s="210" t="s">
        <v>169</v>
      </c>
      <c r="D100" s="211"/>
      <c r="E100" s="241"/>
      <c r="F100" s="212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4"/>
      <c r="W100" s="214"/>
      <c r="X100" s="214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</row>
    <row r="101">
      <c r="A101" s="242"/>
      <c r="B101" s="243" t="s">
        <v>207</v>
      </c>
      <c r="C101" s="226" t="s">
        <v>208</v>
      </c>
      <c r="D101" s="244" t="s">
        <v>172</v>
      </c>
      <c r="E101" s="245">
        <v>200.0</v>
      </c>
      <c r="F101" s="246">
        <v>200.0</v>
      </c>
      <c r="G101" s="247" t="s">
        <v>169</v>
      </c>
      <c r="H101" s="248"/>
      <c r="I101" s="248"/>
      <c r="J101" s="249">
        <v>1.0</v>
      </c>
      <c r="K101" s="248"/>
      <c r="L101" s="250" t="s">
        <v>173</v>
      </c>
      <c r="M101" s="251"/>
      <c r="N101" s="248"/>
      <c r="O101" s="248"/>
      <c r="P101" s="248"/>
      <c r="Q101" s="248"/>
      <c r="R101" s="248"/>
      <c r="S101" s="248"/>
      <c r="T101" s="248"/>
      <c r="U101" s="248"/>
      <c r="V101" s="206"/>
      <c r="W101" s="206"/>
      <c r="X101" s="206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115"/>
    </row>
    <row r="102">
      <c r="A102" s="242"/>
      <c r="B102" s="252" t="s">
        <v>209</v>
      </c>
      <c r="C102" s="253" t="s">
        <v>210</v>
      </c>
      <c r="D102" s="244" t="s">
        <v>34</v>
      </c>
      <c r="E102" s="245">
        <v>200.0</v>
      </c>
      <c r="F102" s="245">
        <v>200.0</v>
      </c>
      <c r="G102" s="249" t="s">
        <v>169</v>
      </c>
      <c r="H102" s="248"/>
      <c r="I102" s="248"/>
      <c r="J102" s="248"/>
      <c r="K102" s="248"/>
      <c r="L102" s="105"/>
      <c r="M102" s="105"/>
      <c r="N102" s="248"/>
      <c r="O102" s="248"/>
      <c r="P102" s="248"/>
      <c r="Q102" s="248"/>
      <c r="R102" s="248"/>
      <c r="S102" s="248"/>
      <c r="T102" s="248"/>
      <c r="U102" s="248"/>
      <c r="V102" s="206"/>
      <c r="W102" s="206"/>
      <c r="X102" s="206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115"/>
    </row>
    <row r="103">
      <c r="A103" s="242"/>
      <c r="B103" s="254" t="s">
        <v>211</v>
      </c>
      <c r="C103" s="226" t="s">
        <v>212</v>
      </c>
      <c r="D103" s="244" t="s">
        <v>172</v>
      </c>
      <c r="E103" s="245">
        <v>200.0</v>
      </c>
      <c r="F103" s="246">
        <v>200.0</v>
      </c>
      <c r="G103" s="247" t="s">
        <v>169</v>
      </c>
      <c r="H103" s="248"/>
      <c r="I103" s="248"/>
      <c r="J103" s="249">
        <v>1.0</v>
      </c>
      <c r="K103" s="248"/>
      <c r="L103" s="255" t="s">
        <v>178</v>
      </c>
      <c r="M103" s="248"/>
      <c r="N103" s="248"/>
      <c r="O103" s="248"/>
      <c r="P103" s="248"/>
      <c r="Q103" s="248"/>
      <c r="R103" s="248"/>
      <c r="S103" s="248"/>
      <c r="T103" s="248"/>
      <c r="U103" s="248"/>
      <c r="V103" s="206"/>
      <c r="W103" s="206"/>
      <c r="X103" s="206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115"/>
    </row>
    <row r="104">
      <c r="A104" s="242"/>
      <c r="B104" s="256" t="s">
        <v>179</v>
      </c>
      <c r="C104" s="257" t="s">
        <v>179</v>
      </c>
      <c r="D104" s="244" t="s">
        <v>180</v>
      </c>
      <c r="E104" s="245">
        <v>680.0</v>
      </c>
      <c r="F104" s="245">
        <f t="shared" ref="F104:F105" si="5">E104*1</f>
        <v>680</v>
      </c>
      <c r="G104" s="249" t="s">
        <v>181</v>
      </c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06"/>
      <c r="W104" s="206"/>
      <c r="X104" s="206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115"/>
    </row>
    <row r="105">
      <c r="A105" s="258"/>
      <c r="B105" s="256" t="s">
        <v>35</v>
      </c>
      <c r="C105" s="257" t="s">
        <v>35</v>
      </c>
      <c r="D105" s="244" t="s">
        <v>34</v>
      </c>
      <c r="E105" s="245">
        <v>3000.0</v>
      </c>
      <c r="F105" s="245">
        <f t="shared" si="5"/>
        <v>3000</v>
      </c>
      <c r="G105" s="249" t="s">
        <v>181</v>
      </c>
      <c r="H105" s="248"/>
      <c r="I105" s="248"/>
      <c r="J105" s="249">
        <v>1.0</v>
      </c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06"/>
      <c r="W105" s="206"/>
      <c r="X105" s="206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115"/>
    </row>
    <row r="106">
      <c r="A106" s="258"/>
      <c r="B106" s="256" t="s">
        <v>182</v>
      </c>
      <c r="C106" s="257" t="s">
        <v>182</v>
      </c>
      <c r="D106" s="244" t="s">
        <v>34</v>
      </c>
      <c r="E106" s="245">
        <v>330.0</v>
      </c>
      <c r="F106" s="245">
        <v>330.0</v>
      </c>
      <c r="G106" s="249" t="s">
        <v>181</v>
      </c>
      <c r="H106" s="248"/>
      <c r="I106" s="248"/>
      <c r="J106" s="248"/>
      <c r="K106" s="248"/>
      <c r="L106" s="255" t="s">
        <v>183</v>
      </c>
      <c r="M106" s="248"/>
      <c r="N106" s="248"/>
      <c r="O106" s="248"/>
      <c r="P106" s="248"/>
      <c r="Q106" s="248"/>
      <c r="R106" s="248"/>
      <c r="S106" s="248"/>
      <c r="T106" s="248"/>
      <c r="U106" s="248"/>
      <c r="V106" s="206"/>
      <c r="W106" s="206"/>
      <c r="X106" s="206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115"/>
    </row>
    <row r="107">
      <c r="A107" s="258"/>
      <c r="B107" s="252" t="s">
        <v>213</v>
      </c>
      <c r="C107" s="253" t="s">
        <v>214</v>
      </c>
      <c r="D107" s="244" t="s">
        <v>186</v>
      </c>
      <c r="E107" s="245">
        <v>100.0</v>
      </c>
      <c r="F107" s="245">
        <v>2000.0</v>
      </c>
      <c r="G107" s="259" t="s">
        <v>169</v>
      </c>
      <c r="H107" s="251"/>
      <c r="I107" s="251"/>
      <c r="J107" s="251"/>
      <c r="K107" s="251"/>
      <c r="L107" s="250" t="s">
        <v>187</v>
      </c>
      <c r="M107" s="251"/>
      <c r="N107" s="251"/>
      <c r="O107" s="251"/>
      <c r="P107" s="251"/>
      <c r="Q107" s="251"/>
      <c r="R107" s="251"/>
      <c r="S107" s="251"/>
      <c r="T107" s="251"/>
      <c r="U107" s="251"/>
      <c r="V107" s="260"/>
      <c r="W107" s="260"/>
      <c r="X107" s="260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115"/>
    </row>
    <row r="108">
      <c r="A108" s="258"/>
      <c r="B108" s="252" t="s">
        <v>215</v>
      </c>
      <c r="C108" s="253" t="s">
        <v>216</v>
      </c>
      <c r="D108" s="244" t="s">
        <v>186</v>
      </c>
      <c r="E108" s="245">
        <v>150.0</v>
      </c>
      <c r="F108" s="245">
        <v>3000.0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86"/>
      <c r="W108" s="186"/>
      <c r="X108" s="186"/>
    </row>
    <row r="109">
      <c r="A109" s="258"/>
      <c r="B109" s="254" t="s">
        <v>217</v>
      </c>
      <c r="C109" s="226" t="s">
        <v>218</v>
      </c>
      <c r="D109" s="244" t="s">
        <v>34</v>
      </c>
      <c r="E109" s="261">
        <v>2000.0</v>
      </c>
      <c r="F109" s="262">
        <v>2000.0</v>
      </c>
      <c r="G109" s="249" t="s">
        <v>169</v>
      </c>
      <c r="H109" s="248"/>
      <c r="I109" s="248"/>
      <c r="J109" s="263">
        <v>1.0</v>
      </c>
      <c r="K109" s="248"/>
      <c r="L109" s="255" t="s">
        <v>192</v>
      </c>
      <c r="M109" s="255" t="s">
        <v>193</v>
      </c>
      <c r="N109" s="248"/>
      <c r="O109" s="248"/>
      <c r="P109" s="255" t="s">
        <v>193</v>
      </c>
      <c r="Q109" s="255" t="s">
        <v>193</v>
      </c>
      <c r="R109" s="255" t="s">
        <v>194</v>
      </c>
      <c r="S109" s="264">
        <f>SUM(684 + 591)</f>
        <v>1275</v>
      </c>
      <c r="T109" s="248"/>
      <c r="U109" s="248"/>
      <c r="V109" s="206"/>
      <c r="W109" s="206"/>
      <c r="X109" s="206"/>
      <c r="Y109" s="207"/>
      <c r="Z109" s="207"/>
      <c r="AA109" s="207"/>
      <c r="AB109" s="115"/>
      <c r="AC109" s="207"/>
      <c r="AD109" s="207"/>
      <c r="AE109" s="207"/>
      <c r="AF109" s="207"/>
      <c r="AG109" s="207"/>
      <c r="AH109" s="207"/>
      <c r="AI109" s="115"/>
    </row>
    <row r="110" ht="15.75" customHeight="1">
      <c r="A110" s="265"/>
      <c r="B110" s="266"/>
      <c r="C110" s="266"/>
      <c r="D110" s="267"/>
      <c r="E110" s="268"/>
      <c r="F110" s="269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70"/>
      <c r="T110" s="266"/>
      <c r="U110" s="266"/>
      <c r="V110" s="224"/>
      <c r="W110" s="224"/>
      <c r="X110" s="224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</row>
    <row r="111" ht="15.75" customHeight="1">
      <c r="A111" s="271"/>
      <c r="B111" s="272"/>
      <c r="C111" s="272"/>
      <c r="D111" s="273"/>
      <c r="E111" s="274"/>
      <c r="F111" s="275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6"/>
      <c r="T111" s="272"/>
      <c r="U111" s="272"/>
      <c r="V111" s="277"/>
      <c r="W111" s="277"/>
      <c r="X111" s="277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</row>
    <row r="112" ht="15.75" customHeight="1">
      <c r="A112" s="265"/>
      <c r="B112" s="266"/>
      <c r="C112" s="266"/>
      <c r="D112" s="267"/>
      <c r="E112" s="268"/>
      <c r="F112" s="269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70"/>
      <c r="T112" s="266"/>
      <c r="U112" s="266"/>
      <c r="V112" s="224"/>
      <c r="W112" s="224"/>
      <c r="X112" s="224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</row>
    <row r="113" ht="15.75" customHeight="1">
      <c r="A113" s="35"/>
      <c r="B113" s="91"/>
      <c r="C113" s="88"/>
      <c r="D113" s="88"/>
      <c r="E113" s="88"/>
      <c r="F113" s="88"/>
      <c r="G113" s="88"/>
      <c r="H113" s="88"/>
      <c r="I113" s="65"/>
      <c r="J113" s="65"/>
      <c r="K113" s="65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15"/>
      <c r="Z113" s="115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66"/>
      <c r="B114" s="93"/>
      <c r="C114" s="94"/>
      <c r="D114" s="94"/>
      <c r="E114" s="94"/>
      <c r="F114" s="94"/>
      <c r="G114" s="94"/>
      <c r="H114" s="94"/>
      <c r="I114" s="94"/>
      <c r="J114" s="94"/>
      <c r="K114" s="95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15"/>
      <c r="Z114" s="115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96"/>
      <c r="B115" s="97"/>
      <c r="C115" s="6"/>
      <c r="D115" s="7"/>
      <c r="E115" s="8"/>
      <c r="F115" s="9"/>
      <c r="G115" s="287"/>
      <c r="H115" s="159"/>
      <c r="I115" s="159"/>
      <c r="J115" s="10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99" t="s">
        <v>115</v>
      </c>
      <c r="B116" s="6"/>
      <c r="C116" s="288">
        <f>SUM(G11:G99)</f>
        <v>1059205</v>
      </c>
      <c r="H116" s="159"/>
      <c r="I116" s="159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hidden="1" customHeight="1">
      <c r="A117" s="101" t="s">
        <v>116</v>
      </c>
      <c r="B117" s="102"/>
      <c r="C117" s="289">
        <f>PRODUCT(C116,0.1)</f>
        <v>105920.5</v>
      </c>
      <c r="D117" s="104"/>
      <c r="E117" s="104"/>
      <c r="F117" s="104"/>
      <c r="G117" s="105"/>
      <c r="H117" s="159"/>
      <c r="I117" s="159"/>
      <c r="J117" s="290"/>
      <c r="L117" s="290"/>
      <c r="W117" s="290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hidden="1" customHeight="1">
      <c r="A118" s="107" t="s">
        <v>117</v>
      </c>
      <c r="B118" s="108"/>
      <c r="C118" s="291">
        <f>PRODUCT(C116,0.1)</f>
        <v>105920.5</v>
      </c>
      <c r="D118" s="94"/>
      <c r="E118" s="94"/>
      <c r="F118" s="94"/>
      <c r="G118" s="95"/>
      <c r="H118" s="159"/>
      <c r="I118" s="159"/>
      <c r="J118" s="292"/>
      <c r="K118" s="97"/>
      <c r="L118" s="293"/>
      <c r="W118" s="293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hidden="1" customHeight="1">
      <c r="A119" s="107" t="s">
        <v>118</v>
      </c>
      <c r="B119" s="108"/>
      <c r="C119" s="291">
        <f>SUM(C116:G118)</f>
        <v>1271046</v>
      </c>
      <c r="D119" s="94"/>
      <c r="E119" s="94"/>
      <c r="F119" s="94"/>
      <c r="G119" s="95"/>
      <c r="H119" s="159"/>
      <c r="I119" s="159"/>
      <c r="J119" s="292"/>
      <c r="K119" s="97"/>
      <c r="L119" s="293"/>
      <c r="W119" s="293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113"/>
      <c r="B120" s="6"/>
      <c r="C120" s="6"/>
      <c r="D120" s="7"/>
      <c r="E120" s="8"/>
      <c r="F120" s="9"/>
      <c r="G120" s="158"/>
      <c r="H120" s="159"/>
      <c r="I120" s="159"/>
      <c r="J120" s="292"/>
      <c r="K120" s="97"/>
      <c r="L120" s="293"/>
      <c r="W120" s="293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114" t="s">
        <v>119</v>
      </c>
      <c r="B121" s="6"/>
      <c r="C121" s="6"/>
      <c r="D121" s="7"/>
      <c r="E121" s="8"/>
      <c r="F121" s="9"/>
      <c r="G121" s="158"/>
      <c r="H121" s="159"/>
      <c r="I121" s="159"/>
      <c r="J121" s="10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115"/>
      <c r="B122" s="6"/>
      <c r="C122" s="6"/>
      <c r="D122" s="7"/>
      <c r="E122" s="8"/>
      <c r="F122" s="9"/>
      <c r="G122" s="158"/>
      <c r="H122" s="159"/>
      <c r="I122" s="159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116" t="s">
        <v>120</v>
      </c>
      <c r="B123" s="97"/>
      <c r="C123" s="6"/>
      <c r="D123" s="117" t="s">
        <v>121</v>
      </c>
      <c r="H123" s="117"/>
      <c r="I123" s="97"/>
      <c r="J123" s="10"/>
      <c r="K123" s="117" t="s">
        <v>122</v>
      </c>
      <c r="Q123" s="6"/>
      <c r="R123" s="6"/>
      <c r="S123" s="117" t="s">
        <v>123</v>
      </c>
      <c r="W123" s="6"/>
      <c r="X123" s="6"/>
      <c r="Z123" s="97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116"/>
      <c r="B124" s="97"/>
      <c r="C124" s="6"/>
      <c r="D124" s="117"/>
      <c r="E124" s="118"/>
      <c r="F124" s="119"/>
      <c r="G124" s="120"/>
      <c r="H124" s="117"/>
      <c r="I124" s="97"/>
      <c r="J124" s="10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97"/>
      <c r="Z124" s="97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97"/>
      <c r="B125" s="97"/>
      <c r="C125" s="6"/>
      <c r="D125" s="97"/>
      <c r="E125" s="294"/>
      <c r="F125" s="295"/>
      <c r="G125" s="296"/>
      <c r="H125" s="297"/>
      <c r="I125" s="97"/>
      <c r="J125" s="10"/>
      <c r="K125" s="97"/>
      <c r="L125" s="297"/>
      <c r="M125" s="297"/>
      <c r="N125" s="297"/>
      <c r="O125" s="297"/>
      <c r="P125" s="297"/>
      <c r="Q125" s="297"/>
      <c r="R125" s="297"/>
      <c r="S125" s="97"/>
      <c r="T125" s="297"/>
      <c r="U125" s="97"/>
      <c r="V125" s="97"/>
      <c r="W125" s="97"/>
      <c r="X125" s="97"/>
      <c r="Y125" s="97"/>
      <c r="Z125" s="97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125" t="s">
        <v>124</v>
      </c>
      <c r="C126" s="6"/>
      <c r="D126" s="117" t="s">
        <v>125</v>
      </c>
      <c r="H126" s="117"/>
      <c r="I126" s="117"/>
      <c r="J126" s="10"/>
      <c r="K126" s="117" t="s">
        <v>126</v>
      </c>
      <c r="Q126" s="6"/>
      <c r="R126" s="6"/>
      <c r="S126" s="117" t="s">
        <v>127</v>
      </c>
      <c r="W126" s="6"/>
      <c r="X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0" customHeight="1">
      <c r="A127" s="127" t="s">
        <v>128</v>
      </c>
      <c r="C127" s="6"/>
      <c r="D127" s="128" t="s">
        <v>129</v>
      </c>
      <c r="J127" s="10"/>
      <c r="K127" s="130" t="s">
        <v>130</v>
      </c>
      <c r="Q127" s="6"/>
      <c r="R127" s="6"/>
      <c r="S127" s="128" t="s">
        <v>131</v>
      </c>
      <c r="W127" s="6"/>
      <c r="X127" s="6"/>
      <c r="Y127" s="97"/>
      <c r="Z127" s="97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6"/>
      <c r="B128" s="6"/>
      <c r="C128" s="6"/>
      <c r="D128" s="6"/>
      <c r="E128" s="7"/>
      <c r="F128" s="8"/>
      <c r="G128" s="9"/>
      <c r="H128" s="6"/>
      <c r="I128" s="6"/>
      <c r="J128" s="10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 t="s">
        <v>132</v>
      </c>
      <c r="B129" s="6"/>
      <c r="C129" s="6"/>
      <c r="D129" s="6" t="s">
        <v>132</v>
      </c>
      <c r="E129" s="7"/>
      <c r="F129" s="8"/>
      <c r="G129" s="9"/>
      <c r="H129" s="6"/>
      <c r="I129" s="6"/>
      <c r="J129" s="10"/>
      <c r="K129" s="6" t="s">
        <v>132</v>
      </c>
      <c r="L129" s="6"/>
      <c r="M129" s="6"/>
      <c r="N129" s="6"/>
      <c r="O129" s="6"/>
      <c r="P129" s="6"/>
      <c r="Q129" s="6"/>
      <c r="R129" s="6"/>
      <c r="S129" s="6" t="s">
        <v>132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/>
      <c r="B130" s="6"/>
      <c r="C130" s="6"/>
      <c r="D130" s="298"/>
      <c r="E130" s="299"/>
      <c r="F130" s="300"/>
      <c r="G130" s="6"/>
      <c r="H130" s="6"/>
      <c r="I130" s="6"/>
      <c r="J130" s="13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298"/>
      <c r="E131" s="299"/>
      <c r="F131" s="300"/>
      <c r="G131" s="6"/>
      <c r="H131" s="6"/>
      <c r="I131" s="6"/>
      <c r="J131" s="135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298"/>
      <c r="E132" s="299"/>
      <c r="F132" s="300"/>
      <c r="G132" s="6"/>
      <c r="H132" s="6"/>
      <c r="I132" s="6"/>
      <c r="J132" s="301"/>
      <c r="K132" s="302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298"/>
      <c r="E133" s="299"/>
      <c r="F133" s="300"/>
      <c r="G133" s="6"/>
      <c r="H133" s="6"/>
      <c r="I133" s="6"/>
      <c r="J133" s="134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298"/>
      <c r="E134" s="299"/>
      <c r="F134" s="300"/>
      <c r="G134" s="6"/>
      <c r="H134" s="6"/>
      <c r="I134" s="6"/>
      <c r="J134" s="140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298"/>
      <c r="E135" s="299"/>
      <c r="F135" s="300"/>
      <c r="G135" s="6"/>
      <c r="H135" s="6"/>
      <c r="I135" s="6"/>
      <c r="J135" s="10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298"/>
      <c r="E136" s="299"/>
      <c r="F136" s="300"/>
      <c r="G136" s="6"/>
      <c r="H136" s="6"/>
      <c r="I136" s="6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298"/>
      <c r="E137" s="299"/>
      <c r="F137" s="300"/>
      <c r="G137" s="6"/>
      <c r="H137" s="6"/>
      <c r="I137" s="6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298"/>
      <c r="E138" s="299"/>
      <c r="F138" s="300"/>
      <c r="G138" s="6"/>
      <c r="H138" s="6"/>
      <c r="I138" s="6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298"/>
      <c r="E139" s="299"/>
      <c r="F139" s="300"/>
      <c r="G139" s="6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298"/>
      <c r="E140" s="299"/>
      <c r="F140" s="300"/>
      <c r="G140" s="6"/>
      <c r="H140" s="6"/>
      <c r="I140" s="6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7"/>
      <c r="E330" s="10"/>
      <c r="F330" s="6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7"/>
      <c r="E331" s="10"/>
      <c r="F331" s="6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7"/>
      <c r="E332" s="10"/>
      <c r="F332" s="6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7"/>
      <c r="E333" s="10"/>
      <c r="F333" s="6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7"/>
      <c r="E334" s="10"/>
      <c r="F334" s="6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7"/>
      <c r="E335" s="10"/>
      <c r="F335" s="6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7"/>
      <c r="E336" s="10"/>
      <c r="F336" s="6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7"/>
      <c r="E337" s="10"/>
      <c r="F337" s="6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7"/>
      <c r="E338" s="10"/>
      <c r="F338" s="6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7"/>
      <c r="E339" s="10"/>
      <c r="F339" s="6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7"/>
      <c r="E340" s="10"/>
      <c r="F340" s="6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6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6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6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6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6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6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6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6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6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6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6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6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6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6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6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6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6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6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6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6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6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6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6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6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6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6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6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6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6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6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6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6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6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6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6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6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6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6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6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6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6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6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</sheetData>
  <mergeCells count="87">
    <mergeCell ref="S107:S108"/>
    <mergeCell ref="T107:T108"/>
    <mergeCell ref="U107:U108"/>
    <mergeCell ref="V107:V108"/>
    <mergeCell ref="W107:W108"/>
    <mergeCell ref="X107:X108"/>
    <mergeCell ref="Y107:Y108"/>
    <mergeCell ref="AG107:AG108"/>
    <mergeCell ref="AH107:AH108"/>
    <mergeCell ref="AI107:AI108"/>
    <mergeCell ref="Z107:Z108"/>
    <mergeCell ref="AA107:AA108"/>
    <mergeCell ref="AB107:AB108"/>
    <mergeCell ref="AC107:AC108"/>
    <mergeCell ref="AD107:AD108"/>
    <mergeCell ref="AE107:AE108"/>
    <mergeCell ref="AF107:AF108"/>
    <mergeCell ref="B114:K114"/>
    <mergeCell ref="C116:G116"/>
    <mergeCell ref="C117:G117"/>
    <mergeCell ref="J117:K117"/>
    <mergeCell ref="L117:V117"/>
    <mergeCell ref="C118:G118"/>
    <mergeCell ref="C119:G119"/>
    <mergeCell ref="L118:V118"/>
    <mergeCell ref="L119:V119"/>
    <mergeCell ref="L120:V120"/>
    <mergeCell ref="D123:G123"/>
    <mergeCell ref="K123:P123"/>
    <mergeCell ref="S123:V123"/>
    <mergeCell ref="X123:Y123"/>
    <mergeCell ref="S126:V126"/>
    <mergeCell ref="S127:V127"/>
    <mergeCell ref="J130:V130"/>
    <mergeCell ref="J133:V133"/>
    <mergeCell ref="J134:V134"/>
    <mergeCell ref="A126:B126"/>
    <mergeCell ref="D126:G126"/>
    <mergeCell ref="K126:P126"/>
    <mergeCell ref="X126:Z126"/>
    <mergeCell ref="A127:B127"/>
    <mergeCell ref="D127:I127"/>
    <mergeCell ref="K127:P127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5:H25"/>
    <mergeCell ref="I15:I22"/>
    <mergeCell ref="I23:I25"/>
    <mergeCell ref="H28:H29"/>
    <mergeCell ref="I28:I29"/>
    <mergeCell ref="H31:H34"/>
    <mergeCell ref="I31:I34"/>
    <mergeCell ref="H35:H41"/>
    <mergeCell ref="I35:I41"/>
    <mergeCell ref="H43:H49"/>
    <mergeCell ref="I43:I49"/>
    <mergeCell ref="I51:I52"/>
    <mergeCell ref="H51:H52"/>
    <mergeCell ref="H53:H55"/>
    <mergeCell ref="I53:I55"/>
    <mergeCell ref="H56:H62"/>
    <mergeCell ref="I56:I62"/>
    <mergeCell ref="H79:H85"/>
    <mergeCell ref="I79:I85"/>
    <mergeCell ref="L107:L108"/>
    <mergeCell ref="M107:M108"/>
    <mergeCell ref="N107:N108"/>
    <mergeCell ref="O107:O108"/>
    <mergeCell ref="P107:P108"/>
    <mergeCell ref="Q107:Q108"/>
    <mergeCell ref="R107:R108"/>
    <mergeCell ref="L101:L102"/>
    <mergeCell ref="M101:M102"/>
    <mergeCell ref="G107:G108"/>
    <mergeCell ref="H107:H108"/>
    <mergeCell ref="I107:I108"/>
    <mergeCell ref="J107:J108"/>
    <mergeCell ref="K107:K108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77.63"/>
    <col customWidth="1" hidden="1" min="3" max="3" width="11.63"/>
    <col customWidth="1" min="4" max="5" width="10.13"/>
    <col customWidth="1" min="6" max="6" width="11.38"/>
    <col customWidth="1" min="7" max="7" width="12.38"/>
    <col customWidth="1" min="8" max="8" width="25.38"/>
    <col customWidth="1" min="9" max="9" width="16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306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307" t="s">
        <v>219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308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309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310" t="s">
        <v>3</v>
      </c>
      <c r="B6" s="161"/>
      <c r="C6" s="161"/>
      <c r="D6" s="162"/>
      <c r="E6" s="163"/>
      <c r="F6" s="9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311" t="s">
        <v>4</v>
      </c>
      <c r="B7" s="161"/>
      <c r="C7" s="161"/>
      <c r="D7" s="162"/>
      <c r="E7" s="163"/>
      <c r="F7" s="9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312" t="s">
        <v>5</v>
      </c>
      <c r="B8" s="313" t="s">
        <v>6</v>
      </c>
      <c r="C8" s="314" t="s">
        <v>7</v>
      </c>
      <c r="D8" s="314" t="s">
        <v>7</v>
      </c>
      <c r="E8" s="315" t="s">
        <v>8</v>
      </c>
      <c r="F8" s="315" t="s">
        <v>9</v>
      </c>
      <c r="G8" s="316" t="s">
        <v>10</v>
      </c>
      <c r="H8" s="313" t="s">
        <v>11</v>
      </c>
      <c r="I8" s="313" t="s">
        <v>12</v>
      </c>
      <c r="J8" s="317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18" t="s">
        <v>14</v>
      </c>
      <c r="D9" s="318" t="s">
        <v>14</v>
      </c>
      <c r="E9" s="29"/>
      <c r="F9" s="29"/>
      <c r="G9" s="29"/>
      <c r="H9" s="29"/>
      <c r="I9" s="29"/>
      <c r="J9" s="319" t="s">
        <v>220</v>
      </c>
      <c r="K9" s="319" t="s">
        <v>221</v>
      </c>
      <c r="L9" s="319" t="s">
        <v>222</v>
      </c>
      <c r="M9" s="318" t="s">
        <v>18</v>
      </c>
      <c r="N9" s="318" t="s">
        <v>19</v>
      </c>
      <c r="O9" s="318" t="s">
        <v>20</v>
      </c>
      <c r="P9" s="318" t="s">
        <v>21</v>
      </c>
      <c r="Q9" s="318" t="s">
        <v>22</v>
      </c>
      <c r="R9" s="318" t="s">
        <v>23</v>
      </c>
      <c r="S9" s="318" t="s">
        <v>24</v>
      </c>
      <c r="T9" s="318" t="s">
        <v>25</v>
      </c>
      <c r="U9" s="318" t="s">
        <v>26</v>
      </c>
      <c r="V9" s="318" t="s">
        <v>27</v>
      </c>
      <c r="W9" s="320" t="str">
        <f>$X$9</f>
        <v>REMARKS</v>
      </c>
      <c r="X9" s="320" t="s">
        <v>28</v>
      </c>
      <c r="Y9" s="321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322"/>
      <c r="D10" s="323"/>
      <c r="E10" s="324"/>
      <c r="F10" s="325"/>
      <c r="G10" s="168"/>
      <c r="H10" s="322"/>
      <c r="I10" s="322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326" t="s">
        <v>48</v>
      </c>
      <c r="C11" s="327">
        <v>19.0</v>
      </c>
      <c r="D11" s="328">
        <v>25.0</v>
      </c>
      <c r="E11" s="329" t="s">
        <v>223</v>
      </c>
      <c r="F11" s="59">
        <v>8000.0</v>
      </c>
      <c r="G11" s="176">
        <f t="shared" ref="G11:G42" si="1">F11*D11</f>
        <v>200000</v>
      </c>
      <c r="H11" s="330" t="s">
        <v>41</v>
      </c>
      <c r="I11" s="331" t="s">
        <v>146</v>
      </c>
      <c r="J11" s="328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332" t="s">
        <v>50</v>
      </c>
      <c r="C12" s="327">
        <v>19.0</v>
      </c>
      <c r="D12" s="328">
        <v>25.0</v>
      </c>
      <c r="E12" s="329" t="s">
        <v>223</v>
      </c>
      <c r="F12" s="59">
        <v>3500.0</v>
      </c>
      <c r="G12" s="176">
        <f t="shared" si="1"/>
        <v>87500</v>
      </c>
      <c r="H12" s="185"/>
      <c r="I12" s="185"/>
      <c r="J12" s="328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332" t="s">
        <v>51</v>
      </c>
      <c r="C13" s="327">
        <v>19.0</v>
      </c>
      <c r="D13" s="328">
        <v>25.0</v>
      </c>
      <c r="E13" s="329" t="s">
        <v>223</v>
      </c>
      <c r="F13" s="59">
        <v>3000.0</v>
      </c>
      <c r="G13" s="176">
        <f t="shared" si="1"/>
        <v>75000</v>
      </c>
      <c r="H13" s="185"/>
      <c r="I13" s="185"/>
      <c r="J13" s="328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333" t="s">
        <v>39</v>
      </c>
      <c r="C14" s="54" t="s">
        <v>40</v>
      </c>
      <c r="D14" s="334">
        <v>15.0</v>
      </c>
      <c r="E14" s="47" t="str">
        <f>IFERROR(__xludf.DUMMYFUNCTION("REGEXEXTRACT(C14,""[A-Za-z]+"")"),"samples")</f>
        <v>samples</v>
      </c>
      <c r="F14" s="48">
        <v>800.0</v>
      </c>
      <c r="G14" s="176">
        <f t="shared" si="1"/>
        <v>12000</v>
      </c>
      <c r="H14" s="330" t="s">
        <v>41</v>
      </c>
      <c r="I14" s="185"/>
      <c r="J14" s="334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333" t="s">
        <v>42</v>
      </c>
      <c r="C15" s="54" t="s">
        <v>40</v>
      </c>
      <c r="D15" s="334">
        <v>15.0</v>
      </c>
      <c r="E15" s="47" t="str">
        <f>IFERROR(__xludf.DUMMYFUNCTION("REGEXEXTRACT(C15,""[A-Za-z]+"")"),"samples")</f>
        <v>samples</v>
      </c>
      <c r="F15" s="48">
        <v>700.0</v>
      </c>
      <c r="G15" s="176">
        <f t="shared" si="1"/>
        <v>10500</v>
      </c>
      <c r="H15" s="185"/>
      <c r="I15" s="185"/>
      <c r="J15" s="334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333" t="s">
        <v>43</v>
      </c>
      <c r="C16" s="54" t="s">
        <v>40</v>
      </c>
      <c r="D16" s="334">
        <v>15.0</v>
      </c>
      <c r="E16" s="47" t="str">
        <f>IFERROR(__xludf.DUMMYFUNCTION("REGEXEXTRACT(C16,""[A-Za-z]+"")"),"samples")</f>
        <v>samples</v>
      </c>
      <c r="F16" s="48">
        <v>1100.0</v>
      </c>
      <c r="G16" s="176">
        <f t="shared" si="1"/>
        <v>16500</v>
      </c>
      <c r="H16" s="185"/>
      <c r="I16" s="185"/>
      <c r="J16" s="334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333" t="s">
        <v>44</v>
      </c>
      <c r="C17" s="54" t="s">
        <v>40</v>
      </c>
      <c r="D17" s="334">
        <v>15.0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16500</v>
      </c>
      <c r="H17" s="185"/>
      <c r="I17" s="185"/>
      <c r="J17" s="334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333" t="s">
        <v>45</v>
      </c>
      <c r="C18" s="54" t="s">
        <v>40</v>
      </c>
      <c r="D18" s="334">
        <v>15.0</v>
      </c>
      <c r="E18" s="47" t="str">
        <f>IFERROR(__xludf.DUMMYFUNCTION("REGEXEXTRACT(C18,""[A-Za-z]+"")"),"samples")</f>
        <v>samples</v>
      </c>
      <c r="F18" s="48">
        <v>700.0</v>
      </c>
      <c r="G18" s="176">
        <f t="shared" si="1"/>
        <v>10500</v>
      </c>
      <c r="H18" s="185"/>
      <c r="I18" s="185"/>
      <c r="J18" s="334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333" t="s">
        <v>46</v>
      </c>
      <c r="C19" s="54" t="s">
        <v>40</v>
      </c>
      <c r="D19" s="334">
        <v>15.0</v>
      </c>
      <c r="E19" s="47" t="str">
        <f>IFERROR(__xludf.DUMMYFUNCTION("REGEXEXTRACT(C19,""[A-Za-z]+"")"),"samples")</f>
        <v>samples</v>
      </c>
      <c r="F19" s="48">
        <v>400.0</v>
      </c>
      <c r="G19" s="176">
        <f t="shared" si="1"/>
        <v>6000</v>
      </c>
      <c r="H19" s="185"/>
      <c r="I19" s="185"/>
      <c r="J19" s="334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333" t="s">
        <v>47</v>
      </c>
      <c r="C20" s="54" t="s">
        <v>40</v>
      </c>
      <c r="D20" s="334">
        <v>15.0</v>
      </c>
      <c r="E20" s="47" t="str">
        <f>IFERROR(__xludf.DUMMYFUNCTION("REGEXEXTRACT(C20,""[A-Za-z]+"")"),"samples")</f>
        <v>samples</v>
      </c>
      <c r="F20" s="48">
        <v>700.0</v>
      </c>
      <c r="G20" s="176">
        <f t="shared" si="1"/>
        <v>10500</v>
      </c>
      <c r="H20" s="185"/>
      <c r="I20" s="185"/>
      <c r="J20" s="334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335" t="s">
        <v>224</v>
      </c>
      <c r="C21" s="56"/>
      <c r="D21" s="334">
        <v>15.0</v>
      </c>
      <c r="E21" s="47" t="s">
        <v>145</v>
      </c>
      <c r="F21" s="48">
        <v>600.0</v>
      </c>
      <c r="G21" s="176">
        <f t="shared" si="1"/>
        <v>9000</v>
      </c>
      <c r="H21" s="185"/>
      <c r="I21" s="186"/>
      <c r="J21" s="334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335" t="s">
        <v>225</v>
      </c>
      <c r="C22" s="52" t="s">
        <v>34</v>
      </c>
      <c r="D22" s="46">
        <v>1.0</v>
      </c>
      <c r="E22" s="47" t="str">
        <f>IFERROR(__xludf.DUMMYFUNCTION("REGEXEXTRACT(C22,""[A-Za-z]+"")"),"lot")</f>
        <v>lot</v>
      </c>
      <c r="F22" s="48">
        <v>33000.0</v>
      </c>
      <c r="G22" s="176">
        <f t="shared" si="1"/>
        <v>33000</v>
      </c>
      <c r="H22" s="336" t="s">
        <v>226</v>
      </c>
      <c r="I22" s="108" t="s">
        <v>146</v>
      </c>
      <c r="J22" s="33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335" t="s">
        <v>227</v>
      </c>
      <c r="C23" s="54"/>
      <c r="D23" s="334">
        <v>40.0</v>
      </c>
      <c r="E23" s="338" t="s">
        <v>228</v>
      </c>
      <c r="F23" s="339">
        <v>3000.0</v>
      </c>
      <c r="G23" s="176">
        <f t="shared" si="1"/>
        <v>120000</v>
      </c>
      <c r="H23" s="336" t="s">
        <v>226</v>
      </c>
      <c r="I23" s="108" t="s">
        <v>146</v>
      </c>
      <c r="J23" s="33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333" t="s">
        <v>35</v>
      </c>
      <c r="C24" s="54" t="s">
        <v>36</v>
      </c>
      <c r="D24" s="46">
        <v>10.0</v>
      </c>
      <c r="E24" s="47" t="str">
        <f>IFERROR(__xludf.DUMMYFUNCTION("REGEXEXTRACT(C24,""[A-Za-z]+"")"),"lots")</f>
        <v>lots</v>
      </c>
      <c r="F24" s="48">
        <v>3000.0</v>
      </c>
      <c r="G24" s="176">
        <f t="shared" si="1"/>
        <v>30000</v>
      </c>
      <c r="H24" s="336" t="s">
        <v>141</v>
      </c>
      <c r="I24" s="108" t="s">
        <v>146</v>
      </c>
      <c r="J24" s="33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333" t="s">
        <v>37</v>
      </c>
      <c r="C25" s="54" t="s">
        <v>38</v>
      </c>
      <c r="D25" s="46">
        <v>200.0</v>
      </c>
      <c r="E25" s="47" t="str">
        <f>IFERROR(__xludf.DUMMYFUNCTION("REGEXEXTRACT(C25,""[A-Za-z]+"")"),"lots")</f>
        <v>lots</v>
      </c>
      <c r="F25" s="48">
        <v>150.0</v>
      </c>
      <c r="G25" s="176">
        <f t="shared" si="1"/>
        <v>30000</v>
      </c>
      <c r="H25" s="336" t="s">
        <v>141</v>
      </c>
      <c r="I25" s="108" t="s">
        <v>146</v>
      </c>
      <c r="J25" s="33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335" t="s">
        <v>229</v>
      </c>
      <c r="C26" s="56"/>
      <c r="D26" s="334">
        <v>10.0</v>
      </c>
      <c r="E26" s="338" t="s">
        <v>145</v>
      </c>
      <c r="F26" s="339">
        <v>1000.0</v>
      </c>
      <c r="G26" s="48">
        <f t="shared" si="1"/>
        <v>10000</v>
      </c>
      <c r="H26" s="330" t="s">
        <v>41</v>
      </c>
      <c r="I26" s="331" t="s">
        <v>146</v>
      </c>
      <c r="J26" s="334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335" t="s">
        <v>230</v>
      </c>
      <c r="C27" s="56"/>
      <c r="D27" s="334">
        <v>10.0</v>
      </c>
      <c r="E27" s="338" t="s">
        <v>145</v>
      </c>
      <c r="F27" s="339">
        <v>800.0</v>
      </c>
      <c r="G27" s="48">
        <f t="shared" si="1"/>
        <v>8000</v>
      </c>
      <c r="H27" s="185"/>
      <c r="I27" s="185"/>
      <c r="J27" s="334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35"/>
      <c r="B28" s="335" t="s">
        <v>231</v>
      </c>
      <c r="C28" s="56"/>
      <c r="D28" s="334">
        <v>10.0</v>
      </c>
      <c r="E28" s="338" t="s">
        <v>145</v>
      </c>
      <c r="F28" s="339">
        <v>500.0</v>
      </c>
      <c r="G28" s="48">
        <f t="shared" si="1"/>
        <v>5000</v>
      </c>
      <c r="H28" s="185"/>
      <c r="I28" s="185"/>
      <c r="J28" s="334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335" t="s">
        <v>232</v>
      </c>
      <c r="C29" s="56"/>
      <c r="D29" s="334">
        <v>10.0</v>
      </c>
      <c r="E29" s="338" t="s">
        <v>145</v>
      </c>
      <c r="F29" s="339">
        <v>700.0</v>
      </c>
      <c r="G29" s="48">
        <f t="shared" si="1"/>
        <v>7000</v>
      </c>
      <c r="H29" s="185"/>
      <c r="I29" s="185"/>
      <c r="J29" s="334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35"/>
      <c r="B30" s="335" t="s">
        <v>233</v>
      </c>
      <c r="C30" s="56"/>
      <c r="D30" s="334">
        <v>10.0</v>
      </c>
      <c r="E30" s="338" t="s">
        <v>145</v>
      </c>
      <c r="F30" s="339">
        <v>400.0</v>
      </c>
      <c r="G30" s="48">
        <f t="shared" si="1"/>
        <v>4000</v>
      </c>
      <c r="H30" s="185"/>
      <c r="I30" s="185"/>
      <c r="J30" s="334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335" t="s">
        <v>234</v>
      </c>
      <c r="C31" s="56"/>
      <c r="D31" s="334">
        <v>10.0</v>
      </c>
      <c r="E31" s="338" t="s">
        <v>145</v>
      </c>
      <c r="F31" s="339">
        <v>500.0</v>
      </c>
      <c r="G31" s="48">
        <f t="shared" si="1"/>
        <v>5000</v>
      </c>
      <c r="H31" s="185"/>
      <c r="I31" s="185"/>
      <c r="J31" s="334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340" t="s">
        <v>235</v>
      </c>
      <c r="C32" s="56"/>
      <c r="D32" s="334">
        <v>10.0</v>
      </c>
      <c r="E32" s="338" t="s">
        <v>145</v>
      </c>
      <c r="F32" s="339">
        <v>800.0</v>
      </c>
      <c r="G32" s="48">
        <f t="shared" si="1"/>
        <v>8000</v>
      </c>
      <c r="H32" s="185"/>
      <c r="I32" s="185"/>
      <c r="J32" s="334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340" t="s">
        <v>236</v>
      </c>
      <c r="C33" s="56"/>
      <c r="D33" s="334">
        <v>10.0</v>
      </c>
      <c r="E33" s="338" t="s">
        <v>145</v>
      </c>
      <c r="F33" s="339">
        <v>600.0</v>
      </c>
      <c r="G33" s="48">
        <f t="shared" si="1"/>
        <v>6000</v>
      </c>
      <c r="H33" s="185"/>
      <c r="I33" s="185"/>
      <c r="J33" s="334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340" t="s">
        <v>237</v>
      </c>
      <c r="C34" s="56"/>
      <c r="D34" s="334">
        <v>10.0</v>
      </c>
      <c r="E34" s="338" t="s">
        <v>145</v>
      </c>
      <c r="F34" s="339">
        <v>1600.0</v>
      </c>
      <c r="G34" s="48">
        <f t="shared" si="1"/>
        <v>16000</v>
      </c>
      <c r="H34" s="185"/>
      <c r="I34" s="185"/>
      <c r="J34" s="334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35"/>
      <c r="B35" s="340" t="s">
        <v>238</v>
      </c>
      <c r="C35" s="56"/>
      <c r="D35" s="334">
        <v>10.0</v>
      </c>
      <c r="E35" s="338" t="s">
        <v>145</v>
      </c>
      <c r="F35" s="339">
        <v>600.0</v>
      </c>
      <c r="G35" s="48">
        <f t="shared" si="1"/>
        <v>6000</v>
      </c>
      <c r="H35" s="185"/>
      <c r="I35" s="185"/>
      <c r="J35" s="334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35"/>
      <c r="B36" s="340" t="s">
        <v>239</v>
      </c>
      <c r="C36" s="56"/>
      <c r="D36" s="334">
        <v>10.0</v>
      </c>
      <c r="E36" s="338" t="s">
        <v>145</v>
      </c>
      <c r="F36" s="339">
        <v>1100.0</v>
      </c>
      <c r="G36" s="48">
        <f t="shared" si="1"/>
        <v>11000</v>
      </c>
      <c r="H36" s="185"/>
      <c r="I36" s="185"/>
      <c r="J36" s="334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35"/>
      <c r="B37" s="340" t="s">
        <v>240</v>
      </c>
      <c r="C37" s="56"/>
      <c r="D37" s="334">
        <v>10.0</v>
      </c>
      <c r="E37" s="338" t="s">
        <v>145</v>
      </c>
      <c r="F37" s="339">
        <v>1200.0</v>
      </c>
      <c r="G37" s="48">
        <f t="shared" si="1"/>
        <v>12000</v>
      </c>
      <c r="H37" s="185"/>
      <c r="I37" s="185"/>
      <c r="J37" s="334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35"/>
      <c r="B38" s="340" t="s">
        <v>241</v>
      </c>
      <c r="C38" s="56"/>
      <c r="D38" s="334">
        <v>10.0</v>
      </c>
      <c r="E38" s="338" t="s">
        <v>145</v>
      </c>
      <c r="F38" s="339">
        <v>600.0</v>
      </c>
      <c r="G38" s="48">
        <f t="shared" si="1"/>
        <v>6000</v>
      </c>
      <c r="H38" s="185"/>
      <c r="I38" s="185"/>
      <c r="J38" s="334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35"/>
      <c r="B39" s="340" t="s">
        <v>242</v>
      </c>
      <c r="C39" s="56"/>
      <c r="D39" s="334">
        <v>10.0</v>
      </c>
      <c r="E39" s="338" t="s">
        <v>145</v>
      </c>
      <c r="F39" s="339">
        <v>600.0</v>
      </c>
      <c r="G39" s="48">
        <f t="shared" si="1"/>
        <v>6000</v>
      </c>
      <c r="H39" s="185"/>
      <c r="I39" s="185"/>
      <c r="J39" s="334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35"/>
      <c r="B40" s="341" t="s">
        <v>243</v>
      </c>
      <c r="C40" s="188"/>
      <c r="D40" s="330">
        <v>10.0</v>
      </c>
      <c r="E40" s="338" t="s">
        <v>145</v>
      </c>
      <c r="F40" s="339">
        <v>800.0</v>
      </c>
      <c r="G40" s="48">
        <f t="shared" si="1"/>
        <v>8000</v>
      </c>
      <c r="H40" s="185"/>
      <c r="I40" s="185"/>
      <c r="J40" s="188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35"/>
      <c r="B41" s="341" t="s">
        <v>244</v>
      </c>
      <c r="C41" s="188"/>
      <c r="D41" s="330">
        <v>10.0</v>
      </c>
      <c r="E41" s="338" t="s">
        <v>145</v>
      </c>
      <c r="F41" s="339">
        <v>1600.0</v>
      </c>
      <c r="G41" s="48">
        <f t="shared" si="1"/>
        <v>16000</v>
      </c>
      <c r="H41" s="186"/>
      <c r="I41" s="186"/>
      <c r="J41" s="188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341" t="s">
        <v>245</v>
      </c>
      <c r="C42" s="188"/>
      <c r="D42" s="330">
        <v>2.0</v>
      </c>
      <c r="E42" s="338" t="s">
        <v>139</v>
      </c>
      <c r="F42" s="339">
        <v>5000.0</v>
      </c>
      <c r="G42" s="48">
        <f t="shared" si="1"/>
        <v>10000</v>
      </c>
      <c r="H42" s="177"/>
      <c r="I42" s="177"/>
      <c r="J42" s="188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342" t="s">
        <v>52</v>
      </c>
      <c r="C43" s="190"/>
      <c r="D43" s="343"/>
      <c r="E43" s="343"/>
      <c r="F43" s="344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345" t="s">
        <v>246</v>
      </c>
      <c r="C44" s="175"/>
      <c r="D44" s="328">
        <v>3.0</v>
      </c>
      <c r="E44" s="346" t="s">
        <v>247</v>
      </c>
      <c r="F44" s="347">
        <v>3500.0</v>
      </c>
      <c r="G44" s="176">
        <f t="shared" ref="G44:G89" si="2">F44*D44</f>
        <v>10500</v>
      </c>
      <c r="H44" s="54" t="s">
        <v>55</v>
      </c>
      <c r="I44" s="331" t="s">
        <v>146</v>
      </c>
      <c r="J44" s="175"/>
      <c r="K44" s="175"/>
      <c r="L44" s="175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348" t="s">
        <v>248</v>
      </c>
      <c r="C45" s="175"/>
      <c r="D45" s="328">
        <v>3.0</v>
      </c>
      <c r="E45" s="346" t="s">
        <v>247</v>
      </c>
      <c r="F45" s="347">
        <v>4000.0</v>
      </c>
      <c r="G45" s="176">
        <f t="shared" si="2"/>
        <v>12000</v>
      </c>
      <c r="H45" s="185"/>
      <c r="I45" s="185"/>
      <c r="J45" s="175"/>
      <c r="K45" s="175"/>
      <c r="L45" s="175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348" t="s">
        <v>249</v>
      </c>
      <c r="C46" s="175"/>
      <c r="D46" s="328">
        <v>5.0</v>
      </c>
      <c r="E46" s="346" t="s">
        <v>247</v>
      </c>
      <c r="F46" s="347">
        <v>3500.0</v>
      </c>
      <c r="G46" s="176">
        <f t="shared" si="2"/>
        <v>17500</v>
      </c>
      <c r="H46" s="185"/>
      <c r="I46" s="185"/>
      <c r="J46" s="175"/>
      <c r="K46" s="175"/>
      <c r="L46" s="175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349" t="s">
        <v>250</v>
      </c>
      <c r="C47" s="175"/>
      <c r="D47" s="328">
        <v>3.0</v>
      </c>
      <c r="E47" s="346" t="s">
        <v>247</v>
      </c>
      <c r="F47" s="347">
        <v>3500.0</v>
      </c>
      <c r="G47" s="176">
        <f t="shared" si="2"/>
        <v>10500</v>
      </c>
      <c r="H47" s="185"/>
      <c r="I47" s="185"/>
      <c r="J47" s="175"/>
      <c r="K47" s="175"/>
      <c r="L47" s="175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350" t="s">
        <v>251</v>
      </c>
      <c r="C48" s="175"/>
      <c r="D48" s="328">
        <v>3.0</v>
      </c>
      <c r="E48" s="346" t="s">
        <v>247</v>
      </c>
      <c r="F48" s="347">
        <v>3000.0</v>
      </c>
      <c r="G48" s="176">
        <f t="shared" si="2"/>
        <v>9000</v>
      </c>
      <c r="H48" s="185"/>
      <c r="I48" s="185"/>
      <c r="J48" s="175"/>
      <c r="K48" s="175"/>
      <c r="L48" s="175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350" t="s">
        <v>252</v>
      </c>
      <c r="C49" s="175"/>
      <c r="D49" s="328">
        <v>80.0</v>
      </c>
      <c r="E49" s="346" t="s">
        <v>253</v>
      </c>
      <c r="F49" s="347">
        <v>3000.0</v>
      </c>
      <c r="G49" s="176">
        <f t="shared" si="2"/>
        <v>240000</v>
      </c>
      <c r="H49" s="185"/>
      <c r="I49" s="185"/>
      <c r="J49" s="175"/>
      <c r="K49" s="175"/>
      <c r="L49" s="175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350" t="s">
        <v>254</v>
      </c>
      <c r="C50" s="175"/>
      <c r="D50" s="328">
        <v>3.0</v>
      </c>
      <c r="E50" s="346" t="s">
        <v>247</v>
      </c>
      <c r="F50" s="347">
        <v>3000.0</v>
      </c>
      <c r="G50" s="176">
        <f t="shared" si="2"/>
        <v>9000</v>
      </c>
      <c r="H50" s="185"/>
      <c r="I50" s="185"/>
      <c r="J50" s="175"/>
      <c r="K50" s="175"/>
      <c r="L50" s="175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350" t="s">
        <v>255</v>
      </c>
      <c r="C51" s="175"/>
      <c r="D51" s="328">
        <v>3.0</v>
      </c>
      <c r="E51" s="346" t="s">
        <v>247</v>
      </c>
      <c r="F51" s="347">
        <v>2500.0</v>
      </c>
      <c r="G51" s="176">
        <f t="shared" si="2"/>
        <v>7500</v>
      </c>
      <c r="H51" s="185"/>
      <c r="I51" s="185"/>
      <c r="J51" s="175"/>
      <c r="K51" s="175"/>
      <c r="L51" s="175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350" t="s">
        <v>256</v>
      </c>
      <c r="C52" s="175"/>
      <c r="D52" s="328">
        <v>2.0</v>
      </c>
      <c r="E52" s="346" t="s">
        <v>247</v>
      </c>
      <c r="F52" s="347">
        <v>2500.0</v>
      </c>
      <c r="G52" s="176">
        <f t="shared" si="2"/>
        <v>5000</v>
      </c>
      <c r="H52" s="186"/>
      <c r="I52" s="186"/>
      <c r="J52" s="175"/>
      <c r="K52" s="175"/>
      <c r="L52" s="175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350" t="s">
        <v>257</v>
      </c>
      <c r="C53" s="175"/>
      <c r="D53" s="328">
        <v>100.0</v>
      </c>
      <c r="E53" s="346" t="s">
        <v>258</v>
      </c>
      <c r="F53" s="347">
        <v>2500.0</v>
      </c>
      <c r="G53" s="176">
        <f t="shared" si="2"/>
        <v>250000</v>
      </c>
      <c r="H53" s="54" t="s">
        <v>55</v>
      </c>
      <c r="I53" s="331" t="s">
        <v>146</v>
      </c>
      <c r="J53" s="175"/>
      <c r="K53" s="175"/>
      <c r="L53" s="175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350" t="s">
        <v>259</v>
      </c>
      <c r="C54" s="175"/>
      <c r="D54" s="328">
        <v>60.0</v>
      </c>
      <c r="E54" s="346" t="s">
        <v>258</v>
      </c>
      <c r="F54" s="347">
        <v>3000.0</v>
      </c>
      <c r="G54" s="176">
        <f t="shared" si="2"/>
        <v>180000</v>
      </c>
      <c r="H54" s="185"/>
      <c r="I54" s="185"/>
      <c r="J54" s="175"/>
      <c r="K54" s="175"/>
      <c r="L54" s="175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35"/>
      <c r="B55" s="350" t="s">
        <v>260</v>
      </c>
      <c r="C55" s="175"/>
      <c r="D55" s="328">
        <v>60.0</v>
      </c>
      <c r="E55" s="346" t="s">
        <v>261</v>
      </c>
      <c r="F55" s="347">
        <v>5000.0</v>
      </c>
      <c r="G55" s="176">
        <f t="shared" si="2"/>
        <v>300000</v>
      </c>
      <c r="H55" s="185"/>
      <c r="I55" s="185"/>
      <c r="J55" s="175"/>
      <c r="K55" s="175"/>
      <c r="L55" s="175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350" t="s">
        <v>262</v>
      </c>
      <c r="C56" s="175"/>
      <c r="D56" s="328">
        <v>60.0</v>
      </c>
      <c r="E56" s="346" t="s">
        <v>258</v>
      </c>
      <c r="F56" s="347">
        <v>6500.0</v>
      </c>
      <c r="G56" s="176">
        <f t="shared" si="2"/>
        <v>390000</v>
      </c>
      <c r="H56" s="186"/>
      <c r="I56" s="186"/>
      <c r="J56" s="175"/>
      <c r="K56" s="175"/>
      <c r="L56" s="175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350" t="s">
        <v>263</v>
      </c>
      <c r="C57" s="175"/>
      <c r="D57" s="328">
        <v>60.0</v>
      </c>
      <c r="E57" s="346" t="s">
        <v>258</v>
      </c>
      <c r="F57" s="347">
        <v>6500.0</v>
      </c>
      <c r="G57" s="176">
        <f t="shared" si="2"/>
        <v>390000</v>
      </c>
      <c r="H57" s="54" t="s">
        <v>55</v>
      </c>
      <c r="I57" s="331" t="s">
        <v>146</v>
      </c>
      <c r="J57" s="175"/>
      <c r="K57" s="175"/>
      <c r="L57" s="175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350" t="s">
        <v>264</v>
      </c>
      <c r="C58" s="175"/>
      <c r="D58" s="328">
        <v>6.0</v>
      </c>
      <c r="E58" s="346" t="s">
        <v>253</v>
      </c>
      <c r="F58" s="347">
        <v>2500.0</v>
      </c>
      <c r="G58" s="176">
        <f t="shared" si="2"/>
        <v>15000</v>
      </c>
      <c r="H58" s="185"/>
      <c r="I58" s="185"/>
      <c r="J58" s="175"/>
      <c r="K58" s="175"/>
      <c r="L58" s="175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191" t="s">
        <v>57</v>
      </c>
      <c r="C59" s="54" t="s">
        <v>58</v>
      </c>
      <c r="D59" s="334">
        <v>30.0</v>
      </c>
      <c r="E59" s="55" t="str">
        <f>IFERROR(__xludf.DUMMYFUNCTION("REGEXEXTRACT(C59,""[A-Za-z]+"")")," btls ")</f>
        <v>btls</v>
      </c>
      <c r="F59" s="347">
        <v>5500.0</v>
      </c>
      <c r="G59" s="176">
        <f t="shared" si="2"/>
        <v>165000</v>
      </c>
      <c r="H59" s="185"/>
      <c r="I59" s="185"/>
      <c r="J59" s="175"/>
      <c r="K59" s="175"/>
      <c r="L59" s="175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351" t="s">
        <v>265</v>
      </c>
      <c r="C60" s="175"/>
      <c r="D60" s="328">
        <v>6.0</v>
      </c>
      <c r="E60" s="346" t="s">
        <v>253</v>
      </c>
      <c r="F60" s="347">
        <v>2500.0</v>
      </c>
      <c r="G60" s="176">
        <f t="shared" si="2"/>
        <v>15000</v>
      </c>
      <c r="H60" s="186"/>
      <c r="I60" s="186"/>
      <c r="J60" s="175"/>
      <c r="K60" s="175"/>
      <c r="L60" s="175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350" t="s">
        <v>266</v>
      </c>
      <c r="C61" s="175"/>
      <c r="D61" s="328">
        <v>80.0</v>
      </c>
      <c r="E61" s="346" t="s">
        <v>267</v>
      </c>
      <c r="F61" s="347">
        <v>500.0</v>
      </c>
      <c r="G61" s="176">
        <f t="shared" si="2"/>
        <v>40000</v>
      </c>
      <c r="H61" s="54" t="s">
        <v>55</v>
      </c>
      <c r="I61" s="331" t="s">
        <v>146</v>
      </c>
      <c r="J61" s="175"/>
      <c r="K61" s="175"/>
      <c r="L61" s="175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350" t="s">
        <v>268</v>
      </c>
      <c r="C62" s="175"/>
      <c r="D62" s="328">
        <v>100.0</v>
      </c>
      <c r="E62" s="346" t="s">
        <v>267</v>
      </c>
      <c r="F62" s="347">
        <v>800.0</v>
      </c>
      <c r="G62" s="176">
        <f t="shared" si="2"/>
        <v>80000</v>
      </c>
      <c r="H62" s="185"/>
      <c r="I62" s="185"/>
      <c r="J62" s="175"/>
      <c r="K62" s="175"/>
      <c r="L62" s="175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5.75" customHeight="1">
      <c r="A63" s="35"/>
      <c r="B63" s="350" t="s">
        <v>269</v>
      </c>
      <c r="C63" s="175"/>
      <c r="D63" s="328">
        <v>50.0</v>
      </c>
      <c r="E63" s="346" t="s">
        <v>270</v>
      </c>
      <c r="F63" s="347">
        <v>1200.0</v>
      </c>
      <c r="G63" s="176">
        <f t="shared" si="2"/>
        <v>60000</v>
      </c>
      <c r="H63" s="185"/>
      <c r="I63" s="185"/>
      <c r="J63" s="175"/>
      <c r="K63" s="175"/>
      <c r="L63" s="175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5.75" customHeight="1">
      <c r="A64" s="35"/>
      <c r="B64" s="350" t="s">
        <v>271</v>
      </c>
      <c r="C64" s="175"/>
      <c r="D64" s="328">
        <v>20.0</v>
      </c>
      <c r="E64" s="346" t="s">
        <v>253</v>
      </c>
      <c r="F64" s="347">
        <v>500.0</v>
      </c>
      <c r="G64" s="176">
        <f t="shared" si="2"/>
        <v>10000</v>
      </c>
      <c r="H64" s="185"/>
      <c r="I64" s="185"/>
      <c r="J64" s="175"/>
      <c r="K64" s="175"/>
      <c r="L64" s="175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5.75" customHeight="1">
      <c r="A65" s="35"/>
      <c r="B65" s="350" t="s">
        <v>272</v>
      </c>
      <c r="C65" s="175"/>
      <c r="D65" s="328">
        <v>30.0</v>
      </c>
      <c r="E65" s="346" t="s">
        <v>253</v>
      </c>
      <c r="F65" s="347">
        <v>800.0</v>
      </c>
      <c r="G65" s="176">
        <f t="shared" si="2"/>
        <v>24000</v>
      </c>
      <c r="H65" s="186"/>
      <c r="I65" s="186"/>
      <c r="J65" s="175"/>
      <c r="K65" s="175"/>
      <c r="L65" s="175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5.75" customHeight="1">
      <c r="A66" s="35"/>
      <c r="B66" s="350" t="s">
        <v>273</v>
      </c>
      <c r="C66" s="175"/>
      <c r="D66" s="328">
        <v>20.0</v>
      </c>
      <c r="E66" s="346" t="s">
        <v>253</v>
      </c>
      <c r="F66" s="347">
        <v>2500.0</v>
      </c>
      <c r="G66" s="176">
        <f t="shared" si="2"/>
        <v>50000</v>
      </c>
      <c r="H66" s="54" t="s">
        <v>55</v>
      </c>
      <c r="I66" s="331" t="s">
        <v>146</v>
      </c>
      <c r="J66" s="175"/>
      <c r="K66" s="175"/>
      <c r="L66" s="175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5.75" customHeight="1">
      <c r="A67" s="35"/>
      <c r="B67" s="350" t="s">
        <v>274</v>
      </c>
      <c r="C67" s="175"/>
      <c r="D67" s="328">
        <v>20.0</v>
      </c>
      <c r="E67" s="346" t="s">
        <v>253</v>
      </c>
      <c r="F67" s="347">
        <v>2000.0</v>
      </c>
      <c r="G67" s="176">
        <f t="shared" si="2"/>
        <v>40000</v>
      </c>
      <c r="H67" s="185"/>
      <c r="I67" s="185"/>
      <c r="J67" s="175"/>
      <c r="K67" s="175"/>
      <c r="L67" s="175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5.75" customHeight="1">
      <c r="A68" s="35"/>
      <c r="B68" s="191" t="s">
        <v>53</v>
      </c>
      <c r="C68" s="54" t="s">
        <v>54</v>
      </c>
      <c r="D68" s="334">
        <v>60.0</v>
      </c>
      <c r="E68" s="55" t="str">
        <f>IFERROR(__xludf.DUMMYFUNCTION("REGEXEXTRACT(C68,""[A-Za-z]+"")")," btls ")</f>
        <v>btls</v>
      </c>
      <c r="F68" s="347">
        <v>4000.0</v>
      </c>
      <c r="G68" s="176">
        <f t="shared" si="2"/>
        <v>240000</v>
      </c>
      <c r="H68" s="185"/>
      <c r="I68" s="185"/>
      <c r="J68" s="175"/>
      <c r="K68" s="175"/>
      <c r="L68" s="175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5.75" customHeight="1">
      <c r="A69" s="35"/>
      <c r="B69" s="191" t="s">
        <v>56</v>
      </c>
      <c r="C69" s="54" t="s">
        <v>54</v>
      </c>
      <c r="D69" s="334">
        <v>60.0</v>
      </c>
      <c r="E69" s="55" t="str">
        <f>IFERROR(__xludf.DUMMYFUNCTION("REGEXEXTRACT(C69,""[A-Za-z]+"")")," btls ")</f>
        <v>btls</v>
      </c>
      <c r="F69" s="347">
        <v>2500.0</v>
      </c>
      <c r="G69" s="176">
        <f t="shared" si="2"/>
        <v>150000</v>
      </c>
      <c r="H69" s="186"/>
      <c r="I69" s="186"/>
      <c r="J69" s="175"/>
      <c r="K69" s="175"/>
      <c r="L69" s="175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5.75" customHeight="1">
      <c r="A70" s="35"/>
      <c r="B70" s="352" t="s">
        <v>275</v>
      </c>
      <c r="C70" s="175"/>
      <c r="D70" s="328">
        <v>50.0</v>
      </c>
      <c r="E70" s="353" t="s">
        <v>276</v>
      </c>
      <c r="F70" s="59">
        <v>5500.0</v>
      </c>
      <c r="G70" s="176">
        <f t="shared" si="2"/>
        <v>275000</v>
      </c>
      <c r="H70" s="330" t="s">
        <v>41</v>
      </c>
      <c r="I70" s="331" t="s">
        <v>146</v>
      </c>
      <c r="J70" s="328"/>
      <c r="K70" s="175"/>
      <c r="L70" s="175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35"/>
      <c r="B71" s="352" t="s">
        <v>277</v>
      </c>
      <c r="C71" s="175"/>
      <c r="D71" s="328">
        <v>50.0</v>
      </c>
      <c r="E71" s="353" t="s">
        <v>276</v>
      </c>
      <c r="F71" s="59">
        <v>5500.0</v>
      </c>
      <c r="G71" s="176">
        <f t="shared" si="2"/>
        <v>275000</v>
      </c>
      <c r="H71" s="186"/>
      <c r="I71" s="186"/>
      <c r="J71" s="328"/>
      <c r="K71" s="175"/>
      <c r="L71" s="175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73"/>
      <c r="B72" s="354" t="s">
        <v>105</v>
      </c>
      <c r="C72" s="355" t="s">
        <v>61</v>
      </c>
      <c r="D72" s="337">
        <v>20.0</v>
      </c>
      <c r="E72" s="356" t="str">
        <f>IFERROR(__xludf.DUMMYFUNCTION("REGEXEXTRACT(C72,""[A-Za-z]+"")"),"pcs")</f>
        <v>pcs</v>
      </c>
      <c r="F72" s="176">
        <v>1300.0</v>
      </c>
      <c r="G72" s="176">
        <f t="shared" si="2"/>
        <v>26000</v>
      </c>
      <c r="H72" s="54" t="s">
        <v>147</v>
      </c>
      <c r="I72" s="357" t="s">
        <v>146</v>
      </c>
      <c r="J72" s="175"/>
      <c r="K72" s="175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73"/>
      <c r="B73" s="354" t="s">
        <v>106</v>
      </c>
      <c r="C73" s="355" t="s">
        <v>107</v>
      </c>
      <c r="D73" s="337">
        <v>15.0</v>
      </c>
      <c r="E73" s="356" t="str">
        <f>IFERROR(__xludf.DUMMYFUNCTION("REGEXEXTRACT(C73,""[A-Za-z]+"")"),"pcs")</f>
        <v>pcs</v>
      </c>
      <c r="F73" s="176">
        <v>800.0</v>
      </c>
      <c r="G73" s="176">
        <f t="shared" si="2"/>
        <v>12000</v>
      </c>
      <c r="H73" s="185"/>
      <c r="I73" s="185"/>
      <c r="J73" s="175"/>
      <c r="K73" s="175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73"/>
      <c r="B74" s="354" t="s">
        <v>108</v>
      </c>
      <c r="C74" s="355" t="s">
        <v>107</v>
      </c>
      <c r="D74" s="337">
        <v>15.0</v>
      </c>
      <c r="E74" s="356" t="str">
        <f>IFERROR(__xludf.DUMMYFUNCTION("REGEXEXTRACT(C74,""[A-Za-z]+"")"),"pcs")</f>
        <v>pcs</v>
      </c>
      <c r="F74" s="176">
        <v>250.0</v>
      </c>
      <c r="G74" s="176">
        <f t="shared" si="2"/>
        <v>3750</v>
      </c>
      <c r="H74" s="185"/>
      <c r="I74" s="185"/>
      <c r="J74" s="175"/>
      <c r="K74" s="175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customHeight="1">
      <c r="A75" s="73"/>
      <c r="B75" s="354" t="s">
        <v>133</v>
      </c>
      <c r="C75" s="355"/>
      <c r="D75" s="337">
        <v>10.0</v>
      </c>
      <c r="E75" s="70" t="s">
        <v>110</v>
      </c>
      <c r="F75" s="176">
        <v>2400.0</v>
      </c>
      <c r="G75" s="176">
        <f t="shared" si="2"/>
        <v>24000</v>
      </c>
      <c r="H75" s="185"/>
      <c r="I75" s="185"/>
      <c r="J75" s="175"/>
      <c r="K75" s="175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customHeight="1">
      <c r="A76" s="79"/>
      <c r="B76" s="354" t="s">
        <v>134</v>
      </c>
      <c r="C76" s="358"/>
      <c r="D76" s="337">
        <v>10.0</v>
      </c>
      <c r="E76" s="70" t="s">
        <v>110</v>
      </c>
      <c r="F76" s="176">
        <v>2000.0</v>
      </c>
      <c r="G76" s="176">
        <f t="shared" si="2"/>
        <v>20000</v>
      </c>
      <c r="H76" s="185"/>
      <c r="I76" s="185"/>
      <c r="J76" s="175"/>
      <c r="K76" s="175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359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</row>
    <row r="77" ht="15.75" customHeight="1">
      <c r="A77" s="79"/>
      <c r="B77" s="354" t="s">
        <v>135</v>
      </c>
      <c r="C77" s="358"/>
      <c r="D77" s="337">
        <v>10.0</v>
      </c>
      <c r="E77" s="70" t="s">
        <v>110</v>
      </c>
      <c r="F77" s="176">
        <v>1000.0</v>
      </c>
      <c r="G77" s="176">
        <f t="shared" si="2"/>
        <v>10000</v>
      </c>
      <c r="H77" s="185"/>
      <c r="I77" s="185"/>
      <c r="J77" s="175"/>
      <c r="K77" s="175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359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</row>
    <row r="78" ht="15.75" customHeight="1">
      <c r="A78" s="73"/>
      <c r="B78" s="75" t="s">
        <v>103</v>
      </c>
      <c r="C78" s="355" t="s">
        <v>104</v>
      </c>
      <c r="D78" s="337">
        <v>24.0</v>
      </c>
      <c r="E78" s="70" t="str">
        <f>IFERROR(__xludf.DUMMYFUNCTION("REGEXEXTRACT(C78,""[A-Za-z]+"")")," pcs ")</f>
        <v>pcs</v>
      </c>
      <c r="F78" s="176">
        <v>2500.0</v>
      </c>
      <c r="G78" s="176">
        <f t="shared" si="2"/>
        <v>60000</v>
      </c>
      <c r="H78" s="185"/>
      <c r="I78" s="185"/>
      <c r="J78" s="175"/>
      <c r="K78" s="175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73"/>
      <c r="B79" s="360" t="s">
        <v>278</v>
      </c>
      <c r="C79" s="355"/>
      <c r="D79" s="361">
        <v>15.0</v>
      </c>
      <c r="E79" s="70" t="s">
        <v>110</v>
      </c>
      <c r="F79" s="176">
        <v>1000.0</v>
      </c>
      <c r="G79" s="176">
        <f t="shared" si="2"/>
        <v>15000</v>
      </c>
      <c r="H79" s="185"/>
      <c r="I79" s="185"/>
      <c r="J79" s="175"/>
      <c r="K79" s="175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73"/>
      <c r="B80" s="360" t="s">
        <v>279</v>
      </c>
      <c r="C80" s="355"/>
      <c r="D80" s="361">
        <v>15.0</v>
      </c>
      <c r="E80" s="70" t="s">
        <v>110</v>
      </c>
      <c r="F80" s="176">
        <v>2000.0</v>
      </c>
      <c r="G80" s="176">
        <f t="shared" si="2"/>
        <v>30000</v>
      </c>
      <c r="H80" s="185"/>
      <c r="I80" s="185"/>
      <c r="J80" s="175"/>
      <c r="K80" s="175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73"/>
      <c r="B81" s="360" t="s">
        <v>280</v>
      </c>
      <c r="C81" s="355"/>
      <c r="D81" s="361">
        <v>15.0</v>
      </c>
      <c r="E81" s="70" t="s">
        <v>110</v>
      </c>
      <c r="F81" s="176">
        <v>1000.0</v>
      </c>
      <c r="G81" s="176">
        <f t="shared" si="2"/>
        <v>15000</v>
      </c>
      <c r="H81" s="185"/>
      <c r="I81" s="185"/>
      <c r="J81" s="175"/>
      <c r="K81" s="175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73"/>
      <c r="B82" s="360" t="s">
        <v>281</v>
      </c>
      <c r="C82" s="355"/>
      <c r="D82" s="361">
        <v>15.0</v>
      </c>
      <c r="E82" s="70" t="s">
        <v>110</v>
      </c>
      <c r="F82" s="176">
        <v>2000.0</v>
      </c>
      <c r="G82" s="176">
        <f t="shared" si="2"/>
        <v>30000</v>
      </c>
      <c r="H82" s="186"/>
      <c r="I82" s="186"/>
      <c r="J82" s="175"/>
      <c r="K82" s="175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73"/>
      <c r="B83" s="360" t="s">
        <v>282</v>
      </c>
      <c r="C83" s="355"/>
      <c r="D83" s="361">
        <v>5.0</v>
      </c>
      <c r="E83" s="70" t="s">
        <v>110</v>
      </c>
      <c r="F83" s="362">
        <v>10000.0</v>
      </c>
      <c r="G83" s="176">
        <f t="shared" si="2"/>
        <v>50000</v>
      </c>
      <c r="H83" s="54" t="s">
        <v>55</v>
      </c>
      <c r="I83" s="331" t="s">
        <v>146</v>
      </c>
      <c r="J83" s="175"/>
      <c r="K83" s="175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73"/>
      <c r="B84" s="363" t="s">
        <v>283</v>
      </c>
      <c r="C84" s="175"/>
      <c r="D84" s="361">
        <v>2.0</v>
      </c>
      <c r="E84" s="70" t="s">
        <v>110</v>
      </c>
      <c r="F84" s="176">
        <v>25000.0</v>
      </c>
      <c r="G84" s="176">
        <f t="shared" si="2"/>
        <v>50000</v>
      </c>
      <c r="H84" s="186"/>
      <c r="I84" s="186"/>
      <c r="J84" s="175"/>
      <c r="K84" s="175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75" customHeight="1">
      <c r="A85" s="73"/>
      <c r="B85" s="360" t="s">
        <v>284</v>
      </c>
      <c r="C85" s="355"/>
      <c r="D85" s="361">
        <v>1.0</v>
      </c>
      <c r="E85" s="364" t="s">
        <v>285</v>
      </c>
      <c r="F85" s="362">
        <v>50000.0</v>
      </c>
      <c r="G85" s="176">
        <f t="shared" si="2"/>
        <v>50000</v>
      </c>
      <c r="H85" s="175" t="s">
        <v>55</v>
      </c>
      <c r="I85" s="108" t="s">
        <v>146</v>
      </c>
      <c r="J85" s="175"/>
      <c r="K85" s="175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73"/>
      <c r="B86" s="365" t="s">
        <v>286</v>
      </c>
      <c r="C86" s="366"/>
      <c r="D86" s="367">
        <v>20.0</v>
      </c>
      <c r="E86" s="367" t="s">
        <v>287</v>
      </c>
      <c r="F86" s="176">
        <v>5000.0</v>
      </c>
      <c r="G86" s="176">
        <f t="shared" si="2"/>
        <v>100000</v>
      </c>
      <c r="H86" s="175" t="s">
        <v>55</v>
      </c>
      <c r="I86" s="108" t="s">
        <v>146</v>
      </c>
      <c r="J86" s="175"/>
      <c r="K86" s="175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73"/>
      <c r="B87" s="360" t="s">
        <v>288</v>
      </c>
      <c r="C87" s="355"/>
      <c r="D87" s="361">
        <v>30.0</v>
      </c>
      <c r="E87" s="364" t="s">
        <v>152</v>
      </c>
      <c r="F87" s="176">
        <v>500.0</v>
      </c>
      <c r="G87" s="176">
        <f t="shared" si="2"/>
        <v>15000</v>
      </c>
      <c r="H87" s="54" t="s">
        <v>55</v>
      </c>
      <c r="I87" s="331" t="s">
        <v>146</v>
      </c>
      <c r="J87" s="175"/>
      <c r="K87" s="175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73"/>
      <c r="B88" s="191" t="s">
        <v>78</v>
      </c>
      <c r="C88" s="54" t="s">
        <v>79</v>
      </c>
      <c r="D88" s="46">
        <v>10.0</v>
      </c>
      <c r="E88" s="47" t="str">
        <f>IFERROR(__xludf.DUMMYFUNCTION("REGEXEXTRACT(C88,""[A-Za-z]+"")"),"boxes")</f>
        <v>boxes</v>
      </c>
      <c r="F88" s="48">
        <v>300.0</v>
      </c>
      <c r="G88" s="176">
        <f t="shared" si="2"/>
        <v>3000</v>
      </c>
      <c r="H88" s="185"/>
      <c r="I88" s="185"/>
      <c r="J88" s="175"/>
      <c r="K88" s="175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73"/>
      <c r="B89" s="191" t="s">
        <v>80</v>
      </c>
      <c r="C89" s="54" t="s">
        <v>79</v>
      </c>
      <c r="D89" s="46">
        <v>10.0</v>
      </c>
      <c r="E89" s="47" t="str">
        <f>IFERROR(__xludf.DUMMYFUNCTION("REGEXEXTRACT(C89,""[A-Za-z]+"")"),"boxes")</f>
        <v>boxes</v>
      </c>
      <c r="F89" s="48">
        <v>300.0</v>
      </c>
      <c r="G89" s="176">
        <f t="shared" si="2"/>
        <v>3000</v>
      </c>
      <c r="H89" s="186"/>
      <c r="I89" s="186"/>
      <c r="J89" s="175"/>
      <c r="K89" s="175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35"/>
      <c r="B90" s="368" t="s">
        <v>59</v>
      </c>
      <c r="C90" s="190"/>
      <c r="D90" s="343"/>
      <c r="E90" s="343"/>
      <c r="F90" s="344"/>
      <c r="G90" s="344"/>
      <c r="H90" s="190"/>
      <c r="I90" s="190"/>
      <c r="J90" s="201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35"/>
      <c r="B91" s="348" t="s">
        <v>289</v>
      </c>
      <c r="C91" s="175"/>
      <c r="D91" s="361">
        <v>2.0</v>
      </c>
      <c r="E91" s="369" t="s">
        <v>290</v>
      </c>
      <c r="F91" s="362">
        <v>40000.0</v>
      </c>
      <c r="G91" s="176">
        <f t="shared" ref="G91:G106" si="3">F91*D91</f>
        <v>80000</v>
      </c>
      <c r="H91" s="336" t="s">
        <v>55</v>
      </c>
      <c r="I91" s="108" t="s">
        <v>146</v>
      </c>
      <c r="J91" s="175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348" t="s">
        <v>136</v>
      </c>
      <c r="C92" s="175"/>
      <c r="D92" s="361">
        <v>6.0</v>
      </c>
      <c r="E92" s="369" t="s">
        <v>110</v>
      </c>
      <c r="F92" s="362">
        <v>20000.0</v>
      </c>
      <c r="G92" s="176">
        <f t="shared" si="3"/>
        <v>120000</v>
      </c>
      <c r="H92" s="54" t="s">
        <v>55</v>
      </c>
      <c r="I92" s="108" t="s">
        <v>146</v>
      </c>
      <c r="J92" s="175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348" t="s">
        <v>291</v>
      </c>
      <c r="C93" s="175"/>
      <c r="D93" s="361">
        <v>12.0</v>
      </c>
      <c r="E93" s="369" t="s">
        <v>110</v>
      </c>
      <c r="F93" s="370">
        <v>7000.0</v>
      </c>
      <c r="G93" s="176">
        <f t="shared" si="3"/>
        <v>84000</v>
      </c>
      <c r="H93" s="185"/>
      <c r="I93" s="108" t="s">
        <v>146</v>
      </c>
      <c r="J93" s="175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348" t="s">
        <v>292</v>
      </c>
      <c r="C94" s="175"/>
      <c r="D94" s="361">
        <v>1.0</v>
      </c>
      <c r="E94" s="369" t="s">
        <v>293</v>
      </c>
      <c r="F94" s="362">
        <v>3000.0</v>
      </c>
      <c r="G94" s="176">
        <f t="shared" si="3"/>
        <v>3000</v>
      </c>
      <c r="H94" s="185"/>
      <c r="I94" s="108" t="s">
        <v>146</v>
      </c>
      <c r="J94" s="175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35"/>
      <c r="B95" s="348" t="s">
        <v>294</v>
      </c>
      <c r="C95" s="175"/>
      <c r="D95" s="361">
        <v>10.0</v>
      </c>
      <c r="E95" s="369" t="s">
        <v>152</v>
      </c>
      <c r="F95" s="362">
        <v>1100.0</v>
      </c>
      <c r="G95" s="176">
        <f t="shared" si="3"/>
        <v>11000</v>
      </c>
      <c r="H95" s="185"/>
      <c r="I95" s="108" t="s">
        <v>146</v>
      </c>
      <c r="J95" s="175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35"/>
      <c r="B96" s="348" t="s">
        <v>295</v>
      </c>
      <c r="C96" s="175"/>
      <c r="D96" s="361">
        <v>20.0</v>
      </c>
      <c r="E96" s="369" t="s">
        <v>110</v>
      </c>
      <c r="F96" s="362">
        <v>700.0</v>
      </c>
      <c r="G96" s="176">
        <f t="shared" si="3"/>
        <v>14000</v>
      </c>
      <c r="H96" s="185"/>
      <c r="I96" s="108" t="s">
        <v>146</v>
      </c>
      <c r="J96" s="175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348" t="s">
        <v>296</v>
      </c>
      <c r="C97" s="175"/>
      <c r="D97" s="361">
        <v>10.0</v>
      </c>
      <c r="E97" s="369" t="s">
        <v>110</v>
      </c>
      <c r="F97" s="362">
        <v>15000.0</v>
      </c>
      <c r="G97" s="176">
        <f t="shared" si="3"/>
        <v>150000</v>
      </c>
      <c r="H97" s="186"/>
      <c r="I97" s="108" t="s">
        <v>146</v>
      </c>
      <c r="J97" s="175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348" t="s">
        <v>297</v>
      </c>
      <c r="C98" s="175"/>
      <c r="D98" s="361">
        <v>3.0</v>
      </c>
      <c r="E98" s="369" t="s">
        <v>110</v>
      </c>
      <c r="F98" s="362">
        <v>2000.0</v>
      </c>
      <c r="G98" s="176">
        <f t="shared" si="3"/>
        <v>6000</v>
      </c>
      <c r="H98" s="175" t="s">
        <v>148</v>
      </c>
      <c r="I98" s="108" t="s">
        <v>146</v>
      </c>
      <c r="J98" s="175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348" t="s">
        <v>298</v>
      </c>
      <c r="C99" s="175"/>
      <c r="D99" s="361">
        <v>300.0</v>
      </c>
      <c r="E99" s="369" t="s">
        <v>299</v>
      </c>
      <c r="F99" s="362">
        <v>300.0</v>
      </c>
      <c r="G99" s="176">
        <f t="shared" si="3"/>
        <v>90000</v>
      </c>
      <c r="H99" s="175" t="s">
        <v>55</v>
      </c>
      <c r="I99" s="177" t="s">
        <v>146</v>
      </c>
      <c r="J99" s="175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35"/>
      <c r="B100" s="348" t="s">
        <v>300</v>
      </c>
      <c r="C100" s="175"/>
      <c r="D100" s="361">
        <v>300.0</v>
      </c>
      <c r="E100" s="369" t="s">
        <v>299</v>
      </c>
      <c r="F100" s="362">
        <v>300.0</v>
      </c>
      <c r="G100" s="176">
        <f t="shared" si="3"/>
        <v>90000</v>
      </c>
      <c r="H100" s="175" t="s">
        <v>55</v>
      </c>
      <c r="I100" s="177" t="s">
        <v>146</v>
      </c>
      <c r="J100" s="175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35"/>
      <c r="B101" s="371" t="s">
        <v>69</v>
      </c>
      <c r="C101" s="175" t="s">
        <v>70</v>
      </c>
      <c r="D101" s="337">
        <v>30.0</v>
      </c>
      <c r="E101" s="356" t="str">
        <f>IFERROR(__xludf.DUMMYFUNCTION("REGEXEXTRACT(C101,""[A-Za-z]+"")"),"pcs")</f>
        <v>pcs</v>
      </c>
      <c r="F101" s="176">
        <v>150.0</v>
      </c>
      <c r="G101" s="176">
        <f t="shared" si="3"/>
        <v>4500</v>
      </c>
      <c r="H101" s="175" t="s">
        <v>141</v>
      </c>
      <c r="I101" s="177" t="s">
        <v>146</v>
      </c>
      <c r="J101" s="175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35"/>
      <c r="B102" s="371" t="s">
        <v>71</v>
      </c>
      <c r="C102" s="175" t="s">
        <v>72</v>
      </c>
      <c r="D102" s="337">
        <v>40.0</v>
      </c>
      <c r="E102" s="356" t="str">
        <f>IFERROR(__xludf.DUMMYFUNCTION("REGEXEXTRACT(C102,""[A-Za-z]+"")"),"pcs")</f>
        <v>pcs</v>
      </c>
      <c r="F102" s="176">
        <v>199.0</v>
      </c>
      <c r="G102" s="176">
        <f t="shared" si="3"/>
        <v>7960</v>
      </c>
      <c r="H102" s="54" t="s">
        <v>148</v>
      </c>
      <c r="I102" s="188" t="s">
        <v>146</v>
      </c>
      <c r="J102" s="175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35"/>
      <c r="B103" s="371" t="s">
        <v>73</v>
      </c>
      <c r="C103" s="175" t="s">
        <v>72</v>
      </c>
      <c r="D103" s="337">
        <v>40.0</v>
      </c>
      <c r="E103" s="356" t="str">
        <f>IFERROR(__xludf.DUMMYFUNCTION("REGEXEXTRACT(C103,""[A-Za-z]+"")"),"pcs")</f>
        <v>pcs</v>
      </c>
      <c r="F103" s="176">
        <v>199.0</v>
      </c>
      <c r="G103" s="176">
        <f t="shared" si="3"/>
        <v>7960</v>
      </c>
      <c r="H103" s="186"/>
      <c r="I103" s="186"/>
      <c r="J103" s="175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35"/>
      <c r="B104" s="354" t="s">
        <v>74</v>
      </c>
      <c r="C104" s="372" t="s">
        <v>75</v>
      </c>
      <c r="D104" s="337">
        <v>10.0</v>
      </c>
      <c r="E104" s="356" t="str">
        <f>IFERROR(__xludf.DUMMYFUNCTION("REGEXEXTRACT(C104,""[A-Za-z]+"")"),"packs")</f>
        <v>packs</v>
      </c>
      <c r="F104" s="176">
        <v>2000.0</v>
      </c>
      <c r="G104" s="176">
        <f t="shared" si="3"/>
        <v>20000</v>
      </c>
      <c r="H104" s="54" t="s">
        <v>55</v>
      </c>
      <c r="I104" s="188" t="s">
        <v>146</v>
      </c>
      <c r="J104" s="175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35"/>
      <c r="B105" s="354" t="s">
        <v>76</v>
      </c>
      <c r="C105" s="372" t="s">
        <v>75</v>
      </c>
      <c r="D105" s="337">
        <v>10.0</v>
      </c>
      <c r="E105" s="356" t="str">
        <f>IFERROR(__xludf.DUMMYFUNCTION("REGEXEXTRACT(C105,""[A-Za-z]+"")"),"packs")</f>
        <v>packs</v>
      </c>
      <c r="F105" s="176">
        <v>2500.0</v>
      </c>
      <c r="G105" s="176">
        <f t="shared" si="3"/>
        <v>25000</v>
      </c>
      <c r="H105" s="185"/>
      <c r="I105" s="185"/>
      <c r="J105" s="175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35"/>
      <c r="B106" s="354" t="s">
        <v>77</v>
      </c>
      <c r="C106" s="372" t="s">
        <v>75</v>
      </c>
      <c r="D106" s="337">
        <v>10.0</v>
      </c>
      <c r="E106" s="356" t="str">
        <f>IFERROR(__xludf.DUMMYFUNCTION("REGEXEXTRACT(C106,""[A-Za-z]+"")"),"packs")</f>
        <v>packs</v>
      </c>
      <c r="F106" s="176">
        <v>3000.0</v>
      </c>
      <c r="G106" s="176">
        <f t="shared" si="3"/>
        <v>30000</v>
      </c>
      <c r="H106" s="186"/>
      <c r="I106" s="186"/>
      <c r="J106" s="175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35"/>
      <c r="B107" s="368" t="s">
        <v>301</v>
      </c>
      <c r="C107" s="373"/>
      <c r="D107" s="374"/>
      <c r="E107" s="375"/>
      <c r="F107" s="376"/>
      <c r="G107" s="376"/>
      <c r="H107" s="190"/>
      <c r="I107" s="190"/>
      <c r="J107" s="190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377"/>
      <c r="Z107" s="377"/>
      <c r="AA107" s="377"/>
      <c r="AB107" s="377"/>
      <c r="AC107" s="377"/>
      <c r="AD107" s="377"/>
      <c r="AE107" s="377"/>
      <c r="AF107" s="377"/>
      <c r="AG107" s="377"/>
      <c r="AH107" s="377"/>
      <c r="AI107" s="377"/>
    </row>
    <row r="108">
      <c r="A108" s="35"/>
      <c r="B108" s="378" t="s">
        <v>302</v>
      </c>
      <c r="C108" s="379"/>
      <c r="D108" s="361">
        <v>4.0</v>
      </c>
      <c r="E108" s="361" t="s">
        <v>303</v>
      </c>
      <c r="F108" s="362">
        <v>5000.0</v>
      </c>
      <c r="G108" s="176">
        <f t="shared" ref="G108:G109" si="4">D108*F108</f>
        <v>20000</v>
      </c>
      <c r="H108" s="175" t="s">
        <v>148</v>
      </c>
      <c r="I108" s="108"/>
      <c r="J108" s="177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</row>
    <row r="109">
      <c r="A109" s="35"/>
      <c r="B109" s="378" t="s">
        <v>304</v>
      </c>
      <c r="C109" s="379"/>
      <c r="D109" s="337">
        <v>3.0</v>
      </c>
      <c r="E109" s="337" t="s">
        <v>303</v>
      </c>
      <c r="F109" s="176">
        <v>2688.0</v>
      </c>
      <c r="G109" s="176">
        <f t="shared" si="4"/>
        <v>8064</v>
      </c>
      <c r="H109" s="175" t="s">
        <v>148</v>
      </c>
      <c r="I109" s="108"/>
      <c r="J109" s="177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</row>
    <row r="110" ht="15.75" customHeight="1">
      <c r="A110" s="35"/>
      <c r="B110" s="373" t="s">
        <v>162</v>
      </c>
      <c r="C110" s="373" t="s">
        <v>162</v>
      </c>
      <c r="D110" s="374"/>
      <c r="E110" s="375"/>
      <c r="F110" s="376"/>
      <c r="G110" s="376"/>
      <c r="H110" s="190"/>
      <c r="I110" s="190"/>
      <c r="J110" s="190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380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</row>
    <row r="111">
      <c r="A111" s="35"/>
      <c r="B111" s="381" t="s">
        <v>305</v>
      </c>
      <c r="C111" s="382"/>
      <c r="D111" s="383">
        <v>30.0</v>
      </c>
      <c r="E111" s="364" t="s">
        <v>110</v>
      </c>
      <c r="F111" s="384">
        <v>400.0</v>
      </c>
      <c r="G111" s="176">
        <f>F111*D111</f>
        <v>12000</v>
      </c>
      <c r="H111" s="175" t="s">
        <v>141</v>
      </c>
      <c r="I111" s="108" t="s">
        <v>146</v>
      </c>
      <c r="J111" s="385"/>
      <c r="K111" s="224"/>
      <c r="L111" s="224"/>
      <c r="M111" s="108"/>
      <c r="N111" s="108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6"/>
    </row>
    <row r="112" ht="15.75" customHeight="1">
      <c r="A112" s="35"/>
      <c r="B112" s="386" t="s">
        <v>94</v>
      </c>
      <c r="C112" s="373" t="s">
        <v>94</v>
      </c>
      <c r="D112" s="374"/>
      <c r="E112" s="375"/>
      <c r="F112" s="387"/>
      <c r="G112" s="387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380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</row>
    <row r="113" ht="15.75" customHeight="1">
      <c r="A113" s="35"/>
      <c r="B113" s="388" t="s">
        <v>306</v>
      </c>
      <c r="C113" s="175"/>
      <c r="D113" s="389">
        <v>1.0</v>
      </c>
      <c r="E113" s="329" t="s">
        <v>139</v>
      </c>
      <c r="F113" s="59">
        <v>150000.0</v>
      </c>
      <c r="G113" s="176">
        <f t="shared" ref="G113:G129" si="5">F113*D113</f>
        <v>150000</v>
      </c>
      <c r="H113" s="390"/>
      <c r="I113" s="391"/>
      <c r="J113" s="389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35"/>
      <c r="B114" s="352" t="s">
        <v>102</v>
      </c>
      <c r="C114" s="175"/>
      <c r="D114" s="389">
        <v>2.0</v>
      </c>
      <c r="E114" s="329" t="s">
        <v>307</v>
      </c>
      <c r="F114" s="59">
        <v>49999.0</v>
      </c>
      <c r="G114" s="176">
        <f t="shared" si="5"/>
        <v>99998</v>
      </c>
      <c r="H114" s="390" t="s">
        <v>55</v>
      </c>
      <c r="I114" s="391"/>
      <c r="J114" s="389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35"/>
      <c r="B115" s="392" t="s">
        <v>308</v>
      </c>
      <c r="C115" s="175"/>
      <c r="D115" s="389">
        <v>1.0</v>
      </c>
      <c r="E115" s="329" t="s">
        <v>309</v>
      </c>
      <c r="F115" s="59">
        <v>8000.0</v>
      </c>
      <c r="G115" s="176">
        <f t="shared" si="5"/>
        <v>8000</v>
      </c>
      <c r="H115" s="330" t="s">
        <v>55</v>
      </c>
      <c r="I115" s="331" t="s">
        <v>146</v>
      </c>
      <c r="J115" s="389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35"/>
      <c r="B116" s="392" t="s">
        <v>310</v>
      </c>
      <c r="C116" s="175"/>
      <c r="D116" s="389">
        <v>1.0</v>
      </c>
      <c r="E116" s="329" t="s">
        <v>309</v>
      </c>
      <c r="F116" s="59">
        <v>8000.0</v>
      </c>
      <c r="G116" s="176">
        <f t="shared" si="5"/>
        <v>8000</v>
      </c>
      <c r="H116" s="390"/>
      <c r="I116" s="391"/>
      <c r="J116" s="389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35"/>
      <c r="B117" s="393" t="s">
        <v>311</v>
      </c>
      <c r="C117" s="175"/>
      <c r="D117" s="389">
        <v>4.0</v>
      </c>
      <c r="E117" s="329" t="s">
        <v>293</v>
      </c>
      <c r="F117" s="59">
        <v>8000.0</v>
      </c>
      <c r="G117" s="176">
        <f t="shared" si="5"/>
        <v>32000</v>
      </c>
      <c r="H117" s="390"/>
      <c r="I117" s="391"/>
      <c r="J117" s="389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35"/>
      <c r="B118" s="393" t="s">
        <v>312</v>
      </c>
      <c r="C118" s="175"/>
      <c r="D118" s="389">
        <v>4.0</v>
      </c>
      <c r="E118" s="329" t="s">
        <v>293</v>
      </c>
      <c r="F118" s="59">
        <v>5000.0</v>
      </c>
      <c r="G118" s="176">
        <f t="shared" si="5"/>
        <v>20000</v>
      </c>
      <c r="H118" s="390"/>
      <c r="I118" s="391"/>
      <c r="J118" s="389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35"/>
      <c r="B119" s="332" t="s">
        <v>313</v>
      </c>
      <c r="C119" s="175"/>
      <c r="D119" s="389">
        <v>1.0</v>
      </c>
      <c r="E119" s="329" t="s">
        <v>309</v>
      </c>
      <c r="F119" s="59">
        <v>8000.0</v>
      </c>
      <c r="G119" s="176">
        <f t="shared" si="5"/>
        <v>8000</v>
      </c>
      <c r="H119" s="390"/>
      <c r="I119" s="391"/>
      <c r="J119" s="389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35"/>
      <c r="B120" s="394" t="s">
        <v>314</v>
      </c>
      <c r="C120" s="175"/>
      <c r="D120" s="361">
        <v>6.0</v>
      </c>
      <c r="E120" s="364" t="s">
        <v>293</v>
      </c>
      <c r="F120" s="347">
        <v>250.0</v>
      </c>
      <c r="G120" s="176">
        <f t="shared" si="5"/>
        <v>1500</v>
      </c>
      <c r="H120" s="390"/>
      <c r="I120" s="391"/>
      <c r="J120" s="175"/>
      <c r="K120" s="175"/>
      <c r="L120" s="175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35"/>
      <c r="B121" s="394" t="s">
        <v>315</v>
      </c>
      <c r="C121" s="175"/>
      <c r="D121" s="361">
        <v>3.0</v>
      </c>
      <c r="E121" s="364" t="s">
        <v>160</v>
      </c>
      <c r="F121" s="347">
        <v>8000.0</v>
      </c>
      <c r="G121" s="176">
        <f t="shared" si="5"/>
        <v>24000</v>
      </c>
      <c r="H121" s="390"/>
      <c r="I121" s="391"/>
      <c r="J121" s="175"/>
      <c r="K121" s="175"/>
      <c r="L121" s="175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35"/>
      <c r="B122" s="394" t="s">
        <v>316</v>
      </c>
      <c r="C122" s="175"/>
      <c r="D122" s="361">
        <v>5.0</v>
      </c>
      <c r="E122" s="364" t="s">
        <v>293</v>
      </c>
      <c r="F122" s="347">
        <v>100.0</v>
      </c>
      <c r="G122" s="176">
        <f t="shared" si="5"/>
        <v>500</v>
      </c>
      <c r="H122" s="390"/>
      <c r="I122" s="391"/>
      <c r="J122" s="175"/>
      <c r="K122" s="175"/>
      <c r="L122" s="175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35"/>
      <c r="B123" s="394" t="s">
        <v>317</v>
      </c>
      <c r="C123" s="175"/>
      <c r="D123" s="361">
        <v>2.0</v>
      </c>
      <c r="E123" s="364" t="s">
        <v>160</v>
      </c>
      <c r="F123" s="347">
        <v>1000.0</v>
      </c>
      <c r="G123" s="176">
        <f t="shared" si="5"/>
        <v>2000</v>
      </c>
      <c r="H123" s="390"/>
      <c r="I123" s="391"/>
      <c r="J123" s="175"/>
      <c r="K123" s="175"/>
      <c r="L123" s="175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35"/>
      <c r="B124" s="394" t="s">
        <v>318</v>
      </c>
      <c r="C124" s="175"/>
      <c r="D124" s="361">
        <v>3.0</v>
      </c>
      <c r="E124" s="364" t="s">
        <v>293</v>
      </c>
      <c r="F124" s="347">
        <v>100.0</v>
      </c>
      <c r="G124" s="176">
        <f t="shared" si="5"/>
        <v>300</v>
      </c>
      <c r="H124" s="390"/>
      <c r="I124" s="391"/>
      <c r="J124" s="175"/>
      <c r="K124" s="175"/>
      <c r="L124" s="175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35"/>
      <c r="B125" s="394" t="s">
        <v>319</v>
      </c>
      <c r="C125" s="175"/>
      <c r="D125" s="361">
        <v>3.0</v>
      </c>
      <c r="E125" s="364" t="s">
        <v>293</v>
      </c>
      <c r="F125" s="347">
        <v>150.0</v>
      </c>
      <c r="G125" s="176">
        <f t="shared" si="5"/>
        <v>450</v>
      </c>
      <c r="H125" s="395"/>
      <c r="I125" s="102"/>
      <c r="J125" s="175"/>
      <c r="K125" s="175"/>
      <c r="L125" s="175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35"/>
      <c r="B126" s="371" t="s">
        <v>95</v>
      </c>
      <c r="C126" s="175" t="s">
        <v>82</v>
      </c>
      <c r="D126" s="337">
        <v>6.0</v>
      </c>
      <c r="E126" s="70" t="str">
        <f>IFERROR(__xludf.DUMMYFUNCTION("REGEXEXTRACT(C126,""[A-Za-z]+"")")," pcs ")</f>
        <v>pcs</v>
      </c>
      <c r="F126" s="59">
        <v>7000.0</v>
      </c>
      <c r="G126" s="176">
        <f t="shared" si="5"/>
        <v>42000</v>
      </c>
      <c r="H126" s="175" t="s">
        <v>141</v>
      </c>
      <c r="I126" s="108" t="s">
        <v>146</v>
      </c>
      <c r="J126" s="175"/>
      <c r="K126" s="175"/>
      <c r="L126" s="175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35"/>
      <c r="B127" s="363" t="s">
        <v>320</v>
      </c>
      <c r="C127" s="175"/>
      <c r="D127" s="361">
        <v>2.0</v>
      </c>
      <c r="E127" s="70" t="s">
        <v>110</v>
      </c>
      <c r="F127" s="59">
        <v>150000.0</v>
      </c>
      <c r="G127" s="176">
        <f t="shared" si="5"/>
        <v>300000</v>
      </c>
      <c r="H127" s="54" t="s">
        <v>55</v>
      </c>
      <c r="I127" s="108" t="s">
        <v>146</v>
      </c>
      <c r="J127" s="175"/>
      <c r="K127" s="175"/>
      <c r="L127" s="175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35"/>
      <c r="B128" s="236" t="s">
        <v>113</v>
      </c>
      <c r="C128" s="396"/>
      <c r="D128" s="397">
        <v>2000.0</v>
      </c>
      <c r="E128" s="80" t="s">
        <v>110</v>
      </c>
      <c r="F128" s="176">
        <v>80.0</v>
      </c>
      <c r="G128" s="176">
        <f t="shared" si="5"/>
        <v>160000</v>
      </c>
      <c r="H128" s="54" t="s">
        <v>55</v>
      </c>
      <c r="I128" s="108" t="s">
        <v>146</v>
      </c>
      <c r="J128" s="175"/>
      <c r="K128" s="175"/>
      <c r="L128" s="175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35"/>
      <c r="B129" s="398" t="s">
        <v>321</v>
      </c>
      <c r="C129" s="396"/>
      <c r="D129" s="399">
        <v>1.0</v>
      </c>
      <c r="E129" s="399" t="s">
        <v>307</v>
      </c>
      <c r="F129" s="362">
        <v>200000.0</v>
      </c>
      <c r="G129" s="176">
        <f t="shared" si="5"/>
        <v>200000</v>
      </c>
      <c r="H129" s="54" t="s">
        <v>55</v>
      </c>
      <c r="I129" s="108" t="s">
        <v>146</v>
      </c>
      <c r="J129" s="175"/>
      <c r="K129" s="175"/>
      <c r="L129" s="175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35"/>
      <c r="B130" s="400" t="s">
        <v>322</v>
      </c>
      <c r="C130" s="373" t="s">
        <v>94</v>
      </c>
      <c r="D130" s="374"/>
      <c r="E130" s="375"/>
      <c r="F130" s="387"/>
      <c r="G130" s="387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380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</row>
    <row r="131" ht="15.75" customHeight="1">
      <c r="A131" s="35"/>
      <c r="B131" s="401" t="s">
        <v>323</v>
      </c>
      <c r="C131" s="397"/>
      <c r="D131" s="397">
        <v>1.0</v>
      </c>
      <c r="E131" s="397" t="s">
        <v>139</v>
      </c>
      <c r="F131" s="176">
        <v>5000.0</v>
      </c>
      <c r="G131" s="176">
        <f>F131*D131</f>
        <v>5000</v>
      </c>
      <c r="H131" s="336" t="s">
        <v>226</v>
      </c>
      <c r="I131" s="108"/>
      <c r="J131" s="402"/>
      <c r="K131" s="402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6"/>
      <c r="B132" s="403"/>
      <c r="C132" s="94"/>
      <c r="D132" s="94"/>
      <c r="E132" s="94"/>
      <c r="F132" s="94"/>
      <c r="G132" s="94"/>
      <c r="H132" s="94"/>
      <c r="I132" s="94"/>
      <c r="J132" s="94"/>
      <c r="K132" s="95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404"/>
      <c r="B133" s="6"/>
      <c r="C133" s="6"/>
      <c r="D133" s="7"/>
      <c r="E133" s="8"/>
      <c r="F133" s="9"/>
      <c r="G133" s="287"/>
      <c r="H133" s="159"/>
      <c r="I133" s="159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405" t="s">
        <v>115</v>
      </c>
      <c r="B134" s="6"/>
      <c r="C134" s="406">
        <f>SUM(G11:G131)</f>
        <v>6442982</v>
      </c>
      <c r="H134" s="159"/>
      <c r="I134" s="159"/>
      <c r="J134" s="10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hidden="1" customHeight="1">
      <c r="A135" s="407" t="s">
        <v>116</v>
      </c>
      <c r="B135" s="102"/>
      <c r="C135" s="408">
        <f>PRODUCT(C134,0.1)</f>
        <v>644298.2</v>
      </c>
      <c r="D135" s="104"/>
      <c r="E135" s="104"/>
      <c r="F135" s="104"/>
      <c r="G135" s="105"/>
      <c r="H135" s="159"/>
      <c r="I135" s="159"/>
      <c r="J135" s="161"/>
      <c r="L135" s="161"/>
      <c r="W135" s="161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hidden="1" customHeight="1">
      <c r="A136" s="382" t="s">
        <v>117</v>
      </c>
      <c r="B136" s="108"/>
      <c r="C136" s="409">
        <f>PRODUCT(C134,0.1)</f>
        <v>644298.2</v>
      </c>
      <c r="D136" s="94"/>
      <c r="E136" s="94"/>
      <c r="F136" s="94"/>
      <c r="G136" s="95"/>
      <c r="H136" s="159"/>
      <c r="I136" s="159"/>
      <c r="J136" s="10"/>
      <c r="K136" s="6"/>
      <c r="L136" s="410"/>
      <c r="W136" s="410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hidden="1" customHeight="1">
      <c r="A137" s="382" t="s">
        <v>118</v>
      </c>
      <c r="B137" s="108"/>
      <c r="C137" s="409">
        <f>SUM(C134:G136)</f>
        <v>7731578.4</v>
      </c>
      <c r="D137" s="94"/>
      <c r="E137" s="94"/>
      <c r="F137" s="94"/>
      <c r="G137" s="95"/>
      <c r="H137" s="159"/>
      <c r="I137" s="159"/>
      <c r="J137" s="10"/>
      <c r="K137" s="6"/>
      <c r="L137" s="410"/>
      <c r="W137" s="410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404"/>
      <c r="B138" s="6"/>
      <c r="C138" s="6"/>
      <c r="D138" s="7"/>
      <c r="E138" s="8"/>
      <c r="F138" s="9"/>
      <c r="G138" s="158"/>
      <c r="H138" s="159"/>
      <c r="I138" s="159"/>
      <c r="J138" s="10"/>
      <c r="K138" s="6"/>
      <c r="L138" s="410"/>
      <c r="W138" s="410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411" t="s">
        <v>119</v>
      </c>
      <c r="B139" s="6"/>
      <c r="C139" s="6"/>
      <c r="D139" s="7"/>
      <c r="E139" s="8"/>
      <c r="F139" s="9"/>
      <c r="G139" s="158"/>
      <c r="H139" s="159"/>
      <c r="I139" s="159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7"/>
      <c r="E140" s="8"/>
      <c r="F140" s="9"/>
      <c r="G140" s="158"/>
      <c r="H140" s="159"/>
      <c r="I140" s="159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404" t="s">
        <v>120</v>
      </c>
      <c r="B141" s="6"/>
      <c r="C141" s="6"/>
      <c r="D141" s="412" t="s">
        <v>121</v>
      </c>
      <c r="H141" s="412"/>
      <c r="I141" s="6"/>
      <c r="J141" s="10"/>
      <c r="K141" s="412" t="s">
        <v>122</v>
      </c>
      <c r="Q141" s="6"/>
      <c r="R141" s="6"/>
      <c r="S141" s="412" t="s">
        <v>123</v>
      </c>
      <c r="W141" s="6"/>
      <c r="X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404"/>
      <c r="B142" s="6"/>
      <c r="C142" s="6"/>
      <c r="D142" s="412"/>
      <c r="E142" s="413"/>
      <c r="F142" s="414"/>
      <c r="G142" s="414"/>
      <c r="H142" s="412"/>
      <c r="I142" s="6"/>
      <c r="J142" s="10"/>
      <c r="K142" s="412"/>
      <c r="L142" s="412"/>
      <c r="M142" s="412"/>
      <c r="N142" s="412"/>
      <c r="O142" s="412"/>
      <c r="P142" s="412"/>
      <c r="Q142" s="412"/>
      <c r="R142" s="412"/>
      <c r="S142" s="412"/>
      <c r="T142" s="412"/>
      <c r="U142" s="412"/>
      <c r="V142" s="412"/>
      <c r="W142" s="412"/>
      <c r="X142" s="412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6"/>
      <c r="E143" s="7"/>
      <c r="F143" s="9"/>
      <c r="G143" s="9"/>
      <c r="H143" s="415"/>
      <c r="I143" s="6"/>
      <c r="J143" s="10"/>
      <c r="K143" s="6"/>
      <c r="L143" s="415"/>
      <c r="M143" s="415"/>
      <c r="N143" s="415"/>
      <c r="O143" s="415"/>
      <c r="P143" s="415"/>
      <c r="Q143" s="415"/>
      <c r="R143" s="415"/>
      <c r="S143" s="6"/>
      <c r="T143" s="415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416" t="s">
        <v>324</v>
      </c>
      <c r="C144" s="6"/>
      <c r="D144" s="412" t="s">
        <v>125</v>
      </c>
      <c r="H144" s="412"/>
      <c r="I144" s="412"/>
      <c r="J144" s="10"/>
      <c r="K144" s="412" t="s">
        <v>126</v>
      </c>
      <c r="Q144" s="6"/>
      <c r="R144" s="6"/>
      <c r="S144" s="412" t="s">
        <v>127</v>
      </c>
      <c r="W144" s="6"/>
      <c r="X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0" customHeight="1">
      <c r="A145" s="161" t="s">
        <v>128</v>
      </c>
      <c r="C145" s="6"/>
      <c r="D145" s="417" t="s">
        <v>129</v>
      </c>
      <c r="J145" s="10"/>
      <c r="K145" s="418" t="s">
        <v>130</v>
      </c>
      <c r="Q145" s="6"/>
      <c r="R145" s="6"/>
      <c r="S145" s="417" t="s">
        <v>131</v>
      </c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6"/>
      <c r="E146" s="7"/>
      <c r="F146" s="9"/>
      <c r="G146" s="9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 t="s">
        <v>132</v>
      </c>
      <c r="B147" s="6"/>
      <c r="C147" s="6"/>
      <c r="D147" s="6" t="s">
        <v>132</v>
      </c>
      <c r="E147" s="7"/>
      <c r="F147" s="9"/>
      <c r="G147" s="9"/>
      <c r="H147" s="6"/>
      <c r="I147" s="6"/>
      <c r="J147" s="10"/>
      <c r="K147" s="6" t="s">
        <v>132</v>
      </c>
      <c r="L147" s="6"/>
      <c r="M147" s="6"/>
      <c r="N147" s="6"/>
      <c r="O147" s="6"/>
      <c r="P147" s="6"/>
      <c r="Q147" s="6"/>
      <c r="R147" s="6"/>
      <c r="S147" s="6" t="s">
        <v>132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419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420"/>
      <c r="K149" s="419"/>
      <c r="L149" s="419"/>
      <c r="M149" s="419"/>
      <c r="N149" s="419"/>
      <c r="O149" s="419"/>
      <c r="P149" s="419"/>
      <c r="Q149" s="419"/>
      <c r="R149" s="419"/>
      <c r="S149" s="419"/>
      <c r="T149" s="419"/>
      <c r="U149" s="419"/>
      <c r="V149" s="419"/>
      <c r="W149" s="419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421"/>
      <c r="K150" s="422"/>
      <c r="L150" s="423"/>
      <c r="M150" s="423"/>
      <c r="N150" s="423"/>
      <c r="O150" s="423"/>
      <c r="P150" s="423"/>
      <c r="Q150" s="423"/>
      <c r="R150" s="423"/>
      <c r="S150" s="423"/>
      <c r="T150" s="423"/>
      <c r="U150" s="423"/>
      <c r="V150" s="423"/>
      <c r="W150" s="423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419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424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298"/>
      <c r="E330" s="299"/>
      <c r="F330" s="300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298"/>
      <c r="E331" s="299"/>
      <c r="F331" s="300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298"/>
      <c r="E332" s="299"/>
      <c r="F332" s="300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298"/>
      <c r="E333" s="299"/>
      <c r="F333" s="300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298"/>
      <c r="E334" s="299"/>
      <c r="F334" s="300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298"/>
      <c r="E335" s="299"/>
      <c r="F335" s="300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298"/>
      <c r="E336" s="299"/>
      <c r="F336" s="300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298"/>
      <c r="E337" s="299"/>
      <c r="F337" s="300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298"/>
      <c r="E338" s="299"/>
      <c r="F338" s="300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298"/>
      <c r="E339" s="299"/>
      <c r="F339" s="300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298"/>
      <c r="E340" s="299"/>
      <c r="F340" s="300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298"/>
      <c r="E341" s="299"/>
      <c r="F341" s="300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298"/>
      <c r="E342" s="299"/>
      <c r="F342" s="300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298"/>
      <c r="E343" s="299"/>
      <c r="F343" s="300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298"/>
      <c r="E344" s="299"/>
      <c r="F344" s="300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298"/>
      <c r="E345" s="299"/>
      <c r="F345" s="300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298"/>
      <c r="E346" s="299"/>
      <c r="F346" s="300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298"/>
      <c r="E347" s="299"/>
      <c r="F347" s="300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425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425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425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425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425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425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425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425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425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425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425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425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425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425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425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425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425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425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425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425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425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425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425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425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425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425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425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425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425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425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425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425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425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425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425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425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425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425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425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425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425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425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425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425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425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425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425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425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425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425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425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425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425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425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425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425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425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425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425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425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425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425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425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425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425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425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425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425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425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425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425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425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425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425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425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425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425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425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425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425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425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425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425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425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425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425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425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425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425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425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425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425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425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425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425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425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425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425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425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425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425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425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425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425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425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425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425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425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425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425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425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425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425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425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425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425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425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425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425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425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425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425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425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425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425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425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425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425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425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425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425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425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425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425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425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425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425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425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425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425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425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425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425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425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425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425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425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425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425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425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425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425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425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425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425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425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425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425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425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425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425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425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425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425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425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425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425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425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425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425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425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425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425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425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425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425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425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425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425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425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425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425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425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425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425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425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425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425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425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425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425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425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425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425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425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425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425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425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425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425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425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425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425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425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425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425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425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425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425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425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425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425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425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425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425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425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425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425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425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425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425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425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425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425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425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425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425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425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425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425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425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425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425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425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425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425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425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425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425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425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425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425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425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425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425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425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425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425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425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425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425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425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425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425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425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425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425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425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425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425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425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425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425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425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425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425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425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425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425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425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425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425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425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425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425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425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425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425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425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425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425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425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425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425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425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425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425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425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425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425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425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425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425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425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425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425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425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425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425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425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425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425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425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425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425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425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425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425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425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425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425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425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425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425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425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425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425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425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425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425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425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425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425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425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425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425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425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425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425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425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425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425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425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425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425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425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425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425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425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425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425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425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425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425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425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425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425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425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425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425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425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425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425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425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425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425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425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425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425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425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425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425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425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425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425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425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425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425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425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425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425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425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425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425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425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425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425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425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425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425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425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425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425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425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425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425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425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425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425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425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425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425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425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425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425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425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425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425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425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425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425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425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425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425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425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425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425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425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425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425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425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425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425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425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425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425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425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425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425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425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425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425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425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425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425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425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425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425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425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425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425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425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425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425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425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425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425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425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425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425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425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425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425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425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425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425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425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425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425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425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425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425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425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425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425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425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425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425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425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425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425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425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425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425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425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425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425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425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425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425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425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425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425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425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425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425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425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425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425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425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425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425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425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425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425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425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425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425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425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425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425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425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425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425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425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425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425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425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425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425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425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425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425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425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425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425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425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425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425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425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425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425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425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425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425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425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425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425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425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425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425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425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425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425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425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425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425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425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425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425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425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425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425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425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425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425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425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425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425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425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425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425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425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425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425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425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425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425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425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425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425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425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425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425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425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425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425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425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425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425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425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425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425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425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425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425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425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425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425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425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425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425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425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425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425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425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425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425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425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425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425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425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425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425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425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425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425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425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425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425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425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425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425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425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425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425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425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425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425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425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425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425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425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425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425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425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425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425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425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425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425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425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425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425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425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425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425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425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425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425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425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425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425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425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425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425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425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425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425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425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425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425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425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425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425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425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425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425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425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425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425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425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425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425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425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425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425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425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425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425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425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425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425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425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425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425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425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425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425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425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425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425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425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425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425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425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425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425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425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425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425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425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425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425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425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425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425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425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425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425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425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425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425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425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425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425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425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425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  <row r="1036" ht="15.75" customHeight="1">
      <c r="A1036" s="6"/>
      <c r="B1036" s="6"/>
      <c r="C1036" s="6"/>
      <c r="D1036" s="7"/>
      <c r="E1036" s="10"/>
      <c r="F1036" s="425"/>
      <c r="G1036" s="6"/>
      <c r="H1036" s="6"/>
      <c r="I1036" s="6"/>
      <c r="J1036" s="10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</row>
    <row r="1037" ht="15.75" customHeight="1">
      <c r="A1037" s="6"/>
      <c r="B1037" s="6"/>
      <c r="C1037" s="6"/>
      <c r="D1037" s="7"/>
      <c r="E1037" s="10"/>
      <c r="F1037" s="425"/>
      <c r="G1037" s="6"/>
      <c r="H1037" s="6"/>
      <c r="I1037" s="6"/>
      <c r="J1037" s="10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</row>
    <row r="1038" ht="15.75" customHeight="1">
      <c r="A1038" s="6"/>
      <c r="B1038" s="6"/>
      <c r="C1038" s="6"/>
      <c r="D1038" s="7"/>
      <c r="E1038" s="10"/>
      <c r="F1038" s="425"/>
      <c r="G1038" s="6"/>
      <c r="H1038" s="6"/>
      <c r="I1038" s="6"/>
      <c r="J1038" s="10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</row>
    <row r="1039" ht="15.75" customHeight="1">
      <c r="A1039" s="6"/>
      <c r="B1039" s="6"/>
      <c r="C1039" s="6"/>
      <c r="D1039" s="7"/>
      <c r="E1039" s="10"/>
      <c r="F1039" s="425"/>
      <c r="G1039" s="6"/>
      <c r="H1039" s="6"/>
      <c r="I1039" s="6"/>
      <c r="J1039" s="10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</row>
    <row r="1040" ht="15.75" customHeight="1">
      <c r="A1040" s="6"/>
      <c r="B1040" s="6"/>
      <c r="C1040" s="6"/>
      <c r="D1040" s="7"/>
      <c r="E1040" s="10"/>
      <c r="F1040" s="425"/>
      <c r="G1040" s="6"/>
      <c r="H1040" s="6"/>
      <c r="I1040" s="6"/>
      <c r="J1040" s="10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</row>
    <row r="1041" ht="15.75" customHeight="1">
      <c r="A1041" s="6"/>
      <c r="B1041" s="6"/>
      <c r="C1041" s="6"/>
      <c r="D1041" s="7"/>
      <c r="E1041" s="10"/>
      <c r="F1041" s="425"/>
      <c r="G1041" s="6"/>
      <c r="H1041" s="6"/>
      <c r="I1041" s="6"/>
      <c r="J1041" s="10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</row>
    <row r="1042" ht="15.75" customHeight="1">
      <c r="A1042" s="6"/>
      <c r="B1042" s="6"/>
      <c r="C1042" s="6"/>
      <c r="D1042" s="7"/>
      <c r="E1042" s="10"/>
      <c r="F1042" s="425"/>
      <c r="G1042" s="6"/>
      <c r="H1042" s="6"/>
      <c r="I1042" s="6"/>
      <c r="J1042" s="10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</row>
    <row r="1043" ht="15.75" customHeight="1">
      <c r="A1043" s="6"/>
      <c r="B1043" s="6"/>
      <c r="C1043" s="6"/>
      <c r="D1043" s="7"/>
      <c r="E1043" s="10"/>
      <c r="F1043" s="425"/>
      <c r="G1043" s="6"/>
      <c r="H1043" s="6"/>
      <c r="I1043" s="6"/>
      <c r="J1043" s="10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</row>
    <row r="1044" ht="15.75" customHeight="1">
      <c r="A1044" s="6"/>
      <c r="B1044" s="6"/>
      <c r="C1044" s="6"/>
      <c r="D1044" s="7"/>
      <c r="E1044" s="10"/>
      <c r="F1044" s="425"/>
      <c r="G1044" s="6"/>
      <c r="H1044" s="6"/>
      <c r="I1044" s="6"/>
      <c r="J1044" s="10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</row>
    <row r="1045" ht="15.75" customHeight="1">
      <c r="A1045" s="6"/>
      <c r="B1045" s="6"/>
      <c r="C1045" s="6"/>
      <c r="D1045" s="7"/>
      <c r="E1045" s="10"/>
      <c r="F1045" s="425"/>
      <c r="G1045" s="6"/>
      <c r="H1045" s="6"/>
      <c r="I1045" s="6"/>
      <c r="J1045" s="10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</row>
    <row r="1046" ht="15.75" customHeight="1">
      <c r="A1046" s="6"/>
      <c r="B1046" s="6"/>
      <c r="C1046" s="6"/>
      <c r="D1046" s="7"/>
      <c r="E1046" s="10"/>
      <c r="F1046" s="425"/>
      <c r="G1046" s="6"/>
      <c r="H1046" s="6"/>
      <c r="I1046" s="6"/>
      <c r="J1046" s="10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</row>
    <row r="1047" ht="15.75" customHeight="1">
      <c r="A1047" s="6"/>
      <c r="B1047" s="6"/>
      <c r="C1047" s="6"/>
      <c r="D1047" s="7"/>
      <c r="E1047" s="10"/>
      <c r="F1047" s="425"/>
      <c r="G1047" s="6"/>
      <c r="H1047" s="6"/>
      <c r="I1047" s="6"/>
      <c r="J1047" s="10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</row>
    <row r="1048" ht="15.75" customHeight="1">
      <c r="A1048" s="6"/>
      <c r="B1048" s="6"/>
      <c r="C1048" s="6"/>
      <c r="D1048" s="7"/>
      <c r="E1048" s="10"/>
      <c r="F1048" s="425"/>
      <c r="G1048" s="6"/>
      <c r="H1048" s="6"/>
      <c r="I1048" s="6"/>
      <c r="J1048" s="10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</row>
    <row r="1049" ht="15.75" customHeight="1">
      <c r="A1049" s="6"/>
      <c r="B1049" s="6"/>
      <c r="C1049" s="6"/>
      <c r="D1049" s="7"/>
      <c r="E1049" s="10"/>
      <c r="F1049" s="425"/>
      <c r="G1049" s="6"/>
      <c r="H1049" s="6"/>
      <c r="I1049" s="6"/>
      <c r="J1049" s="10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</row>
    <row r="1050" ht="15.75" customHeight="1">
      <c r="A1050" s="6"/>
      <c r="B1050" s="6"/>
      <c r="C1050" s="6"/>
      <c r="D1050" s="7"/>
      <c r="E1050" s="10"/>
      <c r="F1050" s="425"/>
      <c r="G1050" s="6"/>
      <c r="H1050" s="6"/>
      <c r="I1050" s="6"/>
      <c r="J1050" s="10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</row>
    <row r="1051" ht="15.75" customHeight="1">
      <c r="A1051" s="6"/>
      <c r="B1051" s="6"/>
      <c r="C1051" s="6"/>
      <c r="D1051" s="7"/>
      <c r="E1051" s="10"/>
      <c r="F1051" s="425"/>
      <c r="G1051" s="6"/>
      <c r="H1051" s="6"/>
      <c r="I1051" s="6"/>
      <c r="J1051" s="10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</row>
    <row r="1052" ht="15.75" customHeight="1">
      <c r="A1052" s="6"/>
      <c r="B1052" s="6"/>
      <c r="C1052" s="6"/>
      <c r="D1052" s="7"/>
      <c r="E1052" s="10"/>
      <c r="F1052" s="425"/>
      <c r="G1052" s="6"/>
      <c r="H1052" s="6"/>
      <c r="I1052" s="6"/>
      <c r="J1052" s="10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</row>
    <row r="1053" ht="15.75" customHeight="1">
      <c r="A1053" s="6"/>
      <c r="B1053" s="6"/>
      <c r="C1053" s="6"/>
      <c r="D1053" s="7"/>
      <c r="E1053" s="10"/>
      <c r="F1053" s="425"/>
      <c r="G1053" s="6"/>
      <c r="H1053" s="6"/>
      <c r="I1053" s="6"/>
      <c r="J1053" s="10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</row>
  </sheetData>
  <mergeCells count="65">
    <mergeCell ref="C137:G137"/>
    <mergeCell ref="D141:G141"/>
    <mergeCell ref="A144:B144"/>
    <mergeCell ref="D144:G144"/>
    <mergeCell ref="A145:B145"/>
    <mergeCell ref="D145:I145"/>
    <mergeCell ref="H102:H103"/>
    <mergeCell ref="H104:H106"/>
    <mergeCell ref="B132:K132"/>
    <mergeCell ref="C134:G134"/>
    <mergeCell ref="C135:G135"/>
    <mergeCell ref="J135:K135"/>
    <mergeCell ref="C136:G136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1:H13"/>
    <mergeCell ref="I11:I21"/>
    <mergeCell ref="H14:H21"/>
    <mergeCell ref="H26:H41"/>
    <mergeCell ref="I26:I41"/>
    <mergeCell ref="I66:I69"/>
    <mergeCell ref="I70:I71"/>
    <mergeCell ref="I72:I82"/>
    <mergeCell ref="I83:I84"/>
    <mergeCell ref="I87:I89"/>
    <mergeCell ref="I102:I103"/>
    <mergeCell ref="I104:I106"/>
    <mergeCell ref="H44:H52"/>
    <mergeCell ref="I44:I52"/>
    <mergeCell ref="H53:H56"/>
    <mergeCell ref="I53:I56"/>
    <mergeCell ref="H57:H60"/>
    <mergeCell ref="I57:I60"/>
    <mergeCell ref="I61:I65"/>
    <mergeCell ref="H61:H65"/>
    <mergeCell ref="H66:H69"/>
    <mergeCell ref="H70:H71"/>
    <mergeCell ref="H72:H82"/>
    <mergeCell ref="H83:H84"/>
    <mergeCell ref="H87:H89"/>
    <mergeCell ref="H92:H97"/>
    <mergeCell ref="K144:P144"/>
    <mergeCell ref="S144:V144"/>
    <mergeCell ref="X144:Z144"/>
    <mergeCell ref="K145:P145"/>
    <mergeCell ref="S145:V145"/>
    <mergeCell ref="J148:V148"/>
    <mergeCell ref="J151:V151"/>
    <mergeCell ref="J152:V152"/>
    <mergeCell ref="L135:V135"/>
    <mergeCell ref="L136:V136"/>
    <mergeCell ref="L137:V137"/>
    <mergeCell ref="L138:V138"/>
    <mergeCell ref="K141:P141"/>
    <mergeCell ref="S141:V141"/>
    <mergeCell ref="X141:Y141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77.63"/>
    <col customWidth="1" hidden="1" min="3" max="3" width="11.63"/>
    <col customWidth="1" min="4" max="5" width="10.13"/>
    <col customWidth="1" min="6" max="6" width="11.38"/>
    <col customWidth="1" min="7" max="7" width="12.38"/>
    <col customWidth="1" min="8" max="8" width="25.38"/>
    <col customWidth="1" min="9" max="9" width="16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306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307" t="s">
        <v>219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308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309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310" t="s">
        <v>3</v>
      </c>
      <c r="B6" s="161"/>
      <c r="C6" s="161"/>
      <c r="D6" s="162"/>
      <c r="E6" s="163"/>
      <c r="F6" s="9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311" t="s">
        <v>4</v>
      </c>
      <c r="B7" s="161"/>
      <c r="C7" s="161"/>
      <c r="D7" s="162"/>
      <c r="E7" s="163"/>
      <c r="F7" s="9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312" t="s">
        <v>5</v>
      </c>
      <c r="B8" s="313" t="s">
        <v>6</v>
      </c>
      <c r="C8" s="314" t="s">
        <v>7</v>
      </c>
      <c r="D8" s="314" t="s">
        <v>7</v>
      </c>
      <c r="E8" s="315" t="s">
        <v>8</v>
      </c>
      <c r="F8" s="315" t="s">
        <v>9</v>
      </c>
      <c r="G8" s="316" t="s">
        <v>10</v>
      </c>
      <c r="H8" s="313" t="s">
        <v>11</v>
      </c>
      <c r="I8" s="313" t="s">
        <v>12</v>
      </c>
      <c r="J8" s="317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18" t="s">
        <v>14</v>
      </c>
      <c r="D9" s="318" t="s">
        <v>14</v>
      </c>
      <c r="E9" s="29"/>
      <c r="F9" s="29"/>
      <c r="G9" s="29"/>
      <c r="H9" s="29"/>
      <c r="I9" s="29"/>
      <c r="J9" s="319" t="s">
        <v>220</v>
      </c>
      <c r="K9" s="319" t="s">
        <v>221</v>
      </c>
      <c r="L9" s="319" t="s">
        <v>222</v>
      </c>
      <c r="M9" s="318" t="s">
        <v>18</v>
      </c>
      <c r="N9" s="318" t="s">
        <v>19</v>
      </c>
      <c r="O9" s="318" t="s">
        <v>20</v>
      </c>
      <c r="P9" s="318" t="s">
        <v>21</v>
      </c>
      <c r="Q9" s="318" t="s">
        <v>22</v>
      </c>
      <c r="R9" s="318" t="s">
        <v>23</v>
      </c>
      <c r="S9" s="318" t="s">
        <v>24</v>
      </c>
      <c r="T9" s="318" t="s">
        <v>25</v>
      </c>
      <c r="U9" s="318" t="s">
        <v>26</v>
      </c>
      <c r="V9" s="318" t="s">
        <v>27</v>
      </c>
      <c r="W9" s="320" t="str">
        <f>$X$9</f>
        <v>REMARKS</v>
      </c>
      <c r="X9" s="320" t="s">
        <v>28</v>
      </c>
      <c r="Y9" s="321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322"/>
      <c r="D10" s="323"/>
      <c r="E10" s="324"/>
      <c r="F10" s="325"/>
      <c r="G10" s="168"/>
      <c r="H10" s="322"/>
      <c r="I10" s="322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426" t="s">
        <v>48</v>
      </c>
      <c r="C11" s="327">
        <v>19.0</v>
      </c>
      <c r="D11" s="328">
        <v>25.0</v>
      </c>
      <c r="E11" s="329" t="s">
        <v>223</v>
      </c>
      <c r="F11" s="59">
        <v>8000.0</v>
      </c>
      <c r="G11" s="176">
        <f t="shared" ref="G11:G42" si="1">F11*D11</f>
        <v>200000</v>
      </c>
      <c r="H11" s="330" t="s">
        <v>41</v>
      </c>
      <c r="I11" s="331" t="s">
        <v>146</v>
      </c>
      <c r="J11" s="328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427" t="s">
        <v>50</v>
      </c>
      <c r="C12" s="327">
        <v>19.0</v>
      </c>
      <c r="D12" s="328">
        <v>25.0</v>
      </c>
      <c r="E12" s="329" t="s">
        <v>223</v>
      </c>
      <c r="F12" s="59">
        <v>3500.0</v>
      </c>
      <c r="G12" s="176">
        <f t="shared" si="1"/>
        <v>87500</v>
      </c>
      <c r="H12" s="185"/>
      <c r="I12" s="185"/>
      <c r="J12" s="328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427" t="s">
        <v>51</v>
      </c>
      <c r="C13" s="327">
        <v>19.0</v>
      </c>
      <c r="D13" s="328">
        <v>25.0</v>
      </c>
      <c r="E13" s="329" t="s">
        <v>223</v>
      </c>
      <c r="F13" s="59">
        <v>3000.0</v>
      </c>
      <c r="G13" s="176">
        <f t="shared" si="1"/>
        <v>75000</v>
      </c>
      <c r="H13" s="185"/>
      <c r="I13" s="185"/>
      <c r="J13" s="328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179" t="s">
        <v>39</v>
      </c>
      <c r="C14" s="54" t="s">
        <v>40</v>
      </c>
      <c r="D14" s="334">
        <v>15.0</v>
      </c>
      <c r="E14" s="47" t="str">
        <f>IFERROR(__xludf.DUMMYFUNCTION("REGEXEXTRACT(C14,""[A-Za-z]+"")"),"samples")</f>
        <v>samples</v>
      </c>
      <c r="F14" s="48">
        <v>800.0</v>
      </c>
      <c r="G14" s="176">
        <f t="shared" si="1"/>
        <v>12000</v>
      </c>
      <c r="H14" s="330" t="s">
        <v>41</v>
      </c>
      <c r="I14" s="185"/>
      <c r="J14" s="334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179" t="s">
        <v>42</v>
      </c>
      <c r="C15" s="54" t="s">
        <v>40</v>
      </c>
      <c r="D15" s="334">
        <v>15.0</v>
      </c>
      <c r="E15" s="47" t="str">
        <f>IFERROR(__xludf.DUMMYFUNCTION("REGEXEXTRACT(C15,""[A-Za-z]+"")"),"samples")</f>
        <v>samples</v>
      </c>
      <c r="F15" s="48">
        <v>700.0</v>
      </c>
      <c r="G15" s="176">
        <f t="shared" si="1"/>
        <v>10500</v>
      </c>
      <c r="H15" s="185"/>
      <c r="I15" s="185"/>
      <c r="J15" s="334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15.75" customHeight="1">
      <c r="A16" s="35"/>
      <c r="B16" s="179" t="s">
        <v>43</v>
      </c>
      <c r="C16" s="54" t="s">
        <v>40</v>
      </c>
      <c r="D16" s="334">
        <v>15.0</v>
      </c>
      <c r="E16" s="47" t="str">
        <f>IFERROR(__xludf.DUMMYFUNCTION("REGEXEXTRACT(C16,""[A-Za-z]+"")"),"samples")</f>
        <v>samples</v>
      </c>
      <c r="F16" s="48">
        <v>1100.0</v>
      </c>
      <c r="G16" s="176">
        <f t="shared" si="1"/>
        <v>16500</v>
      </c>
      <c r="H16" s="185"/>
      <c r="I16" s="185"/>
      <c r="J16" s="334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35"/>
      <c r="B17" s="179" t="s">
        <v>44</v>
      </c>
      <c r="C17" s="54" t="s">
        <v>40</v>
      </c>
      <c r="D17" s="334">
        <v>15.0</v>
      </c>
      <c r="E17" s="47" t="str">
        <f>IFERROR(__xludf.DUMMYFUNCTION("REGEXEXTRACT(C17,""[A-Za-z]+"")"),"samples")</f>
        <v>samples</v>
      </c>
      <c r="F17" s="48">
        <v>1100.0</v>
      </c>
      <c r="G17" s="176">
        <f t="shared" si="1"/>
        <v>16500</v>
      </c>
      <c r="H17" s="185"/>
      <c r="I17" s="185"/>
      <c r="J17" s="334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35"/>
      <c r="B18" s="179" t="s">
        <v>45</v>
      </c>
      <c r="C18" s="54" t="s">
        <v>40</v>
      </c>
      <c r="D18" s="334">
        <v>15.0</v>
      </c>
      <c r="E18" s="47" t="str">
        <f>IFERROR(__xludf.DUMMYFUNCTION("REGEXEXTRACT(C18,""[A-Za-z]+"")"),"samples")</f>
        <v>samples</v>
      </c>
      <c r="F18" s="48">
        <v>700.0</v>
      </c>
      <c r="G18" s="176">
        <f t="shared" si="1"/>
        <v>10500</v>
      </c>
      <c r="H18" s="185"/>
      <c r="I18" s="185"/>
      <c r="J18" s="334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35"/>
      <c r="B19" s="179" t="s">
        <v>46</v>
      </c>
      <c r="C19" s="54" t="s">
        <v>40</v>
      </c>
      <c r="D19" s="334">
        <v>15.0</v>
      </c>
      <c r="E19" s="47" t="str">
        <f>IFERROR(__xludf.DUMMYFUNCTION("REGEXEXTRACT(C19,""[A-Za-z]+"")"),"samples")</f>
        <v>samples</v>
      </c>
      <c r="F19" s="48">
        <v>400.0</v>
      </c>
      <c r="G19" s="176">
        <f t="shared" si="1"/>
        <v>6000</v>
      </c>
      <c r="H19" s="185"/>
      <c r="I19" s="185"/>
      <c r="J19" s="334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35"/>
      <c r="B20" s="179" t="s">
        <v>47</v>
      </c>
      <c r="C20" s="54" t="s">
        <v>40</v>
      </c>
      <c r="D20" s="334">
        <v>15.0</v>
      </c>
      <c r="E20" s="47" t="str">
        <f>IFERROR(__xludf.DUMMYFUNCTION("REGEXEXTRACT(C20,""[A-Za-z]+"")"),"samples")</f>
        <v>samples</v>
      </c>
      <c r="F20" s="48">
        <v>700.0</v>
      </c>
      <c r="G20" s="176">
        <f t="shared" si="1"/>
        <v>10500</v>
      </c>
      <c r="H20" s="185"/>
      <c r="I20" s="185"/>
      <c r="J20" s="334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35"/>
      <c r="B21" s="340" t="s">
        <v>224</v>
      </c>
      <c r="C21" s="56"/>
      <c r="D21" s="334">
        <v>15.0</v>
      </c>
      <c r="E21" s="47" t="s">
        <v>145</v>
      </c>
      <c r="F21" s="48">
        <v>600.0</v>
      </c>
      <c r="G21" s="176">
        <f t="shared" si="1"/>
        <v>9000</v>
      </c>
      <c r="H21" s="185"/>
      <c r="I21" s="186"/>
      <c r="J21" s="334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35"/>
      <c r="B22" s="340" t="s">
        <v>225</v>
      </c>
      <c r="C22" s="52" t="s">
        <v>34</v>
      </c>
      <c r="D22" s="46">
        <v>1.0</v>
      </c>
      <c r="E22" s="47" t="str">
        <f>IFERROR(__xludf.DUMMYFUNCTION("REGEXEXTRACT(C22,""[A-Za-z]+"")"),"lot")</f>
        <v>lot</v>
      </c>
      <c r="F22" s="48">
        <v>33000.0</v>
      </c>
      <c r="G22" s="176">
        <f t="shared" si="1"/>
        <v>33000</v>
      </c>
      <c r="H22" s="336" t="s">
        <v>226</v>
      </c>
      <c r="I22" s="108" t="s">
        <v>146</v>
      </c>
      <c r="J22" s="33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35"/>
      <c r="B23" s="340" t="s">
        <v>227</v>
      </c>
      <c r="C23" s="54"/>
      <c r="D23" s="334">
        <v>40.0</v>
      </c>
      <c r="E23" s="338" t="s">
        <v>228</v>
      </c>
      <c r="F23" s="339">
        <v>3000.0</v>
      </c>
      <c r="G23" s="176">
        <f t="shared" si="1"/>
        <v>120000</v>
      </c>
      <c r="H23" s="336" t="s">
        <v>226</v>
      </c>
      <c r="I23" s="108" t="s">
        <v>146</v>
      </c>
      <c r="J23" s="33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179" t="s">
        <v>35</v>
      </c>
      <c r="C24" s="54" t="s">
        <v>36</v>
      </c>
      <c r="D24" s="46">
        <v>10.0</v>
      </c>
      <c r="E24" s="47" t="str">
        <f>IFERROR(__xludf.DUMMYFUNCTION("REGEXEXTRACT(C24,""[A-Za-z]+"")"),"lots")</f>
        <v>lots</v>
      </c>
      <c r="F24" s="48">
        <v>3000.0</v>
      </c>
      <c r="G24" s="176">
        <f t="shared" si="1"/>
        <v>30000</v>
      </c>
      <c r="H24" s="336" t="s">
        <v>141</v>
      </c>
      <c r="I24" s="108" t="s">
        <v>146</v>
      </c>
      <c r="J24" s="33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179" t="s">
        <v>37</v>
      </c>
      <c r="C25" s="54" t="s">
        <v>38</v>
      </c>
      <c r="D25" s="46">
        <v>200.0</v>
      </c>
      <c r="E25" s="47" t="str">
        <f>IFERROR(__xludf.DUMMYFUNCTION("REGEXEXTRACT(C25,""[A-Za-z]+"")"),"lots")</f>
        <v>lots</v>
      </c>
      <c r="F25" s="48">
        <v>150.0</v>
      </c>
      <c r="G25" s="176">
        <f t="shared" si="1"/>
        <v>30000</v>
      </c>
      <c r="H25" s="336" t="s">
        <v>141</v>
      </c>
      <c r="I25" s="108" t="s">
        <v>146</v>
      </c>
      <c r="J25" s="33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340" t="s">
        <v>229</v>
      </c>
      <c r="C26" s="56"/>
      <c r="D26" s="334">
        <v>10.0</v>
      </c>
      <c r="E26" s="338" t="s">
        <v>145</v>
      </c>
      <c r="F26" s="339">
        <v>1000.0</v>
      </c>
      <c r="G26" s="48">
        <f t="shared" si="1"/>
        <v>10000</v>
      </c>
      <c r="H26" s="330" t="s">
        <v>41</v>
      </c>
      <c r="I26" s="331" t="s">
        <v>146</v>
      </c>
      <c r="J26" s="334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340" t="s">
        <v>230</v>
      </c>
      <c r="C27" s="56"/>
      <c r="D27" s="334">
        <v>10.0</v>
      </c>
      <c r="E27" s="338" t="s">
        <v>145</v>
      </c>
      <c r="F27" s="339">
        <v>800.0</v>
      </c>
      <c r="G27" s="48">
        <f t="shared" si="1"/>
        <v>8000</v>
      </c>
      <c r="H27" s="185"/>
      <c r="I27" s="185"/>
      <c r="J27" s="334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35"/>
      <c r="B28" s="340" t="s">
        <v>231</v>
      </c>
      <c r="C28" s="56"/>
      <c r="D28" s="334">
        <v>10.0</v>
      </c>
      <c r="E28" s="338" t="s">
        <v>145</v>
      </c>
      <c r="F28" s="339">
        <v>500.0</v>
      </c>
      <c r="G28" s="48">
        <f t="shared" si="1"/>
        <v>5000</v>
      </c>
      <c r="H28" s="185"/>
      <c r="I28" s="185"/>
      <c r="J28" s="334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340" t="s">
        <v>232</v>
      </c>
      <c r="C29" s="56"/>
      <c r="D29" s="334">
        <v>10.0</v>
      </c>
      <c r="E29" s="338" t="s">
        <v>145</v>
      </c>
      <c r="F29" s="339">
        <v>700.0</v>
      </c>
      <c r="G29" s="48">
        <f t="shared" si="1"/>
        <v>7000</v>
      </c>
      <c r="H29" s="185"/>
      <c r="I29" s="185"/>
      <c r="J29" s="334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35"/>
      <c r="B30" s="340" t="s">
        <v>233</v>
      </c>
      <c r="C30" s="56"/>
      <c r="D30" s="334">
        <v>10.0</v>
      </c>
      <c r="E30" s="338" t="s">
        <v>145</v>
      </c>
      <c r="F30" s="339">
        <v>400.0</v>
      </c>
      <c r="G30" s="48">
        <f t="shared" si="1"/>
        <v>4000</v>
      </c>
      <c r="H30" s="185"/>
      <c r="I30" s="185"/>
      <c r="J30" s="334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340" t="s">
        <v>234</v>
      </c>
      <c r="C31" s="56"/>
      <c r="D31" s="334">
        <v>10.0</v>
      </c>
      <c r="E31" s="338" t="s">
        <v>145</v>
      </c>
      <c r="F31" s="339">
        <v>500.0</v>
      </c>
      <c r="G31" s="48">
        <f t="shared" si="1"/>
        <v>5000</v>
      </c>
      <c r="H31" s="185"/>
      <c r="I31" s="185"/>
      <c r="J31" s="334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340" t="s">
        <v>235</v>
      </c>
      <c r="C32" s="56"/>
      <c r="D32" s="334">
        <v>10.0</v>
      </c>
      <c r="E32" s="338" t="s">
        <v>145</v>
      </c>
      <c r="F32" s="339">
        <v>800.0</v>
      </c>
      <c r="G32" s="48">
        <f t="shared" si="1"/>
        <v>8000</v>
      </c>
      <c r="H32" s="185"/>
      <c r="I32" s="185"/>
      <c r="J32" s="334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340" t="s">
        <v>236</v>
      </c>
      <c r="C33" s="56"/>
      <c r="D33" s="334">
        <v>10.0</v>
      </c>
      <c r="E33" s="338" t="s">
        <v>145</v>
      </c>
      <c r="F33" s="339">
        <v>600.0</v>
      </c>
      <c r="G33" s="48">
        <f t="shared" si="1"/>
        <v>6000</v>
      </c>
      <c r="H33" s="185"/>
      <c r="I33" s="185"/>
      <c r="J33" s="334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340" t="s">
        <v>237</v>
      </c>
      <c r="C34" s="56"/>
      <c r="D34" s="334">
        <v>10.0</v>
      </c>
      <c r="E34" s="338" t="s">
        <v>145</v>
      </c>
      <c r="F34" s="339">
        <v>1600.0</v>
      </c>
      <c r="G34" s="48">
        <f t="shared" si="1"/>
        <v>16000</v>
      </c>
      <c r="H34" s="185"/>
      <c r="I34" s="185"/>
      <c r="J34" s="334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35"/>
      <c r="B35" s="340" t="s">
        <v>238</v>
      </c>
      <c r="C35" s="56"/>
      <c r="D35" s="334">
        <v>10.0</v>
      </c>
      <c r="E35" s="338" t="s">
        <v>145</v>
      </c>
      <c r="F35" s="339">
        <v>600.0</v>
      </c>
      <c r="G35" s="48">
        <f t="shared" si="1"/>
        <v>6000</v>
      </c>
      <c r="H35" s="185"/>
      <c r="I35" s="185"/>
      <c r="J35" s="334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35"/>
      <c r="B36" s="340" t="s">
        <v>239</v>
      </c>
      <c r="C36" s="56"/>
      <c r="D36" s="334">
        <v>10.0</v>
      </c>
      <c r="E36" s="338" t="s">
        <v>145</v>
      </c>
      <c r="F36" s="339">
        <v>1100.0</v>
      </c>
      <c r="G36" s="48">
        <f t="shared" si="1"/>
        <v>11000</v>
      </c>
      <c r="H36" s="185"/>
      <c r="I36" s="185"/>
      <c r="J36" s="334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35"/>
      <c r="B37" s="340" t="s">
        <v>240</v>
      </c>
      <c r="C37" s="56"/>
      <c r="D37" s="334">
        <v>10.0</v>
      </c>
      <c r="E37" s="338" t="s">
        <v>145</v>
      </c>
      <c r="F37" s="339">
        <v>1200.0</v>
      </c>
      <c r="G37" s="48">
        <f t="shared" si="1"/>
        <v>12000</v>
      </c>
      <c r="H37" s="185"/>
      <c r="I37" s="185"/>
      <c r="J37" s="334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35"/>
      <c r="B38" s="340" t="s">
        <v>241</v>
      </c>
      <c r="C38" s="56"/>
      <c r="D38" s="334">
        <v>10.0</v>
      </c>
      <c r="E38" s="338" t="s">
        <v>145</v>
      </c>
      <c r="F38" s="339">
        <v>600.0</v>
      </c>
      <c r="G38" s="48">
        <f t="shared" si="1"/>
        <v>6000</v>
      </c>
      <c r="H38" s="185"/>
      <c r="I38" s="185"/>
      <c r="J38" s="334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35"/>
      <c r="B39" s="340" t="s">
        <v>242</v>
      </c>
      <c r="C39" s="56"/>
      <c r="D39" s="334">
        <v>10.0</v>
      </c>
      <c r="E39" s="338" t="s">
        <v>145</v>
      </c>
      <c r="F39" s="339">
        <v>600.0</v>
      </c>
      <c r="G39" s="48">
        <f t="shared" si="1"/>
        <v>6000</v>
      </c>
      <c r="H39" s="185"/>
      <c r="I39" s="185"/>
      <c r="J39" s="334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35"/>
      <c r="B40" s="341" t="s">
        <v>243</v>
      </c>
      <c r="C40" s="188"/>
      <c r="D40" s="330">
        <v>10.0</v>
      </c>
      <c r="E40" s="338" t="s">
        <v>145</v>
      </c>
      <c r="F40" s="339">
        <v>800.0</v>
      </c>
      <c r="G40" s="48">
        <f t="shared" si="1"/>
        <v>8000</v>
      </c>
      <c r="H40" s="185"/>
      <c r="I40" s="185"/>
      <c r="J40" s="188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35"/>
      <c r="B41" s="341" t="s">
        <v>244</v>
      </c>
      <c r="C41" s="188"/>
      <c r="D41" s="330">
        <v>10.0</v>
      </c>
      <c r="E41" s="338" t="s">
        <v>145</v>
      </c>
      <c r="F41" s="339">
        <v>1600.0</v>
      </c>
      <c r="G41" s="48">
        <f t="shared" si="1"/>
        <v>16000</v>
      </c>
      <c r="H41" s="186"/>
      <c r="I41" s="186"/>
      <c r="J41" s="188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341" t="s">
        <v>245</v>
      </c>
      <c r="C42" s="188"/>
      <c r="D42" s="330">
        <v>2.0</v>
      </c>
      <c r="E42" s="338" t="s">
        <v>139</v>
      </c>
      <c r="F42" s="339">
        <v>5000.0</v>
      </c>
      <c r="G42" s="48">
        <f t="shared" si="1"/>
        <v>10000</v>
      </c>
      <c r="H42" s="177"/>
      <c r="I42" s="177"/>
      <c r="J42" s="188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35"/>
      <c r="B43" s="342" t="s">
        <v>52</v>
      </c>
      <c r="C43" s="190"/>
      <c r="D43" s="343"/>
      <c r="E43" s="343"/>
      <c r="F43" s="344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35"/>
      <c r="B44" s="345" t="s">
        <v>246</v>
      </c>
      <c r="C44" s="175"/>
      <c r="D44" s="328">
        <v>3.0</v>
      </c>
      <c r="E44" s="346" t="s">
        <v>247</v>
      </c>
      <c r="F44" s="347">
        <v>3500.0</v>
      </c>
      <c r="G44" s="176">
        <f t="shared" ref="G44:G89" si="2">F44*D44</f>
        <v>10500</v>
      </c>
      <c r="H44" s="54" t="s">
        <v>55</v>
      </c>
      <c r="I44" s="331" t="s">
        <v>146</v>
      </c>
      <c r="J44" s="175"/>
      <c r="K44" s="175"/>
      <c r="L44" s="175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35"/>
      <c r="B45" s="348" t="s">
        <v>248</v>
      </c>
      <c r="C45" s="175"/>
      <c r="D45" s="328">
        <v>3.0</v>
      </c>
      <c r="E45" s="346" t="s">
        <v>247</v>
      </c>
      <c r="F45" s="347">
        <v>4000.0</v>
      </c>
      <c r="G45" s="176">
        <f t="shared" si="2"/>
        <v>12000</v>
      </c>
      <c r="H45" s="185"/>
      <c r="I45" s="185"/>
      <c r="J45" s="175"/>
      <c r="K45" s="175"/>
      <c r="L45" s="175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35"/>
      <c r="B46" s="348" t="s">
        <v>249</v>
      </c>
      <c r="C46" s="175"/>
      <c r="D46" s="328">
        <v>5.0</v>
      </c>
      <c r="E46" s="346" t="s">
        <v>247</v>
      </c>
      <c r="F46" s="347">
        <v>3500.0</v>
      </c>
      <c r="G46" s="176">
        <f t="shared" si="2"/>
        <v>17500</v>
      </c>
      <c r="H46" s="185"/>
      <c r="I46" s="185"/>
      <c r="J46" s="175"/>
      <c r="K46" s="175"/>
      <c r="L46" s="175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35"/>
      <c r="B47" s="349" t="s">
        <v>250</v>
      </c>
      <c r="C47" s="175"/>
      <c r="D47" s="328">
        <v>3.0</v>
      </c>
      <c r="E47" s="346" t="s">
        <v>247</v>
      </c>
      <c r="F47" s="347">
        <v>3500.0</v>
      </c>
      <c r="G47" s="176">
        <f t="shared" si="2"/>
        <v>10500</v>
      </c>
      <c r="H47" s="185"/>
      <c r="I47" s="185"/>
      <c r="J47" s="175"/>
      <c r="K47" s="175"/>
      <c r="L47" s="175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35"/>
      <c r="B48" s="350" t="s">
        <v>251</v>
      </c>
      <c r="C48" s="175"/>
      <c r="D48" s="328">
        <v>3.0</v>
      </c>
      <c r="E48" s="346" t="s">
        <v>247</v>
      </c>
      <c r="F48" s="347">
        <v>3000.0</v>
      </c>
      <c r="G48" s="176">
        <f t="shared" si="2"/>
        <v>9000</v>
      </c>
      <c r="H48" s="185"/>
      <c r="I48" s="185"/>
      <c r="J48" s="175"/>
      <c r="K48" s="175"/>
      <c r="L48" s="175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35"/>
      <c r="B49" s="350" t="s">
        <v>252</v>
      </c>
      <c r="C49" s="175"/>
      <c r="D49" s="328">
        <v>80.0</v>
      </c>
      <c r="E49" s="346" t="s">
        <v>253</v>
      </c>
      <c r="F49" s="347">
        <v>3000.0</v>
      </c>
      <c r="G49" s="176">
        <f t="shared" si="2"/>
        <v>240000</v>
      </c>
      <c r="H49" s="185"/>
      <c r="I49" s="185"/>
      <c r="J49" s="175"/>
      <c r="K49" s="175"/>
      <c r="L49" s="175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350" t="s">
        <v>254</v>
      </c>
      <c r="C50" s="175"/>
      <c r="D50" s="328">
        <v>3.0</v>
      </c>
      <c r="E50" s="346" t="s">
        <v>247</v>
      </c>
      <c r="F50" s="347">
        <v>3000.0</v>
      </c>
      <c r="G50" s="176">
        <f t="shared" si="2"/>
        <v>9000</v>
      </c>
      <c r="H50" s="185"/>
      <c r="I50" s="185"/>
      <c r="J50" s="175"/>
      <c r="K50" s="175"/>
      <c r="L50" s="175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350" t="s">
        <v>255</v>
      </c>
      <c r="C51" s="175"/>
      <c r="D51" s="328">
        <v>3.0</v>
      </c>
      <c r="E51" s="346" t="s">
        <v>247</v>
      </c>
      <c r="F51" s="347">
        <v>2500.0</v>
      </c>
      <c r="G51" s="176">
        <f t="shared" si="2"/>
        <v>7500</v>
      </c>
      <c r="H51" s="185"/>
      <c r="I51" s="185"/>
      <c r="J51" s="175"/>
      <c r="K51" s="175"/>
      <c r="L51" s="175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350" t="s">
        <v>256</v>
      </c>
      <c r="C52" s="175"/>
      <c r="D52" s="328">
        <v>2.0</v>
      </c>
      <c r="E52" s="346" t="s">
        <v>247</v>
      </c>
      <c r="F52" s="347">
        <v>2500.0</v>
      </c>
      <c r="G52" s="176">
        <f t="shared" si="2"/>
        <v>5000</v>
      </c>
      <c r="H52" s="186"/>
      <c r="I52" s="186"/>
      <c r="J52" s="175"/>
      <c r="K52" s="175"/>
      <c r="L52" s="175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35"/>
      <c r="B53" s="350" t="s">
        <v>257</v>
      </c>
      <c r="C53" s="175"/>
      <c r="D53" s="328">
        <v>100.0</v>
      </c>
      <c r="E53" s="346" t="s">
        <v>258</v>
      </c>
      <c r="F53" s="347">
        <v>2500.0</v>
      </c>
      <c r="G53" s="176">
        <f t="shared" si="2"/>
        <v>250000</v>
      </c>
      <c r="H53" s="54" t="s">
        <v>55</v>
      </c>
      <c r="I53" s="331" t="s">
        <v>146</v>
      </c>
      <c r="J53" s="175"/>
      <c r="K53" s="175"/>
      <c r="L53" s="175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35"/>
      <c r="B54" s="350" t="s">
        <v>259</v>
      </c>
      <c r="C54" s="175"/>
      <c r="D54" s="328">
        <v>60.0</v>
      </c>
      <c r="E54" s="346" t="s">
        <v>258</v>
      </c>
      <c r="F54" s="347">
        <v>3000.0</v>
      </c>
      <c r="G54" s="176">
        <f t="shared" si="2"/>
        <v>180000</v>
      </c>
      <c r="H54" s="185"/>
      <c r="I54" s="185"/>
      <c r="J54" s="175"/>
      <c r="K54" s="175"/>
      <c r="L54" s="175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35"/>
      <c r="B55" s="350" t="s">
        <v>260</v>
      </c>
      <c r="C55" s="175"/>
      <c r="D55" s="328">
        <v>60.0</v>
      </c>
      <c r="E55" s="346" t="s">
        <v>261</v>
      </c>
      <c r="F55" s="347">
        <v>5000.0</v>
      </c>
      <c r="G55" s="176">
        <f t="shared" si="2"/>
        <v>300000</v>
      </c>
      <c r="H55" s="185"/>
      <c r="I55" s="185"/>
      <c r="J55" s="175"/>
      <c r="K55" s="175"/>
      <c r="L55" s="175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350" t="s">
        <v>262</v>
      </c>
      <c r="C56" s="175"/>
      <c r="D56" s="328">
        <v>60.0</v>
      </c>
      <c r="E56" s="346" t="s">
        <v>258</v>
      </c>
      <c r="F56" s="347">
        <v>6500.0</v>
      </c>
      <c r="G56" s="176">
        <f t="shared" si="2"/>
        <v>390000</v>
      </c>
      <c r="H56" s="186"/>
      <c r="I56" s="186"/>
      <c r="J56" s="175"/>
      <c r="K56" s="175"/>
      <c r="L56" s="175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350" t="s">
        <v>263</v>
      </c>
      <c r="C57" s="175"/>
      <c r="D57" s="328">
        <v>60.0</v>
      </c>
      <c r="E57" s="346" t="s">
        <v>258</v>
      </c>
      <c r="F57" s="347">
        <v>6500.0</v>
      </c>
      <c r="G57" s="176">
        <f t="shared" si="2"/>
        <v>390000</v>
      </c>
      <c r="H57" s="54" t="s">
        <v>55</v>
      </c>
      <c r="I57" s="331" t="s">
        <v>146</v>
      </c>
      <c r="J57" s="175"/>
      <c r="K57" s="175"/>
      <c r="L57" s="175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35"/>
      <c r="B58" s="350" t="s">
        <v>264</v>
      </c>
      <c r="C58" s="175"/>
      <c r="D58" s="328">
        <v>6.0</v>
      </c>
      <c r="E58" s="346" t="s">
        <v>253</v>
      </c>
      <c r="F58" s="347">
        <v>2500.0</v>
      </c>
      <c r="G58" s="176">
        <f t="shared" si="2"/>
        <v>15000</v>
      </c>
      <c r="H58" s="185"/>
      <c r="I58" s="185"/>
      <c r="J58" s="175"/>
      <c r="K58" s="175"/>
      <c r="L58" s="175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35"/>
      <c r="B59" s="191" t="s">
        <v>57</v>
      </c>
      <c r="C59" s="54" t="s">
        <v>58</v>
      </c>
      <c r="D59" s="334">
        <v>30.0</v>
      </c>
      <c r="E59" s="55" t="str">
        <f>IFERROR(__xludf.DUMMYFUNCTION("REGEXEXTRACT(C59,""[A-Za-z]+"")")," btls ")</f>
        <v>btls</v>
      </c>
      <c r="F59" s="347">
        <v>5500.0</v>
      </c>
      <c r="G59" s="176">
        <f t="shared" si="2"/>
        <v>165000</v>
      </c>
      <c r="H59" s="185"/>
      <c r="I59" s="185"/>
      <c r="J59" s="175"/>
      <c r="K59" s="175"/>
      <c r="L59" s="175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35"/>
      <c r="B60" s="351" t="s">
        <v>265</v>
      </c>
      <c r="C60" s="175"/>
      <c r="D60" s="328">
        <v>6.0</v>
      </c>
      <c r="E60" s="346" t="s">
        <v>253</v>
      </c>
      <c r="F60" s="347">
        <v>2500.0</v>
      </c>
      <c r="G60" s="176">
        <f t="shared" si="2"/>
        <v>15000</v>
      </c>
      <c r="H60" s="186"/>
      <c r="I60" s="186"/>
      <c r="J60" s="175"/>
      <c r="K60" s="175"/>
      <c r="L60" s="175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35"/>
      <c r="B61" s="350" t="s">
        <v>266</v>
      </c>
      <c r="C61" s="175"/>
      <c r="D61" s="328">
        <v>80.0</v>
      </c>
      <c r="E61" s="346" t="s">
        <v>267</v>
      </c>
      <c r="F61" s="347">
        <v>500.0</v>
      </c>
      <c r="G61" s="176">
        <f t="shared" si="2"/>
        <v>40000</v>
      </c>
      <c r="H61" s="54" t="s">
        <v>55</v>
      </c>
      <c r="I61" s="331" t="s">
        <v>146</v>
      </c>
      <c r="J61" s="175"/>
      <c r="K61" s="175"/>
      <c r="L61" s="175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35"/>
      <c r="B62" s="350" t="s">
        <v>268</v>
      </c>
      <c r="C62" s="175"/>
      <c r="D62" s="328">
        <v>100.0</v>
      </c>
      <c r="E62" s="346" t="s">
        <v>267</v>
      </c>
      <c r="F62" s="347">
        <v>800.0</v>
      </c>
      <c r="G62" s="176">
        <f t="shared" si="2"/>
        <v>80000</v>
      </c>
      <c r="H62" s="185"/>
      <c r="I62" s="185"/>
      <c r="J62" s="175"/>
      <c r="K62" s="175"/>
      <c r="L62" s="175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5.75" customHeight="1">
      <c r="A63" s="35"/>
      <c r="B63" s="350" t="s">
        <v>269</v>
      </c>
      <c r="C63" s="175"/>
      <c r="D63" s="328">
        <v>50.0</v>
      </c>
      <c r="E63" s="346" t="s">
        <v>270</v>
      </c>
      <c r="F63" s="347">
        <v>1200.0</v>
      </c>
      <c r="G63" s="176">
        <f t="shared" si="2"/>
        <v>60000</v>
      </c>
      <c r="H63" s="185"/>
      <c r="I63" s="185"/>
      <c r="J63" s="175"/>
      <c r="K63" s="175"/>
      <c r="L63" s="175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5.75" customHeight="1">
      <c r="A64" s="35"/>
      <c r="B64" s="350" t="s">
        <v>271</v>
      </c>
      <c r="C64" s="175"/>
      <c r="D64" s="328">
        <v>20.0</v>
      </c>
      <c r="E64" s="346" t="s">
        <v>253</v>
      </c>
      <c r="F64" s="347">
        <v>500.0</v>
      </c>
      <c r="G64" s="176">
        <f t="shared" si="2"/>
        <v>10000</v>
      </c>
      <c r="H64" s="185"/>
      <c r="I64" s="185"/>
      <c r="J64" s="175"/>
      <c r="K64" s="175"/>
      <c r="L64" s="175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5.75" customHeight="1">
      <c r="A65" s="35"/>
      <c r="B65" s="350" t="s">
        <v>272</v>
      </c>
      <c r="C65" s="175"/>
      <c r="D65" s="328">
        <v>30.0</v>
      </c>
      <c r="E65" s="346" t="s">
        <v>253</v>
      </c>
      <c r="F65" s="347">
        <v>800.0</v>
      </c>
      <c r="G65" s="176">
        <f t="shared" si="2"/>
        <v>24000</v>
      </c>
      <c r="H65" s="186"/>
      <c r="I65" s="186"/>
      <c r="J65" s="175"/>
      <c r="K65" s="175"/>
      <c r="L65" s="175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5.75" customHeight="1">
      <c r="A66" s="35"/>
      <c r="B66" s="350" t="s">
        <v>273</v>
      </c>
      <c r="C66" s="175"/>
      <c r="D66" s="328">
        <v>20.0</v>
      </c>
      <c r="E66" s="346" t="s">
        <v>253</v>
      </c>
      <c r="F66" s="347">
        <v>2500.0</v>
      </c>
      <c r="G66" s="176">
        <f t="shared" si="2"/>
        <v>50000</v>
      </c>
      <c r="H66" s="54" t="s">
        <v>55</v>
      </c>
      <c r="I66" s="331" t="s">
        <v>146</v>
      </c>
      <c r="J66" s="175"/>
      <c r="K66" s="175"/>
      <c r="L66" s="175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5.75" customHeight="1">
      <c r="A67" s="35"/>
      <c r="B67" s="350" t="s">
        <v>274</v>
      </c>
      <c r="C67" s="175"/>
      <c r="D67" s="328">
        <v>20.0</v>
      </c>
      <c r="E67" s="346" t="s">
        <v>253</v>
      </c>
      <c r="F67" s="347">
        <v>2000.0</v>
      </c>
      <c r="G67" s="176">
        <f t="shared" si="2"/>
        <v>40000</v>
      </c>
      <c r="H67" s="185"/>
      <c r="I67" s="185"/>
      <c r="J67" s="175"/>
      <c r="K67" s="175"/>
      <c r="L67" s="175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5.75" customHeight="1">
      <c r="A68" s="35"/>
      <c r="B68" s="191" t="s">
        <v>53</v>
      </c>
      <c r="C68" s="54" t="s">
        <v>54</v>
      </c>
      <c r="D68" s="334">
        <v>60.0</v>
      </c>
      <c r="E68" s="55" t="str">
        <f>IFERROR(__xludf.DUMMYFUNCTION("REGEXEXTRACT(C68,""[A-Za-z]+"")")," btls ")</f>
        <v>btls</v>
      </c>
      <c r="F68" s="347">
        <v>4000.0</v>
      </c>
      <c r="G68" s="176">
        <f t="shared" si="2"/>
        <v>240000</v>
      </c>
      <c r="H68" s="185"/>
      <c r="I68" s="185"/>
      <c r="J68" s="175"/>
      <c r="K68" s="175"/>
      <c r="L68" s="175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5.75" customHeight="1">
      <c r="A69" s="35"/>
      <c r="B69" s="191" t="s">
        <v>56</v>
      </c>
      <c r="C69" s="54" t="s">
        <v>54</v>
      </c>
      <c r="D69" s="334">
        <v>60.0</v>
      </c>
      <c r="E69" s="55" t="str">
        <f>IFERROR(__xludf.DUMMYFUNCTION("REGEXEXTRACT(C69,""[A-Za-z]+"")")," btls ")</f>
        <v>btls</v>
      </c>
      <c r="F69" s="347">
        <v>2500.0</v>
      </c>
      <c r="G69" s="176">
        <f t="shared" si="2"/>
        <v>150000</v>
      </c>
      <c r="H69" s="186"/>
      <c r="I69" s="186"/>
      <c r="J69" s="175"/>
      <c r="K69" s="175"/>
      <c r="L69" s="175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5.75" customHeight="1">
      <c r="A70" s="35"/>
      <c r="B70" s="352" t="s">
        <v>275</v>
      </c>
      <c r="C70" s="175"/>
      <c r="D70" s="328">
        <v>50.0</v>
      </c>
      <c r="E70" s="353" t="s">
        <v>276</v>
      </c>
      <c r="F70" s="59">
        <v>5500.0</v>
      </c>
      <c r="G70" s="176">
        <f t="shared" si="2"/>
        <v>275000</v>
      </c>
      <c r="H70" s="330" t="s">
        <v>41</v>
      </c>
      <c r="I70" s="331" t="s">
        <v>146</v>
      </c>
      <c r="J70" s="328"/>
      <c r="K70" s="175"/>
      <c r="L70" s="175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35"/>
      <c r="B71" s="352" t="s">
        <v>277</v>
      </c>
      <c r="C71" s="175"/>
      <c r="D71" s="328">
        <v>50.0</v>
      </c>
      <c r="E71" s="353" t="s">
        <v>276</v>
      </c>
      <c r="F71" s="59">
        <v>5500.0</v>
      </c>
      <c r="G71" s="176">
        <f t="shared" si="2"/>
        <v>275000</v>
      </c>
      <c r="H71" s="186"/>
      <c r="I71" s="186"/>
      <c r="J71" s="328"/>
      <c r="K71" s="175"/>
      <c r="L71" s="175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73"/>
      <c r="B72" s="354" t="s">
        <v>105</v>
      </c>
      <c r="C72" s="355" t="s">
        <v>61</v>
      </c>
      <c r="D72" s="337">
        <v>20.0</v>
      </c>
      <c r="E72" s="356" t="str">
        <f>IFERROR(__xludf.DUMMYFUNCTION("REGEXEXTRACT(C72,""[A-Za-z]+"")"),"pcs")</f>
        <v>pcs</v>
      </c>
      <c r="F72" s="176">
        <v>1300.0</v>
      </c>
      <c r="G72" s="176">
        <f t="shared" si="2"/>
        <v>26000</v>
      </c>
      <c r="H72" s="54" t="s">
        <v>147</v>
      </c>
      <c r="I72" s="357" t="s">
        <v>146</v>
      </c>
      <c r="J72" s="175"/>
      <c r="K72" s="175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73"/>
      <c r="B73" s="354" t="s">
        <v>106</v>
      </c>
      <c r="C73" s="355" t="s">
        <v>107</v>
      </c>
      <c r="D73" s="337">
        <v>15.0</v>
      </c>
      <c r="E73" s="356" t="str">
        <f>IFERROR(__xludf.DUMMYFUNCTION("REGEXEXTRACT(C73,""[A-Za-z]+"")"),"pcs")</f>
        <v>pcs</v>
      </c>
      <c r="F73" s="176">
        <v>800.0</v>
      </c>
      <c r="G73" s="176">
        <f t="shared" si="2"/>
        <v>12000</v>
      </c>
      <c r="H73" s="185"/>
      <c r="I73" s="185"/>
      <c r="J73" s="175"/>
      <c r="K73" s="175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73"/>
      <c r="B74" s="354" t="s">
        <v>108</v>
      </c>
      <c r="C74" s="355" t="s">
        <v>107</v>
      </c>
      <c r="D74" s="337">
        <v>15.0</v>
      </c>
      <c r="E74" s="356" t="str">
        <f>IFERROR(__xludf.DUMMYFUNCTION("REGEXEXTRACT(C74,""[A-Za-z]+"")"),"pcs")</f>
        <v>pcs</v>
      </c>
      <c r="F74" s="176">
        <v>250.0</v>
      </c>
      <c r="G74" s="176">
        <f t="shared" si="2"/>
        <v>3750</v>
      </c>
      <c r="H74" s="185"/>
      <c r="I74" s="185"/>
      <c r="J74" s="175"/>
      <c r="K74" s="175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customHeight="1">
      <c r="A75" s="73"/>
      <c r="B75" s="354" t="s">
        <v>133</v>
      </c>
      <c r="C75" s="355"/>
      <c r="D75" s="337">
        <v>10.0</v>
      </c>
      <c r="E75" s="70" t="s">
        <v>110</v>
      </c>
      <c r="F75" s="176">
        <v>2400.0</v>
      </c>
      <c r="G75" s="176">
        <f t="shared" si="2"/>
        <v>24000</v>
      </c>
      <c r="H75" s="185"/>
      <c r="I75" s="185"/>
      <c r="J75" s="175"/>
      <c r="K75" s="175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customHeight="1">
      <c r="A76" s="79"/>
      <c r="B76" s="354" t="s">
        <v>134</v>
      </c>
      <c r="C76" s="358"/>
      <c r="D76" s="337">
        <v>10.0</v>
      </c>
      <c r="E76" s="70" t="s">
        <v>110</v>
      </c>
      <c r="F76" s="176">
        <v>2000.0</v>
      </c>
      <c r="G76" s="176">
        <f t="shared" si="2"/>
        <v>20000</v>
      </c>
      <c r="H76" s="185"/>
      <c r="I76" s="185"/>
      <c r="J76" s="175"/>
      <c r="K76" s="175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359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</row>
    <row r="77" ht="15.75" customHeight="1">
      <c r="A77" s="79"/>
      <c r="B77" s="354" t="s">
        <v>135</v>
      </c>
      <c r="C77" s="358"/>
      <c r="D77" s="337">
        <v>10.0</v>
      </c>
      <c r="E77" s="70" t="s">
        <v>110</v>
      </c>
      <c r="F77" s="176">
        <v>1000.0</v>
      </c>
      <c r="G77" s="176">
        <f t="shared" si="2"/>
        <v>10000</v>
      </c>
      <c r="H77" s="185"/>
      <c r="I77" s="185"/>
      <c r="J77" s="175"/>
      <c r="K77" s="175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359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</row>
    <row r="78" ht="15.75" customHeight="1">
      <c r="A78" s="73"/>
      <c r="B78" s="75" t="s">
        <v>103</v>
      </c>
      <c r="C78" s="355" t="s">
        <v>104</v>
      </c>
      <c r="D78" s="337">
        <v>24.0</v>
      </c>
      <c r="E78" s="70" t="str">
        <f>IFERROR(__xludf.DUMMYFUNCTION("REGEXEXTRACT(C78,""[A-Za-z]+"")")," pcs ")</f>
        <v>pcs</v>
      </c>
      <c r="F78" s="176">
        <v>2500.0</v>
      </c>
      <c r="G78" s="176">
        <f t="shared" si="2"/>
        <v>60000</v>
      </c>
      <c r="H78" s="185"/>
      <c r="I78" s="185"/>
      <c r="J78" s="175"/>
      <c r="K78" s="175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73"/>
      <c r="B79" s="360" t="s">
        <v>278</v>
      </c>
      <c r="C79" s="355"/>
      <c r="D79" s="361">
        <v>15.0</v>
      </c>
      <c r="E79" s="70" t="s">
        <v>110</v>
      </c>
      <c r="F79" s="176">
        <v>1000.0</v>
      </c>
      <c r="G79" s="176">
        <f t="shared" si="2"/>
        <v>15000</v>
      </c>
      <c r="H79" s="185"/>
      <c r="I79" s="185"/>
      <c r="J79" s="175"/>
      <c r="K79" s="175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73"/>
      <c r="B80" s="360" t="s">
        <v>279</v>
      </c>
      <c r="C80" s="355"/>
      <c r="D80" s="361">
        <v>15.0</v>
      </c>
      <c r="E80" s="70" t="s">
        <v>110</v>
      </c>
      <c r="F80" s="176">
        <v>2000.0</v>
      </c>
      <c r="G80" s="176">
        <f t="shared" si="2"/>
        <v>30000</v>
      </c>
      <c r="H80" s="185"/>
      <c r="I80" s="185"/>
      <c r="J80" s="175"/>
      <c r="K80" s="175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73"/>
      <c r="B81" s="360" t="s">
        <v>280</v>
      </c>
      <c r="C81" s="355"/>
      <c r="D81" s="361">
        <v>15.0</v>
      </c>
      <c r="E81" s="70" t="s">
        <v>110</v>
      </c>
      <c r="F81" s="176">
        <v>1000.0</v>
      </c>
      <c r="G81" s="176">
        <f t="shared" si="2"/>
        <v>15000</v>
      </c>
      <c r="H81" s="185"/>
      <c r="I81" s="185"/>
      <c r="J81" s="175"/>
      <c r="K81" s="175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73"/>
      <c r="B82" s="360" t="s">
        <v>281</v>
      </c>
      <c r="C82" s="355"/>
      <c r="D82" s="361">
        <v>15.0</v>
      </c>
      <c r="E82" s="70" t="s">
        <v>110</v>
      </c>
      <c r="F82" s="176">
        <v>2000.0</v>
      </c>
      <c r="G82" s="176">
        <f t="shared" si="2"/>
        <v>30000</v>
      </c>
      <c r="H82" s="186"/>
      <c r="I82" s="186"/>
      <c r="J82" s="175"/>
      <c r="K82" s="175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73"/>
      <c r="B83" s="360" t="s">
        <v>282</v>
      </c>
      <c r="C83" s="355"/>
      <c r="D83" s="361">
        <v>5.0</v>
      </c>
      <c r="E83" s="70" t="s">
        <v>110</v>
      </c>
      <c r="F83" s="362">
        <v>10000.0</v>
      </c>
      <c r="G83" s="176">
        <f t="shared" si="2"/>
        <v>50000</v>
      </c>
      <c r="H83" s="54" t="s">
        <v>55</v>
      </c>
      <c r="I83" s="331" t="s">
        <v>146</v>
      </c>
      <c r="J83" s="175"/>
      <c r="K83" s="175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73"/>
      <c r="B84" s="363" t="s">
        <v>283</v>
      </c>
      <c r="C84" s="175"/>
      <c r="D84" s="361">
        <v>2.0</v>
      </c>
      <c r="E84" s="70" t="s">
        <v>110</v>
      </c>
      <c r="F84" s="176">
        <v>25000.0</v>
      </c>
      <c r="G84" s="176">
        <f t="shared" si="2"/>
        <v>50000</v>
      </c>
      <c r="H84" s="186"/>
      <c r="I84" s="186"/>
      <c r="J84" s="175"/>
      <c r="K84" s="175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75" customHeight="1">
      <c r="A85" s="73"/>
      <c r="B85" s="360" t="s">
        <v>284</v>
      </c>
      <c r="C85" s="355"/>
      <c r="D85" s="361">
        <v>1.0</v>
      </c>
      <c r="E85" s="364" t="s">
        <v>285</v>
      </c>
      <c r="F85" s="362">
        <v>50000.0</v>
      </c>
      <c r="G85" s="176">
        <f t="shared" si="2"/>
        <v>50000</v>
      </c>
      <c r="H85" s="175" t="s">
        <v>55</v>
      </c>
      <c r="I85" s="108" t="s">
        <v>146</v>
      </c>
      <c r="J85" s="175"/>
      <c r="K85" s="175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73"/>
      <c r="B86" s="365" t="s">
        <v>286</v>
      </c>
      <c r="C86" s="366"/>
      <c r="D86" s="367">
        <v>20.0</v>
      </c>
      <c r="E86" s="367" t="s">
        <v>287</v>
      </c>
      <c r="F86" s="176">
        <v>5000.0</v>
      </c>
      <c r="G86" s="176">
        <f t="shared" si="2"/>
        <v>100000</v>
      </c>
      <c r="H86" s="175" t="s">
        <v>55</v>
      </c>
      <c r="I86" s="108" t="s">
        <v>146</v>
      </c>
      <c r="J86" s="175"/>
      <c r="K86" s="175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73"/>
      <c r="B87" s="360" t="s">
        <v>288</v>
      </c>
      <c r="C87" s="355"/>
      <c r="D87" s="361">
        <v>30.0</v>
      </c>
      <c r="E87" s="364" t="s">
        <v>152</v>
      </c>
      <c r="F87" s="176">
        <v>500.0</v>
      </c>
      <c r="G87" s="176">
        <f t="shared" si="2"/>
        <v>15000</v>
      </c>
      <c r="H87" s="54" t="s">
        <v>55</v>
      </c>
      <c r="I87" s="331" t="s">
        <v>146</v>
      </c>
      <c r="J87" s="175"/>
      <c r="K87" s="175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73"/>
      <c r="B88" s="191" t="s">
        <v>78</v>
      </c>
      <c r="C88" s="54" t="s">
        <v>79</v>
      </c>
      <c r="D88" s="46">
        <v>10.0</v>
      </c>
      <c r="E88" s="47" t="str">
        <f>IFERROR(__xludf.DUMMYFUNCTION("REGEXEXTRACT(C88,""[A-Za-z]+"")"),"boxes")</f>
        <v>boxes</v>
      </c>
      <c r="F88" s="48">
        <v>300.0</v>
      </c>
      <c r="G88" s="176">
        <f t="shared" si="2"/>
        <v>3000</v>
      </c>
      <c r="H88" s="185"/>
      <c r="I88" s="185"/>
      <c r="J88" s="175"/>
      <c r="K88" s="175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73"/>
      <c r="B89" s="191" t="s">
        <v>80</v>
      </c>
      <c r="C89" s="54" t="s">
        <v>79</v>
      </c>
      <c r="D89" s="46">
        <v>10.0</v>
      </c>
      <c r="E89" s="47" t="str">
        <f>IFERROR(__xludf.DUMMYFUNCTION("REGEXEXTRACT(C89,""[A-Za-z]+"")"),"boxes")</f>
        <v>boxes</v>
      </c>
      <c r="F89" s="48">
        <v>300.0</v>
      </c>
      <c r="G89" s="176">
        <f t="shared" si="2"/>
        <v>3000</v>
      </c>
      <c r="H89" s="186"/>
      <c r="I89" s="186"/>
      <c r="J89" s="175"/>
      <c r="K89" s="175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35"/>
      <c r="B90" s="368" t="s">
        <v>59</v>
      </c>
      <c r="C90" s="190"/>
      <c r="D90" s="343"/>
      <c r="E90" s="343"/>
      <c r="F90" s="344"/>
      <c r="G90" s="344"/>
      <c r="H90" s="190"/>
      <c r="I90" s="190"/>
      <c r="J90" s="201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35"/>
      <c r="B91" s="428" t="s">
        <v>289</v>
      </c>
      <c r="C91" s="175"/>
      <c r="D91" s="361">
        <v>2.0</v>
      </c>
      <c r="E91" s="369" t="s">
        <v>290</v>
      </c>
      <c r="F91" s="362">
        <v>40000.0</v>
      </c>
      <c r="G91" s="176">
        <f t="shared" ref="G91:G106" si="3">F91*D91</f>
        <v>80000</v>
      </c>
      <c r="H91" s="336" t="s">
        <v>55</v>
      </c>
      <c r="I91" s="108" t="s">
        <v>146</v>
      </c>
      <c r="J91" s="175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35"/>
      <c r="B92" s="428" t="s">
        <v>136</v>
      </c>
      <c r="C92" s="175"/>
      <c r="D92" s="361">
        <v>4.0</v>
      </c>
      <c r="E92" s="369" t="s">
        <v>110</v>
      </c>
      <c r="F92" s="362">
        <v>20000.0</v>
      </c>
      <c r="G92" s="176">
        <f t="shared" si="3"/>
        <v>80000</v>
      </c>
      <c r="H92" s="54" t="s">
        <v>55</v>
      </c>
      <c r="I92" s="108" t="s">
        <v>146</v>
      </c>
      <c r="J92" s="175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35"/>
      <c r="B93" s="428" t="s">
        <v>291</v>
      </c>
      <c r="C93" s="175"/>
      <c r="D93" s="361">
        <v>6.0</v>
      </c>
      <c r="E93" s="369" t="s">
        <v>110</v>
      </c>
      <c r="F93" s="370">
        <v>7000.0</v>
      </c>
      <c r="G93" s="176">
        <f t="shared" si="3"/>
        <v>42000</v>
      </c>
      <c r="H93" s="185"/>
      <c r="I93" s="108" t="s">
        <v>146</v>
      </c>
      <c r="J93" s="175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35"/>
      <c r="B94" s="428" t="s">
        <v>292</v>
      </c>
      <c r="C94" s="175"/>
      <c r="D94" s="361">
        <v>1.0</v>
      </c>
      <c r="E94" s="369" t="s">
        <v>293</v>
      </c>
      <c r="F94" s="362">
        <v>3000.0</v>
      </c>
      <c r="G94" s="176">
        <f t="shared" si="3"/>
        <v>3000</v>
      </c>
      <c r="H94" s="185"/>
      <c r="I94" s="108" t="s">
        <v>146</v>
      </c>
      <c r="J94" s="175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35"/>
      <c r="B95" s="428" t="s">
        <v>294</v>
      </c>
      <c r="C95" s="175"/>
      <c r="D95" s="361">
        <v>10.0</v>
      </c>
      <c r="E95" s="369" t="s">
        <v>152</v>
      </c>
      <c r="F95" s="362">
        <v>1100.0</v>
      </c>
      <c r="G95" s="176">
        <f t="shared" si="3"/>
        <v>11000</v>
      </c>
      <c r="H95" s="185"/>
      <c r="I95" s="108" t="s">
        <v>146</v>
      </c>
      <c r="J95" s="175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35"/>
      <c r="B96" s="428" t="s">
        <v>295</v>
      </c>
      <c r="C96" s="175"/>
      <c r="D96" s="361">
        <v>20.0</v>
      </c>
      <c r="E96" s="369" t="s">
        <v>110</v>
      </c>
      <c r="F96" s="362">
        <v>700.0</v>
      </c>
      <c r="G96" s="176">
        <f t="shared" si="3"/>
        <v>14000</v>
      </c>
      <c r="H96" s="185"/>
      <c r="I96" s="108" t="s">
        <v>146</v>
      </c>
      <c r="J96" s="175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35"/>
      <c r="B97" s="348" t="s">
        <v>296</v>
      </c>
      <c r="C97" s="175"/>
      <c r="D97" s="361">
        <v>10.0</v>
      </c>
      <c r="E97" s="369" t="s">
        <v>110</v>
      </c>
      <c r="F97" s="362">
        <v>15000.0</v>
      </c>
      <c r="G97" s="176">
        <f t="shared" si="3"/>
        <v>150000</v>
      </c>
      <c r="H97" s="186"/>
      <c r="I97" s="108" t="s">
        <v>146</v>
      </c>
      <c r="J97" s="175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35"/>
      <c r="B98" s="428" t="s">
        <v>297</v>
      </c>
      <c r="C98" s="175"/>
      <c r="D98" s="361">
        <v>3.0</v>
      </c>
      <c r="E98" s="369" t="s">
        <v>110</v>
      </c>
      <c r="F98" s="362">
        <v>2000.0</v>
      </c>
      <c r="G98" s="176">
        <f t="shared" si="3"/>
        <v>6000</v>
      </c>
      <c r="H98" s="175" t="s">
        <v>148</v>
      </c>
      <c r="I98" s="108" t="s">
        <v>146</v>
      </c>
      <c r="J98" s="175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35"/>
      <c r="B99" s="428" t="s">
        <v>298</v>
      </c>
      <c r="C99" s="175"/>
      <c r="D99" s="361">
        <v>300.0</v>
      </c>
      <c r="E99" s="369" t="s">
        <v>299</v>
      </c>
      <c r="F99" s="362">
        <v>300.0</v>
      </c>
      <c r="G99" s="176">
        <f t="shared" si="3"/>
        <v>90000</v>
      </c>
      <c r="H99" s="175" t="s">
        <v>55</v>
      </c>
      <c r="I99" s="177" t="s">
        <v>146</v>
      </c>
      <c r="J99" s="175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35"/>
      <c r="B100" s="428" t="s">
        <v>300</v>
      </c>
      <c r="C100" s="175"/>
      <c r="D100" s="361">
        <v>300.0</v>
      </c>
      <c r="E100" s="369" t="s">
        <v>299</v>
      </c>
      <c r="F100" s="362">
        <v>300.0</v>
      </c>
      <c r="G100" s="176">
        <f t="shared" si="3"/>
        <v>90000</v>
      </c>
      <c r="H100" s="175" t="s">
        <v>55</v>
      </c>
      <c r="I100" s="177" t="s">
        <v>146</v>
      </c>
      <c r="J100" s="175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35"/>
      <c r="B101" s="429" t="s">
        <v>69</v>
      </c>
      <c r="C101" s="175" t="s">
        <v>70</v>
      </c>
      <c r="D101" s="337">
        <v>30.0</v>
      </c>
      <c r="E101" s="356" t="str">
        <f>IFERROR(__xludf.DUMMYFUNCTION("REGEXEXTRACT(C101,""[A-Za-z]+"")"),"pcs")</f>
        <v>pcs</v>
      </c>
      <c r="F101" s="176">
        <v>150.0</v>
      </c>
      <c r="G101" s="176">
        <f t="shared" si="3"/>
        <v>4500</v>
      </c>
      <c r="H101" s="175" t="s">
        <v>141</v>
      </c>
      <c r="I101" s="177" t="s">
        <v>146</v>
      </c>
      <c r="J101" s="175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35"/>
      <c r="B102" s="354" t="s">
        <v>71</v>
      </c>
      <c r="C102" s="175" t="s">
        <v>72</v>
      </c>
      <c r="D102" s="337">
        <v>40.0</v>
      </c>
      <c r="E102" s="356" t="str">
        <f>IFERROR(__xludf.DUMMYFUNCTION("REGEXEXTRACT(C102,""[A-Za-z]+"")"),"pcs")</f>
        <v>pcs</v>
      </c>
      <c r="F102" s="176">
        <v>199.0</v>
      </c>
      <c r="G102" s="176">
        <f t="shared" si="3"/>
        <v>7960</v>
      </c>
      <c r="H102" s="54" t="s">
        <v>148</v>
      </c>
      <c r="I102" s="188" t="s">
        <v>146</v>
      </c>
      <c r="J102" s="175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35"/>
      <c r="B103" s="354" t="s">
        <v>73</v>
      </c>
      <c r="C103" s="175" t="s">
        <v>72</v>
      </c>
      <c r="D103" s="337">
        <v>40.0</v>
      </c>
      <c r="E103" s="356" t="str">
        <f>IFERROR(__xludf.DUMMYFUNCTION("REGEXEXTRACT(C103,""[A-Za-z]+"")"),"pcs")</f>
        <v>pcs</v>
      </c>
      <c r="F103" s="176">
        <v>199.0</v>
      </c>
      <c r="G103" s="176">
        <f t="shared" si="3"/>
        <v>7960</v>
      </c>
      <c r="H103" s="186"/>
      <c r="I103" s="186"/>
      <c r="J103" s="175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35"/>
      <c r="B104" s="354" t="s">
        <v>74</v>
      </c>
      <c r="C104" s="372" t="s">
        <v>75</v>
      </c>
      <c r="D104" s="337">
        <v>10.0</v>
      </c>
      <c r="E104" s="356" t="str">
        <f>IFERROR(__xludf.DUMMYFUNCTION("REGEXEXTRACT(C104,""[A-Za-z]+"")"),"packs")</f>
        <v>packs</v>
      </c>
      <c r="F104" s="176">
        <v>2000.0</v>
      </c>
      <c r="G104" s="176">
        <f t="shared" si="3"/>
        <v>20000</v>
      </c>
      <c r="H104" s="54" t="s">
        <v>55</v>
      </c>
      <c r="I104" s="188" t="s">
        <v>146</v>
      </c>
      <c r="J104" s="175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35"/>
      <c r="B105" s="354" t="s">
        <v>76</v>
      </c>
      <c r="C105" s="372" t="s">
        <v>75</v>
      </c>
      <c r="D105" s="337">
        <v>10.0</v>
      </c>
      <c r="E105" s="356" t="str">
        <f>IFERROR(__xludf.DUMMYFUNCTION("REGEXEXTRACT(C105,""[A-Za-z]+"")"),"packs")</f>
        <v>packs</v>
      </c>
      <c r="F105" s="176">
        <v>2500.0</v>
      </c>
      <c r="G105" s="176">
        <f t="shared" si="3"/>
        <v>25000</v>
      </c>
      <c r="H105" s="185"/>
      <c r="I105" s="185"/>
      <c r="J105" s="175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35"/>
      <c r="B106" s="354" t="s">
        <v>77</v>
      </c>
      <c r="C106" s="372" t="s">
        <v>75</v>
      </c>
      <c r="D106" s="337">
        <v>10.0</v>
      </c>
      <c r="E106" s="356" t="str">
        <f>IFERROR(__xludf.DUMMYFUNCTION("REGEXEXTRACT(C106,""[A-Za-z]+"")"),"packs")</f>
        <v>packs</v>
      </c>
      <c r="F106" s="176">
        <v>3000.0</v>
      </c>
      <c r="G106" s="176">
        <f t="shared" si="3"/>
        <v>30000</v>
      </c>
      <c r="H106" s="186"/>
      <c r="I106" s="186"/>
      <c r="J106" s="175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35"/>
      <c r="B107" s="368" t="s">
        <v>301</v>
      </c>
      <c r="C107" s="373"/>
      <c r="D107" s="374"/>
      <c r="E107" s="375"/>
      <c r="F107" s="376"/>
      <c r="G107" s="376"/>
      <c r="H107" s="190"/>
      <c r="I107" s="190"/>
      <c r="J107" s="190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377"/>
      <c r="Z107" s="377"/>
      <c r="AA107" s="377"/>
      <c r="AB107" s="377"/>
      <c r="AC107" s="377"/>
      <c r="AD107" s="377"/>
      <c r="AE107" s="377"/>
      <c r="AF107" s="377"/>
      <c r="AG107" s="377"/>
      <c r="AH107" s="377"/>
      <c r="AI107" s="377"/>
    </row>
    <row r="108">
      <c r="A108" s="35"/>
      <c r="B108" s="378" t="s">
        <v>302</v>
      </c>
      <c r="C108" s="379"/>
      <c r="D108" s="361">
        <v>4.0</v>
      </c>
      <c r="E108" s="361" t="s">
        <v>303</v>
      </c>
      <c r="F108" s="362">
        <v>5000.0</v>
      </c>
      <c r="G108" s="176">
        <f t="shared" ref="G108:G109" si="4">D108*F108</f>
        <v>20000</v>
      </c>
      <c r="H108" s="175" t="s">
        <v>148</v>
      </c>
      <c r="I108" s="108"/>
      <c r="J108" s="177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</row>
    <row r="109">
      <c r="A109" s="35"/>
      <c r="B109" s="378" t="s">
        <v>304</v>
      </c>
      <c r="C109" s="379"/>
      <c r="D109" s="337">
        <v>3.0</v>
      </c>
      <c r="E109" s="337" t="s">
        <v>303</v>
      </c>
      <c r="F109" s="176">
        <v>2688.0</v>
      </c>
      <c r="G109" s="176">
        <f t="shared" si="4"/>
        <v>8064</v>
      </c>
      <c r="H109" s="175" t="s">
        <v>148</v>
      </c>
      <c r="I109" s="108"/>
      <c r="J109" s="177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</row>
    <row r="110" ht="15.75" customHeight="1">
      <c r="A110" s="35"/>
      <c r="B110" s="373" t="s">
        <v>162</v>
      </c>
      <c r="C110" s="373" t="s">
        <v>162</v>
      </c>
      <c r="D110" s="374"/>
      <c r="E110" s="375"/>
      <c r="F110" s="376"/>
      <c r="G110" s="376"/>
      <c r="H110" s="190"/>
      <c r="I110" s="190"/>
      <c r="J110" s="190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380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</row>
    <row r="111">
      <c r="A111" s="35"/>
      <c r="B111" s="430" t="s">
        <v>305</v>
      </c>
      <c r="C111" s="382"/>
      <c r="D111" s="383">
        <v>30.0</v>
      </c>
      <c r="E111" s="364" t="s">
        <v>110</v>
      </c>
      <c r="F111" s="384">
        <v>400.0</v>
      </c>
      <c r="G111" s="176">
        <f>F111*D111</f>
        <v>12000</v>
      </c>
      <c r="H111" s="175" t="s">
        <v>141</v>
      </c>
      <c r="I111" s="108" t="s">
        <v>146</v>
      </c>
      <c r="J111" s="385"/>
      <c r="K111" s="224"/>
      <c r="L111" s="224"/>
      <c r="M111" s="108"/>
      <c r="N111" s="108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6"/>
    </row>
    <row r="112" ht="15.75" customHeight="1">
      <c r="A112" s="35"/>
      <c r="B112" s="386" t="s">
        <v>94</v>
      </c>
      <c r="C112" s="373" t="s">
        <v>94</v>
      </c>
      <c r="D112" s="374"/>
      <c r="E112" s="375"/>
      <c r="F112" s="387"/>
      <c r="G112" s="387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380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</row>
    <row r="113" ht="15.75" customHeight="1">
      <c r="A113" s="35"/>
      <c r="B113" s="388" t="s">
        <v>306</v>
      </c>
      <c r="C113" s="175"/>
      <c r="D113" s="389">
        <v>1.0</v>
      </c>
      <c r="E113" s="329" t="s">
        <v>139</v>
      </c>
      <c r="F113" s="59">
        <v>150000.0</v>
      </c>
      <c r="G113" s="176">
        <f t="shared" ref="G113:G129" si="5">F113*D113</f>
        <v>150000</v>
      </c>
      <c r="H113" s="390"/>
      <c r="I113" s="391"/>
      <c r="J113" s="389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35"/>
      <c r="B114" s="352" t="s">
        <v>102</v>
      </c>
      <c r="C114" s="175"/>
      <c r="D114" s="389">
        <v>2.0</v>
      </c>
      <c r="E114" s="329" t="s">
        <v>307</v>
      </c>
      <c r="F114" s="59">
        <v>49999.0</v>
      </c>
      <c r="G114" s="176">
        <f t="shared" si="5"/>
        <v>99998</v>
      </c>
      <c r="H114" s="390" t="s">
        <v>55</v>
      </c>
      <c r="I114" s="391"/>
      <c r="J114" s="389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35"/>
      <c r="B115" s="431" t="s">
        <v>308</v>
      </c>
      <c r="C115" s="175"/>
      <c r="D115" s="389">
        <v>1.0</v>
      </c>
      <c r="E115" s="329" t="s">
        <v>309</v>
      </c>
      <c r="F115" s="59">
        <v>8000.0</v>
      </c>
      <c r="G115" s="176">
        <f t="shared" si="5"/>
        <v>8000</v>
      </c>
      <c r="H115" s="330" t="s">
        <v>55</v>
      </c>
      <c r="I115" s="331" t="s">
        <v>146</v>
      </c>
      <c r="J115" s="389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35"/>
      <c r="B116" s="431" t="s">
        <v>310</v>
      </c>
      <c r="C116" s="175"/>
      <c r="D116" s="389">
        <v>1.0</v>
      </c>
      <c r="E116" s="329" t="s">
        <v>309</v>
      </c>
      <c r="F116" s="59">
        <v>8000.0</v>
      </c>
      <c r="G116" s="176">
        <f t="shared" si="5"/>
        <v>8000</v>
      </c>
      <c r="H116" s="390"/>
      <c r="I116" s="391"/>
      <c r="J116" s="389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35"/>
      <c r="B117" s="432" t="s">
        <v>311</v>
      </c>
      <c r="C117" s="175"/>
      <c r="D117" s="389">
        <v>4.0</v>
      </c>
      <c r="E117" s="329" t="s">
        <v>293</v>
      </c>
      <c r="F117" s="59">
        <v>8000.0</v>
      </c>
      <c r="G117" s="176">
        <f t="shared" si="5"/>
        <v>32000</v>
      </c>
      <c r="H117" s="390"/>
      <c r="I117" s="391"/>
      <c r="J117" s="389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35"/>
      <c r="B118" s="432" t="s">
        <v>312</v>
      </c>
      <c r="C118" s="175"/>
      <c r="D118" s="389">
        <v>4.0</v>
      </c>
      <c r="E118" s="329" t="s">
        <v>293</v>
      </c>
      <c r="F118" s="59">
        <v>5000.0</v>
      </c>
      <c r="G118" s="176">
        <f t="shared" si="5"/>
        <v>20000</v>
      </c>
      <c r="H118" s="390"/>
      <c r="I118" s="391"/>
      <c r="J118" s="389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35"/>
      <c r="B119" s="427" t="s">
        <v>313</v>
      </c>
      <c r="C119" s="175"/>
      <c r="D119" s="389">
        <v>1.0</v>
      </c>
      <c r="E119" s="329" t="s">
        <v>309</v>
      </c>
      <c r="F119" s="59">
        <v>8000.0</v>
      </c>
      <c r="G119" s="176">
        <f t="shared" si="5"/>
        <v>8000</v>
      </c>
      <c r="H119" s="390"/>
      <c r="I119" s="391"/>
      <c r="J119" s="389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35"/>
      <c r="B120" s="433" t="s">
        <v>314</v>
      </c>
      <c r="C120" s="175"/>
      <c r="D120" s="361">
        <v>6.0</v>
      </c>
      <c r="E120" s="364" t="s">
        <v>293</v>
      </c>
      <c r="F120" s="347">
        <v>250.0</v>
      </c>
      <c r="G120" s="176">
        <f t="shared" si="5"/>
        <v>1500</v>
      </c>
      <c r="H120" s="390"/>
      <c r="I120" s="391"/>
      <c r="J120" s="175"/>
      <c r="K120" s="175"/>
      <c r="L120" s="175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35"/>
      <c r="B121" s="433" t="s">
        <v>315</v>
      </c>
      <c r="C121" s="175"/>
      <c r="D121" s="361">
        <v>3.0</v>
      </c>
      <c r="E121" s="364" t="s">
        <v>160</v>
      </c>
      <c r="F121" s="347">
        <v>8000.0</v>
      </c>
      <c r="G121" s="176">
        <f t="shared" si="5"/>
        <v>24000</v>
      </c>
      <c r="H121" s="390"/>
      <c r="I121" s="391"/>
      <c r="J121" s="175"/>
      <c r="K121" s="175"/>
      <c r="L121" s="175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35"/>
      <c r="B122" s="433" t="s">
        <v>316</v>
      </c>
      <c r="C122" s="175"/>
      <c r="D122" s="361">
        <v>5.0</v>
      </c>
      <c r="E122" s="364" t="s">
        <v>293</v>
      </c>
      <c r="F122" s="347">
        <v>100.0</v>
      </c>
      <c r="G122" s="176">
        <f t="shared" si="5"/>
        <v>500</v>
      </c>
      <c r="H122" s="390"/>
      <c r="I122" s="391"/>
      <c r="J122" s="175"/>
      <c r="K122" s="175"/>
      <c r="L122" s="175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35"/>
      <c r="B123" s="433" t="s">
        <v>317</v>
      </c>
      <c r="C123" s="175"/>
      <c r="D123" s="361">
        <v>2.0</v>
      </c>
      <c r="E123" s="364" t="s">
        <v>160</v>
      </c>
      <c r="F123" s="347">
        <v>1000.0</v>
      </c>
      <c r="G123" s="176">
        <f t="shared" si="5"/>
        <v>2000</v>
      </c>
      <c r="H123" s="390"/>
      <c r="I123" s="391"/>
      <c r="J123" s="175"/>
      <c r="K123" s="175"/>
      <c r="L123" s="175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35"/>
      <c r="B124" s="433" t="s">
        <v>318</v>
      </c>
      <c r="C124" s="175"/>
      <c r="D124" s="361">
        <v>3.0</v>
      </c>
      <c r="E124" s="364" t="s">
        <v>293</v>
      </c>
      <c r="F124" s="347">
        <v>100.0</v>
      </c>
      <c r="G124" s="176">
        <f t="shared" si="5"/>
        <v>300</v>
      </c>
      <c r="H124" s="390"/>
      <c r="I124" s="391"/>
      <c r="J124" s="175"/>
      <c r="K124" s="175"/>
      <c r="L124" s="175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35"/>
      <c r="B125" s="433" t="s">
        <v>319</v>
      </c>
      <c r="C125" s="175"/>
      <c r="D125" s="361">
        <v>3.0</v>
      </c>
      <c r="E125" s="364" t="s">
        <v>293</v>
      </c>
      <c r="F125" s="347">
        <v>150.0</v>
      </c>
      <c r="G125" s="176">
        <f t="shared" si="5"/>
        <v>450</v>
      </c>
      <c r="H125" s="395"/>
      <c r="I125" s="102"/>
      <c r="J125" s="175"/>
      <c r="K125" s="175"/>
      <c r="L125" s="175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35"/>
      <c r="B126" s="354" t="s">
        <v>95</v>
      </c>
      <c r="C126" s="175" t="s">
        <v>82</v>
      </c>
      <c r="D126" s="337">
        <v>6.0</v>
      </c>
      <c r="E126" s="70" t="str">
        <f>IFERROR(__xludf.DUMMYFUNCTION("REGEXEXTRACT(C126,""[A-Za-z]+"")")," pcs ")</f>
        <v>pcs</v>
      </c>
      <c r="F126" s="59">
        <v>7000.0</v>
      </c>
      <c r="G126" s="176">
        <f t="shared" si="5"/>
        <v>42000</v>
      </c>
      <c r="H126" s="175" t="s">
        <v>141</v>
      </c>
      <c r="I126" s="108" t="s">
        <v>146</v>
      </c>
      <c r="J126" s="175"/>
      <c r="K126" s="175"/>
      <c r="L126" s="175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35"/>
      <c r="B127" s="363" t="s">
        <v>320</v>
      </c>
      <c r="C127" s="175"/>
      <c r="D127" s="361">
        <v>2.0</v>
      </c>
      <c r="E127" s="70" t="s">
        <v>110</v>
      </c>
      <c r="F127" s="59">
        <v>150000.0</v>
      </c>
      <c r="G127" s="176">
        <f t="shared" si="5"/>
        <v>300000</v>
      </c>
      <c r="H127" s="54" t="s">
        <v>55</v>
      </c>
      <c r="I127" s="108" t="s">
        <v>146</v>
      </c>
      <c r="J127" s="175"/>
      <c r="K127" s="175"/>
      <c r="L127" s="175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35"/>
      <c r="B128" s="236" t="s">
        <v>113</v>
      </c>
      <c r="C128" s="396"/>
      <c r="D128" s="397">
        <v>2000.0</v>
      </c>
      <c r="E128" s="80" t="s">
        <v>110</v>
      </c>
      <c r="F128" s="176">
        <v>80.0</v>
      </c>
      <c r="G128" s="176">
        <f t="shared" si="5"/>
        <v>160000</v>
      </c>
      <c r="H128" s="54" t="s">
        <v>55</v>
      </c>
      <c r="I128" s="108" t="s">
        <v>146</v>
      </c>
      <c r="J128" s="175"/>
      <c r="K128" s="175"/>
      <c r="L128" s="175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35"/>
      <c r="B129" s="398" t="s">
        <v>321</v>
      </c>
      <c r="C129" s="396"/>
      <c r="D129" s="399">
        <v>1.0</v>
      </c>
      <c r="E129" s="399" t="s">
        <v>307</v>
      </c>
      <c r="F129" s="362">
        <v>200000.0</v>
      </c>
      <c r="G129" s="176">
        <f t="shared" si="5"/>
        <v>200000</v>
      </c>
      <c r="H129" s="54" t="s">
        <v>55</v>
      </c>
      <c r="I129" s="108" t="s">
        <v>146</v>
      </c>
      <c r="J129" s="175"/>
      <c r="K129" s="175"/>
      <c r="L129" s="175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35"/>
      <c r="B130" s="400" t="s">
        <v>322</v>
      </c>
      <c r="C130" s="373" t="s">
        <v>94</v>
      </c>
      <c r="D130" s="374"/>
      <c r="E130" s="375"/>
      <c r="F130" s="387"/>
      <c r="G130" s="387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380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</row>
    <row r="131" ht="15.75" customHeight="1">
      <c r="A131" s="35"/>
      <c r="B131" s="401" t="s">
        <v>323</v>
      </c>
      <c r="C131" s="397"/>
      <c r="D131" s="397">
        <v>1.0</v>
      </c>
      <c r="E131" s="397" t="s">
        <v>139</v>
      </c>
      <c r="F131" s="176">
        <v>5000.0</v>
      </c>
      <c r="G131" s="176">
        <f>F131*D131</f>
        <v>5000</v>
      </c>
      <c r="H131" s="336" t="s">
        <v>226</v>
      </c>
      <c r="I131" s="108"/>
      <c r="J131" s="402"/>
      <c r="K131" s="402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6"/>
      <c r="B132" s="403"/>
      <c r="C132" s="94"/>
      <c r="D132" s="94"/>
      <c r="E132" s="94"/>
      <c r="F132" s="94"/>
      <c r="G132" s="94"/>
      <c r="H132" s="94"/>
      <c r="I132" s="94"/>
      <c r="J132" s="94"/>
      <c r="K132" s="95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404"/>
      <c r="B133" s="6"/>
      <c r="C133" s="6"/>
      <c r="D133" s="7"/>
      <c r="E133" s="8"/>
      <c r="F133" s="9"/>
      <c r="G133" s="287"/>
      <c r="H133" s="159"/>
      <c r="I133" s="159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405" t="s">
        <v>115</v>
      </c>
      <c r="B134" s="6"/>
      <c r="C134" s="406">
        <f>SUM(G11:G131)</f>
        <v>6360982</v>
      </c>
      <c r="H134" s="159"/>
      <c r="I134" s="159"/>
      <c r="J134" s="10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hidden="1" customHeight="1">
      <c r="A135" s="407" t="s">
        <v>116</v>
      </c>
      <c r="B135" s="102"/>
      <c r="C135" s="408">
        <f>PRODUCT(C134,0.1)</f>
        <v>636098.2</v>
      </c>
      <c r="D135" s="104"/>
      <c r="E135" s="104"/>
      <c r="F135" s="104"/>
      <c r="G135" s="105"/>
      <c r="H135" s="159"/>
      <c r="I135" s="159"/>
      <c r="J135" s="161"/>
      <c r="L135" s="161"/>
      <c r="W135" s="161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hidden="1" customHeight="1">
      <c r="A136" s="382" t="s">
        <v>117</v>
      </c>
      <c r="B136" s="108"/>
      <c r="C136" s="409">
        <f>PRODUCT(C134,0.1)</f>
        <v>636098.2</v>
      </c>
      <c r="D136" s="94"/>
      <c r="E136" s="94"/>
      <c r="F136" s="94"/>
      <c r="G136" s="95"/>
      <c r="H136" s="159"/>
      <c r="I136" s="159"/>
      <c r="J136" s="10"/>
      <c r="K136" s="6"/>
      <c r="L136" s="410"/>
      <c r="W136" s="410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hidden="1" customHeight="1">
      <c r="A137" s="382" t="s">
        <v>118</v>
      </c>
      <c r="B137" s="108"/>
      <c r="C137" s="409">
        <f>SUM(C134:G136)</f>
        <v>7633178.4</v>
      </c>
      <c r="D137" s="94"/>
      <c r="E137" s="94"/>
      <c r="F137" s="94"/>
      <c r="G137" s="95"/>
      <c r="H137" s="159"/>
      <c r="I137" s="159"/>
      <c r="J137" s="10"/>
      <c r="K137" s="6"/>
      <c r="L137" s="410"/>
      <c r="W137" s="410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404"/>
      <c r="B138" s="6"/>
      <c r="C138" s="6"/>
      <c r="D138" s="7"/>
      <c r="E138" s="8"/>
      <c r="F138" s="9"/>
      <c r="G138" s="158"/>
      <c r="H138" s="159"/>
      <c r="I138" s="159"/>
      <c r="J138" s="10"/>
      <c r="K138" s="6"/>
      <c r="L138" s="410"/>
      <c r="W138" s="410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411" t="s">
        <v>119</v>
      </c>
      <c r="B139" s="6"/>
      <c r="C139" s="6"/>
      <c r="D139" s="7"/>
      <c r="E139" s="8"/>
      <c r="F139" s="9"/>
      <c r="G139" s="158"/>
      <c r="H139" s="159"/>
      <c r="I139" s="159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7"/>
      <c r="E140" s="8"/>
      <c r="F140" s="9"/>
      <c r="G140" s="158"/>
      <c r="H140" s="159"/>
      <c r="I140" s="159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404" t="s">
        <v>120</v>
      </c>
      <c r="B141" s="6"/>
      <c r="C141" s="6"/>
      <c r="D141" s="412" t="s">
        <v>121</v>
      </c>
      <c r="H141" s="412"/>
      <c r="I141" s="6"/>
      <c r="J141" s="10"/>
      <c r="K141" s="412" t="s">
        <v>122</v>
      </c>
      <c r="Q141" s="6"/>
      <c r="R141" s="6"/>
      <c r="S141" s="412" t="s">
        <v>123</v>
      </c>
      <c r="W141" s="6"/>
      <c r="X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404"/>
      <c r="B142" s="6"/>
      <c r="C142" s="6"/>
      <c r="D142" s="412"/>
      <c r="E142" s="413"/>
      <c r="F142" s="414"/>
      <c r="G142" s="414"/>
      <c r="H142" s="412"/>
      <c r="I142" s="6"/>
      <c r="J142" s="10"/>
      <c r="K142" s="412"/>
      <c r="L142" s="412"/>
      <c r="M142" s="412"/>
      <c r="N142" s="412"/>
      <c r="O142" s="412"/>
      <c r="P142" s="412"/>
      <c r="Q142" s="412"/>
      <c r="R142" s="412"/>
      <c r="S142" s="412"/>
      <c r="T142" s="412"/>
      <c r="U142" s="412"/>
      <c r="V142" s="412"/>
      <c r="W142" s="412"/>
      <c r="X142" s="412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6"/>
      <c r="E143" s="7"/>
      <c r="F143" s="9"/>
      <c r="G143" s="9"/>
      <c r="H143" s="415"/>
      <c r="I143" s="6"/>
      <c r="J143" s="10"/>
      <c r="K143" s="6"/>
      <c r="L143" s="415"/>
      <c r="M143" s="415"/>
      <c r="N143" s="415"/>
      <c r="O143" s="415"/>
      <c r="P143" s="415"/>
      <c r="Q143" s="415"/>
      <c r="R143" s="415"/>
      <c r="S143" s="6"/>
      <c r="T143" s="415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416" t="s">
        <v>324</v>
      </c>
      <c r="C144" s="6"/>
      <c r="D144" s="412" t="s">
        <v>125</v>
      </c>
      <c r="H144" s="412"/>
      <c r="I144" s="412"/>
      <c r="J144" s="10"/>
      <c r="K144" s="412" t="s">
        <v>126</v>
      </c>
      <c r="Q144" s="6"/>
      <c r="R144" s="6"/>
      <c r="S144" s="412" t="s">
        <v>127</v>
      </c>
      <c r="W144" s="6"/>
      <c r="X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0" customHeight="1">
      <c r="A145" s="161" t="s">
        <v>128</v>
      </c>
      <c r="C145" s="6"/>
      <c r="D145" s="417" t="s">
        <v>129</v>
      </c>
      <c r="J145" s="10"/>
      <c r="K145" s="418" t="s">
        <v>130</v>
      </c>
      <c r="Q145" s="6"/>
      <c r="R145" s="6"/>
      <c r="S145" s="417" t="s">
        <v>131</v>
      </c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6"/>
      <c r="E146" s="7"/>
      <c r="F146" s="9"/>
      <c r="G146" s="9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 t="s">
        <v>132</v>
      </c>
      <c r="B147" s="6"/>
      <c r="C147" s="6"/>
      <c r="D147" s="6" t="s">
        <v>132</v>
      </c>
      <c r="E147" s="7"/>
      <c r="F147" s="9"/>
      <c r="G147" s="9"/>
      <c r="H147" s="6"/>
      <c r="I147" s="6"/>
      <c r="J147" s="10"/>
      <c r="K147" s="6" t="s">
        <v>132</v>
      </c>
      <c r="L147" s="6"/>
      <c r="M147" s="6"/>
      <c r="N147" s="6"/>
      <c r="O147" s="6"/>
      <c r="P147" s="6"/>
      <c r="Q147" s="6"/>
      <c r="R147" s="6"/>
      <c r="S147" s="6" t="s">
        <v>132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419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420"/>
      <c r="K149" s="419"/>
      <c r="L149" s="419"/>
      <c r="M149" s="419"/>
      <c r="N149" s="419"/>
      <c r="O149" s="419"/>
      <c r="P149" s="419"/>
      <c r="Q149" s="419"/>
      <c r="R149" s="419"/>
      <c r="S149" s="419"/>
      <c r="T149" s="419"/>
      <c r="U149" s="419"/>
      <c r="V149" s="419"/>
      <c r="W149" s="419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421"/>
      <c r="K150" s="422"/>
      <c r="L150" s="423"/>
      <c r="M150" s="423"/>
      <c r="N150" s="423"/>
      <c r="O150" s="423"/>
      <c r="P150" s="423"/>
      <c r="Q150" s="423"/>
      <c r="R150" s="423"/>
      <c r="S150" s="423"/>
      <c r="T150" s="423"/>
      <c r="U150" s="423"/>
      <c r="V150" s="423"/>
      <c r="W150" s="423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419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424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298"/>
      <c r="E288" s="299"/>
      <c r="F288" s="300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298"/>
      <c r="E289" s="299"/>
      <c r="F289" s="300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298"/>
      <c r="E290" s="299"/>
      <c r="F290" s="300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298"/>
      <c r="E291" s="299"/>
      <c r="F291" s="300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298"/>
      <c r="E292" s="299"/>
      <c r="F292" s="300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298"/>
      <c r="E293" s="299"/>
      <c r="F293" s="300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298"/>
      <c r="E294" s="299"/>
      <c r="F294" s="300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298"/>
      <c r="E295" s="299"/>
      <c r="F295" s="300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298"/>
      <c r="E296" s="299"/>
      <c r="F296" s="300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298"/>
      <c r="E297" s="299"/>
      <c r="F297" s="300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298"/>
      <c r="E298" s="299"/>
      <c r="F298" s="300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298"/>
      <c r="E299" s="299"/>
      <c r="F299" s="300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298"/>
      <c r="E300" s="299"/>
      <c r="F300" s="300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298"/>
      <c r="E301" s="299"/>
      <c r="F301" s="300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298"/>
      <c r="E302" s="299"/>
      <c r="F302" s="300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298"/>
      <c r="E303" s="299"/>
      <c r="F303" s="300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298"/>
      <c r="E304" s="299"/>
      <c r="F304" s="300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298"/>
      <c r="E305" s="299"/>
      <c r="F305" s="300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298"/>
      <c r="E306" s="299"/>
      <c r="F306" s="300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298"/>
      <c r="E307" s="299"/>
      <c r="F307" s="300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298"/>
      <c r="E308" s="299"/>
      <c r="F308" s="300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298"/>
      <c r="E309" s="299"/>
      <c r="F309" s="300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298"/>
      <c r="E310" s="299"/>
      <c r="F310" s="300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298"/>
      <c r="E311" s="299"/>
      <c r="F311" s="300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298"/>
      <c r="E312" s="299"/>
      <c r="F312" s="300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298"/>
      <c r="E313" s="299"/>
      <c r="F313" s="300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298"/>
      <c r="E314" s="299"/>
      <c r="F314" s="300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298"/>
      <c r="E315" s="299"/>
      <c r="F315" s="300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298"/>
      <c r="E316" s="299"/>
      <c r="F316" s="300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298"/>
      <c r="E317" s="299"/>
      <c r="F317" s="300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298"/>
      <c r="E318" s="299"/>
      <c r="F318" s="300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298"/>
      <c r="E319" s="299"/>
      <c r="F319" s="300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298"/>
      <c r="E320" s="299"/>
      <c r="F320" s="300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298"/>
      <c r="E321" s="299"/>
      <c r="F321" s="300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298"/>
      <c r="E322" s="299"/>
      <c r="F322" s="300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298"/>
      <c r="E323" s="299"/>
      <c r="F323" s="300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298"/>
      <c r="E324" s="299"/>
      <c r="F324" s="300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298"/>
      <c r="E325" s="299"/>
      <c r="F325" s="300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298"/>
      <c r="E326" s="299"/>
      <c r="F326" s="300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298"/>
      <c r="E327" s="299"/>
      <c r="F327" s="300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298"/>
      <c r="E328" s="299"/>
      <c r="F328" s="300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298"/>
      <c r="E329" s="299"/>
      <c r="F329" s="300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298"/>
      <c r="E330" s="299"/>
      <c r="F330" s="300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298"/>
      <c r="E331" s="299"/>
      <c r="F331" s="300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298"/>
      <c r="E332" s="299"/>
      <c r="F332" s="300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298"/>
      <c r="E333" s="299"/>
      <c r="F333" s="300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298"/>
      <c r="E334" s="299"/>
      <c r="F334" s="300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298"/>
      <c r="E335" s="299"/>
      <c r="F335" s="300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298"/>
      <c r="E336" s="299"/>
      <c r="F336" s="300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298"/>
      <c r="E337" s="299"/>
      <c r="F337" s="300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298"/>
      <c r="E338" s="299"/>
      <c r="F338" s="300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298"/>
      <c r="E339" s="299"/>
      <c r="F339" s="300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298"/>
      <c r="E340" s="299"/>
      <c r="F340" s="300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298"/>
      <c r="E341" s="299"/>
      <c r="F341" s="300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298"/>
      <c r="E342" s="299"/>
      <c r="F342" s="300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298"/>
      <c r="E343" s="299"/>
      <c r="F343" s="300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298"/>
      <c r="E344" s="299"/>
      <c r="F344" s="300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298"/>
      <c r="E345" s="299"/>
      <c r="F345" s="300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298"/>
      <c r="E346" s="299"/>
      <c r="F346" s="300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298"/>
      <c r="E347" s="299"/>
      <c r="F347" s="300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425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425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425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425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425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425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425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425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425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425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425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425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425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425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425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425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425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425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425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425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425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425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425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425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425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425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425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425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425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425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425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425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425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425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425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425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425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425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425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425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425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425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425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425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425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425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425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425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425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425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425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425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425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425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425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425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425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425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425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425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425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425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425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425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425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425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425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425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425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425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425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425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425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425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425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425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425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425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425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425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425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425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425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425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425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425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425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425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425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425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425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425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425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425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425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425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425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425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425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425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425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425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425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425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425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425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425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425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425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425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425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425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425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425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425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425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425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425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425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425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425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425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425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425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425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425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425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425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425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425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425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425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425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425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425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425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425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425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425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425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425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425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425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425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425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425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425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425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425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425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425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425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425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425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425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425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425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425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425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425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425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425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425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425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425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425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425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425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425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425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425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425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425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425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425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425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425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425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425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425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425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425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425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425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425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425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425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425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425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425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425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425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425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425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425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425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425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425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425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425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425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425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425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425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425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425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425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425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425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425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425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425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425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425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425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425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425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425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425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425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425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425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425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425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425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425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425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425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425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425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425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425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425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425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425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425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425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425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425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425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425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425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425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425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425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425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425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425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425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425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425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425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425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425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425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425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425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425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425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425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425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425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425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425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425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425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425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425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425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425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425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425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425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425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425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425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425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425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425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425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425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425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425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425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425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425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425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425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425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425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425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425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425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425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425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425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425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425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425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425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425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425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425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425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425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425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425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425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425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425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425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425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425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425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425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425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425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425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425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425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425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425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425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425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425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425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425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425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425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425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425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425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425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425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425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425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425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425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425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425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425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425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425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425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425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425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425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425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425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425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425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425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425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425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425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425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425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425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425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425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425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425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425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425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425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425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425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425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425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425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425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425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425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425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425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425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425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425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425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425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425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425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425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425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425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425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425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425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425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425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425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425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425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425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425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425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425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425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425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425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425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425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425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425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425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425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425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425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425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425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425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425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425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425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425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425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425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425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425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425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425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425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425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425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425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425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425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425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425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425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425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425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425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425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425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425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425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425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425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425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425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425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425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425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425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425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425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425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425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425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425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425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425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425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425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425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425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425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425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425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425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425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425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425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425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425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425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425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425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425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425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425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425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425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425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425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425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425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425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425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425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425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425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425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425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425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425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425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425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425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425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425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425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425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425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425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425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425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425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425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425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425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425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425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425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425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425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425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425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425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425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425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425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425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425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425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425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425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425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425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425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425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425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425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425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425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425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425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425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425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425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425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425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425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425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425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425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425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425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425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425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425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425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425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425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425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425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425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425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425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425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425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425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425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425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425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425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425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425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425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425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425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425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425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425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425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425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425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425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425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425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425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425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425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425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425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425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425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425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425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425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425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425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425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425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425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425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425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425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425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425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425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425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425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425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425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425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425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425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425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425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425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425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425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425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425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425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425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425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425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425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425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425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425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425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425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425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425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425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425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425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425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425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425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425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425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425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425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425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425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425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425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425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425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425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425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425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425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425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425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425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425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425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425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425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425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ht="15.75" customHeight="1">
      <c r="A994" s="6"/>
      <c r="B994" s="6"/>
      <c r="C994" s="6"/>
      <c r="D994" s="7"/>
      <c r="E994" s="10"/>
      <c r="F994" s="425"/>
      <c r="G994" s="6"/>
      <c r="H994" s="6"/>
      <c r="I994" s="6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ht="15.75" customHeight="1">
      <c r="A995" s="6"/>
      <c r="B995" s="6"/>
      <c r="C995" s="6"/>
      <c r="D995" s="7"/>
      <c r="E995" s="10"/>
      <c r="F995" s="425"/>
      <c r="G995" s="6"/>
      <c r="H995" s="6"/>
      <c r="I995" s="6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ht="15.75" customHeight="1">
      <c r="A996" s="6"/>
      <c r="B996" s="6"/>
      <c r="C996" s="6"/>
      <c r="D996" s="7"/>
      <c r="E996" s="10"/>
      <c r="F996" s="425"/>
      <c r="G996" s="6"/>
      <c r="H996" s="6"/>
      <c r="I996" s="6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ht="15.75" customHeight="1">
      <c r="A997" s="6"/>
      <c r="B997" s="6"/>
      <c r="C997" s="6"/>
      <c r="D997" s="7"/>
      <c r="E997" s="10"/>
      <c r="F997" s="425"/>
      <c r="G997" s="6"/>
      <c r="H997" s="6"/>
      <c r="I997" s="6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ht="15.75" customHeight="1">
      <c r="A998" s="6"/>
      <c r="B998" s="6"/>
      <c r="C998" s="6"/>
      <c r="D998" s="7"/>
      <c r="E998" s="10"/>
      <c r="F998" s="425"/>
      <c r="G998" s="6"/>
      <c r="H998" s="6"/>
      <c r="I998" s="6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ht="15.75" customHeight="1">
      <c r="A999" s="6"/>
      <c r="B999" s="6"/>
      <c r="C999" s="6"/>
      <c r="D999" s="7"/>
      <c r="E999" s="10"/>
      <c r="F999" s="425"/>
      <c r="G999" s="6"/>
      <c r="H999" s="6"/>
      <c r="I999" s="6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ht="15.75" customHeight="1">
      <c r="A1000" s="6"/>
      <c r="B1000" s="6"/>
      <c r="C1000" s="6"/>
      <c r="D1000" s="7"/>
      <c r="E1000" s="10"/>
      <c r="F1000" s="425"/>
      <c r="G1000" s="6"/>
      <c r="H1000" s="6"/>
      <c r="I1000" s="6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ht="15.75" customHeight="1">
      <c r="A1001" s="6"/>
      <c r="B1001" s="6"/>
      <c r="C1001" s="6"/>
      <c r="D1001" s="7"/>
      <c r="E1001" s="10"/>
      <c r="F1001" s="425"/>
      <c r="G1001" s="6"/>
      <c r="H1001" s="6"/>
      <c r="I1001" s="6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ht="15.75" customHeight="1">
      <c r="A1002" s="6"/>
      <c r="B1002" s="6"/>
      <c r="C1002" s="6"/>
      <c r="D1002" s="7"/>
      <c r="E1002" s="10"/>
      <c r="F1002" s="425"/>
      <c r="G1002" s="6"/>
      <c r="H1002" s="6"/>
      <c r="I1002" s="6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ht="15.75" customHeight="1">
      <c r="A1003" s="6"/>
      <c r="B1003" s="6"/>
      <c r="C1003" s="6"/>
      <c r="D1003" s="7"/>
      <c r="E1003" s="10"/>
      <c r="F1003" s="425"/>
      <c r="G1003" s="6"/>
      <c r="H1003" s="6"/>
      <c r="I1003" s="6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ht="15.75" customHeight="1">
      <c r="A1004" s="6"/>
      <c r="B1004" s="6"/>
      <c r="C1004" s="6"/>
      <c r="D1004" s="7"/>
      <c r="E1004" s="10"/>
      <c r="F1004" s="425"/>
      <c r="G1004" s="6"/>
      <c r="H1004" s="6"/>
      <c r="I1004" s="6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ht="15.75" customHeight="1">
      <c r="A1005" s="6"/>
      <c r="B1005" s="6"/>
      <c r="C1005" s="6"/>
      <c r="D1005" s="7"/>
      <c r="E1005" s="10"/>
      <c r="F1005" s="425"/>
      <c r="G1005" s="6"/>
      <c r="H1005" s="6"/>
      <c r="I1005" s="6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ht="15.75" customHeight="1">
      <c r="A1006" s="6"/>
      <c r="B1006" s="6"/>
      <c r="C1006" s="6"/>
      <c r="D1006" s="7"/>
      <c r="E1006" s="10"/>
      <c r="F1006" s="425"/>
      <c r="G1006" s="6"/>
      <c r="H1006" s="6"/>
      <c r="I1006" s="6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ht="15.75" customHeight="1">
      <c r="A1007" s="6"/>
      <c r="B1007" s="6"/>
      <c r="C1007" s="6"/>
      <c r="D1007" s="7"/>
      <c r="E1007" s="10"/>
      <c r="F1007" s="425"/>
      <c r="G1007" s="6"/>
      <c r="H1007" s="6"/>
      <c r="I1007" s="6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ht="15.75" customHeight="1">
      <c r="A1008" s="6"/>
      <c r="B1008" s="6"/>
      <c r="C1008" s="6"/>
      <c r="D1008" s="7"/>
      <c r="E1008" s="10"/>
      <c r="F1008" s="425"/>
      <c r="G1008" s="6"/>
      <c r="H1008" s="6"/>
      <c r="I1008" s="6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ht="15.75" customHeight="1">
      <c r="A1009" s="6"/>
      <c r="B1009" s="6"/>
      <c r="C1009" s="6"/>
      <c r="D1009" s="7"/>
      <c r="E1009" s="10"/>
      <c r="F1009" s="425"/>
      <c r="G1009" s="6"/>
      <c r="H1009" s="6"/>
      <c r="I1009" s="6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ht="15.75" customHeight="1">
      <c r="A1010" s="6"/>
      <c r="B1010" s="6"/>
      <c r="C1010" s="6"/>
      <c r="D1010" s="7"/>
      <c r="E1010" s="10"/>
      <c r="F1010" s="425"/>
      <c r="G1010" s="6"/>
      <c r="H1010" s="6"/>
      <c r="I1010" s="6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ht="15.75" customHeight="1">
      <c r="A1011" s="6"/>
      <c r="B1011" s="6"/>
      <c r="C1011" s="6"/>
      <c r="D1011" s="7"/>
      <c r="E1011" s="10"/>
      <c r="F1011" s="425"/>
      <c r="G1011" s="6"/>
      <c r="H1011" s="6"/>
      <c r="I1011" s="6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ht="15.75" customHeight="1">
      <c r="A1012" s="6"/>
      <c r="B1012" s="6"/>
      <c r="C1012" s="6"/>
      <c r="D1012" s="7"/>
      <c r="E1012" s="10"/>
      <c r="F1012" s="425"/>
      <c r="G1012" s="6"/>
      <c r="H1012" s="6"/>
      <c r="I1012" s="6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ht="15.75" customHeight="1">
      <c r="A1013" s="6"/>
      <c r="B1013" s="6"/>
      <c r="C1013" s="6"/>
      <c r="D1013" s="7"/>
      <c r="E1013" s="10"/>
      <c r="F1013" s="425"/>
      <c r="G1013" s="6"/>
      <c r="H1013" s="6"/>
      <c r="I1013" s="6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ht="15.75" customHeight="1">
      <c r="A1014" s="6"/>
      <c r="B1014" s="6"/>
      <c r="C1014" s="6"/>
      <c r="D1014" s="7"/>
      <c r="E1014" s="10"/>
      <c r="F1014" s="425"/>
      <c r="G1014" s="6"/>
      <c r="H1014" s="6"/>
      <c r="I1014" s="6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ht="15.75" customHeight="1">
      <c r="A1015" s="6"/>
      <c r="B1015" s="6"/>
      <c r="C1015" s="6"/>
      <c r="D1015" s="7"/>
      <c r="E1015" s="10"/>
      <c r="F1015" s="425"/>
      <c r="G1015" s="6"/>
      <c r="H1015" s="6"/>
      <c r="I1015" s="6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ht="15.75" customHeight="1">
      <c r="A1016" s="6"/>
      <c r="B1016" s="6"/>
      <c r="C1016" s="6"/>
      <c r="D1016" s="7"/>
      <c r="E1016" s="10"/>
      <c r="F1016" s="425"/>
      <c r="G1016" s="6"/>
      <c r="H1016" s="6"/>
      <c r="I1016" s="6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ht="15.75" customHeight="1">
      <c r="A1017" s="6"/>
      <c r="B1017" s="6"/>
      <c r="C1017" s="6"/>
      <c r="D1017" s="7"/>
      <c r="E1017" s="10"/>
      <c r="F1017" s="425"/>
      <c r="G1017" s="6"/>
      <c r="H1017" s="6"/>
      <c r="I1017" s="6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ht="15.75" customHeight="1">
      <c r="A1018" s="6"/>
      <c r="B1018" s="6"/>
      <c r="C1018" s="6"/>
      <c r="D1018" s="7"/>
      <c r="E1018" s="10"/>
      <c r="F1018" s="425"/>
      <c r="G1018" s="6"/>
      <c r="H1018" s="6"/>
      <c r="I1018" s="6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ht="15.75" customHeight="1">
      <c r="A1019" s="6"/>
      <c r="B1019" s="6"/>
      <c r="C1019" s="6"/>
      <c r="D1019" s="7"/>
      <c r="E1019" s="10"/>
      <c r="F1019" s="425"/>
      <c r="G1019" s="6"/>
      <c r="H1019" s="6"/>
      <c r="I1019" s="6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ht="15.75" customHeight="1">
      <c r="A1020" s="6"/>
      <c r="B1020" s="6"/>
      <c r="C1020" s="6"/>
      <c r="D1020" s="7"/>
      <c r="E1020" s="10"/>
      <c r="F1020" s="425"/>
      <c r="G1020" s="6"/>
      <c r="H1020" s="6"/>
      <c r="I1020" s="6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ht="15.75" customHeight="1">
      <c r="A1021" s="6"/>
      <c r="B1021" s="6"/>
      <c r="C1021" s="6"/>
      <c r="D1021" s="7"/>
      <c r="E1021" s="10"/>
      <c r="F1021" s="425"/>
      <c r="G1021" s="6"/>
      <c r="H1021" s="6"/>
      <c r="I1021" s="6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ht="15.75" customHeight="1">
      <c r="A1022" s="6"/>
      <c r="B1022" s="6"/>
      <c r="C1022" s="6"/>
      <c r="D1022" s="7"/>
      <c r="E1022" s="10"/>
      <c r="F1022" s="425"/>
      <c r="G1022" s="6"/>
      <c r="H1022" s="6"/>
      <c r="I1022" s="6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ht="15.75" customHeight="1">
      <c r="A1023" s="6"/>
      <c r="B1023" s="6"/>
      <c r="C1023" s="6"/>
      <c r="D1023" s="7"/>
      <c r="E1023" s="10"/>
      <c r="F1023" s="425"/>
      <c r="G1023" s="6"/>
      <c r="H1023" s="6"/>
      <c r="I1023" s="6"/>
      <c r="J1023" s="10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ht="15.75" customHeight="1">
      <c r="A1024" s="6"/>
      <c r="B1024" s="6"/>
      <c r="C1024" s="6"/>
      <c r="D1024" s="7"/>
      <c r="E1024" s="10"/>
      <c r="F1024" s="425"/>
      <c r="G1024" s="6"/>
      <c r="H1024" s="6"/>
      <c r="I1024" s="6"/>
      <c r="J1024" s="10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ht="15.75" customHeight="1">
      <c r="A1025" s="6"/>
      <c r="B1025" s="6"/>
      <c r="C1025" s="6"/>
      <c r="D1025" s="7"/>
      <c r="E1025" s="10"/>
      <c r="F1025" s="425"/>
      <c r="G1025" s="6"/>
      <c r="H1025" s="6"/>
      <c r="I1025" s="6"/>
      <c r="J1025" s="10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ht="15.75" customHeight="1">
      <c r="A1026" s="6"/>
      <c r="B1026" s="6"/>
      <c r="C1026" s="6"/>
      <c r="D1026" s="7"/>
      <c r="E1026" s="10"/>
      <c r="F1026" s="425"/>
      <c r="G1026" s="6"/>
      <c r="H1026" s="6"/>
      <c r="I1026" s="6"/>
      <c r="J1026" s="10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</row>
    <row r="1027" ht="15.75" customHeight="1">
      <c r="A1027" s="6"/>
      <c r="B1027" s="6"/>
      <c r="C1027" s="6"/>
      <c r="D1027" s="7"/>
      <c r="E1027" s="10"/>
      <c r="F1027" s="425"/>
      <c r="G1027" s="6"/>
      <c r="H1027" s="6"/>
      <c r="I1027" s="6"/>
      <c r="J1027" s="10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</row>
    <row r="1028" ht="15.75" customHeight="1">
      <c r="A1028" s="6"/>
      <c r="B1028" s="6"/>
      <c r="C1028" s="6"/>
      <c r="D1028" s="7"/>
      <c r="E1028" s="10"/>
      <c r="F1028" s="425"/>
      <c r="G1028" s="6"/>
      <c r="H1028" s="6"/>
      <c r="I1028" s="6"/>
      <c r="J1028" s="10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</row>
    <row r="1029" ht="15.75" customHeight="1">
      <c r="A1029" s="6"/>
      <c r="B1029" s="6"/>
      <c r="C1029" s="6"/>
      <c r="D1029" s="7"/>
      <c r="E1029" s="10"/>
      <c r="F1029" s="425"/>
      <c r="G1029" s="6"/>
      <c r="H1029" s="6"/>
      <c r="I1029" s="6"/>
      <c r="J1029" s="10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</row>
    <row r="1030" ht="15.75" customHeight="1">
      <c r="A1030" s="6"/>
      <c r="B1030" s="6"/>
      <c r="C1030" s="6"/>
      <c r="D1030" s="7"/>
      <c r="E1030" s="10"/>
      <c r="F1030" s="425"/>
      <c r="G1030" s="6"/>
      <c r="H1030" s="6"/>
      <c r="I1030" s="6"/>
      <c r="J1030" s="10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</row>
    <row r="1031" ht="15.75" customHeight="1">
      <c r="A1031" s="6"/>
      <c r="B1031" s="6"/>
      <c r="C1031" s="6"/>
      <c r="D1031" s="7"/>
      <c r="E1031" s="10"/>
      <c r="F1031" s="425"/>
      <c r="G1031" s="6"/>
      <c r="H1031" s="6"/>
      <c r="I1031" s="6"/>
      <c r="J1031" s="10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</row>
    <row r="1032" ht="15.75" customHeight="1">
      <c r="A1032" s="6"/>
      <c r="B1032" s="6"/>
      <c r="C1032" s="6"/>
      <c r="D1032" s="7"/>
      <c r="E1032" s="10"/>
      <c r="F1032" s="425"/>
      <c r="G1032" s="6"/>
      <c r="H1032" s="6"/>
      <c r="I1032" s="6"/>
      <c r="J1032" s="10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ht="15.75" customHeight="1">
      <c r="A1033" s="6"/>
      <c r="B1033" s="6"/>
      <c r="C1033" s="6"/>
      <c r="D1033" s="7"/>
      <c r="E1033" s="10"/>
      <c r="F1033" s="425"/>
      <c r="G1033" s="6"/>
      <c r="H1033" s="6"/>
      <c r="I1033" s="6"/>
      <c r="J1033" s="10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</row>
    <row r="1034" ht="15.75" customHeight="1">
      <c r="A1034" s="6"/>
      <c r="B1034" s="6"/>
      <c r="C1034" s="6"/>
      <c r="D1034" s="7"/>
      <c r="E1034" s="10"/>
      <c r="F1034" s="425"/>
      <c r="G1034" s="6"/>
      <c r="H1034" s="6"/>
      <c r="I1034" s="6"/>
      <c r="J1034" s="10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</row>
    <row r="1035" ht="15.75" customHeight="1">
      <c r="A1035" s="6"/>
      <c r="B1035" s="6"/>
      <c r="C1035" s="6"/>
      <c r="D1035" s="7"/>
      <c r="E1035" s="10"/>
      <c r="F1035" s="425"/>
      <c r="G1035" s="6"/>
      <c r="H1035" s="6"/>
      <c r="I1035" s="6"/>
      <c r="J1035" s="10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</row>
    <row r="1036" ht="15.75" customHeight="1">
      <c r="A1036" s="6"/>
      <c r="B1036" s="6"/>
      <c r="C1036" s="6"/>
      <c r="D1036" s="7"/>
      <c r="E1036" s="10"/>
      <c r="F1036" s="425"/>
      <c r="G1036" s="6"/>
      <c r="H1036" s="6"/>
      <c r="I1036" s="6"/>
      <c r="J1036" s="10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</row>
    <row r="1037" ht="15.75" customHeight="1">
      <c r="A1037" s="6"/>
      <c r="B1037" s="6"/>
      <c r="C1037" s="6"/>
      <c r="D1037" s="7"/>
      <c r="E1037" s="10"/>
      <c r="F1037" s="425"/>
      <c r="G1037" s="6"/>
      <c r="H1037" s="6"/>
      <c r="I1037" s="6"/>
      <c r="J1037" s="10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</row>
    <row r="1038" ht="15.75" customHeight="1">
      <c r="A1038" s="6"/>
      <c r="B1038" s="6"/>
      <c r="C1038" s="6"/>
      <c r="D1038" s="7"/>
      <c r="E1038" s="10"/>
      <c r="F1038" s="425"/>
      <c r="G1038" s="6"/>
      <c r="H1038" s="6"/>
      <c r="I1038" s="6"/>
      <c r="J1038" s="10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</row>
    <row r="1039" ht="15.75" customHeight="1">
      <c r="A1039" s="6"/>
      <c r="B1039" s="6"/>
      <c r="C1039" s="6"/>
      <c r="D1039" s="7"/>
      <c r="E1039" s="10"/>
      <c r="F1039" s="425"/>
      <c r="G1039" s="6"/>
      <c r="H1039" s="6"/>
      <c r="I1039" s="6"/>
      <c r="J1039" s="10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</row>
    <row r="1040" ht="15.75" customHeight="1">
      <c r="A1040" s="6"/>
      <c r="B1040" s="6"/>
      <c r="C1040" s="6"/>
      <c r="D1040" s="7"/>
      <c r="E1040" s="10"/>
      <c r="F1040" s="425"/>
      <c r="G1040" s="6"/>
      <c r="H1040" s="6"/>
      <c r="I1040" s="6"/>
      <c r="J1040" s="10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</row>
    <row r="1041" ht="15.75" customHeight="1">
      <c r="A1041" s="6"/>
      <c r="B1041" s="6"/>
      <c r="C1041" s="6"/>
      <c r="D1041" s="7"/>
      <c r="E1041" s="10"/>
      <c r="F1041" s="425"/>
      <c r="G1041" s="6"/>
      <c r="H1041" s="6"/>
      <c r="I1041" s="6"/>
      <c r="J1041" s="10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</row>
    <row r="1042" ht="15.75" customHeight="1">
      <c r="A1042" s="6"/>
      <c r="B1042" s="6"/>
      <c r="C1042" s="6"/>
      <c r="D1042" s="7"/>
      <c r="E1042" s="10"/>
      <c r="F1042" s="425"/>
      <c r="G1042" s="6"/>
      <c r="H1042" s="6"/>
      <c r="I1042" s="6"/>
      <c r="J1042" s="10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</row>
    <row r="1043" ht="15.75" customHeight="1">
      <c r="A1043" s="6"/>
      <c r="B1043" s="6"/>
      <c r="C1043" s="6"/>
      <c r="D1043" s="7"/>
      <c r="E1043" s="10"/>
      <c r="F1043" s="425"/>
      <c r="G1043" s="6"/>
      <c r="H1043" s="6"/>
      <c r="I1043" s="6"/>
      <c r="J1043" s="10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</row>
    <row r="1044" ht="15.75" customHeight="1">
      <c r="A1044" s="6"/>
      <c r="B1044" s="6"/>
      <c r="C1044" s="6"/>
      <c r="D1044" s="7"/>
      <c r="E1044" s="10"/>
      <c r="F1044" s="425"/>
      <c r="G1044" s="6"/>
      <c r="H1044" s="6"/>
      <c r="I1044" s="6"/>
      <c r="J1044" s="10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</row>
    <row r="1045" ht="15.75" customHeight="1">
      <c r="A1045" s="6"/>
      <c r="B1045" s="6"/>
      <c r="C1045" s="6"/>
      <c r="D1045" s="7"/>
      <c r="E1045" s="10"/>
      <c r="F1045" s="425"/>
      <c r="G1045" s="6"/>
      <c r="H1045" s="6"/>
      <c r="I1045" s="6"/>
      <c r="J1045" s="10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</row>
    <row r="1046" ht="15.75" customHeight="1">
      <c r="A1046" s="6"/>
      <c r="B1046" s="6"/>
      <c r="C1046" s="6"/>
      <c r="D1046" s="7"/>
      <c r="E1046" s="10"/>
      <c r="F1046" s="425"/>
      <c r="G1046" s="6"/>
      <c r="H1046" s="6"/>
      <c r="I1046" s="6"/>
      <c r="J1046" s="10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</row>
    <row r="1047" ht="15.75" customHeight="1">
      <c r="A1047" s="6"/>
      <c r="B1047" s="6"/>
      <c r="C1047" s="6"/>
      <c r="D1047" s="7"/>
      <c r="E1047" s="10"/>
      <c r="F1047" s="425"/>
      <c r="G1047" s="6"/>
      <c r="H1047" s="6"/>
      <c r="I1047" s="6"/>
      <c r="J1047" s="10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</row>
    <row r="1048" ht="15.75" customHeight="1">
      <c r="A1048" s="6"/>
      <c r="B1048" s="6"/>
      <c r="C1048" s="6"/>
      <c r="D1048" s="7"/>
      <c r="E1048" s="10"/>
      <c r="F1048" s="425"/>
      <c r="G1048" s="6"/>
      <c r="H1048" s="6"/>
      <c r="I1048" s="6"/>
      <c r="J1048" s="10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</row>
    <row r="1049" ht="15.75" customHeight="1">
      <c r="A1049" s="6"/>
      <c r="B1049" s="6"/>
      <c r="C1049" s="6"/>
      <c r="D1049" s="7"/>
      <c r="E1049" s="10"/>
      <c r="F1049" s="425"/>
      <c r="G1049" s="6"/>
      <c r="H1049" s="6"/>
      <c r="I1049" s="6"/>
      <c r="J1049" s="10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</row>
    <row r="1050" ht="15.75" customHeight="1">
      <c r="A1050" s="6"/>
      <c r="B1050" s="6"/>
      <c r="C1050" s="6"/>
      <c r="D1050" s="7"/>
      <c r="E1050" s="10"/>
      <c r="F1050" s="425"/>
      <c r="G1050" s="6"/>
      <c r="H1050" s="6"/>
      <c r="I1050" s="6"/>
      <c r="J1050" s="10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</row>
    <row r="1051" ht="15.75" customHeight="1">
      <c r="A1051" s="6"/>
      <c r="B1051" s="6"/>
      <c r="C1051" s="6"/>
      <c r="D1051" s="7"/>
      <c r="E1051" s="10"/>
      <c r="F1051" s="425"/>
      <c r="G1051" s="6"/>
      <c r="H1051" s="6"/>
      <c r="I1051" s="6"/>
      <c r="J1051" s="10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</row>
    <row r="1052" ht="15.75" customHeight="1">
      <c r="A1052" s="6"/>
      <c r="B1052" s="6"/>
      <c r="C1052" s="6"/>
      <c r="D1052" s="7"/>
      <c r="E1052" s="10"/>
      <c r="F1052" s="425"/>
      <c r="G1052" s="6"/>
      <c r="H1052" s="6"/>
      <c r="I1052" s="6"/>
      <c r="J1052" s="10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</row>
    <row r="1053" ht="15.75" customHeight="1">
      <c r="A1053" s="6"/>
      <c r="B1053" s="6"/>
      <c r="C1053" s="6"/>
      <c r="D1053" s="7"/>
      <c r="E1053" s="10"/>
      <c r="F1053" s="425"/>
      <c r="G1053" s="6"/>
      <c r="H1053" s="6"/>
      <c r="I1053" s="6"/>
      <c r="J1053" s="10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</row>
  </sheetData>
  <mergeCells count="65">
    <mergeCell ref="H66:H69"/>
    <mergeCell ref="H70:H71"/>
    <mergeCell ref="H44:H52"/>
    <mergeCell ref="I44:I52"/>
    <mergeCell ref="H53:H56"/>
    <mergeCell ref="I53:I56"/>
    <mergeCell ref="H57:H60"/>
    <mergeCell ref="I57:I60"/>
    <mergeCell ref="H61:H65"/>
    <mergeCell ref="D141:G141"/>
    <mergeCell ref="A144:B144"/>
    <mergeCell ref="D144:G144"/>
    <mergeCell ref="A145:B145"/>
    <mergeCell ref="D145:I145"/>
    <mergeCell ref="H102:H103"/>
    <mergeCell ref="H104:H106"/>
    <mergeCell ref="K144:P144"/>
    <mergeCell ref="K141:P141"/>
    <mergeCell ref="C137:G137"/>
    <mergeCell ref="B132:K132"/>
    <mergeCell ref="C134:G134"/>
    <mergeCell ref="C135:G135"/>
    <mergeCell ref="J135:K135"/>
    <mergeCell ref="C136:G136"/>
    <mergeCell ref="K145:P145"/>
    <mergeCell ref="L136:V136"/>
    <mergeCell ref="L137:V137"/>
    <mergeCell ref="X144:Z144"/>
    <mergeCell ref="S145:V145"/>
    <mergeCell ref="J148:V148"/>
    <mergeCell ref="J151:V151"/>
    <mergeCell ref="J152:V152"/>
    <mergeCell ref="L135:V135"/>
    <mergeCell ref="L138:V138"/>
    <mergeCell ref="X141:Y141"/>
    <mergeCell ref="E8:E9"/>
    <mergeCell ref="F8:F9"/>
    <mergeCell ref="I8:I9"/>
    <mergeCell ref="J8:X8"/>
    <mergeCell ref="A1:X1"/>
    <mergeCell ref="A2:X2"/>
    <mergeCell ref="A3:X3"/>
    <mergeCell ref="A8:A9"/>
    <mergeCell ref="B8:B9"/>
    <mergeCell ref="I102:I103"/>
    <mergeCell ref="I104:I106"/>
    <mergeCell ref="G8:G9"/>
    <mergeCell ref="H8:H9"/>
    <mergeCell ref="H11:H13"/>
    <mergeCell ref="I11:I21"/>
    <mergeCell ref="H14:H21"/>
    <mergeCell ref="H26:H41"/>
    <mergeCell ref="I26:I41"/>
    <mergeCell ref="I87:I89"/>
    <mergeCell ref="H87:H89"/>
    <mergeCell ref="H92:H97"/>
    <mergeCell ref="I66:I69"/>
    <mergeCell ref="I70:I71"/>
    <mergeCell ref="I72:I82"/>
    <mergeCell ref="I83:I84"/>
    <mergeCell ref="I61:I65"/>
    <mergeCell ref="H72:H82"/>
    <mergeCell ref="H83:H84"/>
    <mergeCell ref="S144:V144"/>
    <mergeCell ref="S141:V141"/>
  </mergeCells>
  <printOptions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2.13"/>
    <col customWidth="1" hidden="1" min="3" max="3" width="11.63"/>
    <col customWidth="1" min="4" max="6" width="10.13"/>
    <col customWidth="1" min="7" max="7" width="11.25"/>
    <col customWidth="1" min="8" max="8" width="25.38"/>
    <col customWidth="1" min="9" max="9" width="12.5"/>
    <col customWidth="1" min="10" max="11" width="7.63"/>
    <col customWidth="1" min="12" max="12" width="11.38"/>
    <col customWidth="1" min="13" max="13" width="11.5"/>
    <col customWidth="1" min="14" max="14" width="9.38"/>
    <col customWidth="1" min="15" max="15" width="11.38"/>
    <col customWidth="1" min="16" max="17" width="7.63"/>
    <col customWidth="1" min="18" max="18" width="10.25"/>
    <col customWidth="1" min="19" max="19" width="9.25"/>
    <col customWidth="1" min="20" max="20" width="7.63"/>
    <col customWidth="1" min="21" max="21" width="9.5"/>
    <col customWidth="1" min="22" max="23" width="9.88"/>
    <col customWidth="1" min="24" max="24" width="22.63"/>
    <col customWidth="1" min="25" max="26" width="7.63"/>
  </cols>
  <sheetData>
    <row r="1">
      <c r="A1" s="1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0" t="s">
        <v>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157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>
      <c r="A4" s="5" t="s">
        <v>2</v>
      </c>
      <c r="B4" s="6"/>
      <c r="C4" s="6"/>
      <c r="D4" s="7"/>
      <c r="E4" s="8"/>
      <c r="F4" s="9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11"/>
      <c r="B5" s="6"/>
      <c r="C5" s="6"/>
      <c r="D5" s="7"/>
      <c r="E5" s="8"/>
      <c r="F5" s="9"/>
      <c r="G5" s="158"/>
      <c r="H5" s="159"/>
      <c r="I5" s="159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>
      <c r="A6" s="160" t="s">
        <v>3</v>
      </c>
      <c r="B6" s="161"/>
      <c r="C6" s="161"/>
      <c r="D6" s="162"/>
      <c r="E6" s="163"/>
      <c r="F6" s="163"/>
      <c r="G6" s="164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</row>
    <row r="7">
      <c r="A7" s="165" t="s">
        <v>4</v>
      </c>
      <c r="B7" s="161"/>
      <c r="C7" s="161"/>
      <c r="D7" s="162"/>
      <c r="E7" s="163"/>
      <c r="F7" s="163"/>
      <c r="G7" s="164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</row>
    <row r="8" ht="22.5" customHeight="1">
      <c r="A8" s="17" t="s">
        <v>5</v>
      </c>
      <c r="B8" s="18" t="s">
        <v>6</v>
      </c>
      <c r="C8" s="19" t="s">
        <v>7</v>
      </c>
      <c r="D8" s="19" t="s">
        <v>7</v>
      </c>
      <c r="E8" s="21" t="s">
        <v>8</v>
      </c>
      <c r="F8" s="21" t="s">
        <v>9</v>
      </c>
      <c r="G8" s="22" t="s">
        <v>10</v>
      </c>
      <c r="H8" s="23" t="s">
        <v>11</v>
      </c>
      <c r="I8" s="18" t="s">
        <v>12</v>
      </c>
      <c r="J8" s="24" t="s">
        <v>13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6"/>
      <c r="Y8" s="115"/>
      <c r="Z8" s="115"/>
      <c r="AA8" s="6"/>
      <c r="AB8" s="6"/>
      <c r="AC8" s="6"/>
      <c r="AD8" s="6"/>
      <c r="AE8" s="6"/>
      <c r="AF8" s="6"/>
      <c r="AG8" s="6"/>
      <c r="AH8" s="6"/>
      <c r="AI8" s="6"/>
    </row>
    <row r="9">
      <c r="A9" s="28"/>
      <c r="B9" s="29"/>
      <c r="C9" s="30" t="s">
        <v>14</v>
      </c>
      <c r="D9" s="30" t="s">
        <v>14</v>
      </c>
      <c r="E9" s="29"/>
      <c r="F9" s="29"/>
      <c r="G9" s="29"/>
      <c r="H9" s="29"/>
      <c r="I9" s="29"/>
      <c r="J9" s="434" t="s">
        <v>220</v>
      </c>
      <c r="K9" s="434" t="s">
        <v>221</v>
      </c>
      <c r="L9" s="434" t="s">
        <v>222</v>
      </c>
      <c r="M9" s="32" t="s">
        <v>18</v>
      </c>
      <c r="N9" s="32" t="s">
        <v>19</v>
      </c>
      <c r="O9" s="32" t="s">
        <v>20</v>
      </c>
      <c r="P9" s="32" t="s">
        <v>21</v>
      </c>
      <c r="Q9" s="32" t="s">
        <v>22</v>
      </c>
      <c r="R9" s="32" t="s">
        <v>23</v>
      </c>
      <c r="S9" s="32" t="s">
        <v>24</v>
      </c>
      <c r="T9" s="32" t="s">
        <v>25</v>
      </c>
      <c r="U9" s="32" t="s">
        <v>26</v>
      </c>
      <c r="V9" s="32" t="s">
        <v>27</v>
      </c>
      <c r="W9" s="33" t="str">
        <f>$X$9</f>
        <v>REMARKS</v>
      </c>
      <c r="X9" s="33" t="s">
        <v>28</v>
      </c>
      <c r="Y9" s="166"/>
      <c r="Z9" s="115"/>
      <c r="AA9" s="6"/>
      <c r="AB9" s="6"/>
      <c r="AC9" s="6"/>
      <c r="AD9" s="6"/>
      <c r="AE9" s="6"/>
      <c r="AF9" s="6"/>
      <c r="AG9" s="6"/>
      <c r="AH9" s="6"/>
      <c r="AI9" s="6"/>
    </row>
    <row r="10" ht="15.75" customHeight="1">
      <c r="A10" s="35"/>
      <c r="B10" s="167" t="s">
        <v>140</v>
      </c>
      <c r="C10" s="322"/>
      <c r="D10" s="323"/>
      <c r="E10" s="170"/>
      <c r="F10" s="171"/>
      <c r="G10" s="168"/>
      <c r="H10" s="168"/>
      <c r="I10" s="168"/>
      <c r="J10" s="172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3"/>
      <c r="X10" s="174"/>
      <c r="Y10" s="115"/>
      <c r="Z10" s="115"/>
      <c r="AA10" s="6"/>
      <c r="AB10" s="6"/>
      <c r="AC10" s="6"/>
      <c r="AD10" s="6"/>
      <c r="AE10" s="6"/>
      <c r="AF10" s="6"/>
      <c r="AG10" s="6"/>
      <c r="AH10" s="6"/>
      <c r="AI10" s="6"/>
    </row>
    <row r="11" ht="15.75" customHeight="1">
      <c r="A11" s="35"/>
      <c r="B11" s="435" t="s">
        <v>48</v>
      </c>
      <c r="C11" s="436">
        <v>19.0</v>
      </c>
      <c r="D11" s="437">
        <v>19.0</v>
      </c>
      <c r="E11" s="438" t="s">
        <v>223</v>
      </c>
      <c r="F11" s="439">
        <v>8000.0</v>
      </c>
      <c r="G11" s="176">
        <f t="shared" ref="G11:G13" si="1">F11*D11</f>
        <v>152000</v>
      </c>
      <c r="H11" s="54"/>
      <c r="I11" s="177"/>
      <c r="J11" s="175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15"/>
      <c r="Z11" s="115"/>
      <c r="AA11" s="6"/>
      <c r="AB11" s="6"/>
      <c r="AC11" s="6"/>
      <c r="AD11" s="6"/>
      <c r="AE11" s="6"/>
      <c r="AF11" s="6"/>
      <c r="AG11" s="6"/>
      <c r="AH11" s="6"/>
      <c r="AI11" s="6"/>
    </row>
    <row r="12" ht="15.75" customHeight="1">
      <c r="A12" s="35"/>
      <c r="B12" s="440" t="s">
        <v>50</v>
      </c>
      <c r="C12" s="436">
        <v>19.0</v>
      </c>
      <c r="D12" s="437">
        <v>19.0</v>
      </c>
      <c r="E12" s="441" t="s">
        <v>223</v>
      </c>
      <c r="F12" s="442">
        <v>3500.0</v>
      </c>
      <c r="G12" s="176">
        <f t="shared" si="1"/>
        <v>66500</v>
      </c>
      <c r="H12" s="185"/>
      <c r="I12" s="177"/>
      <c r="J12" s="175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15"/>
      <c r="Z12" s="115"/>
      <c r="AA12" s="6"/>
      <c r="AB12" s="6"/>
      <c r="AC12" s="6"/>
      <c r="AD12" s="6"/>
      <c r="AE12" s="6"/>
      <c r="AF12" s="6"/>
      <c r="AG12" s="6"/>
      <c r="AH12" s="6"/>
      <c r="AI12" s="6"/>
    </row>
    <row r="13" ht="15.75" customHeight="1">
      <c r="A13" s="35"/>
      <c r="B13" s="440" t="s">
        <v>51</v>
      </c>
      <c r="C13" s="436">
        <v>19.0</v>
      </c>
      <c r="D13" s="437">
        <v>19.0</v>
      </c>
      <c r="E13" s="441" t="s">
        <v>223</v>
      </c>
      <c r="F13" s="442">
        <v>3000.0</v>
      </c>
      <c r="G13" s="176">
        <f t="shared" si="1"/>
        <v>57000</v>
      </c>
      <c r="H13" s="186"/>
      <c r="I13" s="177"/>
      <c r="J13" s="175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15"/>
      <c r="Z13" s="115"/>
      <c r="AA13" s="6"/>
      <c r="AB13" s="6"/>
      <c r="AC13" s="6"/>
      <c r="AD13" s="6"/>
      <c r="AE13" s="6"/>
      <c r="AF13" s="6"/>
      <c r="AG13" s="6"/>
      <c r="AH13" s="6"/>
      <c r="AI13" s="6"/>
    </row>
    <row r="14" ht="15.75" customHeight="1">
      <c r="A14" s="35"/>
      <c r="B14" s="342" t="s">
        <v>52</v>
      </c>
      <c r="C14" s="190"/>
      <c r="D14" s="343"/>
      <c r="E14" s="343"/>
      <c r="F14" s="344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15"/>
      <c r="Z14" s="115"/>
      <c r="AA14" s="6"/>
      <c r="AB14" s="6"/>
      <c r="AC14" s="6"/>
      <c r="AD14" s="6"/>
      <c r="AE14" s="6"/>
      <c r="AF14" s="6"/>
      <c r="AG14" s="6"/>
      <c r="AH14" s="6"/>
      <c r="AI14" s="6"/>
    </row>
    <row r="15" ht="15.75" customHeight="1">
      <c r="A15" s="35"/>
      <c r="B15" s="443" t="s">
        <v>275</v>
      </c>
      <c r="C15" s="175"/>
      <c r="D15" s="437">
        <v>5.0</v>
      </c>
      <c r="E15" s="444" t="s">
        <v>253</v>
      </c>
      <c r="F15" s="445">
        <v>5500.0</v>
      </c>
      <c r="G15" s="70">
        <f t="shared" ref="G15:G23" si="2">F15*D15</f>
        <v>27500</v>
      </c>
      <c r="H15" s="54"/>
      <c r="I15" s="279"/>
      <c r="J15" s="175"/>
      <c r="K15" s="175"/>
      <c r="L15" s="175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15"/>
      <c r="Z15" s="115"/>
      <c r="AA15" s="6"/>
      <c r="AB15" s="6"/>
      <c r="AC15" s="6"/>
      <c r="AD15" s="6"/>
      <c r="AE15" s="6"/>
      <c r="AF15" s="6"/>
      <c r="AG15" s="6"/>
      <c r="AH15" s="6"/>
      <c r="AI15" s="6"/>
    </row>
    <row r="16">
      <c r="A16" s="35"/>
      <c r="B16" s="443" t="s">
        <v>277</v>
      </c>
      <c r="C16" s="175"/>
      <c r="D16" s="437">
        <v>4.0</v>
      </c>
      <c r="E16" s="444" t="s">
        <v>253</v>
      </c>
      <c r="F16" s="445">
        <v>5500.0</v>
      </c>
      <c r="G16" s="70">
        <f t="shared" si="2"/>
        <v>22000</v>
      </c>
      <c r="H16" s="186"/>
      <c r="I16" s="279"/>
      <c r="J16" s="175"/>
      <c r="K16" s="175"/>
      <c r="L16" s="175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15"/>
      <c r="Z16" s="115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73"/>
      <c r="B17" s="354" t="s">
        <v>105</v>
      </c>
      <c r="C17" s="355" t="s">
        <v>61</v>
      </c>
      <c r="D17" s="337">
        <v>20.0</v>
      </c>
      <c r="E17" s="356" t="str">
        <f>IFERROR(__xludf.DUMMYFUNCTION("REGEXEXTRACT(C17,""[A-Za-z]+"")"),"pcs")</f>
        <v>pcs</v>
      </c>
      <c r="F17" s="176">
        <v>1300.0</v>
      </c>
      <c r="G17" s="70">
        <f t="shared" si="2"/>
        <v>26000</v>
      </c>
      <c r="H17" s="54" t="s">
        <v>147</v>
      </c>
      <c r="I17" s="194" t="s">
        <v>146</v>
      </c>
      <c r="J17" s="175"/>
      <c r="K17" s="175">
        <v>20.0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15"/>
      <c r="Z17" s="115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73"/>
      <c r="B18" s="354" t="s">
        <v>106</v>
      </c>
      <c r="C18" s="355" t="s">
        <v>107</v>
      </c>
      <c r="D18" s="337">
        <v>15.0</v>
      </c>
      <c r="E18" s="356" t="str">
        <f>IFERROR(__xludf.DUMMYFUNCTION("REGEXEXTRACT(C18,""[A-Za-z]+"")"),"pcs")</f>
        <v>pcs</v>
      </c>
      <c r="F18" s="176">
        <v>800.0</v>
      </c>
      <c r="G18" s="70">
        <f t="shared" si="2"/>
        <v>12000</v>
      </c>
      <c r="H18" s="185"/>
      <c r="I18" s="185"/>
      <c r="J18" s="175"/>
      <c r="K18" s="175">
        <v>15.0</v>
      </c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15"/>
      <c r="Z18" s="115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73"/>
      <c r="B19" s="354" t="s">
        <v>108</v>
      </c>
      <c r="C19" s="355" t="s">
        <v>107</v>
      </c>
      <c r="D19" s="337">
        <v>15.0</v>
      </c>
      <c r="E19" s="356" t="str">
        <f>IFERROR(__xludf.DUMMYFUNCTION("REGEXEXTRACT(C19,""[A-Za-z]+"")"),"pcs")</f>
        <v>pcs</v>
      </c>
      <c r="F19" s="176">
        <v>250.0</v>
      </c>
      <c r="G19" s="70">
        <f t="shared" si="2"/>
        <v>3750</v>
      </c>
      <c r="H19" s="185"/>
      <c r="I19" s="185"/>
      <c r="J19" s="175"/>
      <c r="K19" s="175">
        <v>15.0</v>
      </c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15"/>
      <c r="Z19" s="115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73"/>
      <c r="B20" s="354" t="s">
        <v>133</v>
      </c>
      <c r="C20" s="355"/>
      <c r="D20" s="337">
        <v>10.0</v>
      </c>
      <c r="E20" s="70" t="s">
        <v>110</v>
      </c>
      <c r="F20" s="176">
        <v>2400.0</v>
      </c>
      <c r="G20" s="70">
        <f t="shared" si="2"/>
        <v>24000</v>
      </c>
      <c r="H20" s="185"/>
      <c r="I20" s="185"/>
      <c r="J20" s="175"/>
      <c r="K20" s="175">
        <v>10.0</v>
      </c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15"/>
      <c r="Z20" s="115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79"/>
      <c r="B21" s="354" t="s">
        <v>134</v>
      </c>
      <c r="C21" s="358"/>
      <c r="D21" s="337">
        <v>10.0</v>
      </c>
      <c r="E21" s="70" t="s">
        <v>110</v>
      </c>
      <c r="F21" s="176">
        <v>2000.0</v>
      </c>
      <c r="G21" s="70">
        <f t="shared" si="2"/>
        <v>20000</v>
      </c>
      <c r="H21" s="185"/>
      <c r="I21" s="185"/>
      <c r="J21" s="175"/>
      <c r="K21" s="175">
        <v>10.0</v>
      </c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446"/>
      <c r="Z21" s="197"/>
      <c r="AA21" s="198"/>
      <c r="AB21" s="198"/>
      <c r="AC21" s="198"/>
      <c r="AD21" s="198"/>
      <c r="AE21" s="198"/>
      <c r="AF21" s="198"/>
      <c r="AG21" s="198"/>
      <c r="AH21" s="198"/>
      <c r="AI21" s="198"/>
    </row>
    <row r="22" ht="15.75" customHeight="1">
      <c r="A22" s="79"/>
      <c r="B22" s="354" t="s">
        <v>135</v>
      </c>
      <c r="C22" s="358"/>
      <c r="D22" s="337">
        <v>10.0</v>
      </c>
      <c r="E22" s="70" t="s">
        <v>110</v>
      </c>
      <c r="F22" s="176">
        <v>1000.0</v>
      </c>
      <c r="G22" s="70">
        <f t="shared" si="2"/>
        <v>10000</v>
      </c>
      <c r="H22" s="185"/>
      <c r="I22" s="185"/>
      <c r="J22" s="175"/>
      <c r="K22" s="175">
        <v>10.0</v>
      </c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446"/>
      <c r="Z22" s="197"/>
      <c r="AA22" s="198"/>
      <c r="AB22" s="198"/>
      <c r="AC22" s="198"/>
      <c r="AD22" s="198"/>
      <c r="AE22" s="198"/>
      <c r="AF22" s="198"/>
      <c r="AG22" s="198"/>
      <c r="AH22" s="198"/>
      <c r="AI22" s="198"/>
    </row>
    <row r="23" ht="15.75" customHeight="1">
      <c r="A23" s="73"/>
      <c r="B23" s="75" t="s">
        <v>103</v>
      </c>
      <c r="C23" s="355" t="s">
        <v>104</v>
      </c>
      <c r="D23" s="337">
        <v>24.0</v>
      </c>
      <c r="E23" s="70" t="str">
        <f>IFERROR(__xludf.DUMMYFUNCTION("REGEXEXTRACT(C23,""[A-Za-z]+"")")," pcs ")</f>
        <v>pcs</v>
      </c>
      <c r="F23" s="70">
        <v>2500.0</v>
      </c>
      <c r="G23" s="70">
        <f t="shared" si="2"/>
        <v>60000</v>
      </c>
      <c r="H23" s="186"/>
      <c r="I23" s="186"/>
      <c r="J23" s="175"/>
      <c r="K23" s="175">
        <v>24.0</v>
      </c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35"/>
      <c r="B24" s="368" t="s">
        <v>59</v>
      </c>
      <c r="C24" s="190"/>
      <c r="D24" s="343"/>
      <c r="E24" s="343"/>
      <c r="F24" s="344"/>
      <c r="G24" s="344"/>
      <c r="H24" s="190"/>
      <c r="I24" s="190"/>
      <c r="J24" s="201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15"/>
      <c r="Z24" s="115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35"/>
      <c r="B25" s="443" t="s">
        <v>308</v>
      </c>
      <c r="C25" s="175"/>
      <c r="D25" s="437">
        <v>1.0</v>
      </c>
      <c r="E25" s="447" t="s">
        <v>309</v>
      </c>
      <c r="F25" s="445">
        <v>8000.0</v>
      </c>
      <c r="G25" s="70">
        <f t="shared" ref="G25:G31" si="3">F25*D25</f>
        <v>8000</v>
      </c>
      <c r="H25" s="54"/>
      <c r="I25" s="192"/>
      <c r="J25" s="175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15"/>
      <c r="Z25" s="115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35"/>
      <c r="B26" s="443" t="s">
        <v>310</v>
      </c>
      <c r="C26" s="175"/>
      <c r="D26" s="437">
        <v>1.0</v>
      </c>
      <c r="E26" s="447" t="s">
        <v>309</v>
      </c>
      <c r="F26" s="445">
        <v>8000.0</v>
      </c>
      <c r="G26" s="70">
        <f t="shared" si="3"/>
        <v>8000</v>
      </c>
      <c r="H26" s="185"/>
      <c r="I26" s="192"/>
      <c r="J26" s="175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15"/>
      <c r="Z26" s="115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35"/>
      <c r="B27" s="448" t="s">
        <v>311</v>
      </c>
      <c r="C27" s="175"/>
      <c r="D27" s="437">
        <v>4.0</v>
      </c>
      <c r="E27" s="447" t="s">
        <v>293</v>
      </c>
      <c r="F27" s="445">
        <v>8000.0</v>
      </c>
      <c r="G27" s="70">
        <f t="shared" si="3"/>
        <v>32000</v>
      </c>
      <c r="H27" s="185"/>
      <c r="I27" s="192"/>
      <c r="J27" s="175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15"/>
      <c r="Z27" s="115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35"/>
      <c r="B28" s="448" t="s">
        <v>312</v>
      </c>
      <c r="C28" s="175"/>
      <c r="D28" s="437">
        <v>4.0</v>
      </c>
      <c r="E28" s="447" t="s">
        <v>293</v>
      </c>
      <c r="F28" s="445">
        <v>5000.0</v>
      </c>
      <c r="G28" s="70">
        <f t="shared" si="3"/>
        <v>20000</v>
      </c>
      <c r="H28" s="185"/>
      <c r="I28" s="192"/>
      <c r="J28" s="175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15"/>
      <c r="Z28" s="115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35"/>
      <c r="B29" s="443" t="s">
        <v>102</v>
      </c>
      <c r="C29" s="175"/>
      <c r="D29" s="437">
        <v>2.0</v>
      </c>
      <c r="E29" s="447" t="s">
        <v>307</v>
      </c>
      <c r="F29" s="445">
        <v>49999.0</v>
      </c>
      <c r="G29" s="70">
        <f t="shared" si="3"/>
        <v>99998</v>
      </c>
      <c r="H29" s="185"/>
      <c r="I29" s="192"/>
      <c r="J29" s="175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15"/>
      <c r="Z29" s="115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35"/>
      <c r="B30" s="440" t="s">
        <v>306</v>
      </c>
      <c r="C30" s="175"/>
      <c r="D30" s="437">
        <v>1.0</v>
      </c>
      <c r="E30" s="447" t="s">
        <v>139</v>
      </c>
      <c r="F30" s="445">
        <v>150000.0</v>
      </c>
      <c r="G30" s="70">
        <f t="shared" si="3"/>
        <v>150000</v>
      </c>
      <c r="H30" s="185"/>
      <c r="I30" s="192"/>
      <c r="J30" s="175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15"/>
      <c r="Z30" s="115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35"/>
      <c r="B31" s="440" t="s">
        <v>313</v>
      </c>
      <c r="C31" s="175"/>
      <c r="D31" s="437">
        <v>1.0</v>
      </c>
      <c r="E31" s="447" t="s">
        <v>309</v>
      </c>
      <c r="F31" s="445">
        <v>8000.0</v>
      </c>
      <c r="G31" s="70">
        <f t="shared" si="3"/>
        <v>8000</v>
      </c>
      <c r="H31" s="186"/>
      <c r="I31" s="192"/>
      <c r="J31" s="175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15"/>
      <c r="Z31" s="115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35"/>
      <c r="B32" s="354"/>
      <c r="C32" s="175"/>
      <c r="D32" s="337"/>
      <c r="E32" s="356"/>
      <c r="F32" s="176"/>
      <c r="G32" s="70"/>
      <c r="H32" s="175"/>
      <c r="I32" s="192"/>
      <c r="J32" s="175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15"/>
      <c r="Z32" s="115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35"/>
      <c r="B33" s="354"/>
      <c r="C33" s="175"/>
      <c r="D33" s="337"/>
      <c r="E33" s="356"/>
      <c r="F33" s="176"/>
      <c r="G33" s="70"/>
      <c r="H33" s="175"/>
      <c r="I33" s="192"/>
      <c r="J33" s="175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15"/>
      <c r="Z33" s="115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35"/>
      <c r="B34" s="354"/>
      <c r="C34" s="175"/>
      <c r="D34" s="337"/>
      <c r="E34" s="356"/>
      <c r="F34" s="176"/>
      <c r="G34" s="70"/>
      <c r="H34" s="175"/>
      <c r="I34" s="192"/>
      <c r="J34" s="175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15"/>
      <c r="Z34" s="115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35"/>
      <c r="B35" s="354"/>
      <c r="C35" s="175"/>
      <c r="D35" s="337"/>
      <c r="E35" s="356"/>
      <c r="F35" s="176"/>
      <c r="G35" s="70"/>
      <c r="H35" s="175"/>
      <c r="I35" s="192"/>
      <c r="J35" s="175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15"/>
      <c r="Z35" s="115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35"/>
      <c r="B36" s="354"/>
      <c r="C36" s="175"/>
      <c r="D36" s="337"/>
      <c r="E36" s="356"/>
      <c r="F36" s="176"/>
      <c r="G36" s="70"/>
      <c r="H36" s="175"/>
      <c r="I36" s="192"/>
      <c r="J36" s="175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15"/>
      <c r="Z36" s="115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35"/>
      <c r="B37" s="354"/>
      <c r="C37" s="175"/>
      <c r="D37" s="337"/>
      <c r="E37" s="356"/>
      <c r="F37" s="176"/>
      <c r="G37" s="70"/>
      <c r="H37" s="175"/>
      <c r="I37" s="192"/>
      <c r="J37" s="175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15"/>
      <c r="Z37" s="115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35"/>
      <c r="B38" s="354" t="s">
        <v>69</v>
      </c>
      <c r="C38" s="175" t="s">
        <v>70</v>
      </c>
      <c r="D38" s="337">
        <v>30.0</v>
      </c>
      <c r="E38" s="356" t="str">
        <f>IFERROR(__xludf.DUMMYFUNCTION("REGEXEXTRACT(C38,""[A-Za-z]+"")"),"pcs")</f>
        <v>pcs</v>
      </c>
      <c r="F38" s="176">
        <v>150.0</v>
      </c>
      <c r="G38" s="70">
        <f t="shared" ref="G38:G43" si="4">F38*D38</f>
        <v>4500</v>
      </c>
      <c r="H38" s="175" t="s">
        <v>141</v>
      </c>
      <c r="I38" s="177" t="s">
        <v>146</v>
      </c>
      <c r="J38" s="175">
        <v>30.0</v>
      </c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15"/>
      <c r="Z38" s="115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35"/>
      <c r="B39" s="354" t="s">
        <v>71</v>
      </c>
      <c r="C39" s="175" t="s">
        <v>72</v>
      </c>
      <c r="D39" s="337">
        <v>40.0</v>
      </c>
      <c r="E39" s="356" t="str">
        <f>IFERROR(__xludf.DUMMYFUNCTION("REGEXEXTRACT(C39,""[A-Za-z]+"")"),"pcs")</f>
        <v>pcs</v>
      </c>
      <c r="F39" s="176">
        <v>199.0</v>
      </c>
      <c r="G39" s="70">
        <f t="shared" si="4"/>
        <v>7960</v>
      </c>
      <c r="H39" s="54" t="s">
        <v>148</v>
      </c>
      <c r="I39" s="188" t="s">
        <v>146</v>
      </c>
      <c r="J39" s="175">
        <v>40.0</v>
      </c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15"/>
      <c r="Z39" s="115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35"/>
      <c r="B40" s="354" t="s">
        <v>73</v>
      </c>
      <c r="C40" s="175" t="s">
        <v>72</v>
      </c>
      <c r="D40" s="337">
        <v>40.0</v>
      </c>
      <c r="E40" s="356" t="str">
        <f>IFERROR(__xludf.DUMMYFUNCTION("REGEXEXTRACT(C40,""[A-Za-z]+"")"),"pcs")</f>
        <v>pcs</v>
      </c>
      <c r="F40" s="176">
        <v>199.0</v>
      </c>
      <c r="G40" s="70">
        <f t="shared" si="4"/>
        <v>7960</v>
      </c>
      <c r="H40" s="186"/>
      <c r="I40" s="186"/>
      <c r="J40" s="175">
        <v>40.0</v>
      </c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15"/>
      <c r="Z40" s="115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35"/>
      <c r="B41" s="354" t="s">
        <v>74</v>
      </c>
      <c r="C41" s="372" t="s">
        <v>75</v>
      </c>
      <c r="D41" s="337">
        <v>10.0</v>
      </c>
      <c r="E41" s="356" t="str">
        <f>IFERROR(__xludf.DUMMYFUNCTION("REGEXEXTRACT(C41,""[A-Za-z]+"")"),"packs")</f>
        <v>packs</v>
      </c>
      <c r="F41" s="176">
        <v>2000.0</v>
      </c>
      <c r="G41" s="70">
        <f t="shared" si="4"/>
        <v>20000</v>
      </c>
      <c r="H41" s="78" t="s">
        <v>149</v>
      </c>
      <c r="I41" s="188" t="s">
        <v>146</v>
      </c>
      <c r="J41" s="175">
        <v>2.0</v>
      </c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15"/>
      <c r="Z41" s="115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35"/>
      <c r="B42" s="354" t="s">
        <v>76</v>
      </c>
      <c r="C42" s="372" t="s">
        <v>75</v>
      </c>
      <c r="D42" s="337">
        <v>10.0</v>
      </c>
      <c r="E42" s="356" t="str">
        <f>IFERROR(__xludf.DUMMYFUNCTION("REGEXEXTRACT(C42,""[A-Za-z]+"")"),"packs")</f>
        <v>packs</v>
      </c>
      <c r="F42" s="176">
        <v>2500.0</v>
      </c>
      <c r="G42" s="70">
        <f t="shared" si="4"/>
        <v>25000</v>
      </c>
      <c r="H42" s="185"/>
      <c r="I42" s="185"/>
      <c r="J42" s="175">
        <v>2.0</v>
      </c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15"/>
      <c r="Z42" s="115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35"/>
      <c r="B43" s="354" t="s">
        <v>77</v>
      </c>
      <c r="C43" s="372" t="s">
        <v>75</v>
      </c>
      <c r="D43" s="337">
        <v>10.0</v>
      </c>
      <c r="E43" s="356" t="str">
        <f>IFERROR(__xludf.DUMMYFUNCTION("REGEXEXTRACT(C43,""[A-Za-z]+"")"),"packs")</f>
        <v>packs</v>
      </c>
      <c r="F43" s="176">
        <v>3000.0</v>
      </c>
      <c r="G43" s="70">
        <f t="shared" si="4"/>
        <v>30000</v>
      </c>
      <c r="H43" s="186"/>
      <c r="I43" s="186"/>
      <c r="J43" s="175">
        <v>2.0</v>
      </c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15"/>
      <c r="Z43" s="115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208"/>
      <c r="B44" s="449" t="s">
        <v>162</v>
      </c>
      <c r="C44" s="449" t="s">
        <v>162</v>
      </c>
      <c r="D44" s="374"/>
      <c r="E44" s="375"/>
      <c r="F44" s="375"/>
      <c r="G44" s="375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380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</row>
    <row r="45">
      <c r="A45" s="216"/>
      <c r="B45" s="107"/>
      <c r="C45" s="107"/>
      <c r="D45" s="450"/>
      <c r="E45" s="70"/>
      <c r="F45" s="451"/>
      <c r="G45" s="70"/>
      <c r="H45" s="452"/>
      <c r="I45" s="224"/>
      <c r="J45" s="224"/>
      <c r="K45" s="224"/>
      <c r="L45" s="224"/>
      <c r="M45" s="279"/>
      <c r="N45" s="279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115"/>
    </row>
    <row r="46" ht="15.75" customHeight="1">
      <c r="A46" s="208"/>
      <c r="B46" s="449" t="s">
        <v>167</v>
      </c>
      <c r="C46" s="449" t="s">
        <v>162</v>
      </c>
      <c r="D46" s="374"/>
      <c r="E46" s="375"/>
      <c r="F46" s="453">
        <f>E46*D46</f>
        <v>0</v>
      </c>
      <c r="G46" s="375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380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</row>
    <row r="47">
      <c r="A47" s="35"/>
      <c r="B47" s="243"/>
      <c r="C47" s="175"/>
      <c r="D47" s="337"/>
      <c r="E47" s="70"/>
      <c r="F47" s="70"/>
      <c r="G47" s="70"/>
      <c r="H47" s="175"/>
      <c r="I47" s="65"/>
      <c r="J47" s="177"/>
      <c r="K47" s="175"/>
      <c r="L47" s="175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15"/>
      <c r="Z47" s="115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208"/>
      <c r="B48" s="454" t="s">
        <v>94</v>
      </c>
      <c r="C48" s="449" t="s">
        <v>94</v>
      </c>
      <c r="D48" s="374"/>
      <c r="E48" s="375"/>
      <c r="F48" s="453">
        <f>E48*D48</f>
        <v>0</v>
      </c>
      <c r="G48" s="375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380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</row>
    <row r="49" ht="15.75" customHeight="1">
      <c r="A49" s="35"/>
      <c r="B49" s="354" t="s">
        <v>98</v>
      </c>
      <c r="C49" s="175" t="s">
        <v>99</v>
      </c>
      <c r="D49" s="337">
        <v>2.0</v>
      </c>
      <c r="E49" s="70" t="str">
        <f>IFERROR(__xludf.DUMMYFUNCTION("REGEXEXTRACT(C49,""[A-Za-z]+"")")," units ")</f>
        <v>units</v>
      </c>
      <c r="F49" s="70">
        <v>7200.0</v>
      </c>
      <c r="G49" s="70">
        <f t="shared" ref="G49:G51" si="5">F49*D49</f>
        <v>14400</v>
      </c>
      <c r="H49" s="175" t="s">
        <v>55</v>
      </c>
      <c r="I49" s="65"/>
      <c r="J49" s="177"/>
      <c r="K49" s="175">
        <v>2.0</v>
      </c>
      <c r="L49" s="175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15"/>
      <c r="Z49" s="115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35"/>
      <c r="B50" s="371" t="s">
        <v>100</v>
      </c>
      <c r="C50" s="355" t="s">
        <v>101</v>
      </c>
      <c r="D50" s="337">
        <v>6.0</v>
      </c>
      <c r="E50" s="70" t="str">
        <f>IFERROR(__xludf.DUMMYFUNCTION("REGEXEXTRACT(C50,""[A-Za-z]+"")")," units ")</f>
        <v>units</v>
      </c>
      <c r="F50" s="70">
        <v>500.0</v>
      </c>
      <c r="G50" s="70">
        <f t="shared" si="5"/>
        <v>3000</v>
      </c>
      <c r="H50" s="175" t="s">
        <v>55</v>
      </c>
      <c r="I50" s="65"/>
      <c r="J50" s="177"/>
      <c r="K50" s="175">
        <v>6.0</v>
      </c>
      <c r="L50" s="175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15"/>
      <c r="Z50" s="115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35"/>
      <c r="B51" s="354" t="s">
        <v>102</v>
      </c>
      <c r="C51" s="175" t="s">
        <v>99</v>
      </c>
      <c r="D51" s="337">
        <v>2.0</v>
      </c>
      <c r="E51" s="70" t="str">
        <f>IFERROR(__xludf.DUMMYFUNCTION("REGEXEXTRACT(C51,""[A-Za-z]+"")")," units ")</f>
        <v>units</v>
      </c>
      <c r="F51" s="70">
        <v>10000.0</v>
      </c>
      <c r="G51" s="70">
        <f t="shared" si="5"/>
        <v>20000</v>
      </c>
      <c r="H51" s="175" t="s">
        <v>55</v>
      </c>
      <c r="I51" s="65"/>
      <c r="J51" s="177"/>
      <c r="K51" s="175">
        <v>1.0</v>
      </c>
      <c r="L51" s="175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15"/>
      <c r="Z51" s="115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35"/>
      <c r="B52" s="371"/>
      <c r="C52" s="65"/>
      <c r="D52" s="455"/>
      <c r="E52" s="455"/>
      <c r="F52" s="176"/>
      <c r="G52" s="70"/>
      <c r="H52" s="175"/>
      <c r="I52" s="65"/>
      <c r="J52" s="175"/>
      <c r="K52" s="175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15"/>
      <c r="Z52" s="115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79"/>
      <c r="B53" s="354"/>
      <c r="C53" s="358"/>
      <c r="D53" s="455"/>
      <c r="E53" s="70"/>
      <c r="F53" s="82"/>
      <c r="G53" s="70"/>
      <c r="H53" s="358"/>
      <c r="I53" s="83"/>
      <c r="J53" s="175"/>
      <c r="K53" s="175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446"/>
      <c r="Z53" s="197"/>
      <c r="AA53" s="198"/>
      <c r="AB53" s="198"/>
      <c r="AC53" s="198"/>
      <c r="AD53" s="198"/>
      <c r="AE53" s="198"/>
      <c r="AF53" s="198"/>
      <c r="AG53" s="198"/>
      <c r="AH53" s="198"/>
      <c r="AI53" s="198"/>
    </row>
    <row r="54" ht="15.75" customHeight="1">
      <c r="A54" s="35"/>
      <c r="B54" s="354" t="s">
        <v>138</v>
      </c>
      <c r="C54" s="175"/>
      <c r="D54" s="337">
        <v>1.0</v>
      </c>
      <c r="E54" s="70" t="s">
        <v>139</v>
      </c>
      <c r="F54" s="70">
        <v>49000.0</v>
      </c>
      <c r="G54" s="70">
        <f t="shared" ref="G54:G57" si="6">F54*D54</f>
        <v>49000</v>
      </c>
      <c r="H54" s="358" t="s">
        <v>55</v>
      </c>
      <c r="I54" s="65"/>
      <c r="J54" s="175"/>
      <c r="K54" s="175">
        <v>1.0</v>
      </c>
      <c r="L54" s="175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15"/>
      <c r="Z54" s="115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35"/>
      <c r="B55" s="354" t="s">
        <v>96</v>
      </c>
      <c r="C55" s="175" t="s">
        <v>97</v>
      </c>
      <c r="D55" s="337">
        <v>5.0</v>
      </c>
      <c r="E55" s="70" t="str">
        <f>IFERROR(__xludf.DUMMYFUNCTION("REGEXEXTRACT(C55,""[A-Za-z]+"")")," packs ")</f>
        <v>packs</v>
      </c>
      <c r="F55" s="70">
        <v>9999.0</v>
      </c>
      <c r="G55" s="70">
        <f t="shared" si="6"/>
        <v>49995</v>
      </c>
      <c r="H55" s="175" t="s">
        <v>55</v>
      </c>
      <c r="I55" s="65"/>
      <c r="J55" s="175"/>
      <c r="K55" s="175">
        <v>10.0</v>
      </c>
      <c r="L55" s="175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15"/>
      <c r="Z55" s="115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35"/>
      <c r="B56" s="354" t="s">
        <v>87</v>
      </c>
      <c r="C56" s="175" t="s">
        <v>88</v>
      </c>
      <c r="D56" s="337">
        <v>10.0</v>
      </c>
      <c r="E56" s="356" t="str">
        <f>IFERROR(__xludf.DUMMYFUNCTION("REGEXEXTRACT(C56,""[A-Za-z]+"")"),"rolls")</f>
        <v>rolls</v>
      </c>
      <c r="F56" s="176">
        <v>4000.0</v>
      </c>
      <c r="G56" s="70">
        <f t="shared" si="6"/>
        <v>40000</v>
      </c>
      <c r="H56" s="175" t="s">
        <v>55</v>
      </c>
      <c r="I56" s="177"/>
      <c r="J56" s="175"/>
      <c r="K56" s="175">
        <v>10.0</v>
      </c>
      <c r="L56" s="175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15"/>
      <c r="Z56" s="115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35"/>
      <c r="B57" s="354" t="s">
        <v>95</v>
      </c>
      <c r="C57" s="175" t="s">
        <v>82</v>
      </c>
      <c r="D57" s="337">
        <v>6.0</v>
      </c>
      <c r="E57" s="70" t="str">
        <f>IFERROR(__xludf.DUMMYFUNCTION("REGEXEXTRACT(C57,""[A-Za-z]+"")")," pcs ")</f>
        <v>pcs</v>
      </c>
      <c r="F57" s="70">
        <v>7000.0</v>
      </c>
      <c r="G57" s="70">
        <f t="shared" si="6"/>
        <v>42000</v>
      </c>
      <c r="H57" s="175" t="s">
        <v>55</v>
      </c>
      <c r="I57" s="65"/>
      <c r="J57" s="175"/>
      <c r="K57" s="175">
        <v>6.0</v>
      </c>
      <c r="L57" s="175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15"/>
      <c r="Z57" s="115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208"/>
      <c r="B58" s="214"/>
      <c r="C58" s="449" t="s">
        <v>169</v>
      </c>
      <c r="D58" s="374"/>
      <c r="E58" s="456"/>
      <c r="F58" s="375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380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</row>
    <row r="59">
      <c r="A59" s="242"/>
      <c r="B59" s="243"/>
      <c r="C59" s="243"/>
      <c r="D59" s="457"/>
      <c r="E59" s="458"/>
      <c r="F59" s="459"/>
      <c r="G59" s="460"/>
      <c r="H59" s="206"/>
      <c r="I59" s="206"/>
      <c r="J59" s="461"/>
      <c r="K59" s="206"/>
      <c r="L59" s="462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115"/>
    </row>
    <row r="60">
      <c r="A60" s="242"/>
      <c r="B60" s="463"/>
      <c r="C60" s="463"/>
      <c r="D60" s="457"/>
      <c r="E60" s="458"/>
      <c r="F60" s="458"/>
      <c r="G60" s="461"/>
      <c r="H60" s="206"/>
      <c r="I60" s="206"/>
      <c r="J60" s="206"/>
      <c r="K60" s="206"/>
      <c r="L60" s="462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115"/>
    </row>
    <row r="61">
      <c r="A61" s="242"/>
      <c r="B61" s="243"/>
      <c r="C61" s="243"/>
      <c r="D61" s="457"/>
      <c r="E61" s="458"/>
      <c r="F61" s="459"/>
      <c r="G61" s="460"/>
      <c r="H61" s="206"/>
      <c r="I61" s="206"/>
      <c r="J61" s="461"/>
      <c r="K61" s="206"/>
      <c r="L61" s="462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115"/>
    </row>
    <row r="62">
      <c r="A62" s="242"/>
      <c r="B62" s="464"/>
      <c r="C62" s="464"/>
      <c r="D62" s="457"/>
      <c r="E62" s="458"/>
      <c r="F62" s="458"/>
      <c r="G62" s="461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115"/>
    </row>
    <row r="63">
      <c r="A63" s="258"/>
      <c r="B63" s="464"/>
      <c r="C63" s="464"/>
      <c r="D63" s="457"/>
      <c r="E63" s="458"/>
      <c r="F63" s="458"/>
      <c r="G63" s="461"/>
      <c r="H63" s="206"/>
      <c r="I63" s="206"/>
      <c r="J63" s="461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115"/>
    </row>
    <row r="64">
      <c r="A64" s="258"/>
      <c r="B64" s="464"/>
      <c r="C64" s="464"/>
      <c r="D64" s="457"/>
      <c r="E64" s="458"/>
      <c r="F64" s="458"/>
      <c r="G64" s="461"/>
      <c r="H64" s="206"/>
      <c r="I64" s="206"/>
      <c r="J64" s="206"/>
      <c r="K64" s="206"/>
      <c r="L64" s="462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115"/>
    </row>
    <row r="65">
      <c r="A65" s="258"/>
      <c r="B65" s="463"/>
      <c r="C65" s="463"/>
      <c r="D65" s="457"/>
      <c r="E65" s="458"/>
      <c r="F65" s="458"/>
      <c r="G65" s="461"/>
      <c r="H65" s="206"/>
      <c r="I65" s="206"/>
      <c r="J65" s="206"/>
      <c r="K65" s="206"/>
      <c r="L65" s="462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115"/>
    </row>
    <row r="66">
      <c r="A66" s="258"/>
      <c r="B66" s="463"/>
      <c r="C66" s="463"/>
      <c r="D66" s="457"/>
      <c r="E66" s="458"/>
      <c r="F66" s="458"/>
      <c r="G66" s="461"/>
      <c r="H66" s="206"/>
      <c r="I66" s="206"/>
      <c r="J66" s="206"/>
      <c r="K66" s="206"/>
      <c r="L66" s="462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</row>
    <row r="67">
      <c r="A67" s="258"/>
      <c r="B67" s="243"/>
      <c r="C67" s="243"/>
      <c r="D67" s="457"/>
      <c r="E67" s="465"/>
      <c r="F67" s="466"/>
      <c r="G67" s="461"/>
      <c r="H67" s="206"/>
      <c r="I67" s="206"/>
      <c r="J67" s="175"/>
      <c r="K67" s="206"/>
      <c r="L67" s="462"/>
      <c r="M67" s="462"/>
      <c r="N67" s="206"/>
      <c r="O67" s="206"/>
      <c r="P67" s="462"/>
      <c r="Q67" s="462"/>
      <c r="R67" s="462"/>
      <c r="S67" s="467"/>
      <c r="T67" s="206"/>
      <c r="U67" s="206"/>
      <c r="V67" s="206"/>
      <c r="W67" s="206"/>
      <c r="X67" s="206"/>
      <c r="Y67" s="207"/>
      <c r="Z67" s="207"/>
      <c r="AA67" s="207"/>
      <c r="AB67" s="115"/>
      <c r="AC67" s="207"/>
      <c r="AD67" s="207"/>
      <c r="AE67" s="207"/>
      <c r="AF67" s="207"/>
      <c r="AG67" s="207"/>
      <c r="AH67" s="207"/>
      <c r="AI67" s="115"/>
    </row>
    <row r="68" ht="15.75" customHeight="1">
      <c r="A68" s="265"/>
      <c r="B68" s="224"/>
      <c r="C68" s="224"/>
      <c r="D68" s="468"/>
      <c r="E68" s="469"/>
      <c r="F68" s="452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470"/>
      <c r="T68" s="224"/>
      <c r="U68" s="224"/>
      <c r="V68" s="224"/>
      <c r="W68" s="224"/>
      <c r="X68" s="224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</row>
    <row r="69" ht="15.75" customHeight="1">
      <c r="A69" s="271"/>
      <c r="B69" s="277"/>
      <c r="C69" s="277"/>
      <c r="D69" s="471"/>
      <c r="E69" s="472"/>
      <c r="F69" s="473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474"/>
      <c r="T69" s="277"/>
      <c r="U69" s="277"/>
      <c r="V69" s="277"/>
      <c r="W69" s="277"/>
      <c r="X69" s="277"/>
      <c r="Y69" s="475"/>
      <c r="Z69" s="278"/>
      <c r="AA69" s="278"/>
      <c r="AB69" s="278"/>
      <c r="AC69" s="278"/>
      <c r="AD69" s="278"/>
      <c r="AE69" s="278"/>
      <c r="AF69" s="278"/>
      <c r="AG69" s="278"/>
      <c r="AH69" s="278"/>
      <c r="AI69" s="278"/>
    </row>
    <row r="70" ht="15.75" customHeight="1">
      <c r="A70" s="265"/>
      <c r="B70" s="224"/>
      <c r="C70" s="224"/>
      <c r="D70" s="468"/>
      <c r="E70" s="469"/>
      <c r="F70" s="452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24"/>
      <c r="R70" s="224"/>
      <c r="S70" s="470"/>
      <c r="T70" s="224"/>
      <c r="U70" s="224"/>
      <c r="V70" s="224"/>
      <c r="W70" s="224"/>
      <c r="X70" s="224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</row>
    <row r="71" ht="15.75" customHeight="1">
      <c r="A71" s="3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15"/>
      <c r="Z71" s="115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66"/>
      <c r="B72" s="93"/>
      <c r="C72" s="94"/>
      <c r="D72" s="94"/>
      <c r="E72" s="94"/>
      <c r="F72" s="94"/>
      <c r="G72" s="94"/>
      <c r="H72" s="94"/>
      <c r="I72" s="94"/>
      <c r="J72" s="94"/>
      <c r="K72" s="95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15"/>
      <c r="Z72" s="115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96"/>
      <c r="B73" s="97"/>
      <c r="C73" s="6"/>
      <c r="D73" s="7"/>
      <c r="E73" s="8"/>
      <c r="F73" s="9"/>
      <c r="G73" s="287"/>
      <c r="H73" s="159"/>
      <c r="I73" s="159"/>
      <c r="J73" s="10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99" t="s">
        <v>115</v>
      </c>
      <c r="B74" s="6"/>
      <c r="C74" s="288">
        <f>SUM(G11:G57)</f>
        <v>1120563</v>
      </c>
      <c r="H74" s="159"/>
      <c r="I74" s="159"/>
      <c r="J74" s="10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hidden="1" customHeight="1">
      <c r="A75" s="101" t="s">
        <v>116</v>
      </c>
      <c r="B75" s="102"/>
      <c r="C75" s="289">
        <f>PRODUCT(C74,0.1)</f>
        <v>112056.3</v>
      </c>
      <c r="D75" s="104"/>
      <c r="E75" s="104"/>
      <c r="F75" s="104"/>
      <c r="G75" s="105"/>
      <c r="H75" s="159"/>
      <c r="I75" s="159"/>
      <c r="J75" s="290"/>
      <c r="L75" s="290"/>
      <c r="W75" s="290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hidden="1" customHeight="1">
      <c r="A76" s="107" t="s">
        <v>117</v>
      </c>
      <c r="B76" s="108"/>
      <c r="C76" s="291">
        <f>PRODUCT(C74,0.1)</f>
        <v>112056.3</v>
      </c>
      <c r="D76" s="94"/>
      <c r="E76" s="94"/>
      <c r="F76" s="94"/>
      <c r="G76" s="95"/>
      <c r="H76" s="159"/>
      <c r="I76" s="159"/>
      <c r="J76" s="292"/>
      <c r="K76" s="97"/>
      <c r="L76" s="293"/>
      <c r="W76" s="293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5.75" hidden="1" customHeight="1">
      <c r="A77" s="107" t="s">
        <v>118</v>
      </c>
      <c r="B77" s="108"/>
      <c r="C77" s="291">
        <f>SUM(C74:G76)</f>
        <v>1344675.6</v>
      </c>
      <c r="D77" s="94"/>
      <c r="E77" s="94"/>
      <c r="F77" s="94"/>
      <c r="G77" s="95"/>
      <c r="H77" s="159"/>
      <c r="I77" s="159"/>
      <c r="J77" s="292"/>
      <c r="K77" s="97"/>
      <c r="L77" s="293"/>
      <c r="W77" s="293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5.75" customHeight="1">
      <c r="A78" s="113"/>
      <c r="B78" s="6"/>
      <c r="C78" s="6"/>
      <c r="D78" s="7"/>
      <c r="E78" s="8"/>
      <c r="F78" s="9"/>
      <c r="G78" s="158"/>
      <c r="H78" s="159"/>
      <c r="I78" s="159"/>
      <c r="J78" s="292"/>
      <c r="K78" s="97"/>
      <c r="L78" s="293"/>
      <c r="W78" s="293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114" t="s">
        <v>119</v>
      </c>
      <c r="B79" s="6"/>
      <c r="C79" s="6"/>
      <c r="D79" s="7"/>
      <c r="E79" s="8"/>
      <c r="F79" s="9"/>
      <c r="G79" s="158"/>
      <c r="H79" s="159"/>
      <c r="I79" s="159"/>
      <c r="J79" s="10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115"/>
      <c r="B80" s="6"/>
      <c r="C80" s="6"/>
      <c r="D80" s="7"/>
      <c r="E80" s="8"/>
      <c r="F80" s="9"/>
      <c r="G80" s="158"/>
      <c r="H80" s="159"/>
      <c r="I80" s="159"/>
      <c r="J80" s="10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116" t="s">
        <v>120</v>
      </c>
      <c r="B81" s="97"/>
      <c r="C81" s="6"/>
      <c r="D81" s="117" t="s">
        <v>121</v>
      </c>
      <c r="H81" s="117"/>
      <c r="I81" s="97"/>
      <c r="J81" s="10"/>
      <c r="K81" s="117" t="s">
        <v>122</v>
      </c>
      <c r="Q81" s="6"/>
      <c r="R81" s="6"/>
      <c r="S81" s="117" t="s">
        <v>123</v>
      </c>
      <c r="W81" s="6"/>
      <c r="X81" s="6"/>
      <c r="Z81" s="97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116"/>
      <c r="B82" s="97"/>
      <c r="C82" s="6"/>
      <c r="D82" s="117"/>
      <c r="E82" s="118"/>
      <c r="F82" s="119"/>
      <c r="G82" s="120"/>
      <c r="H82" s="117"/>
      <c r="I82" s="97"/>
      <c r="J82" s="10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97"/>
      <c r="Z82" s="97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97"/>
      <c r="B83" s="97"/>
      <c r="C83" s="6"/>
      <c r="D83" s="97"/>
      <c r="E83" s="294"/>
      <c r="F83" s="295"/>
      <c r="G83" s="296"/>
      <c r="H83" s="297"/>
      <c r="I83" s="97"/>
      <c r="J83" s="10"/>
      <c r="K83" s="97"/>
      <c r="L83" s="297"/>
      <c r="M83" s="297"/>
      <c r="N83" s="297"/>
      <c r="O83" s="297"/>
      <c r="P83" s="297"/>
      <c r="Q83" s="297"/>
      <c r="R83" s="297"/>
      <c r="S83" s="97"/>
      <c r="T83" s="297"/>
      <c r="U83" s="97"/>
      <c r="V83" s="97"/>
      <c r="W83" s="97"/>
      <c r="X83" s="97"/>
      <c r="Y83" s="97"/>
      <c r="Z83" s="97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125" t="s">
        <v>124</v>
      </c>
      <c r="C84" s="6"/>
      <c r="D84" s="117" t="s">
        <v>125</v>
      </c>
      <c r="H84" s="117"/>
      <c r="I84" s="117"/>
      <c r="J84" s="10"/>
      <c r="K84" s="117" t="s">
        <v>126</v>
      </c>
      <c r="Q84" s="6"/>
      <c r="R84" s="6"/>
      <c r="S84" s="117" t="s">
        <v>127</v>
      </c>
      <c r="W84" s="6"/>
      <c r="X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0" customHeight="1">
      <c r="A85" s="127" t="s">
        <v>128</v>
      </c>
      <c r="C85" s="6"/>
      <c r="D85" s="128" t="s">
        <v>129</v>
      </c>
      <c r="J85" s="10"/>
      <c r="K85" s="130" t="s">
        <v>130</v>
      </c>
      <c r="Q85" s="6"/>
      <c r="R85" s="6"/>
      <c r="S85" s="128" t="s">
        <v>131</v>
      </c>
      <c r="W85" s="6"/>
      <c r="X85" s="6"/>
      <c r="Y85" s="97"/>
      <c r="Z85" s="97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6"/>
      <c r="B86" s="6"/>
      <c r="C86" s="6"/>
      <c r="D86" s="6"/>
      <c r="E86" s="7"/>
      <c r="F86" s="8"/>
      <c r="G86" s="9"/>
      <c r="H86" s="6"/>
      <c r="I86" s="6"/>
      <c r="J86" s="10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6" t="s">
        <v>132</v>
      </c>
      <c r="B87" s="6"/>
      <c r="C87" s="6"/>
      <c r="D87" s="6" t="s">
        <v>132</v>
      </c>
      <c r="E87" s="7"/>
      <c r="F87" s="8"/>
      <c r="G87" s="9"/>
      <c r="H87" s="6"/>
      <c r="I87" s="6"/>
      <c r="J87" s="10"/>
      <c r="K87" s="6" t="s">
        <v>132</v>
      </c>
      <c r="L87" s="6"/>
      <c r="M87" s="6"/>
      <c r="N87" s="6"/>
      <c r="O87" s="6"/>
      <c r="P87" s="6"/>
      <c r="Q87" s="6"/>
      <c r="R87" s="6"/>
      <c r="S87" s="6" t="s">
        <v>132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6"/>
      <c r="B88" s="6"/>
      <c r="C88" s="6"/>
      <c r="D88" s="298"/>
      <c r="E88" s="299"/>
      <c r="F88" s="300"/>
      <c r="G88" s="6"/>
      <c r="H88" s="6"/>
      <c r="I88" s="6"/>
      <c r="J88" s="134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6"/>
      <c r="B89" s="6"/>
      <c r="C89" s="6"/>
      <c r="D89" s="298"/>
      <c r="E89" s="299"/>
      <c r="F89" s="300"/>
      <c r="G89" s="6"/>
      <c r="H89" s="6"/>
      <c r="I89" s="6"/>
      <c r="J89" s="135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6"/>
      <c r="B90" s="6"/>
      <c r="C90" s="6"/>
      <c r="D90" s="298"/>
      <c r="E90" s="299"/>
      <c r="F90" s="300"/>
      <c r="G90" s="6"/>
      <c r="H90" s="6"/>
      <c r="I90" s="6"/>
      <c r="J90" s="301"/>
      <c r="K90" s="302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6"/>
      <c r="B91" s="6"/>
      <c r="C91" s="6"/>
      <c r="D91" s="298"/>
      <c r="E91" s="299"/>
      <c r="F91" s="300"/>
      <c r="G91" s="6"/>
      <c r="H91" s="6"/>
      <c r="I91" s="6"/>
      <c r="J91" s="134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6"/>
      <c r="B92" s="6"/>
      <c r="C92" s="6"/>
      <c r="D92" s="298"/>
      <c r="E92" s="299"/>
      <c r="F92" s="300"/>
      <c r="G92" s="6"/>
      <c r="H92" s="6"/>
      <c r="I92" s="6"/>
      <c r="J92" s="140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6"/>
      <c r="B93" s="6"/>
      <c r="C93" s="6"/>
      <c r="D93" s="298"/>
      <c r="E93" s="299"/>
      <c r="F93" s="300"/>
      <c r="G93" s="6"/>
      <c r="H93" s="6"/>
      <c r="I93" s="6"/>
      <c r="J93" s="10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6"/>
      <c r="B94" s="6"/>
      <c r="C94" s="6"/>
      <c r="D94" s="298"/>
      <c r="E94" s="299"/>
      <c r="F94" s="300"/>
      <c r="G94" s="6"/>
      <c r="H94" s="6"/>
      <c r="I94" s="6"/>
      <c r="J94" s="10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6"/>
      <c r="B95" s="6"/>
      <c r="C95" s="6"/>
      <c r="D95" s="298"/>
      <c r="E95" s="299"/>
      <c r="F95" s="300"/>
      <c r="G95" s="6"/>
      <c r="H95" s="6"/>
      <c r="I95" s="6"/>
      <c r="J95" s="10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6"/>
      <c r="B96" s="6"/>
      <c r="C96" s="6"/>
      <c r="D96" s="298"/>
      <c r="E96" s="299"/>
      <c r="F96" s="300"/>
      <c r="G96" s="6"/>
      <c r="H96" s="6"/>
      <c r="I96" s="6"/>
      <c r="J96" s="10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6"/>
      <c r="B97" s="6"/>
      <c r="C97" s="6"/>
      <c r="D97" s="298"/>
      <c r="E97" s="299"/>
      <c r="F97" s="300"/>
      <c r="G97" s="6"/>
      <c r="H97" s="6"/>
      <c r="I97" s="6"/>
      <c r="J97" s="10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6"/>
      <c r="B98" s="6"/>
      <c r="C98" s="6"/>
      <c r="D98" s="298"/>
      <c r="E98" s="299"/>
      <c r="F98" s="300"/>
      <c r="G98" s="6"/>
      <c r="H98" s="6"/>
      <c r="I98" s="6"/>
      <c r="J98" s="10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6"/>
      <c r="B99" s="6"/>
      <c r="C99" s="6"/>
      <c r="D99" s="298"/>
      <c r="E99" s="299"/>
      <c r="F99" s="300"/>
      <c r="G99" s="6"/>
      <c r="H99" s="6"/>
      <c r="I99" s="6"/>
      <c r="J99" s="10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6"/>
      <c r="B100" s="6"/>
      <c r="C100" s="6"/>
      <c r="D100" s="298"/>
      <c r="E100" s="299"/>
      <c r="F100" s="300"/>
      <c r="G100" s="6"/>
      <c r="H100" s="6"/>
      <c r="I100" s="6"/>
      <c r="J100" s="10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6"/>
      <c r="B101" s="6"/>
      <c r="C101" s="6"/>
      <c r="D101" s="298"/>
      <c r="E101" s="299"/>
      <c r="F101" s="300"/>
      <c r="G101" s="6"/>
      <c r="H101" s="6"/>
      <c r="I101" s="6"/>
      <c r="J101" s="10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6"/>
      <c r="B102" s="6"/>
      <c r="C102" s="6"/>
      <c r="D102" s="298"/>
      <c r="E102" s="299"/>
      <c r="F102" s="300"/>
      <c r="G102" s="6"/>
      <c r="H102" s="6"/>
      <c r="I102" s="6"/>
      <c r="J102" s="10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6"/>
      <c r="B103" s="6"/>
      <c r="C103" s="6"/>
      <c r="D103" s="298"/>
      <c r="E103" s="299"/>
      <c r="F103" s="300"/>
      <c r="G103" s="6"/>
      <c r="H103" s="6"/>
      <c r="I103" s="6"/>
      <c r="J103" s="10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6"/>
      <c r="B104" s="6"/>
      <c r="C104" s="6"/>
      <c r="D104" s="298"/>
      <c r="E104" s="299"/>
      <c r="F104" s="300"/>
      <c r="G104" s="6"/>
      <c r="H104" s="6"/>
      <c r="I104" s="6"/>
      <c r="J104" s="10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6"/>
      <c r="B105" s="6"/>
      <c r="C105" s="6"/>
      <c r="D105" s="298"/>
      <c r="E105" s="299"/>
      <c r="F105" s="300"/>
      <c r="G105" s="6"/>
      <c r="H105" s="6"/>
      <c r="I105" s="6"/>
      <c r="J105" s="10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5.75" customHeight="1">
      <c r="A106" s="6"/>
      <c r="B106" s="6"/>
      <c r="C106" s="6"/>
      <c r="D106" s="298"/>
      <c r="E106" s="299"/>
      <c r="F106" s="300"/>
      <c r="G106" s="6"/>
      <c r="H106" s="6"/>
      <c r="I106" s="6"/>
      <c r="J106" s="10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6"/>
      <c r="B107" s="6"/>
      <c r="C107" s="6"/>
      <c r="D107" s="298"/>
      <c r="E107" s="299"/>
      <c r="F107" s="300"/>
      <c r="G107" s="6"/>
      <c r="H107" s="6"/>
      <c r="I107" s="6"/>
      <c r="J107" s="10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5.75" customHeight="1">
      <c r="A108" s="6"/>
      <c r="B108" s="6"/>
      <c r="C108" s="6"/>
      <c r="D108" s="298"/>
      <c r="E108" s="299"/>
      <c r="F108" s="300"/>
      <c r="G108" s="6"/>
      <c r="H108" s="6"/>
      <c r="I108" s="6"/>
      <c r="J108" s="10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5.75" customHeight="1">
      <c r="A109" s="6"/>
      <c r="B109" s="6"/>
      <c r="C109" s="6"/>
      <c r="D109" s="298"/>
      <c r="E109" s="299"/>
      <c r="F109" s="300"/>
      <c r="G109" s="6"/>
      <c r="H109" s="6"/>
      <c r="I109" s="6"/>
      <c r="J109" s="10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5.75" customHeight="1">
      <c r="A110" s="6"/>
      <c r="B110" s="6"/>
      <c r="C110" s="6"/>
      <c r="D110" s="298"/>
      <c r="E110" s="299"/>
      <c r="F110" s="300"/>
      <c r="G110" s="6"/>
      <c r="H110" s="6"/>
      <c r="I110" s="6"/>
      <c r="J110" s="10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5.75" customHeight="1">
      <c r="A111" s="6"/>
      <c r="B111" s="6"/>
      <c r="C111" s="6"/>
      <c r="D111" s="298"/>
      <c r="E111" s="299"/>
      <c r="F111" s="300"/>
      <c r="G111" s="6"/>
      <c r="H111" s="6"/>
      <c r="I111" s="6"/>
      <c r="J111" s="10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5.75" customHeight="1">
      <c r="A112" s="6"/>
      <c r="B112" s="6"/>
      <c r="C112" s="6"/>
      <c r="D112" s="298"/>
      <c r="E112" s="299"/>
      <c r="F112" s="300"/>
      <c r="G112" s="6"/>
      <c r="H112" s="6"/>
      <c r="I112" s="6"/>
      <c r="J112" s="10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5.75" customHeight="1">
      <c r="A113" s="6"/>
      <c r="B113" s="6"/>
      <c r="C113" s="6"/>
      <c r="D113" s="298"/>
      <c r="E113" s="299"/>
      <c r="F113" s="300"/>
      <c r="G113" s="6"/>
      <c r="H113" s="6"/>
      <c r="I113" s="6"/>
      <c r="J113" s="10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6"/>
      <c r="B114" s="6"/>
      <c r="C114" s="6"/>
      <c r="D114" s="298"/>
      <c r="E114" s="299"/>
      <c r="F114" s="300"/>
      <c r="G114" s="6"/>
      <c r="H114" s="6"/>
      <c r="I114" s="6"/>
      <c r="J114" s="10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6"/>
      <c r="B115" s="6"/>
      <c r="C115" s="6"/>
      <c r="D115" s="298"/>
      <c r="E115" s="299"/>
      <c r="F115" s="300"/>
      <c r="G115" s="6"/>
      <c r="H115" s="6"/>
      <c r="I115" s="6"/>
      <c r="J115" s="10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6"/>
      <c r="B116" s="6"/>
      <c r="C116" s="6"/>
      <c r="D116" s="298"/>
      <c r="E116" s="299"/>
      <c r="F116" s="300"/>
      <c r="G116" s="6"/>
      <c r="H116" s="6"/>
      <c r="I116" s="6"/>
      <c r="J116" s="1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6"/>
      <c r="B117" s="6"/>
      <c r="C117" s="6"/>
      <c r="D117" s="298"/>
      <c r="E117" s="299"/>
      <c r="F117" s="300"/>
      <c r="G117" s="6"/>
      <c r="H117" s="6"/>
      <c r="I117" s="6"/>
      <c r="J117" s="10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6"/>
      <c r="B118" s="6"/>
      <c r="C118" s="6"/>
      <c r="D118" s="298"/>
      <c r="E118" s="299"/>
      <c r="F118" s="300"/>
      <c r="G118" s="6"/>
      <c r="H118" s="6"/>
      <c r="I118" s="6"/>
      <c r="J118" s="10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6"/>
      <c r="B119" s="6"/>
      <c r="C119" s="6"/>
      <c r="D119" s="298"/>
      <c r="E119" s="299"/>
      <c r="F119" s="300"/>
      <c r="G119" s="6"/>
      <c r="H119" s="6"/>
      <c r="I119" s="6"/>
      <c r="J119" s="10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6"/>
      <c r="B120" s="6"/>
      <c r="C120" s="6"/>
      <c r="D120" s="298"/>
      <c r="E120" s="299"/>
      <c r="F120" s="300"/>
      <c r="G120" s="6"/>
      <c r="H120" s="6"/>
      <c r="I120" s="6"/>
      <c r="J120" s="10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6"/>
      <c r="B121" s="6"/>
      <c r="C121" s="6"/>
      <c r="D121" s="298"/>
      <c r="E121" s="299"/>
      <c r="F121" s="300"/>
      <c r="G121" s="6"/>
      <c r="H121" s="6"/>
      <c r="I121" s="6"/>
      <c r="J121" s="10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6"/>
      <c r="B122" s="6"/>
      <c r="C122" s="6"/>
      <c r="D122" s="298"/>
      <c r="E122" s="299"/>
      <c r="F122" s="300"/>
      <c r="G122" s="6"/>
      <c r="H122" s="6"/>
      <c r="I122" s="6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6"/>
      <c r="B123" s="6"/>
      <c r="C123" s="6"/>
      <c r="D123" s="298"/>
      <c r="E123" s="299"/>
      <c r="F123" s="300"/>
      <c r="G123" s="6"/>
      <c r="H123" s="6"/>
      <c r="I123" s="6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6"/>
      <c r="B124" s="6"/>
      <c r="C124" s="6"/>
      <c r="D124" s="298"/>
      <c r="E124" s="299"/>
      <c r="F124" s="300"/>
      <c r="G124" s="6"/>
      <c r="H124" s="6"/>
      <c r="I124" s="6"/>
      <c r="J124" s="10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6"/>
      <c r="B125" s="6"/>
      <c r="C125" s="6"/>
      <c r="D125" s="298"/>
      <c r="E125" s="299"/>
      <c r="F125" s="300"/>
      <c r="G125" s="6"/>
      <c r="H125" s="6"/>
      <c r="I125" s="6"/>
      <c r="J125" s="10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6"/>
      <c r="B126" s="6"/>
      <c r="C126" s="6"/>
      <c r="D126" s="298"/>
      <c r="E126" s="299"/>
      <c r="F126" s="300"/>
      <c r="G126" s="6"/>
      <c r="H126" s="6"/>
      <c r="I126" s="6"/>
      <c r="J126" s="10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6"/>
      <c r="B127" s="6"/>
      <c r="C127" s="6"/>
      <c r="D127" s="298"/>
      <c r="E127" s="299"/>
      <c r="F127" s="300"/>
      <c r="G127" s="6"/>
      <c r="H127" s="6"/>
      <c r="I127" s="6"/>
      <c r="J127" s="10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6"/>
      <c r="B128" s="6"/>
      <c r="C128" s="6"/>
      <c r="D128" s="298"/>
      <c r="E128" s="299"/>
      <c r="F128" s="300"/>
      <c r="G128" s="6"/>
      <c r="H128" s="6"/>
      <c r="I128" s="6"/>
      <c r="J128" s="10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6"/>
      <c r="B129" s="6"/>
      <c r="C129" s="6"/>
      <c r="D129" s="298"/>
      <c r="E129" s="299"/>
      <c r="F129" s="300"/>
      <c r="G129" s="6"/>
      <c r="H129" s="6"/>
      <c r="I129" s="6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6"/>
      <c r="B130" s="6"/>
      <c r="C130" s="6"/>
      <c r="D130" s="298"/>
      <c r="E130" s="299"/>
      <c r="F130" s="300"/>
      <c r="G130" s="6"/>
      <c r="H130" s="6"/>
      <c r="I130" s="6"/>
      <c r="J130" s="10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6"/>
      <c r="B131" s="6"/>
      <c r="C131" s="6"/>
      <c r="D131" s="298"/>
      <c r="E131" s="299"/>
      <c r="F131" s="300"/>
      <c r="G131" s="6"/>
      <c r="H131" s="6"/>
      <c r="I131" s="6"/>
      <c r="J131" s="10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6"/>
      <c r="B132" s="6"/>
      <c r="C132" s="6"/>
      <c r="D132" s="298"/>
      <c r="E132" s="299"/>
      <c r="F132" s="300"/>
      <c r="G132" s="6"/>
      <c r="H132" s="6"/>
      <c r="I132" s="6"/>
      <c r="J132" s="10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6"/>
      <c r="B133" s="6"/>
      <c r="C133" s="6"/>
      <c r="D133" s="298"/>
      <c r="E133" s="299"/>
      <c r="F133" s="300"/>
      <c r="G133" s="6"/>
      <c r="H133" s="6"/>
      <c r="I133" s="6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6"/>
      <c r="B134" s="6"/>
      <c r="C134" s="6"/>
      <c r="D134" s="298"/>
      <c r="E134" s="299"/>
      <c r="F134" s="300"/>
      <c r="G134" s="6"/>
      <c r="H134" s="6"/>
      <c r="I134" s="6"/>
      <c r="J134" s="10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6"/>
      <c r="B135" s="6"/>
      <c r="C135" s="6"/>
      <c r="D135" s="298"/>
      <c r="E135" s="299"/>
      <c r="F135" s="300"/>
      <c r="G135" s="6"/>
      <c r="H135" s="6"/>
      <c r="I135" s="6"/>
      <c r="J135" s="10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6"/>
      <c r="B136" s="6"/>
      <c r="C136" s="6"/>
      <c r="D136" s="298"/>
      <c r="E136" s="299"/>
      <c r="F136" s="300"/>
      <c r="G136" s="6"/>
      <c r="H136" s="6"/>
      <c r="I136" s="6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6"/>
      <c r="B137" s="6"/>
      <c r="C137" s="6"/>
      <c r="D137" s="298"/>
      <c r="E137" s="299"/>
      <c r="F137" s="300"/>
      <c r="G137" s="6"/>
      <c r="H137" s="6"/>
      <c r="I137" s="6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6"/>
      <c r="B138" s="6"/>
      <c r="C138" s="6"/>
      <c r="D138" s="298"/>
      <c r="E138" s="299"/>
      <c r="F138" s="300"/>
      <c r="G138" s="6"/>
      <c r="H138" s="6"/>
      <c r="I138" s="6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6"/>
      <c r="B139" s="6"/>
      <c r="C139" s="6"/>
      <c r="D139" s="298"/>
      <c r="E139" s="299"/>
      <c r="F139" s="300"/>
      <c r="G139" s="6"/>
      <c r="H139" s="6"/>
      <c r="I139" s="6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6"/>
      <c r="B140" s="6"/>
      <c r="C140" s="6"/>
      <c r="D140" s="298"/>
      <c r="E140" s="299"/>
      <c r="F140" s="300"/>
      <c r="G140" s="6"/>
      <c r="H140" s="6"/>
      <c r="I140" s="6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6"/>
      <c r="B141" s="6"/>
      <c r="C141" s="6"/>
      <c r="D141" s="298"/>
      <c r="E141" s="299"/>
      <c r="F141" s="300"/>
      <c r="G141" s="6"/>
      <c r="H141" s="6"/>
      <c r="I141" s="6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6"/>
      <c r="B142" s="6"/>
      <c r="C142" s="6"/>
      <c r="D142" s="298"/>
      <c r="E142" s="299"/>
      <c r="F142" s="300"/>
      <c r="G142" s="6"/>
      <c r="H142" s="6"/>
      <c r="I142" s="6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6"/>
      <c r="B143" s="6"/>
      <c r="C143" s="6"/>
      <c r="D143" s="298"/>
      <c r="E143" s="299"/>
      <c r="F143" s="300"/>
      <c r="G143" s="6"/>
      <c r="H143" s="6"/>
      <c r="I143" s="6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6"/>
      <c r="B144" s="6"/>
      <c r="C144" s="6"/>
      <c r="D144" s="298"/>
      <c r="E144" s="299"/>
      <c r="F144" s="300"/>
      <c r="G144" s="6"/>
      <c r="H144" s="6"/>
      <c r="I144" s="6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6"/>
      <c r="B145" s="6"/>
      <c r="C145" s="6"/>
      <c r="D145" s="298"/>
      <c r="E145" s="299"/>
      <c r="F145" s="300"/>
      <c r="G145" s="6"/>
      <c r="H145" s="6"/>
      <c r="I145" s="6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6"/>
      <c r="B146" s="6"/>
      <c r="C146" s="6"/>
      <c r="D146" s="298"/>
      <c r="E146" s="299"/>
      <c r="F146" s="300"/>
      <c r="G146" s="6"/>
      <c r="H146" s="6"/>
      <c r="I146" s="6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6"/>
      <c r="B147" s="6"/>
      <c r="C147" s="6"/>
      <c r="D147" s="298"/>
      <c r="E147" s="299"/>
      <c r="F147" s="300"/>
      <c r="G147" s="6"/>
      <c r="H147" s="6"/>
      <c r="I147" s="6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6"/>
      <c r="B148" s="6"/>
      <c r="C148" s="6"/>
      <c r="D148" s="298"/>
      <c r="E148" s="299"/>
      <c r="F148" s="300"/>
      <c r="G148" s="6"/>
      <c r="H148" s="6"/>
      <c r="I148" s="6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6"/>
      <c r="B149" s="6"/>
      <c r="C149" s="6"/>
      <c r="D149" s="298"/>
      <c r="E149" s="299"/>
      <c r="F149" s="300"/>
      <c r="G149" s="6"/>
      <c r="H149" s="6"/>
      <c r="I149" s="6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6"/>
      <c r="B150" s="6"/>
      <c r="C150" s="6"/>
      <c r="D150" s="298"/>
      <c r="E150" s="299"/>
      <c r="F150" s="300"/>
      <c r="G150" s="6"/>
      <c r="H150" s="6"/>
      <c r="I150" s="6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6"/>
      <c r="B151" s="6"/>
      <c r="C151" s="6"/>
      <c r="D151" s="298"/>
      <c r="E151" s="299"/>
      <c r="F151" s="300"/>
      <c r="G151" s="6"/>
      <c r="H151" s="6"/>
      <c r="I151" s="6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6"/>
      <c r="B152" s="6"/>
      <c r="C152" s="6"/>
      <c r="D152" s="298"/>
      <c r="E152" s="299"/>
      <c r="F152" s="300"/>
      <c r="G152" s="6"/>
      <c r="H152" s="6"/>
      <c r="I152" s="6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6"/>
      <c r="B153" s="6"/>
      <c r="C153" s="6"/>
      <c r="D153" s="298"/>
      <c r="E153" s="299"/>
      <c r="F153" s="300"/>
      <c r="G153" s="6"/>
      <c r="H153" s="6"/>
      <c r="I153" s="6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6"/>
      <c r="B154" s="6"/>
      <c r="C154" s="6"/>
      <c r="D154" s="298"/>
      <c r="E154" s="299"/>
      <c r="F154" s="300"/>
      <c r="G154" s="6"/>
      <c r="H154" s="6"/>
      <c r="I154" s="6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6"/>
      <c r="B155" s="6"/>
      <c r="C155" s="6"/>
      <c r="D155" s="298"/>
      <c r="E155" s="299"/>
      <c r="F155" s="300"/>
      <c r="G155" s="6"/>
      <c r="H155" s="6"/>
      <c r="I155" s="6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6"/>
      <c r="B156" s="6"/>
      <c r="C156" s="6"/>
      <c r="D156" s="298"/>
      <c r="E156" s="299"/>
      <c r="F156" s="300"/>
      <c r="G156" s="6"/>
      <c r="H156" s="6"/>
      <c r="I156" s="6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6"/>
      <c r="B157" s="6"/>
      <c r="C157" s="6"/>
      <c r="D157" s="298"/>
      <c r="E157" s="299"/>
      <c r="F157" s="300"/>
      <c r="G157" s="6"/>
      <c r="H157" s="6"/>
      <c r="I157" s="6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6"/>
      <c r="B158" s="6"/>
      <c r="C158" s="6"/>
      <c r="D158" s="298"/>
      <c r="E158" s="299"/>
      <c r="F158" s="300"/>
      <c r="G158" s="6"/>
      <c r="H158" s="6"/>
      <c r="I158" s="6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6"/>
      <c r="B159" s="6"/>
      <c r="C159" s="6"/>
      <c r="D159" s="298"/>
      <c r="E159" s="299"/>
      <c r="F159" s="300"/>
      <c r="G159" s="6"/>
      <c r="H159" s="6"/>
      <c r="I159" s="6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6"/>
      <c r="B160" s="6"/>
      <c r="C160" s="6"/>
      <c r="D160" s="298"/>
      <c r="E160" s="299"/>
      <c r="F160" s="300"/>
      <c r="G160" s="6"/>
      <c r="H160" s="6"/>
      <c r="I160" s="6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6"/>
      <c r="B161" s="6"/>
      <c r="C161" s="6"/>
      <c r="D161" s="298"/>
      <c r="E161" s="299"/>
      <c r="F161" s="300"/>
      <c r="G161" s="6"/>
      <c r="H161" s="6"/>
      <c r="I161" s="6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6"/>
      <c r="B162" s="6"/>
      <c r="C162" s="6"/>
      <c r="D162" s="298"/>
      <c r="E162" s="299"/>
      <c r="F162" s="300"/>
      <c r="G162" s="6"/>
      <c r="H162" s="6"/>
      <c r="I162" s="6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6"/>
      <c r="B163" s="6"/>
      <c r="C163" s="6"/>
      <c r="D163" s="298"/>
      <c r="E163" s="299"/>
      <c r="F163" s="300"/>
      <c r="G163" s="6"/>
      <c r="H163" s="6"/>
      <c r="I163" s="6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6"/>
      <c r="B164" s="6"/>
      <c r="C164" s="6"/>
      <c r="D164" s="298"/>
      <c r="E164" s="299"/>
      <c r="F164" s="300"/>
      <c r="G164" s="6"/>
      <c r="H164" s="6"/>
      <c r="I164" s="6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6"/>
      <c r="B165" s="6"/>
      <c r="C165" s="6"/>
      <c r="D165" s="298"/>
      <c r="E165" s="299"/>
      <c r="F165" s="300"/>
      <c r="G165" s="6"/>
      <c r="H165" s="6"/>
      <c r="I165" s="6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6"/>
      <c r="B166" s="6"/>
      <c r="C166" s="6"/>
      <c r="D166" s="298"/>
      <c r="E166" s="299"/>
      <c r="F166" s="300"/>
      <c r="G166" s="6"/>
      <c r="H166" s="6"/>
      <c r="I166" s="6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6"/>
      <c r="B167" s="6"/>
      <c r="C167" s="6"/>
      <c r="D167" s="298"/>
      <c r="E167" s="299"/>
      <c r="F167" s="300"/>
      <c r="G167" s="6"/>
      <c r="H167" s="6"/>
      <c r="I167" s="6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6"/>
      <c r="B168" s="6"/>
      <c r="C168" s="6"/>
      <c r="D168" s="298"/>
      <c r="E168" s="299"/>
      <c r="F168" s="300"/>
      <c r="G168" s="6"/>
      <c r="H168" s="6"/>
      <c r="I168" s="6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6"/>
      <c r="B169" s="6"/>
      <c r="C169" s="6"/>
      <c r="D169" s="298"/>
      <c r="E169" s="299"/>
      <c r="F169" s="300"/>
      <c r="G169" s="6"/>
      <c r="H169" s="6"/>
      <c r="I169" s="6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6"/>
      <c r="B170" s="6"/>
      <c r="C170" s="6"/>
      <c r="D170" s="298"/>
      <c r="E170" s="299"/>
      <c r="F170" s="300"/>
      <c r="G170" s="6"/>
      <c r="H170" s="6"/>
      <c r="I170" s="6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6"/>
      <c r="B171" s="6"/>
      <c r="C171" s="6"/>
      <c r="D171" s="298"/>
      <c r="E171" s="299"/>
      <c r="F171" s="300"/>
      <c r="G171" s="6"/>
      <c r="H171" s="6"/>
      <c r="I171" s="6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6"/>
      <c r="B172" s="6"/>
      <c r="C172" s="6"/>
      <c r="D172" s="298"/>
      <c r="E172" s="299"/>
      <c r="F172" s="300"/>
      <c r="G172" s="6"/>
      <c r="H172" s="6"/>
      <c r="I172" s="6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6"/>
      <c r="B173" s="6"/>
      <c r="C173" s="6"/>
      <c r="D173" s="298"/>
      <c r="E173" s="299"/>
      <c r="F173" s="300"/>
      <c r="G173" s="6"/>
      <c r="H173" s="6"/>
      <c r="I173" s="6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6"/>
      <c r="B174" s="6"/>
      <c r="C174" s="6"/>
      <c r="D174" s="298"/>
      <c r="E174" s="299"/>
      <c r="F174" s="300"/>
      <c r="G174" s="6"/>
      <c r="H174" s="6"/>
      <c r="I174" s="6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6"/>
      <c r="B175" s="6"/>
      <c r="C175" s="6"/>
      <c r="D175" s="298"/>
      <c r="E175" s="299"/>
      <c r="F175" s="300"/>
      <c r="G175" s="6"/>
      <c r="H175" s="6"/>
      <c r="I175" s="6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6"/>
      <c r="B176" s="6"/>
      <c r="C176" s="6"/>
      <c r="D176" s="298"/>
      <c r="E176" s="299"/>
      <c r="F176" s="300"/>
      <c r="G176" s="6"/>
      <c r="H176" s="6"/>
      <c r="I176" s="6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6"/>
      <c r="B177" s="6"/>
      <c r="C177" s="6"/>
      <c r="D177" s="298"/>
      <c r="E177" s="299"/>
      <c r="F177" s="300"/>
      <c r="G177" s="6"/>
      <c r="H177" s="6"/>
      <c r="I177" s="6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6"/>
      <c r="B178" s="6"/>
      <c r="C178" s="6"/>
      <c r="D178" s="298"/>
      <c r="E178" s="299"/>
      <c r="F178" s="300"/>
      <c r="G178" s="6"/>
      <c r="H178" s="6"/>
      <c r="I178" s="6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6"/>
      <c r="B179" s="6"/>
      <c r="C179" s="6"/>
      <c r="D179" s="298"/>
      <c r="E179" s="299"/>
      <c r="F179" s="300"/>
      <c r="G179" s="6"/>
      <c r="H179" s="6"/>
      <c r="I179" s="6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6"/>
      <c r="B180" s="6"/>
      <c r="C180" s="6"/>
      <c r="D180" s="298"/>
      <c r="E180" s="299"/>
      <c r="F180" s="300"/>
      <c r="G180" s="6"/>
      <c r="H180" s="6"/>
      <c r="I180" s="6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6"/>
      <c r="B181" s="6"/>
      <c r="C181" s="6"/>
      <c r="D181" s="298"/>
      <c r="E181" s="299"/>
      <c r="F181" s="300"/>
      <c r="G181" s="6"/>
      <c r="H181" s="6"/>
      <c r="I181" s="6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6"/>
      <c r="B182" s="6"/>
      <c r="C182" s="6"/>
      <c r="D182" s="298"/>
      <c r="E182" s="299"/>
      <c r="F182" s="300"/>
      <c r="G182" s="6"/>
      <c r="H182" s="6"/>
      <c r="I182" s="6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6"/>
      <c r="B183" s="6"/>
      <c r="C183" s="6"/>
      <c r="D183" s="298"/>
      <c r="E183" s="299"/>
      <c r="F183" s="300"/>
      <c r="G183" s="6"/>
      <c r="H183" s="6"/>
      <c r="I183" s="6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6"/>
      <c r="B184" s="6"/>
      <c r="C184" s="6"/>
      <c r="D184" s="298"/>
      <c r="E184" s="299"/>
      <c r="F184" s="300"/>
      <c r="G184" s="6"/>
      <c r="H184" s="6"/>
      <c r="I184" s="6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6"/>
      <c r="B185" s="6"/>
      <c r="C185" s="6"/>
      <c r="D185" s="298"/>
      <c r="E185" s="299"/>
      <c r="F185" s="300"/>
      <c r="G185" s="6"/>
      <c r="H185" s="6"/>
      <c r="I185" s="6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6"/>
      <c r="B186" s="6"/>
      <c r="C186" s="6"/>
      <c r="D186" s="298"/>
      <c r="E186" s="299"/>
      <c r="F186" s="300"/>
      <c r="G186" s="6"/>
      <c r="H186" s="6"/>
      <c r="I186" s="6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6"/>
      <c r="B187" s="6"/>
      <c r="C187" s="6"/>
      <c r="D187" s="298"/>
      <c r="E187" s="299"/>
      <c r="F187" s="300"/>
      <c r="G187" s="6"/>
      <c r="H187" s="6"/>
      <c r="I187" s="6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6"/>
      <c r="B188" s="6"/>
      <c r="C188" s="6"/>
      <c r="D188" s="298"/>
      <c r="E188" s="299"/>
      <c r="F188" s="300"/>
      <c r="G188" s="6"/>
      <c r="H188" s="6"/>
      <c r="I188" s="6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6"/>
      <c r="B189" s="6"/>
      <c r="C189" s="6"/>
      <c r="D189" s="298"/>
      <c r="E189" s="299"/>
      <c r="F189" s="300"/>
      <c r="G189" s="6"/>
      <c r="H189" s="6"/>
      <c r="I189" s="6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6"/>
      <c r="B190" s="6"/>
      <c r="C190" s="6"/>
      <c r="D190" s="298"/>
      <c r="E190" s="299"/>
      <c r="F190" s="300"/>
      <c r="G190" s="6"/>
      <c r="H190" s="6"/>
      <c r="I190" s="6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6"/>
      <c r="B191" s="6"/>
      <c r="C191" s="6"/>
      <c r="D191" s="298"/>
      <c r="E191" s="299"/>
      <c r="F191" s="300"/>
      <c r="G191" s="6"/>
      <c r="H191" s="6"/>
      <c r="I191" s="6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6"/>
      <c r="B192" s="6"/>
      <c r="C192" s="6"/>
      <c r="D192" s="298"/>
      <c r="E192" s="299"/>
      <c r="F192" s="300"/>
      <c r="G192" s="6"/>
      <c r="H192" s="6"/>
      <c r="I192" s="6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6"/>
      <c r="B193" s="6"/>
      <c r="C193" s="6"/>
      <c r="D193" s="298"/>
      <c r="E193" s="299"/>
      <c r="F193" s="300"/>
      <c r="G193" s="6"/>
      <c r="H193" s="6"/>
      <c r="I193" s="6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6"/>
      <c r="B194" s="6"/>
      <c r="C194" s="6"/>
      <c r="D194" s="298"/>
      <c r="E194" s="299"/>
      <c r="F194" s="300"/>
      <c r="G194" s="6"/>
      <c r="H194" s="6"/>
      <c r="I194" s="6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6"/>
      <c r="B195" s="6"/>
      <c r="C195" s="6"/>
      <c r="D195" s="298"/>
      <c r="E195" s="299"/>
      <c r="F195" s="300"/>
      <c r="G195" s="6"/>
      <c r="H195" s="6"/>
      <c r="I195" s="6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6"/>
      <c r="B196" s="6"/>
      <c r="C196" s="6"/>
      <c r="D196" s="298"/>
      <c r="E196" s="299"/>
      <c r="F196" s="300"/>
      <c r="G196" s="6"/>
      <c r="H196" s="6"/>
      <c r="I196" s="6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6"/>
      <c r="B197" s="6"/>
      <c r="C197" s="6"/>
      <c r="D197" s="298"/>
      <c r="E197" s="299"/>
      <c r="F197" s="300"/>
      <c r="G197" s="6"/>
      <c r="H197" s="6"/>
      <c r="I197" s="6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6"/>
      <c r="B198" s="6"/>
      <c r="C198" s="6"/>
      <c r="D198" s="298"/>
      <c r="E198" s="299"/>
      <c r="F198" s="300"/>
      <c r="G198" s="6"/>
      <c r="H198" s="6"/>
      <c r="I198" s="6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6"/>
      <c r="B199" s="6"/>
      <c r="C199" s="6"/>
      <c r="D199" s="298"/>
      <c r="E199" s="299"/>
      <c r="F199" s="300"/>
      <c r="G199" s="6"/>
      <c r="H199" s="6"/>
      <c r="I199" s="6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6"/>
      <c r="B200" s="6"/>
      <c r="C200" s="6"/>
      <c r="D200" s="298"/>
      <c r="E200" s="299"/>
      <c r="F200" s="300"/>
      <c r="G200" s="6"/>
      <c r="H200" s="6"/>
      <c r="I200" s="6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6"/>
      <c r="B201" s="6"/>
      <c r="C201" s="6"/>
      <c r="D201" s="298"/>
      <c r="E201" s="299"/>
      <c r="F201" s="300"/>
      <c r="G201" s="6"/>
      <c r="H201" s="6"/>
      <c r="I201" s="6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6"/>
      <c r="B202" s="6"/>
      <c r="C202" s="6"/>
      <c r="D202" s="298"/>
      <c r="E202" s="299"/>
      <c r="F202" s="300"/>
      <c r="G202" s="6"/>
      <c r="H202" s="6"/>
      <c r="I202" s="6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6"/>
      <c r="B203" s="6"/>
      <c r="C203" s="6"/>
      <c r="D203" s="298"/>
      <c r="E203" s="299"/>
      <c r="F203" s="300"/>
      <c r="G203" s="6"/>
      <c r="H203" s="6"/>
      <c r="I203" s="6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6"/>
      <c r="B204" s="6"/>
      <c r="C204" s="6"/>
      <c r="D204" s="298"/>
      <c r="E204" s="299"/>
      <c r="F204" s="300"/>
      <c r="G204" s="6"/>
      <c r="H204" s="6"/>
      <c r="I204" s="6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6"/>
      <c r="B205" s="6"/>
      <c r="C205" s="6"/>
      <c r="D205" s="298"/>
      <c r="E205" s="299"/>
      <c r="F205" s="300"/>
      <c r="G205" s="6"/>
      <c r="H205" s="6"/>
      <c r="I205" s="6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6"/>
      <c r="B206" s="6"/>
      <c r="C206" s="6"/>
      <c r="D206" s="298"/>
      <c r="E206" s="299"/>
      <c r="F206" s="300"/>
      <c r="G206" s="6"/>
      <c r="H206" s="6"/>
      <c r="I206" s="6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6"/>
      <c r="B207" s="6"/>
      <c r="C207" s="6"/>
      <c r="D207" s="298"/>
      <c r="E207" s="299"/>
      <c r="F207" s="300"/>
      <c r="G207" s="6"/>
      <c r="H207" s="6"/>
      <c r="I207" s="6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6"/>
      <c r="B208" s="6"/>
      <c r="C208" s="6"/>
      <c r="D208" s="298"/>
      <c r="E208" s="299"/>
      <c r="F208" s="300"/>
      <c r="G208" s="6"/>
      <c r="H208" s="6"/>
      <c r="I208" s="6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6"/>
      <c r="B209" s="6"/>
      <c r="C209" s="6"/>
      <c r="D209" s="298"/>
      <c r="E209" s="299"/>
      <c r="F209" s="300"/>
      <c r="G209" s="6"/>
      <c r="H209" s="6"/>
      <c r="I209" s="6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6"/>
      <c r="B210" s="6"/>
      <c r="C210" s="6"/>
      <c r="D210" s="298"/>
      <c r="E210" s="299"/>
      <c r="F210" s="300"/>
      <c r="G210" s="6"/>
      <c r="H210" s="6"/>
      <c r="I210" s="6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6"/>
      <c r="B211" s="6"/>
      <c r="C211" s="6"/>
      <c r="D211" s="298"/>
      <c r="E211" s="299"/>
      <c r="F211" s="300"/>
      <c r="G211" s="6"/>
      <c r="H211" s="6"/>
      <c r="I211" s="6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6"/>
      <c r="B212" s="6"/>
      <c r="C212" s="6"/>
      <c r="D212" s="298"/>
      <c r="E212" s="299"/>
      <c r="F212" s="300"/>
      <c r="G212" s="6"/>
      <c r="H212" s="6"/>
      <c r="I212" s="6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6"/>
      <c r="B213" s="6"/>
      <c r="C213" s="6"/>
      <c r="D213" s="298"/>
      <c r="E213" s="299"/>
      <c r="F213" s="300"/>
      <c r="G213" s="6"/>
      <c r="H213" s="6"/>
      <c r="I213" s="6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6"/>
      <c r="B214" s="6"/>
      <c r="C214" s="6"/>
      <c r="D214" s="298"/>
      <c r="E214" s="299"/>
      <c r="F214" s="300"/>
      <c r="G214" s="6"/>
      <c r="H214" s="6"/>
      <c r="I214" s="6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6"/>
      <c r="B215" s="6"/>
      <c r="C215" s="6"/>
      <c r="D215" s="298"/>
      <c r="E215" s="299"/>
      <c r="F215" s="300"/>
      <c r="G215" s="6"/>
      <c r="H215" s="6"/>
      <c r="I215" s="6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6"/>
      <c r="B216" s="6"/>
      <c r="C216" s="6"/>
      <c r="D216" s="298"/>
      <c r="E216" s="299"/>
      <c r="F216" s="300"/>
      <c r="G216" s="6"/>
      <c r="H216" s="6"/>
      <c r="I216" s="6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6"/>
      <c r="B217" s="6"/>
      <c r="C217" s="6"/>
      <c r="D217" s="298"/>
      <c r="E217" s="299"/>
      <c r="F217" s="300"/>
      <c r="G217" s="6"/>
      <c r="H217" s="6"/>
      <c r="I217" s="6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6"/>
      <c r="B218" s="6"/>
      <c r="C218" s="6"/>
      <c r="D218" s="298"/>
      <c r="E218" s="299"/>
      <c r="F218" s="300"/>
      <c r="G218" s="6"/>
      <c r="H218" s="6"/>
      <c r="I218" s="6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6"/>
      <c r="B219" s="6"/>
      <c r="C219" s="6"/>
      <c r="D219" s="298"/>
      <c r="E219" s="299"/>
      <c r="F219" s="300"/>
      <c r="G219" s="6"/>
      <c r="H219" s="6"/>
      <c r="I219" s="6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6"/>
      <c r="B220" s="6"/>
      <c r="C220" s="6"/>
      <c r="D220" s="298"/>
      <c r="E220" s="299"/>
      <c r="F220" s="300"/>
      <c r="G220" s="6"/>
      <c r="H220" s="6"/>
      <c r="I220" s="6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>
      <c r="A221" s="6"/>
      <c r="B221" s="6"/>
      <c r="C221" s="6"/>
      <c r="D221" s="298"/>
      <c r="E221" s="299"/>
      <c r="F221" s="300"/>
      <c r="G221" s="6"/>
      <c r="H221" s="6"/>
      <c r="I221" s="6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ht="15.75" customHeight="1">
      <c r="A222" s="6"/>
      <c r="B222" s="6"/>
      <c r="C222" s="6"/>
      <c r="D222" s="298"/>
      <c r="E222" s="299"/>
      <c r="F222" s="300"/>
      <c r="G222" s="6"/>
      <c r="H222" s="6"/>
      <c r="I222" s="6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ht="15.75" customHeight="1">
      <c r="A223" s="6"/>
      <c r="B223" s="6"/>
      <c r="C223" s="6"/>
      <c r="D223" s="298"/>
      <c r="E223" s="299"/>
      <c r="F223" s="300"/>
      <c r="G223" s="6"/>
      <c r="H223" s="6"/>
      <c r="I223" s="6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ht="15.75" customHeight="1">
      <c r="A224" s="6"/>
      <c r="B224" s="6"/>
      <c r="C224" s="6"/>
      <c r="D224" s="298"/>
      <c r="E224" s="299"/>
      <c r="F224" s="300"/>
      <c r="G224" s="6"/>
      <c r="H224" s="6"/>
      <c r="I224" s="6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ht="15.75" customHeight="1">
      <c r="A225" s="6"/>
      <c r="B225" s="6"/>
      <c r="C225" s="6"/>
      <c r="D225" s="298"/>
      <c r="E225" s="299"/>
      <c r="F225" s="300"/>
      <c r="G225" s="6"/>
      <c r="H225" s="6"/>
      <c r="I225" s="6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ht="15.75" customHeight="1">
      <c r="A226" s="6"/>
      <c r="B226" s="6"/>
      <c r="C226" s="6"/>
      <c r="D226" s="298"/>
      <c r="E226" s="299"/>
      <c r="F226" s="300"/>
      <c r="G226" s="6"/>
      <c r="H226" s="6"/>
      <c r="I226" s="6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ht="15.75" customHeight="1">
      <c r="A227" s="6"/>
      <c r="B227" s="6"/>
      <c r="C227" s="6"/>
      <c r="D227" s="298"/>
      <c r="E227" s="299"/>
      <c r="F227" s="300"/>
      <c r="G227" s="6"/>
      <c r="H227" s="6"/>
      <c r="I227" s="6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ht="15.75" customHeight="1">
      <c r="A228" s="6"/>
      <c r="B228" s="6"/>
      <c r="C228" s="6"/>
      <c r="D228" s="298"/>
      <c r="E228" s="299"/>
      <c r="F228" s="300"/>
      <c r="G228" s="6"/>
      <c r="H228" s="6"/>
      <c r="I228" s="6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ht="15.75" customHeight="1">
      <c r="A229" s="6"/>
      <c r="B229" s="6"/>
      <c r="C229" s="6"/>
      <c r="D229" s="298"/>
      <c r="E229" s="299"/>
      <c r="F229" s="300"/>
      <c r="G229" s="6"/>
      <c r="H229" s="6"/>
      <c r="I229" s="6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ht="15.75" customHeight="1">
      <c r="A230" s="6"/>
      <c r="B230" s="6"/>
      <c r="C230" s="6"/>
      <c r="D230" s="298"/>
      <c r="E230" s="299"/>
      <c r="F230" s="300"/>
      <c r="G230" s="6"/>
      <c r="H230" s="6"/>
      <c r="I230" s="6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ht="15.75" customHeight="1">
      <c r="A231" s="6"/>
      <c r="B231" s="6"/>
      <c r="C231" s="6"/>
      <c r="D231" s="298"/>
      <c r="E231" s="299"/>
      <c r="F231" s="300"/>
      <c r="G231" s="6"/>
      <c r="H231" s="6"/>
      <c r="I231" s="6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ht="15.75" customHeight="1">
      <c r="A232" s="6"/>
      <c r="B232" s="6"/>
      <c r="C232" s="6"/>
      <c r="D232" s="298"/>
      <c r="E232" s="299"/>
      <c r="F232" s="300"/>
      <c r="G232" s="6"/>
      <c r="H232" s="6"/>
      <c r="I232" s="6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ht="15.75" customHeight="1">
      <c r="A233" s="6"/>
      <c r="B233" s="6"/>
      <c r="C233" s="6"/>
      <c r="D233" s="298"/>
      <c r="E233" s="299"/>
      <c r="F233" s="300"/>
      <c r="G233" s="6"/>
      <c r="H233" s="6"/>
      <c r="I233" s="6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ht="15.75" customHeight="1">
      <c r="A234" s="6"/>
      <c r="B234" s="6"/>
      <c r="C234" s="6"/>
      <c r="D234" s="298"/>
      <c r="E234" s="299"/>
      <c r="F234" s="300"/>
      <c r="G234" s="6"/>
      <c r="H234" s="6"/>
      <c r="I234" s="6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ht="15.75" customHeight="1">
      <c r="A235" s="6"/>
      <c r="B235" s="6"/>
      <c r="C235" s="6"/>
      <c r="D235" s="298"/>
      <c r="E235" s="299"/>
      <c r="F235" s="300"/>
      <c r="G235" s="6"/>
      <c r="H235" s="6"/>
      <c r="I235" s="6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ht="15.75" customHeight="1">
      <c r="A236" s="6"/>
      <c r="B236" s="6"/>
      <c r="C236" s="6"/>
      <c r="D236" s="298"/>
      <c r="E236" s="299"/>
      <c r="F236" s="300"/>
      <c r="G236" s="6"/>
      <c r="H236" s="6"/>
      <c r="I236" s="6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ht="15.75" customHeight="1">
      <c r="A237" s="6"/>
      <c r="B237" s="6"/>
      <c r="C237" s="6"/>
      <c r="D237" s="298"/>
      <c r="E237" s="299"/>
      <c r="F237" s="300"/>
      <c r="G237" s="6"/>
      <c r="H237" s="6"/>
      <c r="I237" s="6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ht="15.75" customHeight="1">
      <c r="A238" s="6"/>
      <c r="B238" s="6"/>
      <c r="C238" s="6"/>
      <c r="D238" s="298"/>
      <c r="E238" s="299"/>
      <c r="F238" s="300"/>
      <c r="G238" s="6"/>
      <c r="H238" s="6"/>
      <c r="I238" s="6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ht="15.75" customHeight="1">
      <c r="A239" s="6"/>
      <c r="B239" s="6"/>
      <c r="C239" s="6"/>
      <c r="D239" s="298"/>
      <c r="E239" s="299"/>
      <c r="F239" s="300"/>
      <c r="G239" s="6"/>
      <c r="H239" s="6"/>
      <c r="I239" s="6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ht="15.75" customHeight="1">
      <c r="A240" s="6"/>
      <c r="B240" s="6"/>
      <c r="C240" s="6"/>
      <c r="D240" s="298"/>
      <c r="E240" s="299"/>
      <c r="F240" s="300"/>
      <c r="G240" s="6"/>
      <c r="H240" s="6"/>
      <c r="I240" s="6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ht="15.75" customHeight="1">
      <c r="A241" s="6"/>
      <c r="B241" s="6"/>
      <c r="C241" s="6"/>
      <c r="D241" s="298"/>
      <c r="E241" s="299"/>
      <c r="F241" s="300"/>
      <c r="G241" s="6"/>
      <c r="H241" s="6"/>
      <c r="I241" s="6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ht="15.75" customHeight="1">
      <c r="A242" s="6"/>
      <c r="B242" s="6"/>
      <c r="C242" s="6"/>
      <c r="D242" s="298"/>
      <c r="E242" s="299"/>
      <c r="F242" s="300"/>
      <c r="G242" s="6"/>
      <c r="H242" s="6"/>
      <c r="I242" s="6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ht="15.75" customHeight="1">
      <c r="A243" s="6"/>
      <c r="B243" s="6"/>
      <c r="C243" s="6"/>
      <c r="D243" s="298"/>
      <c r="E243" s="299"/>
      <c r="F243" s="300"/>
      <c r="G243" s="6"/>
      <c r="H243" s="6"/>
      <c r="I243" s="6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ht="15.75" customHeight="1">
      <c r="A244" s="6"/>
      <c r="B244" s="6"/>
      <c r="C244" s="6"/>
      <c r="D244" s="298"/>
      <c r="E244" s="299"/>
      <c r="F244" s="300"/>
      <c r="G244" s="6"/>
      <c r="H244" s="6"/>
      <c r="I244" s="6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ht="15.75" customHeight="1">
      <c r="A245" s="6"/>
      <c r="B245" s="6"/>
      <c r="C245" s="6"/>
      <c r="D245" s="298"/>
      <c r="E245" s="299"/>
      <c r="F245" s="300"/>
      <c r="G245" s="6"/>
      <c r="H245" s="6"/>
      <c r="I245" s="6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ht="15.75" customHeight="1">
      <c r="A246" s="6"/>
      <c r="B246" s="6"/>
      <c r="C246" s="6"/>
      <c r="D246" s="298"/>
      <c r="E246" s="299"/>
      <c r="F246" s="300"/>
      <c r="G246" s="6"/>
      <c r="H246" s="6"/>
      <c r="I246" s="6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ht="15.75" customHeight="1">
      <c r="A247" s="6"/>
      <c r="B247" s="6"/>
      <c r="C247" s="6"/>
      <c r="D247" s="298"/>
      <c r="E247" s="299"/>
      <c r="F247" s="300"/>
      <c r="G247" s="6"/>
      <c r="H247" s="6"/>
      <c r="I247" s="6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ht="15.75" customHeight="1">
      <c r="A248" s="6"/>
      <c r="B248" s="6"/>
      <c r="C248" s="6"/>
      <c r="D248" s="298"/>
      <c r="E248" s="299"/>
      <c r="F248" s="300"/>
      <c r="G248" s="6"/>
      <c r="H248" s="6"/>
      <c r="I248" s="6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ht="15.75" customHeight="1">
      <c r="A249" s="6"/>
      <c r="B249" s="6"/>
      <c r="C249" s="6"/>
      <c r="D249" s="298"/>
      <c r="E249" s="299"/>
      <c r="F249" s="300"/>
      <c r="G249" s="6"/>
      <c r="H249" s="6"/>
      <c r="I249" s="6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ht="15.75" customHeight="1">
      <c r="A250" s="6"/>
      <c r="B250" s="6"/>
      <c r="C250" s="6"/>
      <c r="D250" s="298"/>
      <c r="E250" s="299"/>
      <c r="F250" s="300"/>
      <c r="G250" s="6"/>
      <c r="H250" s="6"/>
      <c r="I250" s="6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ht="15.75" customHeight="1">
      <c r="A251" s="6"/>
      <c r="B251" s="6"/>
      <c r="C251" s="6"/>
      <c r="D251" s="298"/>
      <c r="E251" s="299"/>
      <c r="F251" s="300"/>
      <c r="G251" s="6"/>
      <c r="H251" s="6"/>
      <c r="I251" s="6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ht="15.75" customHeight="1">
      <c r="A252" s="6"/>
      <c r="B252" s="6"/>
      <c r="C252" s="6"/>
      <c r="D252" s="298"/>
      <c r="E252" s="299"/>
      <c r="F252" s="300"/>
      <c r="G252" s="6"/>
      <c r="H252" s="6"/>
      <c r="I252" s="6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ht="15.75" customHeight="1">
      <c r="A253" s="6"/>
      <c r="B253" s="6"/>
      <c r="C253" s="6"/>
      <c r="D253" s="298"/>
      <c r="E253" s="299"/>
      <c r="F253" s="300"/>
      <c r="G253" s="6"/>
      <c r="H253" s="6"/>
      <c r="I253" s="6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ht="15.75" customHeight="1">
      <c r="A254" s="6"/>
      <c r="B254" s="6"/>
      <c r="C254" s="6"/>
      <c r="D254" s="298"/>
      <c r="E254" s="299"/>
      <c r="F254" s="300"/>
      <c r="G254" s="6"/>
      <c r="H254" s="6"/>
      <c r="I254" s="6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ht="15.75" customHeight="1">
      <c r="A255" s="6"/>
      <c r="B255" s="6"/>
      <c r="C255" s="6"/>
      <c r="D255" s="298"/>
      <c r="E255" s="299"/>
      <c r="F255" s="300"/>
      <c r="G255" s="6"/>
      <c r="H255" s="6"/>
      <c r="I255" s="6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ht="15.75" customHeight="1">
      <c r="A256" s="6"/>
      <c r="B256" s="6"/>
      <c r="C256" s="6"/>
      <c r="D256" s="298"/>
      <c r="E256" s="299"/>
      <c r="F256" s="300"/>
      <c r="G256" s="6"/>
      <c r="H256" s="6"/>
      <c r="I256" s="6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ht="15.75" customHeight="1">
      <c r="A257" s="6"/>
      <c r="B257" s="6"/>
      <c r="C257" s="6"/>
      <c r="D257" s="298"/>
      <c r="E257" s="299"/>
      <c r="F257" s="300"/>
      <c r="G257" s="6"/>
      <c r="H257" s="6"/>
      <c r="I257" s="6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ht="15.75" customHeight="1">
      <c r="A258" s="6"/>
      <c r="B258" s="6"/>
      <c r="C258" s="6"/>
      <c r="D258" s="298"/>
      <c r="E258" s="299"/>
      <c r="F258" s="300"/>
      <c r="G258" s="6"/>
      <c r="H258" s="6"/>
      <c r="I258" s="6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ht="15.75" customHeight="1">
      <c r="A259" s="6"/>
      <c r="B259" s="6"/>
      <c r="C259" s="6"/>
      <c r="D259" s="298"/>
      <c r="E259" s="299"/>
      <c r="F259" s="300"/>
      <c r="G259" s="6"/>
      <c r="H259" s="6"/>
      <c r="I259" s="6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ht="15.75" customHeight="1">
      <c r="A260" s="6"/>
      <c r="B260" s="6"/>
      <c r="C260" s="6"/>
      <c r="D260" s="298"/>
      <c r="E260" s="299"/>
      <c r="F260" s="300"/>
      <c r="G260" s="6"/>
      <c r="H260" s="6"/>
      <c r="I260" s="6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ht="15.75" customHeight="1">
      <c r="A261" s="6"/>
      <c r="B261" s="6"/>
      <c r="C261" s="6"/>
      <c r="D261" s="298"/>
      <c r="E261" s="299"/>
      <c r="F261" s="300"/>
      <c r="G261" s="6"/>
      <c r="H261" s="6"/>
      <c r="I261" s="6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ht="15.75" customHeight="1">
      <c r="A262" s="6"/>
      <c r="B262" s="6"/>
      <c r="C262" s="6"/>
      <c r="D262" s="298"/>
      <c r="E262" s="299"/>
      <c r="F262" s="300"/>
      <c r="G262" s="6"/>
      <c r="H262" s="6"/>
      <c r="I262" s="6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ht="15.75" customHeight="1">
      <c r="A263" s="6"/>
      <c r="B263" s="6"/>
      <c r="C263" s="6"/>
      <c r="D263" s="298"/>
      <c r="E263" s="299"/>
      <c r="F263" s="300"/>
      <c r="G263" s="6"/>
      <c r="H263" s="6"/>
      <c r="I263" s="6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ht="15.75" customHeight="1">
      <c r="A264" s="6"/>
      <c r="B264" s="6"/>
      <c r="C264" s="6"/>
      <c r="D264" s="298"/>
      <c r="E264" s="299"/>
      <c r="F264" s="300"/>
      <c r="G264" s="6"/>
      <c r="H264" s="6"/>
      <c r="I264" s="6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ht="15.75" customHeight="1">
      <c r="A265" s="6"/>
      <c r="B265" s="6"/>
      <c r="C265" s="6"/>
      <c r="D265" s="298"/>
      <c r="E265" s="299"/>
      <c r="F265" s="300"/>
      <c r="G265" s="6"/>
      <c r="H265" s="6"/>
      <c r="I265" s="6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ht="15.75" customHeight="1">
      <c r="A266" s="6"/>
      <c r="B266" s="6"/>
      <c r="C266" s="6"/>
      <c r="D266" s="298"/>
      <c r="E266" s="299"/>
      <c r="F266" s="300"/>
      <c r="G266" s="6"/>
      <c r="H266" s="6"/>
      <c r="I266" s="6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ht="15.75" customHeight="1">
      <c r="A267" s="6"/>
      <c r="B267" s="6"/>
      <c r="C267" s="6"/>
      <c r="D267" s="298"/>
      <c r="E267" s="299"/>
      <c r="F267" s="300"/>
      <c r="G267" s="6"/>
      <c r="H267" s="6"/>
      <c r="I267" s="6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ht="15.75" customHeight="1">
      <c r="A268" s="6"/>
      <c r="B268" s="6"/>
      <c r="C268" s="6"/>
      <c r="D268" s="298"/>
      <c r="E268" s="299"/>
      <c r="F268" s="300"/>
      <c r="G268" s="6"/>
      <c r="H268" s="6"/>
      <c r="I268" s="6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ht="15.75" customHeight="1">
      <c r="A269" s="6"/>
      <c r="B269" s="6"/>
      <c r="C269" s="6"/>
      <c r="D269" s="298"/>
      <c r="E269" s="299"/>
      <c r="F269" s="300"/>
      <c r="G269" s="6"/>
      <c r="H269" s="6"/>
      <c r="I269" s="6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ht="15.75" customHeight="1">
      <c r="A270" s="6"/>
      <c r="B270" s="6"/>
      <c r="C270" s="6"/>
      <c r="D270" s="298"/>
      <c r="E270" s="299"/>
      <c r="F270" s="300"/>
      <c r="G270" s="6"/>
      <c r="H270" s="6"/>
      <c r="I270" s="6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ht="15.75" customHeight="1">
      <c r="A271" s="6"/>
      <c r="B271" s="6"/>
      <c r="C271" s="6"/>
      <c r="D271" s="298"/>
      <c r="E271" s="299"/>
      <c r="F271" s="300"/>
      <c r="G271" s="6"/>
      <c r="H271" s="6"/>
      <c r="I271" s="6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ht="15.75" customHeight="1">
      <c r="A272" s="6"/>
      <c r="B272" s="6"/>
      <c r="C272" s="6"/>
      <c r="D272" s="298"/>
      <c r="E272" s="299"/>
      <c r="F272" s="300"/>
      <c r="G272" s="6"/>
      <c r="H272" s="6"/>
      <c r="I272" s="6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ht="15.75" customHeight="1">
      <c r="A273" s="6"/>
      <c r="B273" s="6"/>
      <c r="C273" s="6"/>
      <c r="D273" s="298"/>
      <c r="E273" s="299"/>
      <c r="F273" s="300"/>
      <c r="G273" s="6"/>
      <c r="H273" s="6"/>
      <c r="I273" s="6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ht="15.75" customHeight="1">
      <c r="A274" s="6"/>
      <c r="B274" s="6"/>
      <c r="C274" s="6"/>
      <c r="D274" s="298"/>
      <c r="E274" s="299"/>
      <c r="F274" s="300"/>
      <c r="G274" s="6"/>
      <c r="H274" s="6"/>
      <c r="I274" s="6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ht="15.75" customHeight="1">
      <c r="A275" s="6"/>
      <c r="B275" s="6"/>
      <c r="C275" s="6"/>
      <c r="D275" s="298"/>
      <c r="E275" s="299"/>
      <c r="F275" s="300"/>
      <c r="G275" s="6"/>
      <c r="H275" s="6"/>
      <c r="I275" s="6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ht="15.75" customHeight="1">
      <c r="A276" s="6"/>
      <c r="B276" s="6"/>
      <c r="C276" s="6"/>
      <c r="D276" s="298"/>
      <c r="E276" s="299"/>
      <c r="F276" s="300"/>
      <c r="G276" s="6"/>
      <c r="H276" s="6"/>
      <c r="I276" s="6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ht="15.75" customHeight="1">
      <c r="A277" s="6"/>
      <c r="B277" s="6"/>
      <c r="C277" s="6"/>
      <c r="D277" s="298"/>
      <c r="E277" s="299"/>
      <c r="F277" s="300"/>
      <c r="G277" s="6"/>
      <c r="H277" s="6"/>
      <c r="I277" s="6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ht="15.75" customHeight="1">
      <c r="A278" s="6"/>
      <c r="B278" s="6"/>
      <c r="C278" s="6"/>
      <c r="D278" s="298"/>
      <c r="E278" s="299"/>
      <c r="F278" s="300"/>
      <c r="G278" s="6"/>
      <c r="H278" s="6"/>
      <c r="I278" s="6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ht="15.75" customHeight="1">
      <c r="A279" s="6"/>
      <c r="B279" s="6"/>
      <c r="C279" s="6"/>
      <c r="D279" s="298"/>
      <c r="E279" s="299"/>
      <c r="F279" s="300"/>
      <c r="G279" s="6"/>
      <c r="H279" s="6"/>
      <c r="I279" s="6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ht="15.75" customHeight="1">
      <c r="A280" s="6"/>
      <c r="B280" s="6"/>
      <c r="C280" s="6"/>
      <c r="D280" s="298"/>
      <c r="E280" s="299"/>
      <c r="F280" s="300"/>
      <c r="G280" s="6"/>
      <c r="H280" s="6"/>
      <c r="I280" s="6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ht="15.75" customHeight="1">
      <c r="A281" s="6"/>
      <c r="B281" s="6"/>
      <c r="C281" s="6"/>
      <c r="D281" s="298"/>
      <c r="E281" s="299"/>
      <c r="F281" s="300"/>
      <c r="G281" s="6"/>
      <c r="H281" s="6"/>
      <c r="I281" s="6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ht="15.75" customHeight="1">
      <c r="A282" s="6"/>
      <c r="B282" s="6"/>
      <c r="C282" s="6"/>
      <c r="D282" s="298"/>
      <c r="E282" s="299"/>
      <c r="F282" s="300"/>
      <c r="G282" s="6"/>
      <c r="H282" s="6"/>
      <c r="I282" s="6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ht="15.75" customHeight="1">
      <c r="A283" s="6"/>
      <c r="B283" s="6"/>
      <c r="C283" s="6"/>
      <c r="D283" s="298"/>
      <c r="E283" s="299"/>
      <c r="F283" s="300"/>
      <c r="G283" s="6"/>
      <c r="H283" s="6"/>
      <c r="I283" s="6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ht="15.75" customHeight="1">
      <c r="A284" s="6"/>
      <c r="B284" s="6"/>
      <c r="C284" s="6"/>
      <c r="D284" s="298"/>
      <c r="E284" s="299"/>
      <c r="F284" s="300"/>
      <c r="G284" s="6"/>
      <c r="H284" s="6"/>
      <c r="I284" s="6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ht="15.75" customHeight="1">
      <c r="A285" s="6"/>
      <c r="B285" s="6"/>
      <c r="C285" s="6"/>
      <c r="D285" s="298"/>
      <c r="E285" s="299"/>
      <c r="F285" s="300"/>
      <c r="G285" s="6"/>
      <c r="H285" s="6"/>
      <c r="I285" s="6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ht="15.75" customHeight="1">
      <c r="A286" s="6"/>
      <c r="B286" s="6"/>
      <c r="C286" s="6"/>
      <c r="D286" s="298"/>
      <c r="E286" s="299"/>
      <c r="F286" s="300"/>
      <c r="G286" s="6"/>
      <c r="H286" s="6"/>
      <c r="I286" s="6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ht="15.75" customHeight="1">
      <c r="A287" s="6"/>
      <c r="B287" s="6"/>
      <c r="C287" s="6"/>
      <c r="D287" s="298"/>
      <c r="E287" s="299"/>
      <c r="F287" s="300"/>
      <c r="G287" s="6"/>
      <c r="H287" s="6"/>
      <c r="I287" s="6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ht="15.75" customHeight="1">
      <c r="A288" s="6"/>
      <c r="B288" s="6"/>
      <c r="C288" s="6"/>
      <c r="D288" s="7"/>
      <c r="E288" s="10"/>
      <c r="F288" s="6"/>
      <c r="G288" s="6"/>
      <c r="H288" s="6"/>
      <c r="I288" s="6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ht="15.75" customHeight="1">
      <c r="A289" s="6"/>
      <c r="B289" s="6"/>
      <c r="C289" s="6"/>
      <c r="D289" s="7"/>
      <c r="E289" s="10"/>
      <c r="F289" s="6"/>
      <c r="G289" s="6"/>
      <c r="H289" s="6"/>
      <c r="I289" s="6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ht="15.75" customHeight="1">
      <c r="A290" s="6"/>
      <c r="B290" s="6"/>
      <c r="C290" s="6"/>
      <c r="D290" s="7"/>
      <c r="E290" s="10"/>
      <c r="F290" s="6"/>
      <c r="G290" s="6"/>
      <c r="H290" s="6"/>
      <c r="I290" s="6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ht="15.75" customHeight="1">
      <c r="A291" s="6"/>
      <c r="B291" s="6"/>
      <c r="C291" s="6"/>
      <c r="D291" s="7"/>
      <c r="E291" s="10"/>
      <c r="F291" s="6"/>
      <c r="G291" s="6"/>
      <c r="H291" s="6"/>
      <c r="I291" s="6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ht="15.75" customHeight="1">
      <c r="A292" s="6"/>
      <c r="B292" s="6"/>
      <c r="C292" s="6"/>
      <c r="D292" s="7"/>
      <c r="E292" s="10"/>
      <c r="F292" s="6"/>
      <c r="G292" s="6"/>
      <c r="H292" s="6"/>
      <c r="I292" s="6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ht="15.75" customHeight="1">
      <c r="A293" s="6"/>
      <c r="B293" s="6"/>
      <c r="C293" s="6"/>
      <c r="D293" s="7"/>
      <c r="E293" s="10"/>
      <c r="F293" s="6"/>
      <c r="G293" s="6"/>
      <c r="H293" s="6"/>
      <c r="I293" s="6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ht="15.75" customHeight="1">
      <c r="A294" s="6"/>
      <c r="B294" s="6"/>
      <c r="C294" s="6"/>
      <c r="D294" s="7"/>
      <c r="E294" s="10"/>
      <c r="F294" s="6"/>
      <c r="G294" s="6"/>
      <c r="H294" s="6"/>
      <c r="I294" s="6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ht="15.75" customHeight="1">
      <c r="A295" s="6"/>
      <c r="B295" s="6"/>
      <c r="C295" s="6"/>
      <c r="D295" s="7"/>
      <c r="E295" s="10"/>
      <c r="F295" s="6"/>
      <c r="G295" s="6"/>
      <c r="H295" s="6"/>
      <c r="I295" s="6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ht="15.75" customHeight="1">
      <c r="A296" s="6"/>
      <c r="B296" s="6"/>
      <c r="C296" s="6"/>
      <c r="D296" s="7"/>
      <c r="E296" s="10"/>
      <c r="F296" s="6"/>
      <c r="G296" s="6"/>
      <c r="H296" s="6"/>
      <c r="I296" s="6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ht="15.75" customHeight="1">
      <c r="A297" s="6"/>
      <c r="B297" s="6"/>
      <c r="C297" s="6"/>
      <c r="D297" s="7"/>
      <c r="E297" s="10"/>
      <c r="F297" s="6"/>
      <c r="G297" s="6"/>
      <c r="H297" s="6"/>
      <c r="I297" s="6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ht="15.75" customHeight="1">
      <c r="A298" s="6"/>
      <c r="B298" s="6"/>
      <c r="C298" s="6"/>
      <c r="D298" s="7"/>
      <c r="E298" s="10"/>
      <c r="F298" s="6"/>
      <c r="G298" s="6"/>
      <c r="H298" s="6"/>
      <c r="I298" s="6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ht="15.75" customHeight="1">
      <c r="A299" s="6"/>
      <c r="B299" s="6"/>
      <c r="C299" s="6"/>
      <c r="D299" s="7"/>
      <c r="E299" s="10"/>
      <c r="F299" s="6"/>
      <c r="G299" s="6"/>
      <c r="H299" s="6"/>
      <c r="I299" s="6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ht="15.75" customHeight="1">
      <c r="A300" s="6"/>
      <c r="B300" s="6"/>
      <c r="C300" s="6"/>
      <c r="D300" s="7"/>
      <c r="E300" s="10"/>
      <c r="F300" s="6"/>
      <c r="G300" s="6"/>
      <c r="H300" s="6"/>
      <c r="I300" s="6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ht="15.75" customHeight="1">
      <c r="A301" s="6"/>
      <c r="B301" s="6"/>
      <c r="C301" s="6"/>
      <c r="D301" s="7"/>
      <c r="E301" s="10"/>
      <c r="F301" s="6"/>
      <c r="G301" s="6"/>
      <c r="H301" s="6"/>
      <c r="I301" s="6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ht="15.75" customHeight="1">
      <c r="A302" s="6"/>
      <c r="B302" s="6"/>
      <c r="C302" s="6"/>
      <c r="D302" s="7"/>
      <c r="E302" s="10"/>
      <c r="F302" s="6"/>
      <c r="G302" s="6"/>
      <c r="H302" s="6"/>
      <c r="I302" s="6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ht="15.75" customHeight="1">
      <c r="A303" s="6"/>
      <c r="B303" s="6"/>
      <c r="C303" s="6"/>
      <c r="D303" s="7"/>
      <c r="E303" s="10"/>
      <c r="F303" s="6"/>
      <c r="G303" s="6"/>
      <c r="H303" s="6"/>
      <c r="I303" s="6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ht="15.75" customHeight="1">
      <c r="A304" s="6"/>
      <c r="B304" s="6"/>
      <c r="C304" s="6"/>
      <c r="D304" s="7"/>
      <c r="E304" s="10"/>
      <c r="F304" s="6"/>
      <c r="G304" s="6"/>
      <c r="H304" s="6"/>
      <c r="I304" s="6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ht="15.75" customHeight="1">
      <c r="A305" s="6"/>
      <c r="B305" s="6"/>
      <c r="C305" s="6"/>
      <c r="D305" s="7"/>
      <c r="E305" s="10"/>
      <c r="F305" s="6"/>
      <c r="G305" s="6"/>
      <c r="H305" s="6"/>
      <c r="I305" s="6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ht="15.75" customHeight="1">
      <c r="A306" s="6"/>
      <c r="B306" s="6"/>
      <c r="C306" s="6"/>
      <c r="D306" s="7"/>
      <c r="E306" s="10"/>
      <c r="F306" s="6"/>
      <c r="G306" s="6"/>
      <c r="H306" s="6"/>
      <c r="I306" s="6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ht="15.75" customHeight="1">
      <c r="A307" s="6"/>
      <c r="B307" s="6"/>
      <c r="C307" s="6"/>
      <c r="D307" s="7"/>
      <c r="E307" s="10"/>
      <c r="F307" s="6"/>
      <c r="G307" s="6"/>
      <c r="H307" s="6"/>
      <c r="I307" s="6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ht="15.75" customHeight="1">
      <c r="A308" s="6"/>
      <c r="B308" s="6"/>
      <c r="C308" s="6"/>
      <c r="D308" s="7"/>
      <c r="E308" s="10"/>
      <c r="F308" s="6"/>
      <c r="G308" s="6"/>
      <c r="H308" s="6"/>
      <c r="I308" s="6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ht="15.75" customHeight="1">
      <c r="A309" s="6"/>
      <c r="B309" s="6"/>
      <c r="C309" s="6"/>
      <c r="D309" s="7"/>
      <c r="E309" s="10"/>
      <c r="F309" s="6"/>
      <c r="G309" s="6"/>
      <c r="H309" s="6"/>
      <c r="I309" s="6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ht="15.75" customHeight="1">
      <c r="A310" s="6"/>
      <c r="B310" s="6"/>
      <c r="C310" s="6"/>
      <c r="D310" s="7"/>
      <c r="E310" s="10"/>
      <c r="F310" s="6"/>
      <c r="G310" s="6"/>
      <c r="H310" s="6"/>
      <c r="I310" s="6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ht="15.75" customHeight="1">
      <c r="A311" s="6"/>
      <c r="B311" s="6"/>
      <c r="C311" s="6"/>
      <c r="D311" s="7"/>
      <c r="E311" s="10"/>
      <c r="F311" s="6"/>
      <c r="G311" s="6"/>
      <c r="H311" s="6"/>
      <c r="I311" s="6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ht="15.75" customHeight="1">
      <c r="A312" s="6"/>
      <c r="B312" s="6"/>
      <c r="C312" s="6"/>
      <c r="D312" s="7"/>
      <c r="E312" s="10"/>
      <c r="F312" s="6"/>
      <c r="G312" s="6"/>
      <c r="H312" s="6"/>
      <c r="I312" s="6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ht="15.75" customHeight="1">
      <c r="A313" s="6"/>
      <c r="B313" s="6"/>
      <c r="C313" s="6"/>
      <c r="D313" s="7"/>
      <c r="E313" s="10"/>
      <c r="F313" s="6"/>
      <c r="G313" s="6"/>
      <c r="H313" s="6"/>
      <c r="I313" s="6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ht="15.75" customHeight="1">
      <c r="A314" s="6"/>
      <c r="B314" s="6"/>
      <c r="C314" s="6"/>
      <c r="D314" s="7"/>
      <c r="E314" s="10"/>
      <c r="F314" s="6"/>
      <c r="G314" s="6"/>
      <c r="H314" s="6"/>
      <c r="I314" s="6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ht="15.75" customHeight="1">
      <c r="A315" s="6"/>
      <c r="B315" s="6"/>
      <c r="C315" s="6"/>
      <c r="D315" s="7"/>
      <c r="E315" s="10"/>
      <c r="F315" s="6"/>
      <c r="G315" s="6"/>
      <c r="H315" s="6"/>
      <c r="I315" s="6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ht="15.75" customHeight="1">
      <c r="A316" s="6"/>
      <c r="B316" s="6"/>
      <c r="C316" s="6"/>
      <c r="D316" s="7"/>
      <c r="E316" s="10"/>
      <c r="F316" s="6"/>
      <c r="G316" s="6"/>
      <c r="H316" s="6"/>
      <c r="I316" s="6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ht="15.75" customHeight="1">
      <c r="A317" s="6"/>
      <c r="B317" s="6"/>
      <c r="C317" s="6"/>
      <c r="D317" s="7"/>
      <c r="E317" s="10"/>
      <c r="F317" s="6"/>
      <c r="G317" s="6"/>
      <c r="H317" s="6"/>
      <c r="I317" s="6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ht="15.75" customHeight="1">
      <c r="A318" s="6"/>
      <c r="B318" s="6"/>
      <c r="C318" s="6"/>
      <c r="D318" s="7"/>
      <c r="E318" s="10"/>
      <c r="F318" s="6"/>
      <c r="G318" s="6"/>
      <c r="H318" s="6"/>
      <c r="I318" s="6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ht="15.75" customHeight="1">
      <c r="A319" s="6"/>
      <c r="B319" s="6"/>
      <c r="C319" s="6"/>
      <c r="D319" s="7"/>
      <c r="E319" s="10"/>
      <c r="F319" s="6"/>
      <c r="G319" s="6"/>
      <c r="H319" s="6"/>
      <c r="I319" s="6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ht="15.75" customHeight="1">
      <c r="A320" s="6"/>
      <c r="B320" s="6"/>
      <c r="C320" s="6"/>
      <c r="D320" s="7"/>
      <c r="E320" s="10"/>
      <c r="F320" s="6"/>
      <c r="G320" s="6"/>
      <c r="H320" s="6"/>
      <c r="I320" s="6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ht="15.75" customHeight="1">
      <c r="A321" s="6"/>
      <c r="B321" s="6"/>
      <c r="C321" s="6"/>
      <c r="D321" s="7"/>
      <c r="E321" s="10"/>
      <c r="F321" s="6"/>
      <c r="G321" s="6"/>
      <c r="H321" s="6"/>
      <c r="I321" s="6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ht="15.75" customHeight="1">
      <c r="A322" s="6"/>
      <c r="B322" s="6"/>
      <c r="C322" s="6"/>
      <c r="D322" s="7"/>
      <c r="E322" s="10"/>
      <c r="F322" s="6"/>
      <c r="G322" s="6"/>
      <c r="H322" s="6"/>
      <c r="I322" s="6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ht="15.75" customHeight="1">
      <c r="A323" s="6"/>
      <c r="B323" s="6"/>
      <c r="C323" s="6"/>
      <c r="D323" s="7"/>
      <c r="E323" s="10"/>
      <c r="F323" s="6"/>
      <c r="G323" s="6"/>
      <c r="H323" s="6"/>
      <c r="I323" s="6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ht="15.75" customHeight="1">
      <c r="A324" s="6"/>
      <c r="B324" s="6"/>
      <c r="C324" s="6"/>
      <c r="D324" s="7"/>
      <c r="E324" s="10"/>
      <c r="F324" s="6"/>
      <c r="G324" s="6"/>
      <c r="H324" s="6"/>
      <c r="I324" s="6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ht="15.75" customHeight="1">
      <c r="A325" s="6"/>
      <c r="B325" s="6"/>
      <c r="C325" s="6"/>
      <c r="D325" s="7"/>
      <c r="E325" s="10"/>
      <c r="F325" s="6"/>
      <c r="G325" s="6"/>
      <c r="H325" s="6"/>
      <c r="I325" s="6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ht="15.75" customHeight="1">
      <c r="A326" s="6"/>
      <c r="B326" s="6"/>
      <c r="C326" s="6"/>
      <c r="D326" s="7"/>
      <c r="E326" s="10"/>
      <c r="F326" s="6"/>
      <c r="G326" s="6"/>
      <c r="H326" s="6"/>
      <c r="I326" s="6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ht="15.75" customHeight="1">
      <c r="A327" s="6"/>
      <c r="B327" s="6"/>
      <c r="C327" s="6"/>
      <c r="D327" s="7"/>
      <c r="E327" s="10"/>
      <c r="F327" s="6"/>
      <c r="G327" s="6"/>
      <c r="H327" s="6"/>
      <c r="I327" s="6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ht="15.75" customHeight="1">
      <c r="A328" s="6"/>
      <c r="B328" s="6"/>
      <c r="C328" s="6"/>
      <c r="D328" s="7"/>
      <c r="E328" s="10"/>
      <c r="F328" s="6"/>
      <c r="G328" s="6"/>
      <c r="H328" s="6"/>
      <c r="I328" s="6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ht="15.75" customHeight="1">
      <c r="A329" s="6"/>
      <c r="B329" s="6"/>
      <c r="C329" s="6"/>
      <c r="D329" s="7"/>
      <c r="E329" s="10"/>
      <c r="F329" s="6"/>
      <c r="G329" s="6"/>
      <c r="H329" s="6"/>
      <c r="I329" s="6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ht="15.75" customHeight="1">
      <c r="A330" s="6"/>
      <c r="B330" s="6"/>
      <c r="C330" s="6"/>
      <c r="D330" s="7"/>
      <c r="E330" s="10"/>
      <c r="F330" s="6"/>
      <c r="G330" s="6"/>
      <c r="H330" s="6"/>
      <c r="I330" s="6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ht="15.75" customHeight="1">
      <c r="A331" s="6"/>
      <c r="B331" s="6"/>
      <c r="C331" s="6"/>
      <c r="D331" s="7"/>
      <c r="E331" s="10"/>
      <c r="F331" s="6"/>
      <c r="G331" s="6"/>
      <c r="H331" s="6"/>
      <c r="I331" s="6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ht="15.75" customHeight="1">
      <c r="A332" s="6"/>
      <c r="B332" s="6"/>
      <c r="C332" s="6"/>
      <c r="D332" s="7"/>
      <c r="E332" s="10"/>
      <c r="F332" s="6"/>
      <c r="G332" s="6"/>
      <c r="H332" s="6"/>
      <c r="I332" s="6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ht="15.75" customHeight="1">
      <c r="A333" s="6"/>
      <c r="B333" s="6"/>
      <c r="C333" s="6"/>
      <c r="D333" s="7"/>
      <c r="E333" s="10"/>
      <c r="F333" s="6"/>
      <c r="G333" s="6"/>
      <c r="H333" s="6"/>
      <c r="I333" s="6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6"/>
      <c r="B334" s="6"/>
      <c r="C334" s="6"/>
      <c r="D334" s="7"/>
      <c r="E334" s="10"/>
      <c r="F334" s="6"/>
      <c r="G334" s="6"/>
      <c r="H334" s="6"/>
      <c r="I334" s="6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6"/>
      <c r="B335" s="6"/>
      <c r="C335" s="6"/>
      <c r="D335" s="7"/>
      <c r="E335" s="10"/>
      <c r="F335" s="6"/>
      <c r="G335" s="6"/>
      <c r="H335" s="6"/>
      <c r="I335" s="6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6"/>
      <c r="B336" s="6"/>
      <c r="C336" s="6"/>
      <c r="D336" s="7"/>
      <c r="E336" s="10"/>
      <c r="F336" s="6"/>
      <c r="G336" s="6"/>
      <c r="H336" s="6"/>
      <c r="I336" s="6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6"/>
      <c r="B337" s="6"/>
      <c r="C337" s="6"/>
      <c r="D337" s="7"/>
      <c r="E337" s="10"/>
      <c r="F337" s="6"/>
      <c r="G337" s="6"/>
      <c r="H337" s="6"/>
      <c r="I337" s="6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6"/>
      <c r="B338" s="6"/>
      <c r="C338" s="6"/>
      <c r="D338" s="7"/>
      <c r="E338" s="10"/>
      <c r="F338" s="6"/>
      <c r="G338" s="6"/>
      <c r="H338" s="6"/>
      <c r="I338" s="6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6"/>
      <c r="B339" s="6"/>
      <c r="C339" s="6"/>
      <c r="D339" s="7"/>
      <c r="E339" s="10"/>
      <c r="F339" s="6"/>
      <c r="G339" s="6"/>
      <c r="H339" s="6"/>
      <c r="I339" s="6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6"/>
      <c r="B340" s="6"/>
      <c r="C340" s="6"/>
      <c r="D340" s="7"/>
      <c r="E340" s="10"/>
      <c r="F340" s="6"/>
      <c r="G340" s="6"/>
      <c r="H340" s="6"/>
      <c r="I340" s="6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6"/>
      <c r="B341" s="6"/>
      <c r="C341" s="6"/>
      <c r="D341" s="7"/>
      <c r="E341" s="10"/>
      <c r="F341" s="6"/>
      <c r="G341" s="6"/>
      <c r="H341" s="6"/>
      <c r="I341" s="6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6"/>
      <c r="B342" s="6"/>
      <c r="C342" s="6"/>
      <c r="D342" s="7"/>
      <c r="E342" s="10"/>
      <c r="F342" s="6"/>
      <c r="G342" s="6"/>
      <c r="H342" s="6"/>
      <c r="I342" s="6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6"/>
      <c r="B343" s="6"/>
      <c r="C343" s="6"/>
      <c r="D343" s="7"/>
      <c r="E343" s="10"/>
      <c r="F343" s="6"/>
      <c r="G343" s="6"/>
      <c r="H343" s="6"/>
      <c r="I343" s="6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6"/>
      <c r="B344" s="6"/>
      <c r="C344" s="6"/>
      <c r="D344" s="7"/>
      <c r="E344" s="10"/>
      <c r="F344" s="6"/>
      <c r="G344" s="6"/>
      <c r="H344" s="6"/>
      <c r="I344" s="6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6"/>
      <c r="B345" s="6"/>
      <c r="C345" s="6"/>
      <c r="D345" s="7"/>
      <c r="E345" s="10"/>
      <c r="F345" s="6"/>
      <c r="G345" s="6"/>
      <c r="H345" s="6"/>
      <c r="I345" s="6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6"/>
      <c r="B346" s="6"/>
      <c r="C346" s="6"/>
      <c r="D346" s="7"/>
      <c r="E346" s="10"/>
      <c r="F346" s="6"/>
      <c r="G346" s="6"/>
      <c r="H346" s="6"/>
      <c r="I346" s="6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6"/>
      <c r="B347" s="6"/>
      <c r="C347" s="6"/>
      <c r="D347" s="7"/>
      <c r="E347" s="10"/>
      <c r="F347" s="6"/>
      <c r="G347" s="6"/>
      <c r="H347" s="6"/>
      <c r="I347" s="6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6"/>
      <c r="B348" s="6"/>
      <c r="C348" s="6"/>
      <c r="D348" s="7"/>
      <c r="E348" s="10"/>
      <c r="F348" s="6"/>
      <c r="G348" s="6"/>
      <c r="H348" s="6"/>
      <c r="I348" s="6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6"/>
      <c r="B349" s="6"/>
      <c r="C349" s="6"/>
      <c r="D349" s="7"/>
      <c r="E349" s="10"/>
      <c r="F349" s="6"/>
      <c r="G349" s="6"/>
      <c r="H349" s="6"/>
      <c r="I349" s="6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6"/>
      <c r="B350" s="6"/>
      <c r="C350" s="6"/>
      <c r="D350" s="7"/>
      <c r="E350" s="10"/>
      <c r="F350" s="6"/>
      <c r="G350" s="6"/>
      <c r="H350" s="6"/>
      <c r="I350" s="6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6"/>
      <c r="B351" s="6"/>
      <c r="C351" s="6"/>
      <c r="D351" s="7"/>
      <c r="E351" s="10"/>
      <c r="F351" s="6"/>
      <c r="G351" s="6"/>
      <c r="H351" s="6"/>
      <c r="I351" s="6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6"/>
      <c r="B352" s="6"/>
      <c r="C352" s="6"/>
      <c r="D352" s="7"/>
      <c r="E352" s="10"/>
      <c r="F352" s="6"/>
      <c r="G352" s="6"/>
      <c r="H352" s="6"/>
      <c r="I352" s="6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6"/>
      <c r="B353" s="6"/>
      <c r="C353" s="6"/>
      <c r="D353" s="7"/>
      <c r="E353" s="10"/>
      <c r="F353" s="6"/>
      <c r="G353" s="6"/>
      <c r="H353" s="6"/>
      <c r="I353" s="6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6"/>
      <c r="B354" s="6"/>
      <c r="C354" s="6"/>
      <c r="D354" s="7"/>
      <c r="E354" s="10"/>
      <c r="F354" s="6"/>
      <c r="G354" s="6"/>
      <c r="H354" s="6"/>
      <c r="I354" s="6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6"/>
      <c r="B355" s="6"/>
      <c r="C355" s="6"/>
      <c r="D355" s="7"/>
      <c r="E355" s="10"/>
      <c r="F355" s="6"/>
      <c r="G355" s="6"/>
      <c r="H355" s="6"/>
      <c r="I355" s="6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6"/>
      <c r="B356" s="6"/>
      <c r="C356" s="6"/>
      <c r="D356" s="7"/>
      <c r="E356" s="10"/>
      <c r="F356" s="6"/>
      <c r="G356" s="6"/>
      <c r="H356" s="6"/>
      <c r="I356" s="6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6"/>
      <c r="B357" s="6"/>
      <c r="C357" s="6"/>
      <c r="D357" s="7"/>
      <c r="E357" s="10"/>
      <c r="F357" s="6"/>
      <c r="G357" s="6"/>
      <c r="H357" s="6"/>
      <c r="I357" s="6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6"/>
      <c r="B358" s="6"/>
      <c r="C358" s="6"/>
      <c r="D358" s="7"/>
      <c r="E358" s="10"/>
      <c r="F358" s="6"/>
      <c r="G358" s="6"/>
      <c r="H358" s="6"/>
      <c r="I358" s="6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6"/>
      <c r="B359" s="6"/>
      <c r="C359" s="6"/>
      <c r="D359" s="7"/>
      <c r="E359" s="10"/>
      <c r="F359" s="6"/>
      <c r="G359" s="6"/>
      <c r="H359" s="6"/>
      <c r="I359" s="6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6"/>
      <c r="B360" s="6"/>
      <c r="C360" s="6"/>
      <c r="D360" s="7"/>
      <c r="E360" s="10"/>
      <c r="F360" s="6"/>
      <c r="G360" s="6"/>
      <c r="H360" s="6"/>
      <c r="I360" s="6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6"/>
      <c r="B361" s="6"/>
      <c r="C361" s="6"/>
      <c r="D361" s="7"/>
      <c r="E361" s="10"/>
      <c r="F361" s="6"/>
      <c r="G361" s="6"/>
      <c r="H361" s="6"/>
      <c r="I361" s="6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6"/>
      <c r="B362" s="6"/>
      <c r="C362" s="6"/>
      <c r="D362" s="7"/>
      <c r="E362" s="10"/>
      <c r="F362" s="6"/>
      <c r="G362" s="6"/>
      <c r="H362" s="6"/>
      <c r="I362" s="6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6"/>
      <c r="B363" s="6"/>
      <c r="C363" s="6"/>
      <c r="D363" s="7"/>
      <c r="E363" s="10"/>
      <c r="F363" s="6"/>
      <c r="G363" s="6"/>
      <c r="H363" s="6"/>
      <c r="I363" s="6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6"/>
      <c r="B364" s="6"/>
      <c r="C364" s="6"/>
      <c r="D364" s="7"/>
      <c r="E364" s="10"/>
      <c r="F364" s="6"/>
      <c r="G364" s="6"/>
      <c r="H364" s="6"/>
      <c r="I364" s="6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6"/>
      <c r="B365" s="6"/>
      <c r="C365" s="6"/>
      <c r="D365" s="7"/>
      <c r="E365" s="10"/>
      <c r="F365" s="6"/>
      <c r="G365" s="6"/>
      <c r="H365" s="6"/>
      <c r="I365" s="6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6"/>
      <c r="B366" s="6"/>
      <c r="C366" s="6"/>
      <c r="D366" s="7"/>
      <c r="E366" s="10"/>
      <c r="F366" s="6"/>
      <c r="G366" s="6"/>
      <c r="H366" s="6"/>
      <c r="I366" s="6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6"/>
      <c r="B367" s="6"/>
      <c r="C367" s="6"/>
      <c r="D367" s="7"/>
      <c r="E367" s="10"/>
      <c r="F367" s="6"/>
      <c r="G367" s="6"/>
      <c r="H367" s="6"/>
      <c r="I367" s="6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6"/>
      <c r="B368" s="6"/>
      <c r="C368" s="6"/>
      <c r="D368" s="7"/>
      <c r="E368" s="10"/>
      <c r="F368" s="6"/>
      <c r="G368" s="6"/>
      <c r="H368" s="6"/>
      <c r="I368" s="6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6"/>
      <c r="B369" s="6"/>
      <c r="C369" s="6"/>
      <c r="D369" s="7"/>
      <c r="E369" s="10"/>
      <c r="F369" s="6"/>
      <c r="G369" s="6"/>
      <c r="H369" s="6"/>
      <c r="I369" s="6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6"/>
      <c r="B370" s="6"/>
      <c r="C370" s="6"/>
      <c r="D370" s="7"/>
      <c r="E370" s="10"/>
      <c r="F370" s="6"/>
      <c r="G370" s="6"/>
      <c r="H370" s="6"/>
      <c r="I370" s="6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6"/>
      <c r="B371" s="6"/>
      <c r="C371" s="6"/>
      <c r="D371" s="7"/>
      <c r="E371" s="10"/>
      <c r="F371" s="6"/>
      <c r="G371" s="6"/>
      <c r="H371" s="6"/>
      <c r="I371" s="6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6"/>
      <c r="B372" s="6"/>
      <c r="C372" s="6"/>
      <c r="D372" s="7"/>
      <c r="E372" s="10"/>
      <c r="F372" s="6"/>
      <c r="G372" s="6"/>
      <c r="H372" s="6"/>
      <c r="I372" s="6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6"/>
      <c r="B373" s="6"/>
      <c r="C373" s="6"/>
      <c r="D373" s="7"/>
      <c r="E373" s="10"/>
      <c r="F373" s="6"/>
      <c r="G373" s="6"/>
      <c r="H373" s="6"/>
      <c r="I373" s="6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6"/>
      <c r="B374" s="6"/>
      <c r="C374" s="6"/>
      <c r="D374" s="7"/>
      <c r="E374" s="10"/>
      <c r="F374" s="6"/>
      <c r="G374" s="6"/>
      <c r="H374" s="6"/>
      <c r="I374" s="6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6"/>
      <c r="B375" s="6"/>
      <c r="C375" s="6"/>
      <c r="D375" s="7"/>
      <c r="E375" s="10"/>
      <c r="F375" s="6"/>
      <c r="G375" s="6"/>
      <c r="H375" s="6"/>
      <c r="I375" s="6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6"/>
      <c r="B376" s="6"/>
      <c r="C376" s="6"/>
      <c r="D376" s="7"/>
      <c r="E376" s="10"/>
      <c r="F376" s="6"/>
      <c r="G376" s="6"/>
      <c r="H376" s="6"/>
      <c r="I376" s="6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6"/>
      <c r="B377" s="6"/>
      <c r="C377" s="6"/>
      <c r="D377" s="7"/>
      <c r="E377" s="10"/>
      <c r="F377" s="6"/>
      <c r="G377" s="6"/>
      <c r="H377" s="6"/>
      <c r="I377" s="6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6"/>
      <c r="B378" s="6"/>
      <c r="C378" s="6"/>
      <c r="D378" s="7"/>
      <c r="E378" s="10"/>
      <c r="F378" s="6"/>
      <c r="G378" s="6"/>
      <c r="H378" s="6"/>
      <c r="I378" s="6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6"/>
      <c r="B379" s="6"/>
      <c r="C379" s="6"/>
      <c r="D379" s="7"/>
      <c r="E379" s="10"/>
      <c r="F379" s="6"/>
      <c r="G379" s="6"/>
      <c r="H379" s="6"/>
      <c r="I379" s="6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6"/>
      <c r="B380" s="6"/>
      <c r="C380" s="6"/>
      <c r="D380" s="7"/>
      <c r="E380" s="10"/>
      <c r="F380" s="6"/>
      <c r="G380" s="6"/>
      <c r="H380" s="6"/>
      <c r="I380" s="6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6"/>
      <c r="B381" s="6"/>
      <c r="C381" s="6"/>
      <c r="D381" s="7"/>
      <c r="E381" s="10"/>
      <c r="F381" s="6"/>
      <c r="G381" s="6"/>
      <c r="H381" s="6"/>
      <c r="I381" s="6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6"/>
      <c r="B382" s="6"/>
      <c r="C382" s="6"/>
      <c r="D382" s="7"/>
      <c r="E382" s="10"/>
      <c r="F382" s="6"/>
      <c r="G382" s="6"/>
      <c r="H382" s="6"/>
      <c r="I382" s="6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6"/>
      <c r="B383" s="6"/>
      <c r="C383" s="6"/>
      <c r="D383" s="7"/>
      <c r="E383" s="10"/>
      <c r="F383" s="6"/>
      <c r="G383" s="6"/>
      <c r="H383" s="6"/>
      <c r="I383" s="6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6"/>
      <c r="B384" s="6"/>
      <c r="C384" s="6"/>
      <c r="D384" s="7"/>
      <c r="E384" s="10"/>
      <c r="F384" s="6"/>
      <c r="G384" s="6"/>
      <c r="H384" s="6"/>
      <c r="I384" s="6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6"/>
      <c r="B385" s="6"/>
      <c r="C385" s="6"/>
      <c r="D385" s="7"/>
      <c r="E385" s="10"/>
      <c r="F385" s="6"/>
      <c r="G385" s="6"/>
      <c r="H385" s="6"/>
      <c r="I385" s="6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6"/>
      <c r="B386" s="6"/>
      <c r="C386" s="6"/>
      <c r="D386" s="7"/>
      <c r="E386" s="10"/>
      <c r="F386" s="6"/>
      <c r="G386" s="6"/>
      <c r="H386" s="6"/>
      <c r="I386" s="6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6"/>
      <c r="B387" s="6"/>
      <c r="C387" s="6"/>
      <c r="D387" s="7"/>
      <c r="E387" s="10"/>
      <c r="F387" s="6"/>
      <c r="G387" s="6"/>
      <c r="H387" s="6"/>
      <c r="I387" s="6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6"/>
      <c r="B388" s="6"/>
      <c r="C388" s="6"/>
      <c r="D388" s="7"/>
      <c r="E388" s="10"/>
      <c r="F388" s="6"/>
      <c r="G388" s="6"/>
      <c r="H388" s="6"/>
      <c r="I388" s="6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6"/>
      <c r="B389" s="6"/>
      <c r="C389" s="6"/>
      <c r="D389" s="7"/>
      <c r="E389" s="10"/>
      <c r="F389" s="6"/>
      <c r="G389" s="6"/>
      <c r="H389" s="6"/>
      <c r="I389" s="6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6"/>
      <c r="B390" s="6"/>
      <c r="C390" s="6"/>
      <c r="D390" s="7"/>
      <c r="E390" s="10"/>
      <c r="F390" s="6"/>
      <c r="G390" s="6"/>
      <c r="H390" s="6"/>
      <c r="I390" s="6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6"/>
      <c r="B391" s="6"/>
      <c r="C391" s="6"/>
      <c r="D391" s="7"/>
      <c r="E391" s="10"/>
      <c r="F391" s="6"/>
      <c r="G391" s="6"/>
      <c r="H391" s="6"/>
      <c r="I391" s="6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6"/>
      <c r="B392" s="6"/>
      <c r="C392" s="6"/>
      <c r="D392" s="7"/>
      <c r="E392" s="10"/>
      <c r="F392" s="6"/>
      <c r="G392" s="6"/>
      <c r="H392" s="6"/>
      <c r="I392" s="6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6"/>
      <c r="B393" s="6"/>
      <c r="C393" s="6"/>
      <c r="D393" s="7"/>
      <c r="E393" s="10"/>
      <c r="F393" s="6"/>
      <c r="G393" s="6"/>
      <c r="H393" s="6"/>
      <c r="I393" s="6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6"/>
      <c r="B394" s="6"/>
      <c r="C394" s="6"/>
      <c r="D394" s="7"/>
      <c r="E394" s="10"/>
      <c r="F394" s="6"/>
      <c r="G394" s="6"/>
      <c r="H394" s="6"/>
      <c r="I394" s="6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6"/>
      <c r="B395" s="6"/>
      <c r="C395" s="6"/>
      <c r="D395" s="7"/>
      <c r="E395" s="10"/>
      <c r="F395" s="6"/>
      <c r="G395" s="6"/>
      <c r="H395" s="6"/>
      <c r="I395" s="6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6"/>
      <c r="B396" s="6"/>
      <c r="C396" s="6"/>
      <c r="D396" s="7"/>
      <c r="E396" s="10"/>
      <c r="F396" s="6"/>
      <c r="G396" s="6"/>
      <c r="H396" s="6"/>
      <c r="I396" s="6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6"/>
      <c r="B397" s="6"/>
      <c r="C397" s="6"/>
      <c r="D397" s="7"/>
      <c r="E397" s="10"/>
      <c r="F397" s="6"/>
      <c r="G397" s="6"/>
      <c r="H397" s="6"/>
      <c r="I397" s="6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6"/>
      <c r="B398" s="6"/>
      <c r="C398" s="6"/>
      <c r="D398" s="7"/>
      <c r="E398" s="10"/>
      <c r="F398" s="6"/>
      <c r="G398" s="6"/>
      <c r="H398" s="6"/>
      <c r="I398" s="6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6"/>
      <c r="B399" s="6"/>
      <c r="C399" s="6"/>
      <c r="D399" s="7"/>
      <c r="E399" s="10"/>
      <c r="F399" s="6"/>
      <c r="G399" s="6"/>
      <c r="H399" s="6"/>
      <c r="I399" s="6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6"/>
      <c r="B400" s="6"/>
      <c r="C400" s="6"/>
      <c r="D400" s="7"/>
      <c r="E400" s="10"/>
      <c r="F400" s="6"/>
      <c r="G400" s="6"/>
      <c r="H400" s="6"/>
      <c r="I400" s="6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6"/>
      <c r="B401" s="6"/>
      <c r="C401" s="6"/>
      <c r="D401" s="7"/>
      <c r="E401" s="10"/>
      <c r="F401" s="6"/>
      <c r="G401" s="6"/>
      <c r="H401" s="6"/>
      <c r="I401" s="6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6"/>
      <c r="B402" s="6"/>
      <c r="C402" s="6"/>
      <c r="D402" s="7"/>
      <c r="E402" s="10"/>
      <c r="F402" s="6"/>
      <c r="G402" s="6"/>
      <c r="H402" s="6"/>
      <c r="I402" s="6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6"/>
      <c r="B403" s="6"/>
      <c r="C403" s="6"/>
      <c r="D403" s="7"/>
      <c r="E403" s="10"/>
      <c r="F403" s="6"/>
      <c r="G403" s="6"/>
      <c r="H403" s="6"/>
      <c r="I403" s="6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6"/>
      <c r="B404" s="6"/>
      <c r="C404" s="6"/>
      <c r="D404" s="7"/>
      <c r="E404" s="10"/>
      <c r="F404" s="6"/>
      <c r="G404" s="6"/>
      <c r="H404" s="6"/>
      <c r="I404" s="6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6"/>
      <c r="B405" s="6"/>
      <c r="C405" s="6"/>
      <c r="D405" s="7"/>
      <c r="E405" s="10"/>
      <c r="F405" s="6"/>
      <c r="G405" s="6"/>
      <c r="H405" s="6"/>
      <c r="I405" s="6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6"/>
      <c r="B406" s="6"/>
      <c r="C406" s="6"/>
      <c r="D406" s="7"/>
      <c r="E406" s="10"/>
      <c r="F406" s="6"/>
      <c r="G406" s="6"/>
      <c r="H406" s="6"/>
      <c r="I406" s="6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6"/>
      <c r="B407" s="6"/>
      <c r="C407" s="6"/>
      <c r="D407" s="7"/>
      <c r="E407" s="10"/>
      <c r="F407" s="6"/>
      <c r="G407" s="6"/>
      <c r="H407" s="6"/>
      <c r="I407" s="6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6"/>
      <c r="B408" s="6"/>
      <c r="C408" s="6"/>
      <c r="D408" s="7"/>
      <c r="E408" s="10"/>
      <c r="F408" s="6"/>
      <c r="G408" s="6"/>
      <c r="H408" s="6"/>
      <c r="I408" s="6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6"/>
      <c r="B409" s="6"/>
      <c r="C409" s="6"/>
      <c r="D409" s="7"/>
      <c r="E409" s="10"/>
      <c r="F409" s="6"/>
      <c r="G409" s="6"/>
      <c r="H409" s="6"/>
      <c r="I409" s="6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6"/>
      <c r="B410" s="6"/>
      <c r="C410" s="6"/>
      <c r="D410" s="7"/>
      <c r="E410" s="10"/>
      <c r="F410" s="6"/>
      <c r="G410" s="6"/>
      <c r="H410" s="6"/>
      <c r="I410" s="6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6"/>
      <c r="B411" s="6"/>
      <c r="C411" s="6"/>
      <c r="D411" s="7"/>
      <c r="E411" s="10"/>
      <c r="F411" s="6"/>
      <c r="G411" s="6"/>
      <c r="H411" s="6"/>
      <c r="I411" s="6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6"/>
      <c r="B412" s="6"/>
      <c r="C412" s="6"/>
      <c r="D412" s="7"/>
      <c r="E412" s="10"/>
      <c r="F412" s="6"/>
      <c r="G412" s="6"/>
      <c r="H412" s="6"/>
      <c r="I412" s="6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6"/>
      <c r="B413" s="6"/>
      <c r="C413" s="6"/>
      <c r="D413" s="7"/>
      <c r="E413" s="10"/>
      <c r="F413" s="6"/>
      <c r="G413" s="6"/>
      <c r="H413" s="6"/>
      <c r="I413" s="6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6"/>
      <c r="B414" s="6"/>
      <c r="C414" s="6"/>
      <c r="D414" s="7"/>
      <c r="E414" s="10"/>
      <c r="F414" s="6"/>
      <c r="G414" s="6"/>
      <c r="H414" s="6"/>
      <c r="I414" s="6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6"/>
      <c r="B415" s="6"/>
      <c r="C415" s="6"/>
      <c r="D415" s="7"/>
      <c r="E415" s="10"/>
      <c r="F415" s="6"/>
      <c r="G415" s="6"/>
      <c r="H415" s="6"/>
      <c r="I415" s="6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6"/>
      <c r="B416" s="6"/>
      <c r="C416" s="6"/>
      <c r="D416" s="7"/>
      <c r="E416" s="10"/>
      <c r="F416" s="6"/>
      <c r="G416" s="6"/>
      <c r="H416" s="6"/>
      <c r="I416" s="6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6"/>
      <c r="B417" s="6"/>
      <c r="C417" s="6"/>
      <c r="D417" s="7"/>
      <c r="E417" s="10"/>
      <c r="F417" s="6"/>
      <c r="G417" s="6"/>
      <c r="H417" s="6"/>
      <c r="I417" s="6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6"/>
      <c r="B418" s="6"/>
      <c r="C418" s="6"/>
      <c r="D418" s="7"/>
      <c r="E418" s="10"/>
      <c r="F418" s="6"/>
      <c r="G418" s="6"/>
      <c r="H418" s="6"/>
      <c r="I418" s="6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6"/>
      <c r="B419" s="6"/>
      <c r="C419" s="6"/>
      <c r="D419" s="7"/>
      <c r="E419" s="10"/>
      <c r="F419" s="6"/>
      <c r="G419" s="6"/>
      <c r="H419" s="6"/>
      <c r="I419" s="6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6"/>
      <c r="B420" s="6"/>
      <c r="C420" s="6"/>
      <c r="D420" s="7"/>
      <c r="E420" s="10"/>
      <c r="F420" s="6"/>
      <c r="G420" s="6"/>
      <c r="H420" s="6"/>
      <c r="I420" s="6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6"/>
      <c r="B421" s="6"/>
      <c r="C421" s="6"/>
      <c r="D421" s="7"/>
      <c r="E421" s="10"/>
      <c r="F421" s="6"/>
      <c r="G421" s="6"/>
      <c r="H421" s="6"/>
      <c r="I421" s="6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6"/>
      <c r="B422" s="6"/>
      <c r="C422" s="6"/>
      <c r="D422" s="7"/>
      <c r="E422" s="10"/>
      <c r="F422" s="6"/>
      <c r="G422" s="6"/>
      <c r="H422" s="6"/>
      <c r="I422" s="6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6"/>
      <c r="B423" s="6"/>
      <c r="C423" s="6"/>
      <c r="D423" s="7"/>
      <c r="E423" s="10"/>
      <c r="F423" s="6"/>
      <c r="G423" s="6"/>
      <c r="H423" s="6"/>
      <c r="I423" s="6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6"/>
      <c r="B424" s="6"/>
      <c r="C424" s="6"/>
      <c r="D424" s="7"/>
      <c r="E424" s="10"/>
      <c r="F424" s="6"/>
      <c r="G424" s="6"/>
      <c r="H424" s="6"/>
      <c r="I424" s="6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6"/>
      <c r="B425" s="6"/>
      <c r="C425" s="6"/>
      <c r="D425" s="7"/>
      <c r="E425" s="10"/>
      <c r="F425" s="6"/>
      <c r="G425" s="6"/>
      <c r="H425" s="6"/>
      <c r="I425" s="6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6"/>
      <c r="B426" s="6"/>
      <c r="C426" s="6"/>
      <c r="D426" s="7"/>
      <c r="E426" s="10"/>
      <c r="F426" s="6"/>
      <c r="G426" s="6"/>
      <c r="H426" s="6"/>
      <c r="I426" s="6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6"/>
      <c r="B427" s="6"/>
      <c r="C427" s="6"/>
      <c r="D427" s="7"/>
      <c r="E427" s="10"/>
      <c r="F427" s="6"/>
      <c r="G427" s="6"/>
      <c r="H427" s="6"/>
      <c r="I427" s="6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6"/>
      <c r="B428" s="6"/>
      <c r="C428" s="6"/>
      <c r="D428" s="7"/>
      <c r="E428" s="10"/>
      <c r="F428" s="6"/>
      <c r="G428" s="6"/>
      <c r="H428" s="6"/>
      <c r="I428" s="6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6"/>
      <c r="B429" s="6"/>
      <c r="C429" s="6"/>
      <c r="D429" s="7"/>
      <c r="E429" s="10"/>
      <c r="F429" s="6"/>
      <c r="G429" s="6"/>
      <c r="H429" s="6"/>
      <c r="I429" s="6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6"/>
      <c r="B430" s="6"/>
      <c r="C430" s="6"/>
      <c r="D430" s="7"/>
      <c r="E430" s="10"/>
      <c r="F430" s="6"/>
      <c r="G430" s="6"/>
      <c r="H430" s="6"/>
      <c r="I430" s="6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6"/>
      <c r="B431" s="6"/>
      <c r="C431" s="6"/>
      <c r="D431" s="7"/>
      <c r="E431" s="10"/>
      <c r="F431" s="6"/>
      <c r="G431" s="6"/>
      <c r="H431" s="6"/>
      <c r="I431" s="6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6"/>
      <c r="B432" s="6"/>
      <c r="C432" s="6"/>
      <c r="D432" s="7"/>
      <c r="E432" s="10"/>
      <c r="F432" s="6"/>
      <c r="G432" s="6"/>
      <c r="H432" s="6"/>
      <c r="I432" s="6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6"/>
      <c r="B433" s="6"/>
      <c r="C433" s="6"/>
      <c r="D433" s="7"/>
      <c r="E433" s="10"/>
      <c r="F433" s="6"/>
      <c r="G433" s="6"/>
      <c r="H433" s="6"/>
      <c r="I433" s="6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6"/>
      <c r="B434" s="6"/>
      <c r="C434" s="6"/>
      <c r="D434" s="7"/>
      <c r="E434" s="10"/>
      <c r="F434" s="6"/>
      <c r="G434" s="6"/>
      <c r="H434" s="6"/>
      <c r="I434" s="6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6"/>
      <c r="B435" s="6"/>
      <c r="C435" s="6"/>
      <c r="D435" s="7"/>
      <c r="E435" s="10"/>
      <c r="F435" s="6"/>
      <c r="G435" s="6"/>
      <c r="H435" s="6"/>
      <c r="I435" s="6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6"/>
      <c r="B436" s="6"/>
      <c r="C436" s="6"/>
      <c r="D436" s="7"/>
      <c r="E436" s="10"/>
      <c r="F436" s="6"/>
      <c r="G436" s="6"/>
      <c r="H436" s="6"/>
      <c r="I436" s="6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6"/>
      <c r="B437" s="6"/>
      <c r="C437" s="6"/>
      <c r="D437" s="7"/>
      <c r="E437" s="10"/>
      <c r="F437" s="6"/>
      <c r="G437" s="6"/>
      <c r="H437" s="6"/>
      <c r="I437" s="6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6"/>
      <c r="B438" s="6"/>
      <c r="C438" s="6"/>
      <c r="D438" s="7"/>
      <c r="E438" s="10"/>
      <c r="F438" s="6"/>
      <c r="G438" s="6"/>
      <c r="H438" s="6"/>
      <c r="I438" s="6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6"/>
      <c r="B439" s="6"/>
      <c r="C439" s="6"/>
      <c r="D439" s="7"/>
      <c r="E439" s="10"/>
      <c r="F439" s="6"/>
      <c r="G439" s="6"/>
      <c r="H439" s="6"/>
      <c r="I439" s="6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6"/>
      <c r="B440" s="6"/>
      <c r="C440" s="6"/>
      <c r="D440" s="7"/>
      <c r="E440" s="10"/>
      <c r="F440" s="6"/>
      <c r="G440" s="6"/>
      <c r="H440" s="6"/>
      <c r="I440" s="6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6"/>
      <c r="B441" s="6"/>
      <c r="C441" s="6"/>
      <c r="D441" s="7"/>
      <c r="E441" s="10"/>
      <c r="F441" s="6"/>
      <c r="G441" s="6"/>
      <c r="H441" s="6"/>
      <c r="I441" s="6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6"/>
      <c r="B442" s="6"/>
      <c r="C442" s="6"/>
      <c r="D442" s="7"/>
      <c r="E442" s="10"/>
      <c r="F442" s="6"/>
      <c r="G442" s="6"/>
      <c r="H442" s="6"/>
      <c r="I442" s="6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6"/>
      <c r="B443" s="6"/>
      <c r="C443" s="6"/>
      <c r="D443" s="7"/>
      <c r="E443" s="10"/>
      <c r="F443" s="6"/>
      <c r="G443" s="6"/>
      <c r="H443" s="6"/>
      <c r="I443" s="6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6"/>
      <c r="B444" s="6"/>
      <c r="C444" s="6"/>
      <c r="D444" s="7"/>
      <c r="E444" s="10"/>
      <c r="F444" s="6"/>
      <c r="G444" s="6"/>
      <c r="H444" s="6"/>
      <c r="I444" s="6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6"/>
      <c r="B445" s="6"/>
      <c r="C445" s="6"/>
      <c r="D445" s="7"/>
      <c r="E445" s="10"/>
      <c r="F445" s="6"/>
      <c r="G445" s="6"/>
      <c r="H445" s="6"/>
      <c r="I445" s="6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6"/>
      <c r="B446" s="6"/>
      <c r="C446" s="6"/>
      <c r="D446" s="7"/>
      <c r="E446" s="10"/>
      <c r="F446" s="6"/>
      <c r="G446" s="6"/>
      <c r="H446" s="6"/>
      <c r="I446" s="6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6"/>
      <c r="B447" s="6"/>
      <c r="C447" s="6"/>
      <c r="D447" s="7"/>
      <c r="E447" s="10"/>
      <c r="F447" s="6"/>
      <c r="G447" s="6"/>
      <c r="H447" s="6"/>
      <c r="I447" s="6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ht="15.75" customHeight="1">
      <c r="A448" s="6"/>
      <c r="B448" s="6"/>
      <c r="C448" s="6"/>
      <c r="D448" s="7"/>
      <c r="E448" s="10"/>
      <c r="F448" s="6"/>
      <c r="G448" s="6"/>
      <c r="H448" s="6"/>
      <c r="I448" s="6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ht="15.75" customHeight="1">
      <c r="A449" s="6"/>
      <c r="B449" s="6"/>
      <c r="C449" s="6"/>
      <c r="D449" s="7"/>
      <c r="E449" s="10"/>
      <c r="F449" s="6"/>
      <c r="G449" s="6"/>
      <c r="H449" s="6"/>
      <c r="I449" s="6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ht="15.75" customHeight="1">
      <c r="A450" s="6"/>
      <c r="B450" s="6"/>
      <c r="C450" s="6"/>
      <c r="D450" s="7"/>
      <c r="E450" s="10"/>
      <c r="F450" s="6"/>
      <c r="G450" s="6"/>
      <c r="H450" s="6"/>
      <c r="I450" s="6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ht="15.75" customHeight="1">
      <c r="A451" s="6"/>
      <c r="B451" s="6"/>
      <c r="C451" s="6"/>
      <c r="D451" s="7"/>
      <c r="E451" s="10"/>
      <c r="F451" s="6"/>
      <c r="G451" s="6"/>
      <c r="H451" s="6"/>
      <c r="I451" s="6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ht="15.75" customHeight="1">
      <c r="A452" s="6"/>
      <c r="B452" s="6"/>
      <c r="C452" s="6"/>
      <c r="D452" s="7"/>
      <c r="E452" s="10"/>
      <c r="F452" s="6"/>
      <c r="G452" s="6"/>
      <c r="H452" s="6"/>
      <c r="I452" s="6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ht="15.75" customHeight="1">
      <c r="A453" s="6"/>
      <c r="B453" s="6"/>
      <c r="C453" s="6"/>
      <c r="D453" s="7"/>
      <c r="E453" s="10"/>
      <c r="F453" s="6"/>
      <c r="G453" s="6"/>
      <c r="H453" s="6"/>
      <c r="I453" s="6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ht="15.75" customHeight="1">
      <c r="A454" s="6"/>
      <c r="B454" s="6"/>
      <c r="C454" s="6"/>
      <c r="D454" s="7"/>
      <c r="E454" s="10"/>
      <c r="F454" s="6"/>
      <c r="G454" s="6"/>
      <c r="H454" s="6"/>
      <c r="I454" s="6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ht="15.75" customHeight="1">
      <c r="A455" s="6"/>
      <c r="B455" s="6"/>
      <c r="C455" s="6"/>
      <c r="D455" s="7"/>
      <c r="E455" s="10"/>
      <c r="F455" s="6"/>
      <c r="G455" s="6"/>
      <c r="H455" s="6"/>
      <c r="I455" s="6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ht="15.75" customHeight="1">
      <c r="A456" s="6"/>
      <c r="B456" s="6"/>
      <c r="C456" s="6"/>
      <c r="D456" s="7"/>
      <c r="E456" s="10"/>
      <c r="F456" s="6"/>
      <c r="G456" s="6"/>
      <c r="H456" s="6"/>
      <c r="I456" s="6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ht="15.75" customHeight="1">
      <c r="A457" s="6"/>
      <c r="B457" s="6"/>
      <c r="C457" s="6"/>
      <c r="D457" s="7"/>
      <c r="E457" s="10"/>
      <c r="F457" s="6"/>
      <c r="G457" s="6"/>
      <c r="H457" s="6"/>
      <c r="I457" s="6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ht="15.75" customHeight="1">
      <c r="A458" s="6"/>
      <c r="B458" s="6"/>
      <c r="C458" s="6"/>
      <c r="D458" s="7"/>
      <c r="E458" s="10"/>
      <c r="F458" s="6"/>
      <c r="G458" s="6"/>
      <c r="H458" s="6"/>
      <c r="I458" s="6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ht="15.75" customHeight="1">
      <c r="A459" s="6"/>
      <c r="B459" s="6"/>
      <c r="C459" s="6"/>
      <c r="D459" s="7"/>
      <c r="E459" s="10"/>
      <c r="F459" s="6"/>
      <c r="G459" s="6"/>
      <c r="H459" s="6"/>
      <c r="I459" s="6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ht="15.75" customHeight="1">
      <c r="A460" s="6"/>
      <c r="B460" s="6"/>
      <c r="C460" s="6"/>
      <c r="D460" s="7"/>
      <c r="E460" s="10"/>
      <c r="F460" s="6"/>
      <c r="G460" s="6"/>
      <c r="H460" s="6"/>
      <c r="I460" s="6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ht="15.75" customHeight="1">
      <c r="A461" s="6"/>
      <c r="B461" s="6"/>
      <c r="C461" s="6"/>
      <c r="D461" s="7"/>
      <c r="E461" s="10"/>
      <c r="F461" s="6"/>
      <c r="G461" s="6"/>
      <c r="H461" s="6"/>
      <c r="I461" s="6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ht="15.75" customHeight="1">
      <c r="A462" s="6"/>
      <c r="B462" s="6"/>
      <c r="C462" s="6"/>
      <c r="D462" s="7"/>
      <c r="E462" s="10"/>
      <c r="F462" s="6"/>
      <c r="G462" s="6"/>
      <c r="H462" s="6"/>
      <c r="I462" s="6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ht="15.75" customHeight="1">
      <c r="A463" s="6"/>
      <c r="B463" s="6"/>
      <c r="C463" s="6"/>
      <c r="D463" s="7"/>
      <c r="E463" s="10"/>
      <c r="F463" s="6"/>
      <c r="G463" s="6"/>
      <c r="H463" s="6"/>
      <c r="I463" s="6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ht="15.75" customHeight="1">
      <c r="A464" s="6"/>
      <c r="B464" s="6"/>
      <c r="C464" s="6"/>
      <c r="D464" s="7"/>
      <c r="E464" s="10"/>
      <c r="F464" s="6"/>
      <c r="G464" s="6"/>
      <c r="H464" s="6"/>
      <c r="I464" s="6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ht="15.75" customHeight="1">
      <c r="A465" s="6"/>
      <c r="B465" s="6"/>
      <c r="C465" s="6"/>
      <c r="D465" s="7"/>
      <c r="E465" s="10"/>
      <c r="F465" s="6"/>
      <c r="G465" s="6"/>
      <c r="H465" s="6"/>
      <c r="I465" s="6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ht="15.75" customHeight="1">
      <c r="A466" s="6"/>
      <c r="B466" s="6"/>
      <c r="C466" s="6"/>
      <c r="D466" s="7"/>
      <c r="E466" s="10"/>
      <c r="F466" s="6"/>
      <c r="G466" s="6"/>
      <c r="H466" s="6"/>
      <c r="I466" s="6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ht="15.75" customHeight="1">
      <c r="A467" s="6"/>
      <c r="B467" s="6"/>
      <c r="C467" s="6"/>
      <c r="D467" s="7"/>
      <c r="E467" s="10"/>
      <c r="F467" s="6"/>
      <c r="G467" s="6"/>
      <c r="H467" s="6"/>
      <c r="I467" s="6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ht="15.75" customHeight="1">
      <c r="A468" s="6"/>
      <c r="B468" s="6"/>
      <c r="C468" s="6"/>
      <c r="D468" s="7"/>
      <c r="E468" s="10"/>
      <c r="F468" s="6"/>
      <c r="G468" s="6"/>
      <c r="H468" s="6"/>
      <c r="I468" s="6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ht="15.75" customHeight="1">
      <c r="A469" s="6"/>
      <c r="B469" s="6"/>
      <c r="C469" s="6"/>
      <c r="D469" s="7"/>
      <c r="E469" s="10"/>
      <c r="F469" s="6"/>
      <c r="G469" s="6"/>
      <c r="H469" s="6"/>
      <c r="I469" s="6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ht="15.75" customHeight="1">
      <c r="A470" s="6"/>
      <c r="B470" s="6"/>
      <c r="C470" s="6"/>
      <c r="D470" s="7"/>
      <c r="E470" s="10"/>
      <c r="F470" s="6"/>
      <c r="G470" s="6"/>
      <c r="H470" s="6"/>
      <c r="I470" s="6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ht="15.75" customHeight="1">
      <c r="A471" s="6"/>
      <c r="B471" s="6"/>
      <c r="C471" s="6"/>
      <c r="D471" s="7"/>
      <c r="E471" s="10"/>
      <c r="F471" s="6"/>
      <c r="G471" s="6"/>
      <c r="H471" s="6"/>
      <c r="I471" s="6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ht="15.75" customHeight="1">
      <c r="A472" s="6"/>
      <c r="B472" s="6"/>
      <c r="C472" s="6"/>
      <c r="D472" s="7"/>
      <c r="E472" s="10"/>
      <c r="F472" s="6"/>
      <c r="G472" s="6"/>
      <c r="H472" s="6"/>
      <c r="I472" s="6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ht="15.75" customHeight="1">
      <c r="A473" s="6"/>
      <c r="B473" s="6"/>
      <c r="C473" s="6"/>
      <c r="D473" s="7"/>
      <c r="E473" s="10"/>
      <c r="F473" s="6"/>
      <c r="G473" s="6"/>
      <c r="H473" s="6"/>
      <c r="I473" s="6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ht="15.75" customHeight="1">
      <c r="A474" s="6"/>
      <c r="B474" s="6"/>
      <c r="C474" s="6"/>
      <c r="D474" s="7"/>
      <c r="E474" s="10"/>
      <c r="F474" s="6"/>
      <c r="G474" s="6"/>
      <c r="H474" s="6"/>
      <c r="I474" s="6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ht="15.75" customHeight="1">
      <c r="A475" s="6"/>
      <c r="B475" s="6"/>
      <c r="C475" s="6"/>
      <c r="D475" s="7"/>
      <c r="E475" s="10"/>
      <c r="F475" s="6"/>
      <c r="G475" s="6"/>
      <c r="H475" s="6"/>
      <c r="I475" s="6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ht="15.75" customHeight="1">
      <c r="A476" s="6"/>
      <c r="B476" s="6"/>
      <c r="C476" s="6"/>
      <c r="D476" s="7"/>
      <c r="E476" s="10"/>
      <c r="F476" s="6"/>
      <c r="G476" s="6"/>
      <c r="H476" s="6"/>
      <c r="I476" s="6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ht="15.75" customHeight="1">
      <c r="A477" s="6"/>
      <c r="B477" s="6"/>
      <c r="C477" s="6"/>
      <c r="D477" s="7"/>
      <c r="E477" s="10"/>
      <c r="F477" s="6"/>
      <c r="G477" s="6"/>
      <c r="H477" s="6"/>
      <c r="I477" s="6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ht="15.75" customHeight="1">
      <c r="A478" s="6"/>
      <c r="B478" s="6"/>
      <c r="C478" s="6"/>
      <c r="D478" s="7"/>
      <c r="E478" s="10"/>
      <c r="F478" s="6"/>
      <c r="G478" s="6"/>
      <c r="H478" s="6"/>
      <c r="I478" s="6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ht="15.75" customHeight="1">
      <c r="A479" s="6"/>
      <c r="B479" s="6"/>
      <c r="C479" s="6"/>
      <c r="D479" s="7"/>
      <c r="E479" s="10"/>
      <c r="F479" s="6"/>
      <c r="G479" s="6"/>
      <c r="H479" s="6"/>
      <c r="I479" s="6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ht="15.75" customHeight="1">
      <c r="A480" s="6"/>
      <c r="B480" s="6"/>
      <c r="C480" s="6"/>
      <c r="D480" s="7"/>
      <c r="E480" s="10"/>
      <c r="F480" s="6"/>
      <c r="G480" s="6"/>
      <c r="H480" s="6"/>
      <c r="I480" s="6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ht="15.75" customHeight="1">
      <c r="A481" s="6"/>
      <c r="B481" s="6"/>
      <c r="C481" s="6"/>
      <c r="D481" s="7"/>
      <c r="E481" s="10"/>
      <c r="F481" s="6"/>
      <c r="G481" s="6"/>
      <c r="H481" s="6"/>
      <c r="I481" s="6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ht="15.75" customHeight="1">
      <c r="A482" s="6"/>
      <c r="B482" s="6"/>
      <c r="C482" s="6"/>
      <c r="D482" s="7"/>
      <c r="E482" s="10"/>
      <c r="F482" s="6"/>
      <c r="G482" s="6"/>
      <c r="H482" s="6"/>
      <c r="I482" s="6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ht="15.75" customHeight="1">
      <c r="A483" s="6"/>
      <c r="B483" s="6"/>
      <c r="C483" s="6"/>
      <c r="D483" s="7"/>
      <c r="E483" s="10"/>
      <c r="F483" s="6"/>
      <c r="G483" s="6"/>
      <c r="H483" s="6"/>
      <c r="I483" s="6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ht="15.75" customHeight="1">
      <c r="A484" s="6"/>
      <c r="B484" s="6"/>
      <c r="C484" s="6"/>
      <c r="D484" s="7"/>
      <c r="E484" s="10"/>
      <c r="F484" s="6"/>
      <c r="G484" s="6"/>
      <c r="H484" s="6"/>
      <c r="I484" s="6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ht="15.75" customHeight="1">
      <c r="A485" s="6"/>
      <c r="B485" s="6"/>
      <c r="C485" s="6"/>
      <c r="D485" s="7"/>
      <c r="E485" s="10"/>
      <c r="F485" s="6"/>
      <c r="G485" s="6"/>
      <c r="H485" s="6"/>
      <c r="I485" s="6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ht="15.75" customHeight="1">
      <c r="A486" s="6"/>
      <c r="B486" s="6"/>
      <c r="C486" s="6"/>
      <c r="D486" s="7"/>
      <c r="E486" s="10"/>
      <c r="F486" s="6"/>
      <c r="G486" s="6"/>
      <c r="H486" s="6"/>
      <c r="I486" s="6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ht="15.75" customHeight="1">
      <c r="A487" s="6"/>
      <c r="B487" s="6"/>
      <c r="C487" s="6"/>
      <c r="D487" s="7"/>
      <c r="E487" s="10"/>
      <c r="F487" s="6"/>
      <c r="G487" s="6"/>
      <c r="H487" s="6"/>
      <c r="I487" s="6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ht="15.75" customHeight="1">
      <c r="A488" s="6"/>
      <c r="B488" s="6"/>
      <c r="C488" s="6"/>
      <c r="D488" s="7"/>
      <c r="E488" s="10"/>
      <c r="F488" s="6"/>
      <c r="G488" s="6"/>
      <c r="H488" s="6"/>
      <c r="I488" s="6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ht="15.75" customHeight="1">
      <c r="A489" s="6"/>
      <c r="B489" s="6"/>
      <c r="C489" s="6"/>
      <c r="D489" s="7"/>
      <c r="E489" s="10"/>
      <c r="F489" s="6"/>
      <c r="G489" s="6"/>
      <c r="H489" s="6"/>
      <c r="I489" s="6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ht="15.75" customHeight="1">
      <c r="A490" s="6"/>
      <c r="B490" s="6"/>
      <c r="C490" s="6"/>
      <c r="D490" s="7"/>
      <c r="E490" s="10"/>
      <c r="F490" s="6"/>
      <c r="G490" s="6"/>
      <c r="H490" s="6"/>
      <c r="I490" s="6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ht="15.75" customHeight="1">
      <c r="A491" s="6"/>
      <c r="B491" s="6"/>
      <c r="C491" s="6"/>
      <c r="D491" s="7"/>
      <c r="E491" s="10"/>
      <c r="F491" s="6"/>
      <c r="G491" s="6"/>
      <c r="H491" s="6"/>
      <c r="I491" s="6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ht="15.75" customHeight="1">
      <c r="A492" s="6"/>
      <c r="B492" s="6"/>
      <c r="C492" s="6"/>
      <c r="D492" s="7"/>
      <c r="E492" s="10"/>
      <c r="F492" s="6"/>
      <c r="G492" s="6"/>
      <c r="H492" s="6"/>
      <c r="I492" s="6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ht="15.75" customHeight="1">
      <c r="A493" s="6"/>
      <c r="B493" s="6"/>
      <c r="C493" s="6"/>
      <c r="D493" s="7"/>
      <c r="E493" s="10"/>
      <c r="F493" s="6"/>
      <c r="G493" s="6"/>
      <c r="H493" s="6"/>
      <c r="I493" s="6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ht="15.75" customHeight="1">
      <c r="A494" s="6"/>
      <c r="B494" s="6"/>
      <c r="C494" s="6"/>
      <c r="D494" s="7"/>
      <c r="E494" s="10"/>
      <c r="F494" s="6"/>
      <c r="G494" s="6"/>
      <c r="H494" s="6"/>
      <c r="I494" s="6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ht="15.75" customHeight="1">
      <c r="A495" s="6"/>
      <c r="B495" s="6"/>
      <c r="C495" s="6"/>
      <c r="D495" s="7"/>
      <c r="E495" s="10"/>
      <c r="F495" s="6"/>
      <c r="G495" s="6"/>
      <c r="H495" s="6"/>
      <c r="I495" s="6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ht="15.75" customHeight="1">
      <c r="A496" s="6"/>
      <c r="B496" s="6"/>
      <c r="C496" s="6"/>
      <c r="D496" s="7"/>
      <c r="E496" s="10"/>
      <c r="F496" s="6"/>
      <c r="G496" s="6"/>
      <c r="H496" s="6"/>
      <c r="I496" s="6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ht="15.75" customHeight="1">
      <c r="A497" s="6"/>
      <c r="B497" s="6"/>
      <c r="C497" s="6"/>
      <c r="D497" s="7"/>
      <c r="E497" s="10"/>
      <c r="F497" s="6"/>
      <c r="G497" s="6"/>
      <c r="H497" s="6"/>
      <c r="I497" s="6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ht="15.75" customHeight="1">
      <c r="A498" s="6"/>
      <c r="B498" s="6"/>
      <c r="C498" s="6"/>
      <c r="D498" s="7"/>
      <c r="E498" s="10"/>
      <c r="F498" s="6"/>
      <c r="G498" s="6"/>
      <c r="H498" s="6"/>
      <c r="I498" s="6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ht="15.75" customHeight="1">
      <c r="A499" s="6"/>
      <c r="B499" s="6"/>
      <c r="C499" s="6"/>
      <c r="D499" s="7"/>
      <c r="E499" s="10"/>
      <c r="F499" s="6"/>
      <c r="G499" s="6"/>
      <c r="H499" s="6"/>
      <c r="I499" s="6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ht="15.75" customHeight="1">
      <c r="A500" s="6"/>
      <c r="B500" s="6"/>
      <c r="C500" s="6"/>
      <c r="D500" s="7"/>
      <c r="E500" s="10"/>
      <c r="F500" s="6"/>
      <c r="G500" s="6"/>
      <c r="H500" s="6"/>
      <c r="I500" s="6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ht="15.75" customHeight="1">
      <c r="A501" s="6"/>
      <c r="B501" s="6"/>
      <c r="C501" s="6"/>
      <c r="D501" s="7"/>
      <c r="E501" s="10"/>
      <c r="F501" s="6"/>
      <c r="G501" s="6"/>
      <c r="H501" s="6"/>
      <c r="I501" s="6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ht="15.75" customHeight="1">
      <c r="A502" s="6"/>
      <c r="B502" s="6"/>
      <c r="C502" s="6"/>
      <c r="D502" s="7"/>
      <c r="E502" s="10"/>
      <c r="F502" s="6"/>
      <c r="G502" s="6"/>
      <c r="H502" s="6"/>
      <c r="I502" s="6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ht="15.75" customHeight="1">
      <c r="A503" s="6"/>
      <c r="B503" s="6"/>
      <c r="C503" s="6"/>
      <c r="D503" s="7"/>
      <c r="E503" s="10"/>
      <c r="F503" s="6"/>
      <c r="G503" s="6"/>
      <c r="H503" s="6"/>
      <c r="I503" s="6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ht="15.75" customHeight="1">
      <c r="A504" s="6"/>
      <c r="B504" s="6"/>
      <c r="C504" s="6"/>
      <c r="D504" s="7"/>
      <c r="E504" s="10"/>
      <c r="F504" s="6"/>
      <c r="G504" s="6"/>
      <c r="H504" s="6"/>
      <c r="I504" s="6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ht="15.75" customHeight="1">
      <c r="A505" s="6"/>
      <c r="B505" s="6"/>
      <c r="C505" s="6"/>
      <c r="D505" s="7"/>
      <c r="E505" s="10"/>
      <c r="F505" s="6"/>
      <c r="G505" s="6"/>
      <c r="H505" s="6"/>
      <c r="I505" s="6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ht="15.75" customHeight="1">
      <c r="A506" s="6"/>
      <c r="B506" s="6"/>
      <c r="C506" s="6"/>
      <c r="D506" s="7"/>
      <c r="E506" s="10"/>
      <c r="F506" s="6"/>
      <c r="G506" s="6"/>
      <c r="H506" s="6"/>
      <c r="I506" s="6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ht="15.75" customHeight="1">
      <c r="A507" s="6"/>
      <c r="B507" s="6"/>
      <c r="C507" s="6"/>
      <c r="D507" s="7"/>
      <c r="E507" s="10"/>
      <c r="F507" s="6"/>
      <c r="G507" s="6"/>
      <c r="H507" s="6"/>
      <c r="I507" s="6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ht="15.75" customHeight="1">
      <c r="A508" s="6"/>
      <c r="B508" s="6"/>
      <c r="C508" s="6"/>
      <c r="D508" s="7"/>
      <c r="E508" s="10"/>
      <c r="F508" s="6"/>
      <c r="G508" s="6"/>
      <c r="H508" s="6"/>
      <c r="I508" s="6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ht="15.75" customHeight="1">
      <c r="A509" s="6"/>
      <c r="B509" s="6"/>
      <c r="C509" s="6"/>
      <c r="D509" s="7"/>
      <c r="E509" s="10"/>
      <c r="F509" s="6"/>
      <c r="G509" s="6"/>
      <c r="H509" s="6"/>
      <c r="I509" s="6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ht="15.75" customHeight="1">
      <c r="A510" s="6"/>
      <c r="B510" s="6"/>
      <c r="C510" s="6"/>
      <c r="D510" s="7"/>
      <c r="E510" s="10"/>
      <c r="F510" s="6"/>
      <c r="G510" s="6"/>
      <c r="H510" s="6"/>
      <c r="I510" s="6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ht="15.75" customHeight="1">
      <c r="A511" s="6"/>
      <c r="B511" s="6"/>
      <c r="C511" s="6"/>
      <c r="D511" s="7"/>
      <c r="E511" s="10"/>
      <c r="F511" s="6"/>
      <c r="G511" s="6"/>
      <c r="H511" s="6"/>
      <c r="I511" s="6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ht="15.75" customHeight="1">
      <c r="A512" s="6"/>
      <c r="B512" s="6"/>
      <c r="C512" s="6"/>
      <c r="D512" s="7"/>
      <c r="E512" s="10"/>
      <c r="F512" s="6"/>
      <c r="G512" s="6"/>
      <c r="H512" s="6"/>
      <c r="I512" s="6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ht="15.75" customHeight="1">
      <c r="A513" s="6"/>
      <c r="B513" s="6"/>
      <c r="C513" s="6"/>
      <c r="D513" s="7"/>
      <c r="E513" s="10"/>
      <c r="F513" s="6"/>
      <c r="G513" s="6"/>
      <c r="H513" s="6"/>
      <c r="I513" s="6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ht="15.75" customHeight="1">
      <c r="A514" s="6"/>
      <c r="B514" s="6"/>
      <c r="C514" s="6"/>
      <c r="D514" s="7"/>
      <c r="E514" s="10"/>
      <c r="F514" s="6"/>
      <c r="G514" s="6"/>
      <c r="H514" s="6"/>
      <c r="I514" s="6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ht="15.75" customHeight="1">
      <c r="A515" s="6"/>
      <c r="B515" s="6"/>
      <c r="C515" s="6"/>
      <c r="D515" s="7"/>
      <c r="E515" s="10"/>
      <c r="F515" s="6"/>
      <c r="G515" s="6"/>
      <c r="H515" s="6"/>
      <c r="I515" s="6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ht="15.75" customHeight="1">
      <c r="A516" s="6"/>
      <c r="B516" s="6"/>
      <c r="C516" s="6"/>
      <c r="D516" s="7"/>
      <c r="E516" s="10"/>
      <c r="F516" s="6"/>
      <c r="G516" s="6"/>
      <c r="H516" s="6"/>
      <c r="I516" s="6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ht="15.75" customHeight="1">
      <c r="A517" s="6"/>
      <c r="B517" s="6"/>
      <c r="C517" s="6"/>
      <c r="D517" s="7"/>
      <c r="E517" s="10"/>
      <c r="F517" s="6"/>
      <c r="G517" s="6"/>
      <c r="H517" s="6"/>
      <c r="I517" s="6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ht="15.75" customHeight="1">
      <c r="A518" s="6"/>
      <c r="B518" s="6"/>
      <c r="C518" s="6"/>
      <c r="D518" s="7"/>
      <c r="E518" s="10"/>
      <c r="F518" s="6"/>
      <c r="G518" s="6"/>
      <c r="H518" s="6"/>
      <c r="I518" s="6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ht="15.75" customHeight="1">
      <c r="A519" s="6"/>
      <c r="B519" s="6"/>
      <c r="C519" s="6"/>
      <c r="D519" s="7"/>
      <c r="E519" s="10"/>
      <c r="F519" s="6"/>
      <c r="G519" s="6"/>
      <c r="H519" s="6"/>
      <c r="I519" s="6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ht="15.75" customHeight="1">
      <c r="A520" s="6"/>
      <c r="B520" s="6"/>
      <c r="C520" s="6"/>
      <c r="D520" s="7"/>
      <c r="E520" s="10"/>
      <c r="F520" s="6"/>
      <c r="G520" s="6"/>
      <c r="H520" s="6"/>
      <c r="I520" s="6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ht="15.75" customHeight="1">
      <c r="A521" s="6"/>
      <c r="B521" s="6"/>
      <c r="C521" s="6"/>
      <c r="D521" s="7"/>
      <c r="E521" s="10"/>
      <c r="F521" s="6"/>
      <c r="G521" s="6"/>
      <c r="H521" s="6"/>
      <c r="I521" s="6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ht="15.75" customHeight="1">
      <c r="A522" s="6"/>
      <c r="B522" s="6"/>
      <c r="C522" s="6"/>
      <c r="D522" s="7"/>
      <c r="E522" s="10"/>
      <c r="F522" s="6"/>
      <c r="G522" s="6"/>
      <c r="H522" s="6"/>
      <c r="I522" s="6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ht="15.75" customHeight="1">
      <c r="A523" s="6"/>
      <c r="B523" s="6"/>
      <c r="C523" s="6"/>
      <c r="D523" s="7"/>
      <c r="E523" s="10"/>
      <c r="F523" s="6"/>
      <c r="G523" s="6"/>
      <c r="H523" s="6"/>
      <c r="I523" s="6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ht="15.75" customHeight="1">
      <c r="A524" s="6"/>
      <c r="B524" s="6"/>
      <c r="C524" s="6"/>
      <c r="D524" s="7"/>
      <c r="E524" s="10"/>
      <c r="F524" s="6"/>
      <c r="G524" s="6"/>
      <c r="H524" s="6"/>
      <c r="I524" s="6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ht="15.75" customHeight="1">
      <c r="A525" s="6"/>
      <c r="B525" s="6"/>
      <c r="C525" s="6"/>
      <c r="D525" s="7"/>
      <c r="E525" s="10"/>
      <c r="F525" s="6"/>
      <c r="G525" s="6"/>
      <c r="H525" s="6"/>
      <c r="I525" s="6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ht="15.75" customHeight="1">
      <c r="A526" s="6"/>
      <c r="B526" s="6"/>
      <c r="C526" s="6"/>
      <c r="D526" s="7"/>
      <c r="E526" s="10"/>
      <c r="F526" s="6"/>
      <c r="G526" s="6"/>
      <c r="H526" s="6"/>
      <c r="I526" s="6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ht="15.75" customHeight="1">
      <c r="A527" s="6"/>
      <c r="B527" s="6"/>
      <c r="C527" s="6"/>
      <c r="D527" s="7"/>
      <c r="E527" s="10"/>
      <c r="F527" s="6"/>
      <c r="G527" s="6"/>
      <c r="H527" s="6"/>
      <c r="I527" s="6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ht="15.75" customHeight="1">
      <c r="A528" s="6"/>
      <c r="B528" s="6"/>
      <c r="C528" s="6"/>
      <c r="D528" s="7"/>
      <c r="E528" s="10"/>
      <c r="F528" s="6"/>
      <c r="G528" s="6"/>
      <c r="H528" s="6"/>
      <c r="I528" s="6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ht="15.75" customHeight="1">
      <c r="A529" s="6"/>
      <c r="B529" s="6"/>
      <c r="C529" s="6"/>
      <c r="D529" s="7"/>
      <c r="E529" s="10"/>
      <c r="F529" s="6"/>
      <c r="G529" s="6"/>
      <c r="H529" s="6"/>
      <c r="I529" s="6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ht="15.75" customHeight="1">
      <c r="A530" s="6"/>
      <c r="B530" s="6"/>
      <c r="C530" s="6"/>
      <c r="D530" s="7"/>
      <c r="E530" s="10"/>
      <c r="F530" s="6"/>
      <c r="G530" s="6"/>
      <c r="H530" s="6"/>
      <c r="I530" s="6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ht="15.75" customHeight="1">
      <c r="A531" s="6"/>
      <c r="B531" s="6"/>
      <c r="C531" s="6"/>
      <c r="D531" s="7"/>
      <c r="E531" s="10"/>
      <c r="F531" s="6"/>
      <c r="G531" s="6"/>
      <c r="H531" s="6"/>
      <c r="I531" s="6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ht="15.75" customHeight="1">
      <c r="A532" s="6"/>
      <c r="B532" s="6"/>
      <c r="C532" s="6"/>
      <c r="D532" s="7"/>
      <c r="E532" s="10"/>
      <c r="F532" s="6"/>
      <c r="G532" s="6"/>
      <c r="H532" s="6"/>
      <c r="I532" s="6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ht="15.75" customHeight="1">
      <c r="A533" s="6"/>
      <c r="B533" s="6"/>
      <c r="C533" s="6"/>
      <c r="D533" s="7"/>
      <c r="E533" s="10"/>
      <c r="F533" s="6"/>
      <c r="G533" s="6"/>
      <c r="H533" s="6"/>
      <c r="I533" s="6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ht="15.75" customHeight="1">
      <c r="A534" s="6"/>
      <c r="B534" s="6"/>
      <c r="C534" s="6"/>
      <c r="D534" s="7"/>
      <c r="E534" s="10"/>
      <c r="F534" s="6"/>
      <c r="G534" s="6"/>
      <c r="H534" s="6"/>
      <c r="I534" s="6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ht="15.75" customHeight="1">
      <c r="A535" s="6"/>
      <c r="B535" s="6"/>
      <c r="C535" s="6"/>
      <c r="D535" s="7"/>
      <c r="E535" s="10"/>
      <c r="F535" s="6"/>
      <c r="G535" s="6"/>
      <c r="H535" s="6"/>
      <c r="I535" s="6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ht="15.75" customHeight="1">
      <c r="A536" s="6"/>
      <c r="B536" s="6"/>
      <c r="C536" s="6"/>
      <c r="D536" s="7"/>
      <c r="E536" s="10"/>
      <c r="F536" s="6"/>
      <c r="G536" s="6"/>
      <c r="H536" s="6"/>
      <c r="I536" s="6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ht="15.75" customHeight="1">
      <c r="A537" s="6"/>
      <c r="B537" s="6"/>
      <c r="C537" s="6"/>
      <c r="D537" s="7"/>
      <c r="E537" s="10"/>
      <c r="F537" s="6"/>
      <c r="G537" s="6"/>
      <c r="H537" s="6"/>
      <c r="I537" s="6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ht="15.75" customHeight="1">
      <c r="A538" s="6"/>
      <c r="B538" s="6"/>
      <c r="C538" s="6"/>
      <c r="D538" s="7"/>
      <c r="E538" s="10"/>
      <c r="F538" s="6"/>
      <c r="G538" s="6"/>
      <c r="H538" s="6"/>
      <c r="I538" s="6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ht="15.75" customHeight="1">
      <c r="A539" s="6"/>
      <c r="B539" s="6"/>
      <c r="C539" s="6"/>
      <c r="D539" s="7"/>
      <c r="E539" s="10"/>
      <c r="F539" s="6"/>
      <c r="G539" s="6"/>
      <c r="H539" s="6"/>
      <c r="I539" s="6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ht="15.75" customHeight="1">
      <c r="A540" s="6"/>
      <c r="B540" s="6"/>
      <c r="C540" s="6"/>
      <c r="D540" s="7"/>
      <c r="E540" s="10"/>
      <c r="F540" s="6"/>
      <c r="G540" s="6"/>
      <c r="H540" s="6"/>
      <c r="I540" s="6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ht="15.75" customHeight="1">
      <c r="A541" s="6"/>
      <c r="B541" s="6"/>
      <c r="C541" s="6"/>
      <c r="D541" s="7"/>
      <c r="E541" s="10"/>
      <c r="F541" s="6"/>
      <c r="G541" s="6"/>
      <c r="H541" s="6"/>
      <c r="I541" s="6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ht="15.75" customHeight="1">
      <c r="A542" s="6"/>
      <c r="B542" s="6"/>
      <c r="C542" s="6"/>
      <c r="D542" s="7"/>
      <c r="E542" s="10"/>
      <c r="F542" s="6"/>
      <c r="G542" s="6"/>
      <c r="H542" s="6"/>
      <c r="I542" s="6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ht="15.75" customHeight="1">
      <c r="A543" s="6"/>
      <c r="B543" s="6"/>
      <c r="C543" s="6"/>
      <c r="D543" s="7"/>
      <c r="E543" s="10"/>
      <c r="F543" s="6"/>
      <c r="G543" s="6"/>
      <c r="H543" s="6"/>
      <c r="I543" s="6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ht="15.75" customHeight="1">
      <c r="A544" s="6"/>
      <c r="B544" s="6"/>
      <c r="C544" s="6"/>
      <c r="D544" s="7"/>
      <c r="E544" s="10"/>
      <c r="F544" s="6"/>
      <c r="G544" s="6"/>
      <c r="H544" s="6"/>
      <c r="I544" s="6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ht="15.75" customHeight="1">
      <c r="A545" s="6"/>
      <c r="B545" s="6"/>
      <c r="C545" s="6"/>
      <c r="D545" s="7"/>
      <c r="E545" s="10"/>
      <c r="F545" s="6"/>
      <c r="G545" s="6"/>
      <c r="H545" s="6"/>
      <c r="I545" s="6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ht="15.75" customHeight="1">
      <c r="A546" s="6"/>
      <c r="B546" s="6"/>
      <c r="C546" s="6"/>
      <c r="D546" s="7"/>
      <c r="E546" s="10"/>
      <c r="F546" s="6"/>
      <c r="G546" s="6"/>
      <c r="H546" s="6"/>
      <c r="I546" s="6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ht="15.75" customHeight="1">
      <c r="A547" s="6"/>
      <c r="B547" s="6"/>
      <c r="C547" s="6"/>
      <c r="D547" s="7"/>
      <c r="E547" s="10"/>
      <c r="F547" s="6"/>
      <c r="G547" s="6"/>
      <c r="H547" s="6"/>
      <c r="I547" s="6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ht="15.75" customHeight="1">
      <c r="A548" s="6"/>
      <c r="B548" s="6"/>
      <c r="C548" s="6"/>
      <c r="D548" s="7"/>
      <c r="E548" s="10"/>
      <c r="F548" s="6"/>
      <c r="G548" s="6"/>
      <c r="H548" s="6"/>
      <c r="I548" s="6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ht="15.75" customHeight="1">
      <c r="A549" s="6"/>
      <c r="B549" s="6"/>
      <c r="C549" s="6"/>
      <c r="D549" s="7"/>
      <c r="E549" s="10"/>
      <c r="F549" s="6"/>
      <c r="G549" s="6"/>
      <c r="H549" s="6"/>
      <c r="I549" s="6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ht="15.75" customHeight="1">
      <c r="A550" s="6"/>
      <c r="B550" s="6"/>
      <c r="C550" s="6"/>
      <c r="D550" s="7"/>
      <c r="E550" s="10"/>
      <c r="F550" s="6"/>
      <c r="G550" s="6"/>
      <c r="H550" s="6"/>
      <c r="I550" s="6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ht="15.75" customHeight="1">
      <c r="A551" s="6"/>
      <c r="B551" s="6"/>
      <c r="C551" s="6"/>
      <c r="D551" s="7"/>
      <c r="E551" s="10"/>
      <c r="F551" s="6"/>
      <c r="G551" s="6"/>
      <c r="H551" s="6"/>
      <c r="I551" s="6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ht="15.75" customHeight="1">
      <c r="A552" s="6"/>
      <c r="B552" s="6"/>
      <c r="C552" s="6"/>
      <c r="D552" s="7"/>
      <c r="E552" s="10"/>
      <c r="F552" s="6"/>
      <c r="G552" s="6"/>
      <c r="H552" s="6"/>
      <c r="I552" s="6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ht="15.75" customHeight="1">
      <c r="A553" s="6"/>
      <c r="B553" s="6"/>
      <c r="C553" s="6"/>
      <c r="D553" s="7"/>
      <c r="E553" s="10"/>
      <c r="F553" s="6"/>
      <c r="G553" s="6"/>
      <c r="H553" s="6"/>
      <c r="I553" s="6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ht="15.75" customHeight="1">
      <c r="A554" s="6"/>
      <c r="B554" s="6"/>
      <c r="C554" s="6"/>
      <c r="D554" s="7"/>
      <c r="E554" s="10"/>
      <c r="F554" s="6"/>
      <c r="G554" s="6"/>
      <c r="H554" s="6"/>
      <c r="I554" s="6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ht="15.75" customHeight="1">
      <c r="A555" s="6"/>
      <c r="B555" s="6"/>
      <c r="C555" s="6"/>
      <c r="D555" s="7"/>
      <c r="E555" s="10"/>
      <c r="F555" s="6"/>
      <c r="G555" s="6"/>
      <c r="H555" s="6"/>
      <c r="I555" s="6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ht="15.75" customHeight="1">
      <c r="A556" s="6"/>
      <c r="B556" s="6"/>
      <c r="C556" s="6"/>
      <c r="D556" s="7"/>
      <c r="E556" s="10"/>
      <c r="F556" s="6"/>
      <c r="G556" s="6"/>
      <c r="H556" s="6"/>
      <c r="I556" s="6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ht="15.75" customHeight="1">
      <c r="A557" s="6"/>
      <c r="B557" s="6"/>
      <c r="C557" s="6"/>
      <c r="D557" s="7"/>
      <c r="E557" s="10"/>
      <c r="F557" s="6"/>
      <c r="G557" s="6"/>
      <c r="H557" s="6"/>
      <c r="I557" s="6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ht="15.75" customHeight="1">
      <c r="A558" s="6"/>
      <c r="B558" s="6"/>
      <c r="C558" s="6"/>
      <c r="D558" s="7"/>
      <c r="E558" s="10"/>
      <c r="F558" s="6"/>
      <c r="G558" s="6"/>
      <c r="H558" s="6"/>
      <c r="I558" s="6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ht="15.75" customHeight="1">
      <c r="A559" s="6"/>
      <c r="B559" s="6"/>
      <c r="C559" s="6"/>
      <c r="D559" s="7"/>
      <c r="E559" s="10"/>
      <c r="F559" s="6"/>
      <c r="G559" s="6"/>
      <c r="H559" s="6"/>
      <c r="I559" s="6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ht="15.75" customHeight="1">
      <c r="A560" s="6"/>
      <c r="B560" s="6"/>
      <c r="C560" s="6"/>
      <c r="D560" s="7"/>
      <c r="E560" s="10"/>
      <c r="F560" s="6"/>
      <c r="G560" s="6"/>
      <c r="H560" s="6"/>
      <c r="I560" s="6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ht="15.75" customHeight="1">
      <c r="A561" s="6"/>
      <c r="B561" s="6"/>
      <c r="C561" s="6"/>
      <c r="D561" s="7"/>
      <c r="E561" s="10"/>
      <c r="F561" s="6"/>
      <c r="G561" s="6"/>
      <c r="H561" s="6"/>
      <c r="I561" s="6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ht="15.75" customHeight="1">
      <c r="A562" s="6"/>
      <c r="B562" s="6"/>
      <c r="C562" s="6"/>
      <c r="D562" s="7"/>
      <c r="E562" s="10"/>
      <c r="F562" s="6"/>
      <c r="G562" s="6"/>
      <c r="H562" s="6"/>
      <c r="I562" s="6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ht="15.75" customHeight="1">
      <c r="A563" s="6"/>
      <c r="B563" s="6"/>
      <c r="C563" s="6"/>
      <c r="D563" s="7"/>
      <c r="E563" s="10"/>
      <c r="F563" s="6"/>
      <c r="G563" s="6"/>
      <c r="H563" s="6"/>
      <c r="I563" s="6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ht="15.75" customHeight="1">
      <c r="A564" s="6"/>
      <c r="B564" s="6"/>
      <c r="C564" s="6"/>
      <c r="D564" s="7"/>
      <c r="E564" s="10"/>
      <c r="F564" s="6"/>
      <c r="G564" s="6"/>
      <c r="H564" s="6"/>
      <c r="I564" s="6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ht="15.75" customHeight="1">
      <c r="A565" s="6"/>
      <c r="B565" s="6"/>
      <c r="C565" s="6"/>
      <c r="D565" s="7"/>
      <c r="E565" s="10"/>
      <c r="F565" s="6"/>
      <c r="G565" s="6"/>
      <c r="H565" s="6"/>
      <c r="I565" s="6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ht="15.75" customHeight="1">
      <c r="A566" s="6"/>
      <c r="B566" s="6"/>
      <c r="C566" s="6"/>
      <c r="D566" s="7"/>
      <c r="E566" s="10"/>
      <c r="F566" s="6"/>
      <c r="G566" s="6"/>
      <c r="H566" s="6"/>
      <c r="I566" s="6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ht="15.75" customHeight="1">
      <c r="A567" s="6"/>
      <c r="B567" s="6"/>
      <c r="C567" s="6"/>
      <c r="D567" s="7"/>
      <c r="E567" s="10"/>
      <c r="F567" s="6"/>
      <c r="G567" s="6"/>
      <c r="H567" s="6"/>
      <c r="I567" s="6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ht="15.75" customHeight="1">
      <c r="A568" s="6"/>
      <c r="B568" s="6"/>
      <c r="C568" s="6"/>
      <c r="D568" s="7"/>
      <c r="E568" s="10"/>
      <c r="F568" s="6"/>
      <c r="G568" s="6"/>
      <c r="H568" s="6"/>
      <c r="I568" s="6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ht="15.75" customHeight="1">
      <c r="A569" s="6"/>
      <c r="B569" s="6"/>
      <c r="C569" s="6"/>
      <c r="D569" s="7"/>
      <c r="E569" s="10"/>
      <c r="F569" s="6"/>
      <c r="G569" s="6"/>
      <c r="H569" s="6"/>
      <c r="I569" s="6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ht="15.75" customHeight="1">
      <c r="A570" s="6"/>
      <c r="B570" s="6"/>
      <c r="C570" s="6"/>
      <c r="D570" s="7"/>
      <c r="E570" s="10"/>
      <c r="F570" s="6"/>
      <c r="G570" s="6"/>
      <c r="H570" s="6"/>
      <c r="I570" s="6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ht="15.75" customHeight="1">
      <c r="A571" s="6"/>
      <c r="B571" s="6"/>
      <c r="C571" s="6"/>
      <c r="D571" s="7"/>
      <c r="E571" s="10"/>
      <c r="F571" s="6"/>
      <c r="G571" s="6"/>
      <c r="H571" s="6"/>
      <c r="I571" s="6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ht="15.75" customHeight="1">
      <c r="A572" s="6"/>
      <c r="B572" s="6"/>
      <c r="C572" s="6"/>
      <c r="D572" s="7"/>
      <c r="E572" s="10"/>
      <c r="F572" s="6"/>
      <c r="G572" s="6"/>
      <c r="H572" s="6"/>
      <c r="I572" s="6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ht="15.75" customHeight="1">
      <c r="A573" s="6"/>
      <c r="B573" s="6"/>
      <c r="C573" s="6"/>
      <c r="D573" s="7"/>
      <c r="E573" s="10"/>
      <c r="F573" s="6"/>
      <c r="G573" s="6"/>
      <c r="H573" s="6"/>
      <c r="I573" s="6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ht="15.75" customHeight="1">
      <c r="A574" s="6"/>
      <c r="B574" s="6"/>
      <c r="C574" s="6"/>
      <c r="D574" s="7"/>
      <c r="E574" s="10"/>
      <c r="F574" s="6"/>
      <c r="G574" s="6"/>
      <c r="H574" s="6"/>
      <c r="I574" s="6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ht="15.75" customHeight="1">
      <c r="A575" s="6"/>
      <c r="B575" s="6"/>
      <c r="C575" s="6"/>
      <c r="D575" s="7"/>
      <c r="E575" s="10"/>
      <c r="F575" s="6"/>
      <c r="G575" s="6"/>
      <c r="H575" s="6"/>
      <c r="I575" s="6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ht="15.75" customHeight="1">
      <c r="A576" s="6"/>
      <c r="B576" s="6"/>
      <c r="C576" s="6"/>
      <c r="D576" s="7"/>
      <c r="E576" s="10"/>
      <c r="F576" s="6"/>
      <c r="G576" s="6"/>
      <c r="H576" s="6"/>
      <c r="I576" s="6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ht="15.75" customHeight="1">
      <c r="A577" s="6"/>
      <c r="B577" s="6"/>
      <c r="C577" s="6"/>
      <c r="D577" s="7"/>
      <c r="E577" s="10"/>
      <c r="F577" s="6"/>
      <c r="G577" s="6"/>
      <c r="H577" s="6"/>
      <c r="I577" s="6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ht="15.75" customHeight="1">
      <c r="A578" s="6"/>
      <c r="B578" s="6"/>
      <c r="C578" s="6"/>
      <c r="D578" s="7"/>
      <c r="E578" s="10"/>
      <c r="F578" s="6"/>
      <c r="G578" s="6"/>
      <c r="H578" s="6"/>
      <c r="I578" s="6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ht="15.75" customHeight="1">
      <c r="A579" s="6"/>
      <c r="B579" s="6"/>
      <c r="C579" s="6"/>
      <c r="D579" s="7"/>
      <c r="E579" s="10"/>
      <c r="F579" s="6"/>
      <c r="G579" s="6"/>
      <c r="H579" s="6"/>
      <c r="I579" s="6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ht="15.75" customHeight="1">
      <c r="A580" s="6"/>
      <c r="B580" s="6"/>
      <c r="C580" s="6"/>
      <c r="D580" s="7"/>
      <c r="E580" s="10"/>
      <c r="F580" s="6"/>
      <c r="G580" s="6"/>
      <c r="H580" s="6"/>
      <c r="I580" s="6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ht="15.75" customHeight="1">
      <c r="A581" s="6"/>
      <c r="B581" s="6"/>
      <c r="C581" s="6"/>
      <c r="D581" s="7"/>
      <c r="E581" s="10"/>
      <c r="F581" s="6"/>
      <c r="G581" s="6"/>
      <c r="H581" s="6"/>
      <c r="I581" s="6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ht="15.75" customHeight="1">
      <c r="A582" s="6"/>
      <c r="B582" s="6"/>
      <c r="C582" s="6"/>
      <c r="D582" s="7"/>
      <c r="E582" s="10"/>
      <c r="F582" s="6"/>
      <c r="G582" s="6"/>
      <c r="H582" s="6"/>
      <c r="I582" s="6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ht="15.75" customHeight="1">
      <c r="A583" s="6"/>
      <c r="B583" s="6"/>
      <c r="C583" s="6"/>
      <c r="D583" s="7"/>
      <c r="E583" s="10"/>
      <c r="F583" s="6"/>
      <c r="G583" s="6"/>
      <c r="H583" s="6"/>
      <c r="I583" s="6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ht="15.75" customHeight="1">
      <c r="A584" s="6"/>
      <c r="B584" s="6"/>
      <c r="C584" s="6"/>
      <c r="D584" s="7"/>
      <c r="E584" s="10"/>
      <c r="F584" s="6"/>
      <c r="G584" s="6"/>
      <c r="H584" s="6"/>
      <c r="I584" s="6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ht="15.75" customHeight="1">
      <c r="A585" s="6"/>
      <c r="B585" s="6"/>
      <c r="C585" s="6"/>
      <c r="D585" s="7"/>
      <c r="E585" s="10"/>
      <c r="F585" s="6"/>
      <c r="G585" s="6"/>
      <c r="H585" s="6"/>
      <c r="I585" s="6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ht="15.75" customHeight="1">
      <c r="A586" s="6"/>
      <c r="B586" s="6"/>
      <c r="C586" s="6"/>
      <c r="D586" s="7"/>
      <c r="E586" s="10"/>
      <c r="F586" s="6"/>
      <c r="G586" s="6"/>
      <c r="H586" s="6"/>
      <c r="I586" s="6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ht="15.75" customHeight="1">
      <c r="A587" s="6"/>
      <c r="B587" s="6"/>
      <c r="C587" s="6"/>
      <c r="D587" s="7"/>
      <c r="E587" s="10"/>
      <c r="F587" s="6"/>
      <c r="G587" s="6"/>
      <c r="H587" s="6"/>
      <c r="I587" s="6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ht="15.75" customHeight="1">
      <c r="A588" s="6"/>
      <c r="B588" s="6"/>
      <c r="C588" s="6"/>
      <c r="D588" s="7"/>
      <c r="E588" s="10"/>
      <c r="F588" s="6"/>
      <c r="G588" s="6"/>
      <c r="H588" s="6"/>
      <c r="I588" s="6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ht="15.75" customHeight="1">
      <c r="A589" s="6"/>
      <c r="B589" s="6"/>
      <c r="C589" s="6"/>
      <c r="D589" s="7"/>
      <c r="E589" s="10"/>
      <c r="F589" s="6"/>
      <c r="G589" s="6"/>
      <c r="H589" s="6"/>
      <c r="I589" s="6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ht="15.75" customHeight="1">
      <c r="A590" s="6"/>
      <c r="B590" s="6"/>
      <c r="C590" s="6"/>
      <c r="D590" s="7"/>
      <c r="E590" s="10"/>
      <c r="F590" s="6"/>
      <c r="G590" s="6"/>
      <c r="H590" s="6"/>
      <c r="I590" s="6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ht="15.75" customHeight="1">
      <c r="A591" s="6"/>
      <c r="B591" s="6"/>
      <c r="C591" s="6"/>
      <c r="D591" s="7"/>
      <c r="E591" s="10"/>
      <c r="F591" s="6"/>
      <c r="G591" s="6"/>
      <c r="H591" s="6"/>
      <c r="I591" s="6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ht="15.75" customHeight="1">
      <c r="A592" s="6"/>
      <c r="B592" s="6"/>
      <c r="C592" s="6"/>
      <c r="D592" s="7"/>
      <c r="E592" s="10"/>
      <c r="F592" s="6"/>
      <c r="G592" s="6"/>
      <c r="H592" s="6"/>
      <c r="I592" s="6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ht="15.75" customHeight="1">
      <c r="A593" s="6"/>
      <c r="B593" s="6"/>
      <c r="C593" s="6"/>
      <c r="D593" s="7"/>
      <c r="E593" s="10"/>
      <c r="F593" s="6"/>
      <c r="G593" s="6"/>
      <c r="H593" s="6"/>
      <c r="I593" s="6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ht="15.75" customHeight="1">
      <c r="A594" s="6"/>
      <c r="B594" s="6"/>
      <c r="C594" s="6"/>
      <c r="D594" s="7"/>
      <c r="E594" s="10"/>
      <c r="F594" s="6"/>
      <c r="G594" s="6"/>
      <c r="H594" s="6"/>
      <c r="I594" s="6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ht="15.75" customHeight="1">
      <c r="A595" s="6"/>
      <c r="B595" s="6"/>
      <c r="C595" s="6"/>
      <c r="D595" s="7"/>
      <c r="E595" s="10"/>
      <c r="F595" s="6"/>
      <c r="G595" s="6"/>
      <c r="H595" s="6"/>
      <c r="I595" s="6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ht="15.75" customHeight="1">
      <c r="A596" s="6"/>
      <c r="B596" s="6"/>
      <c r="C596" s="6"/>
      <c r="D596" s="7"/>
      <c r="E596" s="10"/>
      <c r="F596" s="6"/>
      <c r="G596" s="6"/>
      <c r="H596" s="6"/>
      <c r="I596" s="6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ht="15.75" customHeight="1">
      <c r="A597" s="6"/>
      <c r="B597" s="6"/>
      <c r="C597" s="6"/>
      <c r="D597" s="7"/>
      <c r="E597" s="10"/>
      <c r="F597" s="6"/>
      <c r="G597" s="6"/>
      <c r="H597" s="6"/>
      <c r="I597" s="6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ht="15.75" customHeight="1">
      <c r="A598" s="6"/>
      <c r="B598" s="6"/>
      <c r="C598" s="6"/>
      <c r="D598" s="7"/>
      <c r="E598" s="10"/>
      <c r="F598" s="6"/>
      <c r="G598" s="6"/>
      <c r="H598" s="6"/>
      <c r="I598" s="6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ht="15.75" customHeight="1">
      <c r="A599" s="6"/>
      <c r="B599" s="6"/>
      <c r="C599" s="6"/>
      <c r="D599" s="7"/>
      <c r="E599" s="10"/>
      <c r="F599" s="6"/>
      <c r="G599" s="6"/>
      <c r="H599" s="6"/>
      <c r="I599" s="6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ht="15.75" customHeight="1">
      <c r="A600" s="6"/>
      <c r="B600" s="6"/>
      <c r="C600" s="6"/>
      <c r="D600" s="7"/>
      <c r="E600" s="10"/>
      <c r="F600" s="6"/>
      <c r="G600" s="6"/>
      <c r="H600" s="6"/>
      <c r="I600" s="6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ht="15.75" customHeight="1">
      <c r="A601" s="6"/>
      <c r="B601" s="6"/>
      <c r="C601" s="6"/>
      <c r="D601" s="7"/>
      <c r="E601" s="10"/>
      <c r="F601" s="6"/>
      <c r="G601" s="6"/>
      <c r="H601" s="6"/>
      <c r="I601" s="6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ht="15.75" customHeight="1">
      <c r="A602" s="6"/>
      <c r="B602" s="6"/>
      <c r="C602" s="6"/>
      <c r="D602" s="7"/>
      <c r="E602" s="10"/>
      <c r="F602" s="6"/>
      <c r="G602" s="6"/>
      <c r="H602" s="6"/>
      <c r="I602" s="6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ht="15.75" customHeight="1">
      <c r="A603" s="6"/>
      <c r="B603" s="6"/>
      <c r="C603" s="6"/>
      <c r="D603" s="7"/>
      <c r="E603" s="10"/>
      <c r="F603" s="6"/>
      <c r="G603" s="6"/>
      <c r="H603" s="6"/>
      <c r="I603" s="6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ht="15.75" customHeight="1">
      <c r="A604" s="6"/>
      <c r="B604" s="6"/>
      <c r="C604" s="6"/>
      <c r="D604" s="7"/>
      <c r="E604" s="10"/>
      <c r="F604" s="6"/>
      <c r="G604" s="6"/>
      <c r="H604" s="6"/>
      <c r="I604" s="6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ht="15.75" customHeight="1">
      <c r="A605" s="6"/>
      <c r="B605" s="6"/>
      <c r="C605" s="6"/>
      <c r="D605" s="7"/>
      <c r="E605" s="10"/>
      <c r="F605" s="6"/>
      <c r="G605" s="6"/>
      <c r="H605" s="6"/>
      <c r="I605" s="6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ht="15.75" customHeight="1">
      <c r="A606" s="6"/>
      <c r="B606" s="6"/>
      <c r="C606" s="6"/>
      <c r="D606" s="7"/>
      <c r="E606" s="10"/>
      <c r="F606" s="6"/>
      <c r="G606" s="6"/>
      <c r="H606" s="6"/>
      <c r="I606" s="6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ht="15.75" customHeight="1">
      <c r="A607" s="6"/>
      <c r="B607" s="6"/>
      <c r="C607" s="6"/>
      <c r="D607" s="7"/>
      <c r="E607" s="10"/>
      <c r="F607" s="6"/>
      <c r="G607" s="6"/>
      <c r="H607" s="6"/>
      <c r="I607" s="6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ht="15.75" customHeight="1">
      <c r="A608" s="6"/>
      <c r="B608" s="6"/>
      <c r="C608" s="6"/>
      <c r="D608" s="7"/>
      <c r="E608" s="10"/>
      <c r="F608" s="6"/>
      <c r="G608" s="6"/>
      <c r="H608" s="6"/>
      <c r="I608" s="6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ht="15.75" customHeight="1">
      <c r="A609" s="6"/>
      <c r="B609" s="6"/>
      <c r="C609" s="6"/>
      <c r="D609" s="7"/>
      <c r="E609" s="10"/>
      <c r="F609" s="6"/>
      <c r="G609" s="6"/>
      <c r="H609" s="6"/>
      <c r="I609" s="6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ht="15.75" customHeight="1">
      <c r="A610" s="6"/>
      <c r="B610" s="6"/>
      <c r="C610" s="6"/>
      <c r="D610" s="7"/>
      <c r="E610" s="10"/>
      <c r="F610" s="6"/>
      <c r="G610" s="6"/>
      <c r="H610" s="6"/>
      <c r="I610" s="6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ht="15.75" customHeight="1">
      <c r="A611" s="6"/>
      <c r="B611" s="6"/>
      <c r="C611" s="6"/>
      <c r="D611" s="7"/>
      <c r="E611" s="10"/>
      <c r="F611" s="6"/>
      <c r="G611" s="6"/>
      <c r="H611" s="6"/>
      <c r="I611" s="6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ht="15.75" customHeight="1">
      <c r="A612" s="6"/>
      <c r="B612" s="6"/>
      <c r="C612" s="6"/>
      <c r="D612" s="7"/>
      <c r="E612" s="10"/>
      <c r="F612" s="6"/>
      <c r="G612" s="6"/>
      <c r="H612" s="6"/>
      <c r="I612" s="6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ht="15.75" customHeight="1">
      <c r="A613" s="6"/>
      <c r="B613" s="6"/>
      <c r="C613" s="6"/>
      <c r="D613" s="7"/>
      <c r="E613" s="10"/>
      <c r="F613" s="6"/>
      <c r="G613" s="6"/>
      <c r="H613" s="6"/>
      <c r="I613" s="6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ht="15.75" customHeight="1">
      <c r="A614" s="6"/>
      <c r="B614" s="6"/>
      <c r="C614" s="6"/>
      <c r="D614" s="7"/>
      <c r="E614" s="10"/>
      <c r="F614" s="6"/>
      <c r="G614" s="6"/>
      <c r="H614" s="6"/>
      <c r="I614" s="6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ht="15.75" customHeight="1">
      <c r="A615" s="6"/>
      <c r="B615" s="6"/>
      <c r="C615" s="6"/>
      <c r="D615" s="7"/>
      <c r="E615" s="10"/>
      <c r="F615" s="6"/>
      <c r="G615" s="6"/>
      <c r="H615" s="6"/>
      <c r="I615" s="6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ht="15.75" customHeight="1">
      <c r="A616" s="6"/>
      <c r="B616" s="6"/>
      <c r="C616" s="6"/>
      <c r="D616" s="7"/>
      <c r="E616" s="10"/>
      <c r="F616" s="6"/>
      <c r="G616" s="6"/>
      <c r="H616" s="6"/>
      <c r="I616" s="6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ht="15.75" customHeight="1">
      <c r="A617" s="6"/>
      <c r="B617" s="6"/>
      <c r="C617" s="6"/>
      <c r="D617" s="7"/>
      <c r="E617" s="10"/>
      <c r="F617" s="6"/>
      <c r="G617" s="6"/>
      <c r="H617" s="6"/>
      <c r="I617" s="6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ht="15.75" customHeight="1">
      <c r="A618" s="6"/>
      <c r="B618" s="6"/>
      <c r="C618" s="6"/>
      <c r="D618" s="7"/>
      <c r="E618" s="10"/>
      <c r="F618" s="6"/>
      <c r="G618" s="6"/>
      <c r="H618" s="6"/>
      <c r="I618" s="6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ht="15.75" customHeight="1">
      <c r="A619" s="6"/>
      <c r="B619" s="6"/>
      <c r="C619" s="6"/>
      <c r="D619" s="7"/>
      <c r="E619" s="10"/>
      <c r="F619" s="6"/>
      <c r="G619" s="6"/>
      <c r="H619" s="6"/>
      <c r="I619" s="6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ht="15.75" customHeight="1">
      <c r="A620" s="6"/>
      <c r="B620" s="6"/>
      <c r="C620" s="6"/>
      <c r="D620" s="7"/>
      <c r="E620" s="10"/>
      <c r="F620" s="6"/>
      <c r="G620" s="6"/>
      <c r="H620" s="6"/>
      <c r="I620" s="6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ht="15.75" customHeight="1">
      <c r="A621" s="6"/>
      <c r="B621" s="6"/>
      <c r="C621" s="6"/>
      <c r="D621" s="7"/>
      <c r="E621" s="10"/>
      <c r="F621" s="6"/>
      <c r="G621" s="6"/>
      <c r="H621" s="6"/>
      <c r="I621" s="6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ht="15.75" customHeight="1">
      <c r="A622" s="6"/>
      <c r="B622" s="6"/>
      <c r="C622" s="6"/>
      <c r="D622" s="7"/>
      <c r="E622" s="10"/>
      <c r="F622" s="6"/>
      <c r="G622" s="6"/>
      <c r="H622" s="6"/>
      <c r="I622" s="6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ht="15.75" customHeight="1">
      <c r="A623" s="6"/>
      <c r="B623" s="6"/>
      <c r="C623" s="6"/>
      <c r="D623" s="7"/>
      <c r="E623" s="10"/>
      <c r="F623" s="6"/>
      <c r="G623" s="6"/>
      <c r="H623" s="6"/>
      <c r="I623" s="6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ht="15.75" customHeight="1">
      <c r="A624" s="6"/>
      <c r="B624" s="6"/>
      <c r="C624" s="6"/>
      <c r="D624" s="7"/>
      <c r="E624" s="10"/>
      <c r="F624" s="6"/>
      <c r="G624" s="6"/>
      <c r="H624" s="6"/>
      <c r="I624" s="6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ht="15.75" customHeight="1">
      <c r="A625" s="6"/>
      <c r="B625" s="6"/>
      <c r="C625" s="6"/>
      <c r="D625" s="7"/>
      <c r="E625" s="10"/>
      <c r="F625" s="6"/>
      <c r="G625" s="6"/>
      <c r="H625" s="6"/>
      <c r="I625" s="6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ht="15.75" customHeight="1">
      <c r="A626" s="6"/>
      <c r="B626" s="6"/>
      <c r="C626" s="6"/>
      <c r="D626" s="7"/>
      <c r="E626" s="10"/>
      <c r="F626" s="6"/>
      <c r="G626" s="6"/>
      <c r="H626" s="6"/>
      <c r="I626" s="6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ht="15.75" customHeight="1">
      <c r="A627" s="6"/>
      <c r="B627" s="6"/>
      <c r="C627" s="6"/>
      <c r="D627" s="7"/>
      <c r="E627" s="10"/>
      <c r="F627" s="6"/>
      <c r="G627" s="6"/>
      <c r="H627" s="6"/>
      <c r="I627" s="6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ht="15.75" customHeight="1">
      <c r="A628" s="6"/>
      <c r="B628" s="6"/>
      <c r="C628" s="6"/>
      <c r="D628" s="7"/>
      <c r="E628" s="10"/>
      <c r="F628" s="6"/>
      <c r="G628" s="6"/>
      <c r="H628" s="6"/>
      <c r="I628" s="6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ht="15.75" customHeight="1">
      <c r="A629" s="6"/>
      <c r="B629" s="6"/>
      <c r="C629" s="6"/>
      <c r="D629" s="7"/>
      <c r="E629" s="10"/>
      <c r="F629" s="6"/>
      <c r="G629" s="6"/>
      <c r="H629" s="6"/>
      <c r="I629" s="6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ht="15.75" customHeight="1">
      <c r="A630" s="6"/>
      <c r="B630" s="6"/>
      <c r="C630" s="6"/>
      <c r="D630" s="7"/>
      <c r="E630" s="10"/>
      <c r="F630" s="6"/>
      <c r="G630" s="6"/>
      <c r="H630" s="6"/>
      <c r="I630" s="6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ht="15.75" customHeight="1">
      <c r="A631" s="6"/>
      <c r="B631" s="6"/>
      <c r="C631" s="6"/>
      <c r="D631" s="7"/>
      <c r="E631" s="10"/>
      <c r="F631" s="6"/>
      <c r="G631" s="6"/>
      <c r="H631" s="6"/>
      <c r="I631" s="6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ht="15.75" customHeight="1">
      <c r="A632" s="6"/>
      <c r="B632" s="6"/>
      <c r="C632" s="6"/>
      <c r="D632" s="7"/>
      <c r="E632" s="10"/>
      <c r="F632" s="6"/>
      <c r="G632" s="6"/>
      <c r="H632" s="6"/>
      <c r="I632" s="6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ht="15.75" customHeight="1">
      <c r="A633" s="6"/>
      <c r="B633" s="6"/>
      <c r="C633" s="6"/>
      <c r="D633" s="7"/>
      <c r="E633" s="10"/>
      <c r="F633" s="6"/>
      <c r="G633" s="6"/>
      <c r="H633" s="6"/>
      <c r="I633" s="6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ht="15.75" customHeight="1">
      <c r="A634" s="6"/>
      <c r="B634" s="6"/>
      <c r="C634" s="6"/>
      <c r="D634" s="7"/>
      <c r="E634" s="10"/>
      <c r="F634" s="6"/>
      <c r="G634" s="6"/>
      <c r="H634" s="6"/>
      <c r="I634" s="6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ht="15.75" customHeight="1">
      <c r="A635" s="6"/>
      <c r="B635" s="6"/>
      <c r="C635" s="6"/>
      <c r="D635" s="7"/>
      <c r="E635" s="10"/>
      <c r="F635" s="6"/>
      <c r="G635" s="6"/>
      <c r="H635" s="6"/>
      <c r="I635" s="6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ht="15.75" customHeight="1">
      <c r="A636" s="6"/>
      <c r="B636" s="6"/>
      <c r="C636" s="6"/>
      <c r="D636" s="7"/>
      <c r="E636" s="10"/>
      <c r="F636" s="6"/>
      <c r="G636" s="6"/>
      <c r="H636" s="6"/>
      <c r="I636" s="6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ht="15.75" customHeight="1">
      <c r="A637" s="6"/>
      <c r="B637" s="6"/>
      <c r="C637" s="6"/>
      <c r="D637" s="7"/>
      <c r="E637" s="10"/>
      <c r="F637" s="6"/>
      <c r="G637" s="6"/>
      <c r="H637" s="6"/>
      <c r="I637" s="6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ht="15.75" customHeight="1">
      <c r="A638" s="6"/>
      <c r="B638" s="6"/>
      <c r="C638" s="6"/>
      <c r="D638" s="7"/>
      <c r="E638" s="10"/>
      <c r="F638" s="6"/>
      <c r="G638" s="6"/>
      <c r="H638" s="6"/>
      <c r="I638" s="6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ht="15.75" customHeight="1">
      <c r="A639" s="6"/>
      <c r="B639" s="6"/>
      <c r="C639" s="6"/>
      <c r="D639" s="7"/>
      <c r="E639" s="10"/>
      <c r="F639" s="6"/>
      <c r="G639" s="6"/>
      <c r="H639" s="6"/>
      <c r="I639" s="6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ht="15.75" customHeight="1">
      <c r="A640" s="6"/>
      <c r="B640" s="6"/>
      <c r="C640" s="6"/>
      <c r="D640" s="7"/>
      <c r="E640" s="10"/>
      <c r="F640" s="6"/>
      <c r="G640" s="6"/>
      <c r="H640" s="6"/>
      <c r="I640" s="6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ht="15.75" customHeight="1">
      <c r="A641" s="6"/>
      <c r="B641" s="6"/>
      <c r="C641" s="6"/>
      <c r="D641" s="7"/>
      <c r="E641" s="10"/>
      <c r="F641" s="6"/>
      <c r="G641" s="6"/>
      <c r="H641" s="6"/>
      <c r="I641" s="6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ht="15.75" customHeight="1">
      <c r="A642" s="6"/>
      <c r="B642" s="6"/>
      <c r="C642" s="6"/>
      <c r="D642" s="7"/>
      <c r="E642" s="10"/>
      <c r="F642" s="6"/>
      <c r="G642" s="6"/>
      <c r="H642" s="6"/>
      <c r="I642" s="6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ht="15.75" customHeight="1">
      <c r="A643" s="6"/>
      <c r="B643" s="6"/>
      <c r="C643" s="6"/>
      <c r="D643" s="7"/>
      <c r="E643" s="10"/>
      <c r="F643" s="6"/>
      <c r="G643" s="6"/>
      <c r="H643" s="6"/>
      <c r="I643" s="6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ht="15.75" customHeight="1">
      <c r="A644" s="6"/>
      <c r="B644" s="6"/>
      <c r="C644" s="6"/>
      <c r="D644" s="7"/>
      <c r="E644" s="10"/>
      <c r="F644" s="6"/>
      <c r="G644" s="6"/>
      <c r="H644" s="6"/>
      <c r="I644" s="6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ht="15.75" customHeight="1">
      <c r="A645" s="6"/>
      <c r="B645" s="6"/>
      <c r="C645" s="6"/>
      <c r="D645" s="7"/>
      <c r="E645" s="10"/>
      <c r="F645" s="6"/>
      <c r="G645" s="6"/>
      <c r="H645" s="6"/>
      <c r="I645" s="6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ht="15.75" customHeight="1">
      <c r="A646" s="6"/>
      <c r="B646" s="6"/>
      <c r="C646" s="6"/>
      <c r="D646" s="7"/>
      <c r="E646" s="10"/>
      <c r="F646" s="6"/>
      <c r="G646" s="6"/>
      <c r="H646" s="6"/>
      <c r="I646" s="6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ht="15.75" customHeight="1">
      <c r="A647" s="6"/>
      <c r="B647" s="6"/>
      <c r="C647" s="6"/>
      <c r="D647" s="7"/>
      <c r="E647" s="10"/>
      <c r="F647" s="6"/>
      <c r="G647" s="6"/>
      <c r="H647" s="6"/>
      <c r="I647" s="6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ht="15.75" customHeight="1">
      <c r="A648" s="6"/>
      <c r="B648" s="6"/>
      <c r="C648" s="6"/>
      <c r="D648" s="7"/>
      <c r="E648" s="10"/>
      <c r="F648" s="6"/>
      <c r="G648" s="6"/>
      <c r="H648" s="6"/>
      <c r="I648" s="6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ht="15.75" customHeight="1">
      <c r="A649" s="6"/>
      <c r="B649" s="6"/>
      <c r="C649" s="6"/>
      <c r="D649" s="7"/>
      <c r="E649" s="10"/>
      <c r="F649" s="6"/>
      <c r="G649" s="6"/>
      <c r="H649" s="6"/>
      <c r="I649" s="6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ht="15.75" customHeight="1">
      <c r="A650" s="6"/>
      <c r="B650" s="6"/>
      <c r="C650" s="6"/>
      <c r="D650" s="7"/>
      <c r="E650" s="10"/>
      <c r="F650" s="6"/>
      <c r="G650" s="6"/>
      <c r="H650" s="6"/>
      <c r="I650" s="6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ht="15.75" customHeight="1">
      <c r="A651" s="6"/>
      <c r="B651" s="6"/>
      <c r="C651" s="6"/>
      <c r="D651" s="7"/>
      <c r="E651" s="10"/>
      <c r="F651" s="6"/>
      <c r="G651" s="6"/>
      <c r="H651" s="6"/>
      <c r="I651" s="6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ht="15.75" customHeight="1">
      <c r="A652" s="6"/>
      <c r="B652" s="6"/>
      <c r="C652" s="6"/>
      <c r="D652" s="7"/>
      <c r="E652" s="10"/>
      <c r="F652" s="6"/>
      <c r="G652" s="6"/>
      <c r="H652" s="6"/>
      <c r="I652" s="6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ht="15.75" customHeight="1">
      <c r="A653" s="6"/>
      <c r="B653" s="6"/>
      <c r="C653" s="6"/>
      <c r="D653" s="7"/>
      <c r="E653" s="10"/>
      <c r="F653" s="6"/>
      <c r="G653" s="6"/>
      <c r="H653" s="6"/>
      <c r="I653" s="6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ht="15.75" customHeight="1">
      <c r="A654" s="6"/>
      <c r="B654" s="6"/>
      <c r="C654" s="6"/>
      <c r="D654" s="7"/>
      <c r="E654" s="10"/>
      <c r="F654" s="6"/>
      <c r="G654" s="6"/>
      <c r="H654" s="6"/>
      <c r="I654" s="6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ht="15.75" customHeight="1">
      <c r="A655" s="6"/>
      <c r="B655" s="6"/>
      <c r="C655" s="6"/>
      <c r="D655" s="7"/>
      <c r="E655" s="10"/>
      <c r="F655" s="6"/>
      <c r="G655" s="6"/>
      <c r="H655" s="6"/>
      <c r="I655" s="6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ht="15.75" customHeight="1">
      <c r="A656" s="6"/>
      <c r="B656" s="6"/>
      <c r="C656" s="6"/>
      <c r="D656" s="7"/>
      <c r="E656" s="10"/>
      <c r="F656" s="6"/>
      <c r="G656" s="6"/>
      <c r="H656" s="6"/>
      <c r="I656" s="6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ht="15.75" customHeight="1">
      <c r="A657" s="6"/>
      <c r="B657" s="6"/>
      <c r="C657" s="6"/>
      <c r="D657" s="7"/>
      <c r="E657" s="10"/>
      <c r="F657" s="6"/>
      <c r="G657" s="6"/>
      <c r="H657" s="6"/>
      <c r="I657" s="6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ht="15.75" customHeight="1">
      <c r="A658" s="6"/>
      <c r="B658" s="6"/>
      <c r="C658" s="6"/>
      <c r="D658" s="7"/>
      <c r="E658" s="10"/>
      <c r="F658" s="6"/>
      <c r="G658" s="6"/>
      <c r="H658" s="6"/>
      <c r="I658" s="6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ht="15.75" customHeight="1">
      <c r="A659" s="6"/>
      <c r="B659" s="6"/>
      <c r="C659" s="6"/>
      <c r="D659" s="7"/>
      <c r="E659" s="10"/>
      <c r="F659" s="6"/>
      <c r="G659" s="6"/>
      <c r="H659" s="6"/>
      <c r="I659" s="6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ht="15.75" customHeight="1">
      <c r="A660" s="6"/>
      <c r="B660" s="6"/>
      <c r="C660" s="6"/>
      <c r="D660" s="7"/>
      <c r="E660" s="10"/>
      <c r="F660" s="6"/>
      <c r="G660" s="6"/>
      <c r="H660" s="6"/>
      <c r="I660" s="6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ht="15.75" customHeight="1">
      <c r="A661" s="6"/>
      <c r="B661" s="6"/>
      <c r="C661" s="6"/>
      <c r="D661" s="7"/>
      <c r="E661" s="10"/>
      <c r="F661" s="6"/>
      <c r="G661" s="6"/>
      <c r="H661" s="6"/>
      <c r="I661" s="6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ht="15.75" customHeight="1">
      <c r="A662" s="6"/>
      <c r="B662" s="6"/>
      <c r="C662" s="6"/>
      <c r="D662" s="7"/>
      <c r="E662" s="10"/>
      <c r="F662" s="6"/>
      <c r="G662" s="6"/>
      <c r="H662" s="6"/>
      <c r="I662" s="6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ht="15.75" customHeight="1">
      <c r="A663" s="6"/>
      <c r="B663" s="6"/>
      <c r="C663" s="6"/>
      <c r="D663" s="7"/>
      <c r="E663" s="10"/>
      <c r="F663" s="6"/>
      <c r="G663" s="6"/>
      <c r="H663" s="6"/>
      <c r="I663" s="6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ht="15.75" customHeight="1">
      <c r="A664" s="6"/>
      <c r="B664" s="6"/>
      <c r="C664" s="6"/>
      <c r="D664" s="7"/>
      <c r="E664" s="10"/>
      <c r="F664" s="6"/>
      <c r="G664" s="6"/>
      <c r="H664" s="6"/>
      <c r="I664" s="6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ht="15.75" customHeight="1">
      <c r="A665" s="6"/>
      <c r="B665" s="6"/>
      <c r="C665" s="6"/>
      <c r="D665" s="7"/>
      <c r="E665" s="10"/>
      <c r="F665" s="6"/>
      <c r="G665" s="6"/>
      <c r="H665" s="6"/>
      <c r="I665" s="6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ht="15.75" customHeight="1">
      <c r="A666" s="6"/>
      <c r="B666" s="6"/>
      <c r="C666" s="6"/>
      <c r="D666" s="7"/>
      <c r="E666" s="10"/>
      <c r="F666" s="6"/>
      <c r="G666" s="6"/>
      <c r="H666" s="6"/>
      <c r="I666" s="6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ht="15.75" customHeight="1">
      <c r="A667" s="6"/>
      <c r="B667" s="6"/>
      <c r="C667" s="6"/>
      <c r="D667" s="7"/>
      <c r="E667" s="10"/>
      <c r="F667" s="6"/>
      <c r="G667" s="6"/>
      <c r="H667" s="6"/>
      <c r="I667" s="6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ht="15.75" customHeight="1">
      <c r="A668" s="6"/>
      <c r="B668" s="6"/>
      <c r="C668" s="6"/>
      <c r="D668" s="7"/>
      <c r="E668" s="10"/>
      <c r="F668" s="6"/>
      <c r="G668" s="6"/>
      <c r="H668" s="6"/>
      <c r="I668" s="6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ht="15.75" customHeight="1">
      <c r="A669" s="6"/>
      <c r="B669" s="6"/>
      <c r="C669" s="6"/>
      <c r="D669" s="7"/>
      <c r="E669" s="10"/>
      <c r="F669" s="6"/>
      <c r="G669" s="6"/>
      <c r="H669" s="6"/>
      <c r="I669" s="6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ht="15.75" customHeight="1">
      <c r="A670" s="6"/>
      <c r="B670" s="6"/>
      <c r="C670" s="6"/>
      <c r="D670" s="7"/>
      <c r="E670" s="10"/>
      <c r="F670" s="6"/>
      <c r="G670" s="6"/>
      <c r="H670" s="6"/>
      <c r="I670" s="6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ht="15.75" customHeight="1">
      <c r="A671" s="6"/>
      <c r="B671" s="6"/>
      <c r="C671" s="6"/>
      <c r="D671" s="7"/>
      <c r="E671" s="10"/>
      <c r="F671" s="6"/>
      <c r="G671" s="6"/>
      <c r="H671" s="6"/>
      <c r="I671" s="6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ht="15.75" customHeight="1">
      <c r="A672" s="6"/>
      <c r="B672" s="6"/>
      <c r="C672" s="6"/>
      <c r="D672" s="7"/>
      <c r="E672" s="10"/>
      <c r="F672" s="6"/>
      <c r="G672" s="6"/>
      <c r="H672" s="6"/>
      <c r="I672" s="6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ht="15.75" customHeight="1">
      <c r="A673" s="6"/>
      <c r="B673" s="6"/>
      <c r="C673" s="6"/>
      <c r="D673" s="7"/>
      <c r="E673" s="10"/>
      <c r="F673" s="6"/>
      <c r="G673" s="6"/>
      <c r="H673" s="6"/>
      <c r="I673" s="6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ht="15.75" customHeight="1">
      <c r="A674" s="6"/>
      <c r="B674" s="6"/>
      <c r="C674" s="6"/>
      <c r="D674" s="7"/>
      <c r="E674" s="10"/>
      <c r="F674" s="6"/>
      <c r="G674" s="6"/>
      <c r="H674" s="6"/>
      <c r="I674" s="6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ht="15.75" customHeight="1">
      <c r="A675" s="6"/>
      <c r="B675" s="6"/>
      <c r="C675" s="6"/>
      <c r="D675" s="7"/>
      <c r="E675" s="10"/>
      <c r="F675" s="6"/>
      <c r="G675" s="6"/>
      <c r="H675" s="6"/>
      <c r="I675" s="6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ht="15.75" customHeight="1">
      <c r="A676" s="6"/>
      <c r="B676" s="6"/>
      <c r="C676" s="6"/>
      <c r="D676" s="7"/>
      <c r="E676" s="10"/>
      <c r="F676" s="6"/>
      <c r="G676" s="6"/>
      <c r="H676" s="6"/>
      <c r="I676" s="6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ht="15.75" customHeight="1">
      <c r="A677" s="6"/>
      <c r="B677" s="6"/>
      <c r="C677" s="6"/>
      <c r="D677" s="7"/>
      <c r="E677" s="10"/>
      <c r="F677" s="6"/>
      <c r="G677" s="6"/>
      <c r="H677" s="6"/>
      <c r="I677" s="6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ht="15.75" customHeight="1">
      <c r="A678" s="6"/>
      <c r="B678" s="6"/>
      <c r="C678" s="6"/>
      <c r="D678" s="7"/>
      <c r="E678" s="10"/>
      <c r="F678" s="6"/>
      <c r="G678" s="6"/>
      <c r="H678" s="6"/>
      <c r="I678" s="6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ht="15.75" customHeight="1">
      <c r="A679" s="6"/>
      <c r="B679" s="6"/>
      <c r="C679" s="6"/>
      <c r="D679" s="7"/>
      <c r="E679" s="10"/>
      <c r="F679" s="6"/>
      <c r="G679" s="6"/>
      <c r="H679" s="6"/>
      <c r="I679" s="6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ht="15.75" customHeight="1">
      <c r="A680" s="6"/>
      <c r="B680" s="6"/>
      <c r="C680" s="6"/>
      <c r="D680" s="7"/>
      <c r="E680" s="10"/>
      <c r="F680" s="6"/>
      <c r="G680" s="6"/>
      <c r="H680" s="6"/>
      <c r="I680" s="6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ht="15.75" customHeight="1">
      <c r="A681" s="6"/>
      <c r="B681" s="6"/>
      <c r="C681" s="6"/>
      <c r="D681" s="7"/>
      <c r="E681" s="10"/>
      <c r="F681" s="6"/>
      <c r="G681" s="6"/>
      <c r="H681" s="6"/>
      <c r="I681" s="6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ht="15.75" customHeight="1">
      <c r="A682" s="6"/>
      <c r="B682" s="6"/>
      <c r="C682" s="6"/>
      <c r="D682" s="7"/>
      <c r="E682" s="10"/>
      <c r="F682" s="6"/>
      <c r="G682" s="6"/>
      <c r="H682" s="6"/>
      <c r="I682" s="6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ht="15.75" customHeight="1">
      <c r="A683" s="6"/>
      <c r="B683" s="6"/>
      <c r="C683" s="6"/>
      <c r="D683" s="7"/>
      <c r="E683" s="10"/>
      <c r="F683" s="6"/>
      <c r="G683" s="6"/>
      <c r="H683" s="6"/>
      <c r="I683" s="6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ht="15.75" customHeight="1">
      <c r="A684" s="6"/>
      <c r="B684" s="6"/>
      <c r="C684" s="6"/>
      <c r="D684" s="7"/>
      <c r="E684" s="10"/>
      <c r="F684" s="6"/>
      <c r="G684" s="6"/>
      <c r="H684" s="6"/>
      <c r="I684" s="6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ht="15.75" customHeight="1">
      <c r="A685" s="6"/>
      <c r="B685" s="6"/>
      <c r="C685" s="6"/>
      <c r="D685" s="7"/>
      <c r="E685" s="10"/>
      <c r="F685" s="6"/>
      <c r="G685" s="6"/>
      <c r="H685" s="6"/>
      <c r="I685" s="6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ht="15.75" customHeight="1">
      <c r="A686" s="6"/>
      <c r="B686" s="6"/>
      <c r="C686" s="6"/>
      <c r="D686" s="7"/>
      <c r="E686" s="10"/>
      <c r="F686" s="6"/>
      <c r="G686" s="6"/>
      <c r="H686" s="6"/>
      <c r="I686" s="6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ht="15.75" customHeight="1">
      <c r="A687" s="6"/>
      <c r="B687" s="6"/>
      <c r="C687" s="6"/>
      <c r="D687" s="7"/>
      <c r="E687" s="10"/>
      <c r="F687" s="6"/>
      <c r="G687" s="6"/>
      <c r="H687" s="6"/>
      <c r="I687" s="6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ht="15.75" customHeight="1">
      <c r="A688" s="6"/>
      <c r="B688" s="6"/>
      <c r="C688" s="6"/>
      <c r="D688" s="7"/>
      <c r="E688" s="10"/>
      <c r="F688" s="6"/>
      <c r="G688" s="6"/>
      <c r="H688" s="6"/>
      <c r="I688" s="6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ht="15.75" customHeight="1">
      <c r="A689" s="6"/>
      <c r="B689" s="6"/>
      <c r="C689" s="6"/>
      <c r="D689" s="7"/>
      <c r="E689" s="10"/>
      <c r="F689" s="6"/>
      <c r="G689" s="6"/>
      <c r="H689" s="6"/>
      <c r="I689" s="6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ht="15.75" customHeight="1">
      <c r="A690" s="6"/>
      <c r="B690" s="6"/>
      <c r="C690" s="6"/>
      <c r="D690" s="7"/>
      <c r="E690" s="10"/>
      <c r="F690" s="6"/>
      <c r="G690" s="6"/>
      <c r="H690" s="6"/>
      <c r="I690" s="6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ht="15.75" customHeight="1">
      <c r="A691" s="6"/>
      <c r="B691" s="6"/>
      <c r="C691" s="6"/>
      <c r="D691" s="7"/>
      <c r="E691" s="10"/>
      <c r="F691" s="6"/>
      <c r="G691" s="6"/>
      <c r="H691" s="6"/>
      <c r="I691" s="6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ht="15.75" customHeight="1">
      <c r="A692" s="6"/>
      <c r="B692" s="6"/>
      <c r="C692" s="6"/>
      <c r="D692" s="7"/>
      <c r="E692" s="10"/>
      <c r="F692" s="6"/>
      <c r="G692" s="6"/>
      <c r="H692" s="6"/>
      <c r="I692" s="6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ht="15.75" customHeight="1">
      <c r="A693" s="6"/>
      <c r="B693" s="6"/>
      <c r="C693" s="6"/>
      <c r="D693" s="7"/>
      <c r="E693" s="10"/>
      <c r="F693" s="6"/>
      <c r="G693" s="6"/>
      <c r="H693" s="6"/>
      <c r="I693" s="6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ht="15.75" customHeight="1">
      <c r="A694" s="6"/>
      <c r="B694" s="6"/>
      <c r="C694" s="6"/>
      <c r="D694" s="7"/>
      <c r="E694" s="10"/>
      <c r="F694" s="6"/>
      <c r="G694" s="6"/>
      <c r="H694" s="6"/>
      <c r="I694" s="6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ht="15.75" customHeight="1">
      <c r="A695" s="6"/>
      <c r="B695" s="6"/>
      <c r="C695" s="6"/>
      <c r="D695" s="7"/>
      <c r="E695" s="10"/>
      <c r="F695" s="6"/>
      <c r="G695" s="6"/>
      <c r="H695" s="6"/>
      <c r="I695" s="6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ht="15.75" customHeight="1">
      <c r="A696" s="6"/>
      <c r="B696" s="6"/>
      <c r="C696" s="6"/>
      <c r="D696" s="7"/>
      <c r="E696" s="10"/>
      <c r="F696" s="6"/>
      <c r="G696" s="6"/>
      <c r="H696" s="6"/>
      <c r="I696" s="6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ht="15.75" customHeight="1">
      <c r="A697" s="6"/>
      <c r="B697" s="6"/>
      <c r="C697" s="6"/>
      <c r="D697" s="7"/>
      <c r="E697" s="10"/>
      <c r="F697" s="6"/>
      <c r="G697" s="6"/>
      <c r="H697" s="6"/>
      <c r="I697" s="6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ht="15.75" customHeight="1">
      <c r="A698" s="6"/>
      <c r="B698" s="6"/>
      <c r="C698" s="6"/>
      <c r="D698" s="7"/>
      <c r="E698" s="10"/>
      <c r="F698" s="6"/>
      <c r="G698" s="6"/>
      <c r="H698" s="6"/>
      <c r="I698" s="6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ht="15.75" customHeight="1">
      <c r="A699" s="6"/>
      <c r="B699" s="6"/>
      <c r="C699" s="6"/>
      <c r="D699" s="7"/>
      <c r="E699" s="10"/>
      <c r="F699" s="6"/>
      <c r="G699" s="6"/>
      <c r="H699" s="6"/>
      <c r="I699" s="6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ht="15.75" customHeight="1">
      <c r="A700" s="6"/>
      <c r="B700" s="6"/>
      <c r="C700" s="6"/>
      <c r="D700" s="7"/>
      <c r="E700" s="10"/>
      <c r="F700" s="6"/>
      <c r="G700" s="6"/>
      <c r="H700" s="6"/>
      <c r="I700" s="6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ht="15.75" customHeight="1">
      <c r="A701" s="6"/>
      <c r="B701" s="6"/>
      <c r="C701" s="6"/>
      <c r="D701" s="7"/>
      <c r="E701" s="10"/>
      <c r="F701" s="6"/>
      <c r="G701" s="6"/>
      <c r="H701" s="6"/>
      <c r="I701" s="6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ht="15.75" customHeight="1">
      <c r="A702" s="6"/>
      <c r="B702" s="6"/>
      <c r="C702" s="6"/>
      <c r="D702" s="7"/>
      <c r="E702" s="10"/>
      <c r="F702" s="6"/>
      <c r="G702" s="6"/>
      <c r="H702" s="6"/>
      <c r="I702" s="6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ht="15.75" customHeight="1">
      <c r="A703" s="6"/>
      <c r="B703" s="6"/>
      <c r="C703" s="6"/>
      <c r="D703" s="7"/>
      <c r="E703" s="10"/>
      <c r="F703" s="6"/>
      <c r="G703" s="6"/>
      <c r="H703" s="6"/>
      <c r="I703" s="6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ht="15.75" customHeight="1">
      <c r="A704" s="6"/>
      <c r="B704" s="6"/>
      <c r="C704" s="6"/>
      <c r="D704" s="7"/>
      <c r="E704" s="10"/>
      <c r="F704" s="6"/>
      <c r="G704" s="6"/>
      <c r="H704" s="6"/>
      <c r="I704" s="6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ht="15.75" customHeight="1">
      <c r="A705" s="6"/>
      <c r="B705" s="6"/>
      <c r="C705" s="6"/>
      <c r="D705" s="7"/>
      <c r="E705" s="10"/>
      <c r="F705" s="6"/>
      <c r="G705" s="6"/>
      <c r="H705" s="6"/>
      <c r="I705" s="6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ht="15.75" customHeight="1">
      <c r="A706" s="6"/>
      <c r="B706" s="6"/>
      <c r="C706" s="6"/>
      <c r="D706" s="7"/>
      <c r="E706" s="10"/>
      <c r="F706" s="6"/>
      <c r="G706" s="6"/>
      <c r="H706" s="6"/>
      <c r="I706" s="6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ht="15.75" customHeight="1">
      <c r="A707" s="6"/>
      <c r="B707" s="6"/>
      <c r="C707" s="6"/>
      <c r="D707" s="7"/>
      <c r="E707" s="10"/>
      <c r="F707" s="6"/>
      <c r="G707" s="6"/>
      <c r="H707" s="6"/>
      <c r="I707" s="6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ht="15.75" customHeight="1">
      <c r="A708" s="6"/>
      <c r="B708" s="6"/>
      <c r="C708" s="6"/>
      <c r="D708" s="7"/>
      <c r="E708" s="10"/>
      <c r="F708" s="6"/>
      <c r="G708" s="6"/>
      <c r="H708" s="6"/>
      <c r="I708" s="6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ht="15.75" customHeight="1">
      <c r="A709" s="6"/>
      <c r="B709" s="6"/>
      <c r="C709" s="6"/>
      <c r="D709" s="7"/>
      <c r="E709" s="10"/>
      <c r="F709" s="6"/>
      <c r="G709" s="6"/>
      <c r="H709" s="6"/>
      <c r="I709" s="6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ht="15.75" customHeight="1">
      <c r="A710" s="6"/>
      <c r="B710" s="6"/>
      <c r="C710" s="6"/>
      <c r="D710" s="7"/>
      <c r="E710" s="10"/>
      <c r="F710" s="6"/>
      <c r="G710" s="6"/>
      <c r="H710" s="6"/>
      <c r="I710" s="6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ht="15.75" customHeight="1">
      <c r="A711" s="6"/>
      <c r="B711" s="6"/>
      <c r="C711" s="6"/>
      <c r="D711" s="7"/>
      <c r="E711" s="10"/>
      <c r="F711" s="6"/>
      <c r="G711" s="6"/>
      <c r="H711" s="6"/>
      <c r="I711" s="6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ht="15.75" customHeight="1">
      <c r="A712" s="6"/>
      <c r="B712" s="6"/>
      <c r="C712" s="6"/>
      <c r="D712" s="7"/>
      <c r="E712" s="10"/>
      <c r="F712" s="6"/>
      <c r="G712" s="6"/>
      <c r="H712" s="6"/>
      <c r="I712" s="6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ht="15.75" customHeight="1">
      <c r="A713" s="6"/>
      <c r="B713" s="6"/>
      <c r="C713" s="6"/>
      <c r="D713" s="7"/>
      <c r="E713" s="10"/>
      <c r="F713" s="6"/>
      <c r="G713" s="6"/>
      <c r="H713" s="6"/>
      <c r="I713" s="6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ht="15.75" customHeight="1">
      <c r="A714" s="6"/>
      <c r="B714" s="6"/>
      <c r="C714" s="6"/>
      <c r="D714" s="7"/>
      <c r="E714" s="10"/>
      <c r="F714" s="6"/>
      <c r="G714" s="6"/>
      <c r="H714" s="6"/>
      <c r="I714" s="6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ht="15.75" customHeight="1">
      <c r="A715" s="6"/>
      <c r="B715" s="6"/>
      <c r="C715" s="6"/>
      <c r="D715" s="7"/>
      <c r="E715" s="10"/>
      <c r="F715" s="6"/>
      <c r="G715" s="6"/>
      <c r="H715" s="6"/>
      <c r="I715" s="6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ht="15.75" customHeight="1">
      <c r="A716" s="6"/>
      <c r="B716" s="6"/>
      <c r="C716" s="6"/>
      <c r="D716" s="7"/>
      <c r="E716" s="10"/>
      <c r="F716" s="6"/>
      <c r="G716" s="6"/>
      <c r="H716" s="6"/>
      <c r="I716" s="6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ht="15.75" customHeight="1">
      <c r="A717" s="6"/>
      <c r="B717" s="6"/>
      <c r="C717" s="6"/>
      <c r="D717" s="7"/>
      <c r="E717" s="10"/>
      <c r="F717" s="6"/>
      <c r="G717" s="6"/>
      <c r="H717" s="6"/>
      <c r="I717" s="6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ht="15.75" customHeight="1">
      <c r="A718" s="6"/>
      <c r="B718" s="6"/>
      <c r="C718" s="6"/>
      <c r="D718" s="7"/>
      <c r="E718" s="10"/>
      <c r="F718" s="6"/>
      <c r="G718" s="6"/>
      <c r="H718" s="6"/>
      <c r="I718" s="6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ht="15.75" customHeight="1">
      <c r="A719" s="6"/>
      <c r="B719" s="6"/>
      <c r="C719" s="6"/>
      <c r="D719" s="7"/>
      <c r="E719" s="10"/>
      <c r="F719" s="6"/>
      <c r="G719" s="6"/>
      <c r="H719" s="6"/>
      <c r="I719" s="6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ht="15.75" customHeight="1">
      <c r="A720" s="6"/>
      <c r="B720" s="6"/>
      <c r="C720" s="6"/>
      <c r="D720" s="7"/>
      <c r="E720" s="10"/>
      <c r="F720" s="6"/>
      <c r="G720" s="6"/>
      <c r="H720" s="6"/>
      <c r="I720" s="6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ht="15.75" customHeight="1">
      <c r="A721" s="6"/>
      <c r="B721" s="6"/>
      <c r="C721" s="6"/>
      <c r="D721" s="7"/>
      <c r="E721" s="10"/>
      <c r="F721" s="6"/>
      <c r="G721" s="6"/>
      <c r="H721" s="6"/>
      <c r="I721" s="6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ht="15.75" customHeight="1">
      <c r="A722" s="6"/>
      <c r="B722" s="6"/>
      <c r="C722" s="6"/>
      <c r="D722" s="7"/>
      <c r="E722" s="10"/>
      <c r="F722" s="6"/>
      <c r="G722" s="6"/>
      <c r="H722" s="6"/>
      <c r="I722" s="6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ht="15.75" customHeight="1">
      <c r="A723" s="6"/>
      <c r="B723" s="6"/>
      <c r="C723" s="6"/>
      <c r="D723" s="7"/>
      <c r="E723" s="10"/>
      <c r="F723" s="6"/>
      <c r="G723" s="6"/>
      <c r="H723" s="6"/>
      <c r="I723" s="6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ht="15.75" customHeight="1">
      <c r="A724" s="6"/>
      <c r="B724" s="6"/>
      <c r="C724" s="6"/>
      <c r="D724" s="7"/>
      <c r="E724" s="10"/>
      <c r="F724" s="6"/>
      <c r="G724" s="6"/>
      <c r="H724" s="6"/>
      <c r="I724" s="6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ht="15.75" customHeight="1">
      <c r="A725" s="6"/>
      <c r="B725" s="6"/>
      <c r="C725" s="6"/>
      <c r="D725" s="7"/>
      <c r="E725" s="10"/>
      <c r="F725" s="6"/>
      <c r="G725" s="6"/>
      <c r="H725" s="6"/>
      <c r="I725" s="6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ht="15.75" customHeight="1">
      <c r="A726" s="6"/>
      <c r="B726" s="6"/>
      <c r="C726" s="6"/>
      <c r="D726" s="7"/>
      <c r="E726" s="10"/>
      <c r="F726" s="6"/>
      <c r="G726" s="6"/>
      <c r="H726" s="6"/>
      <c r="I726" s="6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ht="15.75" customHeight="1">
      <c r="A727" s="6"/>
      <c r="B727" s="6"/>
      <c r="C727" s="6"/>
      <c r="D727" s="7"/>
      <c r="E727" s="10"/>
      <c r="F727" s="6"/>
      <c r="G727" s="6"/>
      <c r="H727" s="6"/>
      <c r="I727" s="6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ht="15.75" customHeight="1">
      <c r="A728" s="6"/>
      <c r="B728" s="6"/>
      <c r="C728" s="6"/>
      <c r="D728" s="7"/>
      <c r="E728" s="10"/>
      <c r="F728" s="6"/>
      <c r="G728" s="6"/>
      <c r="H728" s="6"/>
      <c r="I728" s="6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ht="15.75" customHeight="1">
      <c r="A729" s="6"/>
      <c r="B729" s="6"/>
      <c r="C729" s="6"/>
      <c r="D729" s="7"/>
      <c r="E729" s="10"/>
      <c r="F729" s="6"/>
      <c r="G729" s="6"/>
      <c r="H729" s="6"/>
      <c r="I729" s="6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ht="15.75" customHeight="1">
      <c r="A730" s="6"/>
      <c r="B730" s="6"/>
      <c r="C730" s="6"/>
      <c r="D730" s="7"/>
      <c r="E730" s="10"/>
      <c r="F730" s="6"/>
      <c r="G730" s="6"/>
      <c r="H730" s="6"/>
      <c r="I730" s="6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ht="15.75" customHeight="1">
      <c r="A731" s="6"/>
      <c r="B731" s="6"/>
      <c r="C731" s="6"/>
      <c r="D731" s="7"/>
      <c r="E731" s="10"/>
      <c r="F731" s="6"/>
      <c r="G731" s="6"/>
      <c r="H731" s="6"/>
      <c r="I731" s="6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ht="15.75" customHeight="1">
      <c r="A732" s="6"/>
      <c r="B732" s="6"/>
      <c r="C732" s="6"/>
      <c r="D732" s="7"/>
      <c r="E732" s="10"/>
      <c r="F732" s="6"/>
      <c r="G732" s="6"/>
      <c r="H732" s="6"/>
      <c r="I732" s="6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ht="15.75" customHeight="1">
      <c r="A733" s="6"/>
      <c r="B733" s="6"/>
      <c r="C733" s="6"/>
      <c r="D733" s="7"/>
      <c r="E733" s="10"/>
      <c r="F733" s="6"/>
      <c r="G733" s="6"/>
      <c r="H733" s="6"/>
      <c r="I733" s="6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ht="15.75" customHeight="1">
      <c r="A734" s="6"/>
      <c r="B734" s="6"/>
      <c r="C734" s="6"/>
      <c r="D734" s="7"/>
      <c r="E734" s="10"/>
      <c r="F734" s="6"/>
      <c r="G734" s="6"/>
      <c r="H734" s="6"/>
      <c r="I734" s="6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ht="15.75" customHeight="1">
      <c r="A735" s="6"/>
      <c r="B735" s="6"/>
      <c r="C735" s="6"/>
      <c r="D735" s="7"/>
      <c r="E735" s="10"/>
      <c r="F735" s="6"/>
      <c r="G735" s="6"/>
      <c r="H735" s="6"/>
      <c r="I735" s="6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ht="15.75" customHeight="1">
      <c r="A736" s="6"/>
      <c r="B736" s="6"/>
      <c r="C736" s="6"/>
      <c r="D736" s="7"/>
      <c r="E736" s="10"/>
      <c r="F736" s="6"/>
      <c r="G736" s="6"/>
      <c r="H736" s="6"/>
      <c r="I736" s="6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ht="15.75" customHeight="1">
      <c r="A737" s="6"/>
      <c r="B737" s="6"/>
      <c r="C737" s="6"/>
      <c r="D737" s="7"/>
      <c r="E737" s="10"/>
      <c r="F737" s="6"/>
      <c r="G737" s="6"/>
      <c r="H737" s="6"/>
      <c r="I737" s="6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ht="15.75" customHeight="1">
      <c r="A738" s="6"/>
      <c r="B738" s="6"/>
      <c r="C738" s="6"/>
      <c r="D738" s="7"/>
      <c r="E738" s="10"/>
      <c r="F738" s="6"/>
      <c r="G738" s="6"/>
      <c r="H738" s="6"/>
      <c r="I738" s="6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ht="15.75" customHeight="1">
      <c r="A739" s="6"/>
      <c r="B739" s="6"/>
      <c r="C739" s="6"/>
      <c r="D739" s="7"/>
      <c r="E739" s="10"/>
      <c r="F739" s="6"/>
      <c r="G739" s="6"/>
      <c r="H739" s="6"/>
      <c r="I739" s="6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ht="15.75" customHeight="1">
      <c r="A740" s="6"/>
      <c r="B740" s="6"/>
      <c r="C740" s="6"/>
      <c r="D740" s="7"/>
      <c r="E740" s="10"/>
      <c r="F740" s="6"/>
      <c r="G740" s="6"/>
      <c r="H740" s="6"/>
      <c r="I740" s="6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ht="15.75" customHeight="1">
      <c r="A741" s="6"/>
      <c r="B741" s="6"/>
      <c r="C741" s="6"/>
      <c r="D741" s="7"/>
      <c r="E741" s="10"/>
      <c r="F741" s="6"/>
      <c r="G741" s="6"/>
      <c r="H741" s="6"/>
      <c r="I741" s="6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ht="15.75" customHeight="1">
      <c r="A742" s="6"/>
      <c r="B742" s="6"/>
      <c r="C742" s="6"/>
      <c r="D742" s="7"/>
      <c r="E742" s="10"/>
      <c r="F742" s="6"/>
      <c r="G742" s="6"/>
      <c r="H742" s="6"/>
      <c r="I742" s="6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ht="15.75" customHeight="1">
      <c r="A743" s="6"/>
      <c r="B743" s="6"/>
      <c r="C743" s="6"/>
      <c r="D743" s="7"/>
      <c r="E743" s="10"/>
      <c r="F743" s="6"/>
      <c r="G743" s="6"/>
      <c r="H743" s="6"/>
      <c r="I743" s="6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ht="15.75" customHeight="1">
      <c r="A744" s="6"/>
      <c r="B744" s="6"/>
      <c r="C744" s="6"/>
      <c r="D744" s="7"/>
      <c r="E744" s="10"/>
      <c r="F744" s="6"/>
      <c r="G744" s="6"/>
      <c r="H744" s="6"/>
      <c r="I744" s="6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ht="15.75" customHeight="1">
      <c r="A745" s="6"/>
      <c r="B745" s="6"/>
      <c r="C745" s="6"/>
      <c r="D745" s="7"/>
      <c r="E745" s="10"/>
      <c r="F745" s="6"/>
      <c r="G745" s="6"/>
      <c r="H745" s="6"/>
      <c r="I745" s="6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ht="15.75" customHeight="1">
      <c r="A746" s="6"/>
      <c r="B746" s="6"/>
      <c r="C746" s="6"/>
      <c r="D746" s="7"/>
      <c r="E746" s="10"/>
      <c r="F746" s="6"/>
      <c r="G746" s="6"/>
      <c r="H746" s="6"/>
      <c r="I746" s="6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ht="15.75" customHeight="1">
      <c r="A747" s="6"/>
      <c r="B747" s="6"/>
      <c r="C747" s="6"/>
      <c r="D747" s="7"/>
      <c r="E747" s="10"/>
      <c r="F747" s="6"/>
      <c r="G747" s="6"/>
      <c r="H747" s="6"/>
      <c r="I747" s="6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ht="15.75" customHeight="1">
      <c r="A748" s="6"/>
      <c r="B748" s="6"/>
      <c r="C748" s="6"/>
      <c r="D748" s="7"/>
      <c r="E748" s="10"/>
      <c r="F748" s="6"/>
      <c r="G748" s="6"/>
      <c r="H748" s="6"/>
      <c r="I748" s="6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ht="15.75" customHeight="1">
      <c r="A749" s="6"/>
      <c r="B749" s="6"/>
      <c r="C749" s="6"/>
      <c r="D749" s="7"/>
      <c r="E749" s="10"/>
      <c r="F749" s="6"/>
      <c r="G749" s="6"/>
      <c r="H749" s="6"/>
      <c r="I749" s="6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ht="15.75" customHeight="1">
      <c r="A750" s="6"/>
      <c r="B750" s="6"/>
      <c r="C750" s="6"/>
      <c r="D750" s="7"/>
      <c r="E750" s="10"/>
      <c r="F750" s="6"/>
      <c r="G750" s="6"/>
      <c r="H750" s="6"/>
      <c r="I750" s="6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ht="15.75" customHeight="1">
      <c r="A751" s="6"/>
      <c r="B751" s="6"/>
      <c r="C751" s="6"/>
      <c r="D751" s="7"/>
      <c r="E751" s="10"/>
      <c r="F751" s="6"/>
      <c r="G751" s="6"/>
      <c r="H751" s="6"/>
      <c r="I751" s="6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ht="15.75" customHeight="1">
      <c r="A752" s="6"/>
      <c r="B752" s="6"/>
      <c r="C752" s="6"/>
      <c r="D752" s="7"/>
      <c r="E752" s="10"/>
      <c r="F752" s="6"/>
      <c r="G752" s="6"/>
      <c r="H752" s="6"/>
      <c r="I752" s="6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ht="15.75" customHeight="1">
      <c r="A753" s="6"/>
      <c r="B753" s="6"/>
      <c r="C753" s="6"/>
      <c r="D753" s="7"/>
      <c r="E753" s="10"/>
      <c r="F753" s="6"/>
      <c r="G753" s="6"/>
      <c r="H753" s="6"/>
      <c r="I753" s="6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ht="15.75" customHeight="1">
      <c r="A754" s="6"/>
      <c r="B754" s="6"/>
      <c r="C754" s="6"/>
      <c r="D754" s="7"/>
      <c r="E754" s="10"/>
      <c r="F754" s="6"/>
      <c r="G754" s="6"/>
      <c r="H754" s="6"/>
      <c r="I754" s="6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ht="15.75" customHeight="1">
      <c r="A755" s="6"/>
      <c r="B755" s="6"/>
      <c r="C755" s="6"/>
      <c r="D755" s="7"/>
      <c r="E755" s="10"/>
      <c r="F755" s="6"/>
      <c r="G755" s="6"/>
      <c r="H755" s="6"/>
      <c r="I755" s="6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ht="15.75" customHeight="1">
      <c r="A756" s="6"/>
      <c r="B756" s="6"/>
      <c r="C756" s="6"/>
      <c r="D756" s="7"/>
      <c r="E756" s="10"/>
      <c r="F756" s="6"/>
      <c r="G756" s="6"/>
      <c r="H756" s="6"/>
      <c r="I756" s="6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ht="15.75" customHeight="1">
      <c r="A757" s="6"/>
      <c r="B757" s="6"/>
      <c r="C757" s="6"/>
      <c r="D757" s="7"/>
      <c r="E757" s="10"/>
      <c r="F757" s="6"/>
      <c r="G757" s="6"/>
      <c r="H757" s="6"/>
      <c r="I757" s="6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ht="15.75" customHeight="1">
      <c r="A758" s="6"/>
      <c r="B758" s="6"/>
      <c r="C758" s="6"/>
      <c r="D758" s="7"/>
      <c r="E758" s="10"/>
      <c r="F758" s="6"/>
      <c r="G758" s="6"/>
      <c r="H758" s="6"/>
      <c r="I758" s="6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ht="15.75" customHeight="1">
      <c r="A759" s="6"/>
      <c r="B759" s="6"/>
      <c r="C759" s="6"/>
      <c r="D759" s="7"/>
      <c r="E759" s="10"/>
      <c r="F759" s="6"/>
      <c r="G759" s="6"/>
      <c r="H759" s="6"/>
      <c r="I759" s="6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ht="15.75" customHeight="1">
      <c r="A760" s="6"/>
      <c r="B760" s="6"/>
      <c r="C760" s="6"/>
      <c r="D760" s="7"/>
      <c r="E760" s="10"/>
      <c r="F760" s="6"/>
      <c r="G760" s="6"/>
      <c r="H760" s="6"/>
      <c r="I760" s="6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ht="15.75" customHeight="1">
      <c r="A761" s="6"/>
      <c r="B761" s="6"/>
      <c r="C761" s="6"/>
      <c r="D761" s="7"/>
      <c r="E761" s="10"/>
      <c r="F761" s="6"/>
      <c r="G761" s="6"/>
      <c r="H761" s="6"/>
      <c r="I761" s="6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ht="15.75" customHeight="1">
      <c r="A762" s="6"/>
      <c r="B762" s="6"/>
      <c r="C762" s="6"/>
      <c r="D762" s="7"/>
      <c r="E762" s="10"/>
      <c r="F762" s="6"/>
      <c r="G762" s="6"/>
      <c r="H762" s="6"/>
      <c r="I762" s="6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ht="15.75" customHeight="1">
      <c r="A763" s="6"/>
      <c r="B763" s="6"/>
      <c r="C763" s="6"/>
      <c r="D763" s="7"/>
      <c r="E763" s="10"/>
      <c r="F763" s="6"/>
      <c r="G763" s="6"/>
      <c r="H763" s="6"/>
      <c r="I763" s="6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ht="15.75" customHeight="1">
      <c r="A764" s="6"/>
      <c r="B764" s="6"/>
      <c r="C764" s="6"/>
      <c r="D764" s="7"/>
      <c r="E764" s="10"/>
      <c r="F764" s="6"/>
      <c r="G764" s="6"/>
      <c r="H764" s="6"/>
      <c r="I764" s="6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ht="15.75" customHeight="1">
      <c r="A765" s="6"/>
      <c r="B765" s="6"/>
      <c r="C765" s="6"/>
      <c r="D765" s="7"/>
      <c r="E765" s="10"/>
      <c r="F765" s="6"/>
      <c r="G765" s="6"/>
      <c r="H765" s="6"/>
      <c r="I765" s="6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ht="15.75" customHeight="1">
      <c r="A766" s="6"/>
      <c r="B766" s="6"/>
      <c r="C766" s="6"/>
      <c r="D766" s="7"/>
      <c r="E766" s="10"/>
      <c r="F766" s="6"/>
      <c r="G766" s="6"/>
      <c r="H766" s="6"/>
      <c r="I766" s="6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ht="15.75" customHeight="1">
      <c r="A767" s="6"/>
      <c r="B767" s="6"/>
      <c r="C767" s="6"/>
      <c r="D767" s="7"/>
      <c r="E767" s="10"/>
      <c r="F767" s="6"/>
      <c r="G767" s="6"/>
      <c r="H767" s="6"/>
      <c r="I767" s="6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ht="15.75" customHeight="1">
      <c r="A768" s="6"/>
      <c r="B768" s="6"/>
      <c r="C768" s="6"/>
      <c r="D768" s="7"/>
      <c r="E768" s="10"/>
      <c r="F768" s="6"/>
      <c r="G768" s="6"/>
      <c r="H768" s="6"/>
      <c r="I768" s="6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ht="15.75" customHeight="1">
      <c r="A769" s="6"/>
      <c r="B769" s="6"/>
      <c r="C769" s="6"/>
      <c r="D769" s="7"/>
      <c r="E769" s="10"/>
      <c r="F769" s="6"/>
      <c r="G769" s="6"/>
      <c r="H769" s="6"/>
      <c r="I769" s="6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ht="15.75" customHeight="1">
      <c r="A770" s="6"/>
      <c r="B770" s="6"/>
      <c r="C770" s="6"/>
      <c r="D770" s="7"/>
      <c r="E770" s="10"/>
      <c r="F770" s="6"/>
      <c r="G770" s="6"/>
      <c r="H770" s="6"/>
      <c r="I770" s="6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ht="15.75" customHeight="1">
      <c r="A771" s="6"/>
      <c r="B771" s="6"/>
      <c r="C771" s="6"/>
      <c r="D771" s="7"/>
      <c r="E771" s="10"/>
      <c r="F771" s="6"/>
      <c r="G771" s="6"/>
      <c r="H771" s="6"/>
      <c r="I771" s="6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ht="15.75" customHeight="1">
      <c r="A772" s="6"/>
      <c r="B772" s="6"/>
      <c r="C772" s="6"/>
      <c r="D772" s="7"/>
      <c r="E772" s="10"/>
      <c r="F772" s="6"/>
      <c r="G772" s="6"/>
      <c r="H772" s="6"/>
      <c r="I772" s="6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ht="15.75" customHeight="1">
      <c r="A773" s="6"/>
      <c r="B773" s="6"/>
      <c r="C773" s="6"/>
      <c r="D773" s="7"/>
      <c r="E773" s="10"/>
      <c r="F773" s="6"/>
      <c r="G773" s="6"/>
      <c r="H773" s="6"/>
      <c r="I773" s="6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ht="15.75" customHeight="1">
      <c r="A774" s="6"/>
      <c r="B774" s="6"/>
      <c r="C774" s="6"/>
      <c r="D774" s="7"/>
      <c r="E774" s="10"/>
      <c r="F774" s="6"/>
      <c r="G774" s="6"/>
      <c r="H774" s="6"/>
      <c r="I774" s="6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ht="15.75" customHeight="1">
      <c r="A775" s="6"/>
      <c r="B775" s="6"/>
      <c r="C775" s="6"/>
      <c r="D775" s="7"/>
      <c r="E775" s="10"/>
      <c r="F775" s="6"/>
      <c r="G775" s="6"/>
      <c r="H775" s="6"/>
      <c r="I775" s="6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ht="15.75" customHeight="1">
      <c r="A776" s="6"/>
      <c r="B776" s="6"/>
      <c r="C776" s="6"/>
      <c r="D776" s="7"/>
      <c r="E776" s="10"/>
      <c r="F776" s="6"/>
      <c r="G776" s="6"/>
      <c r="H776" s="6"/>
      <c r="I776" s="6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ht="15.75" customHeight="1">
      <c r="A777" s="6"/>
      <c r="B777" s="6"/>
      <c r="C777" s="6"/>
      <c r="D777" s="7"/>
      <c r="E777" s="10"/>
      <c r="F777" s="6"/>
      <c r="G777" s="6"/>
      <c r="H777" s="6"/>
      <c r="I777" s="6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ht="15.75" customHeight="1">
      <c r="A778" s="6"/>
      <c r="B778" s="6"/>
      <c r="C778" s="6"/>
      <c r="D778" s="7"/>
      <c r="E778" s="10"/>
      <c r="F778" s="6"/>
      <c r="G778" s="6"/>
      <c r="H778" s="6"/>
      <c r="I778" s="6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ht="15.75" customHeight="1">
      <c r="A779" s="6"/>
      <c r="B779" s="6"/>
      <c r="C779" s="6"/>
      <c r="D779" s="7"/>
      <c r="E779" s="10"/>
      <c r="F779" s="6"/>
      <c r="G779" s="6"/>
      <c r="H779" s="6"/>
      <c r="I779" s="6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ht="15.75" customHeight="1">
      <c r="A780" s="6"/>
      <c r="B780" s="6"/>
      <c r="C780" s="6"/>
      <c r="D780" s="7"/>
      <c r="E780" s="10"/>
      <c r="F780" s="6"/>
      <c r="G780" s="6"/>
      <c r="H780" s="6"/>
      <c r="I780" s="6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ht="15.75" customHeight="1">
      <c r="A781" s="6"/>
      <c r="B781" s="6"/>
      <c r="C781" s="6"/>
      <c r="D781" s="7"/>
      <c r="E781" s="10"/>
      <c r="F781" s="6"/>
      <c r="G781" s="6"/>
      <c r="H781" s="6"/>
      <c r="I781" s="6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ht="15.75" customHeight="1">
      <c r="A782" s="6"/>
      <c r="B782" s="6"/>
      <c r="C782" s="6"/>
      <c r="D782" s="7"/>
      <c r="E782" s="10"/>
      <c r="F782" s="6"/>
      <c r="G782" s="6"/>
      <c r="H782" s="6"/>
      <c r="I782" s="6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ht="15.75" customHeight="1">
      <c r="A783" s="6"/>
      <c r="B783" s="6"/>
      <c r="C783" s="6"/>
      <c r="D783" s="7"/>
      <c r="E783" s="10"/>
      <c r="F783" s="6"/>
      <c r="G783" s="6"/>
      <c r="H783" s="6"/>
      <c r="I783" s="6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ht="15.75" customHeight="1">
      <c r="A784" s="6"/>
      <c r="B784" s="6"/>
      <c r="C784" s="6"/>
      <c r="D784" s="7"/>
      <c r="E784" s="10"/>
      <c r="F784" s="6"/>
      <c r="G784" s="6"/>
      <c r="H784" s="6"/>
      <c r="I784" s="6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ht="15.75" customHeight="1">
      <c r="A785" s="6"/>
      <c r="B785" s="6"/>
      <c r="C785" s="6"/>
      <c r="D785" s="7"/>
      <c r="E785" s="10"/>
      <c r="F785" s="6"/>
      <c r="G785" s="6"/>
      <c r="H785" s="6"/>
      <c r="I785" s="6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ht="15.75" customHeight="1">
      <c r="A786" s="6"/>
      <c r="B786" s="6"/>
      <c r="C786" s="6"/>
      <c r="D786" s="7"/>
      <c r="E786" s="10"/>
      <c r="F786" s="6"/>
      <c r="G786" s="6"/>
      <c r="H786" s="6"/>
      <c r="I786" s="6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ht="15.75" customHeight="1">
      <c r="A787" s="6"/>
      <c r="B787" s="6"/>
      <c r="C787" s="6"/>
      <c r="D787" s="7"/>
      <c r="E787" s="10"/>
      <c r="F787" s="6"/>
      <c r="G787" s="6"/>
      <c r="H787" s="6"/>
      <c r="I787" s="6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ht="15.75" customHeight="1">
      <c r="A788" s="6"/>
      <c r="B788" s="6"/>
      <c r="C788" s="6"/>
      <c r="D788" s="7"/>
      <c r="E788" s="10"/>
      <c r="F788" s="6"/>
      <c r="G788" s="6"/>
      <c r="H788" s="6"/>
      <c r="I788" s="6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ht="15.75" customHeight="1">
      <c r="A789" s="6"/>
      <c r="B789" s="6"/>
      <c r="C789" s="6"/>
      <c r="D789" s="7"/>
      <c r="E789" s="10"/>
      <c r="F789" s="6"/>
      <c r="G789" s="6"/>
      <c r="H789" s="6"/>
      <c r="I789" s="6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ht="15.75" customHeight="1">
      <c r="A790" s="6"/>
      <c r="B790" s="6"/>
      <c r="C790" s="6"/>
      <c r="D790" s="7"/>
      <c r="E790" s="10"/>
      <c r="F790" s="6"/>
      <c r="G790" s="6"/>
      <c r="H790" s="6"/>
      <c r="I790" s="6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ht="15.75" customHeight="1">
      <c r="A791" s="6"/>
      <c r="B791" s="6"/>
      <c r="C791" s="6"/>
      <c r="D791" s="7"/>
      <c r="E791" s="10"/>
      <c r="F791" s="6"/>
      <c r="G791" s="6"/>
      <c r="H791" s="6"/>
      <c r="I791" s="6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ht="15.75" customHeight="1">
      <c r="A792" s="6"/>
      <c r="B792" s="6"/>
      <c r="C792" s="6"/>
      <c r="D792" s="7"/>
      <c r="E792" s="10"/>
      <c r="F792" s="6"/>
      <c r="G792" s="6"/>
      <c r="H792" s="6"/>
      <c r="I792" s="6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ht="15.75" customHeight="1">
      <c r="A793" s="6"/>
      <c r="B793" s="6"/>
      <c r="C793" s="6"/>
      <c r="D793" s="7"/>
      <c r="E793" s="10"/>
      <c r="F793" s="6"/>
      <c r="G793" s="6"/>
      <c r="H793" s="6"/>
      <c r="I793" s="6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ht="15.75" customHeight="1">
      <c r="A794" s="6"/>
      <c r="B794" s="6"/>
      <c r="C794" s="6"/>
      <c r="D794" s="7"/>
      <c r="E794" s="10"/>
      <c r="F794" s="6"/>
      <c r="G794" s="6"/>
      <c r="H794" s="6"/>
      <c r="I794" s="6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ht="15.75" customHeight="1">
      <c r="A795" s="6"/>
      <c r="B795" s="6"/>
      <c r="C795" s="6"/>
      <c r="D795" s="7"/>
      <c r="E795" s="10"/>
      <c r="F795" s="6"/>
      <c r="G795" s="6"/>
      <c r="H795" s="6"/>
      <c r="I795" s="6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ht="15.75" customHeight="1">
      <c r="A796" s="6"/>
      <c r="B796" s="6"/>
      <c r="C796" s="6"/>
      <c r="D796" s="7"/>
      <c r="E796" s="10"/>
      <c r="F796" s="6"/>
      <c r="G796" s="6"/>
      <c r="H796" s="6"/>
      <c r="I796" s="6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ht="15.75" customHeight="1">
      <c r="A797" s="6"/>
      <c r="B797" s="6"/>
      <c r="C797" s="6"/>
      <c r="D797" s="7"/>
      <c r="E797" s="10"/>
      <c r="F797" s="6"/>
      <c r="G797" s="6"/>
      <c r="H797" s="6"/>
      <c r="I797" s="6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ht="15.75" customHeight="1">
      <c r="A798" s="6"/>
      <c r="B798" s="6"/>
      <c r="C798" s="6"/>
      <c r="D798" s="7"/>
      <c r="E798" s="10"/>
      <c r="F798" s="6"/>
      <c r="G798" s="6"/>
      <c r="H798" s="6"/>
      <c r="I798" s="6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ht="15.75" customHeight="1">
      <c r="A799" s="6"/>
      <c r="B799" s="6"/>
      <c r="C799" s="6"/>
      <c r="D799" s="7"/>
      <c r="E799" s="10"/>
      <c r="F799" s="6"/>
      <c r="G799" s="6"/>
      <c r="H799" s="6"/>
      <c r="I799" s="6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ht="15.75" customHeight="1">
      <c r="A800" s="6"/>
      <c r="B800" s="6"/>
      <c r="C800" s="6"/>
      <c r="D800" s="7"/>
      <c r="E800" s="10"/>
      <c r="F800" s="6"/>
      <c r="G800" s="6"/>
      <c r="H800" s="6"/>
      <c r="I800" s="6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ht="15.75" customHeight="1">
      <c r="A801" s="6"/>
      <c r="B801" s="6"/>
      <c r="C801" s="6"/>
      <c r="D801" s="7"/>
      <c r="E801" s="10"/>
      <c r="F801" s="6"/>
      <c r="G801" s="6"/>
      <c r="H801" s="6"/>
      <c r="I801" s="6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ht="15.75" customHeight="1">
      <c r="A802" s="6"/>
      <c r="B802" s="6"/>
      <c r="C802" s="6"/>
      <c r="D802" s="7"/>
      <c r="E802" s="10"/>
      <c r="F802" s="6"/>
      <c r="G802" s="6"/>
      <c r="H802" s="6"/>
      <c r="I802" s="6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ht="15.75" customHeight="1">
      <c r="A803" s="6"/>
      <c r="B803" s="6"/>
      <c r="C803" s="6"/>
      <c r="D803" s="7"/>
      <c r="E803" s="10"/>
      <c r="F803" s="6"/>
      <c r="G803" s="6"/>
      <c r="H803" s="6"/>
      <c r="I803" s="6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ht="15.75" customHeight="1">
      <c r="A804" s="6"/>
      <c r="B804" s="6"/>
      <c r="C804" s="6"/>
      <c r="D804" s="7"/>
      <c r="E804" s="10"/>
      <c r="F804" s="6"/>
      <c r="G804" s="6"/>
      <c r="H804" s="6"/>
      <c r="I804" s="6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ht="15.75" customHeight="1">
      <c r="A805" s="6"/>
      <c r="B805" s="6"/>
      <c r="C805" s="6"/>
      <c r="D805" s="7"/>
      <c r="E805" s="10"/>
      <c r="F805" s="6"/>
      <c r="G805" s="6"/>
      <c r="H805" s="6"/>
      <c r="I805" s="6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ht="15.75" customHeight="1">
      <c r="A806" s="6"/>
      <c r="B806" s="6"/>
      <c r="C806" s="6"/>
      <c r="D806" s="7"/>
      <c r="E806" s="10"/>
      <c r="F806" s="6"/>
      <c r="G806" s="6"/>
      <c r="H806" s="6"/>
      <c r="I806" s="6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ht="15.75" customHeight="1">
      <c r="A807" s="6"/>
      <c r="B807" s="6"/>
      <c r="C807" s="6"/>
      <c r="D807" s="7"/>
      <c r="E807" s="10"/>
      <c r="F807" s="6"/>
      <c r="G807" s="6"/>
      <c r="H807" s="6"/>
      <c r="I807" s="6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ht="15.75" customHeight="1">
      <c r="A808" s="6"/>
      <c r="B808" s="6"/>
      <c r="C808" s="6"/>
      <c r="D808" s="7"/>
      <c r="E808" s="10"/>
      <c r="F808" s="6"/>
      <c r="G808" s="6"/>
      <c r="H808" s="6"/>
      <c r="I808" s="6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ht="15.75" customHeight="1">
      <c r="A809" s="6"/>
      <c r="B809" s="6"/>
      <c r="C809" s="6"/>
      <c r="D809" s="7"/>
      <c r="E809" s="10"/>
      <c r="F809" s="6"/>
      <c r="G809" s="6"/>
      <c r="H809" s="6"/>
      <c r="I809" s="6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ht="15.75" customHeight="1">
      <c r="A810" s="6"/>
      <c r="B810" s="6"/>
      <c r="C810" s="6"/>
      <c r="D810" s="7"/>
      <c r="E810" s="10"/>
      <c r="F810" s="6"/>
      <c r="G810" s="6"/>
      <c r="H810" s="6"/>
      <c r="I810" s="6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ht="15.75" customHeight="1">
      <c r="A811" s="6"/>
      <c r="B811" s="6"/>
      <c r="C811" s="6"/>
      <c r="D811" s="7"/>
      <c r="E811" s="10"/>
      <c r="F811" s="6"/>
      <c r="G811" s="6"/>
      <c r="H811" s="6"/>
      <c r="I811" s="6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ht="15.75" customHeight="1">
      <c r="A812" s="6"/>
      <c r="B812" s="6"/>
      <c r="C812" s="6"/>
      <c r="D812" s="7"/>
      <c r="E812" s="10"/>
      <c r="F812" s="6"/>
      <c r="G812" s="6"/>
      <c r="H812" s="6"/>
      <c r="I812" s="6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ht="15.75" customHeight="1">
      <c r="A813" s="6"/>
      <c r="B813" s="6"/>
      <c r="C813" s="6"/>
      <c r="D813" s="7"/>
      <c r="E813" s="10"/>
      <c r="F813" s="6"/>
      <c r="G813" s="6"/>
      <c r="H813" s="6"/>
      <c r="I813" s="6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ht="15.75" customHeight="1">
      <c r="A814" s="6"/>
      <c r="B814" s="6"/>
      <c r="C814" s="6"/>
      <c r="D814" s="7"/>
      <c r="E814" s="10"/>
      <c r="F814" s="6"/>
      <c r="G814" s="6"/>
      <c r="H814" s="6"/>
      <c r="I814" s="6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ht="15.75" customHeight="1">
      <c r="A815" s="6"/>
      <c r="B815" s="6"/>
      <c r="C815" s="6"/>
      <c r="D815" s="7"/>
      <c r="E815" s="10"/>
      <c r="F815" s="6"/>
      <c r="G815" s="6"/>
      <c r="H815" s="6"/>
      <c r="I815" s="6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ht="15.75" customHeight="1">
      <c r="A816" s="6"/>
      <c r="B816" s="6"/>
      <c r="C816" s="6"/>
      <c r="D816" s="7"/>
      <c r="E816" s="10"/>
      <c r="F816" s="6"/>
      <c r="G816" s="6"/>
      <c r="H816" s="6"/>
      <c r="I816" s="6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ht="15.75" customHeight="1">
      <c r="A817" s="6"/>
      <c r="B817" s="6"/>
      <c r="C817" s="6"/>
      <c r="D817" s="7"/>
      <c r="E817" s="10"/>
      <c r="F817" s="6"/>
      <c r="G817" s="6"/>
      <c r="H817" s="6"/>
      <c r="I817" s="6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ht="15.75" customHeight="1">
      <c r="A818" s="6"/>
      <c r="B818" s="6"/>
      <c r="C818" s="6"/>
      <c r="D818" s="7"/>
      <c r="E818" s="10"/>
      <c r="F818" s="6"/>
      <c r="G818" s="6"/>
      <c r="H818" s="6"/>
      <c r="I818" s="6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ht="15.75" customHeight="1">
      <c r="A819" s="6"/>
      <c r="B819" s="6"/>
      <c r="C819" s="6"/>
      <c r="D819" s="7"/>
      <c r="E819" s="10"/>
      <c r="F819" s="6"/>
      <c r="G819" s="6"/>
      <c r="H819" s="6"/>
      <c r="I819" s="6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ht="15.75" customHeight="1">
      <c r="A820" s="6"/>
      <c r="B820" s="6"/>
      <c r="C820" s="6"/>
      <c r="D820" s="7"/>
      <c r="E820" s="10"/>
      <c r="F820" s="6"/>
      <c r="G820" s="6"/>
      <c r="H820" s="6"/>
      <c r="I820" s="6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ht="15.75" customHeight="1">
      <c r="A821" s="6"/>
      <c r="B821" s="6"/>
      <c r="C821" s="6"/>
      <c r="D821" s="7"/>
      <c r="E821" s="10"/>
      <c r="F821" s="6"/>
      <c r="G821" s="6"/>
      <c r="H821" s="6"/>
      <c r="I821" s="6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ht="15.75" customHeight="1">
      <c r="A822" s="6"/>
      <c r="B822" s="6"/>
      <c r="C822" s="6"/>
      <c r="D822" s="7"/>
      <c r="E822" s="10"/>
      <c r="F822" s="6"/>
      <c r="G822" s="6"/>
      <c r="H822" s="6"/>
      <c r="I822" s="6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ht="15.75" customHeight="1">
      <c r="A823" s="6"/>
      <c r="B823" s="6"/>
      <c r="C823" s="6"/>
      <c r="D823" s="7"/>
      <c r="E823" s="10"/>
      <c r="F823" s="6"/>
      <c r="G823" s="6"/>
      <c r="H823" s="6"/>
      <c r="I823" s="6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ht="15.75" customHeight="1">
      <c r="A824" s="6"/>
      <c r="B824" s="6"/>
      <c r="C824" s="6"/>
      <c r="D824" s="7"/>
      <c r="E824" s="10"/>
      <c r="F824" s="6"/>
      <c r="G824" s="6"/>
      <c r="H824" s="6"/>
      <c r="I824" s="6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ht="15.75" customHeight="1">
      <c r="A825" s="6"/>
      <c r="B825" s="6"/>
      <c r="C825" s="6"/>
      <c r="D825" s="7"/>
      <c r="E825" s="10"/>
      <c r="F825" s="6"/>
      <c r="G825" s="6"/>
      <c r="H825" s="6"/>
      <c r="I825" s="6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ht="15.75" customHeight="1">
      <c r="A826" s="6"/>
      <c r="B826" s="6"/>
      <c r="C826" s="6"/>
      <c r="D826" s="7"/>
      <c r="E826" s="10"/>
      <c r="F826" s="6"/>
      <c r="G826" s="6"/>
      <c r="H826" s="6"/>
      <c r="I826" s="6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ht="15.75" customHeight="1">
      <c r="A827" s="6"/>
      <c r="B827" s="6"/>
      <c r="C827" s="6"/>
      <c r="D827" s="7"/>
      <c r="E827" s="10"/>
      <c r="F827" s="6"/>
      <c r="G827" s="6"/>
      <c r="H827" s="6"/>
      <c r="I827" s="6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ht="15.75" customHeight="1">
      <c r="A828" s="6"/>
      <c r="B828" s="6"/>
      <c r="C828" s="6"/>
      <c r="D828" s="7"/>
      <c r="E828" s="10"/>
      <c r="F828" s="6"/>
      <c r="G828" s="6"/>
      <c r="H828" s="6"/>
      <c r="I828" s="6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ht="15.75" customHeight="1">
      <c r="A829" s="6"/>
      <c r="B829" s="6"/>
      <c r="C829" s="6"/>
      <c r="D829" s="7"/>
      <c r="E829" s="10"/>
      <c r="F829" s="6"/>
      <c r="G829" s="6"/>
      <c r="H829" s="6"/>
      <c r="I829" s="6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ht="15.75" customHeight="1">
      <c r="A830" s="6"/>
      <c r="B830" s="6"/>
      <c r="C830" s="6"/>
      <c r="D830" s="7"/>
      <c r="E830" s="10"/>
      <c r="F830" s="6"/>
      <c r="G830" s="6"/>
      <c r="H830" s="6"/>
      <c r="I830" s="6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ht="15.75" customHeight="1">
      <c r="A831" s="6"/>
      <c r="B831" s="6"/>
      <c r="C831" s="6"/>
      <c r="D831" s="7"/>
      <c r="E831" s="10"/>
      <c r="F831" s="6"/>
      <c r="G831" s="6"/>
      <c r="H831" s="6"/>
      <c r="I831" s="6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ht="15.75" customHeight="1">
      <c r="A832" s="6"/>
      <c r="B832" s="6"/>
      <c r="C832" s="6"/>
      <c r="D832" s="7"/>
      <c r="E832" s="10"/>
      <c r="F832" s="6"/>
      <c r="G832" s="6"/>
      <c r="H832" s="6"/>
      <c r="I832" s="6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ht="15.75" customHeight="1">
      <c r="A833" s="6"/>
      <c r="B833" s="6"/>
      <c r="C833" s="6"/>
      <c r="D833" s="7"/>
      <c r="E833" s="10"/>
      <c r="F833" s="6"/>
      <c r="G833" s="6"/>
      <c r="H833" s="6"/>
      <c r="I833" s="6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ht="15.75" customHeight="1">
      <c r="A834" s="6"/>
      <c r="B834" s="6"/>
      <c r="C834" s="6"/>
      <c r="D834" s="7"/>
      <c r="E834" s="10"/>
      <c r="F834" s="6"/>
      <c r="G834" s="6"/>
      <c r="H834" s="6"/>
      <c r="I834" s="6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ht="15.75" customHeight="1">
      <c r="A835" s="6"/>
      <c r="B835" s="6"/>
      <c r="C835" s="6"/>
      <c r="D835" s="7"/>
      <c r="E835" s="10"/>
      <c r="F835" s="6"/>
      <c r="G835" s="6"/>
      <c r="H835" s="6"/>
      <c r="I835" s="6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ht="15.75" customHeight="1">
      <c r="A836" s="6"/>
      <c r="B836" s="6"/>
      <c r="C836" s="6"/>
      <c r="D836" s="7"/>
      <c r="E836" s="10"/>
      <c r="F836" s="6"/>
      <c r="G836" s="6"/>
      <c r="H836" s="6"/>
      <c r="I836" s="6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ht="15.75" customHeight="1">
      <c r="A837" s="6"/>
      <c r="B837" s="6"/>
      <c r="C837" s="6"/>
      <c r="D837" s="7"/>
      <c r="E837" s="10"/>
      <c r="F837" s="6"/>
      <c r="G837" s="6"/>
      <c r="H837" s="6"/>
      <c r="I837" s="6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ht="15.75" customHeight="1">
      <c r="A838" s="6"/>
      <c r="B838" s="6"/>
      <c r="C838" s="6"/>
      <c r="D838" s="7"/>
      <c r="E838" s="10"/>
      <c r="F838" s="6"/>
      <c r="G838" s="6"/>
      <c r="H838" s="6"/>
      <c r="I838" s="6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ht="15.75" customHeight="1">
      <c r="A839" s="6"/>
      <c r="B839" s="6"/>
      <c r="C839" s="6"/>
      <c r="D839" s="7"/>
      <c r="E839" s="10"/>
      <c r="F839" s="6"/>
      <c r="G839" s="6"/>
      <c r="H839" s="6"/>
      <c r="I839" s="6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ht="15.75" customHeight="1">
      <c r="A840" s="6"/>
      <c r="B840" s="6"/>
      <c r="C840" s="6"/>
      <c r="D840" s="7"/>
      <c r="E840" s="10"/>
      <c r="F840" s="6"/>
      <c r="G840" s="6"/>
      <c r="H840" s="6"/>
      <c r="I840" s="6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ht="15.75" customHeight="1">
      <c r="A841" s="6"/>
      <c r="B841" s="6"/>
      <c r="C841" s="6"/>
      <c r="D841" s="7"/>
      <c r="E841" s="10"/>
      <c r="F841" s="6"/>
      <c r="G841" s="6"/>
      <c r="H841" s="6"/>
      <c r="I841" s="6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ht="15.75" customHeight="1">
      <c r="A842" s="6"/>
      <c r="B842" s="6"/>
      <c r="C842" s="6"/>
      <c r="D842" s="7"/>
      <c r="E842" s="10"/>
      <c r="F842" s="6"/>
      <c r="G842" s="6"/>
      <c r="H842" s="6"/>
      <c r="I842" s="6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ht="15.75" customHeight="1">
      <c r="A843" s="6"/>
      <c r="B843" s="6"/>
      <c r="C843" s="6"/>
      <c r="D843" s="7"/>
      <c r="E843" s="10"/>
      <c r="F843" s="6"/>
      <c r="G843" s="6"/>
      <c r="H843" s="6"/>
      <c r="I843" s="6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ht="15.75" customHeight="1">
      <c r="A844" s="6"/>
      <c r="B844" s="6"/>
      <c r="C844" s="6"/>
      <c r="D844" s="7"/>
      <c r="E844" s="10"/>
      <c r="F844" s="6"/>
      <c r="G844" s="6"/>
      <c r="H844" s="6"/>
      <c r="I844" s="6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ht="15.75" customHeight="1">
      <c r="A845" s="6"/>
      <c r="B845" s="6"/>
      <c r="C845" s="6"/>
      <c r="D845" s="7"/>
      <c r="E845" s="10"/>
      <c r="F845" s="6"/>
      <c r="G845" s="6"/>
      <c r="H845" s="6"/>
      <c r="I845" s="6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ht="15.75" customHeight="1">
      <c r="A846" s="6"/>
      <c r="B846" s="6"/>
      <c r="C846" s="6"/>
      <c r="D846" s="7"/>
      <c r="E846" s="10"/>
      <c r="F846" s="6"/>
      <c r="G846" s="6"/>
      <c r="H846" s="6"/>
      <c r="I846" s="6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ht="15.75" customHeight="1">
      <c r="A847" s="6"/>
      <c r="B847" s="6"/>
      <c r="C847" s="6"/>
      <c r="D847" s="7"/>
      <c r="E847" s="10"/>
      <c r="F847" s="6"/>
      <c r="G847" s="6"/>
      <c r="H847" s="6"/>
      <c r="I847" s="6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ht="15.75" customHeight="1">
      <c r="A848" s="6"/>
      <c r="B848" s="6"/>
      <c r="C848" s="6"/>
      <c r="D848" s="7"/>
      <c r="E848" s="10"/>
      <c r="F848" s="6"/>
      <c r="G848" s="6"/>
      <c r="H848" s="6"/>
      <c r="I848" s="6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ht="15.75" customHeight="1">
      <c r="A849" s="6"/>
      <c r="B849" s="6"/>
      <c r="C849" s="6"/>
      <c r="D849" s="7"/>
      <c r="E849" s="10"/>
      <c r="F849" s="6"/>
      <c r="G849" s="6"/>
      <c r="H849" s="6"/>
      <c r="I849" s="6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ht="15.75" customHeight="1">
      <c r="A850" s="6"/>
      <c r="B850" s="6"/>
      <c r="C850" s="6"/>
      <c r="D850" s="7"/>
      <c r="E850" s="10"/>
      <c r="F850" s="6"/>
      <c r="G850" s="6"/>
      <c r="H850" s="6"/>
      <c r="I850" s="6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ht="15.75" customHeight="1">
      <c r="A851" s="6"/>
      <c r="B851" s="6"/>
      <c r="C851" s="6"/>
      <c r="D851" s="7"/>
      <c r="E851" s="10"/>
      <c r="F851" s="6"/>
      <c r="G851" s="6"/>
      <c r="H851" s="6"/>
      <c r="I851" s="6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ht="15.75" customHeight="1">
      <c r="A852" s="6"/>
      <c r="B852" s="6"/>
      <c r="C852" s="6"/>
      <c r="D852" s="7"/>
      <c r="E852" s="10"/>
      <c r="F852" s="6"/>
      <c r="G852" s="6"/>
      <c r="H852" s="6"/>
      <c r="I852" s="6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ht="15.75" customHeight="1">
      <c r="A853" s="6"/>
      <c r="B853" s="6"/>
      <c r="C853" s="6"/>
      <c r="D853" s="7"/>
      <c r="E853" s="10"/>
      <c r="F853" s="6"/>
      <c r="G853" s="6"/>
      <c r="H853" s="6"/>
      <c r="I853" s="6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ht="15.75" customHeight="1">
      <c r="A854" s="6"/>
      <c r="B854" s="6"/>
      <c r="C854" s="6"/>
      <c r="D854" s="7"/>
      <c r="E854" s="10"/>
      <c r="F854" s="6"/>
      <c r="G854" s="6"/>
      <c r="H854" s="6"/>
      <c r="I854" s="6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ht="15.75" customHeight="1">
      <c r="A855" s="6"/>
      <c r="B855" s="6"/>
      <c r="C855" s="6"/>
      <c r="D855" s="7"/>
      <c r="E855" s="10"/>
      <c r="F855" s="6"/>
      <c r="G855" s="6"/>
      <c r="H855" s="6"/>
      <c r="I855" s="6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ht="15.75" customHeight="1">
      <c r="A856" s="6"/>
      <c r="B856" s="6"/>
      <c r="C856" s="6"/>
      <c r="D856" s="7"/>
      <c r="E856" s="10"/>
      <c r="F856" s="6"/>
      <c r="G856" s="6"/>
      <c r="H856" s="6"/>
      <c r="I856" s="6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ht="15.75" customHeight="1">
      <c r="A857" s="6"/>
      <c r="B857" s="6"/>
      <c r="C857" s="6"/>
      <c r="D857" s="7"/>
      <c r="E857" s="10"/>
      <c r="F857" s="6"/>
      <c r="G857" s="6"/>
      <c r="H857" s="6"/>
      <c r="I857" s="6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ht="15.75" customHeight="1">
      <c r="A858" s="6"/>
      <c r="B858" s="6"/>
      <c r="C858" s="6"/>
      <c r="D858" s="7"/>
      <c r="E858" s="10"/>
      <c r="F858" s="6"/>
      <c r="G858" s="6"/>
      <c r="H858" s="6"/>
      <c r="I858" s="6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ht="15.75" customHeight="1">
      <c r="A859" s="6"/>
      <c r="B859" s="6"/>
      <c r="C859" s="6"/>
      <c r="D859" s="7"/>
      <c r="E859" s="10"/>
      <c r="F859" s="6"/>
      <c r="G859" s="6"/>
      <c r="H859" s="6"/>
      <c r="I859" s="6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ht="15.75" customHeight="1">
      <c r="A860" s="6"/>
      <c r="B860" s="6"/>
      <c r="C860" s="6"/>
      <c r="D860" s="7"/>
      <c r="E860" s="10"/>
      <c r="F860" s="6"/>
      <c r="G860" s="6"/>
      <c r="H860" s="6"/>
      <c r="I860" s="6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ht="15.75" customHeight="1">
      <c r="A861" s="6"/>
      <c r="B861" s="6"/>
      <c r="C861" s="6"/>
      <c r="D861" s="7"/>
      <c r="E861" s="10"/>
      <c r="F861" s="6"/>
      <c r="G861" s="6"/>
      <c r="H861" s="6"/>
      <c r="I861" s="6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ht="15.75" customHeight="1">
      <c r="A862" s="6"/>
      <c r="B862" s="6"/>
      <c r="C862" s="6"/>
      <c r="D862" s="7"/>
      <c r="E862" s="10"/>
      <c r="F862" s="6"/>
      <c r="G862" s="6"/>
      <c r="H862" s="6"/>
      <c r="I862" s="6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ht="15.75" customHeight="1">
      <c r="A863" s="6"/>
      <c r="B863" s="6"/>
      <c r="C863" s="6"/>
      <c r="D863" s="7"/>
      <c r="E863" s="10"/>
      <c r="F863" s="6"/>
      <c r="G863" s="6"/>
      <c r="H863" s="6"/>
      <c r="I863" s="6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ht="15.75" customHeight="1">
      <c r="A864" s="6"/>
      <c r="B864" s="6"/>
      <c r="C864" s="6"/>
      <c r="D864" s="7"/>
      <c r="E864" s="10"/>
      <c r="F864" s="6"/>
      <c r="G864" s="6"/>
      <c r="H864" s="6"/>
      <c r="I864" s="6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ht="15.75" customHeight="1">
      <c r="A865" s="6"/>
      <c r="B865" s="6"/>
      <c r="C865" s="6"/>
      <c r="D865" s="7"/>
      <c r="E865" s="10"/>
      <c r="F865" s="6"/>
      <c r="G865" s="6"/>
      <c r="H865" s="6"/>
      <c r="I865" s="6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ht="15.75" customHeight="1">
      <c r="A866" s="6"/>
      <c r="B866" s="6"/>
      <c r="C866" s="6"/>
      <c r="D866" s="7"/>
      <c r="E866" s="10"/>
      <c r="F866" s="6"/>
      <c r="G866" s="6"/>
      <c r="H866" s="6"/>
      <c r="I866" s="6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ht="15.75" customHeight="1">
      <c r="A867" s="6"/>
      <c r="B867" s="6"/>
      <c r="C867" s="6"/>
      <c r="D867" s="7"/>
      <c r="E867" s="10"/>
      <c r="F867" s="6"/>
      <c r="G867" s="6"/>
      <c r="H867" s="6"/>
      <c r="I867" s="6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ht="15.75" customHeight="1">
      <c r="A868" s="6"/>
      <c r="B868" s="6"/>
      <c r="C868" s="6"/>
      <c r="D868" s="7"/>
      <c r="E868" s="10"/>
      <c r="F868" s="6"/>
      <c r="G868" s="6"/>
      <c r="H868" s="6"/>
      <c r="I868" s="6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ht="15.75" customHeight="1">
      <c r="A869" s="6"/>
      <c r="B869" s="6"/>
      <c r="C869" s="6"/>
      <c r="D869" s="7"/>
      <c r="E869" s="10"/>
      <c r="F869" s="6"/>
      <c r="G869" s="6"/>
      <c r="H869" s="6"/>
      <c r="I869" s="6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ht="15.75" customHeight="1">
      <c r="A870" s="6"/>
      <c r="B870" s="6"/>
      <c r="C870" s="6"/>
      <c r="D870" s="7"/>
      <c r="E870" s="10"/>
      <c r="F870" s="6"/>
      <c r="G870" s="6"/>
      <c r="H870" s="6"/>
      <c r="I870" s="6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ht="15.75" customHeight="1">
      <c r="A871" s="6"/>
      <c r="B871" s="6"/>
      <c r="C871" s="6"/>
      <c r="D871" s="7"/>
      <c r="E871" s="10"/>
      <c r="F871" s="6"/>
      <c r="G871" s="6"/>
      <c r="H871" s="6"/>
      <c r="I871" s="6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ht="15.75" customHeight="1">
      <c r="A872" s="6"/>
      <c r="B872" s="6"/>
      <c r="C872" s="6"/>
      <c r="D872" s="7"/>
      <c r="E872" s="10"/>
      <c r="F872" s="6"/>
      <c r="G872" s="6"/>
      <c r="H872" s="6"/>
      <c r="I872" s="6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ht="15.75" customHeight="1">
      <c r="A873" s="6"/>
      <c r="B873" s="6"/>
      <c r="C873" s="6"/>
      <c r="D873" s="7"/>
      <c r="E873" s="10"/>
      <c r="F873" s="6"/>
      <c r="G873" s="6"/>
      <c r="H873" s="6"/>
      <c r="I873" s="6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ht="15.75" customHeight="1">
      <c r="A874" s="6"/>
      <c r="B874" s="6"/>
      <c r="C874" s="6"/>
      <c r="D874" s="7"/>
      <c r="E874" s="10"/>
      <c r="F874" s="6"/>
      <c r="G874" s="6"/>
      <c r="H874" s="6"/>
      <c r="I874" s="6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ht="15.75" customHeight="1">
      <c r="A875" s="6"/>
      <c r="B875" s="6"/>
      <c r="C875" s="6"/>
      <c r="D875" s="7"/>
      <c r="E875" s="10"/>
      <c r="F875" s="6"/>
      <c r="G875" s="6"/>
      <c r="H875" s="6"/>
      <c r="I875" s="6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ht="15.75" customHeight="1">
      <c r="A876" s="6"/>
      <c r="B876" s="6"/>
      <c r="C876" s="6"/>
      <c r="D876" s="7"/>
      <c r="E876" s="10"/>
      <c r="F876" s="6"/>
      <c r="G876" s="6"/>
      <c r="H876" s="6"/>
      <c r="I876" s="6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ht="15.75" customHeight="1">
      <c r="A877" s="6"/>
      <c r="B877" s="6"/>
      <c r="C877" s="6"/>
      <c r="D877" s="7"/>
      <c r="E877" s="10"/>
      <c r="F877" s="6"/>
      <c r="G877" s="6"/>
      <c r="H877" s="6"/>
      <c r="I877" s="6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ht="15.75" customHeight="1">
      <c r="A878" s="6"/>
      <c r="B878" s="6"/>
      <c r="C878" s="6"/>
      <c r="D878" s="7"/>
      <c r="E878" s="10"/>
      <c r="F878" s="6"/>
      <c r="G878" s="6"/>
      <c r="H878" s="6"/>
      <c r="I878" s="6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ht="15.75" customHeight="1">
      <c r="A879" s="6"/>
      <c r="B879" s="6"/>
      <c r="C879" s="6"/>
      <c r="D879" s="7"/>
      <c r="E879" s="10"/>
      <c r="F879" s="6"/>
      <c r="G879" s="6"/>
      <c r="H879" s="6"/>
      <c r="I879" s="6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ht="15.75" customHeight="1">
      <c r="A880" s="6"/>
      <c r="B880" s="6"/>
      <c r="C880" s="6"/>
      <c r="D880" s="7"/>
      <c r="E880" s="10"/>
      <c r="F880" s="6"/>
      <c r="G880" s="6"/>
      <c r="H880" s="6"/>
      <c r="I880" s="6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ht="15.75" customHeight="1">
      <c r="A881" s="6"/>
      <c r="B881" s="6"/>
      <c r="C881" s="6"/>
      <c r="D881" s="7"/>
      <c r="E881" s="10"/>
      <c r="F881" s="6"/>
      <c r="G881" s="6"/>
      <c r="H881" s="6"/>
      <c r="I881" s="6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ht="15.75" customHeight="1">
      <c r="A882" s="6"/>
      <c r="B882" s="6"/>
      <c r="C882" s="6"/>
      <c r="D882" s="7"/>
      <c r="E882" s="10"/>
      <c r="F882" s="6"/>
      <c r="G882" s="6"/>
      <c r="H882" s="6"/>
      <c r="I882" s="6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ht="15.75" customHeight="1">
      <c r="A883" s="6"/>
      <c r="B883" s="6"/>
      <c r="C883" s="6"/>
      <c r="D883" s="7"/>
      <c r="E883" s="10"/>
      <c r="F883" s="6"/>
      <c r="G883" s="6"/>
      <c r="H883" s="6"/>
      <c r="I883" s="6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ht="15.75" customHeight="1">
      <c r="A884" s="6"/>
      <c r="B884" s="6"/>
      <c r="C884" s="6"/>
      <c r="D884" s="7"/>
      <c r="E884" s="10"/>
      <c r="F884" s="6"/>
      <c r="G884" s="6"/>
      <c r="H884" s="6"/>
      <c r="I884" s="6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ht="15.75" customHeight="1">
      <c r="A885" s="6"/>
      <c r="B885" s="6"/>
      <c r="C885" s="6"/>
      <c r="D885" s="7"/>
      <c r="E885" s="10"/>
      <c r="F885" s="6"/>
      <c r="G885" s="6"/>
      <c r="H885" s="6"/>
      <c r="I885" s="6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ht="15.75" customHeight="1">
      <c r="A886" s="6"/>
      <c r="B886" s="6"/>
      <c r="C886" s="6"/>
      <c r="D886" s="7"/>
      <c r="E886" s="10"/>
      <c r="F886" s="6"/>
      <c r="G886" s="6"/>
      <c r="H886" s="6"/>
      <c r="I886" s="6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ht="15.75" customHeight="1">
      <c r="A887" s="6"/>
      <c r="B887" s="6"/>
      <c r="C887" s="6"/>
      <c r="D887" s="7"/>
      <c r="E887" s="10"/>
      <c r="F887" s="6"/>
      <c r="G887" s="6"/>
      <c r="H887" s="6"/>
      <c r="I887" s="6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ht="15.75" customHeight="1">
      <c r="A888" s="6"/>
      <c r="B888" s="6"/>
      <c r="C888" s="6"/>
      <c r="D888" s="7"/>
      <c r="E888" s="10"/>
      <c r="F888" s="6"/>
      <c r="G888" s="6"/>
      <c r="H888" s="6"/>
      <c r="I888" s="6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ht="15.75" customHeight="1">
      <c r="A889" s="6"/>
      <c r="B889" s="6"/>
      <c r="C889" s="6"/>
      <c r="D889" s="7"/>
      <c r="E889" s="10"/>
      <c r="F889" s="6"/>
      <c r="G889" s="6"/>
      <c r="H889" s="6"/>
      <c r="I889" s="6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ht="15.75" customHeight="1">
      <c r="A890" s="6"/>
      <c r="B890" s="6"/>
      <c r="C890" s="6"/>
      <c r="D890" s="7"/>
      <c r="E890" s="10"/>
      <c r="F890" s="6"/>
      <c r="G890" s="6"/>
      <c r="H890" s="6"/>
      <c r="I890" s="6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ht="15.75" customHeight="1">
      <c r="A891" s="6"/>
      <c r="B891" s="6"/>
      <c r="C891" s="6"/>
      <c r="D891" s="7"/>
      <c r="E891" s="10"/>
      <c r="F891" s="6"/>
      <c r="G891" s="6"/>
      <c r="H891" s="6"/>
      <c r="I891" s="6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ht="15.75" customHeight="1">
      <c r="A892" s="6"/>
      <c r="B892" s="6"/>
      <c r="C892" s="6"/>
      <c r="D892" s="7"/>
      <c r="E892" s="10"/>
      <c r="F892" s="6"/>
      <c r="G892" s="6"/>
      <c r="H892" s="6"/>
      <c r="I892" s="6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ht="15.75" customHeight="1">
      <c r="A893" s="6"/>
      <c r="B893" s="6"/>
      <c r="C893" s="6"/>
      <c r="D893" s="7"/>
      <c r="E893" s="10"/>
      <c r="F893" s="6"/>
      <c r="G893" s="6"/>
      <c r="H893" s="6"/>
      <c r="I893" s="6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ht="15.75" customHeight="1">
      <c r="A894" s="6"/>
      <c r="B894" s="6"/>
      <c r="C894" s="6"/>
      <c r="D894" s="7"/>
      <c r="E894" s="10"/>
      <c r="F894" s="6"/>
      <c r="G894" s="6"/>
      <c r="H894" s="6"/>
      <c r="I894" s="6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ht="15.75" customHeight="1">
      <c r="A895" s="6"/>
      <c r="B895" s="6"/>
      <c r="C895" s="6"/>
      <c r="D895" s="7"/>
      <c r="E895" s="10"/>
      <c r="F895" s="6"/>
      <c r="G895" s="6"/>
      <c r="H895" s="6"/>
      <c r="I895" s="6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ht="15.75" customHeight="1">
      <c r="A896" s="6"/>
      <c r="B896" s="6"/>
      <c r="C896" s="6"/>
      <c r="D896" s="7"/>
      <c r="E896" s="10"/>
      <c r="F896" s="6"/>
      <c r="G896" s="6"/>
      <c r="H896" s="6"/>
      <c r="I896" s="6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ht="15.75" customHeight="1">
      <c r="A897" s="6"/>
      <c r="B897" s="6"/>
      <c r="C897" s="6"/>
      <c r="D897" s="7"/>
      <c r="E897" s="10"/>
      <c r="F897" s="6"/>
      <c r="G897" s="6"/>
      <c r="H897" s="6"/>
      <c r="I897" s="6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ht="15.75" customHeight="1">
      <c r="A898" s="6"/>
      <c r="B898" s="6"/>
      <c r="C898" s="6"/>
      <c r="D898" s="7"/>
      <c r="E898" s="10"/>
      <c r="F898" s="6"/>
      <c r="G898" s="6"/>
      <c r="H898" s="6"/>
      <c r="I898" s="6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ht="15.75" customHeight="1">
      <c r="A899" s="6"/>
      <c r="B899" s="6"/>
      <c r="C899" s="6"/>
      <c r="D899" s="7"/>
      <c r="E899" s="10"/>
      <c r="F899" s="6"/>
      <c r="G899" s="6"/>
      <c r="H899" s="6"/>
      <c r="I899" s="6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ht="15.75" customHeight="1">
      <c r="A900" s="6"/>
      <c r="B900" s="6"/>
      <c r="C900" s="6"/>
      <c r="D900" s="7"/>
      <c r="E900" s="10"/>
      <c r="F900" s="6"/>
      <c r="G900" s="6"/>
      <c r="H900" s="6"/>
      <c r="I900" s="6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ht="15.75" customHeight="1">
      <c r="A901" s="6"/>
      <c r="B901" s="6"/>
      <c r="C901" s="6"/>
      <c r="D901" s="7"/>
      <c r="E901" s="10"/>
      <c r="F901" s="6"/>
      <c r="G901" s="6"/>
      <c r="H901" s="6"/>
      <c r="I901" s="6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ht="15.75" customHeight="1">
      <c r="A902" s="6"/>
      <c r="B902" s="6"/>
      <c r="C902" s="6"/>
      <c r="D902" s="7"/>
      <c r="E902" s="10"/>
      <c r="F902" s="6"/>
      <c r="G902" s="6"/>
      <c r="H902" s="6"/>
      <c r="I902" s="6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ht="15.75" customHeight="1">
      <c r="A903" s="6"/>
      <c r="B903" s="6"/>
      <c r="C903" s="6"/>
      <c r="D903" s="7"/>
      <c r="E903" s="10"/>
      <c r="F903" s="6"/>
      <c r="G903" s="6"/>
      <c r="H903" s="6"/>
      <c r="I903" s="6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ht="15.75" customHeight="1">
      <c r="A904" s="6"/>
      <c r="B904" s="6"/>
      <c r="C904" s="6"/>
      <c r="D904" s="7"/>
      <c r="E904" s="10"/>
      <c r="F904" s="6"/>
      <c r="G904" s="6"/>
      <c r="H904" s="6"/>
      <c r="I904" s="6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ht="15.75" customHeight="1">
      <c r="A905" s="6"/>
      <c r="B905" s="6"/>
      <c r="C905" s="6"/>
      <c r="D905" s="7"/>
      <c r="E905" s="10"/>
      <c r="F905" s="6"/>
      <c r="G905" s="6"/>
      <c r="H905" s="6"/>
      <c r="I905" s="6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ht="15.75" customHeight="1">
      <c r="A906" s="6"/>
      <c r="B906" s="6"/>
      <c r="C906" s="6"/>
      <c r="D906" s="7"/>
      <c r="E906" s="10"/>
      <c r="F906" s="6"/>
      <c r="G906" s="6"/>
      <c r="H906" s="6"/>
      <c r="I906" s="6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ht="15.75" customHeight="1">
      <c r="A907" s="6"/>
      <c r="B907" s="6"/>
      <c r="C907" s="6"/>
      <c r="D907" s="7"/>
      <c r="E907" s="10"/>
      <c r="F907" s="6"/>
      <c r="G907" s="6"/>
      <c r="H907" s="6"/>
      <c r="I907" s="6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ht="15.75" customHeight="1">
      <c r="A908" s="6"/>
      <c r="B908" s="6"/>
      <c r="C908" s="6"/>
      <c r="D908" s="7"/>
      <c r="E908" s="10"/>
      <c r="F908" s="6"/>
      <c r="G908" s="6"/>
      <c r="H908" s="6"/>
      <c r="I908" s="6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ht="15.75" customHeight="1">
      <c r="A909" s="6"/>
      <c r="B909" s="6"/>
      <c r="C909" s="6"/>
      <c r="D909" s="7"/>
      <c r="E909" s="10"/>
      <c r="F909" s="6"/>
      <c r="G909" s="6"/>
      <c r="H909" s="6"/>
      <c r="I909" s="6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ht="15.75" customHeight="1">
      <c r="A910" s="6"/>
      <c r="B910" s="6"/>
      <c r="C910" s="6"/>
      <c r="D910" s="7"/>
      <c r="E910" s="10"/>
      <c r="F910" s="6"/>
      <c r="G910" s="6"/>
      <c r="H910" s="6"/>
      <c r="I910" s="6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ht="15.75" customHeight="1">
      <c r="A911" s="6"/>
      <c r="B911" s="6"/>
      <c r="C911" s="6"/>
      <c r="D911" s="7"/>
      <c r="E911" s="10"/>
      <c r="F911" s="6"/>
      <c r="G911" s="6"/>
      <c r="H911" s="6"/>
      <c r="I911" s="6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ht="15.75" customHeight="1">
      <c r="A912" s="6"/>
      <c r="B912" s="6"/>
      <c r="C912" s="6"/>
      <c r="D912" s="7"/>
      <c r="E912" s="10"/>
      <c r="F912" s="6"/>
      <c r="G912" s="6"/>
      <c r="H912" s="6"/>
      <c r="I912" s="6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ht="15.75" customHeight="1">
      <c r="A913" s="6"/>
      <c r="B913" s="6"/>
      <c r="C913" s="6"/>
      <c r="D913" s="7"/>
      <c r="E913" s="10"/>
      <c r="F913" s="6"/>
      <c r="G913" s="6"/>
      <c r="H913" s="6"/>
      <c r="I913" s="6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ht="15.75" customHeight="1">
      <c r="A914" s="6"/>
      <c r="B914" s="6"/>
      <c r="C914" s="6"/>
      <c r="D914" s="7"/>
      <c r="E914" s="10"/>
      <c r="F914" s="6"/>
      <c r="G914" s="6"/>
      <c r="H914" s="6"/>
      <c r="I914" s="6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ht="15.75" customHeight="1">
      <c r="A915" s="6"/>
      <c r="B915" s="6"/>
      <c r="C915" s="6"/>
      <c r="D915" s="7"/>
      <c r="E915" s="10"/>
      <c r="F915" s="6"/>
      <c r="G915" s="6"/>
      <c r="H915" s="6"/>
      <c r="I915" s="6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ht="15.75" customHeight="1">
      <c r="A916" s="6"/>
      <c r="B916" s="6"/>
      <c r="C916" s="6"/>
      <c r="D916" s="7"/>
      <c r="E916" s="10"/>
      <c r="F916" s="6"/>
      <c r="G916" s="6"/>
      <c r="H916" s="6"/>
      <c r="I916" s="6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ht="15.75" customHeight="1">
      <c r="A917" s="6"/>
      <c r="B917" s="6"/>
      <c r="C917" s="6"/>
      <c r="D917" s="7"/>
      <c r="E917" s="10"/>
      <c r="F917" s="6"/>
      <c r="G917" s="6"/>
      <c r="H917" s="6"/>
      <c r="I917" s="6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ht="15.75" customHeight="1">
      <c r="A918" s="6"/>
      <c r="B918" s="6"/>
      <c r="C918" s="6"/>
      <c r="D918" s="7"/>
      <c r="E918" s="10"/>
      <c r="F918" s="6"/>
      <c r="G918" s="6"/>
      <c r="H918" s="6"/>
      <c r="I918" s="6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ht="15.75" customHeight="1">
      <c r="A919" s="6"/>
      <c r="B919" s="6"/>
      <c r="C919" s="6"/>
      <c r="D919" s="7"/>
      <c r="E919" s="10"/>
      <c r="F919" s="6"/>
      <c r="G919" s="6"/>
      <c r="H919" s="6"/>
      <c r="I919" s="6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ht="15.75" customHeight="1">
      <c r="A920" s="6"/>
      <c r="B920" s="6"/>
      <c r="C920" s="6"/>
      <c r="D920" s="7"/>
      <c r="E920" s="10"/>
      <c r="F920" s="6"/>
      <c r="G920" s="6"/>
      <c r="H920" s="6"/>
      <c r="I920" s="6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ht="15.75" customHeight="1">
      <c r="A921" s="6"/>
      <c r="B921" s="6"/>
      <c r="C921" s="6"/>
      <c r="D921" s="7"/>
      <c r="E921" s="10"/>
      <c r="F921" s="6"/>
      <c r="G921" s="6"/>
      <c r="H921" s="6"/>
      <c r="I921" s="6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ht="15.75" customHeight="1">
      <c r="A922" s="6"/>
      <c r="B922" s="6"/>
      <c r="C922" s="6"/>
      <c r="D922" s="7"/>
      <c r="E922" s="10"/>
      <c r="F922" s="6"/>
      <c r="G922" s="6"/>
      <c r="H922" s="6"/>
      <c r="I922" s="6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ht="15.75" customHeight="1">
      <c r="A923" s="6"/>
      <c r="B923" s="6"/>
      <c r="C923" s="6"/>
      <c r="D923" s="7"/>
      <c r="E923" s="10"/>
      <c r="F923" s="6"/>
      <c r="G923" s="6"/>
      <c r="H923" s="6"/>
      <c r="I923" s="6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ht="15.75" customHeight="1">
      <c r="A924" s="6"/>
      <c r="B924" s="6"/>
      <c r="C924" s="6"/>
      <c r="D924" s="7"/>
      <c r="E924" s="10"/>
      <c r="F924" s="6"/>
      <c r="G924" s="6"/>
      <c r="H924" s="6"/>
      <c r="I924" s="6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ht="15.75" customHeight="1">
      <c r="A925" s="6"/>
      <c r="B925" s="6"/>
      <c r="C925" s="6"/>
      <c r="D925" s="7"/>
      <c r="E925" s="10"/>
      <c r="F925" s="6"/>
      <c r="G925" s="6"/>
      <c r="H925" s="6"/>
      <c r="I925" s="6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ht="15.75" customHeight="1">
      <c r="A926" s="6"/>
      <c r="B926" s="6"/>
      <c r="C926" s="6"/>
      <c r="D926" s="7"/>
      <c r="E926" s="10"/>
      <c r="F926" s="6"/>
      <c r="G926" s="6"/>
      <c r="H926" s="6"/>
      <c r="I926" s="6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ht="15.75" customHeight="1">
      <c r="A927" s="6"/>
      <c r="B927" s="6"/>
      <c r="C927" s="6"/>
      <c r="D927" s="7"/>
      <c r="E927" s="10"/>
      <c r="F927" s="6"/>
      <c r="G927" s="6"/>
      <c r="H927" s="6"/>
      <c r="I927" s="6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ht="15.75" customHeight="1">
      <c r="A928" s="6"/>
      <c r="B928" s="6"/>
      <c r="C928" s="6"/>
      <c r="D928" s="7"/>
      <c r="E928" s="10"/>
      <c r="F928" s="6"/>
      <c r="G928" s="6"/>
      <c r="H928" s="6"/>
      <c r="I928" s="6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ht="15.75" customHeight="1">
      <c r="A929" s="6"/>
      <c r="B929" s="6"/>
      <c r="C929" s="6"/>
      <c r="D929" s="7"/>
      <c r="E929" s="10"/>
      <c r="F929" s="6"/>
      <c r="G929" s="6"/>
      <c r="H929" s="6"/>
      <c r="I929" s="6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ht="15.75" customHeight="1">
      <c r="A930" s="6"/>
      <c r="B930" s="6"/>
      <c r="C930" s="6"/>
      <c r="D930" s="7"/>
      <c r="E930" s="10"/>
      <c r="F930" s="6"/>
      <c r="G930" s="6"/>
      <c r="H930" s="6"/>
      <c r="I930" s="6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ht="15.75" customHeight="1">
      <c r="A931" s="6"/>
      <c r="B931" s="6"/>
      <c r="C931" s="6"/>
      <c r="D931" s="7"/>
      <c r="E931" s="10"/>
      <c r="F931" s="6"/>
      <c r="G931" s="6"/>
      <c r="H931" s="6"/>
      <c r="I931" s="6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ht="15.75" customHeight="1">
      <c r="A932" s="6"/>
      <c r="B932" s="6"/>
      <c r="C932" s="6"/>
      <c r="D932" s="7"/>
      <c r="E932" s="10"/>
      <c r="F932" s="6"/>
      <c r="G932" s="6"/>
      <c r="H932" s="6"/>
      <c r="I932" s="6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ht="15.75" customHeight="1">
      <c r="A933" s="6"/>
      <c r="B933" s="6"/>
      <c r="C933" s="6"/>
      <c r="D933" s="7"/>
      <c r="E933" s="10"/>
      <c r="F933" s="6"/>
      <c r="G933" s="6"/>
      <c r="H933" s="6"/>
      <c r="I933" s="6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ht="15.75" customHeight="1">
      <c r="A934" s="6"/>
      <c r="B934" s="6"/>
      <c r="C934" s="6"/>
      <c r="D934" s="7"/>
      <c r="E934" s="10"/>
      <c r="F934" s="6"/>
      <c r="G934" s="6"/>
      <c r="H934" s="6"/>
      <c r="I934" s="6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ht="15.75" customHeight="1">
      <c r="A935" s="6"/>
      <c r="B935" s="6"/>
      <c r="C935" s="6"/>
      <c r="D935" s="7"/>
      <c r="E935" s="10"/>
      <c r="F935" s="6"/>
      <c r="G935" s="6"/>
      <c r="H935" s="6"/>
      <c r="I935" s="6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ht="15.75" customHeight="1">
      <c r="A936" s="6"/>
      <c r="B936" s="6"/>
      <c r="C936" s="6"/>
      <c r="D936" s="7"/>
      <c r="E936" s="10"/>
      <c r="F936" s="6"/>
      <c r="G936" s="6"/>
      <c r="H936" s="6"/>
      <c r="I936" s="6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ht="15.75" customHeight="1">
      <c r="A937" s="6"/>
      <c r="B937" s="6"/>
      <c r="C937" s="6"/>
      <c r="D937" s="7"/>
      <c r="E937" s="10"/>
      <c r="F937" s="6"/>
      <c r="G937" s="6"/>
      <c r="H937" s="6"/>
      <c r="I937" s="6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ht="15.75" customHeight="1">
      <c r="A938" s="6"/>
      <c r="B938" s="6"/>
      <c r="C938" s="6"/>
      <c r="D938" s="7"/>
      <c r="E938" s="10"/>
      <c r="F938" s="6"/>
      <c r="G938" s="6"/>
      <c r="H938" s="6"/>
      <c r="I938" s="6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ht="15.75" customHeight="1">
      <c r="A939" s="6"/>
      <c r="B939" s="6"/>
      <c r="C939" s="6"/>
      <c r="D939" s="7"/>
      <c r="E939" s="10"/>
      <c r="F939" s="6"/>
      <c r="G939" s="6"/>
      <c r="H939" s="6"/>
      <c r="I939" s="6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ht="15.75" customHeight="1">
      <c r="A940" s="6"/>
      <c r="B940" s="6"/>
      <c r="C940" s="6"/>
      <c r="D940" s="7"/>
      <c r="E940" s="10"/>
      <c r="F940" s="6"/>
      <c r="G940" s="6"/>
      <c r="H940" s="6"/>
      <c r="I940" s="6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ht="15.75" customHeight="1">
      <c r="A941" s="6"/>
      <c r="B941" s="6"/>
      <c r="C941" s="6"/>
      <c r="D941" s="7"/>
      <c r="E941" s="10"/>
      <c r="F941" s="6"/>
      <c r="G941" s="6"/>
      <c r="H941" s="6"/>
      <c r="I941" s="6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ht="15.75" customHeight="1">
      <c r="A942" s="6"/>
      <c r="B942" s="6"/>
      <c r="C942" s="6"/>
      <c r="D942" s="7"/>
      <c r="E942" s="10"/>
      <c r="F942" s="6"/>
      <c r="G942" s="6"/>
      <c r="H942" s="6"/>
      <c r="I942" s="6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ht="15.75" customHeight="1">
      <c r="A943" s="6"/>
      <c r="B943" s="6"/>
      <c r="C943" s="6"/>
      <c r="D943" s="7"/>
      <c r="E943" s="10"/>
      <c r="F943" s="6"/>
      <c r="G943" s="6"/>
      <c r="H943" s="6"/>
      <c r="I943" s="6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ht="15.75" customHeight="1">
      <c r="A944" s="6"/>
      <c r="B944" s="6"/>
      <c r="C944" s="6"/>
      <c r="D944" s="7"/>
      <c r="E944" s="10"/>
      <c r="F944" s="6"/>
      <c r="G944" s="6"/>
      <c r="H944" s="6"/>
      <c r="I944" s="6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ht="15.75" customHeight="1">
      <c r="A945" s="6"/>
      <c r="B945" s="6"/>
      <c r="C945" s="6"/>
      <c r="D945" s="7"/>
      <c r="E945" s="10"/>
      <c r="F945" s="6"/>
      <c r="G945" s="6"/>
      <c r="H945" s="6"/>
      <c r="I945" s="6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ht="15.75" customHeight="1">
      <c r="A946" s="6"/>
      <c r="B946" s="6"/>
      <c r="C946" s="6"/>
      <c r="D946" s="7"/>
      <c r="E946" s="10"/>
      <c r="F946" s="6"/>
      <c r="G946" s="6"/>
      <c r="H946" s="6"/>
      <c r="I946" s="6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ht="15.75" customHeight="1">
      <c r="A947" s="6"/>
      <c r="B947" s="6"/>
      <c r="C947" s="6"/>
      <c r="D947" s="7"/>
      <c r="E947" s="10"/>
      <c r="F947" s="6"/>
      <c r="G947" s="6"/>
      <c r="H947" s="6"/>
      <c r="I947" s="6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ht="15.75" customHeight="1">
      <c r="A948" s="6"/>
      <c r="B948" s="6"/>
      <c r="C948" s="6"/>
      <c r="D948" s="7"/>
      <c r="E948" s="10"/>
      <c r="F948" s="6"/>
      <c r="G948" s="6"/>
      <c r="H948" s="6"/>
      <c r="I948" s="6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ht="15.75" customHeight="1">
      <c r="A949" s="6"/>
      <c r="B949" s="6"/>
      <c r="C949" s="6"/>
      <c r="D949" s="7"/>
      <c r="E949" s="10"/>
      <c r="F949" s="6"/>
      <c r="G949" s="6"/>
      <c r="H949" s="6"/>
      <c r="I949" s="6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ht="15.75" customHeight="1">
      <c r="A950" s="6"/>
      <c r="B950" s="6"/>
      <c r="C950" s="6"/>
      <c r="D950" s="7"/>
      <c r="E950" s="10"/>
      <c r="F950" s="6"/>
      <c r="G950" s="6"/>
      <c r="H950" s="6"/>
      <c r="I950" s="6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ht="15.75" customHeight="1">
      <c r="A951" s="6"/>
      <c r="B951" s="6"/>
      <c r="C951" s="6"/>
      <c r="D951" s="7"/>
      <c r="E951" s="10"/>
      <c r="F951" s="6"/>
      <c r="G951" s="6"/>
      <c r="H951" s="6"/>
      <c r="I951" s="6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ht="15.75" customHeight="1">
      <c r="A952" s="6"/>
      <c r="B952" s="6"/>
      <c r="C952" s="6"/>
      <c r="D952" s="7"/>
      <c r="E952" s="10"/>
      <c r="F952" s="6"/>
      <c r="G952" s="6"/>
      <c r="H952" s="6"/>
      <c r="I952" s="6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ht="15.75" customHeight="1">
      <c r="A953" s="6"/>
      <c r="B953" s="6"/>
      <c r="C953" s="6"/>
      <c r="D953" s="7"/>
      <c r="E953" s="10"/>
      <c r="F953" s="6"/>
      <c r="G953" s="6"/>
      <c r="H953" s="6"/>
      <c r="I953" s="6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ht="15.75" customHeight="1">
      <c r="A954" s="6"/>
      <c r="B954" s="6"/>
      <c r="C954" s="6"/>
      <c r="D954" s="7"/>
      <c r="E954" s="10"/>
      <c r="F954" s="6"/>
      <c r="G954" s="6"/>
      <c r="H954" s="6"/>
      <c r="I954" s="6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ht="15.75" customHeight="1">
      <c r="A955" s="6"/>
      <c r="B955" s="6"/>
      <c r="C955" s="6"/>
      <c r="D955" s="7"/>
      <c r="E955" s="10"/>
      <c r="F955" s="6"/>
      <c r="G955" s="6"/>
      <c r="H955" s="6"/>
      <c r="I955" s="6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ht="15.75" customHeight="1">
      <c r="A956" s="6"/>
      <c r="B956" s="6"/>
      <c r="C956" s="6"/>
      <c r="D956" s="7"/>
      <c r="E956" s="10"/>
      <c r="F956" s="6"/>
      <c r="G956" s="6"/>
      <c r="H956" s="6"/>
      <c r="I956" s="6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ht="15.75" customHeight="1">
      <c r="A957" s="6"/>
      <c r="B957" s="6"/>
      <c r="C957" s="6"/>
      <c r="D957" s="7"/>
      <c r="E957" s="10"/>
      <c r="F957" s="6"/>
      <c r="G957" s="6"/>
      <c r="H957" s="6"/>
      <c r="I957" s="6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ht="15.75" customHeight="1">
      <c r="A958" s="6"/>
      <c r="B958" s="6"/>
      <c r="C958" s="6"/>
      <c r="D958" s="7"/>
      <c r="E958" s="10"/>
      <c r="F958" s="6"/>
      <c r="G958" s="6"/>
      <c r="H958" s="6"/>
      <c r="I958" s="6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ht="15.75" customHeight="1">
      <c r="A959" s="6"/>
      <c r="B959" s="6"/>
      <c r="C959" s="6"/>
      <c r="D959" s="7"/>
      <c r="E959" s="10"/>
      <c r="F959" s="6"/>
      <c r="G959" s="6"/>
      <c r="H959" s="6"/>
      <c r="I959" s="6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ht="15.75" customHeight="1">
      <c r="A960" s="6"/>
      <c r="B960" s="6"/>
      <c r="C960" s="6"/>
      <c r="D960" s="7"/>
      <c r="E960" s="10"/>
      <c r="F960" s="6"/>
      <c r="G960" s="6"/>
      <c r="H960" s="6"/>
      <c r="I960" s="6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ht="15.75" customHeight="1">
      <c r="A961" s="6"/>
      <c r="B961" s="6"/>
      <c r="C961" s="6"/>
      <c r="D961" s="7"/>
      <c r="E961" s="10"/>
      <c r="F961" s="6"/>
      <c r="G961" s="6"/>
      <c r="H961" s="6"/>
      <c r="I961" s="6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ht="15.75" customHeight="1">
      <c r="A962" s="6"/>
      <c r="B962" s="6"/>
      <c r="C962" s="6"/>
      <c r="D962" s="7"/>
      <c r="E962" s="10"/>
      <c r="F962" s="6"/>
      <c r="G962" s="6"/>
      <c r="H962" s="6"/>
      <c r="I962" s="6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ht="15.75" customHeight="1">
      <c r="A963" s="6"/>
      <c r="B963" s="6"/>
      <c r="C963" s="6"/>
      <c r="D963" s="7"/>
      <c r="E963" s="10"/>
      <c r="F963" s="6"/>
      <c r="G963" s="6"/>
      <c r="H963" s="6"/>
      <c r="I963" s="6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ht="15.75" customHeight="1">
      <c r="A964" s="6"/>
      <c r="B964" s="6"/>
      <c r="C964" s="6"/>
      <c r="D964" s="7"/>
      <c r="E964" s="10"/>
      <c r="F964" s="6"/>
      <c r="G964" s="6"/>
      <c r="H964" s="6"/>
      <c r="I964" s="6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ht="15.75" customHeight="1">
      <c r="A965" s="6"/>
      <c r="B965" s="6"/>
      <c r="C965" s="6"/>
      <c r="D965" s="7"/>
      <c r="E965" s="10"/>
      <c r="F965" s="6"/>
      <c r="G965" s="6"/>
      <c r="H965" s="6"/>
      <c r="I965" s="6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ht="15.75" customHeight="1">
      <c r="A966" s="6"/>
      <c r="B966" s="6"/>
      <c r="C966" s="6"/>
      <c r="D966" s="7"/>
      <c r="E966" s="10"/>
      <c r="F966" s="6"/>
      <c r="G966" s="6"/>
      <c r="H966" s="6"/>
      <c r="I966" s="6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ht="15.75" customHeight="1">
      <c r="A967" s="6"/>
      <c r="B967" s="6"/>
      <c r="C967" s="6"/>
      <c r="D967" s="7"/>
      <c r="E967" s="10"/>
      <c r="F967" s="6"/>
      <c r="G967" s="6"/>
      <c r="H967" s="6"/>
      <c r="I967" s="6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ht="15.75" customHeight="1">
      <c r="A968" s="6"/>
      <c r="B968" s="6"/>
      <c r="C968" s="6"/>
      <c r="D968" s="7"/>
      <c r="E968" s="10"/>
      <c r="F968" s="6"/>
      <c r="G968" s="6"/>
      <c r="H968" s="6"/>
      <c r="I968" s="6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ht="15.75" customHeight="1">
      <c r="A969" s="6"/>
      <c r="B969" s="6"/>
      <c r="C969" s="6"/>
      <c r="D969" s="7"/>
      <c r="E969" s="10"/>
      <c r="F969" s="6"/>
      <c r="G969" s="6"/>
      <c r="H969" s="6"/>
      <c r="I969" s="6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ht="15.75" customHeight="1">
      <c r="A970" s="6"/>
      <c r="B970" s="6"/>
      <c r="C970" s="6"/>
      <c r="D970" s="7"/>
      <c r="E970" s="10"/>
      <c r="F970" s="6"/>
      <c r="G970" s="6"/>
      <c r="H970" s="6"/>
      <c r="I970" s="6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ht="15.75" customHeight="1">
      <c r="A971" s="6"/>
      <c r="B971" s="6"/>
      <c r="C971" s="6"/>
      <c r="D971" s="7"/>
      <c r="E971" s="10"/>
      <c r="F971" s="6"/>
      <c r="G971" s="6"/>
      <c r="H971" s="6"/>
      <c r="I971" s="6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ht="15.75" customHeight="1">
      <c r="A972" s="6"/>
      <c r="B972" s="6"/>
      <c r="C972" s="6"/>
      <c r="D972" s="7"/>
      <c r="E972" s="10"/>
      <c r="F972" s="6"/>
      <c r="G972" s="6"/>
      <c r="H972" s="6"/>
      <c r="I972" s="6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ht="15.75" customHeight="1">
      <c r="A973" s="6"/>
      <c r="B973" s="6"/>
      <c r="C973" s="6"/>
      <c r="D973" s="7"/>
      <c r="E973" s="10"/>
      <c r="F973" s="6"/>
      <c r="G973" s="6"/>
      <c r="H973" s="6"/>
      <c r="I973" s="6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ht="15.75" customHeight="1">
      <c r="A974" s="6"/>
      <c r="B974" s="6"/>
      <c r="C974" s="6"/>
      <c r="D974" s="7"/>
      <c r="E974" s="10"/>
      <c r="F974" s="6"/>
      <c r="G974" s="6"/>
      <c r="H974" s="6"/>
      <c r="I974" s="6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ht="15.75" customHeight="1">
      <c r="A975" s="6"/>
      <c r="B975" s="6"/>
      <c r="C975" s="6"/>
      <c r="D975" s="7"/>
      <c r="E975" s="10"/>
      <c r="F975" s="6"/>
      <c r="G975" s="6"/>
      <c r="H975" s="6"/>
      <c r="I975" s="6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ht="15.75" customHeight="1">
      <c r="A976" s="6"/>
      <c r="B976" s="6"/>
      <c r="C976" s="6"/>
      <c r="D976" s="7"/>
      <c r="E976" s="10"/>
      <c r="F976" s="6"/>
      <c r="G976" s="6"/>
      <c r="H976" s="6"/>
      <c r="I976" s="6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ht="15.75" customHeight="1">
      <c r="A977" s="6"/>
      <c r="B977" s="6"/>
      <c r="C977" s="6"/>
      <c r="D977" s="7"/>
      <c r="E977" s="10"/>
      <c r="F977" s="6"/>
      <c r="G977" s="6"/>
      <c r="H977" s="6"/>
      <c r="I977" s="6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ht="15.75" customHeight="1">
      <c r="A978" s="6"/>
      <c r="B978" s="6"/>
      <c r="C978" s="6"/>
      <c r="D978" s="7"/>
      <c r="E978" s="10"/>
      <c r="F978" s="6"/>
      <c r="G978" s="6"/>
      <c r="H978" s="6"/>
      <c r="I978" s="6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ht="15.75" customHeight="1">
      <c r="A979" s="6"/>
      <c r="B979" s="6"/>
      <c r="C979" s="6"/>
      <c r="D979" s="7"/>
      <c r="E979" s="10"/>
      <c r="F979" s="6"/>
      <c r="G979" s="6"/>
      <c r="H979" s="6"/>
      <c r="I979" s="6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ht="15.75" customHeight="1">
      <c r="A980" s="6"/>
      <c r="B980" s="6"/>
      <c r="C980" s="6"/>
      <c r="D980" s="7"/>
      <c r="E980" s="10"/>
      <c r="F980" s="6"/>
      <c r="G980" s="6"/>
      <c r="H980" s="6"/>
      <c r="I980" s="6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ht="15.75" customHeight="1">
      <c r="A981" s="6"/>
      <c r="B981" s="6"/>
      <c r="C981" s="6"/>
      <c r="D981" s="7"/>
      <c r="E981" s="10"/>
      <c r="F981" s="6"/>
      <c r="G981" s="6"/>
      <c r="H981" s="6"/>
      <c r="I981" s="6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ht="15.75" customHeight="1">
      <c r="A982" s="6"/>
      <c r="B982" s="6"/>
      <c r="C982" s="6"/>
      <c r="D982" s="7"/>
      <c r="E982" s="10"/>
      <c r="F982" s="6"/>
      <c r="G982" s="6"/>
      <c r="H982" s="6"/>
      <c r="I982" s="6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ht="15.75" customHeight="1">
      <c r="A983" s="6"/>
      <c r="B983" s="6"/>
      <c r="C983" s="6"/>
      <c r="D983" s="7"/>
      <c r="E983" s="10"/>
      <c r="F983" s="6"/>
      <c r="G983" s="6"/>
      <c r="H983" s="6"/>
      <c r="I983" s="6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ht="15.75" customHeight="1">
      <c r="A984" s="6"/>
      <c r="B984" s="6"/>
      <c r="C984" s="6"/>
      <c r="D984" s="7"/>
      <c r="E984" s="10"/>
      <c r="F984" s="6"/>
      <c r="G984" s="6"/>
      <c r="H984" s="6"/>
      <c r="I984" s="6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ht="15.75" customHeight="1">
      <c r="A985" s="6"/>
      <c r="B985" s="6"/>
      <c r="C985" s="6"/>
      <c r="D985" s="7"/>
      <c r="E985" s="10"/>
      <c r="F985" s="6"/>
      <c r="G985" s="6"/>
      <c r="H985" s="6"/>
      <c r="I985" s="6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ht="15.75" customHeight="1">
      <c r="A986" s="6"/>
      <c r="B986" s="6"/>
      <c r="C986" s="6"/>
      <c r="D986" s="7"/>
      <c r="E986" s="10"/>
      <c r="F986" s="6"/>
      <c r="G986" s="6"/>
      <c r="H986" s="6"/>
      <c r="I986" s="6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ht="15.75" customHeight="1">
      <c r="A987" s="6"/>
      <c r="B987" s="6"/>
      <c r="C987" s="6"/>
      <c r="D987" s="7"/>
      <c r="E987" s="10"/>
      <c r="F987" s="6"/>
      <c r="G987" s="6"/>
      <c r="H987" s="6"/>
      <c r="I987" s="6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ht="15.75" customHeight="1">
      <c r="A988" s="6"/>
      <c r="B988" s="6"/>
      <c r="C988" s="6"/>
      <c r="D988" s="7"/>
      <c r="E988" s="10"/>
      <c r="F988" s="6"/>
      <c r="G988" s="6"/>
      <c r="H988" s="6"/>
      <c r="I988" s="6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ht="15.75" customHeight="1">
      <c r="A989" s="6"/>
      <c r="B989" s="6"/>
      <c r="C989" s="6"/>
      <c r="D989" s="7"/>
      <c r="E989" s="10"/>
      <c r="F989" s="6"/>
      <c r="G989" s="6"/>
      <c r="H989" s="6"/>
      <c r="I989" s="6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ht="15.75" customHeight="1">
      <c r="A990" s="6"/>
      <c r="B990" s="6"/>
      <c r="C990" s="6"/>
      <c r="D990" s="7"/>
      <c r="E990" s="10"/>
      <c r="F990" s="6"/>
      <c r="G990" s="6"/>
      <c r="H990" s="6"/>
      <c r="I990" s="6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ht="15.75" customHeight="1">
      <c r="A991" s="6"/>
      <c r="B991" s="6"/>
      <c r="C991" s="6"/>
      <c r="D991" s="7"/>
      <c r="E991" s="10"/>
      <c r="F991" s="6"/>
      <c r="G991" s="6"/>
      <c r="H991" s="6"/>
      <c r="I991" s="6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ht="15.75" customHeight="1">
      <c r="A992" s="6"/>
      <c r="B992" s="6"/>
      <c r="C992" s="6"/>
      <c r="D992" s="7"/>
      <c r="E992" s="10"/>
      <c r="F992" s="6"/>
      <c r="G992" s="6"/>
      <c r="H992" s="6"/>
      <c r="I992" s="6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ht="15.75" customHeight="1">
      <c r="A993" s="6"/>
      <c r="B993" s="6"/>
      <c r="C993" s="6"/>
      <c r="D993" s="7"/>
      <c r="E993" s="10"/>
      <c r="F993" s="6"/>
      <c r="G993" s="6"/>
      <c r="H993" s="6"/>
      <c r="I993" s="6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</sheetData>
  <mergeCells count="57">
    <mergeCell ref="K84:P84"/>
    <mergeCell ref="K85:P85"/>
    <mergeCell ref="S85:V85"/>
    <mergeCell ref="J88:V88"/>
    <mergeCell ref="J91:V91"/>
    <mergeCell ref="J92:V92"/>
    <mergeCell ref="L77:V77"/>
    <mergeCell ref="L78:V78"/>
    <mergeCell ref="K81:P81"/>
    <mergeCell ref="S81:V81"/>
    <mergeCell ref="X81:Y81"/>
    <mergeCell ref="S84:V84"/>
    <mergeCell ref="X84:Z84"/>
    <mergeCell ref="I8:I9"/>
    <mergeCell ref="J8:X8"/>
    <mergeCell ref="A1:X1"/>
    <mergeCell ref="A2:X2"/>
    <mergeCell ref="A3:X3"/>
    <mergeCell ref="A8:A9"/>
    <mergeCell ref="B8:B9"/>
    <mergeCell ref="E8:E9"/>
    <mergeCell ref="F8:F9"/>
    <mergeCell ref="G8:G9"/>
    <mergeCell ref="H8:H9"/>
    <mergeCell ref="H11:H13"/>
    <mergeCell ref="H15:H16"/>
    <mergeCell ref="H17:H23"/>
    <mergeCell ref="I17:I23"/>
    <mergeCell ref="H25:H31"/>
    <mergeCell ref="H39:H40"/>
    <mergeCell ref="I39:I40"/>
    <mergeCell ref="H41:H43"/>
    <mergeCell ref="I41:I43"/>
    <mergeCell ref="Y65:Y66"/>
    <mergeCell ref="Z65:Z66"/>
    <mergeCell ref="AA65:AA66"/>
    <mergeCell ref="AC65:AC66"/>
    <mergeCell ref="AD65:AD66"/>
    <mergeCell ref="AE65:AE66"/>
    <mergeCell ref="AF65:AF66"/>
    <mergeCell ref="AG65:AG66"/>
    <mergeCell ref="AH65:AH66"/>
    <mergeCell ref="AI65:AI66"/>
    <mergeCell ref="C76:G76"/>
    <mergeCell ref="C77:G77"/>
    <mergeCell ref="D81:G81"/>
    <mergeCell ref="A84:B84"/>
    <mergeCell ref="D84:G84"/>
    <mergeCell ref="A85:B85"/>
    <mergeCell ref="D85:I85"/>
    <mergeCell ref="AB65:AB66"/>
    <mergeCell ref="B72:K72"/>
    <mergeCell ref="C74:G74"/>
    <mergeCell ref="C75:G75"/>
    <mergeCell ref="J75:K75"/>
    <mergeCell ref="L75:V75"/>
    <mergeCell ref="L76:V76"/>
  </mergeCells>
  <printOptions/>
  <pageMargins bottom="0.75" footer="0.0" header="0.0" left="0.7" right="0.7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0.38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9"/>
      <c r="E4" s="6"/>
      <c r="F4" s="6"/>
      <c r="G4" s="6"/>
      <c r="H4" s="10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1"/>
      <c r="B5" s="6"/>
      <c r="C5" s="2"/>
      <c r="D5" s="14"/>
      <c r="E5" s="15"/>
      <c r="F5" s="16"/>
      <c r="G5" s="16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/>
      <c r="C6" s="2"/>
      <c r="D6" s="14"/>
      <c r="E6" s="15"/>
      <c r="F6" s="16"/>
      <c r="G6" s="16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1" t="s">
        <v>4</v>
      </c>
      <c r="B7" s="6"/>
      <c r="C7" s="2"/>
      <c r="D7" s="14"/>
      <c r="E7" s="15"/>
      <c r="F7" s="16"/>
      <c r="G7" s="16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7" t="s">
        <v>5</v>
      </c>
      <c r="B8" s="18" t="s">
        <v>6</v>
      </c>
      <c r="C8" s="19" t="s">
        <v>7</v>
      </c>
      <c r="D8" s="21" t="s">
        <v>9</v>
      </c>
      <c r="E8" s="22" t="s">
        <v>10</v>
      </c>
      <c r="F8" s="23" t="s">
        <v>11</v>
      </c>
      <c r="G8" s="18" t="s">
        <v>12</v>
      </c>
      <c r="H8" s="24" t="s">
        <v>13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6"/>
      <c r="W8" s="27"/>
      <c r="X8" s="27"/>
    </row>
    <row r="9">
      <c r="A9" s="28"/>
      <c r="B9" s="29"/>
      <c r="C9" s="30" t="s">
        <v>14</v>
      </c>
      <c r="D9" s="29"/>
      <c r="E9" s="29"/>
      <c r="F9" s="29"/>
      <c r="G9" s="29"/>
      <c r="H9" s="32" t="s">
        <v>15</v>
      </c>
      <c r="I9" s="32" t="s">
        <v>16</v>
      </c>
      <c r="J9" s="32" t="s">
        <v>17</v>
      </c>
      <c r="K9" s="32" t="s">
        <v>18</v>
      </c>
      <c r="L9" s="32" t="s">
        <v>19</v>
      </c>
      <c r="M9" s="32" t="s">
        <v>20</v>
      </c>
      <c r="N9" s="32" t="s">
        <v>21</v>
      </c>
      <c r="O9" s="32" t="s">
        <v>22</v>
      </c>
      <c r="P9" s="32" t="s">
        <v>23</v>
      </c>
      <c r="Q9" s="32" t="s">
        <v>24</v>
      </c>
      <c r="R9" s="32" t="s">
        <v>25</v>
      </c>
      <c r="S9" s="32" t="s">
        <v>26</v>
      </c>
      <c r="T9" s="32" t="s">
        <v>27</v>
      </c>
      <c r="U9" s="33" t="str">
        <f>$V$9</f>
        <v>REMARKS</v>
      </c>
      <c r="V9" s="33" t="s">
        <v>28</v>
      </c>
      <c r="W9" s="34"/>
      <c r="X9" s="27"/>
    </row>
    <row r="10" ht="15.75" customHeight="1">
      <c r="A10" s="35"/>
      <c r="B10" s="36" t="s">
        <v>29</v>
      </c>
      <c r="C10" s="37"/>
      <c r="D10" s="40"/>
      <c r="E10" s="37"/>
      <c r="F10" s="37"/>
      <c r="G10" s="37"/>
      <c r="H10" s="41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42"/>
      <c r="V10" s="43"/>
      <c r="W10" s="27"/>
      <c r="X10" s="27"/>
    </row>
    <row r="11" ht="15.75" customHeight="1">
      <c r="A11" s="35"/>
      <c r="B11" s="44" t="s">
        <v>30</v>
      </c>
      <c r="C11" s="45" t="s">
        <v>31</v>
      </c>
      <c r="D11" s="48">
        <v>800.0</v>
      </c>
      <c r="E11" s="49">
        <v>32000.0</v>
      </c>
      <c r="F11" s="45" t="s">
        <v>32</v>
      </c>
      <c r="G11" s="50"/>
      <c r="H11" s="45">
        <v>40.0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27"/>
      <c r="X11" s="27"/>
    </row>
    <row r="12" ht="15.75" customHeight="1">
      <c r="A12" s="35"/>
      <c r="B12" s="51" t="s">
        <v>33</v>
      </c>
      <c r="C12" s="54" t="s">
        <v>325</v>
      </c>
      <c r="D12" s="48">
        <v>33000.0</v>
      </c>
      <c r="E12" s="48">
        <v>33000.0</v>
      </c>
      <c r="F12" s="45" t="s">
        <v>32</v>
      </c>
      <c r="G12" s="50"/>
      <c r="H12" s="45">
        <v>1.0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27"/>
      <c r="X12" s="27"/>
    </row>
    <row r="13" ht="15.75" customHeight="1">
      <c r="A13" s="35"/>
      <c r="B13" s="51" t="s">
        <v>39</v>
      </c>
      <c r="C13" s="54" t="s">
        <v>40</v>
      </c>
      <c r="D13" s="48">
        <v>800.0</v>
      </c>
      <c r="E13" s="55">
        <v>2400.0</v>
      </c>
      <c r="F13" s="45" t="s">
        <v>41</v>
      </c>
      <c r="G13" s="50"/>
      <c r="H13" s="45">
        <v>3.0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27"/>
      <c r="X13" s="27"/>
    </row>
    <row r="14" ht="15.75" customHeight="1">
      <c r="A14" s="35"/>
      <c r="B14" s="51" t="s">
        <v>42</v>
      </c>
      <c r="C14" s="54" t="s">
        <v>40</v>
      </c>
      <c r="D14" s="48">
        <v>700.0</v>
      </c>
      <c r="E14" s="55">
        <v>2100.0</v>
      </c>
      <c r="F14" s="45" t="s">
        <v>41</v>
      </c>
      <c r="G14" s="50"/>
      <c r="H14" s="45">
        <v>3.0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27"/>
      <c r="X14" s="27"/>
    </row>
    <row r="15" ht="15.75" customHeight="1">
      <c r="A15" s="35"/>
      <c r="B15" s="51" t="s">
        <v>43</v>
      </c>
      <c r="C15" s="54" t="s">
        <v>40</v>
      </c>
      <c r="D15" s="48">
        <v>1100.0</v>
      </c>
      <c r="E15" s="55">
        <v>3300.0</v>
      </c>
      <c r="F15" s="45" t="s">
        <v>41</v>
      </c>
      <c r="G15" s="50"/>
      <c r="H15" s="45">
        <v>3.0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7"/>
      <c r="X15" s="27"/>
    </row>
    <row r="16" ht="15.75" customHeight="1">
      <c r="A16" s="35"/>
      <c r="B16" s="51" t="s">
        <v>44</v>
      </c>
      <c r="C16" s="54" t="s">
        <v>40</v>
      </c>
      <c r="D16" s="48">
        <v>1100.0</v>
      </c>
      <c r="E16" s="55">
        <v>3300.0</v>
      </c>
      <c r="F16" s="45" t="s">
        <v>41</v>
      </c>
      <c r="G16" s="50"/>
      <c r="H16" s="45">
        <v>3.0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27"/>
      <c r="X16" s="27"/>
    </row>
    <row r="17" ht="15.75" customHeight="1">
      <c r="A17" s="35"/>
      <c r="B17" s="51" t="s">
        <v>45</v>
      </c>
      <c r="C17" s="54" t="s">
        <v>40</v>
      </c>
      <c r="D17" s="48">
        <v>700.0</v>
      </c>
      <c r="E17" s="55">
        <v>2100.0</v>
      </c>
      <c r="F17" s="45" t="s">
        <v>41</v>
      </c>
      <c r="G17" s="50"/>
      <c r="H17" s="45">
        <v>3.0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27"/>
      <c r="X17" s="27"/>
    </row>
    <row r="18" ht="15.75" customHeight="1">
      <c r="A18" s="35"/>
      <c r="B18" s="51" t="s">
        <v>46</v>
      </c>
      <c r="C18" s="54" t="s">
        <v>40</v>
      </c>
      <c r="D18" s="48">
        <v>400.0</v>
      </c>
      <c r="E18" s="55">
        <v>1200.0</v>
      </c>
      <c r="F18" s="45" t="s">
        <v>41</v>
      </c>
      <c r="G18" s="50"/>
      <c r="H18" s="45">
        <v>3.0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27"/>
      <c r="X18" s="27"/>
    </row>
    <row r="19" ht="15.75" customHeight="1">
      <c r="A19" s="35"/>
      <c r="B19" s="51" t="s">
        <v>47</v>
      </c>
      <c r="C19" s="54" t="s">
        <v>40</v>
      </c>
      <c r="D19" s="48">
        <v>700.0</v>
      </c>
      <c r="E19" s="55">
        <v>2100.0</v>
      </c>
      <c r="F19" s="45" t="s">
        <v>41</v>
      </c>
      <c r="G19" s="50"/>
      <c r="H19" s="45">
        <v>3.0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27"/>
      <c r="X19" s="27"/>
    </row>
    <row r="20" ht="15.75" customHeight="1">
      <c r="A20" s="35"/>
      <c r="B20" s="36" t="s">
        <v>59</v>
      </c>
      <c r="C20" s="37"/>
      <c r="D20" s="40"/>
      <c r="E20" s="37"/>
      <c r="F20" s="37"/>
      <c r="G20" s="37"/>
      <c r="H20" s="41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42"/>
      <c r="V20" s="43"/>
      <c r="W20" s="27"/>
      <c r="X20" s="27"/>
    </row>
    <row r="21" ht="15.75" customHeight="1">
      <c r="A21" s="35"/>
      <c r="B21" s="352" t="s">
        <v>326</v>
      </c>
      <c r="C21" s="54" t="s">
        <v>61</v>
      </c>
      <c r="D21" s="48">
        <v>500.0</v>
      </c>
      <c r="E21" s="55">
        <v>10000.0</v>
      </c>
      <c r="F21" s="45" t="s">
        <v>55</v>
      </c>
      <c r="G21" s="60"/>
      <c r="H21" s="61">
        <v>20.0</v>
      </c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2"/>
      <c r="V21" s="63"/>
      <c r="W21" s="27"/>
      <c r="X21" s="27"/>
    </row>
    <row r="22" ht="15.75" customHeight="1">
      <c r="A22" s="35"/>
      <c r="B22" s="352" t="s">
        <v>327</v>
      </c>
      <c r="C22" s="54" t="s">
        <v>70</v>
      </c>
      <c r="D22" s="48">
        <v>300.0</v>
      </c>
      <c r="E22" s="55">
        <v>9000.0</v>
      </c>
      <c r="F22" s="45" t="s">
        <v>55</v>
      </c>
      <c r="G22" s="60"/>
      <c r="H22" s="61">
        <v>30.0</v>
      </c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2"/>
      <c r="V22" s="63"/>
      <c r="W22" s="27"/>
      <c r="X22" s="27"/>
    </row>
    <row r="23" ht="15.75" customHeight="1">
      <c r="A23" s="35"/>
      <c r="B23" s="388" t="s">
        <v>328</v>
      </c>
      <c r="C23" s="54" t="s">
        <v>61</v>
      </c>
      <c r="D23" s="48">
        <v>300.0</v>
      </c>
      <c r="E23" s="48">
        <v>6000.0</v>
      </c>
      <c r="F23" s="45" t="s">
        <v>55</v>
      </c>
      <c r="G23" s="60"/>
      <c r="H23" s="61">
        <v>20.0</v>
      </c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2"/>
      <c r="V23" s="63"/>
      <c r="W23" s="27"/>
      <c r="X23" s="27"/>
    </row>
    <row r="24" ht="15.75" customHeight="1">
      <c r="A24" s="35"/>
      <c r="B24" s="388" t="s">
        <v>329</v>
      </c>
      <c r="C24" s="54" t="s">
        <v>330</v>
      </c>
      <c r="D24" s="48">
        <v>500.0</v>
      </c>
      <c r="E24" s="48">
        <v>2500.0</v>
      </c>
      <c r="F24" s="45" t="s">
        <v>55</v>
      </c>
      <c r="G24" s="60"/>
      <c r="H24" s="61">
        <v>5.0</v>
      </c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2"/>
      <c r="V24" s="63"/>
      <c r="W24" s="27"/>
      <c r="X24" s="27"/>
    </row>
    <row r="25" ht="15.75" customHeight="1">
      <c r="A25" s="35"/>
      <c r="B25" s="388" t="s">
        <v>331</v>
      </c>
      <c r="C25" s="54" t="s">
        <v>330</v>
      </c>
      <c r="D25" s="48">
        <v>400.0</v>
      </c>
      <c r="E25" s="48">
        <v>2000.0</v>
      </c>
      <c r="F25" s="45" t="s">
        <v>55</v>
      </c>
      <c r="G25" s="60"/>
      <c r="H25" s="61">
        <v>5.0</v>
      </c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2"/>
      <c r="V25" s="63"/>
      <c r="W25" s="27"/>
      <c r="X25" s="27"/>
    </row>
    <row r="26" ht="15.75" customHeight="1">
      <c r="A26" s="35"/>
      <c r="B26" s="388" t="s">
        <v>69</v>
      </c>
      <c r="C26" s="54" t="s">
        <v>70</v>
      </c>
      <c r="D26" s="48">
        <v>150.0</v>
      </c>
      <c r="E26" s="48">
        <v>4500.0</v>
      </c>
      <c r="F26" s="45" t="s">
        <v>55</v>
      </c>
      <c r="G26" s="60"/>
      <c r="H26" s="61">
        <v>30.0</v>
      </c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2"/>
      <c r="V26" s="63"/>
      <c r="W26" s="27"/>
      <c r="X26" s="27"/>
    </row>
    <row r="27" ht="15.75" customHeight="1">
      <c r="A27" s="35"/>
      <c r="B27" s="388" t="s">
        <v>332</v>
      </c>
      <c r="C27" s="54" t="s">
        <v>61</v>
      </c>
      <c r="D27" s="48">
        <v>300.0</v>
      </c>
      <c r="E27" s="48">
        <v>6000.0</v>
      </c>
      <c r="F27" s="45" t="s">
        <v>55</v>
      </c>
      <c r="G27" s="60"/>
      <c r="H27" s="61">
        <v>20.0</v>
      </c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2"/>
      <c r="V27" s="63"/>
      <c r="W27" s="27"/>
      <c r="X27" s="27"/>
    </row>
    <row r="28" ht="15.75" customHeight="1">
      <c r="A28" s="35"/>
      <c r="B28" s="64" t="s">
        <v>71</v>
      </c>
      <c r="C28" s="54" t="s">
        <v>72</v>
      </c>
      <c r="D28" s="48">
        <v>199.0</v>
      </c>
      <c r="E28" s="55">
        <v>7960.0</v>
      </c>
      <c r="F28" s="45" t="s">
        <v>55</v>
      </c>
      <c r="G28" s="50"/>
      <c r="H28" s="45">
        <v>40.0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27"/>
      <c r="X28" s="27"/>
    </row>
    <row r="29" ht="15.75" customHeight="1">
      <c r="A29" s="35"/>
      <c r="B29" s="64" t="s">
        <v>73</v>
      </c>
      <c r="C29" s="54" t="s">
        <v>72</v>
      </c>
      <c r="D29" s="48">
        <v>199.0</v>
      </c>
      <c r="E29" s="55">
        <v>7960.0</v>
      </c>
      <c r="F29" s="45" t="s">
        <v>55</v>
      </c>
      <c r="G29" s="50"/>
      <c r="H29" s="45">
        <v>40.0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27"/>
      <c r="X29" s="27"/>
    </row>
    <row r="30" ht="15.75" customHeight="1">
      <c r="A30" s="35"/>
      <c r="B30" s="64" t="s">
        <v>74</v>
      </c>
      <c r="C30" s="54" t="s">
        <v>333</v>
      </c>
      <c r="D30" s="48">
        <v>2000.0</v>
      </c>
      <c r="E30" s="55">
        <v>4000.0</v>
      </c>
      <c r="F30" s="45" t="s">
        <v>55</v>
      </c>
      <c r="G30" s="50"/>
      <c r="H30" s="45">
        <v>2.0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27"/>
      <c r="X30" s="27"/>
    </row>
    <row r="31" ht="15.75" customHeight="1">
      <c r="A31" s="35"/>
      <c r="B31" s="64" t="s">
        <v>76</v>
      </c>
      <c r="C31" s="54" t="s">
        <v>333</v>
      </c>
      <c r="D31" s="48">
        <v>2500.0</v>
      </c>
      <c r="E31" s="55">
        <v>5000.0</v>
      </c>
      <c r="F31" s="45" t="s">
        <v>55</v>
      </c>
      <c r="G31" s="50"/>
      <c r="H31" s="45">
        <v>2.0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27"/>
      <c r="X31" s="27"/>
    </row>
    <row r="32">
      <c r="A32" s="35"/>
      <c r="B32" s="64" t="s">
        <v>77</v>
      </c>
      <c r="C32" s="54" t="s">
        <v>333</v>
      </c>
      <c r="D32" s="48">
        <v>3000.0</v>
      </c>
      <c r="E32" s="55">
        <v>6000.0</v>
      </c>
      <c r="F32" s="45" t="s">
        <v>55</v>
      </c>
      <c r="G32" s="50"/>
      <c r="H32" s="45">
        <v>2.0</v>
      </c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27"/>
      <c r="X32" s="27"/>
    </row>
    <row r="33" ht="15.75" customHeight="1">
      <c r="A33" s="35"/>
      <c r="B33" s="64" t="s">
        <v>78</v>
      </c>
      <c r="C33" s="54" t="s">
        <v>79</v>
      </c>
      <c r="D33" s="48">
        <v>300.0</v>
      </c>
      <c r="E33" s="55">
        <v>3000.0</v>
      </c>
      <c r="F33" s="45" t="s">
        <v>55</v>
      </c>
      <c r="G33" s="50"/>
      <c r="H33" s="45">
        <v>10.0</v>
      </c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27"/>
      <c r="X33" s="27"/>
    </row>
    <row r="34" ht="15.75" customHeight="1">
      <c r="A34" s="35"/>
      <c r="B34" s="64" t="s">
        <v>80</v>
      </c>
      <c r="C34" s="54" t="s">
        <v>79</v>
      </c>
      <c r="D34" s="48">
        <v>300.0</v>
      </c>
      <c r="E34" s="55">
        <v>3000.0</v>
      </c>
      <c r="F34" s="45" t="s">
        <v>55</v>
      </c>
      <c r="G34" s="50"/>
      <c r="H34" s="45">
        <v>10.0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27"/>
      <c r="X34" s="27"/>
    </row>
    <row r="35" ht="15.75" customHeight="1">
      <c r="A35" s="35"/>
      <c r="B35" s="64" t="s">
        <v>81</v>
      </c>
      <c r="C35" s="54" t="s">
        <v>334</v>
      </c>
      <c r="D35" s="48">
        <v>500.0</v>
      </c>
      <c r="E35" s="55">
        <v>1000.0</v>
      </c>
      <c r="F35" s="45" t="s">
        <v>55</v>
      </c>
      <c r="G35" s="50"/>
      <c r="H35" s="45">
        <v>2.0</v>
      </c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27"/>
      <c r="X35" s="27"/>
    </row>
    <row r="36" ht="15.75" customHeight="1">
      <c r="A36" s="35"/>
      <c r="B36" s="64" t="s">
        <v>83</v>
      </c>
      <c r="C36" s="54" t="s">
        <v>334</v>
      </c>
      <c r="D36" s="48">
        <v>500.0</v>
      </c>
      <c r="E36" s="55">
        <v>1000.0</v>
      </c>
      <c r="F36" s="45" t="s">
        <v>55</v>
      </c>
      <c r="G36" s="50"/>
      <c r="H36" s="45">
        <v>2.0</v>
      </c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27"/>
      <c r="X36" s="27"/>
    </row>
    <row r="37" ht="15.75" customHeight="1">
      <c r="A37" s="35"/>
      <c r="B37" s="64" t="s">
        <v>84</v>
      </c>
      <c r="C37" s="54" t="s">
        <v>79</v>
      </c>
      <c r="D37" s="48">
        <v>200.0</v>
      </c>
      <c r="E37" s="55">
        <v>2000.0</v>
      </c>
      <c r="F37" s="45" t="s">
        <v>55</v>
      </c>
      <c r="G37" s="50"/>
      <c r="H37" s="45">
        <v>10.0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27"/>
      <c r="X37" s="27"/>
    </row>
    <row r="38" ht="15.75" customHeight="1">
      <c r="A38" s="35"/>
      <c r="B38" s="64" t="s">
        <v>85</v>
      </c>
      <c r="C38" s="54" t="s">
        <v>75</v>
      </c>
      <c r="D38" s="48">
        <v>200.0</v>
      </c>
      <c r="E38" s="55">
        <v>2000.0</v>
      </c>
      <c r="F38" s="45" t="s">
        <v>55</v>
      </c>
      <c r="G38" s="50"/>
      <c r="H38" s="45">
        <v>10.0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27"/>
      <c r="X38" s="27"/>
    </row>
    <row r="39" ht="15.75" customHeight="1">
      <c r="A39" s="35"/>
      <c r="B39" s="64" t="s">
        <v>86</v>
      </c>
      <c r="C39" s="54" t="s">
        <v>75</v>
      </c>
      <c r="D39" s="48">
        <v>200.0</v>
      </c>
      <c r="E39" s="55">
        <v>2000.0</v>
      </c>
      <c r="F39" s="45" t="s">
        <v>55</v>
      </c>
      <c r="G39" s="50"/>
      <c r="H39" s="45">
        <v>10.0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27"/>
      <c r="X39" s="27"/>
    </row>
    <row r="40" ht="15.75" customHeight="1">
      <c r="A40" s="35"/>
      <c r="B40" s="64" t="s">
        <v>87</v>
      </c>
      <c r="C40" s="54" t="s">
        <v>88</v>
      </c>
      <c r="D40" s="48">
        <v>4000.0</v>
      </c>
      <c r="E40" s="55">
        <v>40000.0</v>
      </c>
      <c r="F40" s="45" t="s">
        <v>55</v>
      </c>
      <c r="G40" s="50"/>
      <c r="H40" s="45"/>
      <c r="I40" s="50">
        <v>10.0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27"/>
      <c r="X40" s="27"/>
    </row>
    <row r="41" ht="15.75" customHeight="1">
      <c r="A41" s="35"/>
      <c r="B41" s="64" t="s">
        <v>89</v>
      </c>
      <c r="C41" s="54" t="s">
        <v>75</v>
      </c>
      <c r="D41" s="48">
        <v>200.0</v>
      </c>
      <c r="E41" s="55">
        <v>2000.0</v>
      </c>
      <c r="F41" s="45" t="s">
        <v>55</v>
      </c>
      <c r="G41" s="50"/>
      <c r="H41" s="45">
        <v>10.0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27"/>
      <c r="X41" s="27"/>
    </row>
    <row r="42" ht="15.75" customHeight="1">
      <c r="A42" s="35"/>
      <c r="B42" s="64" t="s">
        <v>90</v>
      </c>
      <c r="C42" s="54" t="s">
        <v>75</v>
      </c>
      <c r="D42" s="48">
        <v>250.0</v>
      </c>
      <c r="E42" s="55">
        <v>2500.0</v>
      </c>
      <c r="F42" s="45" t="s">
        <v>55</v>
      </c>
      <c r="G42" s="50"/>
      <c r="H42" s="45">
        <v>10.0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27"/>
      <c r="X42" s="27"/>
    </row>
    <row r="43" ht="15.75" customHeight="1">
      <c r="A43" s="35"/>
      <c r="B43" s="64" t="s">
        <v>91</v>
      </c>
      <c r="C43" s="54" t="s">
        <v>75</v>
      </c>
      <c r="D43" s="48">
        <v>350.0</v>
      </c>
      <c r="E43" s="55">
        <v>3500.0</v>
      </c>
      <c r="F43" s="45" t="s">
        <v>55</v>
      </c>
      <c r="G43" s="50"/>
      <c r="H43" s="45">
        <v>10.0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27"/>
      <c r="X43" s="27"/>
    </row>
    <row r="44" ht="15.75" customHeight="1">
      <c r="A44" s="35"/>
      <c r="B44" s="64" t="s">
        <v>92</v>
      </c>
      <c r="C44" s="54" t="s">
        <v>75</v>
      </c>
      <c r="D44" s="48">
        <v>400.0</v>
      </c>
      <c r="E44" s="55">
        <v>4000.0</v>
      </c>
      <c r="F44" s="45" t="s">
        <v>55</v>
      </c>
      <c r="G44" s="50"/>
      <c r="H44" s="45">
        <v>10.0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27"/>
      <c r="X44" s="27"/>
    </row>
    <row r="45" ht="15.75" hidden="1" customHeight="1">
      <c r="A45" s="35"/>
      <c r="B45" s="44"/>
      <c r="C45" s="54"/>
      <c r="D45" s="48"/>
      <c r="E45" s="55"/>
      <c r="F45" s="50"/>
      <c r="G45" s="50"/>
      <c r="H45" s="45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27"/>
      <c r="X45" s="27"/>
    </row>
    <row r="46" ht="15.75" hidden="1" customHeight="1">
      <c r="A46" s="35"/>
      <c r="B46" s="44"/>
      <c r="C46" s="54"/>
      <c r="D46" s="48"/>
      <c r="E46" s="55"/>
      <c r="F46" s="50"/>
      <c r="G46" s="50"/>
      <c r="H46" s="45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27"/>
      <c r="X46" s="27"/>
    </row>
    <row r="47" ht="15.75" hidden="1" customHeight="1">
      <c r="A47" s="35"/>
      <c r="B47" s="44"/>
      <c r="C47" s="54"/>
      <c r="D47" s="48"/>
      <c r="E47" s="55"/>
      <c r="F47" s="50"/>
      <c r="G47" s="50"/>
      <c r="H47" s="45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27"/>
      <c r="X47" s="27"/>
    </row>
    <row r="48" ht="15.75" hidden="1" customHeight="1">
      <c r="A48" s="35"/>
      <c r="B48" s="44"/>
      <c r="C48" s="54"/>
      <c r="D48" s="48"/>
      <c r="E48" s="55"/>
      <c r="F48" s="50"/>
      <c r="G48" s="50"/>
      <c r="H48" s="45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27"/>
      <c r="X48" s="27"/>
    </row>
    <row r="49" ht="15.75" hidden="1" customHeight="1">
      <c r="A49" s="35"/>
      <c r="B49" s="44"/>
      <c r="C49" s="54"/>
      <c r="D49" s="48"/>
      <c r="E49" s="55"/>
      <c r="F49" s="50"/>
      <c r="G49" s="50"/>
      <c r="H49" s="45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27"/>
      <c r="X49" s="27"/>
    </row>
    <row r="50" ht="15.75" hidden="1" customHeight="1">
      <c r="A50" s="35"/>
      <c r="B50" s="44"/>
      <c r="C50" s="54"/>
      <c r="D50" s="48"/>
      <c r="E50" s="55"/>
      <c r="F50" s="50"/>
      <c r="G50" s="50"/>
      <c r="H50" s="45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27"/>
      <c r="X50" s="27"/>
    </row>
    <row r="51" ht="15.75" hidden="1" customHeight="1">
      <c r="A51" s="66"/>
      <c r="B51" s="67"/>
      <c r="C51" s="175"/>
      <c r="D51" s="176"/>
      <c r="E51" s="70"/>
      <c r="F51" s="50"/>
      <c r="G51" s="50"/>
      <c r="H51" s="45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27"/>
      <c r="X51" s="27"/>
    </row>
    <row r="52" ht="15.75" hidden="1" customHeight="1">
      <c r="A52" s="35"/>
      <c r="B52" s="36" t="s">
        <v>93</v>
      </c>
      <c r="C52" s="68"/>
      <c r="D52" s="476"/>
      <c r="E52" s="68"/>
      <c r="F52" s="68"/>
      <c r="G52" s="68"/>
      <c r="H52" s="69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27"/>
      <c r="X52" s="27"/>
    </row>
    <row r="53" ht="15.75" hidden="1" customHeight="1">
      <c r="A53" s="35"/>
      <c r="B53" s="44"/>
      <c r="C53" s="54"/>
      <c r="D53" s="48"/>
      <c r="E53" s="55"/>
      <c r="F53" s="50"/>
      <c r="G53" s="50"/>
      <c r="H53" s="45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27"/>
      <c r="X53" s="27"/>
    </row>
    <row r="54" ht="15.75" hidden="1" customHeight="1">
      <c r="A54" s="35"/>
      <c r="B54" s="44"/>
      <c r="C54" s="54"/>
      <c r="D54" s="48"/>
      <c r="E54" s="55"/>
      <c r="F54" s="50"/>
      <c r="G54" s="50"/>
      <c r="H54" s="45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27"/>
      <c r="X54" s="27"/>
    </row>
    <row r="55" ht="15.75" hidden="1" customHeight="1">
      <c r="A55" s="35"/>
      <c r="B55" s="44"/>
      <c r="C55" s="54"/>
      <c r="D55" s="48"/>
      <c r="E55" s="55"/>
      <c r="F55" s="50"/>
      <c r="G55" s="50"/>
      <c r="H55" s="45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27"/>
      <c r="X55" s="27"/>
    </row>
    <row r="56" ht="15.75" hidden="1" customHeight="1">
      <c r="A56" s="35"/>
      <c r="B56" s="44"/>
      <c r="C56" s="54"/>
      <c r="D56" s="48"/>
      <c r="E56" s="55"/>
      <c r="F56" s="50"/>
      <c r="G56" s="50"/>
      <c r="H56" s="45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27"/>
      <c r="X56" s="27"/>
    </row>
    <row r="57" ht="15.75" hidden="1" customHeight="1">
      <c r="A57" s="35"/>
      <c r="B57" s="36" t="s">
        <v>94</v>
      </c>
      <c r="C57" s="68"/>
      <c r="D57" s="476"/>
      <c r="E57" s="68"/>
      <c r="F57" s="68"/>
      <c r="G57" s="68"/>
      <c r="H57" s="69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27"/>
      <c r="X57" s="27"/>
    </row>
    <row r="58" ht="15.75" hidden="1" customHeight="1">
      <c r="A58" s="35"/>
      <c r="B58" s="44"/>
      <c r="C58" s="54"/>
      <c r="D58" s="48"/>
      <c r="E58" s="55"/>
      <c r="F58" s="50"/>
      <c r="G58" s="50"/>
      <c r="H58" s="45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27"/>
      <c r="X58" s="27"/>
    </row>
    <row r="59" ht="15.75" hidden="1" customHeight="1">
      <c r="A59" s="35"/>
      <c r="B59" s="44"/>
      <c r="C59" s="54"/>
      <c r="D59" s="48"/>
      <c r="E59" s="55"/>
      <c r="F59" s="50"/>
      <c r="G59" s="50"/>
      <c r="H59" s="45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27"/>
      <c r="X59" s="27"/>
    </row>
    <row r="60" ht="15.75" hidden="1" customHeight="1">
      <c r="A60" s="35"/>
      <c r="B60" s="44"/>
      <c r="C60" s="54"/>
      <c r="D60" s="48"/>
      <c r="E60" s="55"/>
      <c r="F60" s="50"/>
      <c r="G60" s="50"/>
      <c r="H60" s="45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27"/>
      <c r="X60" s="27"/>
    </row>
    <row r="61" ht="15.75" customHeight="1">
      <c r="A61" s="66"/>
      <c r="B61" s="93" t="s">
        <v>114</v>
      </c>
      <c r="C61" s="94"/>
      <c r="D61" s="94"/>
      <c r="E61" s="94"/>
      <c r="F61" s="94"/>
      <c r="G61" s="94"/>
      <c r="H61" s="94"/>
      <c r="I61" s="95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27"/>
      <c r="X61" s="27"/>
    </row>
    <row r="62" ht="15.75" customHeight="1">
      <c r="A62" s="96"/>
      <c r="B62" s="97"/>
      <c r="C62" s="2"/>
      <c r="D62" s="14"/>
      <c r="E62" s="98"/>
      <c r="F62" s="16"/>
      <c r="G62" s="16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99" t="s">
        <v>115</v>
      </c>
      <c r="B63" s="6"/>
      <c r="C63" s="100">
        <f>SUM(E11:E44)</f>
        <v>218420</v>
      </c>
      <c r="F63" s="16"/>
      <c r="G63" s="16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hidden="1" customHeight="1">
      <c r="A64" s="101" t="s">
        <v>116</v>
      </c>
      <c r="B64" s="102"/>
      <c r="C64" s="103">
        <f>PRODUCT(C63,0.1)</f>
        <v>21842</v>
      </c>
      <c r="D64" s="104"/>
      <c r="E64" s="105"/>
      <c r="F64" s="16"/>
      <c r="G64" s="16"/>
      <c r="H64" s="106"/>
      <c r="J64" s="106"/>
      <c r="U64" s="106"/>
      <c r="V64" s="2"/>
      <c r="W64" s="2"/>
      <c r="X64" s="2"/>
    </row>
    <row r="65" ht="15.75" hidden="1" customHeight="1">
      <c r="A65" s="107" t="s">
        <v>117</v>
      </c>
      <c r="B65" s="108"/>
      <c r="C65" s="109">
        <f>PRODUCT(C63,0.1)</f>
        <v>21842</v>
      </c>
      <c r="D65" s="94"/>
      <c r="E65" s="95"/>
      <c r="F65" s="16"/>
      <c r="G65" s="16"/>
      <c r="H65" s="110"/>
      <c r="I65" s="111"/>
      <c r="J65" s="112"/>
      <c r="U65" s="112"/>
      <c r="V65" s="2"/>
      <c r="W65" s="2"/>
      <c r="X65" s="2"/>
    </row>
    <row r="66" ht="15.75" hidden="1" customHeight="1">
      <c r="A66" s="107" t="s">
        <v>118</v>
      </c>
      <c r="B66" s="108"/>
      <c r="C66" s="109">
        <f>SUM(C63:E65)</f>
        <v>262104</v>
      </c>
      <c r="D66" s="94"/>
      <c r="E66" s="95"/>
      <c r="F66" s="16"/>
      <c r="G66" s="16"/>
      <c r="H66" s="110"/>
      <c r="I66" s="111"/>
      <c r="J66" s="112"/>
      <c r="U66" s="112"/>
      <c r="V66" s="2"/>
      <c r="W66" s="2"/>
      <c r="X66" s="2"/>
    </row>
    <row r="67" ht="15.75" customHeight="1">
      <c r="A67" s="113"/>
      <c r="B67" s="6"/>
      <c r="C67" s="2"/>
      <c r="D67" s="14"/>
      <c r="E67" s="15"/>
      <c r="F67" s="16"/>
      <c r="G67" s="16"/>
      <c r="H67" s="110"/>
      <c r="I67" s="111"/>
      <c r="J67" s="112"/>
      <c r="U67" s="112"/>
      <c r="V67" s="2"/>
      <c r="W67" s="2"/>
      <c r="X67" s="2"/>
    </row>
    <row r="68" ht="15.75" customHeight="1">
      <c r="A68" s="114" t="s">
        <v>119</v>
      </c>
      <c r="B68" s="6"/>
      <c r="C68" s="2"/>
      <c r="D68" s="14"/>
      <c r="E68" s="15"/>
      <c r="F68" s="16"/>
      <c r="G68" s="16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15"/>
      <c r="B69" s="6"/>
      <c r="C69" s="2"/>
      <c r="D69" s="14"/>
      <c r="E69" s="15"/>
      <c r="F69" s="16"/>
      <c r="G69" s="16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16" t="s">
        <v>120</v>
      </c>
      <c r="B70" s="97"/>
      <c r="C70" s="117" t="s">
        <v>121</v>
      </c>
      <c r="F70" s="111"/>
      <c r="G70" s="111"/>
      <c r="H70" s="3"/>
      <c r="I70" s="117" t="s">
        <v>122</v>
      </c>
      <c r="O70" s="2"/>
      <c r="P70" s="2"/>
      <c r="Q70" s="117" t="s">
        <v>123</v>
      </c>
      <c r="U70" s="2"/>
      <c r="V70" s="2"/>
      <c r="X70" s="111"/>
    </row>
    <row r="71" ht="15.75" customHeight="1">
      <c r="A71" s="116"/>
      <c r="B71" s="97"/>
      <c r="C71" s="117"/>
      <c r="D71" s="120"/>
      <c r="E71" s="117"/>
      <c r="F71" s="111"/>
      <c r="G71" s="111"/>
      <c r="H71" s="3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1"/>
      <c r="X71" s="111"/>
    </row>
    <row r="72" ht="15.75" customHeight="1">
      <c r="A72" s="97"/>
      <c r="B72" s="97"/>
      <c r="C72" s="111"/>
      <c r="D72" s="123"/>
      <c r="E72" s="124"/>
      <c r="F72" s="111"/>
      <c r="G72" s="111"/>
      <c r="H72" s="3"/>
      <c r="I72" s="111"/>
      <c r="J72" s="124"/>
      <c r="K72" s="124"/>
      <c r="L72" s="124"/>
      <c r="M72" s="124"/>
      <c r="N72" s="124"/>
      <c r="O72" s="124"/>
      <c r="P72" s="124"/>
      <c r="Q72" s="111"/>
      <c r="R72" s="124"/>
      <c r="S72" s="111"/>
      <c r="T72" s="111"/>
      <c r="U72" s="111"/>
      <c r="V72" s="111"/>
      <c r="W72" s="111"/>
      <c r="X72" s="111"/>
    </row>
    <row r="73" ht="15.75" customHeight="1">
      <c r="A73" s="125" t="s">
        <v>124</v>
      </c>
      <c r="C73" s="126" t="s">
        <v>125</v>
      </c>
      <c r="G73" s="2"/>
      <c r="H73" s="3"/>
      <c r="I73" s="126" t="s">
        <v>126</v>
      </c>
      <c r="O73" s="2"/>
      <c r="P73" s="2"/>
      <c r="Q73" s="126" t="s">
        <v>127</v>
      </c>
      <c r="U73" s="2"/>
      <c r="V73" s="2"/>
    </row>
    <row r="74" ht="15.0" customHeight="1">
      <c r="A74" s="127" t="s">
        <v>128</v>
      </c>
      <c r="C74" s="128" t="s">
        <v>129</v>
      </c>
      <c r="G74" s="129"/>
      <c r="H74" s="3"/>
      <c r="I74" s="130" t="s">
        <v>130</v>
      </c>
      <c r="O74" s="2"/>
      <c r="P74" s="2"/>
      <c r="Q74" s="128" t="s">
        <v>131</v>
      </c>
      <c r="U74" s="2"/>
      <c r="V74" s="2"/>
      <c r="W74" s="111"/>
      <c r="X74" s="111"/>
    </row>
    <row r="75" ht="15.75" customHeight="1">
      <c r="A75" s="2"/>
      <c r="B75" s="2"/>
      <c r="C75" s="2"/>
      <c r="D75" s="14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 t="s">
        <v>132</v>
      </c>
      <c r="B76" s="2"/>
      <c r="C76" s="2" t="s">
        <v>132</v>
      </c>
      <c r="D76" s="14"/>
      <c r="E76" s="2"/>
      <c r="F76" s="2"/>
      <c r="G76" s="2"/>
      <c r="H76" s="3"/>
      <c r="I76" s="2" t="s">
        <v>132</v>
      </c>
      <c r="J76" s="2"/>
      <c r="K76" s="2"/>
      <c r="L76" s="2"/>
      <c r="M76" s="2"/>
      <c r="N76" s="2"/>
      <c r="O76" s="2"/>
      <c r="P76" s="2"/>
      <c r="Q76" s="2" t="s">
        <v>132</v>
      </c>
      <c r="R76" s="2"/>
      <c r="S76" s="2"/>
      <c r="T76" s="2"/>
      <c r="U76" s="2"/>
      <c r="V76" s="2"/>
      <c r="W76" s="2"/>
      <c r="X76" s="2"/>
    </row>
    <row r="77" ht="15.75" customHeight="1">
      <c r="D77" s="133"/>
      <c r="H77" s="134"/>
    </row>
    <row r="78" ht="15.75" customHeight="1">
      <c r="D78" s="133"/>
      <c r="H78" s="135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</row>
    <row r="79" ht="15.75" customHeight="1">
      <c r="D79" s="133"/>
      <c r="H79" s="136"/>
      <c r="I79" s="137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</row>
    <row r="80" ht="15.75" customHeight="1">
      <c r="D80" s="133"/>
      <c r="H80" s="139"/>
    </row>
    <row r="81" ht="15.75" customHeight="1">
      <c r="D81" s="133"/>
      <c r="H81" s="140"/>
    </row>
    <row r="82" ht="15.75" customHeight="1">
      <c r="D82" s="133"/>
      <c r="H82" s="3"/>
    </row>
    <row r="83" ht="15.75" customHeight="1">
      <c r="D83" s="133"/>
      <c r="H83" s="3"/>
    </row>
    <row r="84" ht="15.75" customHeight="1">
      <c r="D84" s="133"/>
      <c r="H84" s="3"/>
    </row>
    <row r="85" ht="15.75" customHeight="1">
      <c r="D85" s="133"/>
      <c r="H85" s="3"/>
    </row>
    <row r="86" ht="15.75" customHeight="1">
      <c r="D86" s="133"/>
      <c r="H86" s="3"/>
    </row>
    <row r="87" ht="15.75" customHeight="1">
      <c r="D87" s="133"/>
      <c r="H87" s="3"/>
    </row>
    <row r="88" ht="15.75" customHeight="1">
      <c r="D88" s="133"/>
      <c r="H88" s="3"/>
    </row>
    <row r="89" ht="15.75" customHeight="1">
      <c r="D89" s="133"/>
      <c r="H89" s="3"/>
    </row>
    <row r="90" ht="15.75" customHeight="1">
      <c r="D90" s="133"/>
      <c r="H90" s="3"/>
    </row>
    <row r="91" ht="15.75" customHeight="1">
      <c r="D91" s="133"/>
      <c r="H91" s="3"/>
    </row>
    <row r="92" ht="15.75" customHeight="1">
      <c r="D92" s="133"/>
      <c r="H92" s="3"/>
    </row>
    <row r="93" ht="15.75" customHeight="1">
      <c r="D93" s="133"/>
      <c r="H93" s="3"/>
    </row>
    <row r="94" ht="15.75" customHeight="1">
      <c r="D94" s="133"/>
      <c r="H94" s="3"/>
    </row>
    <row r="95" ht="15.75" customHeight="1">
      <c r="D95" s="133"/>
      <c r="H95" s="3"/>
    </row>
    <row r="96" ht="15.75" customHeight="1">
      <c r="D96" s="133"/>
      <c r="H96" s="3"/>
    </row>
    <row r="97" ht="15.75" customHeight="1">
      <c r="D97" s="133"/>
      <c r="H97" s="3"/>
    </row>
    <row r="98" ht="15.75" customHeight="1">
      <c r="D98" s="133"/>
      <c r="H98" s="3"/>
    </row>
    <row r="99" ht="15.75" customHeight="1">
      <c r="D99" s="133"/>
      <c r="H99" s="3"/>
    </row>
    <row r="100" ht="15.75" customHeight="1">
      <c r="D100" s="133"/>
      <c r="H100" s="3"/>
    </row>
    <row r="101" ht="15.75" customHeight="1">
      <c r="D101" s="133"/>
      <c r="H101" s="3"/>
    </row>
    <row r="102" ht="15.75" customHeight="1">
      <c r="D102" s="133"/>
      <c r="H102" s="3"/>
    </row>
    <row r="103" ht="15.75" customHeight="1">
      <c r="D103" s="133"/>
      <c r="H103" s="3"/>
    </row>
    <row r="104" ht="15.75" customHeight="1">
      <c r="D104" s="133"/>
      <c r="H104" s="3"/>
    </row>
    <row r="105" ht="15.75" customHeight="1">
      <c r="D105" s="133"/>
      <c r="H105" s="3"/>
    </row>
    <row r="106" ht="15.75" customHeight="1">
      <c r="D106" s="133"/>
      <c r="H106" s="3"/>
    </row>
    <row r="107" ht="15.75" customHeight="1">
      <c r="D107" s="133"/>
      <c r="H107" s="3"/>
    </row>
    <row r="108" ht="15.75" customHeight="1">
      <c r="D108" s="133"/>
      <c r="H108" s="3"/>
    </row>
    <row r="109" ht="15.75" customHeight="1">
      <c r="D109" s="133"/>
      <c r="H109" s="3"/>
    </row>
    <row r="110" ht="15.75" customHeight="1">
      <c r="D110" s="133"/>
      <c r="H110" s="3"/>
    </row>
    <row r="111" ht="15.75" customHeight="1">
      <c r="D111" s="133"/>
      <c r="H111" s="3"/>
    </row>
    <row r="112" ht="15.75" customHeight="1">
      <c r="D112" s="133"/>
      <c r="H112" s="3"/>
    </row>
    <row r="113" ht="15.75" customHeight="1">
      <c r="D113" s="133"/>
      <c r="H113" s="3"/>
    </row>
    <row r="114" ht="15.75" customHeight="1">
      <c r="D114" s="133"/>
      <c r="H114" s="3"/>
    </row>
    <row r="115" ht="15.75" customHeight="1">
      <c r="D115" s="133"/>
      <c r="H115" s="3"/>
    </row>
    <row r="116" ht="15.75" customHeight="1">
      <c r="D116" s="133"/>
      <c r="H116" s="3"/>
    </row>
    <row r="117" ht="15.75" customHeight="1">
      <c r="D117" s="133"/>
      <c r="H117" s="3"/>
    </row>
    <row r="118" ht="15.75" customHeight="1">
      <c r="D118" s="133"/>
      <c r="H118" s="3"/>
    </row>
    <row r="119" ht="15.75" customHeight="1">
      <c r="D119" s="133"/>
      <c r="H119" s="3"/>
    </row>
    <row r="120" ht="15.75" customHeight="1">
      <c r="D120" s="133"/>
      <c r="H120" s="3"/>
    </row>
    <row r="121" ht="15.75" customHeight="1">
      <c r="D121" s="133"/>
      <c r="H121" s="3"/>
    </row>
    <row r="122" ht="15.75" customHeight="1">
      <c r="D122" s="133"/>
      <c r="H122" s="3"/>
    </row>
    <row r="123" ht="15.75" customHeight="1">
      <c r="D123" s="133"/>
      <c r="H123" s="3"/>
    </row>
    <row r="124" ht="15.75" customHeight="1">
      <c r="D124" s="133"/>
      <c r="H124" s="3"/>
    </row>
    <row r="125" ht="15.75" customHeight="1">
      <c r="D125" s="133"/>
      <c r="H125" s="3"/>
    </row>
    <row r="126" ht="15.75" customHeight="1">
      <c r="D126" s="133"/>
      <c r="H126" s="3"/>
    </row>
    <row r="127" ht="15.75" customHeight="1">
      <c r="D127" s="133"/>
      <c r="H127" s="3"/>
    </row>
    <row r="128" ht="15.75" customHeight="1">
      <c r="D128" s="133"/>
      <c r="H128" s="3"/>
    </row>
    <row r="129" ht="15.75" customHeight="1">
      <c r="D129" s="133"/>
      <c r="H129" s="3"/>
    </row>
    <row r="130" ht="15.75" customHeight="1">
      <c r="D130" s="133"/>
      <c r="H130" s="3"/>
    </row>
    <row r="131" ht="15.75" customHeight="1">
      <c r="D131" s="133"/>
      <c r="H131" s="3"/>
    </row>
    <row r="132" ht="15.75" customHeight="1">
      <c r="D132" s="133"/>
      <c r="H132" s="3"/>
    </row>
    <row r="133" ht="15.75" customHeight="1">
      <c r="D133" s="133"/>
      <c r="H133" s="3"/>
    </row>
    <row r="134" ht="15.75" customHeight="1">
      <c r="D134" s="133"/>
      <c r="H134" s="3"/>
    </row>
    <row r="135" ht="15.75" customHeight="1">
      <c r="D135" s="133"/>
      <c r="H135" s="3"/>
    </row>
    <row r="136" ht="15.75" customHeight="1">
      <c r="D136" s="133"/>
      <c r="H136" s="3"/>
    </row>
    <row r="137" ht="15.75" customHeight="1">
      <c r="D137" s="133"/>
      <c r="H137" s="3"/>
    </row>
    <row r="138" ht="15.75" customHeight="1">
      <c r="D138" s="133"/>
      <c r="H138" s="3"/>
    </row>
    <row r="139" ht="15.75" customHeight="1">
      <c r="D139" s="133"/>
      <c r="H139" s="3"/>
    </row>
    <row r="140" ht="15.75" customHeight="1">
      <c r="D140" s="133"/>
      <c r="H140" s="3"/>
    </row>
    <row r="141" ht="15.75" customHeight="1">
      <c r="D141" s="133"/>
      <c r="H141" s="3"/>
    </row>
    <row r="142" ht="15.75" customHeight="1">
      <c r="D142" s="133"/>
      <c r="H142" s="3"/>
    </row>
    <row r="143" ht="15.75" customHeight="1">
      <c r="D143" s="133"/>
      <c r="H143" s="3"/>
    </row>
    <row r="144" ht="15.75" customHeight="1">
      <c r="D144" s="133"/>
      <c r="H144" s="3"/>
    </row>
    <row r="145" ht="15.75" customHeight="1">
      <c r="D145" s="133"/>
      <c r="H145" s="3"/>
    </row>
    <row r="146" ht="15.75" customHeight="1">
      <c r="D146" s="133"/>
      <c r="H146" s="3"/>
    </row>
    <row r="147" ht="15.75" customHeight="1">
      <c r="D147" s="133"/>
      <c r="H147" s="3"/>
    </row>
    <row r="148" ht="15.75" customHeight="1">
      <c r="D148" s="133"/>
      <c r="H148" s="3"/>
    </row>
    <row r="149" ht="15.75" customHeight="1">
      <c r="D149" s="133"/>
      <c r="H149" s="3"/>
    </row>
    <row r="150" ht="15.75" customHeight="1">
      <c r="D150" s="133"/>
      <c r="H150" s="3"/>
    </row>
    <row r="151" ht="15.75" customHeight="1">
      <c r="D151" s="133"/>
      <c r="H151" s="3"/>
    </row>
    <row r="152" ht="15.75" customHeight="1">
      <c r="D152" s="133"/>
      <c r="H152" s="3"/>
    </row>
    <row r="153" ht="15.75" customHeight="1">
      <c r="D153" s="133"/>
      <c r="H153" s="3"/>
    </row>
    <row r="154" ht="15.75" customHeight="1">
      <c r="D154" s="133"/>
      <c r="H154" s="3"/>
    </row>
    <row r="155" ht="15.75" customHeight="1">
      <c r="D155" s="133"/>
      <c r="H155" s="3"/>
    </row>
    <row r="156" ht="15.75" customHeight="1">
      <c r="D156" s="133"/>
      <c r="H156" s="3"/>
    </row>
    <row r="157" ht="15.75" customHeight="1">
      <c r="D157" s="133"/>
      <c r="H157" s="3"/>
    </row>
    <row r="158" ht="15.75" customHeight="1">
      <c r="D158" s="133"/>
      <c r="H158" s="3"/>
    </row>
    <row r="159" ht="15.75" customHeight="1">
      <c r="D159" s="133"/>
      <c r="H159" s="3"/>
    </row>
    <row r="160" ht="15.75" customHeight="1">
      <c r="D160" s="133"/>
      <c r="H160" s="3"/>
    </row>
    <row r="161" ht="15.75" customHeight="1">
      <c r="D161" s="133"/>
      <c r="H161" s="3"/>
    </row>
    <row r="162" ht="15.75" customHeight="1">
      <c r="D162" s="133"/>
      <c r="H162" s="3"/>
    </row>
    <row r="163" ht="15.75" customHeight="1">
      <c r="D163" s="133"/>
      <c r="H163" s="3"/>
    </row>
    <row r="164" ht="15.75" customHeight="1">
      <c r="D164" s="133"/>
      <c r="H164" s="3"/>
    </row>
    <row r="165" ht="15.75" customHeight="1">
      <c r="D165" s="133"/>
      <c r="H165" s="3"/>
    </row>
    <row r="166" ht="15.75" customHeight="1">
      <c r="D166" s="133"/>
      <c r="H166" s="3"/>
    </row>
    <row r="167" ht="15.75" customHeight="1">
      <c r="D167" s="133"/>
      <c r="H167" s="3"/>
    </row>
    <row r="168" ht="15.75" customHeight="1">
      <c r="D168" s="133"/>
      <c r="H168" s="3"/>
    </row>
    <row r="169" ht="15.75" customHeight="1">
      <c r="D169" s="133"/>
      <c r="H169" s="3"/>
    </row>
    <row r="170" ht="15.75" customHeight="1">
      <c r="D170" s="133"/>
      <c r="H170" s="3"/>
    </row>
    <row r="171" ht="15.75" customHeight="1">
      <c r="D171" s="133"/>
      <c r="H171" s="3"/>
    </row>
    <row r="172" ht="15.75" customHeight="1">
      <c r="D172" s="133"/>
      <c r="H172" s="3"/>
    </row>
    <row r="173" ht="15.75" customHeight="1">
      <c r="D173" s="133"/>
      <c r="H173" s="3"/>
    </row>
    <row r="174" ht="15.75" customHeight="1">
      <c r="D174" s="133"/>
      <c r="H174" s="3"/>
    </row>
    <row r="175" ht="15.75" customHeight="1">
      <c r="D175" s="133"/>
      <c r="H175" s="3"/>
    </row>
    <row r="176" ht="15.75" customHeight="1">
      <c r="D176" s="133"/>
      <c r="H176" s="3"/>
    </row>
    <row r="177" ht="15.75" customHeight="1">
      <c r="D177" s="133"/>
      <c r="H177" s="3"/>
    </row>
    <row r="178" ht="15.75" customHeight="1">
      <c r="D178" s="133"/>
      <c r="H178" s="3"/>
    </row>
    <row r="179" ht="15.75" customHeight="1">
      <c r="D179" s="133"/>
      <c r="H179" s="3"/>
    </row>
    <row r="180" ht="15.75" customHeight="1">
      <c r="D180" s="133"/>
      <c r="H180" s="3"/>
    </row>
    <row r="181" ht="15.75" customHeight="1">
      <c r="D181" s="133"/>
      <c r="H181" s="3"/>
    </row>
    <row r="182" ht="15.75" customHeight="1">
      <c r="D182" s="133"/>
      <c r="H182" s="3"/>
    </row>
    <row r="183" ht="15.75" customHeight="1">
      <c r="D183" s="133"/>
      <c r="H183" s="3"/>
    </row>
    <row r="184" ht="15.75" customHeight="1">
      <c r="D184" s="133"/>
      <c r="H184" s="3"/>
    </row>
    <row r="185" ht="15.75" customHeight="1">
      <c r="D185" s="133"/>
      <c r="H185" s="3"/>
    </row>
    <row r="186" ht="15.75" customHeight="1">
      <c r="D186" s="133"/>
      <c r="H186" s="3"/>
    </row>
    <row r="187" ht="15.75" customHeight="1">
      <c r="D187" s="133"/>
      <c r="H187" s="3"/>
    </row>
    <row r="188" ht="15.75" customHeight="1">
      <c r="D188" s="133"/>
      <c r="H188" s="3"/>
    </row>
    <row r="189" ht="15.75" customHeight="1">
      <c r="D189" s="133"/>
      <c r="H189" s="3"/>
    </row>
    <row r="190" ht="15.75" customHeight="1">
      <c r="D190" s="133"/>
      <c r="H190" s="3"/>
    </row>
    <row r="191" ht="15.75" customHeight="1">
      <c r="D191" s="133"/>
      <c r="H191" s="3"/>
    </row>
    <row r="192" ht="15.75" customHeight="1">
      <c r="D192" s="133"/>
      <c r="H192" s="3"/>
    </row>
    <row r="193" ht="15.75" customHeight="1">
      <c r="D193" s="133"/>
      <c r="H193" s="3"/>
    </row>
    <row r="194" ht="15.75" customHeight="1">
      <c r="D194" s="133"/>
      <c r="H194" s="3"/>
    </row>
    <row r="195" ht="15.75" customHeight="1">
      <c r="D195" s="133"/>
      <c r="H195" s="3"/>
    </row>
    <row r="196" ht="15.75" customHeight="1">
      <c r="D196" s="133"/>
      <c r="H196" s="3"/>
    </row>
    <row r="197" ht="15.75" customHeight="1">
      <c r="D197" s="133"/>
      <c r="H197" s="3"/>
    </row>
    <row r="198" ht="15.75" customHeight="1">
      <c r="D198" s="133"/>
      <c r="H198" s="3"/>
    </row>
    <row r="199" ht="15.75" customHeight="1">
      <c r="D199" s="133"/>
      <c r="H199" s="3"/>
    </row>
    <row r="200" ht="15.75" customHeight="1">
      <c r="D200" s="133"/>
      <c r="H200" s="3"/>
    </row>
    <row r="201" ht="15.75" customHeight="1">
      <c r="D201" s="133"/>
      <c r="H201" s="3"/>
    </row>
    <row r="202" ht="15.75" customHeight="1">
      <c r="D202" s="133"/>
      <c r="H202" s="3"/>
    </row>
    <row r="203" ht="15.75" customHeight="1">
      <c r="D203" s="133"/>
      <c r="H203" s="3"/>
    </row>
    <row r="204" ht="15.75" customHeight="1">
      <c r="D204" s="133"/>
      <c r="H204" s="3"/>
    </row>
    <row r="205" ht="15.75" customHeight="1">
      <c r="D205" s="133"/>
      <c r="H205" s="3"/>
    </row>
    <row r="206" ht="15.75" customHeight="1">
      <c r="D206" s="133"/>
      <c r="H206" s="3"/>
    </row>
    <row r="207" ht="15.75" customHeight="1">
      <c r="D207" s="133"/>
      <c r="H207" s="3"/>
    </row>
    <row r="208" ht="15.75" customHeight="1">
      <c r="D208" s="133"/>
      <c r="H208" s="3"/>
    </row>
    <row r="209" ht="15.75" customHeight="1">
      <c r="D209" s="133"/>
      <c r="H209" s="3"/>
    </row>
    <row r="210" ht="15.75" customHeight="1">
      <c r="D210" s="133"/>
      <c r="H210" s="3"/>
    </row>
    <row r="211" ht="15.75" customHeight="1">
      <c r="D211" s="133"/>
      <c r="H211" s="3"/>
    </row>
    <row r="212" ht="15.75" customHeight="1">
      <c r="D212" s="133"/>
      <c r="H212" s="3"/>
    </row>
    <row r="213" ht="15.75" customHeight="1">
      <c r="D213" s="133"/>
      <c r="H213" s="3"/>
    </row>
    <row r="214" ht="15.75" customHeight="1">
      <c r="D214" s="133"/>
      <c r="H214" s="3"/>
    </row>
    <row r="215" ht="15.75" customHeight="1">
      <c r="D215" s="133"/>
      <c r="H215" s="3"/>
    </row>
    <row r="216" ht="15.75" customHeight="1">
      <c r="D216" s="133"/>
      <c r="H216" s="3"/>
    </row>
    <row r="217" ht="15.75" customHeight="1">
      <c r="D217" s="133"/>
      <c r="H217" s="3"/>
    </row>
    <row r="218" ht="15.75" customHeight="1">
      <c r="D218" s="133"/>
      <c r="H218" s="3"/>
    </row>
    <row r="219" ht="15.75" customHeight="1">
      <c r="D219" s="133"/>
      <c r="H219" s="3"/>
    </row>
    <row r="220" ht="15.75" customHeight="1">
      <c r="D220" s="133"/>
      <c r="H220" s="3"/>
    </row>
    <row r="221" ht="15.75" customHeight="1">
      <c r="D221" s="133"/>
      <c r="H221" s="3"/>
    </row>
    <row r="222" ht="15.75" customHeight="1">
      <c r="D222" s="133"/>
      <c r="H222" s="3"/>
    </row>
    <row r="223" ht="15.75" customHeight="1">
      <c r="D223" s="133"/>
      <c r="H223" s="3"/>
    </row>
    <row r="224" ht="15.75" customHeight="1">
      <c r="D224" s="133"/>
      <c r="H224" s="3"/>
    </row>
    <row r="225" ht="15.75" customHeight="1">
      <c r="D225" s="133"/>
      <c r="H225" s="3"/>
    </row>
    <row r="226" ht="15.75" customHeight="1">
      <c r="D226" s="133"/>
      <c r="H226" s="3"/>
    </row>
    <row r="227" ht="15.75" customHeight="1">
      <c r="D227" s="133"/>
      <c r="H227" s="3"/>
    </row>
    <row r="228" ht="15.75" customHeight="1">
      <c r="D228" s="133"/>
      <c r="H228" s="3"/>
    </row>
    <row r="229" ht="15.75" customHeight="1">
      <c r="D229" s="133"/>
      <c r="H229" s="3"/>
    </row>
    <row r="230" ht="15.75" customHeight="1">
      <c r="D230" s="133"/>
      <c r="H230" s="3"/>
    </row>
    <row r="231" ht="15.75" customHeight="1">
      <c r="D231" s="133"/>
      <c r="H231" s="3"/>
    </row>
    <row r="232" ht="15.75" customHeight="1">
      <c r="D232" s="133"/>
      <c r="H232" s="3"/>
    </row>
    <row r="233" ht="15.75" customHeight="1">
      <c r="D233" s="133"/>
      <c r="H233" s="3"/>
    </row>
    <row r="234" ht="15.75" customHeight="1">
      <c r="D234" s="133"/>
      <c r="H234" s="3"/>
    </row>
    <row r="235" ht="15.75" customHeight="1">
      <c r="D235" s="133"/>
      <c r="H235" s="3"/>
    </row>
    <row r="236" ht="15.75" customHeight="1">
      <c r="D236" s="133"/>
      <c r="H236" s="3"/>
    </row>
    <row r="237" ht="15.75" customHeight="1">
      <c r="D237" s="133"/>
      <c r="H237" s="3"/>
    </row>
    <row r="238" ht="15.75" customHeight="1">
      <c r="D238" s="133"/>
      <c r="H238" s="3"/>
    </row>
    <row r="239" ht="15.75" customHeight="1">
      <c r="D239" s="133"/>
      <c r="H239" s="3"/>
    </row>
    <row r="240" ht="15.75" customHeight="1">
      <c r="D240" s="133"/>
      <c r="H240" s="3"/>
    </row>
    <row r="241" ht="15.75" customHeight="1">
      <c r="D241" s="133"/>
      <c r="H241" s="3"/>
    </row>
    <row r="242" ht="15.75" customHeight="1">
      <c r="D242" s="133"/>
      <c r="H242" s="3"/>
    </row>
    <row r="243" ht="15.75" customHeight="1">
      <c r="D243" s="133"/>
      <c r="H243" s="3"/>
    </row>
    <row r="244" ht="15.75" customHeight="1">
      <c r="D244" s="133"/>
      <c r="H244" s="3"/>
    </row>
    <row r="245" ht="15.75" customHeight="1">
      <c r="D245" s="133"/>
      <c r="H245" s="3"/>
    </row>
    <row r="246" ht="15.75" customHeight="1">
      <c r="D246" s="133"/>
      <c r="H246" s="3"/>
    </row>
    <row r="247" ht="15.75" customHeight="1">
      <c r="D247" s="133"/>
      <c r="H247" s="3"/>
    </row>
    <row r="248" ht="15.75" customHeight="1">
      <c r="D248" s="133"/>
      <c r="H248" s="3"/>
    </row>
    <row r="249" ht="15.75" customHeight="1">
      <c r="D249" s="133"/>
      <c r="H249" s="3"/>
    </row>
    <row r="250" ht="15.75" customHeight="1">
      <c r="D250" s="133"/>
      <c r="H250" s="3"/>
    </row>
    <row r="251" ht="15.75" customHeight="1">
      <c r="D251" s="133"/>
      <c r="H251" s="3"/>
    </row>
    <row r="252" ht="15.75" customHeight="1">
      <c r="D252" s="133"/>
      <c r="H252" s="3"/>
    </row>
    <row r="253" ht="15.75" customHeight="1">
      <c r="D253" s="133"/>
      <c r="H253" s="3"/>
    </row>
    <row r="254" ht="15.75" customHeight="1">
      <c r="D254" s="133"/>
      <c r="H254" s="3"/>
    </row>
    <row r="255" ht="15.75" customHeight="1">
      <c r="D255" s="133"/>
      <c r="H255" s="3"/>
    </row>
    <row r="256" ht="15.75" customHeight="1">
      <c r="D256" s="133"/>
      <c r="H256" s="3"/>
    </row>
    <row r="257" ht="15.75" customHeight="1">
      <c r="D257" s="133"/>
      <c r="H257" s="3"/>
    </row>
    <row r="258" ht="15.75" customHeight="1">
      <c r="D258" s="133"/>
      <c r="H258" s="3"/>
    </row>
    <row r="259" ht="15.75" customHeight="1">
      <c r="D259" s="133"/>
      <c r="H259" s="3"/>
    </row>
    <row r="260" ht="15.75" customHeight="1">
      <c r="D260" s="133"/>
      <c r="H260" s="3"/>
    </row>
    <row r="261" ht="15.75" customHeight="1">
      <c r="D261" s="133"/>
      <c r="H261" s="3"/>
    </row>
    <row r="262" ht="15.75" customHeight="1">
      <c r="D262" s="133"/>
      <c r="H262" s="3"/>
    </row>
    <row r="263" ht="15.75" customHeight="1">
      <c r="D263" s="133"/>
      <c r="H263" s="3"/>
    </row>
    <row r="264" ht="15.75" customHeight="1">
      <c r="D264" s="133"/>
      <c r="H264" s="3"/>
    </row>
    <row r="265" ht="15.75" customHeight="1">
      <c r="D265" s="133"/>
      <c r="H265" s="3"/>
    </row>
    <row r="266" ht="15.75" customHeight="1">
      <c r="D266" s="133"/>
      <c r="H266" s="3"/>
    </row>
    <row r="267" ht="15.75" customHeight="1">
      <c r="D267" s="133"/>
      <c r="H267" s="3"/>
    </row>
    <row r="268" ht="15.75" customHeight="1">
      <c r="D268" s="133"/>
      <c r="H268" s="3"/>
    </row>
    <row r="269" ht="15.75" customHeight="1">
      <c r="D269" s="133"/>
      <c r="H269" s="3"/>
    </row>
    <row r="270" ht="15.75" customHeight="1">
      <c r="D270" s="133"/>
      <c r="H270" s="3"/>
    </row>
    <row r="271" ht="15.75" customHeight="1">
      <c r="D271" s="133"/>
      <c r="H271" s="3"/>
    </row>
    <row r="272" ht="15.75" customHeight="1">
      <c r="D272" s="133"/>
      <c r="H272" s="3"/>
    </row>
    <row r="273" ht="15.75" customHeight="1">
      <c r="D273" s="133"/>
      <c r="H273" s="3"/>
    </row>
    <row r="274" ht="15.75" customHeight="1">
      <c r="D274" s="133"/>
      <c r="H274" s="3"/>
    </row>
    <row r="275" ht="15.75" customHeight="1">
      <c r="D275" s="133"/>
      <c r="H275" s="3"/>
    </row>
    <row r="276" ht="15.75" customHeight="1">
      <c r="D276" s="133"/>
      <c r="H276" s="3"/>
    </row>
    <row r="277" ht="15.75" customHeight="1">
      <c r="H277" s="3"/>
    </row>
    <row r="278" ht="15.75" customHeight="1">
      <c r="H278" s="3"/>
    </row>
    <row r="279" ht="15.75" customHeight="1">
      <c r="H279" s="3"/>
    </row>
    <row r="280" ht="15.75" customHeight="1">
      <c r="H280" s="3"/>
    </row>
    <row r="281" ht="15.75" customHeight="1">
      <c r="H281" s="3"/>
    </row>
    <row r="282" ht="15.75" customHeight="1">
      <c r="H282" s="3"/>
    </row>
    <row r="283" ht="15.75" customHeight="1">
      <c r="H283" s="3"/>
    </row>
    <row r="284" ht="15.75" customHeight="1">
      <c r="H284" s="3"/>
    </row>
    <row r="285" ht="15.75" customHeight="1">
      <c r="H285" s="3"/>
    </row>
    <row r="286" ht="15.75" customHeight="1">
      <c r="H286" s="3"/>
    </row>
    <row r="287" ht="15.75" customHeight="1">
      <c r="H287" s="3"/>
    </row>
    <row r="288" ht="15.75" customHeight="1">
      <c r="H288" s="3"/>
    </row>
    <row r="289" ht="15.75" customHeight="1">
      <c r="H289" s="3"/>
    </row>
    <row r="290" ht="15.75" customHeight="1">
      <c r="H290" s="3"/>
    </row>
    <row r="291" ht="15.75" customHeight="1">
      <c r="H291" s="3"/>
    </row>
    <row r="292" ht="15.75" customHeight="1">
      <c r="H292" s="3"/>
    </row>
    <row r="293" ht="15.75" customHeight="1">
      <c r="H293" s="3"/>
    </row>
    <row r="294" ht="15.75" customHeight="1">
      <c r="H294" s="3"/>
    </row>
    <row r="295" ht="15.75" customHeight="1">
      <c r="H295" s="3"/>
    </row>
    <row r="296" ht="15.75" customHeight="1">
      <c r="H296" s="3"/>
    </row>
    <row r="297" ht="15.75" customHeight="1">
      <c r="H297" s="3"/>
    </row>
    <row r="298" ht="15.75" customHeight="1">
      <c r="H298" s="3"/>
    </row>
    <row r="299" ht="15.75" customHeight="1">
      <c r="H299" s="3"/>
    </row>
    <row r="300" ht="15.75" customHeight="1">
      <c r="H300" s="3"/>
    </row>
    <row r="301" ht="15.75" customHeight="1">
      <c r="H301" s="3"/>
    </row>
    <row r="302" ht="15.75" customHeight="1">
      <c r="H302" s="3"/>
    </row>
    <row r="303" ht="15.75" customHeight="1">
      <c r="H303" s="3"/>
    </row>
    <row r="304" ht="15.75" customHeight="1">
      <c r="H304" s="3"/>
    </row>
    <row r="305" ht="15.75" customHeight="1">
      <c r="H305" s="3"/>
    </row>
    <row r="306" ht="15.75" customHeight="1">
      <c r="H306" s="3"/>
    </row>
    <row r="307" ht="15.75" customHeight="1">
      <c r="H307" s="3"/>
    </row>
    <row r="308" ht="15.75" customHeight="1">
      <c r="H308" s="3"/>
    </row>
    <row r="309" ht="15.75" customHeight="1">
      <c r="H309" s="3"/>
    </row>
    <row r="310" ht="15.75" customHeight="1">
      <c r="H310" s="3"/>
    </row>
    <row r="311" ht="15.75" customHeight="1">
      <c r="H311" s="3"/>
    </row>
    <row r="312" ht="15.75" customHeight="1">
      <c r="H312" s="3"/>
    </row>
    <row r="313" ht="15.75" customHeight="1">
      <c r="H313" s="3"/>
    </row>
    <row r="314" ht="15.75" customHeight="1">
      <c r="H314" s="3"/>
    </row>
    <row r="315" ht="15.75" customHeight="1">
      <c r="H315" s="3"/>
    </row>
    <row r="316" ht="15.75" customHeight="1">
      <c r="H316" s="3"/>
    </row>
    <row r="317" ht="15.75" customHeight="1">
      <c r="H317" s="3"/>
    </row>
    <row r="318" ht="15.75" customHeight="1">
      <c r="H318" s="3"/>
    </row>
    <row r="319" ht="15.75" customHeight="1">
      <c r="H319" s="3"/>
    </row>
    <row r="320" ht="15.75" customHeight="1">
      <c r="H320" s="3"/>
    </row>
    <row r="321" ht="15.75" customHeight="1">
      <c r="H321" s="3"/>
    </row>
    <row r="322" ht="15.75" customHeight="1">
      <c r="H322" s="3"/>
    </row>
    <row r="323" ht="15.75" customHeight="1">
      <c r="H323" s="3"/>
    </row>
    <row r="324" ht="15.75" customHeight="1">
      <c r="H324" s="3"/>
    </row>
    <row r="325" ht="15.75" customHeight="1">
      <c r="H325" s="3"/>
    </row>
    <row r="326" ht="15.75" customHeight="1">
      <c r="H326" s="3"/>
    </row>
    <row r="327" ht="15.75" customHeight="1">
      <c r="H327" s="3"/>
    </row>
    <row r="328" ht="15.75" customHeight="1">
      <c r="H328" s="3"/>
    </row>
    <row r="329" ht="15.75" customHeight="1">
      <c r="H329" s="3"/>
    </row>
    <row r="330" ht="15.75" customHeight="1">
      <c r="H330" s="3"/>
    </row>
    <row r="331" ht="15.75" customHeight="1">
      <c r="H331" s="3"/>
    </row>
    <row r="332" ht="15.75" customHeight="1">
      <c r="H332" s="3"/>
    </row>
    <row r="333" ht="15.75" customHeight="1">
      <c r="H333" s="3"/>
    </row>
    <row r="334" ht="15.75" customHeight="1">
      <c r="H334" s="3"/>
    </row>
    <row r="335" ht="15.75" customHeight="1">
      <c r="H335" s="3"/>
    </row>
    <row r="336" ht="15.75" customHeight="1">
      <c r="H336" s="3"/>
    </row>
    <row r="337" ht="15.75" customHeight="1">
      <c r="H337" s="3"/>
    </row>
    <row r="338" ht="15.75" customHeight="1">
      <c r="H338" s="3"/>
    </row>
    <row r="339" ht="15.75" customHeight="1">
      <c r="H339" s="3"/>
    </row>
    <row r="340" ht="15.75" customHeight="1">
      <c r="H340" s="3"/>
    </row>
    <row r="341" ht="15.75" customHeight="1">
      <c r="H341" s="3"/>
    </row>
    <row r="342" ht="15.75" customHeight="1">
      <c r="H342" s="3"/>
    </row>
    <row r="343" ht="15.75" customHeight="1">
      <c r="H343" s="3"/>
    </row>
    <row r="344" ht="15.75" customHeight="1">
      <c r="H344" s="3"/>
    </row>
    <row r="345" ht="15.75" customHeight="1">
      <c r="H345" s="3"/>
    </row>
    <row r="346" ht="15.75" customHeight="1">
      <c r="H346" s="3"/>
    </row>
    <row r="347" ht="15.75" customHeight="1">
      <c r="H347" s="3"/>
    </row>
    <row r="348" ht="15.75" customHeight="1">
      <c r="H348" s="3"/>
    </row>
    <row r="349" ht="15.75" customHeight="1">
      <c r="H349" s="3"/>
    </row>
    <row r="350" ht="15.75" customHeight="1">
      <c r="H350" s="3"/>
    </row>
    <row r="351" ht="15.75" customHeight="1">
      <c r="H351" s="3"/>
    </row>
    <row r="352" ht="15.75" customHeight="1">
      <c r="H352" s="3"/>
    </row>
    <row r="353" ht="15.75" customHeight="1">
      <c r="H353" s="3"/>
    </row>
    <row r="354" ht="15.75" customHeight="1">
      <c r="H354" s="3"/>
    </row>
    <row r="355" ht="15.75" customHeight="1">
      <c r="H355" s="3"/>
    </row>
    <row r="356" ht="15.75" customHeight="1">
      <c r="H356" s="3"/>
    </row>
    <row r="357" ht="15.75" customHeight="1">
      <c r="H357" s="3"/>
    </row>
    <row r="358" ht="15.75" customHeight="1">
      <c r="H358" s="3"/>
    </row>
    <row r="359" ht="15.75" customHeight="1">
      <c r="H359" s="3"/>
    </row>
    <row r="360" ht="15.75" customHeight="1">
      <c r="H360" s="3"/>
    </row>
    <row r="361" ht="15.75" customHeight="1">
      <c r="H361" s="3"/>
    </row>
    <row r="362" ht="15.75" customHeight="1">
      <c r="H362" s="3"/>
    </row>
    <row r="363" ht="15.75" customHeight="1">
      <c r="H363" s="3"/>
    </row>
    <row r="364" ht="15.75" customHeight="1">
      <c r="H364" s="3"/>
    </row>
    <row r="365" ht="15.75" customHeight="1">
      <c r="H365" s="3"/>
    </row>
    <row r="366" ht="15.75" customHeight="1">
      <c r="H366" s="3"/>
    </row>
    <row r="367" ht="15.75" customHeight="1">
      <c r="H367" s="3"/>
    </row>
    <row r="368" ht="15.75" customHeight="1">
      <c r="H368" s="3"/>
    </row>
    <row r="369" ht="15.75" customHeight="1">
      <c r="H369" s="3"/>
    </row>
    <row r="370" ht="15.75" customHeight="1">
      <c r="H370" s="3"/>
    </row>
    <row r="371" ht="15.75" customHeight="1">
      <c r="H371" s="3"/>
    </row>
    <row r="372" ht="15.75" customHeight="1">
      <c r="H372" s="3"/>
    </row>
    <row r="373" ht="15.75" customHeight="1">
      <c r="H373" s="3"/>
    </row>
    <row r="374" ht="15.75" customHeight="1">
      <c r="H374" s="3"/>
    </row>
    <row r="375" ht="15.75" customHeight="1">
      <c r="H375" s="3"/>
    </row>
    <row r="376" ht="15.75" customHeight="1">
      <c r="H376" s="3"/>
    </row>
    <row r="377" ht="15.75" customHeight="1">
      <c r="H377" s="3"/>
    </row>
    <row r="378" ht="15.75" customHeight="1">
      <c r="H378" s="3"/>
    </row>
    <row r="379" ht="15.75" customHeight="1">
      <c r="H379" s="3"/>
    </row>
    <row r="380" ht="15.75" customHeight="1">
      <c r="H380" s="3"/>
    </row>
    <row r="381" ht="15.75" customHeight="1">
      <c r="H381" s="3"/>
    </row>
    <row r="382" ht="15.75" customHeight="1">
      <c r="H382" s="3"/>
    </row>
    <row r="383" ht="15.75" customHeight="1">
      <c r="H383" s="3"/>
    </row>
    <row r="384" ht="15.75" customHeight="1">
      <c r="H384" s="3"/>
    </row>
    <row r="385" ht="15.75" customHeight="1">
      <c r="H385" s="3"/>
    </row>
    <row r="386" ht="15.75" customHeight="1">
      <c r="H386" s="3"/>
    </row>
    <row r="387" ht="15.75" customHeight="1">
      <c r="H387" s="3"/>
    </row>
    <row r="388" ht="15.75" customHeight="1">
      <c r="H388" s="3"/>
    </row>
    <row r="389" ht="15.75" customHeight="1">
      <c r="H389" s="3"/>
    </row>
    <row r="390" ht="15.75" customHeight="1">
      <c r="H390" s="3"/>
    </row>
    <row r="391" ht="15.75" customHeight="1">
      <c r="H391" s="3"/>
    </row>
    <row r="392" ht="15.75" customHeight="1">
      <c r="H392" s="3"/>
    </row>
    <row r="393" ht="15.75" customHeight="1">
      <c r="H393" s="3"/>
    </row>
    <row r="394" ht="15.75" customHeight="1">
      <c r="H394" s="3"/>
    </row>
    <row r="395" ht="15.75" customHeight="1">
      <c r="H395" s="3"/>
    </row>
    <row r="396" ht="15.75" customHeight="1">
      <c r="H396" s="3"/>
    </row>
    <row r="397" ht="15.75" customHeight="1">
      <c r="H397" s="3"/>
    </row>
    <row r="398" ht="15.75" customHeight="1">
      <c r="H398" s="3"/>
    </row>
    <row r="399" ht="15.75" customHeight="1">
      <c r="H399" s="3"/>
    </row>
    <row r="400" ht="15.75" customHeight="1">
      <c r="H400" s="3"/>
    </row>
    <row r="401" ht="15.75" customHeight="1">
      <c r="H401" s="3"/>
    </row>
    <row r="402" ht="15.75" customHeight="1">
      <c r="H402" s="3"/>
    </row>
    <row r="403" ht="15.75" customHeight="1">
      <c r="H403" s="3"/>
    </row>
    <row r="404" ht="15.75" customHeight="1">
      <c r="H404" s="3"/>
    </row>
    <row r="405" ht="15.75" customHeight="1">
      <c r="H405" s="3"/>
    </row>
    <row r="406" ht="15.75" customHeight="1">
      <c r="H406" s="3"/>
    </row>
    <row r="407" ht="15.75" customHeight="1">
      <c r="H407" s="3"/>
    </row>
    <row r="408" ht="15.75" customHeight="1">
      <c r="H408" s="3"/>
    </row>
    <row r="409" ht="15.75" customHeight="1">
      <c r="H409" s="3"/>
    </row>
    <row r="410" ht="15.75" customHeight="1">
      <c r="H410" s="3"/>
    </row>
    <row r="411" ht="15.75" customHeight="1">
      <c r="H411" s="3"/>
    </row>
    <row r="412" ht="15.75" customHeight="1">
      <c r="H412" s="3"/>
    </row>
    <row r="413" ht="15.75" customHeight="1">
      <c r="H413" s="3"/>
    </row>
    <row r="414" ht="15.75" customHeight="1">
      <c r="H414" s="3"/>
    </row>
    <row r="415" ht="15.75" customHeight="1">
      <c r="H415" s="3"/>
    </row>
    <row r="416" ht="15.75" customHeight="1">
      <c r="H416" s="3"/>
    </row>
    <row r="417" ht="15.75" customHeight="1">
      <c r="H417" s="3"/>
    </row>
    <row r="418" ht="15.75" customHeight="1">
      <c r="H418" s="3"/>
    </row>
    <row r="419" ht="15.75" customHeight="1">
      <c r="H419" s="3"/>
    </row>
    <row r="420" ht="15.75" customHeight="1">
      <c r="H420" s="3"/>
    </row>
    <row r="421" ht="15.75" customHeight="1">
      <c r="H421" s="3"/>
    </row>
    <row r="422" ht="15.75" customHeight="1">
      <c r="H422" s="3"/>
    </row>
    <row r="423" ht="15.75" customHeight="1">
      <c r="H423" s="3"/>
    </row>
    <row r="424" ht="15.75" customHeight="1">
      <c r="H424" s="3"/>
    </row>
    <row r="425" ht="15.75" customHeight="1">
      <c r="H425" s="3"/>
    </row>
    <row r="426" ht="15.75" customHeight="1">
      <c r="H426" s="3"/>
    </row>
    <row r="427" ht="15.75" customHeight="1">
      <c r="H427" s="3"/>
    </row>
    <row r="428" ht="15.75" customHeight="1">
      <c r="H428" s="3"/>
    </row>
    <row r="429" ht="15.75" customHeight="1">
      <c r="H429" s="3"/>
    </row>
    <row r="430" ht="15.75" customHeight="1">
      <c r="H430" s="3"/>
    </row>
    <row r="431" ht="15.75" customHeight="1">
      <c r="H431" s="3"/>
    </row>
    <row r="432" ht="15.75" customHeight="1">
      <c r="H432" s="3"/>
    </row>
    <row r="433" ht="15.75" customHeight="1">
      <c r="H433" s="3"/>
    </row>
    <row r="434" ht="15.75" customHeight="1">
      <c r="H434" s="3"/>
    </row>
    <row r="435" ht="15.75" customHeight="1">
      <c r="H435" s="3"/>
    </row>
    <row r="436" ht="15.75" customHeight="1">
      <c r="H436" s="3"/>
    </row>
    <row r="437" ht="15.75" customHeight="1">
      <c r="H437" s="3"/>
    </row>
    <row r="438" ht="15.75" customHeight="1">
      <c r="H438" s="3"/>
    </row>
    <row r="439" ht="15.75" customHeight="1">
      <c r="H439" s="3"/>
    </row>
    <row r="440" ht="15.75" customHeight="1">
      <c r="H440" s="3"/>
    </row>
    <row r="441" ht="15.75" customHeight="1">
      <c r="H441" s="3"/>
    </row>
    <row r="442" ht="15.75" customHeight="1">
      <c r="H442" s="3"/>
    </row>
    <row r="443" ht="15.75" customHeight="1">
      <c r="H443" s="3"/>
    </row>
    <row r="444" ht="15.75" customHeight="1">
      <c r="H444" s="3"/>
    </row>
    <row r="445" ht="15.75" customHeight="1">
      <c r="H445" s="3"/>
    </row>
    <row r="446" ht="15.75" customHeight="1">
      <c r="H446" s="3"/>
    </row>
    <row r="447" ht="15.75" customHeight="1">
      <c r="H447" s="3"/>
    </row>
    <row r="448" ht="15.75" customHeight="1">
      <c r="H448" s="3"/>
    </row>
    <row r="449" ht="15.75" customHeight="1">
      <c r="H449" s="3"/>
    </row>
    <row r="450" ht="15.75" customHeight="1">
      <c r="H450" s="3"/>
    </row>
    <row r="451" ht="15.75" customHeight="1">
      <c r="H451" s="3"/>
    </row>
    <row r="452" ht="15.75" customHeight="1">
      <c r="H452" s="3"/>
    </row>
    <row r="453" ht="15.75" customHeight="1">
      <c r="H453" s="3"/>
    </row>
    <row r="454" ht="15.75" customHeight="1">
      <c r="H454" s="3"/>
    </row>
    <row r="455" ht="15.75" customHeight="1">
      <c r="H455" s="3"/>
    </row>
    <row r="456" ht="15.75" customHeight="1">
      <c r="H456" s="3"/>
    </row>
    <row r="457" ht="15.75" customHeight="1">
      <c r="H457" s="3"/>
    </row>
    <row r="458" ht="15.75" customHeight="1">
      <c r="H458" s="3"/>
    </row>
    <row r="459" ht="15.75" customHeight="1">
      <c r="H459" s="3"/>
    </row>
    <row r="460" ht="15.75" customHeight="1">
      <c r="H460" s="3"/>
    </row>
    <row r="461" ht="15.75" customHeight="1">
      <c r="H461" s="3"/>
    </row>
    <row r="462" ht="15.75" customHeight="1">
      <c r="H462" s="3"/>
    </row>
    <row r="463" ht="15.75" customHeight="1">
      <c r="H463" s="3"/>
    </row>
    <row r="464" ht="15.75" customHeight="1">
      <c r="H464" s="3"/>
    </row>
    <row r="465" ht="15.75" customHeight="1">
      <c r="H465" s="3"/>
    </row>
    <row r="466" ht="15.75" customHeight="1">
      <c r="H466" s="3"/>
    </row>
    <row r="467" ht="15.75" customHeight="1">
      <c r="H467" s="3"/>
    </row>
    <row r="468" ht="15.75" customHeight="1">
      <c r="H468" s="3"/>
    </row>
    <row r="469" ht="15.75" customHeight="1">
      <c r="H469" s="3"/>
    </row>
    <row r="470" ht="15.75" customHeight="1">
      <c r="H470" s="3"/>
    </row>
    <row r="471" ht="15.75" customHeight="1">
      <c r="H471" s="3"/>
    </row>
    <row r="472" ht="15.75" customHeight="1">
      <c r="H472" s="3"/>
    </row>
    <row r="473" ht="15.75" customHeight="1">
      <c r="H473" s="3"/>
    </row>
    <row r="474" ht="15.75" customHeight="1">
      <c r="H474" s="3"/>
    </row>
    <row r="475" ht="15.75" customHeight="1">
      <c r="H475" s="3"/>
    </row>
    <row r="476" ht="15.75" customHeight="1">
      <c r="H476" s="3"/>
    </row>
    <row r="477" ht="15.75" customHeight="1">
      <c r="H477" s="3"/>
    </row>
    <row r="478" ht="15.75" customHeight="1">
      <c r="H478" s="3"/>
    </row>
    <row r="479" ht="15.75" customHeight="1">
      <c r="H479" s="3"/>
    </row>
    <row r="480" ht="15.75" customHeight="1">
      <c r="H480" s="3"/>
    </row>
    <row r="481" ht="15.75" customHeight="1">
      <c r="H481" s="3"/>
    </row>
    <row r="482" ht="15.75" customHeight="1">
      <c r="H482" s="3"/>
    </row>
    <row r="483" ht="15.75" customHeight="1">
      <c r="H483" s="3"/>
    </row>
    <row r="484" ht="15.75" customHeight="1">
      <c r="H484" s="3"/>
    </row>
    <row r="485" ht="15.75" customHeight="1">
      <c r="H485" s="3"/>
    </row>
    <row r="486" ht="15.75" customHeight="1">
      <c r="H486" s="3"/>
    </row>
    <row r="487" ht="15.75" customHeight="1">
      <c r="H487" s="3"/>
    </row>
    <row r="488" ht="15.75" customHeight="1">
      <c r="H488" s="3"/>
    </row>
    <row r="489" ht="15.75" customHeight="1">
      <c r="H489" s="3"/>
    </row>
    <row r="490" ht="15.75" customHeight="1">
      <c r="H490" s="3"/>
    </row>
    <row r="491" ht="15.75" customHeight="1">
      <c r="H491" s="3"/>
    </row>
    <row r="492" ht="15.75" customHeight="1">
      <c r="H492" s="3"/>
    </row>
    <row r="493" ht="15.75" customHeight="1">
      <c r="H493" s="3"/>
    </row>
    <row r="494" ht="15.75" customHeight="1">
      <c r="H494" s="3"/>
    </row>
    <row r="495" ht="15.75" customHeight="1">
      <c r="H495" s="3"/>
    </row>
    <row r="496" ht="15.75" customHeight="1">
      <c r="H496" s="3"/>
    </row>
    <row r="497" ht="15.75" customHeight="1">
      <c r="H497" s="3"/>
    </row>
    <row r="498" ht="15.75" customHeight="1">
      <c r="H498" s="3"/>
    </row>
    <row r="499" ht="15.75" customHeight="1">
      <c r="H499" s="3"/>
    </row>
    <row r="500" ht="15.75" customHeight="1">
      <c r="H500" s="3"/>
    </row>
    <row r="501" ht="15.75" customHeight="1">
      <c r="H501" s="3"/>
    </row>
    <row r="502" ht="15.75" customHeight="1">
      <c r="H502" s="3"/>
    </row>
    <row r="503" ht="15.75" customHeight="1">
      <c r="H503" s="3"/>
    </row>
    <row r="504" ht="15.75" customHeight="1">
      <c r="H504" s="3"/>
    </row>
    <row r="505" ht="15.75" customHeight="1">
      <c r="H505" s="3"/>
    </row>
    <row r="506" ht="15.75" customHeight="1">
      <c r="H506" s="3"/>
    </row>
    <row r="507" ht="15.75" customHeight="1">
      <c r="H507" s="3"/>
    </row>
    <row r="508" ht="15.75" customHeight="1">
      <c r="H508" s="3"/>
    </row>
    <row r="509" ht="15.75" customHeight="1">
      <c r="H509" s="3"/>
    </row>
    <row r="510" ht="15.75" customHeight="1">
      <c r="H510" s="3"/>
    </row>
    <row r="511" ht="15.75" customHeight="1">
      <c r="H511" s="3"/>
    </row>
    <row r="512" ht="15.75" customHeight="1">
      <c r="H512" s="3"/>
    </row>
    <row r="513" ht="15.75" customHeight="1">
      <c r="H513" s="3"/>
    </row>
    <row r="514" ht="15.75" customHeight="1">
      <c r="H514" s="3"/>
    </row>
    <row r="515" ht="15.75" customHeight="1">
      <c r="H515" s="3"/>
    </row>
    <row r="516" ht="15.75" customHeight="1">
      <c r="H516" s="3"/>
    </row>
    <row r="517" ht="15.75" customHeight="1">
      <c r="H517" s="3"/>
    </row>
    <row r="518" ht="15.75" customHeight="1">
      <c r="H518" s="3"/>
    </row>
    <row r="519" ht="15.75" customHeight="1">
      <c r="H519" s="3"/>
    </row>
    <row r="520" ht="15.75" customHeight="1">
      <c r="H520" s="3"/>
    </row>
    <row r="521" ht="15.75" customHeight="1">
      <c r="H521" s="3"/>
    </row>
    <row r="522" ht="15.75" customHeight="1">
      <c r="H522" s="3"/>
    </row>
    <row r="523" ht="15.75" customHeight="1">
      <c r="H523" s="3"/>
    </row>
    <row r="524" ht="15.75" customHeight="1">
      <c r="H524" s="3"/>
    </row>
    <row r="525" ht="15.75" customHeight="1">
      <c r="H525" s="3"/>
    </row>
    <row r="526" ht="15.75" customHeight="1">
      <c r="H526" s="3"/>
    </row>
    <row r="527" ht="15.75" customHeight="1">
      <c r="H527" s="3"/>
    </row>
    <row r="528" ht="15.75" customHeight="1">
      <c r="H528" s="3"/>
    </row>
    <row r="529" ht="15.75" customHeight="1">
      <c r="H529" s="3"/>
    </row>
    <row r="530" ht="15.75" customHeight="1">
      <c r="H530" s="3"/>
    </row>
    <row r="531" ht="15.75" customHeight="1">
      <c r="H531" s="3"/>
    </row>
    <row r="532" ht="15.75" customHeight="1">
      <c r="H532" s="3"/>
    </row>
    <row r="533" ht="15.75" customHeight="1">
      <c r="H533" s="3"/>
    </row>
    <row r="534" ht="15.75" customHeight="1">
      <c r="H534" s="3"/>
    </row>
    <row r="535" ht="15.75" customHeight="1">
      <c r="H535" s="3"/>
    </row>
    <row r="536" ht="15.75" customHeight="1">
      <c r="H536" s="3"/>
    </row>
    <row r="537" ht="15.75" customHeight="1">
      <c r="H537" s="3"/>
    </row>
    <row r="538" ht="15.75" customHeight="1">
      <c r="H538" s="3"/>
    </row>
    <row r="539" ht="15.75" customHeight="1">
      <c r="H539" s="3"/>
    </row>
    <row r="540" ht="15.75" customHeight="1">
      <c r="H540" s="3"/>
    </row>
    <row r="541" ht="15.75" customHeight="1">
      <c r="H541" s="3"/>
    </row>
    <row r="542" ht="15.75" customHeight="1">
      <c r="H542" s="3"/>
    </row>
    <row r="543" ht="15.75" customHeight="1">
      <c r="H543" s="3"/>
    </row>
    <row r="544" ht="15.75" customHeight="1">
      <c r="H544" s="3"/>
    </row>
    <row r="545" ht="15.75" customHeight="1">
      <c r="H545" s="3"/>
    </row>
    <row r="546" ht="15.75" customHeight="1">
      <c r="H546" s="3"/>
    </row>
    <row r="547" ht="15.75" customHeight="1">
      <c r="H547" s="3"/>
    </row>
    <row r="548" ht="15.75" customHeight="1">
      <c r="H548" s="3"/>
    </row>
    <row r="549" ht="15.75" customHeight="1">
      <c r="H549" s="3"/>
    </row>
    <row r="550" ht="15.75" customHeight="1">
      <c r="H550" s="3"/>
    </row>
    <row r="551" ht="15.75" customHeight="1">
      <c r="H551" s="3"/>
    </row>
    <row r="552" ht="15.75" customHeight="1">
      <c r="H552" s="3"/>
    </row>
    <row r="553" ht="15.75" customHeight="1">
      <c r="H553" s="3"/>
    </row>
    <row r="554" ht="15.75" customHeight="1">
      <c r="H554" s="3"/>
    </row>
    <row r="555" ht="15.75" customHeight="1">
      <c r="H555" s="3"/>
    </row>
    <row r="556" ht="15.75" customHeight="1">
      <c r="H556" s="3"/>
    </row>
    <row r="557" ht="15.75" customHeight="1">
      <c r="H557" s="3"/>
    </row>
    <row r="558" ht="15.75" customHeight="1">
      <c r="H558" s="3"/>
    </row>
    <row r="559" ht="15.75" customHeight="1">
      <c r="H559" s="3"/>
    </row>
    <row r="560" ht="15.75" customHeight="1">
      <c r="H560" s="3"/>
    </row>
    <row r="561" ht="15.75" customHeight="1">
      <c r="H561" s="3"/>
    </row>
    <row r="562" ht="15.75" customHeight="1">
      <c r="H562" s="3"/>
    </row>
    <row r="563" ht="15.75" customHeight="1">
      <c r="H563" s="3"/>
    </row>
    <row r="564" ht="15.75" customHeight="1">
      <c r="H564" s="3"/>
    </row>
    <row r="565" ht="15.75" customHeight="1">
      <c r="H565" s="3"/>
    </row>
    <row r="566" ht="15.75" customHeight="1">
      <c r="H566" s="3"/>
    </row>
    <row r="567" ht="15.75" customHeight="1">
      <c r="H567" s="3"/>
    </row>
    <row r="568" ht="15.75" customHeight="1">
      <c r="H568" s="3"/>
    </row>
    <row r="569" ht="15.75" customHeight="1">
      <c r="H569" s="3"/>
    </row>
    <row r="570" ht="15.75" customHeight="1">
      <c r="H570" s="3"/>
    </row>
    <row r="571" ht="15.75" customHeight="1">
      <c r="H571" s="3"/>
    </row>
    <row r="572" ht="15.75" customHeight="1">
      <c r="H572" s="3"/>
    </row>
    <row r="573" ht="15.75" customHeight="1">
      <c r="H573" s="3"/>
    </row>
    <row r="574" ht="15.75" customHeight="1">
      <c r="H574" s="3"/>
    </row>
    <row r="575" ht="15.75" customHeight="1">
      <c r="H575" s="3"/>
    </row>
    <row r="576" ht="15.75" customHeight="1">
      <c r="H576" s="3"/>
    </row>
    <row r="577" ht="15.75" customHeight="1">
      <c r="H577" s="3"/>
    </row>
    <row r="578" ht="15.75" customHeight="1">
      <c r="H578" s="3"/>
    </row>
    <row r="579" ht="15.75" customHeight="1">
      <c r="H579" s="3"/>
    </row>
    <row r="580" ht="15.75" customHeight="1">
      <c r="H580" s="3"/>
    </row>
    <row r="581" ht="15.75" customHeight="1">
      <c r="H581" s="3"/>
    </row>
    <row r="582" ht="15.75" customHeight="1">
      <c r="H582" s="3"/>
    </row>
    <row r="583" ht="15.75" customHeight="1">
      <c r="H583" s="3"/>
    </row>
    <row r="584" ht="15.75" customHeight="1">
      <c r="H584" s="3"/>
    </row>
    <row r="585" ht="15.75" customHeight="1">
      <c r="H585" s="3"/>
    </row>
    <row r="586" ht="15.75" customHeight="1">
      <c r="H586" s="3"/>
    </row>
    <row r="587" ht="15.75" customHeight="1">
      <c r="H587" s="3"/>
    </row>
    <row r="588" ht="15.75" customHeight="1">
      <c r="H588" s="3"/>
    </row>
    <row r="589" ht="15.75" customHeight="1">
      <c r="H589" s="3"/>
    </row>
    <row r="590" ht="15.75" customHeight="1">
      <c r="H590" s="3"/>
    </row>
    <row r="591" ht="15.75" customHeight="1">
      <c r="H591" s="3"/>
    </row>
    <row r="592" ht="15.75" customHeight="1">
      <c r="H592" s="3"/>
    </row>
    <row r="593" ht="15.75" customHeight="1">
      <c r="H593" s="3"/>
    </row>
    <row r="594" ht="15.75" customHeight="1">
      <c r="H594" s="3"/>
    </row>
    <row r="595" ht="15.75" customHeight="1">
      <c r="H595" s="3"/>
    </row>
    <row r="596" ht="15.75" customHeight="1">
      <c r="H596" s="3"/>
    </row>
    <row r="597" ht="15.75" customHeight="1">
      <c r="H597" s="3"/>
    </row>
    <row r="598" ht="15.75" customHeight="1">
      <c r="H598" s="3"/>
    </row>
    <row r="599" ht="15.75" customHeight="1">
      <c r="H599" s="3"/>
    </row>
    <row r="600" ht="15.75" customHeight="1">
      <c r="H600" s="3"/>
    </row>
    <row r="601" ht="15.75" customHeight="1">
      <c r="H601" s="3"/>
    </row>
    <row r="602" ht="15.75" customHeight="1">
      <c r="H602" s="3"/>
    </row>
    <row r="603" ht="15.75" customHeight="1">
      <c r="H603" s="3"/>
    </row>
    <row r="604" ht="15.75" customHeight="1">
      <c r="H604" s="3"/>
    </row>
    <row r="605" ht="15.75" customHeight="1">
      <c r="H605" s="3"/>
    </row>
    <row r="606" ht="15.75" customHeight="1">
      <c r="H606" s="3"/>
    </row>
    <row r="607" ht="15.75" customHeight="1">
      <c r="H607" s="3"/>
    </row>
    <row r="608" ht="15.75" customHeight="1">
      <c r="H608" s="3"/>
    </row>
    <row r="609" ht="15.75" customHeight="1">
      <c r="H609" s="3"/>
    </row>
    <row r="610" ht="15.75" customHeight="1">
      <c r="H610" s="3"/>
    </row>
    <row r="611" ht="15.75" customHeight="1">
      <c r="H611" s="3"/>
    </row>
    <row r="612" ht="15.75" customHeight="1">
      <c r="H612" s="3"/>
    </row>
    <row r="613" ht="15.75" customHeight="1">
      <c r="H613" s="3"/>
    </row>
    <row r="614" ht="15.75" customHeight="1">
      <c r="H614" s="3"/>
    </row>
    <row r="615" ht="15.75" customHeight="1">
      <c r="H615" s="3"/>
    </row>
    <row r="616" ht="15.75" customHeight="1">
      <c r="H616" s="3"/>
    </row>
    <row r="617" ht="15.75" customHeight="1">
      <c r="H617" s="3"/>
    </row>
    <row r="618" ht="15.75" customHeight="1">
      <c r="H618" s="3"/>
    </row>
    <row r="619" ht="15.75" customHeight="1">
      <c r="H619" s="3"/>
    </row>
    <row r="620" ht="15.75" customHeight="1">
      <c r="H620" s="3"/>
    </row>
    <row r="621" ht="15.75" customHeight="1">
      <c r="H621" s="3"/>
    </row>
    <row r="622" ht="15.75" customHeight="1">
      <c r="H622" s="3"/>
    </row>
    <row r="623" ht="15.75" customHeight="1">
      <c r="H623" s="3"/>
    </row>
    <row r="624" ht="15.75" customHeight="1">
      <c r="H624" s="3"/>
    </row>
    <row r="625" ht="15.75" customHeight="1">
      <c r="H625" s="3"/>
    </row>
    <row r="626" ht="15.75" customHeight="1">
      <c r="H626" s="3"/>
    </row>
    <row r="627" ht="15.75" customHeight="1">
      <c r="H627" s="3"/>
    </row>
    <row r="628" ht="15.75" customHeight="1">
      <c r="H628" s="3"/>
    </row>
    <row r="629" ht="15.75" customHeight="1">
      <c r="H629" s="3"/>
    </row>
    <row r="630" ht="15.75" customHeight="1">
      <c r="H630" s="3"/>
    </row>
    <row r="631" ht="15.75" customHeight="1">
      <c r="H631" s="3"/>
    </row>
    <row r="632" ht="15.75" customHeight="1">
      <c r="H632" s="3"/>
    </row>
    <row r="633" ht="15.75" customHeight="1">
      <c r="H633" s="3"/>
    </row>
    <row r="634" ht="15.75" customHeight="1">
      <c r="H634" s="3"/>
    </row>
    <row r="635" ht="15.75" customHeight="1">
      <c r="H635" s="3"/>
    </row>
    <row r="636" ht="15.75" customHeight="1">
      <c r="H636" s="3"/>
    </row>
    <row r="637" ht="15.75" customHeight="1">
      <c r="H637" s="3"/>
    </row>
    <row r="638" ht="15.75" customHeight="1">
      <c r="H638" s="3"/>
    </row>
    <row r="639" ht="15.75" customHeight="1">
      <c r="H639" s="3"/>
    </row>
    <row r="640" ht="15.75" customHeight="1">
      <c r="H640" s="3"/>
    </row>
    <row r="641" ht="15.75" customHeight="1">
      <c r="H641" s="3"/>
    </row>
    <row r="642" ht="15.75" customHeight="1">
      <c r="H642" s="3"/>
    </row>
    <row r="643" ht="15.75" customHeight="1">
      <c r="H643" s="3"/>
    </row>
    <row r="644" ht="15.75" customHeight="1">
      <c r="H644" s="3"/>
    </row>
    <row r="645" ht="15.75" customHeight="1">
      <c r="H645" s="3"/>
    </row>
    <row r="646" ht="15.75" customHeight="1">
      <c r="H646" s="3"/>
    </row>
    <row r="647" ht="15.75" customHeight="1">
      <c r="H647" s="3"/>
    </row>
    <row r="648" ht="15.75" customHeight="1">
      <c r="H648" s="3"/>
    </row>
    <row r="649" ht="15.75" customHeight="1">
      <c r="H649" s="3"/>
    </row>
    <row r="650" ht="15.75" customHeight="1">
      <c r="H650" s="3"/>
    </row>
    <row r="651" ht="15.75" customHeight="1">
      <c r="H651" s="3"/>
    </row>
    <row r="652" ht="15.75" customHeight="1">
      <c r="H652" s="3"/>
    </row>
    <row r="653" ht="15.75" customHeight="1">
      <c r="H653" s="3"/>
    </row>
    <row r="654" ht="15.75" customHeight="1">
      <c r="H654" s="3"/>
    </row>
    <row r="655" ht="15.75" customHeight="1">
      <c r="H655" s="3"/>
    </row>
    <row r="656" ht="15.75" customHeight="1">
      <c r="H656" s="3"/>
    </row>
    <row r="657" ht="15.75" customHeight="1">
      <c r="H657" s="3"/>
    </row>
    <row r="658" ht="15.75" customHeight="1">
      <c r="H658" s="3"/>
    </row>
    <row r="659" ht="15.75" customHeight="1">
      <c r="H659" s="3"/>
    </row>
    <row r="660" ht="15.75" customHeight="1">
      <c r="H660" s="3"/>
    </row>
    <row r="661" ht="15.75" customHeight="1">
      <c r="H661" s="3"/>
    </row>
    <row r="662" ht="15.75" customHeight="1">
      <c r="H662" s="3"/>
    </row>
    <row r="663" ht="15.75" customHeight="1">
      <c r="H663" s="3"/>
    </row>
    <row r="664" ht="15.75" customHeight="1">
      <c r="H664" s="3"/>
    </row>
    <row r="665" ht="15.75" customHeight="1">
      <c r="H665" s="3"/>
    </row>
    <row r="666" ht="15.75" customHeight="1">
      <c r="H666" s="3"/>
    </row>
    <row r="667" ht="15.75" customHeight="1">
      <c r="H667" s="3"/>
    </row>
    <row r="668" ht="15.75" customHeight="1">
      <c r="H668" s="3"/>
    </row>
    <row r="669" ht="15.75" customHeight="1">
      <c r="H669" s="3"/>
    </row>
    <row r="670" ht="15.75" customHeight="1">
      <c r="H670" s="3"/>
    </row>
    <row r="671" ht="15.75" customHeight="1">
      <c r="H671" s="3"/>
    </row>
    <row r="672" ht="15.75" customHeight="1">
      <c r="H672" s="3"/>
    </row>
    <row r="673" ht="15.75" customHeight="1">
      <c r="H673" s="3"/>
    </row>
    <row r="674" ht="15.75" customHeight="1">
      <c r="H674" s="3"/>
    </row>
    <row r="675" ht="15.75" customHeight="1">
      <c r="H675" s="3"/>
    </row>
    <row r="676" ht="15.75" customHeight="1">
      <c r="H676" s="3"/>
    </row>
    <row r="677" ht="15.75" customHeight="1">
      <c r="H677" s="3"/>
    </row>
    <row r="678" ht="15.75" customHeight="1">
      <c r="H678" s="3"/>
    </row>
    <row r="679" ht="15.75" customHeight="1">
      <c r="H679" s="3"/>
    </row>
    <row r="680" ht="15.75" customHeight="1">
      <c r="H680" s="3"/>
    </row>
    <row r="681" ht="15.75" customHeight="1">
      <c r="H681" s="3"/>
    </row>
    <row r="682" ht="15.75" customHeight="1">
      <c r="H682" s="3"/>
    </row>
    <row r="683" ht="15.75" customHeight="1">
      <c r="H683" s="3"/>
    </row>
    <row r="684" ht="15.75" customHeight="1">
      <c r="H684" s="3"/>
    </row>
    <row r="685" ht="15.75" customHeight="1">
      <c r="H685" s="3"/>
    </row>
    <row r="686" ht="15.75" customHeight="1">
      <c r="H686" s="3"/>
    </row>
    <row r="687" ht="15.75" customHeight="1">
      <c r="H687" s="3"/>
    </row>
    <row r="688" ht="15.75" customHeight="1">
      <c r="H688" s="3"/>
    </row>
    <row r="689" ht="15.75" customHeight="1">
      <c r="H689" s="3"/>
    </row>
    <row r="690" ht="15.75" customHeight="1">
      <c r="H690" s="3"/>
    </row>
    <row r="691" ht="15.75" customHeight="1">
      <c r="H691" s="3"/>
    </row>
    <row r="692" ht="15.75" customHeight="1">
      <c r="H692" s="3"/>
    </row>
    <row r="693" ht="15.75" customHeight="1">
      <c r="H693" s="3"/>
    </row>
    <row r="694" ht="15.75" customHeight="1">
      <c r="H694" s="3"/>
    </row>
    <row r="695" ht="15.75" customHeight="1">
      <c r="H695" s="3"/>
    </row>
    <row r="696" ht="15.75" customHeight="1">
      <c r="H696" s="3"/>
    </row>
    <row r="697" ht="15.75" customHeight="1">
      <c r="H697" s="3"/>
    </row>
    <row r="698" ht="15.75" customHeight="1">
      <c r="H698" s="3"/>
    </row>
    <row r="699" ht="15.75" customHeight="1">
      <c r="H699" s="3"/>
    </row>
    <row r="700" ht="15.75" customHeight="1">
      <c r="H700" s="3"/>
    </row>
    <row r="701" ht="15.75" customHeight="1">
      <c r="H701" s="3"/>
    </row>
    <row r="702" ht="15.75" customHeight="1">
      <c r="H702" s="3"/>
    </row>
    <row r="703" ht="15.75" customHeight="1">
      <c r="H703" s="3"/>
    </row>
    <row r="704" ht="15.75" customHeight="1">
      <c r="H704" s="3"/>
    </row>
    <row r="705" ht="15.75" customHeight="1">
      <c r="H705" s="3"/>
    </row>
    <row r="706" ht="15.75" customHeight="1">
      <c r="H706" s="3"/>
    </row>
    <row r="707" ht="15.75" customHeight="1">
      <c r="H707" s="3"/>
    </row>
    <row r="708" ht="15.75" customHeight="1">
      <c r="H708" s="3"/>
    </row>
    <row r="709" ht="15.75" customHeight="1">
      <c r="H709" s="3"/>
    </row>
    <row r="710" ht="15.75" customHeight="1">
      <c r="H710" s="3"/>
    </row>
    <row r="711" ht="15.75" customHeight="1">
      <c r="H711" s="3"/>
    </row>
    <row r="712" ht="15.75" customHeight="1">
      <c r="H712" s="3"/>
    </row>
    <row r="713" ht="15.75" customHeight="1">
      <c r="H713" s="3"/>
    </row>
    <row r="714" ht="15.75" customHeight="1">
      <c r="H714" s="3"/>
    </row>
    <row r="715" ht="15.75" customHeight="1">
      <c r="H715" s="3"/>
    </row>
    <row r="716" ht="15.75" customHeight="1">
      <c r="H716" s="3"/>
    </row>
    <row r="717" ht="15.75" customHeight="1">
      <c r="H717" s="3"/>
    </row>
    <row r="718" ht="15.75" customHeight="1">
      <c r="H718" s="3"/>
    </row>
    <row r="719" ht="15.75" customHeight="1">
      <c r="H719" s="3"/>
    </row>
    <row r="720" ht="15.75" customHeight="1">
      <c r="H720" s="3"/>
    </row>
    <row r="721" ht="15.75" customHeight="1">
      <c r="H721" s="3"/>
    </row>
    <row r="722" ht="15.75" customHeight="1">
      <c r="H722" s="3"/>
    </row>
    <row r="723" ht="15.75" customHeight="1">
      <c r="H723" s="3"/>
    </row>
    <row r="724" ht="15.75" customHeight="1">
      <c r="H724" s="3"/>
    </row>
    <row r="725" ht="15.75" customHeight="1">
      <c r="H725" s="3"/>
    </row>
    <row r="726" ht="15.75" customHeight="1">
      <c r="H726" s="3"/>
    </row>
    <row r="727" ht="15.75" customHeight="1">
      <c r="H727" s="3"/>
    </row>
    <row r="728" ht="15.75" customHeight="1">
      <c r="H728" s="3"/>
    </row>
    <row r="729" ht="15.75" customHeight="1">
      <c r="H729" s="3"/>
    </row>
    <row r="730" ht="15.75" customHeight="1">
      <c r="H730" s="3"/>
    </row>
    <row r="731" ht="15.75" customHeight="1">
      <c r="H731" s="3"/>
    </row>
    <row r="732" ht="15.75" customHeight="1">
      <c r="H732" s="3"/>
    </row>
    <row r="733" ht="15.75" customHeight="1">
      <c r="H733" s="3"/>
    </row>
    <row r="734" ht="15.75" customHeight="1">
      <c r="H734" s="3"/>
    </row>
    <row r="735" ht="15.75" customHeight="1">
      <c r="H735" s="3"/>
    </row>
    <row r="736" ht="15.75" customHeight="1">
      <c r="H736" s="3"/>
    </row>
    <row r="737" ht="15.75" customHeight="1">
      <c r="H737" s="3"/>
    </row>
    <row r="738" ht="15.75" customHeight="1">
      <c r="H738" s="3"/>
    </row>
    <row r="739" ht="15.75" customHeight="1">
      <c r="H739" s="3"/>
    </row>
    <row r="740" ht="15.75" customHeight="1">
      <c r="H740" s="3"/>
    </row>
    <row r="741" ht="15.75" customHeight="1">
      <c r="H741" s="3"/>
    </row>
    <row r="742" ht="15.75" customHeight="1">
      <c r="H742" s="3"/>
    </row>
    <row r="743" ht="15.75" customHeight="1">
      <c r="H743" s="3"/>
    </row>
    <row r="744" ht="15.75" customHeight="1">
      <c r="H744" s="3"/>
    </row>
    <row r="745" ht="15.75" customHeight="1">
      <c r="H745" s="3"/>
    </row>
    <row r="746" ht="15.75" customHeight="1">
      <c r="H746" s="3"/>
    </row>
    <row r="747" ht="15.75" customHeight="1">
      <c r="H747" s="3"/>
    </row>
    <row r="748" ht="15.75" customHeight="1">
      <c r="H748" s="3"/>
    </row>
    <row r="749" ht="15.75" customHeight="1">
      <c r="H749" s="3"/>
    </row>
    <row r="750" ht="15.75" customHeight="1">
      <c r="H750" s="3"/>
    </row>
    <row r="751" ht="15.75" customHeight="1">
      <c r="H751" s="3"/>
    </row>
    <row r="752" ht="15.75" customHeight="1">
      <c r="H752" s="3"/>
    </row>
    <row r="753" ht="15.75" customHeight="1">
      <c r="H753" s="3"/>
    </row>
    <row r="754" ht="15.75" customHeight="1">
      <c r="H754" s="3"/>
    </row>
    <row r="755" ht="15.75" customHeight="1">
      <c r="H755" s="3"/>
    </row>
    <row r="756" ht="15.75" customHeight="1">
      <c r="H756" s="3"/>
    </row>
    <row r="757" ht="15.75" customHeight="1">
      <c r="H757" s="3"/>
    </row>
    <row r="758" ht="15.75" customHeight="1">
      <c r="H758" s="3"/>
    </row>
    <row r="759" ht="15.75" customHeight="1">
      <c r="H759" s="3"/>
    </row>
    <row r="760" ht="15.75" customHeight="1">
      <c r="H760" s="3"/>
    </row>
    <row r="761" ht="15.75" customHeight="1">
      <c r="H761" s="3"/>
    </row>
    <row r="762" ht="15.75" customHeight="1">
      <c r="H762" s="3"/>
    </row>
    <row r="763" ht="15.75" customHeight="1">
      <c r="H763" s="3"/>
    </row>
    <row r="764" ht="15.75" customHeight="1">
      <c r="H764" s="3"/>
    </row>
    <row r="765" ht="15.75" customHeight="1">
      <c r="H765" s="3"/>
    </row>
    <row r="766" ht="15.75" customHeight="1">
      <c r="H766" s="3"/>
    </row>
    <row r="767" ht="15.75" customHeight="1">
      <c r="H767" s="3"/>
    </row>
    <row r="768" ht="15.75" customHeight="1">
      <c r="H768" s="3"/>
    </row>
    <row r="769" ht="15.75" customHeight="1">
      <c r="H769" s="3"/>
    </row>
    <row r="770" ht="15.75" customHeight="1">
      <c r="H770" s="3"/>
    </row>
    <row r="771" ht="15.75" customHeight="1">
      <c r="H771" s="3"/>
    </row>
    <row r="772" ht="15.75" customHeight="1">
      <c r="H772" s="3"/>
    </row>
    <row r="773" ht="15.75" customHeight="1">
      <c r="H773" s="3"/>
    </row>
    <row r="774" ht="15.75" customHeight="1">
      <c r="H774" s="3"/>
    </row>
    <row r="775" ht="15.75" customHeight="1">
      <c r="H775" s="3"/>
    </row>
    <row r="776" ht="15.75" customHeight="1">
      <c r="H776" s="3"/>
    </row>
    <row r="777" ht="15.75" customHeight="1">
      <c r="H777" s="3"/>
    </row>
    <row r="778" ht="15.75" customHeight="1">
      <c r="H778" s="3"/>
    </row>
    <row r="779" ht="15.75" customHeight="1">
      <c r="H779" s="3"/>
    </row>
    <row r="780" ht="15.75" customHeight="1">
      <c r="H780" s="3"/>
    </row>
    <row r="781" ht="15.75" customHeight="1">
      <c r="H781" s="3"/>
    </row>
    <row r="782" ht="15.75" customHeight="1">
      <c r="H782" s="3"/>
    </row>
    <row r="783" ht="15.75" customHeight="1">
      <c r="H783" s="3"/>
    </row>
    <row r="784" ht="15.75" customHeight="1">
      <c r="H784" s="3"/>
    </row>
    <row r="785" ht="15.75" customHeight="1">
      <c r="H785" s="3"/>
    </row>
    <row r="786" ht="15.75" customHeight="1">
      <c r="H786" s="3"/>
    </row>
    <row r="787" ht="15.75" customHeight="1">
      <c r="H787" s="3"/>
    </row>
    <row r="788" ht="15.75" customHeight="1">
      <c r="H788" s="3"/>
    </row>
    <row r="789" ht="15.75" customHeight="1">
      <c r="H789" s="3"/>
    </row>
    <row r="790" ht="15.75" customHeight="1">
      <c r="H790" s="3"/>
    </row>
    <row r="791" ht="15.75" customHeight="1">
      <c r="H791" s="3"/>
    </row>
    <row r="792" ht="15.75" customHeight="1">
      <c r="H792" s="3"/>
    </row>
    <row r="793" ht="15.75" customHeight="1">
      <c r="H793" s="3"/>
    </row>
    <row r="794" ht="15.75" customHeight="1">
      <c r="H794" s="3"/>
    </row>
    <row r="795" ht="15.75" customHeight="1">
      <c r="H795" s="3"/>
    </row>
    <row r="796" ht="15.75" customHeight="1">
      <c r="H796" s="3"/>
    </row>
    <row r="797" ht="15.75" customHeight="1">
      <c r="H797" s="3"/>
    </row>
    <row r="798" ht="15.75" customHeight="1">
      <c r="H798" s="3"/>
    </row>
    <row r="799" ht="15.75" customHeight="1">
      <c r="H799" s="3"/>
    </row>
    <row r="800" ht="15.75" customHeight="1">
      <c r="H800" s="3"/>
    </row>
    <row r="801" ht="15.75" customHeight="1">
      <c r="H801" s="3"/>
    </row>
    <row r="802" ht="15.75" customHeight="1">
      <c r="H802" s="3"/>
    </row>
    <row r="803" ht="15.75" customHeight="1">
      <c r="H803" s="3"/>
    </row>
    <row r="804" ht="15.75" customHeight="1">
      <c r="H804" s="3"/>
    </row>
    <row r="805" ht="15.75" customHeight="1">
      <c r="H805" s="3"/>
    </row>
    <row r="806" ht="15.75" customHeight="1">
      <c r="H806" s="3"/>
    </row>
    <row r="807" ht="15.75" customHeight="1">
      <c r="H807" s="3"/>
    </row>
    <row r="808" ht="15.75" customHeight="1">
      <c r="H808" s="3"/>
    </row>
    <row r="809" ht="15.75" customHeight="1">
      <c r="H809" s="3"/>
    </row>
    <row r="810" ht="15.75" customHeight="1">
      <c r="H810" s="3"/>
    </row>
    <row r="811" ht="15.75" customHeight="1">
      <c r="H811" s="3"/>
    </row>
    <row r="812" ht="15.75" customHeight="1">
      <c r="H812" s="3"/>
    </row>
    <row r="813" ht="15.75" customHeight="1">
      <c r="H813" s="3"/>
    </row>
    <row r="814" ht="15.75" customHeight="1">
      <c r="H814" s="3"/>
    </row>
    <row r="815" ht="15.75" customHeight="1">
      <c r="H815" s="3"/>
    </row>
    <row r="816" ht="15.75" customHeight="1">
      <c r="H816" s="3"/>
    </row>
    <row r="817" ht="15.75" customHeight="1">
      <c r="H817" s="3"/>
    </row>
    <row r="818" ht="15.75" customHeight="1">
      <c r="H818" s="3"/>
    </row>
    <row r="819" ht="15.75" customHeight="1">
      <c r="H819" s="3"/>
    </row>
    <row r="820" ht="15.75" customHeight="1">
      <c r="H820" s="3"/>
    </row>
    <row r="821" ht="15.75" customHeight="1">
      <c r="H821" s="3"/>
    </row>
    <row r="822" ht="15.75" customHeight="1">
      <c r="H822" s="3"/>
    </row>
    <row r="823" ht="15.75" customHeight="1">
      <c r="H823" s="3"/>
    </row>
    <row r="824" ht="15.75" customHeight="1">
      <c r="H824" s="3"/>
    </row>
    <row r="825" ht="15.75" customHeight="1">
      <c r="H825" s="3"/>
    </row>
    <row r="826" ht="15.75" customHeight="1">
      <c r="H826" s="3"/>
    </row>
    <row r="827" ht="15.75" customHeight="1">
      <c r="H827" s="3"/>
    </row>
    <row r="828" ht="15.75" customHeight="1">
      <c r="H828" s="3"/>
    </row>
    <row r="829" ht="15.75" customHeight="1">
      <c r="H829" s="3"/>
    </row>
    <row r="830" ht="15.75" customHeight="1">
      <c r="H830" s="3"/>
    </row>
    <row r="831" ht="15.75" customHeight="1">
      <c r="H831" s="3"/>
    </row>
    <row r="832" ht="15.75" customHeight="1">
      <c r="H832" s="3"/>
    </row>
    <row r="833" ht="15.75" customHeight="1">
      <c r="H833" s="3"/>
    </row>
    <row r="834" ht="15.75" customHeight="1">
      <c r="H834" s="3"/>
    </row>
    <row r="835" ht="15.75" customHeight="1">
      <c r="H835" s="3"/>
    </row>
    <row r="836" ht="15.75" customHeight="1">
      <c r="H836" s="3"/>
    </row>
    <row r="837" ht="15.75" customHeight="1">
      <c r="H837" s="3"/>
    </row>
    <row r="838" ht="15.75" customHeight="1">
      <c r="H838" s="3"/>
    </row>
    <row r="839" ht="15.75" customHeight="1">
      <c r="H839" s="3"/>
    </row>
    <row r="840" ht="15.75" customHeight="1">
      <c r="H840" s="3"/>
    </row>
    <row r="841" ht="15.75" customHeight="1">
      <c r="H841" s="3"/>
    </row>
    <row r="842" ht="15.75" customHeight="1">
      <c r="H842" s="3"/>
    </row>
    <row r="843" ht="15.75" customHeight="1">
      <c r="H843" s="3"/>
    </row>
    <row r="844" ht="15.75" customHeight="1">
      <c r="H844" s="3"/>
    </row>
    <row r="845" ht="15.75" customHeight="1">
      <c r="H845" s="3"/>
    </row>
    <row r="846" ht="15.75" customHeight="1">
      <c r="H846" s="3"/>
    </row>
    <row r="847" ht="15.75" customHeight="1">
      <c r="H847" s="3"/>
    </row>
    <row r="848" ht="15.75" customHeight="1">
      <c r="H848" s="3"/>
    </row>
    <row r="849" ht="15.75" customHeight="1">
      <c r="H849" s="3"/>
    </row>
    <row r="850" ht="15.75" customHeight="1">
      <c r="H850" s="3"/>
    </row>
    <row r="851" ht="15.75" customHeight="1">
      <c r="H851" s="3"/>
    </row>
    <row r="852" ht="15.75" customHeight="1">
      <c r="H852" s="3"/>
    </row>
    <row r="853" ht="15.75" customHeight="1">
      <c r="H853" s="3"/>
    </row>
    <row r="854" ht="15.75" customHeight="1">
      <c r="H854" s="3"/>
    </row>
    <row r="855" ht="15.75" customHeight="1">
      <c r="H855" s="3"/>
    </row>
    <row r="856" ht="15.75" customHeight="1">
      <c r="H856" s="3"/>
    </row>
    <row r="857" ht="15.75" customHeight="1">
      <c r="H857" s="3"/>
    </row>
    <row r="858" ht="15.75" customHeight="1">
      <c r="H858" s="3"/>
    </row>
    <row r="859" ht="15.75" customHeight="1">
      <c r="H859" s="3"/>
    </row>
    <row r="860" ht="15.75" customHeight="1">
      <c r="H860" s="3"/>
    </row>
    <row r="861" ht="15.75" customHeight="1">
      <c r="H861" s="3"/>
    </row>
    <row r="862" ht="15.75" customHeight="1">
      <c r="H862" s="3"/>
    </row>
    <row r="863" ht="15.75" customHeight="1">
      <c r="H863" s="3"/>
    </row>
    <row r="864" ht="15.75" customHeight="1">
      <c r="H864" s="3"/>
    </row>
    <row r="865" ht="15.75" customHeight="1">
      <c r="H865" s="3"/>
    </row>
    <row r="866" ht="15.75" customHeight="1">
      <c r="H866" s="3"/>
    </row>
    <row r="867" ht="15.75" customHeight="1">
      <c r="H867" s="3"/>
    </row>
    <row r="868" ht="15.75" customHeight="1">
      <c r="H868" s="3"/>
    </row>
    <row r="869" ht="15.75" customHeight="1">
      <c r="H869" s="3"/>
    </row>
    <row r="870" ht="15.75" customHeight="1">
      <c r="H870" s="3"/>
    </row>
    <row r="871" ht="15.75" customHeight="1">
      <c r="H871" s="3"/>
    </row>
    <row r="872" ht="15.75" customHeight="1">
      <c r="H872" s="3"/>
    </row>
    <row r="873" ht="15.75" customHeight="1">
      <c r="H873" s="3"/>
    </row>
    <row r="874" ht="15.75" customHeight="1">
      <c r="H874" s="3"/>
    </row>
    <row r="875" ht="15.75" customHeight="1">
      <c r="H875" s="3"/>
    </row>
    <row r="876" ht="15.75" customHeight="1">
      <c r="H876" s="3"/>
    </row>
    <row r="877" ht="15.75" customHeight="1">
      <c r="H877" s="3"/>
    </row>
    <row r="878" ht="15.75" customHeight="1">
      <c r="H878" s="3"/>
    </row>
    <row r="879" ht="15.75" customHeight="1">
      <c r="H879" s="3"/>
    </row>
    <row r="880" ht="15.75" customHeight="1">
      <c r="H880" s="3"/>
    </row>
    <row r="881" ht="15.75" customHeight="1">
      <c r="H881" s="3"/>
    </row>
    <row r="882" ht="15.75" customHeight="1">
      <c r="H882" s="3"/>
    </row>
    <row r="883" ht="15.75" customHeight="1">
      <c r="H883" s="3"/>
    </row>
    <row r="884" ht="15.75" customHeight="1">
      <c r="H884" s="3"/>
    </row>
    <row r="885" ht="15.75" customHeight="1">
      <c r="H885" s="3"/>
    </row>
    <row r="886" ht="15.75" customHeight="1">
      <c r="H886" s="3"/>
    </row>
    <row r="887" ht="15.75" customHeight="1">
      <c r="H887" s="3"/>
    </row>
    <row r="888" ht="15.75" customHeight="1">
      <c r="H888" s="3"/>
    </row>
    <row r="889" ht="15.75" customHeight="1">
      <c r="H889" s="3"/>
    </row>
    <row r="890" ht="15.75" customHeight="1">
      <c r="H890" s="3"/>
    </row>
    <row r="891" ht="15.75" customHeight="1">
      <c r="H891" s="3"/>
    </row>
    <row r="892" ht="15.75" customHeight="1">
      <c r="H892" s="3"/>
    </row>
    <row r="893" ht="15.75" customHeight="1">
      <c r="H893" s="3"/>
    </row>
    <row r="894" ht="15.75" customHeight="1">
      <c r="H894" s="3"/>
    </row>
    <row r="895" ht="15.75" customHeight="1">
      <c r="H895" s="3"/>
    </row>
    <row r="896" ht="15.75" customHeight="1">
      <c r="H896" s="3"/>
    </row>
    <row r="897" ht="15.75" customHeight="1">
      <c r="H897" s="3"/>
    </row>
    <row r="898" ht="15.75" customHeight="1">
      <c r="H898" s="3"/>
    </row>
    <row r="899" ht="15.75" customHeight="1">
      <c r="H899" s="3"/>
    </row>
    <row r="900" ht="15.75" customHeight="1">
      <c r="H900" s="3"/>
    </row>
    <row r="901" ht="15.75" customHeight="1">
      <c r="H901" s="3"/>
    </row>
    <row r="902" ht="15.75" customHeight="1">
      <c r="H902" s="3"/>
    </row>
    <row r="903" ht="15.75" customHeight="1">
      <c r="H903" s="3"/>
    </row>
    <row r="904" ht="15.75" customHeight="1">
      <c r="H904" s="3"/>
    </row>
    <row r="905" ht="15.75" customHeight="1">
      <c r="H905" s="3"/>
    </row>
    <row r="906" ht="15.75" customHeight="1">
      <c r="H906" s="3"/>
    </row>
    <row r="907" ht="15.75" customHeight="1">
      <c r="H907" s="3"/>
    </row>
    <row r="908" ht="15.75" customHeight="1">
      <c r="H908" s="3"/>
    </row>
    <row r="909" ht="15.75" customHeight="1">
      <c r="H909" s="3"/>
    </row>
    <row r="910" ht="15.75" customHeight="1">
      <c r="H910" s="3"/>
    </row>
    <row r="911" ht="15.75" customHeight="1">
      <c r="H911" s="3"/>
    </row>
    <row r="912" ht="15.75" customHeight="1">
      <c r="H912" s="3"/>
    </row>
    <row r="913" ht="15.75" customHeight="1">
      <c r="H913" s="3"/>
    </row>
    <row r="914" ht="15.75" customHeight="1">
      <c r="H914" s="3"/>
    </row>
    <row r="915" ht="15.75" customHeight="1">
      <c r="H915" s="3"/>
    </row>
    <row r="916" ht="15.75" customHeight="1">
      <c r="H916" s="3"/>
    </row>
    <row r="917" ht="15.75" customHeight="1">
      <c r="H917" s="3"/>
    </row>
    <row r="918" ht="15.75" customHeight="1">
      <c r="H918" s="3"/>
    </row>
    <row r="919" ht="15.75" customHeight="1">
      <c r="H919" s="3"/>
    </row>
    <row r="920" ht="15.75" customHeight="1">
      <c r="H920" s="3"/>
    </row>
    <row r="921" ht="15.75" customHeight="1">
      <c r="H921" s="3"/>
    </row>
    <row r="922" ht="15.75" customHeight="1">
      <c r="H922" s="3"/>
    </row>
    <row r="923" ht="15.75" customHeight="1">
      <c r="H923" s="3"/>
    </row>
    <row r="924" ht="15.75" customHeight="1">
      <c r="H924" s="3"/>
    </row>
    <row r="925" ht="15.75" customHeight="1">
      <c r="H925" s="3"/>
    </row>
    <row r="926" ht="15.75" customHeight="1">
      <c r="H926" s="3"/>
    </row>
    <row r="927" ht="15.75" customHeight="1">
      <c r="H927" s="3"/>
    </row>
    <row r="928" ht="15.75" customHeight="1">
      <c r="H928" s="3"/>
    </row>
    <row r="929" ht="15.75" customHeight="1">
      <c r="H929" s="3"/>
    </row>
    <row r="930" ht="15.75" customHeight="1">
      <c r="H930" s="3"/>
    </row>
    <row r="931" ht="15.75" customHeight="1">
      <c r="H931" s="3"/>
    </row>
    <row r="932" ht="15.75" customHeight="1">
      <c r="H932" s="3"/>
    </row>
    <row r="933" ht="15.75" customHeight="1">
      <c r="H933" s="3"/>
    </row>
    <row r="934" ht="15.75" customHeight="1">
      <c r="H934" s="3"/>
    </row>
    <row r="935" ht="15.75" customHeight="1">
      <c r="H935" s="3"/>
    </row>
    <row r="936" ht="15.75" customHeight="1">
      <c r="H936" s="3"/>
    </row>
    <row r="937" ht="15.75" customHeight="1">
      <c r="H937" s="3"/>
    </row>
    <row r="938" ht="15.75" customHeight="1">
      <c r="H938" s="3"/>
    </row>
    <row r="939" ht="15.75" customHeight="1">
      <c r="H939" s="3"/>
    </row>
    <row r="940" ht="15.75" customHeight="1">
      <c r="H940" s="3"/>
    </row>
    <row r="941" ht="15.75" customHeight="1">
      <c r="H941" s="3"/>
    </row>
    <row r="942" ht="15.75" customHeight="1">
      <c r="H942" s="3"/>
    </row>
    <row r="943" ht="15.75" customHeight="1">
      <c r="H943" s="3"/>
    </row>
    <row r="944" ht="15.75" customHeight="1">
      <c r="H944" s="3"/>
    </row>
    <row r="945" ht="15.75" customHeight="1">
      <c r="H945" s="3"/>
    </row>
    <row r="946" ht="15.75" customHeight="1">
      <c r="H946" s="3"/>
    </row>
    <row r="947" ht="15.75" customHeight="1">
      <c r="H947" s="3"/>
    </row>
    <row r="948" ht="15.75" customHeight="1">
      <c r="H948" s="3"/>
    </row>
    <row r="949" ht="15.75" customHeight="1">
      <c r="H949" s="3"/>
    </row>
    <row r="950" ht="15.75" customHeight="1">
      <c r="H950" s="3"/>
    </row>
    <row r="951" ht="15.75" customHeight="1">
      <c r="H951" s="3"/>
    </row>
    <row r="952" ht="15.75" customHeight="1">
      <c r="H952" s="3"/>
    </row>
    <row r="953" ht="15.75" customHeight="1">
      <c r="H953" s="3"/>
    </row>
    <row r="954" ht="15.75" customHeight="1">
      <c r="H954" s="3"/>
    </row>
    <row r="955" ht="15.75" customHeight="1">
      <c r="H955" s="3"/>
    </row>
    <row r="956" ht="15.75" customHeight="1">
      <c r="H956" s="3"/>
    </row>
    <row r="957" ht="15.75" customHeight="1">
      <c r="H957" s="3"/>
    </row>
    <row r="958" ht="15.75" customHeight="1">
      <c r="H958" s="3"/>
    </row>
    <row r="959" ht="15.75" customHeight="1">
      <c r="H959" s="3"/>
    </row>
    <row r="960" ht="15.75" customHeight="1">
      <c r="H960" s="3"/>
    </row>
    <row r="961" ht="15.75" customHeight="1">
      <c r="H961" s="3"/>
    </row>
    <row r="962" ht="15.75" customHeight="1">
      <c r="H962" s="3"/>
    </row>
    <row r="963" ht="15.75" customHeight="1">
      <c r="H963" s="3"/>
    </row>
    <row r="964" ht="15.75" customHeight="1">
      <c r="H964" s="3"/>
    </row>
    <row r="965" ht="15.75" customHeight="1">
      <c r="H965" s="3"/>
    </row>
    <row r="966" ht="15.75" customHeight="1">
      <c r="H966" s="3"/>
    </row>
    <row r="967" ht="15.75" customHeight="1">
      <c r="H967" s="3"/>
    </row>
    <row r="968" ht="15.75" customHeight="1">
      <c r="H968" s="3"/>
    </row>
    <row r="969" ht="15.75" customHeight="1">
      <c r="H969" s="3"/>
    </row>
    <row r="970" ht="15.75" customHeight="1">
      <c r="H970" s="3"/>
    </row>
    <row r="971" ht="15.75" customHeight="1">
      <c r="H971" s="3"/>
    </row>
    <row r="972" ht="15.75" customHeight="1">
      <c r="H972" s="3"/>
    </row>
    <row r="973" ht="15.75" customHeight="1">
      <c r="H973" s="3"/>
    </row>
    <row r="974" ht="15.75" customHeight="1">
      <c r="H974" s="3"/>
    </row>
    <row r="975" ht="15.75" customHeight="1">
      <c r="H975" s="3"/>
    </row>
    <row r="976" ht="15.75" customHeight="1">
      <c r="H976" s="3"/>
    </row>
    <row r="977" ht="15.75" customHeight="1">
      <c r="H977" s="3"/>
    </row>
    <row r="978" ht="15.75" customHeight="1">
      <c r="H978" s="3"/>
    </row>
    <row r="979" ht="15.75" customHeight="1">
      <c r="H979" s="3"/>
    </row>
    <row r="980" ht="15.75" customHeight="1">
      <c r="H980" s="3"/>
    </row>
    <row r="981" ht="15.75" customHeight="1">
      <c r="H981" s="3"/>
    </row>
    <row r="982" ht="15.75" customHeight="1">
      <c r="H982" s="3"/>
    </row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66:E66"/>
    <mergeCell ref="C70:E70"/>
    <mergeCell ref="A73:B73"/>
    <mergeCell ref="C73:F73"/>
    <mergeCell ref="A74:B74"/>
    <mergeCell ref="C74:F74"/>
    <mergeCell ref="F8:F9"/>
    <mergeCell ref="G8:G9"/>
    <mergeCell ref="B61:I61"/>
    <mergeCell ref="C63:E63"/>
    <mergeCell ref="C64:E64"/>
    <mergeCell ref="H64:I64"/>
    <mergeCell ref="C65:E65"/>
    <mergeCell ref="I73:N73"/>
    <mergeCell ref="Q73:T73"/>
    <mergeCell ref="V73:X73"/>
    <mergeCell ref="I74:N74"/>
    <mergeCell ref="Q74:T74"/>
    <mergeCell ref="H77:T77"/>
    <mergeCell ref="H80:T80"/>
    <mergeCell ref="H81:T81"/>
    <mergeCell ref="J64:T64"/>
    <mergeCell ref="J65:T65"/>
    <mergeCell ref="J66:T66"/>
    <mergeCell ref="J67:T67"/>
    <mergeCell ref="I70:N70"/>
    <mergeCell ref="Q70:T70"/>
    <mergeCell ref="V70:W70"/>
  </mergeCells>
  <printOptions/>
  <pageMargins bottom="0.75" footer="0.0" header="0.0" left="0.7" right="0.7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6.13"/>
    <col customWidth="1" min="3" max="3" width="11.63"/>
    <col customWidth="1" min="4" max="4" width="10.13"/>
    <col customWidth="1" min="5" max="5" width="11.2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 t="s">
        <v>335</v>
      </c>
      <c r="W3" s="2"/>
      <c r="X3" s="2"/>
    </row>
    <row r="4">
      <c r="A4" s="5" t="s">
        <v>336</v>
      </c>
      <c r="B4" s="6"/>
      <c r="C4" s="6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11"/>
      <c r="B5" s="6"/>
      <c r="C5" s="2"/>
      <c r="D5" s="14"/>
      <c r="E5" s="15"/>
      <c r="F5" s="16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337</v>
      </c>
      <c r="B6" s="6"/>
      <c r="C6" s="2"/>
      <c r="D6" s="14"/>
      <c r="E6" s="15"/>
      <c r="F6" s="16"/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1" t="s">
        <v>4</v>
      </c>
      <c r="B7" s="6"/>
      <c r="C7" s="2"/>
      <c r="D7" s="14"/>
      <c r="E7" s="15"/>
      <c r="F7" s="16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7" t="s">
        <v>5</v>
      </c>
      <c r="B8" s="18" t="s">
        <v>6</v>
      </c>
      <c r="C8" s="19" t="s">
        <v>7</v>
      </c>
      <c r="D8" s="21" t="s">
        <v>9</v>
      </c>
      <c r="E8" s="22" t="s">
        <v>10</v>
      </c>
      <c r="F8" s="23" t="s">
        <v>11</v>
      </c>
      <c r="G8" s="18" t="s">
        <v>12</v>
      </c>
      <c r="H8" s="24" t="s">
        <v>13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6"/>
      <c r="W8" s="27"/>
      <c r="X8" s="27"/>
    </row>
    <row r="9">
      <c r="A9" s="28"/>
      <c r="B9" s="29"/>
      <c r="C9" s="30" t="s">
        <v>14</v>
      </c>
      <c r="D9" s="29"/>
      <c r="E9" s="29"/>
      <c r="F9" s="29"/>
      <c r="G9" s="29"/>
      <c r="H9" s="32" t="s">
        <v>15</v>
      </c>
      <c r="I9" s="32" t="s">
        <v>16</v>
      </c>
      <c r="J9" s="32" t="s">
        <v>17</v>
      </c>
      <c r="K9" s="32" t="s">
        <v>18</v>
      </c>
      <c r="L9" s="32" t="s">
        <v>19</v>
      </c>
      <c r="M9" s="32" t="s">
        <v>20</v>
      </c>
      <c r="N9" s="32" t="s">
        <v>21</v>
      </c>
      <c r="O9" s="32" t="s">
        <v>22</v>
      </c>
      <c r="P9" s="32" t="s">
        <v>23</v>
      </c>
      <c r="Q9" s="32" t="s">
        <v>24</v>
      </c>
      <c r="R9" s="32" t="s">
        <v>25</v>
      </c>
      <c r="S9" s="32" t="s">
        <v>26</v>
      </c>
      <c r="T9" s="32" t="s">
        <v>27</v>
      </c>
      <c r="U9" s="33" t="str">
        <f>$V$9</f>
        <v>REMARKS</v>
      </c>
      <c r="V9" s="33" t="s">
        <v>28</v>
      </c>
      <c r="W9" s="34"/>
      <c r="X9" s="27"/>
    </row>
    <row r="10">
      <c r="A10" s="477"/>
      <c r="B10" s="478" t="s">
        <v>338</v>
      </c>
      <c r="C10" s="479"/>
      <c r="D10" s="480"/>
      <c r="E10" s="481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3"/>
      <c r="V10" s="484"/>
      <c r="W10" s="27"/>
      <c r="X10" s="27"/>
    </row>
    <row r="11">
      <c r="A11" s="35"/>
      <c r="B11" s="44" t="s">
        <v>339</v>
      </c>
      <c r="C11" s="45" t="s">
        <v>340</v>
      </c>
      <c r="D11" s="49">
        <f>50000/80</f>
        <v>625</v>
      </c>
      <c r="E11" s="49">
        <v>50000.0</v>
      </c>
      <c r="F11" s="50" t="s">
        <v>55</v>
      </c>
      <c r="G11" s="50"/>
      <c r="H11" s="50">
        <v>80.0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27"/>
      <c r="X11" s="27"/>
    </row>
    <row r="12">
      <c r="A12" s="35"/>
      <c r="B12" s="44" t="s">
        <v>341</v>
      </c>
      <c r="C12" s="61" t="s">
        <v>342</v>
      </c>
      <c r="D12" s="485">
        <f>3000/5</f>
        <v>600</v>
      </c>
      <c r="E12" s="485">
        <v>3000.0</v>
      </c>
      <c r="F12" s="50" t="s">
        <v>55</v>
      </c>
      <c r="G12" s="50"/>
      <c r="H12" s="50">
        <v>5.0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27"/>
      <c r="X12" s="27"/>
    </row>
    <row r="13">
      <c r="A13" s="35"/>
      <c r="B13" s="51" t="s">
        <v>343</v>
      </c>
      <c r="C13" s="54" t="s">
        <v>344</v>
      </c>
      <c r="D13" s="48">
        <f>10000/10</f>
        <v>1000</v>
      </c>
      <c r="E13" s="55">
        <v>10000.0</v>
      </c>
      <c r="F13" s="50" t="s">
        <v>55</v>
      </c>
      <c r="G13" s="50"/>
      <c r="H13" s="50">
        <v>10.0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27"/>
      <c r="X13" s="27"/>
    </row>
    <row r="14">
      <c r="A14" s="35"/>
      <c r="B14" s="64" t="s">
        <v>345</v>
      </c>
      <c r="C14" s="54" t="s">
        <v>344</v>
      </c>
      <c r="D14" s="48">
        <f>50000/10</f>
        <v>5000</v>
      </c>
      <c r="E14" s="55">
        <v>50000.0</v>
      </c>
      <c r="F14" s="50" t="s">
        <v>55</v>
      </c>
      <c r="G14" s="50"/>
      <c r="H14" s="50">
        <v>10.0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27"/>
      <c r="X14" s="27"/>
    </row>
    <row r="15">
      <c r="A15" s="35"/>
      <c r="B15" s="64" t="s">
        <v>346</v>
      </c>
      <c r="C15" s="54" t="s">
        <v>342</v>
      </c>
      <c r="D15" s="48">
        <f>2500/5</f>
        <v>500</v>
      </c>
      <c r="E15" s="55">
        <v>2500.0</v>
      </c>
      <c r="F15" s="50" t="s">
        <v>55</v>
      </c>
      <c r="G15" s="50"/>
      <c r="H15" s="50">
        <v>5.0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7"/>
      <c r="X15" s="27"/>
    </row>
    <row r="16">
      <c r="A16" s="35"/>
      <c r="B16" s="51" t="s">
        <v>347</v>
      </c>
      <c r="C16" s="54" t="s">
        <v>348</v>
      </c>
      <c r="D16" s="48">
        <f>500/20</f>
        <v>25</v>
      </c>
      <c r="E16" s="55">
        <v>500.0</v>
      </c>
      <c r="F16" s="50" t="s">
        <v>141</v>
      </c>
      <c r="G16" s="50"/>
      <c r="H16" s="50">
        <v>20.0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27"/>
      <c r="X16" s="27"/>
    </row>
    <row r="17">
      <c r="A17" s="35"/>
      <c r="B17" s="51" t="s">
        <v>349</v>
      </c>
      <c r="C17" s="54" t="s">
        <v>350</v>
      </c>
      <c r="D17" s="48">
        <f>300/15</f>
        <v>20</v>
      </c>
      <c r="E17" s="55">
        <v>300.0</v>
      </c>
      <c r="F17" s="50" t="s">
        <v>141</v>
      </c>
      <c r="G17" s="50"/>
      <c r="H17" s="50">
        <v>15.0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27"/>
      <c r="X17" s="27"/>
    </row>
    <row r="18">
      <c r="A18" s="35"/>
      <c r="B18" s="51" t="s">
        <v>351</v>
      </c>
      <c r="C18" s="54" t="s">
        <v>97</v>
      </c>
      <c r="D18" s="48">
        <f>150/5</f>
        <v>30</v>
      </c>
      <c r="E18" s="55">
        <v>150.0</v>
      </c>
      <c r="F18" s="50" t="s">
        <v>141</v>
      </c>
      <c r="G18" s="50"/>
      <c r="H18" s="50">
        <v>5.0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27"/>
      <c r="X18" s="27"/>
    </row>
    <row r="19">
      <c r="A19" s="35"/>
      <c r="B19" s="64" t="s">
        <v>352</v>
      </c>
      <c r="C19" s="54" t="s">
        <v>75</v>
      </c>
      <c r="D19" s="48">
        <f>300/10</f>
        <v>30</v>
      </c>
      <c r="E19" s="55">
        <v>300.0</v>
      </c>
      <c r="F19" s="50" t="s">
        <v>141</v>
      </c>
      <c r="G19" s="50"/>
      <c r="H19" s="50">
        <v>10.0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27"/>
      <c r="X19" s="27"/>
    </row>
    <row r="20">
      <c r="A20" s="35"/>
      <c r="B20" s="51" t="s">
        <v>353</v>
      </c>
      <c r="C20" s="54" t="s">
        <v>354</v>
      </c>
      <c r="D20" s="48">
        <f>300/30</f>
        <v>10</v>
      </c>
      <c r="E20" s="55">
        <v>300.0</v>
      </c>
      <c r="F20" s="50" t="s">
        <v>141</v>
      </c>
      <c r="G20" s="50"/>
      <c r="H20" s="50">
        <v>30.0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27"/>
      <c r="X20" s="27"/>
    </row>
    <row r="21" ht="15.75" customHeight="1">
      <c r="A21" s="35"/>
      <c r="B21" s="51" t="s">
        <v>355</v>
      </c>
      <c r="C21" s="54" t="s">
        <v>348</v>
      </c>
      <c r="D21" s="486">
        <f>2000/20</f>
        <v>100</v>
      </c>
      <c r="E21" s="55">
        <v>2000.0</v>
      </c>
      <c r="F21" s="50" t="s">
        <v>141</v>
      </c>
      <c r="G21" s="50"/>
      <c r="H21" s="50">
        <v>20.0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27"/>
      <c r="X21" s="27"/>
    </row>
    <row r="22" ht="15.75" customHeight="1">
      <c r="A22" s="35"/>
      <c r="B22" s="64" t="s">
        <v>356</v>
      </c>
      <c r="C22" s="54" t="s">
        <v>342</v>
      </c>
      <c r="D22" s="48">
        <v>15.0</v>
      </c>
      <c r="E22" s="55">
        <v>75.0</v>
      </c>
      <c r="F22" s="50" t="s">
        <v>141</v>
      </c>
      <c r="G22" s="50"/>
      <c r="H22" s="50">
        <v>5.0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27"/>
      <c r="X22" s="27"/>
    </row>
    <row r="23" ht="15.75" customHeight="1">
      <c r="A23" s="35"/>
      <c r="B23" s="64" t="s">
        <v>357</v>
      </c>
      <c r="C23" s="54" t="s">
        <v>75</v>
      </c>
      <c r="D23" s="48">
        <f>300/10</f>
        <v>30</v>
      </c>
      <c r="E23" s="55">
        <v>300.0</v>
      </c>
      <c r="F23" s="50" t="s">
        <v>141</v>
      </c>
      <c r="G23" s="50"/>
      <c r="H23" s="50">
        <v>10.0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27"/>
      <c r="X23" s="27"/>
    </row>
    <row r="24" ht="15.75" customHeight="1">
      <c r="A24" s="35"/>
      <c r="B24" s="51" t="s">
        <v>358</v>
      </c>
      <c r="C24" s="54" t="s">
        <v>359</v>
      </c>
      <c r="D24" s="48">
        <f>1000/50</f>
        <v>20</v>
      </c>
      <c r="E24" s="55">
        <v>1000.0</v>
      </c>
      <c r="F24" s="50" t="s">
        <v>141</v>
      </c>
      <c r="G24" s="50"/>
      <c r="H24" s="50">
        <v>50.0</v>
      </c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27"/>
      <c r="X24" s="27"/>
    </row>
    <row r="25" ht="15.75" customHeight="1">
      <c r="A25" s="35"/>
      <c r="B25" s="51" t="s">
        <v>360</v>
      </c>
      <c r="C25" s="54" t="s">
        <v>361</v>
      </c>
      <c r="D25" s="48">
        <f>2000/15</f>
        <v>133.3333333</v>
      </c>
      <c r="E25" s="55">
        <v>2000.0</v>
      </c>
      <c r="F25" s="50" t="s">
        <v>141</v>
      </c>
      <c r="G25" s="50"/>
      <c r="H25" s="50">
        <v>15.0</v>
      </c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27"/>
      <c r="X25" s="27"/>
    </row>
    <row r="26" ht="15.75" customHeight="1">
      <c r="A26" s="35"/>
      <c r="B26" s="51" t="s">
        <v>362</v>
      </c>
      <c r="C26" s="54" t="s">
        <v>363</v>
      </c>
      <c r="D26" s="48">
        <f>1000/1</f>
        <v>1000</v>
      </c>
      <c r="E26" s="55">
        <v>1000.0</v>
      </c>
      <c r="F26" s="50" t="s">
        <v>55</v>
      </c>
      <c r="G26" s="50"/>
      <c r="H26" s="50"/>
      <c r="I26" s="50">
        <v>1.0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27"/>
      <c r="X26" s="27"/>
    </row>
    <row r="27" ht="15.75" customHeight="1">
      <c r="A27" s="35"/>
      <c r="B27" s="51" t="s">
        <v>364</v>
      </c>
      <c r="C27" s="54" t="s">
        <v>365</v>
      </c>
      <c r="D27" s="48">
        <f>30000/3</f>
        <v>10000</v>
      </c>
      <c r="E27" s="55">
        <v>30000.0</v>
      </c>
      <c r="F27" s="50" t="s">
        <v>55</v>
      </c>
      <c r="G27" s="50"/>
      <c r="H27" s="50"/>
      <c r="I27" s="50">
        <v>3.0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27"/>
      <c r="X27" s="27"/>
    </row>
    <row r="28" ht="15.75" customHeight="1">
      <c r="A28" s="35"/>
      <c r="B28" s="64" t="s">
        <v>366</v>
      </c>
      <c r="C28" s="54" t="s">
        <v>367</v>
      </c>
      <c r="D28" s="48">
        <f>1000/100</f>
        <v>10</v>
      </c>
      <c r="E28" s="55">
        <v>1000.0</v>
      </c>
      <c r="F28" s="50" t="s">
        <v>141</v>
      </c>
      <c r="G28" s="50"/>
      <c r="H28" s="50"/>
      <c r="I28" s="50">
        <v>100.0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27"/>
      <c r="X28" s="27"/>
    </row>
    <row r="29" ht="15.75" customHeight="1">
      <c r="A29" s="35"/>
      <c r="B29" s="64" t="s">
        <v>368</v>
      </c>
      <c r="C29" s="54" t="s">
        <v>367</v>
      </c>
      <c r="D29" s="48">
        <f>2000/100</f>
        <v>20</v>
      </c>
      <c r="E29" s="55">
        <v>2000.0</v>
      </c>
      <c r="F29" s="50" t="s">
        <v>141</v>
      </c>
      <c r="G29" s="50"/>
      <c r="H29" s="50"/>
      <c r="I29" s="50">
        <v>100.0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27"/>
      <c r="X29" s="27"/>
    </row>
    <row r="30" ht="15.75" customHeight="1">
      <c r="A30" s="35"/>
      <c r="B30" s="51" t="s">
        <v>369</v>
      </c>
      <c r="C30" s="54" t="s">
        <v>370</v>
      </c>
      <c r="D30" s="48">
        <f>250/50</f>
        <v>5</v>
      </c>
      <c r="E30" s="55">
        <v>250.0</v>
      </c>
      <c r="F30" s="50" t="s">
        <v>141</v>
      </c>
      <c r="G30" s="50"/>
      <c r="H30" s="50"/>
      <c r="I30" s="50">
        <v>50.0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27"/>
      <c r="X30" s="27"/>
    </row>
    <row r="31" ht="15.75" customHeight="1">
      <c r="A31" s="35"/>
      <c r="B31" s="51" t="s">
        <v>371</v>
      </c>
      <c r="C31" s="54" t="s">
        <v>365</v>
      </c>
      <c r="D31" s="48">
        <f t="shared" ref="D31:D32" si="1">400/3</f>
        <v>133.3333333</v>
      </c>
      <c r="E31" s="55">
        <v>400.0</v>
      </c>
      <c r="F31" s="50" t="s">
        <v>55</v>
      </c>
      <c r="G31" s="50"/>
      <c r="H31" s="50"/>
      <c r="I31" s="50">
        <v>3.0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27"/>
      <c r="X31" s="27"/>
    </row>
    <row r="32" ht="15.75" customHeight="1">
      <c r="A32" s="35"/>
      <c r="B32" s="51" t="s">
        <v>372</v>
      </c>
      <c r="C32" s="54" t="s">
        <v>365</v>
      </c>
      <c r="D32" s="48">
        <f t="shared" si="1"/>
        <v>133.3333333</v>
      </c>
      <c r="E32" s="55">
        <v>400.0</v>
      </c>
      <c r="F32" s="50" t="s">
        <v>55</v>
      </c>
      <c r="G32" s="50"/>
      <c r="H32" s="50"/>
      <c r="I32" s="50">
        <v>3.0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27"/>
      <c r="X32" s="27"/>
    </row>
    <row r="33" ht="15.75" customHeight="1">
      <c r="A33" s="35"/>
      <c r="B33" s="51" t="s">
        <v>373</v>
      </c>
      <c r="C33" s="54" t="s">
        <v>374</v>
      </c>
      <c r="D33" s="48">
        <f>5500/30</f>
        <v>183.3333333</v>
      </c>
      <c r="E33" s="55">
        <v>5500.0</v>
      </c>
      <c r="F33" s="50" t="s">
        <v>141</v>
      </c>
      <c r="G33" s="50"/>
      <c r="H33" s="50"/>
      <c r="I33" s="50">
        <v>30.0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27"/>
      <c r="X33" s="27"/>
    </row>
    <row r="34" ht="15.75" customHeight="1">
      <c r="A34" s="35"/>
      <c r="B34" s="51" t="s">
        <v>375</v>
      </c>
      <c r="C34" s="54" t="s">
        <v>363</v>
      </c>
      <c r="D34" s="48">
        <v>5000.0</v>
      </c>
      <c r="E34" s="55">
        <v>5000.0</v>
      </c>
      <c r="F34" s="50" t="s">
        <v>55</v>
      </c>
      <c r="G34" s="50"/>
      <c r="H34" s="50"/>
      <c r="I34" s="50">
        <v>1.0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27"/>
      <c r="X34" s="27"/>
    </row>
    <row r="35" ht="15.75" customHeight="1">
      <c r="A35" s="35"/>
      <c r="B35" s="51" t="s">
        <v>376</v>
      </c>
      <c r="C35" s="54" t="s">
        <v>377</v>
      </c>
      <c r="D35" s="48">
        <f t="shared" ref="D35:D36" si="2">3200/8</f>
        <v>400</v>
      </c>
      <c r="E35" s="55">
        <v>3200.0</v>
      </c>
      <c r="F35" s="50" t="s">
        <v>141</v>
      </c>
      <c r="G35" s="50"/>
      <c r="H35" s="50"/>
      <c r="I35" s="50">
        <v>8.0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27"/>
      <c r="X35" s="27"/>
    </row>
    <row r="36" ht="15.75" customHeight="1">
      <c r="A36" s="35"/>
      <c r="B36" s="51" t="s">
        <v>378</v>
      </c>
      <c r="C36" s="54" t="s">
        <v>377</v>
      </c>
      <c r="D36" s="48">
        <f t="shared" si="2"/>
        <v>400</v>
      </c>
      <c r="E36" s="55">
        <v>3200.0</v>
      </c>
      <c r="F36" s="50" t="s">
        <v>141</v>
      </c>
      <c r="G36" s="50"/>
      <c r="H36" s="50"/>
      <c r="I36" s="50">
        <v>8.0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27"/>
      <c r="X36" s="27"/>
    </row>
    <row r="37" ht="15.75" customHeight="1">
      <c r="A37" s="35"/>
      <c r="B37" s="51" t="s">
        <v>379</v>
      </c>
      <c r="C37" s="54" t="s">
        <v>380</v>
      </c>
      <c r="D37" s="48">
        <f>200/3</f>
        <v>66.66666667</v>
      </c>
      <c r="E37" s="55">
        <v>200.0</v>
      </c>
      <c r="F37" s="50" t="s">
        <v>141</v>
      </c>
      <c r="G37" s="50"/>
      <c r="H37" s="50"/>
      <c r="I37" s="50">
        <v>3.0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27"/>
      <c r="X37" s="27"/>
    </row>
    <row r="38" ht="15.75" customHeight="1">
      <c r="A38" s="35"/>
      <c r="B38" s="51" t="s">
        <v>381</v>
      </c>
      <c r="C38" s="54" t="s">
        <v>348</v>
      </c>
      <c r="D38" s="48">
        <f>1000/20</f>
        <v>50</v>
      </c>
      <c r="E38" s="55">
        <v>1000.0</v>
      </c>
      <c r="F38" s="50" t="s">
        <v>141</v>
      </c>
      <c r="G38" s="50"/>
      <c r="H38" s="50"/>
      <c r="I38" s="50"/>
      <c r="J38" s="50">
        <v>20.0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27"/>
      <c r="X38" s="27"/>
    </row>
    <row r="39" ht="15.75" customHeight="1">
      <c r="A39" s="35"/>
      <c r="B39" s="51" t="s">
        <v>382</v>
      </c>
      <c r="C39" s="54" t="s">
        <v>383</v>
      </c>
      <c r="D39" s="48">
        <f>600/20</f>
        <v>30</v>
      </c>
      <c r="E39" s="55">
        <v>600.0</v>
      </c>
      <c r="F39" s="50" t="s">
        <v>141</v>
      </c>
      <c r="G39" s="50"/>
      <c r="H39" s="50"/>
      <c r="I39" s="50"/>
      <c r="J39" s="50">
        <v>20.0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27"/>
      <c r="X39" s="27"/>
    </row>
    <row r="40" ht="15.75" customHeight="1">
      <c r="A40" s="35"/>
      <c r="B40" s="51" t="s">
        <v>384</v>
      </c>
      <c r="C40" s="54" t="s">
        <v>367</v>
      </c>
      <c r="D40" s="48">
        <f>1000/100</f>
        <v>10</v>
      </c>
      <c r="E40" s="55">
        <v>1000.0</v>
      </c>
      <c r="F40" s="50" t="s">
        <v>141</v>
      </c>
      <c r="G40" s="50"/>
      <c r="H40" s="50"/>
      <c r="I40" s="50"/>
      <c r="J40" s="50">
        <v>100.0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27"/>
      <c r="X40" s="27"/>
    </row>
    <row r="41" ht="15.75" customHeight="1">
      <c r="A41" s="35"/>
      <c r="B41" s="51" t="s">
        <v>385</v>
      </c>
      <c r="C41" s="54" t="s">
        <v>370</v>
      </c>
      <c r="D41" s="48">
        <f>1000/50</f>
        <v>20</v>
      </c>
      <c r="E41" s="55">
        <v>1000.0</v>
      </c>
      <c r="F41" s="50" t="s">
        <v>141</v>
      </c>
      <c r="G41" s="50"/>
      <c r="H41" s="50"/>
      <c r="I41" s="50"/>
      <c r="J41" s="50">
        <v>50.0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27"/>
      <c r="X41" s="27"/>
    </row>
    <row r="42" ht="15.75" customHeight="1">
      <c r="A42" s="35"/>
      <c r="B42" s="51" t="s">
        <v>386</v>
      </c>
      <c r="C42" s="54" t="s">
        <v>383</v>
      </c>
      <c r="D42" s="48">
        <f>400/20</f>
        <v>20</v>
      </c>
      <c r="E42" s="55">
        <v>400.0</v>
      </c>
      <c r="F42" s="50" t="s">
        <v>141</v>
      </c>
      <c r="G42" s="50"/>
      <c r="H42" s="50"/>
      <c r="I42" s="50"/>
      <c r="J42" s="50">
        <v>20.0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27"/>
      <c r="X42" s="27"/>
    </row>
    <row r="43" ht="15.75" customHeight="1">
      <c r="A43" s="35"/>
      <c r="B43" s="51" t="s">
        <v>387</v>
      </c>
      <c r="C43" s="54" t="s">
        <v>388</v>
      </c>
      <c r="D43" s="48">
        <f>300/3</f>
        <v>100</v>
      </c>
      <c r="E43" s="55">
        <v>300.0</v>
      </c>
      <c r="F43" s="50" t="s">
        <v>141</v>
      </c>
      <c r="G43" s="50"/>
      <c r="H43" s="50"/>
      <c r="I43" s="50"/>
      <c r="J43" s="50">
        <v>3.0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27"/>
      <c r="X43" s="27"/>
    </row>
    <row r="44" ht="15.75" customHeight="1">
      <c r="A44" s="35"/>
      <c r="B44" s="51" t="s">
        <v>389</v>
      </c>
      <c r="C44" s="54" t="s">
        <v>79</v>
      </c>
      <c r="D44" s="48">
        <f>500/10</f>
        <v>50</v>
      </c>
      <c r="E44" s="55">
        <v>500.0</v>
      </c>
      <c r="F44" s="50" t="s">
        <v>141</v>
      </c>
      <c r="G44" s="50"/>
      <c r="H44" s="50"/>
      <c r="I44" s="50"/>
      <c r="J44" s="50">
        <v>10.0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27"/>
      <c r="X44" s="27"/>
    </row>
    <row r="45" ht="15.75" customHeight="1">
      <c r="A45" s="35"/>
      <c r="B45" s="51" t="s">
        <v>390</v>
      </c>
      <c r="C45" s="54" t="s">
        <v>344</v>
      </c>
      <c r="D45" s="48">
        <f t="shared" ref="D45:D46" si="3">300/10</f>
        <v>30</v>
      </c>
      <c r="E45" s="55">
        <v>300.0</v>
      </c>
      <c r="F45" s="50" t="s">
        <v>141</v>
      </c>
      <c r="G45" s="50"/>
      <c r="H45" s="50"/>
      <c r="I45" s="50"/>
      <c r="J45" s="50">
        <v>10.0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27"/>
      <c r="X45" s="27"/>
    </row>
    <row r="46" ht="15.75" customHeight="1">
      <c r="A46" s="35"/>
      <c r="B46" s="51" t="s">
        <v>391</v>
      </c>
      <c r="C46" s="54" t="s">
        <v>344</v>
      </c>
      <c r="D46" s="48">
        <f t="shared" si="3"/>
        <v>30</v>
      </c>
      <c r="E46" s="55">
        <v>300.0</v>
      </c>
      <c r="F46" s="50" t="s">
        <v>141</v>
      </c>
      <c r="G46" s="50"/>
      <c r="H46" s="50"/>
      <c r="I46" s="50"/>
      <c r="J46" s="50">
        <v>10.0</v>
      </c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27"/>
      <c r="X46" s="27"/>
    </row>
    <row r="47" ht="15.75" customHeight="1">
      <c r="A47" s="35"/>
      <c r="B47" s="51"/>
      <c r="C47" s="54"/>
      <c r="D47" s="48"/>
      <c r="E47" s="55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27"/>
      <c r="X47" s="27"/>
    </row>
    <row r="48" ht="15.75" customHeight="1">
      <c r="A48" s="35"/>
      <c r="B48" s="36" t="s">
        <v>392</v>
      </c>
      <c r="C48" s="68"/>
      <c r="D48" s="476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27"/>
      <c r="X48" s="27"/>
    </row>
    <row r="49" ht="15.75" customHeight="1">
      <c r="A49" s="35"/>
      <c r="B49" s="44" t="s">
        <v>393</v>
      </c>
      <c r="C49" s="45" t="s">
        <v>394</v>
      </c>
      <c r="D49" s="48">
        <f>6560/4</f>
        <v>1640</v>
      </c>
      <c r="E49" s="49">
        <v>6560.0</v>
      </c>
      <c r="F49" s="50" t="s">
        <v>55</v>
      </c>
      <c r="G49" s="50"/>
      <c r="H49" s="50">
        <v>4.0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27"/>
      <c r="X49" s="27"/>
    </row>
    <row r="50" ht="15.75" customHeight="1">
      <c r="A50" s="35"/>
      <c r="B50" s="51" t="s">
        <v>395</v>
      </c>
      <c r="C50" s="54" t="s">
        <v>394</v>
      </c>
      <c r="D50" s="48">
        <f>3440/4</f>
        <v>860</v>
      </c>
      <c r="E50" s="55">
        <v>3440.0</v>
      </c>
      <c r="F50" s="50" t="s">
        <v>55</v>
      </c>
      <c r="G50" s="50"/>
      <c r="H50" s="50">
        <v>4.0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27"/>
      <c r="X50" s="27"/>
    </row>
    <row r="51" ht="15.75" customHeight="1">
      <c r="A51" s="35"/>
      <c r="B51" s="64" t="s">
        <v>396</v>
      </c>
      <c r="C51" s="54" t="s">
        <v>397</v>
      </c>
      <c r="D51" s="48">
        <f>8000/8</f>
        <v>1000</v>
      </c>
      <c r="E51" s="55">
        <v>8000.0</v>
      </c>
      <c r="F51" s="50" t="s">
        <v>55</v>
      </c>
      <c r="G51" s="50"/>
      <c r="H51" s="50">
        <v>8.0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27"/>
      <c r="X51" s="27"/>
    </row>
    <row r="52" ht="15.75" customHeight="1">
      <c r="A52" s="35"/>
      <c r="B52" s="44" t="s">
        <v>398</v>
      </c>
      <c r="C52" s="54" t="s">
        <v>399</v>
      </c>
      <c r="D52" s="48">
        <f>15000/300</f>
        <v>50</v>
      </c>
      <c r="E52" s="55">
        <v>15000.0</v>
      </c>
      <c r="F52" s="50" t="s">
        <v>55</v>
      </c>
      <c r="G52" s="50"/>
      <c r="H52" s="50">
        <v>300.0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27"/>
      <c r="X52" s="27"/>
    </row>
    <row r="53" ht="15.75" customHeight="1">
      <c r="A53" s="35"/>
      <c r="B53" s="44" t="s">
        <v>400</v>
      </c>
      <c r="C53" s="54" t="s">
        <v>401</v>
      </c>
      <c r="D53" s="48">
        <f>5700/100</f>
        <v>57</v>
      </c>
      <c r="E53" s="55">
        <v>5700.0</v>
      </c>
      <c r="F53" s="50" t="s">
        <v>55</v>
      </c>
      <c r="G53" s="50"/>
      <c r="H53" s="50">
        <v>100.0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27"/>
      <c r="X53" s="27"/>
    </row>
    <row r="54" ht="15.75" customHeight="1">
      <c r="A54" s="35"/>
      <c r="B54" s="44" t="s">
        <v>402</v>
      </c>
      <c r="C54" s="54" t="s">
        <v>394</v>
      </c>
      <c r="D54" s="48">
        <f>5500/4</f>
        <v>1375</v>
      </c>
      <c r="E54" s="55">
        <v>5500.0</v>
      </c>
      <c r="F54" s="50" t="s">
        <v>55</v>
      </c>
      <c r="G54" s="50"/>
      <c r="H54" s="50"/>
      <c r="I54" s="50">
        <v>4.0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27"/>
      <c r="X54" s="27"/>
    </row>
    <row r="55" ht="15.75" customHeight="1">
      <c r="A55" s="35"/>
      <c r="B55" s="44" t="s">
        <v>403</v>
      </c>
      <c r="C55" s="54" t="s">
        <v>404</v>
      </c>
      <c r="D55" s="48">
        <f>7200/4</f>
        <v>1800</v>
      </c>
      <c r="E55" s="55">
        <v>7200.0</v>
      </c>
      <c r="F55" s="50" t="s">
        <v>55</v>
      </c>
      <c r="G55" s="50"/>
      <c r="H55" s="50"/>
      <c r="I55" s="50">
        <v>4.0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27"/>
      <c r="X55" s="27"/>
    </row>
    <row r="56" ht="15.75" customHeight="1">
      <c r="A56" s="35"/>
      <c r="B56" s="44" t="s">
        <v>405</v>
      </c>
      <c r="C56" s="54" t="s">
        <v>101</v>
      </c>
      <c r="D56" s="48">
        <f>8000/6</f>
        <v>1333.333333</v>
      </c>
      <c r="E56" s="55">
        <v>8000.0</v>
      </c>
      <c r="F56" s="50" t="s">
        <v>55</v>
      </c>
      <c r="G56" s="50"/>
      <c r="H56" s="50"/>
      <c r="I56" s="50">
        <v>6.0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27"/>
      <c r="X56" s="27"/>
    </row>
    <row r="57" ht="15.75" customHeight="1">
      <c r="A57" s="35"/>
      <c r="B57" s="44" t="s">
        <v>406</v>
      </c>
      <c r="C57" s="54" t="s">
        <v>407</v>
      </c>
      <c r="D57" s="48">
        <f>280/10</f>
        <v>28</v>
      </c>
      <c r="E57" s="55">
        <v>280.0</v>
      </c>
      <c r="F57" s="50" t="s">
        <v>55</v>
      </c>
      <c r="G57" s="50"/>
      <c r="H57" s="50"/>
      <c r="I57" s="50">
        <v>10.0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27"/>
      <c r="X57" s="27"/>
    </row>
    <row r="58" ht="15.75" customHeight="1">
      <c r="A58" s="35"/>
      <c r="B58" s="44" t="s">
        <v>408</v>
      </c>
      <c r="C58" s="54" t="s">
        <v>409</v>
      </c>
      <c r="D58" s="48">
        <f>2100/6</f>
        <v>350</v>
      </c>
      <c r="E58" s="55">
        <v>2100.0</v>
      </c>
      <c r="F58" s="50" t="s">
        <v>55</v>
      </c>
      <c r="G58" s="50"/>
      <c r="H58" s="50"/>
      <c r="I58" s="50"/>
      <c r="J58" s="50">
        <v>6.0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27"/>
      <c r="X58" s="27"/>
    </row>
    <row r="59" ht="15.75" customHeight="1">
      <c r="A59" s="35"/>
      <c r="B59" s="44" t="s">
        <v>410</v>
      </c>
      <c r="C59" s="54" t="s">
        <v>79</v>
      </c>
      <c r="D59" s="48">
        <f>3000/10</f>
        <v>300</v>
      </c>
      <c r="E59" s="55">
        <v>3000.0</v>
      </c>
      <c r="F59" s="50" t="s">
        <v>55</v>
      </c>
      <c r="G59" s="50"/>
      <c r="H59" s="50"/>
      <c r="I59" s="50"/>
      <c r="J59" s="50">
        <v>10.0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27"/>
      <c r="X59" s="27"/>
    </row>
    <row r="60" ht="15.75" customHeight="1">
      <c r="A60" s="35"/>
      <c r="B60" s="44" t="s">
        <v>411</v>
      </c>
      <c r="C60" s="54" t="s">
        <v>409</v>
      </c>
      <c r="D60" s="48">
        <f>2400/6</f>
        <v>400</v>
      </c>
      <c r="E60" s="55">
        <v>2400.0</v>
      </c>
      <c r="F60" s="50" t="s">
        <v>55</v>
      </c>
      <c r="G60" s="50"/>
      <c r="H60" s="50"/>
      <c r="I60" s="50"/>
      <c r="J60" s="50">
        <v>6.0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27"/>
      <c r="X60" s="27"/>
    </row>
    <row r="61" ht="15.75" hidden="1" customHeight="1">
      <c r="A61" s="35"/>
      <c r="B61" s="44"/>
      <c r="C61" s="54"/>
      <c r="D61" s="48"/>
      <c r="E61" s="55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27"/>
      <c r="X61" s="27"/>
    </row>
    <row r="62" ht="15.75" hidden="1" customHeight="1">
      <c r="A62" s="35"/>
      <c r="B62" s="44"/>
      <c r="C62" s="54"/>
      <c r="D62" s="48"/>
      <c r="E62" s="55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27"/>
      <c r="X62" s="27"/>
    </row>
    <row r="63" ht="15.75" hidden="1" customHeight="1">
      <c r="A63" s="35"/>
      <c r="B63" s="44"/>
      <c r="C63" s="54"/>
      <c r="D63" s="48"/>
      <c r="E63" s="55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27"/>
      <c r="X63" s="27"/>
    </row>
    <row r="64" ht="15.75" hidden="1" customHeight="1">
      <c r="A64" s="35"/>
      <c r="B64" s="44"/>
      <c r="C64" s="54"/>
      <c r="D64" s="48"/>
      <c r="E64" s="55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27"/>
      <c r="X64" s="27"/>
    </row>
    <row r="65" ht="15.75" hidden="1" customHeight="1">
      <c r="A65" s="35"/>
      <c r="B65" s="44"/>
      <c r="C65" s="54"/>
      <c r="D65" s="48"/>
      <c r="E65" s="55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27"/>
      <c r="X65" s="27"/>
    </row>
    <row r="66" ht="15.75" hidden="1" customHeight="1">
      <c r="A66" s="35"/>
      <c r="B66" s="44"/>
      <c r="C66" s="54"/>
      <c r="D66" s="48"/>
      <c r="E66" s="55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27"/>
      <c r="X66" s="27"/>
    </row>
    <row r="67" ht="15.75" hidden="1" customHeight="1">
      <c r="A67" s="66"/>
      <c r="B67" s="67"/>
      <c r="C67" s="175"/>
      <c r="D67" s="176"/>
      <c r="E67" s="7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27"/>
      <c r="X67" s="27"/>
    </row>
    <row r="68" ht="15.75" hidden="1" customHeight="1">
      <c r="A68" s="35"/>
      <c r="B68" s="36" t="s">
        <v>93</v>
      </c>
      <c r="C68" s="68"/>
      <c r="D68" s="476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27"/>
      <c r="X68" s="27"/>
    </row>
    <row r="69" ht="15.75" hidden="1" customHeight="1">
      <c r="A69" s="35"/>
      <c r="B69" s="44"/>
      <c r="C69" s="54"/>
      <c r="D69" s="48"/>
      <c r="E69" s="55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27"/>
      <c r="X69" s="27"/>
    </row>
    <row r="70" ht="15.75" hidden="1" customHeight="1">
      <c r="A70" s="35"/>
      <c r="B70" s="44"/>
      <c r="C70" s="54"/>
      <c r="D70" s="48"/>
      <c r="E70" s="55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27"/>
      <c r="X70" s="27"/>
    </row>
    <row r="71" ht="15.75" hidden="1" customHeight="1">
      <c r="A71" s="35"/>
      <c r="B71" s="44"/>
      <c r="C71" s="54"/>
      <c r="D71" s="48"/>
      <c r="E71" s="55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27"/>
      <c r="X71" s="27"/>
    </row>
    <row r="72" ht="15.75" hidden="1" customHeight="1">
      <c r="A72" s="35"/>
      <c r="B72" s="44"/>
      <c r="C72" s="54"/>
      <c r="D72" s="48"/>
      <c r="E72" s="55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27"/>
      <c r="X72" s="27"/>
    </row>
    <row r="73" ht="15.75" hidden="1" customHeight="1">
      <c r="A73" s="35"/>
      <c r="B73" s="36" t="s">
        <v>94</v>
      </c>
      <c r="C73" s="68"/>
      <c r="D73" s="476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27"/>
      <c r="X73" s="27"/>
    </row>
    <row r="74" ht="15.75" hidden="1" customHeight="1">
      <c r="A74" s="35"/>
      <c r="B74" s="44"/>
      <c r="C74" s="54"/>
      <c r="D74" s="48"/>
      <c r="E74" s="55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27"/>
      <c r="X74" s="27"/>
    </row>
    <row r="75" ht="15.75" hidden="1" customHeight="1">
      <c r="A75" s="35"/>
      <c r="B75" s="44"/>
      <c r="C75" s="54"/>
      <c r="D75" s="48"/>
      <c r="E75" s="55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27"/>
      <c r="X75" s="27"/>
    </row>
    <row r="76" ht="15.75" hidden="1" customHeight="1">
      <c r="A76" s="35"/>
      <c r="B76" s="44"/>
      <c r="C76" s="54"/>
      <c r="D76" s="48"/>
      <c r="E76" s="55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27"/>
      <c r="X76" s="27"/>
    </row>
    <row r="77" ht="15.75" customHeight="1">
      <c r="A77" s="66"/>
      <c r="B77" s="93" t="s">
        <v>114</v>
      </c>
      <c r="C77" s="94"/>
      <c r="D77" s="94"/>
      <c r="E77" s="94"/>
      <c r="F77" s="94"/>
      <c r="G77" s="94"/>
      <c r="H77" s="94"/>
      <c r="I77" s="95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27"/>
      <c r="X77" s="27"/>
    </row>
    <row r="78" ht="15.75" customHeight="1">
      <c r="A78" s="96"/>
      <c r="B78" s="97"/>
      <c r="C78" s="2"/>
      <c r="D78" s="14"/>
      <c r="E78" s="98"/>
      <c r="F78" s="16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99" t="s">
        <v>115</v>
      </c>
      <c r="B79" s="6"/>
      <c r="C79" s="100">
        <v>247155.0</v>
      </c>
      <c r="F79" s="16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hidden="1" customHeight="1">
      <c r="A80" s="101" t="s">
        <v>116</v>
      </c>
      <c r="B80" s="102"/>
      <c r="C80" s="103">
        <f>PRODUCT(C79,0.1)</f>
        <v>24715.5</v>
      </c>
      <c r="D80" s="104"/>
      <c r="E80" s="105"/>
      <c r="F80" s="16"/>
      <c r="G80" s="16"/>
      <c r="H80" s="106"/>
      <c r="J80" s="106"/>
      <c r="U80" s="106"/>
      <c r="V80" s="2"/>
      <c r="W80" s="2"/>
      <c r="X80" s="2"/>
    </row>
    <row r="81" ht="15.75" hidden="1" customHeight="1">
      <c r="A81" s="107" t="s">
        <v>117</v>
      </c>
      <c r="B81" s="108"/>
      <c r="C81" s="109">
        <f>PRODUCT(C79,0.1)</f>
        <v>24715.5</v>
      </c>
      <c r="D81" s="94"/>
      <c r="E81" s="95"/>
      <c r="F81" s="16"/>
      <c r="G81" s="16"/>
      <c r="H81" s="111"/>
      <c r="I81" s="111"/>
      <c r="J81" s="112"/>
      <c r="U81" s="112"/>
      <c r="V81" s="2"/>
      <c r="W81" s="2"/>
      <c r="X81" s="2"/>
    </row>
    <row r="82" ht="15.75" hidden="1" customHeight="1">
      <c r="A82" s="107" t="s">
        <v>118</v>
      </c>
      <c r="B82" s="108"/>
      <c r="C82" s="109">
        <f>SUM(C79:E81)</f>
        <v>296586</v>
      </c>
      <c r="D82" s="94"/>
      <c r="E82" s="95"/>
      <c r="F82" s="16"/>
      <c r="G82" s="16"/>
      <c r="H82" s="111"/>
      <c r="I82" s="111"/>
      <c r="J82" s="112"/>
      <c r="U82" s="112"/>
      <c r="V82" s="2"/>
      <c r="W82" s="2"/>
      <c r="X82" s="2"/>
    </row>
    <row r="83" ht="15.75" customHeight="1">
      <c r="A83" s="113"/>
      <c r="B83" s="6"/>
      <c r="C83" s="2"/>
      <c r="D83" s="14"/>
      <c r="E83" s="15"/>
      <c r="F83" s="16"/>
      <c r="G83" s="16"/>
      <c r="H83" s="111"/>
      <c r="I83" s="111"/>
      <c r="J83" s="112"/>
      <c r="U83" s="112"/>
      <c r="V83" s="2"/>
      <c r="W83" s="2"/>
      <c r="X83" s="2"/>
    </row>
    <row r="84" ht="15.75" customHeight="1">
      <c r="A84" s="114" t="s">
        <v>119</v>
      </c>
      <c r="B84" s="6"/>
      <c r="C84" s="2"/>
      <c r="D84" s="14"/>
      <c r="E84" s="15"/>
      <c r="F84" s="16"/>
      <c r="G84" s="1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15"/>
      <c r="B85" s="6"/>
      <c r="C85" s="2"/>
      <c r="D85" s="14"/>
      <c r="E85" s="15"/>
      <c r="F85" s="16"/>
      <c r="G85" s="1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116" t="s">
        <v>120</v>
      </c>
      <c r="B86" s="97"/>
      <c r="C86" s="117" t="s">
        <v>121</v>
      </c>
      <c r="F86" s="111"/>
      <c r="G86" s="111"/>
      <c r="H86" s="2"/>
      <c r="I86" s="117" t="s">
        <v>122</v>
      </c>
      <c r="O86" s="2"/>
      <c r="P86" s="2"/>
      <c r="Q86" s="117" t="s">
        <v>123</v>
      </c>
      <c r="U86" s="2"/>
      <c r="V86" s="2"/>
      <c r="X86" s="111"/>
    </row>
    <row r="87" ht="15.75" customHeight="1">
      <c r="A87" s="116"/>
      <c r="B87" s="97"/>
      <c r="C87" s="117"/>
      <c r="D87" s="120"/>
      <c r="E87" s="117"/>
      <c r="F87" s="111"/>
      <c r="G87" s="111"/>
      <c r="H87" s="2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1"/>
      <c r="X87" s="111"/>
    </row>
    <row r="88" ht="15.75" customHeight="1">
      <c r="A88" s="97"/>
      <c r="B88" s="97"/>
      <c r="C88" s="111"/>
      <c r="D88" s="123"/>
      <c r="E88" s="124"/>
      <c r="F88" s="111"/>
      <c r="G88" s="111"/>
      <c r="H88" s="2"/>
      <c r="I88" s="111"/>
      <c r="J88" s="124"/>
      <c r="K88" s="124"/>
      <c r="L88" s="124"/>
      <c r="M88" s="124"/>
      <c r="N88" s="124"/>
      <c r="O88" s="124"/>
      <c r="P88" s="124"/>
      <c r="Q88" s="111"/>
      <c r="R88" s="124"/>
      <c r="S88" s="111"/>
      <c r="T88" s="111"/>
      <c r="U88" s="111"/>
      <c r="V88" s="111"/>
      <c r="W88" s="111"/>
      <c r="X88" s="111"/>
    </row>
    <row r="89" ht="15.75" customHeight="1">
      <c r="A89" s="125" t="s">
        <v>124</v>
      </c>
      <c r="C89" s="126" t="s">
        <v>125</v>
      </c>
      <c r="G89" s="2"/>
      <c r="H89" s="2"/>
      <c r="I89" s="126" t="s">
        <v>126</v>
      </c>
      <c r="O89" s="2"/>
      <c r="P89" s="2"/>
      <c r="Q89" s="126" t="s">
        <v>127</v>
      </c>
      <c r="U89" s="2"/>
      <c r="V89" s="2"/>
    </row>
    <row r="90" ht="15.0" customHeight="1">
      <c r="A90" s="127" t="s">
        <v>128</v>
      </c>
      <c r="C90" s="128" t="s">
        <v>129</v>
      </c>
      <c r="G90" s="129"/>
      <c r="H90" s="2"/>
      <c r="I90" s="130" t="s">
        <v>130</v>
      </c>
      <c r="O90" s="2"/>
      <c r="P90" s="2"/>
      <c r="Q90" s="128" t="s">
        <v>131</v>
      </c>
      <c r="U90" s="2"/>
      <c r="V90" s="2"/>
      <c r="W90" s="111"/>
      <c r="X90" s="111"/>
    </row>
    <row r="91" ht="15.75" customHeight="1">
      <c r="A91" s="2"/>
      <c r="B91" s="2"/>
      <c r="C91" s="2"/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 t="s">
        <v>132</v>
      </c>
      <c r="B92" s="2"/>
      <c r="C92" s="2" t="s">
        <v>132</v>
      </c>
      <c r="D92" s="14"/>
      <c r="E92" s="2"/>
      <c r="F92" s="2"/>
      <c r="G92" s="2"/>
      <c r="H92" s="2"/>
      <c r="I92" s="2" t="s">
        <v>132</v>
      </c>
      <c r="J92" s="2"/>
      <c r="K92" s="2"/>
      <c r="L92" s="2"/>
      <c r="M92" s="2"/>
      <c r="N92" s="2"/>
      <c r="O92" s="2"/>
      <c r="P92" s="2"/>
      <c r="Q92" s="2" t="s">
        <v>132</v>
      </c>
      <c r="R92" s="2"/>
      <c r="S92" s="2"/>
      <c r="T92" s="2"/>
      <c r="U92" s="2"/>
      <c r="V92" s="2"/>
      <c r="W92" s="2"/>
      <c r="X92" s="2"/>
    </row>
    <row r="93" ht="15.75" customHeight="1">
      <c r="D93" s="133"/>
      <c r="H93" s="134"/>
    </row>
    <row r="94" ht="15.75" customHeight="1">
      <c r="D94" s="133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</row>
    <row r="95" ht="15.75" customHeight="1">
      <c r="D95" s="133"/>
      <c r="H95" s="487"/>
      <c r="I95" s="137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</row>
    <row r="96" ht="15.75" customHeight="1">
      <c r="D96" s="133"/>
      <c r="H96" s="139"/>
    </row>
    <row r="97" ht="15.75" customHeight="1">
      <c r="D97" s="133"/>
      <c r="H97" s="140"/>
    </row>
    <row r="98" ht="15.75" customHeight="1">
      <c r="D98" s="133"/>
    </row>
    <row r="99" ht="15.75" customHeight="1">
      <c r="D99" s="133"/>
    </row>
    <row r="100" ht="15.75" customHeight="1">
      <c r="D100" s="133"/>
    </row>
    <row r="101" ht="15.75" customHeight="1">
      <c r="D101" s="133"/>
    </row>
    <row r="102" ht="15.75" customHeight="1">
      <c r="D102" s="133"/>
    </row>
    <row r="103" ht="15.75" customHeight="1">
      <c r="D103" s="133"/>
    </row>
    <row r="104" ht="15.75" customHeight="1">
      <c r="D104" s="133"/>
    </row>
    <row r="105" ht="15.75" customHeight="1">
      <c r="D105" s="133"/>
    </row>
    <row r="106" ht="15.75" customHeight="1">
      <c r="D106" s="133"/>
    </row>
    <row r="107" ht="15.75" customHeight="1">
      <c r="D107" s="133"/>
    </row>
    <row r="108" ht="15.75" customHeight="1">
      <c r="D108" s="133"/>
    </row>
    <row r="109" ht="15.75" customHeight="1">
      <c r="D109" s="133"/>
    </row>
    <row r="110" ht="15.75" customHeight="1">
      <c r="D110" s="133"/>
    </row>
    <row r="111" ht="15.75" customHeight="1">
      <c r="D111" s="133"/>
    </row>
    <row r="112" ht="15.75" customHeight="1">
      <c r="D112" s="133"/>
    </row>
    <row r="113" ht="15.75" customHeight="1">
      <c r="D113" s="133"/>
    </row>
    <row r="114" ht="15.75" customHeight="1">
      <c r="D114" s="133"/>
    </row>
    <row r="115" ht="15.75" customHeight="1">
      <c r="D115" s="133"/>
    </row>
    <row r="116" ht="15.75" customHeight="1">
      <c r="D116" s="133"/>
    </row>
    <row r="117" ht="15.75" customHeight="1">
      <c r="D117" s="133"/>
    </row>
    <row r="118" ht="15.75" customHeight="1">
      <c r="D118" s="133"/>
    </row>
    <row r="119" ht="15.75" customHeight="1">
      <c r="D119" s="133"/>
    </row>
    <row r="120" ht="15.75" customHeight="1">
      <c r="D120" s="133"/>
    </row>
    <row r="121" ht="15.75" customHeight="1">
      <c r="D121" s="133"/>
    </row>
    <row r="122" ht="15.75" customHeight="1">
      <c r="D122" s="133"/>
    </row>
    <row r="123" ht="15.75" customHeight="1">
      <c r="D123" s="133"/>
    </row>
    <row r="124" ht="15.75" customHeight="1">
      <c r="D124" s="133"/>
    </row>
    <row r="125" ht="15.75" customHeight="1">
      <c r="D125" s="133"/>
    </row>
    <row r="126" ht="15.75" customHeight="1">
      <c r="D126" s="133"/>
    </row>
    <row r="127" ht="15.75" customHeight="1">
      <c r="D127" s="133"/>
    </row>
    <row r="128" ht="15.75" customHeight="1">
      <c r="D128" s="133"/>
    </row>
    <row r="129" ht="15.75" customHeight="1">
      <c r="D129" s="133"/>
    </row>
    <row r="130" ht="15.75" customHeight="1">
      <c r="D130" s="133"/>
    </row>
    <row r="131" ht="15.75" customHeight="1">
      <c r="D131" s="133"/>
    </row>
    <row r="132" ht="15.75" customHeight="1">
      <c r="D132" s="133"/>
    </row>
    <row r="133" ht="15.75" customHeight="1">
      <c r="D133" s="133"/>
    </row>
    <row r="134" ht="15.75" customHeight="1">
      <c r="D134" s="133"/>
    </row>
    <row r="135" ht="15.75" customHeight="1">
      <c r="D135" s="133"/>
    </row>
    <row r="136" ht="15.75" customHeight="1">
      <c r="D136" s="133"/>
    </row>
    <row r="137" ht="15.75" customHeight="1">
      <c r="D137" s="133"/>
    </row>
    <row r="138" ht="15.75" customHeight="1">
      <c r="D138" s="133"/>
    </row>
    <row r="139" ht="15.75" customHeight="1">
      <c r="D139" s="133"/>
    </row>
    <row r="140" ht="15.75" customHeight="1">
      <c r="D140" s="133"/>
    </row>
    <row r="141" ht="15.75" customHeight="1">
      <c r="D141" s="133"/>
    </row>
    <row r="142" ht="15.75" customHeight="1">
      <c r="D142" s="133"/>
    </row>
    <row r="143" ht="15.75" customHeight="1">
      <c r="D143" s="133"/>
    </row>
    <row r="144" ht="15.75" customHeight="1">
      <c r="D144" s="133"/>
    </row>
    <row r="145" ht="15.75" customHeight="1">
      <c r="D145" s="133"/>
    </row>
    <row r="146" ht="15.75" customHeight="1">
      <c r="D146" s="133"/>
    </row>
    <row r="147" ht="15.75" customHeight="1">
      <c r="D147" s="133"/>
    </row>
    <row r="148" ht="15.75" customHeight="1">
      <c r="D148" s="133"/>
    </row>
    <row r="149" ht="15.75" customHeight="1">
      <c r="D149" s="133"/>
    </row>
    <row r="150" ht="15.75" customHeight="1">
      <c r="D150" s="133"/>
    </row>
    <row r="151" ht="15.75" customHeight="1">
      <c r="D151" s="133"/>
    </row>
    <row r="152" ht="15.75" customHeight="1">
      <c r="D152" s="133"/>
    </row>
    <row r="153" ht="15.75" customHeight="1">
      <c r="D153" s="133"/>
    </row>
    <row r="154" ht="15.75" customHeight="1">
      <c r="D154" s="133"/>
    </row>
    <row r="155" ht="15.75" customHeight="1">
      <c r="D155" s="133"/>
    </row>
    <row r="156" ht="15.75" customHeight="1">
      <c r="D156" s="133"/>
    </row>
    <row r="157" ht="15.75" customHeight="1">
      <c r="D157" s="133"/>
    </row>
    <row r="158" ht="15.75" customHeight="1">
      <c r="D158" s="133"/>
    </row>
    <row r="159" ht="15.75" customHeight="1">
      <c r="D159" s="133"/>
    </row>
    <row r="160" ht="15.75" customHeight="1">
      <c r="D160" s="133"/>
    </row>
    <row r="161" ht="15.75" customHeight="1">
      <c r="D161" s="133"/>
    </row>
    <row r="162" ht="15.75" customHeight="1">
      <c r="D162" s="133"/>
    </row>
    <row r="163" ht="15.75" customHeight="1">
      <c r="D163" s="133"/>
    </row>
    <row r="164" ht="15.75" customHeight="1">
      <c r="D164" s="133"/>
    </row>
    <row r="165" ht="15.75" customHeight="1">
      <c r="D165" s="133"/>
    </row>
    <row r="166" ht="15.75" customHeight="1">
      <c r="D166" s="133"/>
    </row>
    <row r="167" ht="15.75" customHeight="1">
      <c r="D167" s="133"/>
    </row>
    <row r="168" ht="15.75" customHeight="1">
      <c r="D168" s="133"/>
    </row>
    <row r="169" ht="15.75" customHeight="1">
      <c r="D169" s="133"/>
    </row>
    <row r="170" ht="15.75" customHeight="1">
      <c r="D170" s="133"/>
    </row>
    <row r="171" ht="15.75" customHeight="1">
      <c r="D171" s="133"/>
    </row>
    <row r="172" ht="15.75" customHeight="1">
      <c r="D172" s="133"/>
    </row>
    <row r="173" ht="15.75" customHeight="1">
      <c r="D173" s="133"/>
    </row>
    <row r="174" ht="15.75" customHeight="1">
      <c r="D174" s="133"/>
    </row>
    <row r="175" ht="15.75" customHeight="1">
      <c r="D175" s="133"/>
    </row>
    <row r="176" ht="15.75" customHeight="1">
      <c r="D176" s="133"/>
    </row>
    <row r="177" ht="15.75" customHeight="1">
      <c r="D177" s="133"/>
    </row>
    <row r="178" ht="15.75" customHeight="1">
      <c r="D178" s="133"/>
    </row>
    <row r="179" ht="15.75" customHeight="1">
      <c r="D179" s="133"/>
    </row>
    <row r="180" ht="15.75" customHeight="1">
      <c r="D180" s="133"/>
    </row>
    <row r="181" ht="15.75" customHeight="1">
      <c r="D181" s="133"/>
    </row>
    <row r="182" ht="15.75" customHeight="1">
      <c r="D182" s="133"/>
    </row>
    <row r="183" ht="15.75" customHeight="1">
      <c r="D183" s="133"/>
    </row>
    <row r="184" ht="15.75" customHeight="1">
      <c r="D184" s="133"/>
    </row>
    <row r="185" ht="15.75" customHeight="1">
      <c r="D185" s="133"/>
    </row>
    <row r="186" ht="15.75" customHeight="1">
      <c r="D186" s="133"/>
    </row>
    <row r="187" ht="15.75" customHeight="1">
      <c r="D187" s="133"/>
    </row>
    <row r="188" ht="15.75" customHeight="1">
      <c r="D188" s="133"/>
    </row>
    <row r="189" ht="15.75" customHeight="1">
      <c r="D189" s="133"/>
    </row>
    <row r="190" ht="15.75" customHeight="1">
      <c r="D190" s="133"/>
    </row>
    <row r="191" ht="15.75" customHeight="1">
      <c r="D191" s="133"/>
    </row>
    <row r="192" ht="15.75" customHeight="1">
      <c r="D192" s="133"/>
    </row>
    <row r="193" ht="15.75" customHeight="1">
      <c r="D193" s="133"/>
    </row>
    <row r="194" ht="15.75" customHeight="1">
      <c r="D194" s="133"/>
    </row>
    <row r="195" ht="15.75" customHeight="1">
      <c r="D195" s="133"/>
    </row>
    <row r="196" ht="15.75" customHeight="1">
      <c r="D196" s="133"/>
    </row>
    <row r="197" ht="15.75" customHeight="1">
      <c r="D197" s="133"/>
    </row>
    <row r="198" ht="15.75" customHeight="1">
      <c r="D198" s="133"/>
    </row>
    <row r="199" ht="15.75" customHeight="1">
      <c r="D199" s="133"/>
    </row>
    <row r="200" ht="15.75" customHeight="1">
      <c r="D200" s="133"/>
    </row>
    <row r="201" ht="15.75" customHeight="1">
      <c r="D201" s="133"/>
    </row>
    <row r="202" ht="15.75" customHeight="1">
      <c r="D202" s="133"/>
    </row>
    <row r="203" ht="15.75" customHeight="1">
      <c r="D203" s="133"/>
    </row>
    <row r="204" ht="15.75" customHeight="1">
      <c r="D204" s="133"/>
    </row>
    <row r="205" ht="15.75" customHeight="1">
      <c r="D205" s="133"/>
    </row>
    <row r="206" ht="15.75" customHeight="1">
      <c r="D206" s="133"/>
    </row>
    <row r="207" ht="15.75" customHeight="1">
      <c r="D207" s="133"/>
    </row>
    <row r="208" ht="15.75" customHeight="1">
      <c r="D208" s="133"/>
    </row>
    <row r="209" ht="15.75" customHeight="1">
      <c r="D209" s="133"/>
    </row>
    <row r="210" ht="15.75" customHeight="1">
      <c r="D210" s="133"/>
    </row>
    <row r="211" ht="15.75" customHeight="1">
      <c r="D211" s="133"/>
    </row>
    <row r="212" ht="15.75" customHeight="1">
      <c r="D212" s="133"/>
    </row>
    <row r="213" ht="15.75" customHeight="1">
      <c r="D213" s="133"/>
    </row>
    <row r="214" ht="15.75" customHeight="1">
      <c r="D214" s="133"/>
    </row>
    <row r="215" ht="15.75" customHeight="1">
      <c r="D215" s="133"/>
    </row>
    <row r="216" ht="15.75" customHeight="1">
      <c r="D216" s="133"/>
    </row>
    <row r="217" ht="15.75" customHeight="1">
      <c r="D217" s="133"/>
    </row>
    <row r="218" ht="15.75" customHeight="1">
      <c r="D218" s="133"/>
    </row>
    <row r="219" ht="15.75" customHeight="1">
      <c r="D219" s="133"/>
    </row>
    <row r="220" ht="15.75" customHeight="1">
      <c r="D220" s="133"/>
    </row>
    <row r="221" ht="15.75" customHeight="1">
      <c r="D221" s="133"/>
    </row>
    <row r="222" ht="15.75" customHeight="1">
      <c r="D222" s="133"/>
    </row>
    <row r="223" ht="15.75" customHeight="1">
      <c r="D223" s="133"/>
    </row>
    <row r="224" ht="15.75" customHeight="1">
      <c r="D224" s="133"/>
    </row>
    <row r="225" ht="15.75" customHeight="1">
      <c r="D225" s="133"/>
    </row>
    <row r="226" ht="15.75" customHeight="1">
      <c r="D226" s="133"/>
    </row>
    <row r="227" ht="15.75" customHeight="1">
      <c r="D227" s="133"/>
    </row>
    <row r="228" ht="15.75" customHeight="1">
      <c r="D228" s="133"/>
    </row>
    <row r="229" ht="15.75" customHeight="1">
      <c r="D229" s="133"/>
    </row>
    <row r="230" ht="15.75" customHeight="1">
      <c r="D230" s="133"/>
    </row>
    <row r="231" ht="15.75" customHeight="1">
      <c r="D231" s="133"/>
    </row>
    <row r="232" ht="15.75" customHeight="1">
      <c r="D232" s="133"/>
    </row>
    <row r="233" ht="15.75" customHeight="1">
      <c r="D233" s="133"/>
    </row>
    <row r="234" ht="15.75" customHeight="1">
      <c r="D234" s="133"/>
    </row>
    <row r="235" ht="15.75" customHeight="1">
      <c r="D235" s="133"/>
    </row>
    <row r="236" ht="15.75" customHeight="1">
      <c r="D236" s="133"/>
    </row>
    <row r="237" ht="15.75" customHeight="1">
      <c r="D237" s="133"/>
    </row>
    <row r="238" ht="15.75" customHeight="1">
      <c r="D238" s="133"/>
    </row>
    <row r="239" ht="15.75" customHeight="1">
      <c r="D239" s="133"/>
    </row>
    <row r="240" ht="15.75" customHeight="1">
      <c r="D240" s="133"/>
    </row>
    <row r="241" ht="15.75" customHeight="1">
      <c r="D241" s="133"/>
    </row>
    <row r="242" ht="15.75" customHeight="1">
      <c r="D242" s="133"/>
    </row>
    <row r="243" ht="15.75" customHeight="1">
      <c r="D243" s="133"/>
    </row>
    <row r="244" ht="15.75" customHeight="1">
      <c r="D244" s="133"/>
    </row>
    <row r="245" ht="15.75" customHeight="1">
      <c r="D245" s="133"/>
    </row>
    <row r="246" ht="15.75" customHeight="1">
      <c r="D246" s="133"/>
    </row>
    <row r="247" ht="15.75" customHeight="1">
      <c r="D247" s="133"/>
    </row>
    <row r="248" ht="15.75" customHeight="1">
      <c r="D248" s="133"/>
    </row>
    <row r="249" ht="15.75" customHeight="1">
      <c r="D249" s="133"/>
    </row>
    <row r="250" ht="15.75" customHeight="1">
      <c r="D250" s="133"/>
    </row>
    <row r="251" ht="15.75" customHeight="1">
      <c r="D251" s="133"/>
    </row>
    <row r="252" ht="15.75" customHeight="1">
      <c r="D252" s="133"/>
    </row>
    <row r="253" ht="15.75" customHeight="1">
      <c r="D253" s="133"/>
    </row>
    <row r="254" ht="15.75" customHeight="1">
      <c r="D254" s="133"/>
    </row>
    <row r="255" ht="15.75" customHeight="1">
      <c r="D255" s="133"/>
    </row>
    <row r="256" ht="15.75" customHeight="1">
      <c r="D256" s="133"/>
    </row>
    <row r="257" ht="15.75" customHeight="1">
      <c r="D257" s="133"/>
    </row>
    <row r="258" ht="15.75" customHeight="1">
      <c r="D258" s="133"/>
    </row>
    <row r="259" ht="15.75" customHeight="1">
      <c r="D259" s="133"/>
    </row>
    <row r="260" ht="15.75" customHeight="1">
      <c r="D260" s="133"/>
    </row>
    <row r="261" ht="15.75" customHeight="1">
      <c r="D261" s="133"/>
    </row>
    <row r="262" ht="15.75" customHeight="1">
      <c r="D262" s="133"/>
    </row>
    <row r="263" ht="15.75" customHeight="1">
      <c r="D263" s="133"/>
    </row>
    <row r="264" ht="15.75" customHeight="1">
      <c r="D264" s="133"/>
    </row>
    <row r="265" ht="15.75" customHeight="1">
      <c r="D265" s="133"/>
    </row>
    <row r="266" ht="15.75" customHeight="1">
      <c r="D266" s="133"/>
    </row>
    <row r="267" ht="15.75" customHeight="1">
      <c r="D267" s="133"/>
    </row>
    <row r="268" ht="15.75" customHeight="1">
      <c r="D268" s="133"/>
    </row>
    <row r="269" ht="15.75" customHeight="1">
      <c r="D269" s="133"/>
    </row>
    <row r="270" ht="15.75" customHeight="1">
      <c r="D270" s="133"/>
    </row>
    <row r="271" ht="15.75" customHeight="1">
      <c r="D271" s="133"/>
    </row>
    <row r="272" ht="15.75" customHeight="1">
      <c r="D272" s="133"/>
    </row>
    <row r="273" ht="15.75" customHeight="1">
      <c r="D273" s="133"/>
    </row>
    <row r="274" ht="15.75" customHeight="1">
      <c r="D274" s="133"/>
    </row>
    <row r="275" ht="15.75" customHeight="1">
      <c r="D275" s="133"/>
    </row>
    <row r="276" ht="15.75" customHeight="1">
      <c r="D276" s="133"/>
    </row>
    <row r="277" ht="15.75" customHeight="1">
      <c r="D277" s="133"/>
    </row>
    <row r="278" ht="15.75" customHeight="1">
      <c r="D278" s="133"/>
    </row>
    <row r="279" ht="15.75" customHeight="1">
      <c r="D279" s="133"/>
    </row>
    <row r="280" ht="15.75" customHeight="1">
      <c r="D280" s="133"/>
    </row>
    <row r="281" ht="15.75" customHeight="1">
      <c r="D281" s="133"/>
    </row>
    <row r="282" ht="15.75" customHeight="1">
      <c r="D282" s="133"/>
    </row>
    <row r="283" ht="15.75" customHeight="1">
      <c r="D283" s="133"/>
    </row>
    <row r="284" ht="15.75" customHeight="1">
      <c r="D284" s="133"/>
    </row>
    <row r="285" ht="15.75" customHeight="1">
      <c r="D285" s="133"/>
    </row>
    <row r="286" ht="15.75" customHeight="1">
      <c r="D286" s="133"/>
    </row>
    <row r="287" ht="15.75" customHeight="1">
      <c r="D287" s="133"/>
    </row>
    <row r="288" ht="15.75" customHeight="1">
      <c r="D288" s="133"/>
    </row>
    <row r="289" ht="15.75" customHeight="1">
      <c r="D289" s="133"/>
    </row>
    <row r="290" ht="15.75" customHeight="1">
      <c r="D290" s="133"/>
    </row>
    <row r="291" ht="15.75" customHeight="1">
      <c r="D291" s="133"/>
    </row>
    <row r="292" ht="15.75" customHeight="1">
      <c r="D292" s="133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V1"/>
    <mergeCell ref="A2:V2"/>
    <mergeCell ref="A3:V3"/>
    <mergeCell ref="A8:A9"/>
    <mergeCell ref="B8:B9"/>
    <mergeCell ref="D8:D9"/>
    <mergeCell ref="E8:E9"/>
    <mergeCell ref="H8:V8"/>
    <mergeCell ref="C82:E82"/>
    <mergeCell ref="C86:E86"/>
    <mergeCell ref="A89:B89"/>
    <mergeCell ref="C89:F89"/>
    <mergeCell ref="A90:B90"/>
    <mergeCell ref="C90:F90"/>
    <mergeCell ref="F8:F9"/>
    <mergeCell ref="G8:G9"/>
    <mergeCell ref="B77:I77"/>
    <mergeCell ref="C79:E79"/>
    <mergeCell ref="C80:E80"/>
    <mergeCell ref="H80:I80"/>
    <mergeCell ref="C81:E81"/>
    <mergeCell ref="I89:N89"/>
    <mergeCell ref="Q89:T89"/>
    <mergeCell ref="V89:X89"/>
    <mergeCell ref="I90:N90"/>
    <mergeCell ref="Q90:T90"/>
    <mergeCell ref="H93:T93"/>
    <mergeCell ref="H96:T96"/>
    <mergeCell ref="H97:T97"/>
    <mergeCell ref="J80:T80"/>
    <mergeCell ref="J81:T81"/>
    <mergeCell ref="J82:T82"/>
    <mergeCell ref="J83:T83"/>
    <mergeCell ref="I86:N86"/>
    <mergeCell ref="Q86:T86"/>
    <mergeCell ref="V86:W86"/>
  </mergeCells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