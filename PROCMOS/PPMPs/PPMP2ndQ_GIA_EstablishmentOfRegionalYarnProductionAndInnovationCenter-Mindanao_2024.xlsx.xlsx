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tri\Desktop\"/>
    </mc:Choice>
  </mc:AlternateContent>
  <xr:revisionPtr revIDLastSave="0" documentId="8_{42E8EB91-E50D-45CD-8BD2-651F18124A53}" xr6:coauthVersionLast="47" xr6:coauthVersionMax="47" xr10:uidLastSave="{00000000-0000-0000-0000-000000000000}"/>
  <bookViews>
    <workbookView xWindow="-110" yWindow="-110" windowWidth="19420" windowHeight="10420" xr2:uid="{33777F96-A89B-498C-9F57-F80815FD6F66}"/>
  </bookViews>
  <sheets>
    <sheet name="2nd Quarter as of 04-24-24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102" i="1" l="1"/>
  <c r="F101" i="1"/>
  <c r="F96" i="1"/>
  <c r="F94" i="1"/>
  <c r="F92" i="1"/>
  <c r="F91" i="1"/>
  <c r="F89" i="1"/>
  <c r="F87" i="1"/>
  <c r="F86" i="1"/>
  <c r="F84" i="1"/>
  <c r="F83" i="1"/>
  <c r="F82" i="1"/>
  <c r="F81" i="1"/>
  <c r="F80" i="1"/>
  <c r="F79" i="1"/>
  <c r="F78" i="1"/>
  <c r="F75" i="1"/>
  <c r="F74" i="1"/>
  <c r="F72" i="1"/>
  <c r="F71" i="1"/>
  <c r="F69" i="1"/>
  <c r="F67" i="1"/>
  <c r="F66" i="1"/>
  <c r="F65" i="1"/>
  <c r="F64" i="1"/>
  <c r="F63" i="1"/>
  <c r="F62" i="1"/>
  <c r="F61" i="1"/>
  <c r="F60" i="1"/>
  <c r="F58" i="1"/>
  <c r="F57" i="1"/>
  <c r="F56" i="1"/>
  <c r="F54" i="1"/>
  <c r="F52" i="1"/>
  <c r="F50" i="1"/>
  <c r="F21" i="1"/>
  <c r="F18" i="1"/>
  <c r="F16" i="1"/>
  <c r="F15" i="1"/>
  <c r="F13" i="1"/>
  <c r="F12" i="1"/>
  <c r="D104" i="1" s="1"/>
  <c r="D106" i="1" l="1"/>
  <c r="D105" i="1"/>
  <c r="D107" i="1" s="1"/>
</calcChain>
</file>

<file path=xl/sharedStrings.xml><?xml version="1.0" encoding="utf-8"?>
<sst xmlns="http://schemas.openxmlformats.org/spreadsheetml/2006/main" count="325" uniqueCount="232">
  <si>
    <t xml:space="preserve">  PROJECT PROCUREMENT MANAGEMENT PLAN (PPMP) 2024</t>
  </si>
  <si>
    <t>For 2nd Quarter of CY 2024</t>
  </si>
  <si>
    <t>End-User/Unit: TSD-MPU</t>
  </si>
  <si>
    <t>Charged to: Regional Yarn Production and Innovation Center (RYPIC) - Mindanao</t>
  </si>
  <si>
    <t>Projects, Programs and Activities (PAPs)</t>
  </si>
  <si>
    <t>UACS CODE</t>
  </si>
  <si>
    <t>Stock No.</t>
  </si>
  <si>
    <t>GENERAL DESCRIPTION</t>
  </si>
  <si>
    <t>QUANTITY/</t>
  </si>
  <si>
    <t>UNIT PRICE</t>
  </si>
  <si>
    <t>ESTIMATED BUDGET</t>
  </si>
  <si>
    <t>Mode of Procurement</t>
  </si>
  <si>
    <t>DELIVERY TERM</t>
  </si>
  <si>
    <t>SCHEDULE/MILESTONE OF ACTIVITIES</t>
  </si>
  <si>
    <t>SIZE</t>
  </si>
  <si>
    <t>APR</t>
  </si>
  <si>
    <t>MAY</t>
  </si>
  <si>
    <t>JUN</t>
  </si>
  <si>
    <t>PR No. and Date</t>
  </si>
  <si>
    <t>RFQ No. and Date</t>
  </si>
  <si>
    <t>PhilGEPS Reference No. and Date</t>
  </si>
  <si>
    <t>PhilGEPS Closing Date</t>
  </si>
  <si>
    <t>AOC No. and Date</t>
  </si>
  <si>
    <t>PO No. and Date</t>
  </si>
  <si>
    <t>Name of Payee</t>
  </si>
  <si>
    <t>BURS/ORS Amount</t>
  </si>
  <si>
    <t>Budget Utilization Rate</t>
  </si>
  <si>
    <t>Conforme of PO Date</t>
  </si>
  <si>
    <t>COA Received of PO Date</t>
  </si>
  <si>
    <t>NTP Date</t>
  </si>
  <si>
    <t>Contract Effectivity Date</t>
  </si>
  <si>
    <t>End of Contract</t>
  </si>
  <si>
    <t>Extended End of Contract</t>
  </si>
  <si>
    <t>Delivery Date</t>
  </si>
  <si>
    <t>IAR No. and Date</t>
  </si>
  <si>
    <t>ICS/PAR No. and Date</t>
  </si>
  <si>
    <t>RIS No. and Date</t>
  </si>
  <si>
    <t>RSMI No. and Date</t>
  </si>
  <si>
    <t>DV Release Date</t>
  </si>
  <si>
    <t>DV Amount</t>
  </si>
  <si>
    <t>Disbursement Rate</t>
  </si>
  <si>
    <t>REMARKS</t>
  </si>
  <si>
    <t>(1)</t>
  </si>
  <si>
    <t>(2)</t>
  </si>
  <si>
    <t>(3)</t>
  </si>
  <si>
    <t>(4)</t>
  </si>
  <si>
    <t>(5)</t>
  </si>
  <si>
    <t>(6)</t>
  </si>
  <si>
    <t>(7)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</si>
  <si>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</si>
  <si>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</si>
  <si>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</si>
  <si>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</si>
  <si>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</si>
  <si>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</si>
  <si>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</si>
  <si>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</si>
  <si>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</si>
  <si>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(17)</t>
  </si>
  <si>
    <t>(18)</t>
  </si>
  <si>
    <t>(19)</t>
  </si>
  <si>
    <t>(20)</t>
  </si>
  <si>
    <t>(21)</t>
  </si>
  <si>
    <t>(22)</t>
  </si>
  <si>
    <t>(23)</t>
  </si>
  <si>
    <t>(24)</t>
  </si>
  <si>
    <t>(25)</t>
  </si>
  <si>
    <t>(26)</t>
  </si>
  <si>
    <t>(27)</t>
  </si>
  <si>
    <t>(28)</t>
  </si>
  <si>
    <t>(29)</t>
  </si>
  <si>
    <t>(30)</t>
  </si>
  <si>
    <t>(31)</t>
  </si>
  <si>
    <t>(32)</t>
  </si>
  <si>
    <t>(33)</t>
  </si>
  <si>
    <t>(34)</t>
  </si>
  <si>
    <t>(35)</t>
  </si>
  <si>
    <t>50203010 02</t>
  </si>
  <si>
    <t>Office Supplies Expenses</t>
  </si>
  <si>
    <t>27 pieces RYPIC Mindanao Polo Shirt</t>
  </si>
  <si>
    <t>1 lot</t>
  </si>
  <si>
    <t>Shopping</t>
  </si>
  <si>
    <t>30 working days</t>
  </si>
  <si>
    <t>4 pieces Universal Extension Wheel / Cord</t>
  </si>
  <si>
    <t>2 lots</t>
  </si>
  <si>
    <t>6 pieces Individual Switch Extension Cord, 4 gang</t>
  </si>
  <si>
    <t>10 units Stand Fan</t>
  </si>
  <si>
    <t>10 units</t>
  </si>
  <si>
    <t>Negotiated Procurement - Small Value Procurement</t>
  </si>
  <si>
    <t>1 pieces Air Blow Gun</t>
  </si>
  <si>
    <t>1 roll Air Hose</t>
  </si>
  <si>
    <t>10 packs Heavy duty clear plastic bag: size 40" x 60"; 50pcs per pack</t>
  </si>
  <si>
    <t>10 packs Heavy duty clear plastic bag: size 25" x 50"; 50pcs per pack</t>
  </si>
  <si>
    <t>10 packs Heavy duty clear plastic bag: size 20" x 40"; 50pcs per pack</t>
  </si>
  <si>
    <t>6 pieces CALCULATOR, compact, 12 digits</t>
  </si>
  <si>
    <t>100 pieces NOTEPAD stick on 3" x 3" yellow</t>
  </si>
  <si>
    <t>10 pieces RULER, plastic, 450mm</t>
  </si>
  <si>
    <t>100 pieces SIGN PEN, BLUE, liquid/gel ink, 0.5mm needle tip</t>
  </si>
  <si>
    <t>6 pieces STAPLER, w/ Remover : NO.35</t>
  </si>
  <si>
    <t>20 boxes STAPLE WIRE NO.35 : max 5000's/box</t>
  </si>
  <si>
    <t>4 pieces White Board (3x4 ft)</t>
  </si>
  <si>
    <t>50 pieces MARKER, whiteboard, blue</t>
  </si>
  <si>
    <t>4 pieces Tape dispenser, table top</t>
  </si>
  <si>
    <t xml:space="preserve">30 rolls TAPE, masking, 24mm </t>
  </si>
  <si>
    <t>30 rolls TAPE, masking, 48mm</t>
  </si>
  <si>
    <t>10 boxes BATTERY, dry cell, size: AA</t>
  </si>
  <si>
    <t>10 boxes BATTERY, dry cell, size: AAA</t>
  </si>
  <si>
    <t>10 pairs SCISSORS, symmetrical, blade length: 65mm min</t>
  </si>
  <si>
    <t>100 boxes CLIP, BACKFOLD, all metal, clamping: 19mm (-1mm)</t>
  </si>
  <si>
    <t>50 boxes CLIP, BACKFOLD, all metal, clamping: 25mm (-1mm)</t>
  </si>
  <si>
    <t>50 boxes CLIP, BACKFOLD, all metal, clamping: 50mm (-1mm)</t>
  </si>
  <si>
    <t>4 pieces 3 Layer Desk File Organizer Document Paper Tray (27cm×35cm×28cm)</t>
  </si>
  <si>
    <t>20 pieces DATA FILE BOX, magazine box made of chipboard, with closed ends</t>
  </si>
  <si>
    <t>20 boxes PAPER CLIP, vinyl/plastic coat, length: 32mm min</t>
  </si>
  <si>
    <t>20 boxes PAPER CLIP, vinyl/plastic coat, length: 50mm min</t>
  </si>
  <si>
    <t>100 pcs Brown Document Envelope, A4/Short</t>
  </si>
  <si>
    <t>100 pcs Brown Document Envelope, Legal/Long (10" x 15")</t>
  </si>
  <si>
    <t>50 books RECORD BOOK, 500 pages, size: 214mm x 278mm min</t>
  </si>
  <si>
    <t>100 reams PAPER, multicopy, A4, 80 gsm</t>
  </si>
  <si>
    <t>100 reams PAPER, multicopy, legal, 80 gsm</t>
  </si>
  <si>
    <t>4 boxes RUBBER BAND, 70mm min lay flat length (#18)</t>
  </si>
  <si>
    <t>10 boxes PENCIL, lead w/ eraser, wood cased, hardness</t>
  </si>
  <si>
    <t>50203210 03</t>
  </si>
  <si>
    <t>Semi- Expendable - ICT Equipment</t>
  </si>
  <si>
    <t>2 units All-in-One Tank Printer</t>
  </si>
  <si>
    <t>2 units Color Duplex Document Scanner</t>
  </si>
  <si>
    <t>4 units Wireless Wi-Fi Router</t>
  </si>
  <si>
    <t>4 units</t>
  </si>
  <si>
    <t>50203090 00</t>
  </si>
  <si>
    <t xml:space="preserve">Fuel, Oil and Lubricants Expenses </t>
  </si>
  <si>
    <t>30 drums Diesel fuel 210L/ drum</t>
  </si>
  <si>
    <t>Direct Retail</t>
  </si>
  <si>
    <t>50299040 00</t>
  </si>
  <si>
    <t>Transportation and Delivery Expense</t>
  </si>
  <si>
    <t>10 lots Transport of Materials</t>
  </si>
  <si>
    <t>5 lots</t>
  </si>
  <si>
    <t>Petty Cash Fund</t>
  </si>
  <si>
    <t>2 lots Trucking Services</t>
  </si>
  <si>
    <t>Negotiated Procurement - Small Value Procurement / Shopping</t>
  </si>
  <si>
    <t>15 lots Courier Fee of Documents</t>
  </si>
  <si>
    <t>15 lots</t>
  </si>
  <si>
    <t>50203990 00</t>
  </si>
  <si>
    <t>Other Supplies Expenses</t>
  </si>
  <si>
    <t>27 pieces</t>
  </si>
  <si>
    <t>35 pieces Working clothes with embroidered DOST-PTRI logo, white shirt</t>
  </si>
  <si>
    <t>35 pieces</t>
  </si>
  <si>
    <t>1000 pieces Corrugated box with print</t>
  </si>
  <si>
    <t>1000 pieces</t>
  </si>
  <si>
    <t>2 units Water Dispenser</t>
  </si>
  <si>
    <t>2 units</t>
  </si>
  <si>
    <t>4 pieces Wet and Dry Vacuum Cleaner</t>
  </si>
  <si>
    <t>4 pieces</t>
  </si>
  <si>
    <t>4 units Hydraulic Hand Pallet Truck</t>
  </si>
  <si>
    <t>4 units Push Cart</t>
  </si>
  <si>
    <t>4 pieces 240 L Mobile Trash Bin with Cover</t>
  </si>
  <si>
    <t>50205020 01</t>
  </si>
  <si>
    <t>Telephone Expenses – Mobile</t>
  </si>
  <si>
    <t xml:space="preserve">2 lots Telephone and Internet Installation </t>
  </si>
  <si>
    <t>Direct Contracting</t>
  </si>
  <si>
    <t>50203220 01</t>
  </si>
  <si>
    <t xml:space="preserve">Semi-Expendable - Furniture and Fixtures </t>
  </si>
  <si>
    <t>20 pieces Light bulbs</t>
  </si>
  <si>
    <t>20 pieces</t>
  </si>
  <si>
    <t>3 pieces Folding tables</t>
  </si>
  <si>
    <t>20 pieces Chairs</t>
  </si>
  <si>
    <t>2 units Aluminum multi-purpose ladder</t>
  </si>
  <si>
    <t>1 lot Signage (NTFIH)</t>
  </si>
  <si>
    <t>Public Bidding</t>
  </si>
  <si>
    <t>1 lot Signage (RYPIC)</t>
  </si>
  <si>
    <t>50203080 00</t>
  </si>
  <si>
    <t>Medical, Dental  Laboratory Supplies Expenses</t>
  </si>
  <si>
    <t>1 unit Air Compressor</t>
  </si>
  <si>
    <t xml:space="preserve">1 unit </t>
  </si>
  <si>
    <t>1 unit Digital Weighing Scale, max weight: 30kgs</t>
  </si>
  <si>
    <t>1 unit Digital Clamp Meter Tester</t>
  </si>
  <si>
    <t>30 pairs Laboratory Shoes, random sizes</t>
  </si>
  <si>
    <t>30 pairs</t>
  </si>
  <si>
    <t>500 pieces Rags</t>
  </si>
  <si>
    <t>500 pieces</t>
  </si>
  <si>
    <t>200 packs Anionic Detergent, 1kg/pack</t>
  </si>
  <si>
    <t>200 packs</t>
  </si>
  <si>
    <t>3000 kilograms Banana Pseudostem (Cavendish)</t>
  </si>
  <si>
    <t>300 kilograms Abaca Leaf Sheaths</t>
  </si>
  <si>
    <t>300 kilograms Bamboo Culm (Kawayang Tinik)</t>
  </si>
  <si>
    <t>300 kls</t>
  </si>
  <si>
    <t>1000 kilograms Cotton Lint</t>
  </si>
  <si>
    <t>1000 kls</t>
  </si>
  <si>
    <t>50299030 00</t>
  </si>
  <si>
    <t>Representation Expenses</t>
  </si>
  <si>
    <t>10 lots Meals</t>
  </si>
  <si>
    <t>10 lots</t>
  </si>
  <si>
    <t>Shopping / Petty Cash Fund</t>
  </si>
  <si>
    <t>50215010 01</t>
  </si>
  <si>
    <t>Taxes, Duties, and Licenses</t>
  </si>
  <si>
    <t xml:space="preserve">1 lot RYPC Cotabato Operations Manual </t>
  </si>
  <si>
    <t>2 lots Notary Public</t>
  </si>
  <si>
    <t>50604050 14</t>
  </si>
  <si>
    <t>Technical &amp; Scientific Equipment-Equipment Outlay</t>
  </si>
  <si>
    <t>1 set Yarn Mercerizing Machine</t>
  </si>
  <si>
    <t xml:space="preserve">Public Bidding </t>
  </si>
  <si>
    <t>90 working days</t>
  </si>
  <si>
    <t>50211990 00</t>
  </si>
  <si>
    <t>Other Professional Services</t>
  </si>
  <si>
    <t>DYEING SERVICE</t>
  </si>
  <si>
    <t>45 working days</t>
  </si>
  <si>
    <t>1) Dyeing and Finishing Services of 860 meters (237.5 kg) of woven fabric for Men's Tops of Civil Service Commission</t>
  </si>
  <si>
    <t>2) Dyeing and Finishing Services of 1114 meters (280.4 kg) of woven fabric for Women's Tops of Civil Service Commission</t>
  </si>
  <si>
    <t>3) Dyeing and Finishing Services of 928 meters (326.1 kg) of woven fabric for Womens Bottoms of Civil Service Commission</t>
  </si>
  <si>
    <t>Indirect Cost</t>
  </si>
  <si>
    <t xml:space="preserve">1 unit Microwave Oven </t>
  </si>
  <si>
    <t>1 unit</t>
  </si>
  <si>
    <t>1 unit Heavy Duty Laser Printer</t>
  </si>
  <si>
    <t>TOTAL APPROVED BUDGET:</t>
  </si>
  <si>
    <t>+ 10% Provision for Inflation</t>
  </si>
  <si>
    <t xml:space="preserve">+ 10% Contingency  </t>
  </si>
  <si>
    <t xml:space="preserve">TOTAL ESTIMATED BUDGET:  </t>
  </si>
  <si>
    <t>NOTE:      Technical Specifications for each Item/Project being proposed shall be submitted as part of the PPMP</t>
  </si>
  <si>
    <t>Prepared by:</t>
  </si>
  <si>
    <t>Reviewed by:</t>
  </si>
  <si>
    <t>Certified Funds Available:</t>
  </si>
  <si>
    <t>Approved by:</t>
  </si>
  <si>
    <t>DANIEL LEON J. LAVIN</t>
  </si>
  <si>
    <t>MARILOU G. AGUSTIN</t>
  </si>
  <si>
    <t>MERLITA R. ODI</t>
  </si>
  <si>
    <t>JULIUS L. LEAÑO JR., Ph.D.</t>
  </si>
  <si>
    <t>Project Leader</t>
  </si>
  <si>
    <t>Head, FAD-PPGSS</t>
  </si>
  <si>
    <t>Head, FAD-BTS</t>
  </si>
  <si>
    <t>Director IV</t>
  </si>
  <si>
    <r>
      <t xml:space="preserve">Date: </t>
    </r>
    <r>
      <rPr>
        <u/>
        <sz val="11"/>
        <color theme="1"/>
        <rFont val="Arial"/>
        <family val="2"/>
      </rPr>
      <t>April 4, 2024</t>
    </r>
  </si>
  <si>
    <t>Date: _____________</t>
  </si>
  <si>
    <t>6th Revision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</si>
</sst>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[$₱]#,##0.00"/>
  </numFmts>
  <fonts count="20" x14ac:knownFonts="1">
    <font>
      <sz val="11"/>
      <color theme="1"/>
      <name val="Calibri"/>
      <family val="2"/>
      <scheme val="minor"/>
    </font>
    <font>
      <b/>
      <sz val="12"/>
      <color theme="1"/>
      <name val="Arial"/>
      <family val="2"/>
    </font>
    <font>
      <sz val="11"/>
      <color theme="1"/>
      <name val="Arial"/>
      <family val="2"/>
    </font>
    <font>
      <sz val="12"/>
      <color theme="1"/>
      <name val="Arial"/>
      <family val="2"/>
    </font>
    <font>
      <b/>
      <sz val="12"/>
      <color rgb="FFFF0000"/>
      <name val="Arial"/>
      <family val="2"/>
    </font>
    <font>
      <b/>
      <i/>
      <sz val="12"/>
      <color theme="1"/>
      <name val="Arial"/>
      <family val="2"/>
    </font>
    <font>
      <i/>
      <sz val="12"/>
      <color theme="1"/>
      <name val="Arial"/>
      <family val="2"/>
    </font>
    <font>
      <b/>
      <sz val="9"/>
      <color theme="1"/>
      <name val="Arial"/>
      <family val="2"/>
    </font>
    <font>
      <sz val="11"/>
      <name val="Arial"/>
      <family val="2"/>
    </font>
    <font>
      <sz val="9"/>
      <color theme="1"/>
      <name val="Arial"/>
      <family val="2"/>
    </font>
    <font>
      <sz val="9"/>
      <name val="Arial"/>
      <family val="2"/>
    </font>
    <font>
      <sz val="9"/>
      <color theme="1"/>
      <name val="Calibri"/>
      <family val="2"/>
      <scheme val="minor"/>
    </font>
    <font>
      <sz val="11"/>
      <name val="Calibri"/>
      <family val="2"/>
      <scheme val="minor"/>
    </font>
    <font>
      <i/>
      <sz val="9"/>
      <color theme="1"/>
      <name val="Arial"/>
      <family val="2"/>
    </font>
    <font>
      <b/>
      <u/>
      <sz val="9"/>
      <color theme="1"/>
      <name val="Arial"/>
      <family val="2"/>
    </font>
    <font>
      <u/>
      <sz val="9"/>
      <color theme="1"/>
      <name val="Arial"/>
      <family val="2"/>
    </font>
    <font>
      <b/>
      <sz val="11"/>
      <color theme="1"/>
      <name val="Arial"/>
      <family val="2"/>
    </font>
    <font>
      <sz val="10"/>
      <color theme="1"/>
      <name val="Arial"/>
      <family val="2"/>
    </font>
    <font>
      <u/>
      <sz val="11"/>
      <color theme="1"/>
      <name val="Arial"/>
      <family val="2"/>
    </font>
    <font>
      <sz val="11"/>
      <color theme="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theme="0"/>
        <bgColor rgb="FFFFFFFF"/>
      </patternFill>
    </fill>
    <fill>
      <patternFill patternType="solid">
        <fgColor theme="0"/>
        <bgColor indexed="64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</fills>
  <borders count="33"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 style="medium">
        <color rgb="FF000000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/>
      <right/>
      <top/>
      <bottom style="double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29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/>
    <xf numFmtId="0" fontId="2" fillId="0" borderId="0" xfId="0" applyFont="1"/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 wrapText="1"/>
    </xf>
    <xf numFmtId="0" fontId="5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3" fillId="0" borderId="0" xfId="0" applyFont="1"/>
    <xf numFmtId="0" fontId="6" fillId="0" borderId="0" xfId="0" applyFont="1" applyAlignment="1">
      <alignment vertical="center"/>
    </xf>
    <xf numFmtId="0" fontId="3" fillId="0" borderId="0" xfId="0" applyFont="1" applyAlignment="1">
      <alignment horizontal="right"/>
    </xf>
    <xf numFmtId="4" fontId="3" fillId="0" borderId="0" xfId="0" applyNumberFormat="1" applyFont="1" applyAlignment="1">
      <alignment horizontal="right"/>
    </xf>
    <xf numFmtId="43" fontId="3" fillId="0" borderId="0" xfId="0" applyNumberFormat="1" applyFont="1"/>
    <xf numFmtId="0" fontId="3" fillId="0" borderId="0" xfId="0" applyFont="1" applyAlignment="1">
      <alignment horizontal="center" wrapText="1"/>
    </xf>
    <xf numFmtId="0" fontId="2" fillId="0" borderId="0" xfId="0" applyFont="1" applyAlignment="1">
      <alignment vertical="center"/>
    </xf>
    <xf numFmtId="0" fontId="6" fillId="0" borderId="1" xfId="0" applyFont="1" applyBorder="1" applyAlignment="1">
      <alignment vertical="center"/>
    </xf>
    <xf numFmtId="0" fontId="2" fillId="0" borderId="1" xfId="0" applyFont="1" applyBorder="1" applyAlignment="1">
      <alignment vertical="center"/>
    </xf>
    <xf numFmtId="4" fontId="2" fillId="0" borderId="1" xfId="0" applyNumberFormat="1" applyFont="1" applyBorder="1" applyAlignment="1">
      <alignment vertical="center"/>
    </xf>
    <xf numFmtId="43" fontId="2" fillId="0" borderId="1" xfId="0" applyNumberFormat="1" applyFont="1" applyBorder="1" applyAlignment="1">
      <alignment vertical="center"/>
    </xf>
    <xf numFmtId="0" fontId="7" fillId="0" borderId="2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4" fontId="7" fillId="0" borderId="3" xfId="0" applyNumberFormat="1" applyFont="1" applyBorder="1" applyAlignment="1">
      <alignment horizontal="center" vertical="center" wrapText="1"/>
    </xf>
    <xf numFmtId="43" fontId="7" fillId="0" borderId="3" xfId="0" applyNumberFormat="1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8" fillId="0" borderId="5" xfId="0" applyFont="1" applyBorder="1"/>
    <xf numFmtId="0" fontId="8" fillId="0" borderId="4" xfId="0" applyFont="1" applyBorder="1"/>
    <xf numFmtId="0" fontId="9" fillId="0" borderId="0" xfId="0" applyFont="1"/>
    <xf numFmtId="0" fontId="8" fillId="0" borderId="6" xfId="0" applyFont="1" applyBorder="1"/>
    <xf numFmtId="0" fontId="8" fillId="0" borderId="7" xfId="0" applyFont="1" applyBorder="1"/>
    <xf numFmtId="0" fontId="7" fillId="0" borderId="7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 wrapText="1"/>
    </xf>
    <xf numFmtId="0" fontId="7" fillId="0" borderId="8" xfId="0" applyFont="1" applyBorder="1" applyAlignment="1">
      <alignment horizontal="center" vertical="center"/>
    </xf>
    <xf numFmtId="0" fontId="9" fillId="0" borderId="9" xfId="0" applyFont="1" applyBorder="1"/>
    <xf numFmtId="0" fontId="7" fillId="0" borderId="6" xfId="0" quotePrefix="1" applyFont="1" applyBorder="1" applyAlignment="1">
      <alignment horizontal="center" vertical="center" wrapText="1"/>
    </xf>
    <xf numFmtId="0" fontId="7" fillId="0" borderId="7" xfId="0" quotePrefix="1" applyFont="1" applyBorder="1" applyAlignment="1">
      <alignment horizontal="center" vertical="center" wrapText="1"/>
    </xf>
    <xf numFmtId="4" fontId="7" fillId="0" borderId="7" xfId="0" quotePrefix="1" applyNumberFormat="1" applyFont="1" applyBorder="1" applyAlignment="1">
      <alignment horizontal="center" vertical="center" wrapText="1"/>
    </xf>
    <xf numFmtId="43" fontId="7" fillId="0" borderId="7" xfId="0" quotePrefix="1" applyNumberFormat="1" applyFont="1" applyBorder="1" applyAlignment="1">
      <alignment horizontal="center" vertical="center" wrapText="1"/>
    </xf>
    <xf numFmtId="0" fontId="7" fillId="0" borderId="8" xfId="0" quotePrefix="1" applyFont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vertical="center"/>
    </xf>
    <xf numFmtId="0" fontId="7" fillId="2" borderId="4" xfId="0" applyFont="1" applyFill="1" applyBorder="1" applyAlignment="1">
      <alignment vertical="center" wrapText="1"/>
    </xf>
    <xf numFmtId="4" fontId="2" fillId="2" borderId="4" xfId="0" applyNumberFormat="1" applyFont="1" applyFill="1" applyBorder="1" applyAlignment="1">
      <alignment vertical="center"/>
    </xf>
    <xf numFmtId="43" fontId="2" fillId="2" borderId="4" xfId="0" applyNumberFormat="1" applyFont="1" applyFill="1" applyBorder="1" applyAlignment="1">
      <alignment vertical="center"/>
    </xf>
    <xf numFmtId="0" fontId="2" fillId="2" borderId="11" xfId="0" applyFont="1" applyFill="1" applyBorder="1" applyAlignment="1">
      <alignment vertical="center"/>
    </xf>
    <xf numFmtId="0" fontId="2" fillId="3" borderId="10" xfId="0" applyFont="1" applyFill="1" applyBorder="1" applyAlignment="1">
      <alignment vertical="center"/>
    </xf>
    <xf numFmtId="0" fontId="2" fillId="3" borderId="4" xfId="0" applyFont="1" applyFill="1" applyBorder="1" applyAlignment="1">
      <alignment vertical="center"/>
    </xf>
    <xf numFmtId="0" fontId="9" fillId="3" borderId="4" xfId="0" applyFont="1" applyFill="1" applyBorder="1" applyAlignment="1">
      <alignment vertical="center"/>
    </xf>
    <xf numFmtId="0" fontId="9" fillId="3" borderId="4" xfId="0" applyFont="1" applyFill="1" applyBorder="1" applyAlignment="1">
      <alignment horizontal="center" vertical="center"/>
    </xf>
    <xf numFmtId="4" fontId="9" fillId="3" borderId="4" xfId="0" applyNumberFormat="1" applyFont="1" applyFill="1" applyBorder="1" applyAlignment="1">
      <alignment horizontal="right" vertical="center"/>
    </xf>
    <xf numFmtId="0" fontId="9" fillId="4" borderId="4" xfId="0" applyFont="1" applyFill="1" applyBorder="1" applyAlignment="1">
      <alignment horizontal="center" vertical="center" wrapText="1"/>
    </xf>
    <xf numFmtId="0" fontId="2" fillId="3" borderId="11" xfId="0" applyFont="1" applyFill="1" applyBorder="1" applyAlignment="1">
      <alignment vertical="center"/>
    </xf>
    <xf numFmtId="0" fontId="9" fillId="3" borderId="9" xfId="0" applyFont="1" applyFill="1" applyBorder="1"/>
    <xf numFmtId="0" fontId="9" fillId="3" borderId="0" xfId="0" applyFont="1" applyFill="1"/>
    <xf numFmtId="0" fontId="2" fillId="3" borderId="0" xfId="0" applyFont="1" applyFill="1"/>
    <xf numFmtId="0" fontId="0" fillId="4" borderId="0" xfId="0" applyFill="1"/>
    <xf numFmtId="0" fontId="2" fillId="0" borderId="10" xfId="0" applyFont="1" applyBorder="1" applyAlignment="1">
      <alignment vertical="center"/>
    </xf>
    <xf numFmtId="49" fontId="2" fillId="0" borderId="4" xfId="0" applyNumberFormat="1" applyFont="1" applyBorder="1" applyAlignment="1">
      <alignment vertical="center"/>
    </xf>
    <xf numFmtId="49" fontId="9" fillId="0" borderId="4" xfId="0" applyNumberFormat="1" applyFont="1" applyBorder="1" applyAlignment="1">
      <alignment vertical="center"/>
    </xf>
    <xf numFmtId="0" fontId="9" fillId="0" borderId="12" xfId="0" applyFont="1" applyBorder="1" applyAlignment="1">
      <alignment horizontal="center" vertical="center"/>
    </xf>
    <xf numFmtId="4" fontId="9" fillId="0" borderId="4" xfId="0" applyNumberFormat="1" applyFont="1" applyBorder="1" applyAlignment="1">
      <alignment horizontal="right" vertical="center" wrapText="1"/>
    </xf>
    <xf numFmtId="4" fontId="9" fillId="0" borderId="12" xfId="0" applyNumberFormat="1" applyFont="1" applyBorder="1" applyAlignment="1">
      <alignment horizontal="center" vertical="center"/>
    </xf>
    <xf numFmtId="0" fontId="9" fillId="0" borderId="12" xfId="0" applyFont="1" applyBorder="1" applyAlignment="1">
      <alignment horizontal="center" vertical="center" wrapText="1"/>
    </xf>
    <xf numFmtId="0" fontId="9" fillId="0" borderId="4" xfId="0" applyFont="1" applyBorder="1" applyAlignment="1">
      <alignment horizontal="center" vertical="center"/>
    </xf>
    <xf numFmtId="0" fontId="2" fillId="0" borderId="4" xfId="0" applyFont="1" applyBorder="1" applyAlignment="1">
      <alignment vertical="center"/>
    </xf>
    <xf numFmtId="0" fontId="2" fillId="0" borderId="11" xfId="0" applyFont="1" applyBorder="1" applyAlignment="1">
      <alignment vertical="center"/>
    </xf>
    <xf numFmtId="0" fontId="9" fillId="0" borderId="13" xfId="0" applyFont="1" applyBorder="1" applyAlignment="1">
      <alignment horizontal="center" vertical="center" wrapText="1"/>
    </xf>
    <xf numFmtId="49" fontId="9" fillId="0" borderId="13" xfId="0" applyNumberFormat="1" applyFont="1" applyBorder="1" applyAlignment="1">
      <alignment horizontal="center" vertical="center"/>
    </xf>
    <xf numFmtId="49" fontId="9" fillId="0" borderId="13" xfId="0" applyNumberFormat="1" applyFont="1" applyBorder="1" applyAlignment="1">
      <alignment vertical="center"/>
    </xf>
    <xf numFmtId="0" fontId="9" fillId="0" borderId="14" xfId="0" applyFont="1" applyBorder="1" applyAlignment="1">
      <alignment horizontal="center" vertical="center"/>
    </xf>
    <xf numFmtId="4" fontId="9" fillId="0" borderId="13" xfId="0" applyNumberFormat="1" applyFont="1" applyBorder="1" applyAlignment="1">
      <alignment horizontal="right" vertical="center" wrapText="1"/>
    </xf>
    <xf numFmtId="4" fontId="9" fillId="0" borderId="14" xfId="0" applyNumberFormat="1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 wrapText="1"/>
    </xf>
    <xf numFmtId="0" fontId="9" fillId="0" borderId="13" xfId="0" applyFont="1" applyBorder="1" applyAlignment="1">
      <alignment horizontal="center" vertical="center"/>
    </xf>
    <xf numFmtId="0" fontId="9" fillId="0" borderId="13" xfId="0" applyFont="1" applyBorder="1" applyAlignment="1">
      <alignment vertical="center"/>
    </xf>
    <xf numFmtId="4" fontId="9" fillId="0" borderId="4" xfId="0" applyNumberFormat="1" applyFont="1" applyBorder="1" applyAlignment="1">
      <alignment horizontal="center" vertical="center"/>
    </xf>
    <xf numFmtId="0" fontId="9" fillId="0" borderId="15" xfId="0" applyFont="1" applyBorder="1" applyAlignment="1">
      <alignment horizontal="center" vertical="center" wrapText="1"/>
    </xf>
    <xf numFmtId="0" fontId="9" fillId="0" borderId="15" xfId="0" applyFont="1" applyBorder="1" applyAlignment="1">
      <alignment horizontal="center" vertical="center"/>
    </xf>
    <xf numFmtId="0" fontId="9" fillId="0" borderId="16" xfId="0" applyFont="1" applyBorder="1" applyAlignment="1">
      <alignment horizontal="center" vertical="center" wrapText="1"/>
    </xf>
    <xf numFmtId="0" fontId="9" fillId="0" borderId="17" xfId="0" applyFont="1" applyBorder="1" applyAlignment="1">
      <alignment horizontal="center" vertical="center"/>
    </xf>
    <xf numFmtId="0" fontId="9" fillId="0" borderId="18" xfId="0" applyFont="1" applyBorder="1" applyAlignment="1">
      <alignment horizontal="center" vertical="center"/>
    </xf>
    <xf numFmtId="4" fontId="9" fillId="0" borderId="18" xfId="0" applyNumberFormat="1" applyFont="1" applyBorder="1" applyAlignment="1">
      <alignment horizontal="center" vertical="center"/>
    </xf>
    <xf numFmtId="0" fontId="8" fillId="0" borderId="18" xfId="0" applyFont="1" applyBorder="1"/>
    <xf numFmtId="4" fontId="9" fillId="0" borderId="17" xfId="0" applyNumberFormat="1" applyFont="1" applyBorder="1" applyAlignment="1">
      <alignment horizontal="center" vertical="center"/>
    </xf>
    <xf numFmtId="0" fontId="10" fillId="0" borderId="16" xfId="0" applyFont="1" applyBorder="1" applyAlignment="1">
      <alignment horizontal="center" vertical="center"/>
    </xf>
    <xf numFmtId="0" fontId="10" fillId="0" borderId="17" xfId="0" applyFont="1" applyBorder="1" applyAlignment="1">
      <alignment horizontal="center" vertical="center"/>
    </xf>
    <xf numFmtId="0" fontId="9" fillId="0" borderId="16" xfId="0" applyFont="1" applyBorder="1" applyAlignment="1">
      <alignment horizontal="center" vertical="center"/>
    </xf>
    <xf numFmtId="4" fontId="9" fillId="0" borderId="16" xfId="0" applyNumberFormat="1" applyFont="1" applyBorder="1" applyAlignment="1">
      <alignment horizontal="center" vertical="center"/>
    </xf>
    <xf numFmtId="0" fontId="10" fillId="0" borderId="18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49" fontId="9" fillId="0" borderId="4" xfId="0" quotePrefix="1" applyNumberFormat="1" applyFont="1" applyBorder="1" applyAlignment="1">
      <alignment vertical="center"/>
    </xf>
    <xf numFmtId="0" fontId="9" fillId="0" borderId="3" xfId="0" applyFont="1" applyBorder="1" applyAlignment="1">
      <alignment horizontal="center" vertical="center"/>
    </xf>
    <xf numFmtId="4" fontId="9" fillId="0" borderId="3" xfId="0" applyNumberFormat="1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2" fillId="0" borderId="5" xfId="0" applyFont="1" applyBorder="1" applyAlignment="1">
      <alignment vertical="center"/>
    </xf>
    <xf numFmtId="0" fontId="11" fillId="0" borderId="19" xfId="0" applyFont="1" applyBorder="1" applyAlignment="1">
      <alignment horizontal="center" vertical="center"/>
    </xf>
    <xf numFmtId="0" fontId="8" fillId="0" borderId="3" xfId="0" applyFont="1" applyBorder="1"/>
    <xf numFmtId="0" fontId="8" fillId="0" borderId="3" xfId="0" applyFont="1" applyBorder="1" applyAlignment="1">
      <alignment horizontal="center"/>
    </xf>
    <xf numFmtId="0" fontId="8" fillId="0" borderId="4" xfId="0" applyFont="1" applyBorder="1" applyAlignment="1">
      <alignment horizontal="center"/>
    </xf>
    <xf numFmtId="49" fontId="2" fillId="2" borderId="4" xfId="0" applyNumberFormat="1" applyFont="1" applyFill="1" applyBorder="1" applyAlignment="1">
      <alignment vertical="center"/>
    </xf>
    <xf numFmtId="49" fontId="7" fillId="2" borderId="4" xfId="0" applyNumberFormat="1" applyFont="1" applyFill="1" applyBorder="1" applyAlignment="1">
      <alignment vertical="center"/>
    </xf>
    <xf numFmtId="4" fontId="9" fillId="0" borderId="3" xfId="0" applyNumberFormat="1" applyFont="1" applyBorder="1" applyAlignment="1">
      <alignment horizontal="right" vertical="center"/>
    </xf>
    <xf numFmtId="0" fontId="9" fillId="0" borderId="3" xfId="0" applyFont="1" applyBorder="1" applyAlignment="1">
      <alignment horizontal="center" vertical="center" wrapText="1"/>
    </xf>
    <xf numFmtId="0" fontId="10" fillId="0" borderId="4" xfId="0" applyFont="1" applyBorder="1" applyAlignment="1">
      <alignment horizontal="center"/>
    </xf>
    <xf numFmtId="4" fontId="10" fillId="0" borderId="4" xfId="0" applyNumberFormat="1" applyFont="1" applyBorder="1"/>
    <xf numFmtId="0" fontId="10" fillId="0" borderId="4" xfId="0" applyFont="1" applyBorder="1" applyAlignment="1">
      <alignment horizontal="center" wrapText="1"/>
    </xf>
    <xf numFmtId="0" fontId="10" fillId="0" borderId="4" xfId="0" applyFont="1" applyBorder="1" applyAlignment="1">
      <alignment horizontal="center" vertical="center"/>
    </xf>
    <xf numFmtId="49" fontId="7" fillId="2" borderId="4" xfId="0" applyNumberFormat="1" applyFont="1" applyFill="1" applyBorder="1" applyAlignment="1">
      <alignment vertical="center" wrapText="1"/>
    </xf>
    <xf numFmtId="0" fontId="9" fillId="5" borderId="9" xfId="0" applyFont="1" applyFill="1" applyBorder="1"/>
    <xf numFmtId="0" fontId="9" fillId="5" borderId="0" xfId="0" applyFont="1" applyFill="1"/>
    <xf numFmtId="0" fontId="2" fillId="5" borderId="0" xfId="0" applyFont="1" applyFill="1"/>
    <xf numFmtId="4" fontId="9" fillId="0" borderId="4" xfId="0" applyNumberFormat="1" applyFont="1" applyBorder="1" applyAlignment="1">
      <alignment horizontal="right" vertical="center"/>
    </xf>
    <xf numFmtId="0" fontId="9" fillId="0" borderId="4" xfId="0" applyFont="1" applyBorder="1" applyAlignment="1">
      <alignment horizontal="center" vertical="center" wrapText="1"/>
    </xf>
    <xf numFmtId="0" fontId="9" fillId="6" borderId="4" xfId="0" applyFont="1" applyFill="1" applyBorder="1" applyAlignment="1">
      <alignment horizontal="center" vertical="center" wrapText="1"/>
    </xf>
    <xf numFmtId="0" fontId="2" fillId="6" borderId="10" xfId="0" applyFont="1" applyFill="1" applyBorder="1" applyAlignment="1">
      <alignment vertical="center"/>
    </xf>
    <xf numFmtId="49" fontId="2" fillId="6" borderId="4" xfId="0" applyNumberFormat="1" applyFont="1" applyFill="1" applyBorder="1" applyAlignment="1">
      <alignment vertical="center"/>
    </xf>
    <xf numFmtId="49" fontId="9" fillId="6" borderId="4" xfId="0" applyNumberFormat="1" applyFont="1" applyFill="1" applyBorder="1" applyAlignment="1">
      <alignment vertical="center"/>
    </xf>
    <xf numFmtId="4" fontId="9" fillId="6" borderId="4" xfId="0" applyNumberFormat="1" applyFont="1" applyFill="1" applyBorder="1" applyAlignment="1">
      <alignment horizontal="right" vertical="center" wrapText="1"/>
    </xf>
    <xf numFmtId="4" fontId="9" fillId="6" borderId="4" xfId="0" applyNumberFormat="1" applyFont="1" applyFill="1" applyBorder="1" applyAlignment="1">
      <alignment horizontal="right" vertical="center"/>
    </xf>
    <xf numFmtId="0" fontId="9" fillId="6" borderId="4" xfId="0" applyFont="1" applyFill="1" applyBorder="1" applyAlignment="1">
      <alignment horizontal="center" vertical="center"/>
    </xf>
    <xf numFmtId="0" fontId="2" fillId="6" borderId="4" xfId="0" applyFont="1" applyFill="1" applyBorder="1" applyAlignment="1">
      <alignment vertical="center"/>
    </xf>
    <xf numFmtId="0" fontId="2" fillId="6" borderId="11" xfId="0" applyFont="1" applyFill="1" applyBorder="1" applyAlignment="1">
      <alignment vertical="center"/>
    </xf>
    <xf numFmtId="0" fontId="9" fillId="0" borderId="4" xfId="0" applyFont="1" applyBorder="1" applyAlignment="1">
      <alignment vertical="center"/>
    </xf>
    <xf numFmtId="0" fontId="8" fillId="0" borderId="10" xfId="0" applyFont="1" applyBorder="1" applyAlignment="1">
      <alignment vertical="center"/>
    </xf>
    <xf numFmtId="49" fontId="8" fillId="0" borderId="4" xfId="0" applyNumberFormat="1" applyFont="1" applyBorder="1" applyAlignment="1">
      <alignment vertical="center"/>
    </xf>
    <xf numFmtId="49" fontId="10" fillId="0" borderId="4" xfId="0" applyNumberFormat="1" applyFont="1" applyBorder="1" applyAlignment="1">
      <alignment vertical="center"/>
    </xf>
    <xf numFmtId="4" fontId="10" fillId="0" borderId="4" xfId="0" applyNumberFormat="1" applyFont="1" applyBorder="1" applyAlignment="1">
      <alignment horizontal="right" vertical="center" wrapText="1"/>
    </xf>
    <xf numFmtId="4" fontId="10" fillId="0" borderId="4" xfId="0" applyNumberFormat="1" applyFont="1" applyBorder="1" applyAlignment="1">
      <alignment horizontal="right" vertical="center"/>
    </xf>
    <xf numFmtId="0" fontId="10" fillId="0" borderId="4" xfId="0" applyFont="1" applyBorder="1" applyAlignment="1">
      <alignment horizontal="center" vertical="center" wrapText="1"/>
    </xf>
    <xf numFmtId="0" fontId="8" fillId="0" borderId="4" xfId="0" applyFont="1" applyBorder="1" applyAlignment="1">
      <alignment vertical="center"/>
    </xf>
    <xf numFmtId="0" fontId="8" fillId="0" borderId="11" xfId="0" applyFont="1" applyBorder="1" applyAlignment="1">
      <alignment vertical="center"/>
    </xf>
    <xf numFmtId="0" fontId="10" fillId="0" borderId="9" xfId="0" applyFont="1" applyBorder="1"/>
    <xf numFmtId="0" fontId="10" fillId="0" borderId="0" xfId="0" applyFont="1"/>
    <xf numFmtId="0" fontId="8" fillId="0" borderId="0" xfId="0" applyFont="1"/>
    <xf numFmtId="0" fontId="12" fillId="0" borderId="0" xfId="0" applyFont="1"/>
    <xf numFmtId="43" fontId="9" fillId="0" borderId="4" xfId="0" applyNumberFormat="1" applyFont="1" applyBorder="1" applyAlignment="1">
      <alignment horizontal="right" vertical="center"/>
    </xf>
    <xf numFmtId="0" fontId="7" fillId="2" borderId="4" xfId="0" applyFont="1" applyFill="1" applyBorder="1" applyAlignment="1">
      <alignment vertical="center"/>
    </xf>
    <xf numFmtId="4" fontId="10" fillId="0" borderId="3" xfId="0" applyNumberFormat="1" applyFont="1" applyBorder="1" applyAlignment="1">
      <alignment horizontal="right" vertical="center" wrapText="1"/>
    </xf>
    <xf numFmtId="0" fontId="10" fillId="0" borderId="3" xfId="0" applyFont="1" applyBorder="1" applyAlignment="1">
      <alignment horizontal="center" vertical="center" wrapText="1"/>
    </xf>
    <xf numFmtId="0" fontId="10" fillId="0" borderId="4" xfId="0" applyFont="1" applyBorder="1" applyAlignment="1">
      <alignment vertical="center"/>
    </xf>
    <xf numFmtId="0" fontId="10" fillId="0" borderId="3" xfId="0" applyFont="1" applyBorder="1" applyAlignment="1">
      <alignment horizontal="center" vertical="center"/>
    </xf>
    <xf numFmtId="0" fontId="9" fillId="0" borderId="18" xfId="0" applyFont="1" applyBorder="1" applyAlignment="1">
      <alignment horizontal="center" vertical="center" wrapText="1"/>
    </xf>
    <xf numFmtId="3" fontId="10" fillId="0" borderId="4" xfId="0" applyNumberFormat="1" applyFont="1" applyBorder="1" applyAlignment="1">
      <alignment horizontal="center" vertical="center"/>
    </xf>
    <xf numFmtId="3" fontId="9" fillId="0" borderId="4" xfId="0" applyNumberFormat="1" applyFont="1" applyBorder="1" applyAlignment="1">
      <alignment horizontal="center" vertical="center"/>
    </xf>
    <xf numFmtId="0" fontId="9" fillId="6" borderId="4" xfId="0" applyFont="1" applyFill="1" applyBorder="1" applyAlignment="1">
      <alignment vertical="center"/>
    </xf>
    <xf numFmtId="0" fontId="9" fillId="6" borderId="3" xfId="0" applyFont="1" applyFill="1" applyBorder="1" applyAlignment="1">
      <alignment horizontal="center" vertical="center"/>
    </xf>
    <xf numFmtId="4" fontId="9" fillId="6" borderId="3" xfId="0" applyNumberFormat="1" applyFont="1" applyFill="1" applyBorder="1" applyAlignment="1">
      <alignment horizontal="right" vertical="center"/>
    </xf>
    <xf numFmtId="0" fontId="9" fillId="6" borderId="3" xfId="0" applyFont="1" applyFill="1" applyBorder="1" applyAlignment="1">
      <alignment horizontal="center" vertical="center" wrapText="1"/>
    </xf>
    <xf numFmtId="0" fontId="2" fillId="4" borderId="10" xfId="0" applyFont="1" applyFill="1" applyBorder="1" applyAlignment="1">
      <alignment vertical="center"/>
    </xf>
    <xf numFmtId="0" fontId="2" fillId="4" borderId="4" xfId="0" applyFont="1" applyFill="1" applyBorder="1" applyAlignment="1">
      <alignment vertical="center"/>
    </xf>
    <xf numFmtId="0" fontId="9" fillId="4" borderId="4" xfId="0" applyFont="1" applyFill="1" applyBorder="1" applyAlignment="1">
      <alignment vertical="center"/>
    </xf>
    <xf numFmtId="0" fontId="9" fillId="4" borderId="4" xfId="0" applyFont="1" applyFill="1" applyBorder="1" applyAlignment="1">
      <alignment horizontal="center" vertical="center"/>
    </xf>
    <xf numFmtId="4" fontId="9" fillId="4" borderId="4" xfId="0" applyNumberFormat="1" applyFont="1" applyFill="1" applyBorder="1" applyAlignment="1">
      <alignment horizontal="right" vertical="center" wrapText="1"/>
    </xf>
    <xf numFmtId="0" fontId="9" fillId="3" borderId="4" xfId="0" applyFont="1" applyFill="1" applyBorder="1" applyAlignment="1">
      <alignment horizontal="center" vertical="center" wrapText="1"/>
    </xf>
    <xf numFmtId="0" fontId="2" fillId="4" borderId="11" xfId="0" applyFont="1" applyFill="1" applyBorder="1" applyAlignment="1">
      <alignment vertical="center"/>
    </xf>
    <xf numFmtId="0" fontId="10" fillId="6" borderId="4" xfId="0" applyFont="1" applyFill="1" applyBorder="1" applyAlignment="1">
      <alignment horizontal="center" vertical="center"/>
    </xf>
    <xf numFmtId="0" fontId="9" fillId="4" borderId="9" xfId="0" applyFont="1" applyFill="1" applyBorder="1"/>
    <xf numFmtId="0" fontId="9" fillId="4" borderId="0" xfId="0" applyFont="1" applyFill="1"/>
    <xf numFmtId="3" fontId="2" fillId="2" borderId="4" xfId="0" applyNumberFormat="1" applyFont="1" applyFill="1" applyBorder="1" applyAlignment="1">
      <alignment vertical="center"/>
    </xf>
    <xf numFmtId="49" fontId="13" fillId="0" borderId="4" xfId="0" applyNumberFormat="1" applyFont="1" applyBorder="1" applyAlignment="1">
      <alignment vertical="center"/>
    </xf>
    <xf numFmtId="3" fontId="9" fillId="0" borderId="12" xfId="0" applyNumberFormat="1" applyFont="1" applyBorder="1" applyAlignment="1">
      <alignment horizontal="center" vertical="center"/>
    </xf>
    <xf numFmtId="0" fontId="9" fillId="0" borderId="4" xfId="0" applyFont="1" applyBorder="1" applyAlignment="1">
      <alignment vertical="center" wrapText="1"/>
    </xf>
    <xf numFmtId="3" fontId="9" fillId="0" borderId="16" xfId="0" applyNumberFormat="1" applyFont="1" applyBorder="1" applyAlignment="1">
      <alignment horizontal="center" vertical="center"/>
    </xf>
    <xf numFmtId="49" fontId="9" fillId="0" borderId="4" xfId="0" applyNumberFormat="1" applyFont="1" applyBorder="1" applyAlignment="1">
      <alignment vertical="center" wrapText="1"/>
    </xf>
    <xf numFmtId="3" fontId="9" fillId="0" borderId="14" xfId="0" applyNumberFormat="1" applyFont="1" applyBorder="1" applyAlignment="1">
      <alignment horizontal="center" vertical="center"/>
    </xf>
    <xf numFmtId="0" fontId="7" fillId="2" borderId="20" xfId="0" applyFont="1" applyFill="1" applyBorder="1" applyAlignment="1">
      <alignment horizontal="center" vertical="center" wrapText="1"/>
    </xf>
    <xf numFmtId="0" fontId="7" fillId="2" borderId="12" xfId="0" applyFont="1" applyFill="1" applyBorder="1" applyAlignment="1">
      <alignment horizontal="left" vertical="center"/>
    </xf>
    <xf numFmtId="0" fontId="9" fillId="2" borderId="12" xfId="0" applyFont="1" applyFill="1" applyBorder="1" applyAlignment="1">
      <alignment horizontal="right" vertical="center"/>
    </xf>
    <xf numFmtId="4" fontId="9" fillId="2" borderId="12" xfId="0" applyNumberFormat="1" applyFont="1" applyFill="1" applyBorder="1" applyAlignment="1">
      <alignment horizontal="right" vertical="center"/>
    </xf>
    <xf numFmtId="0" fontId="9" fillId="2" borderId="12" xfId="0" applyFont="1" applyFill="1" applyBorder="1" applyAlignment="1">
      <alignment vertical="center"/>
    </xf>
    <xf numFmtId="0" fontId="9" fillId="2" borderId="12" xfId="0" applyFont="1" applyFill="1" applyBorder="1" applyAlignment="1">
      <alignment vertical="center" wrapText="1"/>
    </xf>
    <xf numFmtId="0" fontId="9" fillId="2" borderId="12" xfId="0" applyFont="1" applyFill="1" applyBorder="1" applyAlignment="1">
      <alignment horizontal="center" vertical="center"/>
    </xf>
    <xf numFmtId="0" fontId="9" fillId="2" borderId="21" xfId="0" applyFont="1" applyFill="1" applyBorder="1" applyAlignment="1">
      <alignment vertical="center"/>
    </xf>
    <xf numFmtId="0" fontId="9" fillId="0" borderId="22" xfId="0" applyFont="1" applyBorder="1" applyAlignment="1">
      <alignment horizontal="center" vertical="center" wrapText="1"/>
    </xf>
    <xf numFmtId="0" fontId="7" fillId="0" borderId="15" xfId="0" applyFont="1" applyBorder="1" applyAlignment="1">
      <alignment horizontal="left" vertical="center"/>
    </xf>
    <xf numFmtId="0" fontId="9" fillId="0" borderId="15" xfId="0" applyFont="1" applyBorder="1" applyAlignment="1">
      <alignment horizontal="left" vertical="center"/>
    </xf>
    <xf numFmtId="4" fontId="9" fillId="0" borderId="15" xfId="0" applyNumberFormat="1" applyFont="1" applyBorder="1" applyAlignment="1">
      <alignment horizontal="right" vertical="center"/>
    </xf>
    <xf numFmtId="4" fontId="9" fillId="0" borderId="15" xfId="0" applyNumberFormat="1" applyFont="1" applyBorder="1" applyAlignment="1">
      <alignment vertical="center"/>
    </xf>
    <xf numFmtId="0" fontId="9" fillId="0" borderId="15" xfId="0" applyFont="1" applyBorder="1" applyAlignment="1">
      <alignment vertical="center"/>
    </xf>
    <xf numFmtId="0" fontId="9" fillId="0" borderId="23" xfId="0" applyFont="1" applyBorder="1" applyAlignment="1">
      <alignment vertical="center"/>
    </xf>
    <xf numFmtId="0" fontId="9" fillId="0" borderId="24" xfId="0" applyFont="1" applyBorder="1"/>
    <xf numFmtId="0" fontId="9" fillId="0" borderId="25" xfId="0" applyFont="1" applyBorder="1"/>
    <xf numFmtId="0" fontId="2" fillId="0" borderId="25" xfId="0" applyFont="1" applyBorder="1"/>
    <xf numFmtId="0" fontId="0" fillId="0" borderId="25" xfId="0" applyBorder="1"/>
    <xf numFmtId="0" fontId="9" fillId="5" borderId="6" xfId="0" applyFont="1" applyFill="1" applyBorder="1" applyAlignment="1">
      <alignment horizontal="center" vertical="center" wrapText="1"/>
    </xf>
    <xf numFmtId="0" fontId="7" fillId="5" borderId="26" xfId="0" applyFont="1" applyFill="1" applyBorder="1" applyAlignment="1">
      <alignment horizontal="left" vertical="center"/>
    </xf>
    <xf numFmtId="0" fontId="9" fillId="5" borderId="26" xfId="0" applyFont="1" applyFill="1" applyBorder="1" applyAlignment="1">
      <alignment horizontal="left" vertical="center"/>
    </xf>
    <xf numFmtId="0" fontId="9" fillId="5" borderId="26" xfId="0" applyFont="1" applyFill="1" applyBorder="1" applyAlignment="1">
      <alignment horizontal="center" vertical="center"/>
    </xf>
    <xf numFmtId="4" fontId="9" fillId="5" borderId="26" xfId="0" applyNumberFormat="1" applyFont="1" applyFill="1" applyBorder="1" applyAlignment="1">
      <alignment horizontal="right" vertical="center"/>
    </xf>
    <xf numFmtId="4" fontId="9" fillId="5" borderId="26" xfId="0" applyNumberFormat="1" applyFont="1" applyFill="1" applyBorder="1" applyAlignment="1">
      <alignment vertical="center"/>
    </xf>
    <xf numFmtId="0" fontId="9" fillId="5" borderId="26" xfId="0" applyFont="1" applyFill="1" applyBorder="1" applyAlignment="1">
      <alignment horizontal="center" vertical="center" wrapText="1"/>
    </xf>
    <xf numFmtId="0" fontId="9" fillId="5" borderId="26" xfId="0" applyFont="1" applyFill="1" applyBorder="1" applyAlignment="1">
      <alignment vertical="center"/>
    </xf>
    <xf numFmtId="0" fontId="9" fillId="5" borderId="27" xfId="0" applyFont="1" applyFill="1" applyBorder="1" applyAlignment="1">
      <alignment vertical="center"/>
    </xf>
    <xf numFmtId="0" fontId="7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9" fillId="0" borderId="0" xfId="0" applyFont="1" applyAlignment="1">
      <alignment horizontal="right"/>
    </xf>
    <xf numFmtId="4" fontId="9" fillId="0" borderId="0" xfId="0" applyNumberFormat="1" applyFont="1" applyAlignment="1">
      <alignment horizontal="right"/>
    </xf>
    <xf numFmtId="43" fontId="9" fillId="0" borderId="0" xfId="0" applyNumberFormat="1" applyFont="1"/>
    <xf numFmtId="0" fontId="9" fillId="0" borderId="0" xfId="0" applyFont="1" applyAlignment="1">
      <alignment horizontal="center" wrapText="1"/>
    </xf>
    <xf numFmtId="0" fontId="14" fillId="0" borderId="0" xfId="0" applyFont="1" applyAlignment="1">
      <alignment vertical="center"/>
    </xf>
    <xf numFmtId="164" fontId="7" fillId="0" borderId="28" xfId="0" applyNumberFormat="1" applyFont="1" applyBorder="1" applyAlignment="1">
      <alignment horizontal="right"/>
    </xf>
    <xf numFmtId="0" fontId="8" fillId="0" borderId="28" xfId="0" applyFont="1" applyBorder="1"/>
    <xf numFmtId="0" fontId="7" fillId="0" borderId="14" xfId="0" applyFont="1" applyBorder="1" applyAlignment="1">
      <alignment vertical="center"/>
    </xf>
    <xf numFmtId="0" fontId="9" fillId="0" borderId="14" xfId="0" applyFont="1" applyBorder="1" applyAlignment="1">
      <alignment vertical="center"/>
    </xf>
    <xf numFmtId="43" fontId="7" fillId="0" borderId="29" xfId="0" applyNumberFormat="1" applyFont="1" applyBorder="1" applyAlignment="1">
      <alignment horizontal="right"/>
    </xf>
    <xf numFmtId="0" fontId="9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7" fillId="0" borderId="13" xfId="0" applyFont="1" applyBorder="1" applyAlignment="1">
      <alignment vertical="center"/>
    </xf>
    <xf numFmtId="43" fontId="7" fillId="0" borderId="30" xfId="0" applyNumberFormat="1" applyFont="1" applyBorder="1" applyAlignment="1">
      <alignment horizontal="right"/>
    </xf>
    <xf numFmtId="0" fontId="8" fillId="0" borderId="31" xfId="0" applyFont="1" applyBorder="1"/>
    <xf numFmtId="0" fontId="8" fillId="0" borderId="32" xfId="0" applyFont="1" applyBorder="1"/>
    <xf numFmtId="43" fontId="9" fillId="0" borderId="0" xfId="0" applyNumberFormat="1" applyFont="1" applyAlignment="1">
      <alignment horizontal="center"/>
    </xf>
    <xf numFmtId="43" fontId="9" fillId="0" borderId="0" xfId="0" applyNumberFormat="1" applyFont="1" applyAlignment="1">
      <alignment horizontal="center"/>
    </xf>
    <xf numFmtId="0" fontId="15" fillId="0" borderId="0" xfId="0" applyFont="1" applyAlignment="1">
      <alignment vertical="center"/>
    </xf>
    <xf numFmtId="0" fontId="16" fillId="0" borderId="0" xfId="0" applyFont="1" applyAlignment="1">
      <alignment vertical="center"/>
    </xf>
    <xf numFmtId="4" fontId="16" fillId="0" borderId="0" xfId="0" applyNumberFormat="1" applyFont="1" applyAlignment="1">
      <alignment horizontal="left"/>
    </xf>
    <xf numFmtId="4" fontId="2" fillId="0" borderId="0" xfId="0" applyNumberFormat="1" applyFont="1" applyAlignment="1">
      <alignment horizontal="right"/>
    </xf>
    <xf numFmtId="43" fontId="2" fillId="0" borderId="0" xfId="0" applyNumberFormat="1" applyFont="1"/>
    <xf numFmtId="0" fontId="16" fillId="0" borderId="0" xfId="0" applyFont="1"/>
    <xf numFmtId="0" fontId="17" fillId="0" borderId="0" xfId="0" applyFont="1"/>
    <xf numFmtId="0" fontId="2" fillId="0" borderId="0" xfId="0" applyFont="1" applyAlignment="1">
      <alignment horizontal="right"/>
    </xf>
    <xf numFmtId="0" fontId="2" fillId="0" borderId="0" xfId="0" applyFont="1" applyAlignment="1">
      <alignment horizontal="center" wrapText="1"/>
    </xf>
    <xf numFmtId="0" fontId="16" fillId="0" borderId="0" xfId="0" applyFont="1" applyAlignment="1">
      <alignment horizontal="left"/>
    </xf>
    <xf numFmtId="4" fontId="2" fillId="0" borderId="0" xfId="0" applyNumberFormat="1" applyFont="1"/>
    <xf numFmtId="0" fontId="2" fillId="0" borderId="0" xfId="0" applyFont="1" applyAlignment="1">
      <alignment horizontal="left" vertical="center"/>
    </xf>
    <xf numFmtId="0" fontId="13" fillId="0" borderId="0" xfId="0" applyFont="1" applyAlignment="1">
      <alignment horizontal="left"/>
    </xf>
    <xf numFmtId="4" fontId="19" fillId="0" borderId="0" xfId="0" applyNumberFormat="1" applyFont="1" applyAlignment="1">
      <alignment horizontal="right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0C76C7-E936-40F1-B1C4-C816C47F9D98}">
  <sheetPr>
    <pageSetUpPr fitToPage="1"/>
  </sheetPr>
  <dimension ref="A1:AM993"/>
  <sheetViews>
    <sheetView tabSelected="1" topLeftCell="B95" workbookViewId="0">
      <selection activeCell="D104" sqref="D104:F104"/>
    </sheetView>
  </sheetViews>
  <sheetFormatPr defaultColWidth="13.81640625" defaultRowHeight="15" customHeight="1" x14ac:dyDescent="0.35"/>
  <cols>
    <col min="1" max="1" width="15.453125" customWidth="1"/>
    <col min="2" max="2" width="10.6328125" customWidth="1"/>
    <col min="3" max="3" width="59.1796875" customWidth="1"/>
    <col min="4" max="4" width="15.1796875" customWidth="1"/>
    <col min="5" max="5" width="13.08984375" customWidth="1"/>
    <col min="6" max="6" width="12.81640625" customWidth="1"/>
    <col min="7" max="7" width="25.36328125" customWidth="1"/>
    <col min="8" max="8" width="18.54296875" customWidth="1"/>
    <col min="9" max="13" width="8.36328125" customWidth="1"/>
    <col min="14" max="34" width="0.453125" customWidth="1"/>
    <col min="35" max="35" width="24.7265625" customWidth="1"/>
    <col min="36" max="37" width="8.36328125" customWidth="1"/>
  </cols>
  <sheetData>
    <row r="1" spans="1:39" ht="15.5" x14ac:dyDescent="0.3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3"/>
      <c r="AK1" s="3"/>
    </row>
    <row r="2" spans="1:39" ht="15.5" x14ac:dyDescent="0.35">
      <c r="A2" s="4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3"/>
      <c r="AK2" s="3"/>
    </row>
    <row r="3" spans="1:39" ht="15.5" x14ac:dyDescent="0.35">
      <c r="A3" s="5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3"/>
      <c r="AK3" s="3"/>
    </row>
    <row r="4" spans="1:39" ht="15.5" x14ac:dyDescent="0.35">
      <c r="A4" s="6" t="s">
        <v>2</v>
      </c>
      <c r="B4" s="2"/>
      <c r="C4" s="2"/>
      <c r="D4" s="2"/>
      <c r="E4" s="2"/>
      <c r="F4" s="2"/>
      <c r="G4" s="2"/>
      <c r="H4" s="7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9"/>
      <c r="AJ4" s="3"/>
      <c r="AK4" s="3"/>
    </row>
    <row r="5" spans="1:39" ht="15.5" x14ac:dyDescent="0.35">
      <c r="A5" s="10"/>
      <c r="B5" s="8"/>
      <c r="C5" s="8"/>
      <c r="D5" s="11"/>
      <c r="E5" s="12"/>
      <c r="F5" s="13"/>
      <c r="G5" s="14"/>
      <c r="H5" s="14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  <c r="AH5" s="9"/>
      <c r="AI5" s="9"/>
      <c r="AJ5" s="3"/>
      <c r="AK5" s="3"/>
    </row>
    <row r="6" spans="1:39" ht="15.5" x14ac:dyDescent="0.35">
      <c r="A6" s="6" t="s">
        <v>3</v>
      </c>
      <c r="B6" s="2"/>
      <c r="C6" s="2"/>
      <c r="D6" s="2"/>
      <c r="E6" s="2"/>
      <c r="F6" s="2"/>
      <c r="G6" s="2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  <c r="AE6" s="15"/>
      <c r="AF6" s="15"/>
      <c r="AG6" s="15"/>
      <c r="AH6" s="15"/>
      <c r="AI6" s="15"/>
      <c r="AJ6" s="3"/>
      <c r="AK6" s="3"/>
    </row>
    <row r="7" spans="1:39" ht="16" thickBot="1" x14ac:dyDescent="0.4">
      <c r="A7" s="16" t="s">
        <v>4</v>
      </c>
      <c r="B7" s="17"/>
      <c r="C7" s="17"/>
      <c r="D7" s="17"/>
      <c r="E7" s="18"/>
      <c r="F7" s="19"/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  <c r="AA7" s="17"/>
      <c r="AB7" s="17"/>
      <c r="AC7" s="17"/>
      <c r="AD7" s="17"/>
      <c r="AE7" s="17"/>
      <c r="AF7" s="17"/>
      <c r="AG7" s="17"/>
      <c r="AH7" s="17"/>
      <c r="AI7" s="17"/>
      <c r="AJ7" s="3"/>
      <c r="AK7" s="3"/>
    </row>
    <row r="8" spans="1:39" ht="30.75" customHeight="1" x14ac:dyDescent="0.35">
      <c r="A8" s="20" t="s">
        <v>5</v>
      </c>
      <c r="B8" s="21" t="s">
        <v>6</v>
      </c>
      <c r="C8" s="21" t="s">
        <v>7</v>
      </c>
      <c r="D8" s="22" t="s">
        <v>8</v>
      </c>
      <c r="E8" s="23" t="s">
        <v>9</v>
      </c>
      <c r="F8" s="24" t="s">
        <v>10</v>
      </c>
      <c r="G8" s="21" t="s">
        <v>11</v>
      </c>
      <c r="H8" s="21" t="s">
        <v>12</v>
      </c>
      <c r="I8" s="25" t="s">
        <v>13</v>
      </c>
      <c r="J8" s="26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  <c r="AB8" s="26"/>
      <c r="AC8" s="26"/>
      <c r="AD8" s="26"/>
      <c r="AE8" s="26"/>
      <c r="AF8" s="26"/>
      <c r="AG8" s="26"/>
      <c r="AH8" s="26"/>
      <c r="AI8" s="27"/>
      <c r="AJ8" s="28"/>
      <c r="AK8" s="28"/>
    </row>
    <row r="9" spans="1:39" ht="30.75" customHeight="1" thickBot="1" x14ac:dyDescent="0.4">
      <c r="A9" s="29"/>
      <c r="B9" s="30"/>
      <c r="C9" s="30"/>
      <c r="D9" s="31" t="s">
        <v>14</v>
      </c>
      <c r="E9" s="30"/>
      <c r="F9" s="30"/>
      <c r="G9" s="30"/>
      <c r="H9" s="30"/>
      <c r="I9" s="31" t="s">
        <v>15</v>
      </c>
      <c r="J9" s="31" t="s">
        <v>16</v>
      </c>
      <c r="K9" s="31" t="s">
        <v>17</v>
      </c>
      <c r="L9" s="32" t="s">
        <v>18</v>
      </c>
      <c r="M9" s="32" t="s">
        <v>19</v>
      </c>
      <c r="N9" s="31" t="s">
        <v>20</v>
      </c>
      <c r="O9" s="31" t="s">
        <v>21</v>
      </c>
      <c r="P9" s="31" t="s">
        <v>22</v>
      </c>
      <c r="Q9" s="31" t="s">
        <v>23</v>
      </c>
      <c r="R9" s="31" t="s">
        <v>24</v>
      </c>
      <c r="S9" s="31" t="s">
        <v>25</v>
      </c>
      <c r="T9" s="31" t="s">
        <v>26</v>
      </c>
      <c r="U9" s="31" t="s">
        <v>27</v>
      </c>
      <c r="V9" s="31" t="s">
        <v>28</v>
      </c>
      <c r="W9" s="31" t="s">
        <v>29</v>
      </c>
      <c r="X9" s="31" t="s">
        <v>30</v>
      </c>
      <c r="Y9" s="31" t="s">
        <v>31</v>
      </c>
      <c r="Z9" s="31" t="s">
        <v>32</v>
      </c>
      <c r="AA9" s="31" t="s">
        <v>33</v>
      </c>
      <c r="AB9" s="31" t="s">
        <v>34</v>
      </c>
      <c r="AC9" s="31" t="s">
        <v>35</v>
      </c>
      <c r="AD9" s="31" t="s">
        <v>36</v>
      </c>
      <c r="AE9" s="31" t="s">
        <v>37</v>
      </c>
      <c r="AF9" s="31" t="s">
        <v>38</v>
      </c>
      <c r="AG9" s="31" t="s">
        <v>39</v>
      </c>
      <c r="AH9" s="31" t="s">
        <v>40</v>
      </c>
      <c r="AI9" s="33" t="s">
        <v>41</v>
      </c>
      <c r="AJ9" s="34"/>
      <c r="AK9" s="28"/>
    </row>
    <row r="10" spans="1:39" ht="46.5" thickBot="1" x14ac:dyDescent="0.4">
      <c r="A10" s="35" t="s">
        <v>42</v>
      </c>
      <c r="B10" s="36" t="s">
        <v>43</v>
      </c>
      <c r="C10" s="36" t="s">
        <v>44</v>
      </c>
      <c r="D10" s="36" t="s">
        <v>45</v>
      </c>
      <c r="E10" s="37" t="s">
        <v>46</v>
      </c>
      <c r="F10" s="38" t="s">
        <v>47</v>
      </c>
      <c r="G10" s="36" t="s">
        <v>48</v>
      </c>
      <c r="H10" s="36" t="s">
        <v>49</v>
      </c>
      <c r="I10" s="36" t="s">
        <v>50</v>
      </c>
      <c r="J10" s="36" t="s">
        <v>51</v>
      </c>
      <c r="K10" s="36" t="s">
        <v>52</v>
      </c>
      <c r="L10" s="36" t="s">
        <v>53</v>
      </c>
      <c r="M10" s="36" t="s">
        <v>54</v>
      </c>
      <c r="N10" s="36" t="s">
        <v>55</v>
      </c>
      <c r="O10" s="36" t="s">
        <v>56</v>
      </c>
      <c r="P10" s="36" t="s">
        <v>57</v>
      </c>
      <c r="Q10" s="36" t="s">
        <v>58</v>
      </c>
      <c r="R10" s="36" t="s">
        <v>59</v>
      </c>
      <c r="S10" s="36" t="s">
        <v>60</v>
      </c>
      <c r="T10" s="36" t="s">
        <v>61</v>
      </c>
      <c r="U10" s="36" t="s">
        <v>62</v>
      </c>
      <c r="V10" s="36" t="s">
        <v>63</v>
      </c>
      <c r="W10" s="36" t="s">
        <v>64</v>
      </c>
      <c r="X10" s="36" t="s">
        <v>65</v>
      </c>
      <c r="Y10" s="36" t="s">
        <v>66</v>
      </c>
      <c r="Z10" s="36" t="s">
        <v>67</v>
      </c>
      <c r="AA10" s="36" t="s">
        <v>68</v>
      </c>
      <c r="AB10" s="36" t="s">
        <v>69</v>
      </c>
      <c r="AC10" s="36" t="s">
        <v>70</v>
      </c>
      <c r="AD10" s="36" t="s">
        <v>71</v>
      </c>
      <c r="AE10" s="36" t="s">
        <v>72</v>
      </c>
      <c r="AF10" s="36" t="s">
        <v>73</v>
      </c>
      <c r="AG10" s="36" t="s">
        <v>74</v>
      </c>
      <c r="AH10" s="36" t="s">
        <v>75</v>
      </c>
      <c r="AI10" s="39" t="s">
        <v>76</v>
      </c>
      <c r="AJ10" s="34"/>
      <c r="AK10" s="28"/>
    </row>
    <row r="11" spans="1:39" ht="14.5" x14ac:dyDescent="0.35">
      <c r="A11" s="40" t="s">
        <v>77</v>
      </c>
      <c r="B11" s="41"/>
      <c r="C11" s="42" t="s">
        <v>78</v>
      </c>
      <c r="D11" s="41"/>
      <c r="E11" s="43"/>
      <c r="F11" s="44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41"/>
      <c r="AA11" s="41"/>
      <c r="AB11" s="41"/>
      <c r="AC11" s="41"/>
      <c r="AD11" s="41"/>
      <c r="AE11" s="41"/>
      <c r="AF11" s="41"/>
      <c r="AG11" s="41"/>
      <c r="AH11" s="41"/>
      <c r="AI11" s="45"/>
      <c r="AJ11" s="34"/>
      <c r="AK11" s="28"/>
    </row>
    <row r="12" spans="1:39" s="56" customFormat="1" ht="14.5" hidden="1" x14ac:dyDescent="0.35">
      <c r="A12" s="46"/>
      <c r="B12" s="47"/>
      <c r="C12" s="48" t="s">
        <v>79</v>
      </c>
      <c r="D12" s="49" t="s">
        <v>80</v>
      </c>
      <c r="E12" s="50">
        <v>700</v>
      </c>
      <c r="F12" s="50">
        <f>E12*27</f>
        <v>18900</v>
      </c>
      <c r="G12" s="51" t="s">
        <v>81</v>
      </c>
      <c r="H12" s="49" t="s">
        <v>82</v>
      </c>
      <c r="I12" s="49">
        <v>27</v>
      </c>
      <c r="J12" s="47"/>
      <c r="K12" s="49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X12" s="47"/>
      <c r="Y12" s="47"/>
      <c r="Z12" s="47"/>
      <c r="AA12" s="47"/>
      <c r="AB12" s="47"/>
      <c r="AC12" s="47"/>
      <c r="AD12" s="47"/>
      <c r="AE12" s="47"/>
      <c r="AF12" s="47"/>
      <c r="AG12" s="47"/>
      <c r="AH12" s="47"/>
      <c r="AI12" s="52"/>
      <c r="AJ12" s="53"/>
      <c r="AK12" s="54"/>
      <c r="AL12" s="55"/>
      <c r="AM12" s="55"/>
    </row>
    <row r="13" spans="1:39" ht="15.75" customHeight="1" x14ac:dyDescent="0.35">
      <c r="A13" s="57"/>
      <c r="B13" s="58"/>
      <c r="C13" s="59" t="s">
        <v>83</v>
      </c>
      <c r="D13" s="60" t="s">
        <v>84</v>
      </c>
      <c r="E13" s="61">
        <v>2200</v>
      </c>
      <c r="F13" s="62">
        <f>E13*4+E14*6</f>
        <v>16000</v>
      </c>
      <c r="G13" s="63" t="s">
        <v>81</v>
      </c>
      <c r="H13" s="60" t="s">
        <v>82</v>
      </c>
      <c r="I13" s="64">
        <v>4</v>
      </c>
      <c r="J13" s="65"/>
      <c r="K13" s="64"/>
      <c r="L13" s="65"/>
      <c r="M13" s="65"/>
      <c r="N13" s="65"/>
      <c r="O13" s="65"/>
      <c r="P13" s="65"/>
      <c r="Q13" s="65"/>
      <c r="R13" s="65"/>
      <c r="S13" s="65"/>
      <c r="T13" s="65"/>
      <c r="U13" s="65"/>
      <c r="V13" s="65"/>
      <c r="W13" s="65"/>
      <c r="X13" s="65"/>
      <c r="Y13" s="65"/>
      <c r="Z13" s="65"/>
      <c r="AA13" s="65"/>
      <c r="AB13" s="65"/>
      <c r="AC13" s="65"/>
      <c r="AD13" s="65"/>
      <c r="AE13" s="65"/>
      <c r="AF13" s="65"/>
      <c r="AG13" s="65"/>
      <c r="AH13" s="65"/>
      <c r="AI13" s="66"/>
      <c r="AJ13" s="34"/>
      <c r="AK13" s="28"/>
    </row>
    <row r="14" spans="1:39" ht="14.5" x14ac:dyDescent="0.35">
      <c r="A14" s="67"/>
      <c r="B14" s="68"/>
      <c r="C14" s="69" t="s">
        <v>85</v>
      </c>
      <c r="D14" s="70"/>
      <c r="E14" s="71">
        <v>1200</v>
      </c>
      <c r="F14" s="72"/>
      <c r="G14" s="73"/>
      <c r="H14" s="70"/>
      <c r="I14" s="74">
        <v>6</v>
      </c>
      <c r="J14" s="74"/>
      <c r="K14" s="74"/>
      <c r="L14" s="75"/>
      <c r="M14" s="75"/>
      <c r="N14" s="75"/>
      <c r="O14" s="75"/>
      <c r="P14" s="75"/>
      <c r="Q14" s="75"/>
      <c r="R14" s="75"/>
      <c r="S14" s="75"/>
      <c r="T14" s="75"/>
      <c r="U14" s="75"/>
      <c r="V14" s="75"/>
      <c r="W14" s="75"/>
      <c r="X14" s="75"/>
      <c r="Y14" s="75"/>
      <c r="Z14" s="75"/>
      <c r="AA14" s="75"/>
      <c r="AB14" s="75"/>
      <c r="AC14" s="75"/>
      <c r="AD14" s="75"/>
      <c r="AE14" s="75"/>
      <c r="AF14" s="75"/>
      <c r="AG14" s="75"/>
      <c r="AH14" s="75"/>
      <c r="AI14" s="75"/>
      <c r="AJ14" s="28"/>
      <c r="AK14" s="28"/>
    </row>
    <row r="15" spans="1:39" ht="23" x14ac:dyDescent="0.35">
      <c r="A15" s="57"/>
      <c r="B15" s="58"/>
      <c r="C15" s="59" t="s">
        <v>86</v>
      </c>
      <c r="D15" s="64" t="s">
        <v>87</v>
      </c>
      <c r="E15" s="61">
        <v>6500</v>
      </c>
      <c r="F15" s="76">
        <f>E15*10</f>
        <v>65000</v>
      </c>
      <c r="G15" s="77" t="s">
        <v>88</v>
      </c>
      <c r="H15" s="78" t="s">
        <v>82</v>
      </c>
      <c r="I15" s="64">
        <v>10</v>
      </c>
      <c r="J15" s="65"/>
      <c r="K15" s="64"/>
      <c r="L15" s="65"/>
      <c r="M15" s="65"/>
      <c r="N15" s="65"/>
      <c r="O15" s="65"/>
      <c r="P15" s="65"/>
      <c r="Q15" s="65"/>
      <c r="R15" s="65"/>
      <c r="S15" s="65"/>
      <c r="T15" s="65"/>
      <c r="U15" s="65"/>
      <c r="V15" s="65"/>
      <c r="W15" s="65"/>
      <c r="X15" s="65"/>
      <c r="Y15" s="65"/>
      <c r="Z15" s="65"/>
      <c r="AA15" s="65"/>
      <c r="AB15" s="65"/>
      <c r="AC15" s="65"/>
      <c r="AD15" s="65"/>
      <c r="AE15" s="65"/>
      <c r="AF15" s="65"/>
      <c r="AG15" s="65"/>
      <c r="AH15" s="65"/>
      <c r="AI15" s="66"/>
      <c r="AJ15" s="34"/>
      <c r="AK15" s="28"/>
      <c r="AL15" s="3"/>
      <c r="AM15" s="3"/>
    </row>
    <row r="16" spans="1:39" ht="15.75" customHeight="1" x14ac:dyDescent="0.35">
      <c r="A16" s="57"/>
      <c r="B16" s="58"/>
      <c r="C16" s="59" t="s">
        <v>89</v>
      </c>
      <c r="D16" s="60" t="s">
        <v>80</v>
      </c>
      <c r="E16" s="61">
        <v>3000</v>
      </c>
      <c r="F16" s="62">
        <f>E16+E17</f>
        <v>7000</v>
      </c>
      <c r="G16" s="79" t="s">
        <v>88</v>
      </c>
      <c r="H16" s="80" t="s">
        <v>82</v>
      </c>
      <c r="I16" s="64">
        <v>1</v>
      </c>
      <c r="J16" s="65"/>
      <c r="K16" s="64"/>
      <c r="L16" s="65"/>
      <c r="M16" s="65"/>
      <c r="N16" s="65"/>
      <c r="O16" s="65"/>
      <c r="P16" s="65"/>
      <c r="Q16" s="65"/>
      <c r="R16" s="65"/>
      <c r="S16" s="65"/>
      <c r="T16" s="65"/>
      <c r="U16" s="65"/>
      <c r="V16" s="65"/>
      <c r="W16" s="65"/>
      <c r="X16" s="65"/>
      <c r="Y16" s="65"/>
      <c r="Z16" s="65"/>
      <c r="AA16" s="65"/>
      <c r="AB16" s="65"/>
      <c r="AC16" s="65"/>
      <c r="AD16" s="65"/>
      <c r="AE16" s="65"/>
      <c r="AF16" s="65"/>
      <c r="AG16" s="65"/>
      <c r="AH16" s="65"/>
      <c r="AI16" s="66"/>
      <c r="AJ16" s="34"/>
      <c r="AK16" s="28"/>
      <c r="AL16" s="3"/>
      <c r="AM16" s="3"/>
    </row>
    <row r="17" spans="1:39" ht="15.75" customHeight="1" x14ac:dyDescent="0.35">
      <c r="A17" s="57"/>
      <c r="B17" s="58"/>
      <c r="C17" s="59" t="s">
        <v>90</v>
      </c>
      <c r="D17" s="81"/>
      <c r="E17" s="61">
        <v>4000</v>
      </c>
      <c r="F17" s="82"/>
      <c r="G17" s="83"/>
      <c r="H17" s="83"/>
      <c r="I17" s="64">
        <v>1</v>
      </c>
      <c r="J17" s="65"/>
      <c r="K17" s="64"/>
      <c r="L17" s="65"/>
      <c r="M17" s="65"/>
      <c r="N17" s="65"/>
      <c r="O17" s="65"/>
      <c r="P17" s="65"/>
      <c r="Q17" s="65"/>
      <c r="R17" s="65"/>
      <c r="S17" s="65"/>
      <c r="T17" s="65"/>
      <c r="U17" s="65"/>
      <c r="V17" s="65"/>
      <c r="W17" s="65"/>
      <c r="X17" s="65"/>
      <c r="Y17" s="65"/>
      <c r="Z17" s="65"/>
      <c r="AA17" s="65"/>
      <c r="AB17" s="65"/>
      <c r="AC17" s="65"/>
      <c r="AD17" s="65"/>
      <c r="AE17" s="65"/>
      <c r="AF17" s="65"/>
      <c r="AG17" s="65"/>
      <c r="AH17" s="65"/>
      <c r="AI17" s="66"/>
      <c r="AJ17" s="34"/>
      <c r="AK17" s="28"/>
      <c r="AL17" s="3"/>
      <c r="AM17" s="3"/>
    </row>
    <row r="18" spans="1:39" ht="15.75" customHeight="1" x14ac:dyDescent="0.35">
      <c r="A18" s="57"/>
      <c r="B18" s="58"/>
      <c r="C18" s="59" t="s">
        <v>91</v>
      </c>
      <c r="D18" s="80" t="s">
        <v>84</v>
      </c>
      <c r="E18" s="61">
        <v>5000</v>
      </c>
      <c r="F18" s="84">
        <f>E18*2+E19*2+E20*2</f>
        <v>25000</v>
      </c>
      <c r="G18" s="85" t="s">
        <v>81</v>
      </c>
      <c r="H18" s="86" t="s">
        <v>82</v>
      </c>
      <c r="I18" s="65"/>
      <c r="J18" s="64">
        <v>10</v>
      </c>
      <c r="K18" s="64"/>
      <c r="L18" s="65"/>
      <c r="M18" s="65"/>
      <c r="N18" s="65"/>
      <c r="O18" s="65"/>
      <c r="P18" s="65"/>
      <c r="Q18" s="65"/>
      <c r="R18" s="65"/>
      <c r="S18" s="65"/>
      <c r="T18" s="65"/>
      <c r="U18" s="65"/>
      <c r="V18" s="65"/>
      <c r="W18" s="65"/>
      <c r="X18" s="65"/>
      <c r="Y18" s="65"/>
      <c r="Z18" s="65"/>
      <c r="AA18" s="65"/>
      <c r="AB18" s="65"/>
      <c r="AC18" s="65"/>
      <c r="AD18" s="65"/>
      <c r="AE18" s="65"/>
      <c r="AF18" s="65"/>
      <c r="AG18" s="65"/>
      <c r="AH18" s="65"/>
      <c r="AI18" s="66"/>
      <c r="AJ18" s="34"/>
      <c r="AK18" s="28"/>
      <c r="AL18" s="3"/>
      <c r="AM18" s="3"/>
    </row>
    <row r="19" spans="1:39" ht="15.75" customHeight="1" x14ac:dyDescent="0.35">
      <c r="A19" s="57"/>
      <c r="B19" s="58"/>
      <c r="C19" s="59" t="s">
        <v>92</v>
      </c>
      <c r="D19" s="87"/>
      <c r="E19" s="61">
        <v>4000</v>
      </c>
      <c r="F19" s="88"/>
      <c r="G19" s="85"/>
      <c r="H19" s="85"/>
      <c r="I19" s="65"/>
      <c r="J19" s="64">
        <v>10</v>
      </c>
      <c r="K19" s="64"/>
      <c r="L19" s="65"/>
      <c r="M19" s="65"/>
      <c r="N19" s="65"/>
      <c r="O19" s="65"/>
      <c r="P19" s="65"/>
      <c r="Q19" s="65"/>
      <c r="R19" s="65"/>
      <c r="S19" s="65"/>
      <c r="T19" s="65"/>
      <c r="U19" s="65"/>
      <c r="V19" s="65"/>
      <c r="W19" s="65"/>
      <c r="X19" s="65"/>
      <c r="Y19" s="65"/>
      <c r="Z19" s="65"/>
      <c r="AA19" s="65"/>
      <c r="AB19" s="65"/>
      <c r="AC19" s="65"/>
      <c r="AD19" s="65"/>
      <c r="AE19" s="65"/>
      <c r="AF19" s="65"/>
      <c r="AG19" s="65"/>
      <c r="AH19" s="65"/>
      <c r="AI19" s="66"/>
      <c r="AJ19" s="34"/>
      <c r="AK19" s="28"/>
      <c r="AL19" s="3"/>
      <c r="AM19" s="3"/>
    </row>
    <row r="20" spans="1:39" ht="15.75" customHeight="1" x14ac:dyDescent="0.35">
      <c r="A20" s="57"/>
      <c r="B20" s="58"/>
      <c r="C20" s="59" t="s">
        <v>93</v>
      </c>
      <c r="D20" s="81"/>
      <c r="E20" s="61">
        <v>3500</v>
      </c>
      <c r="F20" s="82"/>
      <c r="G20" s="89"/>
      <c r="H20" s="89"/>
      <c r="I20" s="65"/>
      <c r="J20" s="90">
        <v>10</v>
      </c>
      <c r="K20" s="64"/>
      <c r="L20" s="65"/>
      <c r="M20" s="65"/>
      <c r="N20" s="65"/>
      <c r="O20" s="65"/>
      <c r="P20" s="65"/>
      <c r="Q20" s="65"/>
      <c r="R20" s="65"/>
      <c r="S20" s="65"/>
      <c r="T20" s="65"/>
      <c r="U20" s="65"/>
      <c r="V20" s="65"/>
      <c r="W20" s="65"/>
      <c r="X20" s="65"/>
      <c r="Y20" s="65"/>
      <c r="Z20" s="65"/>
      <c r="AA20" s="65"/>
      <c r="AB20" s="65"/>
      <c r="AC20" s="65"/>
      <c r="AD20" s="65"/>
      <c r="AE20" s="65"/>
      <c r="AF20" s="65"/>
      <c r="AG20" s="65"/>
      <c r="AH20" s="65"/>
      <c r="AI20" s="66"/>
      <c r="AJ20" s="34"/>
      <c r="AK20" s="28"/>
      <c r="AL20" s="3"/>
      <c r="AM20" s="3"/>
    </row>
    <row r="21" spans="1:39" ht="14.5" x14ac:dyDescent="0.35">
      <c r="A21" s="57"/>
      <c r="B21" s="58"/>
      <c r="C21" s="91" t="s">
        <v>94</v>
      </c>
      <c r="D21" s="92" t="s">
        <v>84</v>
      </c>
      <c r="E21" s="61">
        <v>1000</v>
      </c>
      <c r="F21" s="93">
        <f>E21*6+E22*100+E23*10+E24*100+E25*6+E26*20+E27*4+E28*50+E29*4+E30*30+E31*30+E32*10+E33*10+E34*10+E35*100+E36*50+E37*50+E38*4+E39*20+E40*20+E41*20+E42*100+E43*100+E44*50+E45*100+E46*100+E47*4+E48*10</f>
        <v>280600</v>
      </c>
      <c r="G21" s="94" t="s">
        <v>81</v>
      </c>
      <c r="H21" s="94" t="s">
        <v>82</v>
      </c>
      <c r="I21" s="95"/>
      <c r="J21" s="96">
        <v>6</v>
      </c>
      <c r="K21" s="64"/>
      <c r="L21" s="65"/>
      <c r="M21" s="65"/>
      <c r="N21" s="65"/>
      <c r="O21" s="65"/>
      <c r="P21" s="65"/>
      <c r="Q21" s="65"/>
      <c r="R21" s="65"/>
      <c r="S21" s="65"/>
      <c r="T21" s="65"/>
      <c r="U21" s="65"/>
      <c r="V21" s="65"/>
      <c r="W21" s="65"/>
      <c r="X21" s="65"/>
      <c r="Y21" s="65"/>
      <c r="Z21" s="65"/>
      <c r="AA21" s="65"/>
      <c r="AB21" s="65"/>
      <c r="AC21" s="65"/>
      <c r="AD21" s="65"/>
      <c r="AE21" s="65"/>
      <c r="AF21" s="65"/>
      <c r="AG21" s="65"/>
      <c r="AH21" s="65"/>
      <c r="AI21" s="66"/>
      <c r="AJ21" s="34"/>
      <c r="AK21" s="28"/>
      <c r="AL21" s="3"/>
      <c r="AM21" s="3"/>
    </row>
    <row r="22" spans="1:39" ht="14.5" x14ac:dyDescent="0.35">
      <c r="A22" s="57"/>
      <c r="B22" s="58"/>
      <c r="C22" s="59" t="s">
        <v>95</v>
      </c>
      <c r="D22" s="92"/>
      <c r="E22" s="61">
        <v>250</v>
      </c>
      <c r="F22" s="93"/>
      <c r="G22" s="94"/>
      <c r="H22" s="94"/>
      <c r="I22" s="95"/>
      <c r="J22" s="96">
        <v>100</v>
      </c>
      <c r="K22" s="64"/>
      <c r="L22" s="65"/>
      <c r="M22" s="65"/>
      <c r="N22" s="65"/>
      <c r="O22" s="65"/>
      <c r="P22" s="65"/>
      <c r="Q22" s="65"/>
      <c r="R22" s="65"/>
      <c r="S22" s="65"/>
      <c r="T22" s="65"/>
      <c r="U22" s="65"/>
      <c r="V22" s="65"/>
      <c r="W22" s="65"/>
      <c r="X22" s="65"/>
      <c r="Y22" s="65"/>
      <c r="Z22" s="65"/>
      <c r="AA22" s="65"/>
      <c r="AB22" s="65"/>
      <c r="AC22" s="65"/>
      <c r="AD22" s="65"/>
      <c r="AE22" s="65"/>
      <c r="AF22" s="65"/>
      <c r="AG22" s="65"/>
      <c r="AH22" s="65"/>
      <c r="AI22" s="66"/>
      <c r="AJ22" s="34"/>
      <c r="AK22" s="28"/>
      <c r="AL22" s="3"/>
      <c r="AM22" s="3"/>
    </row>
    <row r="23" spans="1:39" ht="14.5" x14ac:dyDescent="0.35">
      <c r="A23" s="57"/>
      <c r="B23" s="58"/>
      <c r="C23" s="59" t="s">
        <v>96</v>
      </c>
      <c r="D23" s="97"/>
      <c r="E23" s="61">
        <v>80</v>
      </c>
      <c r="F23" s="98"/>
      <c r="G23" s="94"/>
      <c r="H23" s="94"/>
      <c r="I23" s="95"/>
      <c r="J23" s="96">
        <v>10</v>
      </c>
      <c r="K23" s="64"/>
      <c r="L23" s="65"/>
      <c r="M23" s="65"/>
      <c r="N23" s="65"/>
      <c r="O23" s="65"/>
      <c r="P23" s="65"/>
      <c r="Q23" s="65"/>
      <c r="R23" s="65"/>
      <c r="S23" s="65"/>
      <c r="T23" s="65"/>
      <c r="U23" s="65"/>
      <c r="V23" s="65"/>
      <c r="W23" s="65"/>
      <c r="X23" s="65"/>
      <c r="Y23" s="65"/>
      <c r="Z23" s="65"/>
      <c r="AA23" s="65"/>
      <c r="AB23" s="65"/>
      <c r="AC23" s="65"/>
      <c r="AD23" s="65"/>
      <c r="AE23" s="65"/>
      <c r="AF23" s="65"/>
      <c r="AG23" s="65"/>
      <c r="AH23" s="65"/>
      <c r="AI23" s="66"/>
      <c r="AJ23" s="34"/>
      <c r="AK23" s="28"/>
    </row>
    <row r="24" spans="1:39" ht="15.75" customHeight="1" x14ac:dyDescent="0.35">
      <c r="A24" s="57"/>
      <c r="B24" s="58"/>
      <c r="C24" s="91" t="s">
        <v>97</v>
      </c>
      <c r="D24" s="97"/>
      <c r="E24" s="61">
        <v>300</v>
      </c>
      <c r="F24" s="98"/>
      <c r="G24" s="94"/>
      <c r="H24" s="94"/>
      <c r="I24" s="95"/>
      <c r="J24" s="96">
        <v>100</v>
      </c>
      <c r="K24" s="64"/>
      <c r="L24" s="65"/>
      <c r="M24" s="65"/>
      <c r="N24" s="65"/>
      <c r="O24" s="65"/>
      <c r="P24" s="65"/>
      <c r="Q24" s="65"/>
      <c r="R24" s="65"/>
      <c r="S24" s="65"/>
      <c r="T24" s="65"/>
      <c r="U24" s="65"/>
      <c r="V24" s="65"/>
      <c r="W24" s="65"/>
      <c r="X24" s="65"/>
      <c r="Y24" s="65"/>
      <c r="Z24" s="65"/>
      <c r="AA24" s="65"/>
      <c r="AB24" s="65"/>
      <c r="AC24" s="65"/>
      <c r="AD24" s="65"/>
      <c r="AE24" s="65"/>
      <c r="AF24" s="65"/>
      <c r="AG24" s="65"/>
      <c r="AH24" s="65"/>
      <c r="AI24" s="66"/>
      <c r="AJ24" s="34"/>
      <c r="AK24" s="28"/>
    </row>
    <row r="25" spans="1:39" ht="15.75" customHeight="1" x14ac:dyDescent="0.35">
      <c r="A25" s="57"/>
      <c r="B25" s="58"/>
      <c r="C25" s="59" t="s">
        <v>98</v>
      </c>
      <c r="D25" s="97"/>
      <c r="E25" s="61">
        <v>300</v>
      </c>
      <c r="F25" s="98"/>
      <c r="G25" s="94"/>
      <c r="H25" s="94"/>
      <c r="I25" s="95"/>
      <c r="J25" s="96">
        <v>6</v>
      </c>
      <c r="K25" s="64"/>
      <c r="L25" s="65"/>
      <c r="M25" s="65"/>
      <c r="N25" s="65"/>
      <c r="O25" s="65"/>
      <c r="P25" s="65"/>
      <c r="Q25" s="65"/>
      <c r="R25" s="65"/>
      <c r="S25" s="65"/>
      <c r="T25" s="65"/>
      <c r="U25" s="65"/>
      <c r="V25" s="65"/>
      <c r="W25" s="65"/>
      <c r="X25" s="65"/>
      <c r="Y25" s="65"/>
      <c r="Z25" s="65"/>
      <c r="AA25" s="65"/>
      <c r="AB25" s="65"/>
      <c r="AC25" s="65"/>
      <c r="AD25" s="65"/>
      <c r="AE25" s="65"/>
      <c r="AF25" s="65"/>
      <c r="AG25" s="65"/>
      <c r="AH25" s="65"/>
      <c r="AI25" s="66"/>
      <c r="AJ25" s="34"/>
      <c r="AK25" s="28"/>
    </row>
    <row r="26" spans="1:39" ht="15.75" customHeight="1" x14ac:dyDescent="0.35">
      <c r="A26" s="57"/>
      <c r="B26" s="58"/>
      <c r="C26" s="59" t="s">
        <v>99</v>
      </c>
      <c r="D26" s="97"/>
      <c r="E26" s="61">
        <v>150</v>
      </c>
      <c r="F26" s="98"/>
      <c r="G26" s="94"/>
      <c r="H26" s="94"/>
      <c r="I26" s="95"/>
      <c r="J26" s="96">
        <v>20</v>
      </c>
      <c r="K26" s="64"/>
      <c r="L26" s="65"/>
      <c r="M26" s="65"/>
      <c r="N26" s="65"/>
      <c r="O26" s="65"/>
      <c r="P26" s="65"/>
      <c r="Q26" s="65"/>
      <c r="R26" s="65"/>
      <c r="S26" s="65"/>
      <c r="T26" s="65"/>
      <c r="U26" s="65"/>
      <c r="V26" s="65"/>
      <c r="W26" s="65"/>
      <c r="X26" s="65"/>
      <c r="Y26" s="65"/>
      <c r="Z26" s="65"/>
      <c r="AA26" s="65"/>
      <c r="AB26" s="65"/>
      <c r="AC26" s="65"/>
      <c r="AD26" s="65"/>
      <c r="AE26" s="65"/>
      <c r="AF26" s="65"/>
      <c r="AG26" s="65"/>
      <c r="AH26" s="65"/>
      <c r="AI26" s="66"/>
      <c r="AJ26" s="34"/>
      <c r="AK26" s="28"/>
    </row>
    <row r="27" spans="1:39" ht="15.75" customHeight="1" x14ac:dyDescent="0.35">
      <c r="A27" s="57"/>
      <c r="B27" s="58"/>
      <c r="C27" s="91" t="s">
        <v>100</v>
      </c>
      <c r="D27" s="97"/>
      <c r="E27" s="61">
        <v>3000</v>
      </c>
      <c r="F27" s="98"/>
      <c r="G27" s="94"/>
      <c r="H27" s="94"/>
      <c r="I27" s="95"/>
      <c r="J27" s="96">
        <v>4</v>
      </c>
      <c r="K27" s="64"/>
      <c r="L27" s="65"/>
      <c r="M27" s="65"/>
      <c r="N27" s="65"/>
      <c r="O27" s="65"/>
      <c r="P27" s="65"/>
      <c r="Q27" s="65"/>
      <c r="R27" s="65"/>
      <c r="S27" s="65"/>
      <c r="T27" s="65"/>
      <c r="U27" s="65"/>
      <c r="V27" s="65"/>
      <c r="W27" s="65"/>
      <c r="X27" s="65"/>
      <c r="Y27" s="65"/>
      <c r="Z27" s="65"/>
      <c r="AA27" s="65"/>
      <c r="AB27" s="65"/>
      <c r="AC27" s="65"/>
      <c r="AD27" s="65"/>
      <c r="AE27" s="65"/>
      <c r="AF27" s="65"/>
      <c r="AG27" s="65"/>
      <c r="AH27" s="65"/>
      <c r="AI27" s="66"/>
      <c r="AJ27" s="34"/>
      <c r="AK27" s="28"/>
    </row>
    <row r="28" spans="1:39" ht="15.75" customHeight="1" x14ac:dyDescent="0.35">
      <c r="A28" s="57"/>
      <c r="B28" s="58"/>
      <c r="C28" s="91" t="s">
        <v>101</v>
      </c>
      <c r="D28" s="97"/>
      <c r="E28" s="61">
        <v>200</v>
      </c>
      <c r="F28" s="98"/>
      <c r="G28" s="94"/>
      <c r="H28" s="94"/>
      <c r="I28" s="95"/>
      <c r="J28" s="96">
        <v>50</v>
      </c>
      <c r="K28" s="64"/>
      <c r="L28" s="65"/>
      <c r="M28" s="65"/>
      <c r="N28" s="65"/>
      <c r="O28" s="65"/>
      <c r="P28" s="65"/>
      <c r="Q28" s="65"/>
      <c r="R28" s="65"/>
      <c r="S28" s="65"/>
      <c r="T28" s="65"/>
      <c r="U28" s="65"/>
      <c r="V28" s="65"/>
      <c r="W28" s="65"/>
      <c r="X28" s="65"/>
      <c r="Y28" s="65"/>
      <c r="Z28" s="65"/>
      <c r="AA28" s="65"/>
      <c r="AB28" s="65"/>
      <c r="AC28" s="65"/>
      <c r="AD28" s="65"/>
      <c r="AE28" s="65"/>
      <c r="AF28" s="65"/>
      <c r="AG28" s="65"/>
      <c r="AH28" s="65"/>
      <c r="AI28" s="66"/>
      <c r="AJ28" s="34"/>
      <c r="AK28" s="28"/>
    </row>
    <row r="29" spans="1:39" ht="15.75" customHeight="1" x14ac:dyDescent="0.35">
      <c r="A29" s="57"/>
      <c r="B29" s="58"/>
      <c r="C29" s="91" t="s">
        <v>102</v>
      </c>
      <c r="D29" s="97"/>
      <c r="E29" s="61">
        <v>500</v>
      </c>
      <c r="F29" s="98"/>
      <c r="G29" s="94"/>
      <c r="H29" s="94"/>
      <c r="I29" s="95"/>
      <c r="J29" s="96">
        <v>4</v>
      </c>
      <c r="K29" s="64"/>
      <c r="L29" s="65"/>
      <c r="M29" s="65"/>
      <c r="N29" s="65"/>
      <c r="O29" s="65"/>
      <c r="P29" s="65"/>
      <c r="Q29" s="65"/>
      <c r="R29" s="65"/>
      <c r="S29" s="65"/>
      <c r="T29" s="65"/>
      <c r="U29" s="65"/>
      <c r="V29" s="65"/>
      <c r="W29" s="65"/>
      <c r="X29" s="65"/>
      <c r="Y29" s="65"/>
      <c r="Z29" s="65"/>
      <c r="AA29" s="65"/>
      <c r="AB29" s="65"/>
      <c r="AC29" s="65"/>
      <c r="AD29" s="65"/>
      <c r="AE29" s="65"/>
      <c r="AF29" s="65"/>
      <c r="AG29" s="65"/>
      <c r="AH29" s="65"/>
      <c r="AI29" s="66"/>
      <c r="AJ29" s="34"/>
      <c r="AK29" s="28"/>
    </row>
    <row r="30" spans="1:39" ht="15.75" customHeight="1" x14ac:dyDescent="0.35">
      <c r="A30" s="57"/>
      <c r="B30" s="58"/>
      <c r="C30" s="59" t="s">
        <v>103</v>
      </c>
      <c r="D30" s="97"/>
      <c r="E30" s="61">
        <v>70</v>
      </c>
      <c r="F30" s="98"/>
      <c r="G30" s="94"/>
      <c r="H30" s="94"/>
      <c r="I30" s="95"/>
      <c r="J30" s="96">
        <v>30</v>
      </c>
      <c r="K30" s="64"/>
      <c r="L30" s="65"/>
      <c r="M30" s="65"/>
      <c r="N30" s="65"/>
      <c r="O30" s="65"/>
      <c r="P30" s="65"/>
      <c r="Q30" s="65"/>
      <c r="R30" s="65"/>
      <c r="S30" s="65"/>
      <c r="T30" s="65"/>
      <c r="U30" s="65"/>
      <c r="V30" s="65"/>
      <c r="W30" s="65"/>
      <c r="X30" s="65"/>
      <c r="Y30" s="65"/>
      <c r="Z30" s="65"/>
      <c r="AA30" s="65"/>
      <c r="AB30" s="65"/>
      <c r="AC30" s="65"/>
      <c r="AD30" s="65"/>
      <c r="AE30" s="65"/>
      <c r="AF30" s="65"/>
      <c r="AG30" s="65"/>
      <c r="AH30" s="65"/>
      <c r="AI30" s="66"/>
      <c r="AJ30" s="34"/>
      <c r="AK30" s="28"/>
    </row>
    <row r="31" spans="1:39" ht="15.75" customHeight="1" x14ac:dyDescent="0.35">
      <c r="A31" s="57"/>
      <c r="B31" s="58"/>
      <c r="C31" s="59" t="s">
        <v>104</v>
      </c>
      <c r="D31" s="97"/>
      <c r="E31" s="61">
        <v>80</v>
      </c>
      <c r="F31" s="98"/>
      <c r="G31" s="94"/>
      <c r="H31" s="94"/>
      <c r="I31" s="95"/>
      <c r="J31" s="96">
        <v>30</v>
      </c>
      <c r="K31" s="64"/>
      <c r="L31" s="65"/>
      <c r="M31" s="65"/>
      <c r="N31" s="65"/>
      <c r="O31" s="65"/>
      <c r="P31" s="65"/>
      <c r="Q31" s="65"/>
      <c r="R31" s="65"/>
      <c r="S31" s="65"/>
      <c r="T31" s="65"/>
      <c r="U31" s="65"/>
      <c r="V31" s="65"/>
      <c r="W31" s="65"/>
      <c r="X31" s="65"/>
      <c r="Y31" s="65"/>
      <c r="Z31" s="65"/>
      <c r="AA31" s="65"/>
      <c r="AB31" s="65"/>
      <c r="AC31" s="65"/>
      <c r="AD31" s="65"/>
      <c r="AE31" s="65"/>
      <c r="AF31" s="65"/>
      <c r="AG31" s="65"/>
      <c r="AH31" s="65"/>
      <c r="AI31" s="66"/>
      <c r="AJ31" s="34"/>
      <c r="AK31" s="28"/>
    </row>
    <row r="32" spans="1:39" ht="15.75" customHeight="1" x14ac:dyDescent="0.35">
      <c r="A32" s="57"/>
      <c r="B32" s="58"/>
      <c r="C32" s="91" t="s">
        <v>105</v>
      </c>
      <c r="D32" s="97"/>
      <c r="E32" s="61">
        <v>2000</v>
      </c>
      <c r="F32" s="98"/>
      <c r="G32" s="94"/>
      <c r="H32" s="94"/>
      <c r="I32" s="95"/>
      <c r="J32" s="96">
        <v>10</v>
      </c>
      <c r="K32" s="64"/>
      <c r="L32" s="65"/>
      <c r="M32" s="65"/>
      <c r="N32" s="65"/>
      <c r="O32" s="65"/>
      <c r="P32" s="65"/>
      <c r="Q32" s="65"/>
      <c r="R32" s="65"/>
      <c r="S32" s="65"/>
      <c r="T32" s="65"/>
      <c r="U32" s="65"/>
      <c r="V32" s="65"/>
      <c r="W32" s="65"/>
      <c r="X32" s="65"/>
      <c r="Y32" s="65"/>
      <c r="Z32" s="65"/>
      <c r="AA32" s="65"/>
      <c r="AB32" s="65"/>
      <c r="AC32" s="65"/>
      <c r="AD32" s="65"/>
      <c r="AE32" s="65"/>
      <c r="AF32" s="65"/>
      <c r="AG32" s="65"/>
      <c r="AH32" s="65"/>
      <c r="AI32" s="66"/>
      <c r="AJ32" s="34"/>
      <c r="AK32" s="28"/>
    </row>
    <row r="33" spans="1:37" ht="15.75" customHeight="1" x14ac:dyDescent="0.35">
      <c r="A33" s="57"/>
      <c r="B33" s="58"/>
      <c r="C33" s="91" t="s">
        <v>106</v>
      </c>
      <c r="D33" s="97"/>
      <c r="E33" s="61">
        <v>3000</v>
      </c>
      <c r="F33" s="98"/>
      <c r="G33" s="94"/>
      <c r="H33" s="94"/>
      <c r="I33" s="95"/>
      <c r="J33" s="96">
        <v>10</v>
      </c>
      <c r="K33" s="64"/>
      <c r="L33" s="65"/>
      <c r="M33" s="65"/>
      <c r="N33" s="65"/>
      <c r="O33" s="65"/>
      <c r="P33" s="65"/>
      <c r="Q33" s="65"/>
      <c r="R33" s="65"/>
      <c r="S33" s="65"/>
      <c r="T33" s="65"/>
      <c r="U33" s="65"/>
      <c r="V33" s="65"/>
      <c r="W33" s="65"/>
      <c r="X33" s="65"/>
      <c r="Y33" s="65"/>
      <c r="Z33" s="65"/>
      <c r="AA33" s="65"/>
      <c r="AB33" s="65"/>
      <c r="AC33" s="65"/>
      <c r="AD33" s="65"/>
      <c r="AE33" s="65"/>
      <c r="AF33" s="65"/>
      <c r="AG33" s="65"/>
      <c r="AH33" s="65"/>
      <c r="AI33" s="66"/>
      <c r="AJ33" s="34"/>
      <c r="AK33" s="28"/>
    </row>
    <row r="34" spans="1:37" ht="15.75" customHeight="1" x14ac:dyDescent="0.35">
      <c r="A34" s="57"/>
      <c r="B34" s="58"/>
      <c r="C34" s="59" t="s">
        <v>107</v>
      </c>
      <c r="D34" s="97"/>
      <c r="E34" s="61">
        <v>80</v>
      </c>
      <c r="F34" s="98"/>
      <c r="G34" s="94"/>
      <c r="H34" s="94"/>
      <c r="I34" s="95"/>
      <c r="J34" s="96">
        <v>10</v>
      </c>
      <c r="K34" s="64"/>
      <c r="L34" s="65"/>
      <c r="M34" s="65"/>
      <c r="N34" s="65"/>
      <c r="O34" s="65"/>
      <c r="P34" s="65"/>
      <c r="Q34" s="65"/>
      <c r="R34" s="65"/>
      <c r="S34" s="65"/>
      <c r="T34" s="65"/>
      <c r="U34" s="65"/>
      <c r="V34" s="65"/>
      <c r="W34" s="65"/>
      <c r="X34" s="65"/>
      <c r="Y34" s="65"/>
      <c r="Z34" s="65"/>
      <c r="AA34" s="65"/>
      <c r="AB34" s="65"/>
      <c r="AC34" s="65"/>
      <c r="AD34" s="65"/>
      <c r="AE34" s="65"/>
      <c r="AF34" s="65"/>
      <c r="AG34" s="65"/>
      <c r="AH34" s="65"/>
      <c r="AI34" s="66"/>
      <c r="AJ34" s="34"/>
      <c r="AK34" s="28"/>
    </row>
    <row r="35" spans="1:37" ht="15.75" customHeight="1" x14ac:dyDescent="0.35">
      <c r="A35" s="57"/>
      <c r="B35" s="58"/>
      <c r="C35" s="91" t="s">
        <v>108</v>
      </c>
      <c r="D35" s="97"/>
      <c r="E35" s="61">
        <v>70</v>
      </c>
      <c r="F35" s="98"/>
      <c r="G35" s="94"/>
      <c r="H35" s="94"/>
      <c r="I35" s="95"/>
      <c r="J35" s="96">
        <v>100</v>
      </c>
      <c r="K35" s="64"/>
      <c r="L35" s="65"/>
      <c r="M35" s="65"/>
      <c r="N35" s="65"/>
      <c r="O35" s="65"/>
      <c r="P35" s="65"/>
      <c r="Q35" s="65"/>
      <c r="R35" s="65"/>
      <c r="S35" s="65"/>
      <c r="T35" s="65"/>
      <c r="U35" s="65"/>
      <c r="V35" s="65"/>
      <c r="W35" s="65"/>
      <c r="X35" s="65"/>
      <c r="Y35" s="65"/>
      <c r="Z35" s="65"/>
      <c r="AA35" s="65"/>
      <c r="AB35" s="65"/>
      <c r="AC35" s="65"/>
      <c r="AD35" s="65"/>
      <c r="AE35" s="65"/>
      <c r="AF35" s="65"/>
      <c r="AG35" s="65"/>
      <c r="AH35" s="65"/>
      <c r="AI35" s="66"/>
      <c r="AJ35" s="34"/>
      <c r="AK35" s="28"/>
    </row>
    <row r="36" spans="1:37" ht="15.75" customHeight="1" x14ac:dyDescent="0.35">
      <c r="A36" s="57"/>
      <c r="B36" s="58"/>
      <c r="C36" s="91" t="s">
        <v>109</v>
      </c>
      <c r="D36" s="97"/>
      <c r="E36" s="61">
        <v>80</v>
      </c>
      <c r="F36" s="98"/>
      <c r="G36" s="94"/>
      <c r="H36" s="94"/>
      <c r="I36" s="95"/>
      <c r="J36" s="96">
        <v>50</v>
      </c>
      <c r="K36" s="64"/>
      <c r="L36" s="65"/>
      <c r="M36" s="65"/>
      <c r="N36" s="65"/>
      <c r="O36" s="65"/>
      <c r="P36" s="65"/>
      <c r="Q36" s="65"/>
      <c r="R36" s="65"/>
      <c r="S36" s="65"/>
      <c r="T36" s="65"/>
      <c r="U36" s="65"/>
      <c r="V36" s="65"/>
      <c r="W36" s="65"/>
      <c r="X36" s="65"/>
      <c r="Y36" s="65"/>
      <c r="Z36" s="65"/>
      <c r="AA36" s="65"/>
      <c r="AB36" s="65"/>
      <c r="AC36" s="65"/>
      <c r="AD36" s="65"/>
      <c r="AE36" s="65"/>
      <c r="AF36" s="65"/>
      <c r="AG36" s="65"/>
      <c r="AH36" s="65"/>
      <c r="AI36" s="66"/>
      <c r="AJ36" s="34"/>
      <c r="AK36" s="28"/>
    </row>
    <row r="37" spans="1:37" ht="15.75" customHeight="1" x14ac:dyDescent="0.35">
      <c r="A37" s="57"/>
      <c r="B37" s="58"/>
      <c r="C37" s="91" t="s">
        <v>110</v>
      </c>
      <c r="D37" s="97"/>
      <c r="E37" s="61">
        <v>90</v>
      </c>
      <c r="F37" s="98"/>
      <c r="G37" s="94"/>
      <c r="H37" s="94"/>
      <c r="I37" s="95"/>
      <c r="J37" s="96">
        <v>50</v>
      </c>
      <c r="K37" s="64"/>
      <c r="L37" s="65"/>
      <c r="M37" s="65"/>
      <c r="N37" s="65"/>
      <c r="O37" s="65"/>
      <c r="P37" s="65"/>
      <c r="Q37" s="65"/>
      <c r="R37" s="65"/>
      <c r="S37" s="65"/>
      <c r="T37" s="65"/>
      <c r="U37" s="65"/>
      <c r="V37" s="65"/>
      <c r="W37" s="65"/>
      <c r="X37" s="65"/>
      <c r="Y37" s="65"/>
      <c r="Z37" s="65"/>
      <c r="AA37" s="65"/>
      <c r="AB37" s="65"/>
      <c r="AC37" s="65"/>
      <c r="AD37" s="65"/>
      <c r="AE37" s="65"/>
      <c r="AF37" s="65"/>
      <c r="AG37" s="65"/>
      <c r="AH37" s="65"/>
      <c r="AI37" s="66"/>
      <c r="AJ37" s="34"/>
      <c r="AK37" s="28"/>
    </row>
    <row r="38" spans="1:37" ht="15.75" customHeight="1" x14ac:dyDescent="0.35">
      <c r="A38" s="57"/>
      <c r="B38" s="58"/>
      <c r="C38" s="91" t="s">
        <v>111</v>
      </c>
      <c r="D38" s="97"/>
      <c r="E38" s="61">
        <v>500</v>
      </c>
      <c r="F38" s="98"/>
      <c r="G38" s="94"/>
      <c r="H38" s="94"/>
      <c r="I38" s="95"/>
      <c r="J38" s="96">
        <v>4</v>
      </c>
      <c r="K38" s="64"/>
      <c r="L38" s="65"/>
      <c r="M38" s="65"/>
      <c r="N38" s="65"/>
      <c r="O38" s="65"/>
      <c r="P38" s="65"/>
      <c r="Q38" s="65"/>
      <c r="R38" s="65"/>
      <c r="S38" s="65"/>
      <c r="T38" s="65"/>
      <c r="U38" s="65"/>
      <c r="V38" s="65"/>
      <c r="W38" s="65"/>
      <c r="X38" s="65"/>
      <c r="Y38" s="65"/>
      <c r="Z38" s="65"/>
      <c r="AA38" s="65"/>
      <c r="AB38" s="65"/>
      <c r="AC38" s="65"/>
      <c r="AD38" s="65"/>
      <c r="AE38" s="65"/>
      <c r="AF38" s="65"/>
      <c r="AG38" s="65"/>
      <c r="AH38" s="65"/>
      <c r="AI38" s="66"/>
      <c r="AJ38" s="34"/>
      <c r="AK38" s="28"/>
    </row>
    <row r="39" spans="1:37" ht="15.75" customHeight="1" x14ac:dyDescent="0.35">
      <c r="A39" s="57"/>
      <c r="B39" s="58"/>
      <c r="C39" s="59" t="s">
        <v>112</v>
      </c>
      <c r="D39" s="97"/>
      <c r="E39" s="61">
        <v>200</v>
      </c>
      <c r="F39" s="98"/>
      <c r="G39" s="94"/>
      <c r="H39" s="94"/>
      <c r="I39" s="95"/>
      <c r="J39" s="96">
        <v>20</v>
      </c>
      <c r="K39" s="64"/>
      <c r="L39" s="65"/>
      <c r="M39" s="65"/>
      <c r="N39" s="65"/>
      <c r="O39" s="65"/>
      <c r="P39" s="65"/>
      <c r="Q39" s="65"/>
      <c r="R39" s="65"/>
      <c r="S39" s="65"/>
      <c r="T39" s="65"/>
      <c r="U39" s="65"/>
      <c r="V39" s="65"/>
      <c r="W39" s="65"/>
      <c r="X39" s="65"/>
      <c r="Y39" s="65"/>
      <c r="Z39" s="65"/>
      <c r="AA39" s="65"/>
      <c r="AB39" s="65"/>
      <c r="AC39" s="65"/>
      <c r="AD39" s="65"/>
      <c r="AE39" s="65"/>
      <c r="AF39" s="65"/>
      <c r="AG39" s="65"/>
      <c r="AH39" s="65"/>
      <c r="AI39" s="66"/>
      <c r="AJ39" s="34"/>
      <c r="AK39" s="28"/>
    </row>
    <row r="40" spans="1:37" ht="15.75" customHeight="1" x14ac:dyDescent="0.35">
      <c r="A40" s="57"/>
      <c r="B40" s="58"/>
      <c r="C40" s="91" t="s">
        <v>113</v>
      </c>
      <c r="D40" s="97"/>
      <c r="E40" s="61">
        <v>30</v>
      </c>
      <c r="F40" s="98"/>
      <c r="G40" s="94"/>
      <c r="H40" s="94"/>
      <c r="I40" s="95"/>
      <c r="J40" s="96">
        <v>20</v>
      </c>
      <c r="K40" s="64"/>
      <c r="L40" s="65"/>
      <c r="M40" s="65"/>
      <c r="N40" s="65"/>
      <c r="O40" s="65"/>
      <c r="P40" s="65"/>
      <c r="Q40" s="65"/>
      <c r="R40" s="65"/>
      <c r="S40" s="65"/>
      <c r="T40" s="65"/>
      <c r="U40" s="65"/>
      <c r="V40" s="65"/>
      <c r="W40" s="65"/>
      <c r="X40" s="65"/>
      <c r="Y40" s="65"/>
      <c r="Z40" s="65"/>
      <c r="AA40" s="65"/>
      <c r="AB40" s="65"/>
      <c r="AC40" s="65"/>
      <c r="AD40" s="65"/>
      <c r="AE40" s="65"/>
      <c r="AF40" s="65"/>
      <c r="AG40" s="65"/>
      <c r="AH40" s="65"/>
      <c r="AI40" s="66"/>
      <c r="AJ40" s="34"/>
      <c r="AK40" s="28"/>
    </row>
    <row r="41" spans="1:37" ht="15.75" customHeight="1" x14ac:dyDescent="0.35">
      <c r="A41" s="57"/>
      <c r="B41" s="58"/>
      <c r="C41" s="91" t="s">
        <v>114</v>
      </c>
      <c r="D41" s="97"/>
      <c r="E41" s="61">
        <v>50</v>
      </c>
      <c r="F41" s="98"/>
      <c r="G41" s="94"/>
      <c r="H41" s="94"/>
      <c r="I41" s="95"/>
      <c r="J41" s="96">
        <v>20</v>
      </c>
      <c r="K41" s="64"/>
      <c r="L41" s="65"/>
      <c r="M41" s="65"/>
      <c r="N41" s="65"/>
      <c r="O41" s="65"/>
      <c r="P41" s="65"/>
      <c r="Q41" s="65"/>
      <c r="R41" s="65"/>
      <c r="S41" s="65"/>
      <c r="T41" s="65"/>
      <c r="U41" s="65"/>
      <c r="V41" s="65"/>
      <c r="W41" s="65"/>
      <c r="X41" s="65"/>
      <c r="Y41" s="65"/>
      <c r="Z41" s="65"/>
      <c r="AA41" s="65"/>
      <c r="AB41" s="65"/>
      <c r="AC41" s="65"/>
      <c r="AD41" s="65"/>
      <c r="AE41" s="65"/>
      <c r="AF41" s="65"/>
      <c r="AG41" s="65"/>
      <c r="AH41" s="65"/>
      <c r="AI41" s="66"/>
      <c r="AJ41" s="34"/>
      <c r="AK41" s="28"/>
    </row>
    <row r="42" spans="1:37" ht="15.75" customHeight="1" x14ac:dyDescent="0.35">
      <c r="A42" s="57"/>
      <c r="B42" s="58"/>
      <c r="C42" s="91" t="s">
        <v>115</v>
      </c>
      <c r="D42" s="97"/>
      <c r="E42" s="61">
        <v>50</v>
      </c>
      <c r="F42" s="98"/>
      <c r="G42" s="94"/>
      <c r="H42" s="94"/>
      <c r="I42" s="95"/>
      <c r="J42" s="96">
        <v>100</v>
      </c>
      <c r="K42" s="64"/>
      <c r="L42" s="65"/>
      <c r="M42" s="65"/>
      <c r="N42" s="65"/>
      <c r="O42" s="65"/>
      <c r="P42" s="65"/>
      <c r="Q42" s="65"/>
      <c r="R42" s="65"/>
      <c r="S42" s="65"/>
      <c r="T42" s="65"/>
      <c r="U42" s="65"/>
      <c r="V42" s="65"/>
      <c r="W42" s="65"/>
      <c r="X42" s="65"/>
      <c r="Y42" s="65"/>
      <c r="Z42" s="65"/>
      <c r="AA42" s="65"/>
      <c r="AB42" s="65"/>
      <c r="AC42" s="65"/>
      <c r="AD42" s="65"/>
      <c r="AE42" s="65"/>
      <c r="AF42" s="65"/>
      <c r="AG42" s="65"/>
      <c r="AH42" s="65"/>
      <c r="AI42" s="66"/>
      <c r="AJ42" s="34"/>
      <c r="AK42" s="28"/>
    </row>
    <row r="43" spans="1:37" ht="15.75" customHeight="1" x14ac:dyDescent="0.35">
      <c r="A43" s="57"/>
      <c r="B43" s="58"/>
      <c r="C43" s="91" t="s">
        <v>116</v>
      </c>
      <c r="D43" s="97"/>
      <c r="E43" s="61">
        <v>80</v>
      </c>
      <c r="F43" s="98"/>
      <c r="G43" s="94"/>
      <c r="H43" s="94"/>
      <c r="I43" s="95"/>
      <c r="J43" s="96">
        <v>100</v>
      </c>
      <c r="K43" s="64"/>
      <c r="L43" s="65"/>
      <c r="M43" s="65"/>
      <c r="N43" s="65"/>
      <c r="O43" s="65"/>
      <c r="P43" s="65"/>
      <c r="Q43" s="65"/>
      <c r="R43" s="65"/>
      <c r="S43" s="65"/>
      <c r="T43" s="65"/>
      <c r="U43" s="65"/>
      <c r="V43" s="65"/>
      <c r="W43" s="65"/>
      <c r="X43" s="65"/>
      <c r="Y43" s="65"/>
      <c r="Z43" s="65"/>
      <c r="AA43" s="65"/>
      <c r="AB43" s="65"/>
      <c r="AC43" s="65"/>
      <c r="AD43" s="65"/>
      <c r="AE43" s="65"/>
      <c r="AF43" s="65"/>
      <c r="AG43" s="65"/>
      <c r="AH43" s="65"/>
      <c r="AI43" s="66"/>
      <c r="AJ43" s="34"/>
      <c r="AK43" s="28"/>
    </row>
    <row r="44" spans="1:37" ht="15.75" customHeight="1" x14ac:dyDescent="0.35">
      <c r="A44" s="57"/>
      <c r="B44" s="58"/>
      <c r="C44" s="91" t="s">
        <v>117</v>
      </c>
      <c r="D44" s="97"/>
      <c r="E44" s="61">
        <v>300</v>
      </c>
      <c r="F44" s="98"/>
      <c r="G44" s="94"/>
      <c r="H44" s="94"/>
      <c r="I44" s="95"/>
      <c r="J44" s="96">
        <v>50</v>
      </c>
      <c r="K44" s="64"/>
      <c r="L44" s="65"/>
      <c r="M44" s="65"/>
      <c r="N44" s="65"/>
      <c r="O44" s="65"/>
      <c r="P44" s="65"/>
      <c r="Q44" s="65"/>
      <c r="R44" s="65"/>
      <c r="S44" s="65"/>
      <c r="T44" s="65"/>
      <c r="U44" s="65"/>
      <c r="V44" s="65"/>
      <c r="W44" s="65"/>
      <c r="X44" s="65"/>
      <c r="Y44" s="65"/>
      <c r="Z44" s="65"/>
      <c r="AA44" s="65"/>
      <c r="AB44" s="65"/>
      <c r="AC44" s="65"/>
      <c r="AD44" s="65"/>
      <c r="AE44" s="65"/>
      <c r="AF44" s="65"/>
      <c r="AG44" s="65"/>
      <c r="AH44" s="65"/>
      <c r="AI44" s="66"/>
      <c r="AJ44" s="34"/>
      <c r="AK44" s="28"/>
    </row>
    <row r="45" spans="1:37" ht="15.75" customHeight="1" x14ac:dyDescent="0.35">
      <c r="A45" s="57"/>
      <c r="B45" s="58"/>
      <c r="C45" s="91" t="s">
        <v>118</v>
      </c>
      <c r="D45" s="97"/>
      <c r="E45" s="61">
        <v>350</v>
      </c>
      <c r="F45" s="98"/>
      <c r="G45" s="94"/>
      <c r="H45" s="94"/>
      <c r="I45" s="95"/>
      <c r="J45" s="96">
        <v>100</v>
      </c>
      <c r="K45" s="64"/>
      <c r="L45" s="65"/>
      <c r="M45" s="65"/>
      <c r="N45" s="65"/>
      <c r="O45" s="65"/>
      <c r="P45" s="65"/>
      <c r="Q45" s="65"/>
      <c r="R45" s="65"/>
      <c r="S45" s="65"/>
      <c r="T45" s="65"/>
      <c r="U45" s="65"/>
      <c r="V45" s="65"/>
      <c r="W45" s="65"/>
      <c r="X45" s="65"/>
      <c r="Y45" s="65"/>
      <c r="Z45" s="65"/>
      <c r="AA45" s="65"/>
      <c r="AB45" s="65"/>
      <c r="AC45" s="65"/>
      <c r="AD45" s="65"/>
      <c r="AE45" s="65"/>
      <c r="AF45" s="65"/>
      <c r="AG45" s="65"/>
      <c r="AH45" s="65"/>
      <c r="AI45" s="66"/>
      <c r="AJ45" s="34"/>
      <c r="AK45" s="28"/>
    </row>
    <row r="46" spans="1:37" ht="15.75" customHeight="1" x14ac:dyDescent="0.35">
      <c r="A46" s="57"/>
      <c r="B46" s="58"/>
      <c r="C46" s="91" t="s">
        <v>119</v>
      </c>
      <c r="D46" s="97"/>
      <c r="E46" s="61">
        <v>450</v>
      </c>
      <c r="F46" s="98"/>
      <c r="G46" s="94"/>
      <c r="H46" s="94"/>
      <c r="I46" s="95"/>
      <c r="J46" s="96">
        <v>100</v>
      </c>
      <c r="K46" s="64"/>
      <c r="L46" s="65"/>
      <c r="M46" s="65"/>
      <c r="N46" s="65"/>
      <c r="O46" s="65"/>
      <c r="P46" s="65"/>
      <c r="Q46" s="65"/>
      <c r="R46" s="65"/>
      <c r="S46" s="65"/>
      <c r="T46" s="65"/>
      <c r="U46" s="65"/>
      <c r="V46" s="65"/>
      <c r="W46" s="65"/>
      <c r="X46" s="65"/>
      <c r="Y46" s="65"/>
      <c r="Z46" s="65"/>
      <c r="AA46" s="65"/>
      <c r="AB46" s="65"/>
      <c r="AC46" s="65"/>
      <c r="AD46" s="65"/>
      <c r="AE46" s="65"/>
      <c r="AF46" s="65"/>
      <c r="AG46" s="65"/>
      <c r="AH46" s="65"/>
      <c r="AI46" s="66"/>
      <c r="AJ46" s="34"/>
      <c r="AK46" s="28"/>
    </row>
    <row r="47" spans="1:37" ht="15.75" customHeight="1" x14ac:dyDescent="0.35">
      <c r="A47" s="57"/>
      <c r="B47" s="58"/>
      <c r="C47" s="91" t="s">
        <v>120</v>
      </c>
      <c r="D47" s="97"/>
      <c r="E47" s="61">
        <v>400</v>
      </c>
      <c r="F47" s="98"/>
      <c r="G47" s="94"/>
      <c r="H47" s="94"/>
      <c r="I47" s="95"/>
      <c r="J47" s="96">
        <v>4</v>
      </c>
      <c r="K47" s="64"/>
      <c r="L47" s="65"/>
      <c r="M47" s="65"/>
      <c r="N47" s="65"/>
      <c r="O47" s="65"/>
      <c r="P47" s="65"/>
      <c r="Q47" s="65"/>
      <c r="R47" s="65"/>
      <c r="S47" s="65"/>
      <c r="T47" s="65"/>
      <c r="U47" s="65"/>
      <c r="V47" s="65"/>
      <c r="W47" s="65"/>
      <c r="X47" s="65"/>
      <c r="Y47" s="65"/>
      <c r="Z47" s="65"/>
      <c r="AA47" s="65"/>
      <c r="AB47" s="65"/>
      <c r="AC47" s="65"/>
      <c r="AD47" s="65"/>
      <c r="AE47" s="65"/>
      <c r="AF47" s="65"/>
      <c r="AG47" s="65"/>
      <c r="AH47" s="65"/>
      <c r="AI47" s="66"/>
      <c r="AJ47" s="34"/>
      <c r="AK47" s="28"/>
    </row>
    <row r="48" spans="1:37" ht="15.75" customHeight="1" x14ac:dyDescent="0.35">
      <c r="A48" s="57"/>
      <c r="B48" s="58"/>
      <c r="C48" s="91" t="s">
        <v>121</v>
      </c>
      <c r="D48" s="27"/>
      <c r="E48" s="61">
        <v>200</v>
      </c>
      <c r="F48" s="99"/>
      <c r="G48" s="94"/>
      <c r="H48" s="94"/>
      <c r="I48" s="95"/>
      <c r="J48" s="96">
        <v>10</v>
      </c>
      <c r="K48" s="64"/>
      <c r="L48" s="65"/>
      <c r="M48" s="65"/>
      <c r="N48" s="65"/>
      <c r="O48" s="65"/>
      <c r="P48" s="65"/>
      <c r="Q48" s="65"/>
      <c r="R48" s="65"/>
      <c r="S48" s="65"/>
      <c r="T48" s="65"/>
      <c r="U48" s="65"/>
      <c r="V48" s="65"/>
      <c r="W48" s="65"/>
      <c r="X48" s="65"/>
      <c r="Y48" s="65"/>
      <c r="Z48" s="65"/>
      <c r="AA48" s="65"/>
      <c r="AB48" s="65"/>
      <c r="AC48" s="65"/>
      <c r="AD48" s="65"/>
      <c r="AE48" s="65"/>
      <c r="AF48" s="65"/>
      <c r="AG48" s="65"/>
      <c r="AH48" s="65"/>
      <c r="AI48" s="66"/>
      <c r="AJ48" s="34"/>
      <c r="AK48" s="28"/>
    </row>
    <row r="49" spans="1:39" ht="15.75" customHeight="1" x14ac:dyDescent="0.35">
      <c r="A49" s="40" t="s">
        <v>122</v>
      </c>
      <c r="B49" s="100"/>
      <c r="C49" s="101" t="s">
        <v>123</v>
      </c>
      <c r="D49" s="41"/>
      <c r="E49" s="43"/>
      <c r="F49" s="43"/>
      <c r="G49" s="41"/>
      <c r="H49" s="41"/>
      <c r="I49" s="41"/>
      <c r="J49" s="41"/>
      <c r="K49" s="41"/>
      <c r="L49" s="41"/>
      <c r="M49" s="41"/>
      <c r="N49" s="41"/>
      <c r="O49" s="41"/>
      <c r="P49" s="41"/>
      <c r="Q49" s="41"/>
      <c r="R49" s="41"/>
      <c r="S49" s="41"/>
      <c r="T49" s="41"/>
      <c r="U49" s="41"/>
      <c r="V49" s="41"/>
      <c r="W49" s="41"/>
      <c r="X49" s="41"/>
      <c r="Y49" s="41"/>
      <c r="Z49" s="41"/>
      <c r="AA49" s="41"/>
      <c r="AB49" s="41"/>
      <c r="AC49" s="41"/>
      <c r="AD49" s="41"/>
      <c r="AE49" s="41"/>
      <c r="AF49" s="41"/>
      <c r="AG49" s="41"/>
      <c r="AH49" s="41"/>
      <c r="AI49" s="45"/>
      <c r="AJ49" s="34"/>
      <c r="AK49" s="28"/>
    </row>
    <row r="50" spans="1:39" ht="15.75" customHeight="1" x14ac:dyDescent="0.35">
      <c r="A50" s="57"/>
      <c r="B50" s="58"/>
      <c r="C50" s="59" t="s">
        <v>124</v>
      </c>
      <c r="D50" s="92" t="s">
        <v>80</v>
      </c>
      <c r="E50" s="61">
        <v>49000</v>
      </c>
      <c r="F50" s="102">
        <f>E50*2+E51*2</f>
        <v>178000</v>
      </c>
      <c r="G50" s="103" t="s">
        <v>88</v>
      </c>
      <c r="H50" s="92" t="s">
        <v>82</v>
      </c>
      <c r="I50" s="64">
        <v>2</v>
      </c>
      <c r="J50" s="65"/>
      <c r="K50" s="64"/>
      <c r="L50" s="65"/>
      <c r="M50" s="65"/>
      <c r="N50" s="65"/>
      <c r="O50" s="65"/>
      <c r="P50" s="65"/>
      <c r="Q50" s="65"/>
      <c r="R50" s="65"/>
      <c r="S50" s="65"/>
      <c r="T50" s="65"/>
      <c r="U50" s="65"/>
      <c r="V50" s="65"/>
      <c r="W50" s="65"/>
      <c r="X50" s="65"/>
      <c r="Y50" s="65"/>
      <c r="Z50" s="65"/>
      <c r="AA50" s="65"/>
      <c r="AB50" s="65"/>
      <c r="AC50" s="65"/>
      <c r="AD50" s="65"/>
      <c r="AE50" s="65"/>
      <c r="AF50" s="65"/>
      <c r="AG50" s="65"/>
      <c r="AH50" s="65"/>
      <c r="AI50" s="66"/>
      <c r="AJ50" s="34"/>
      <c r="AK50" s="28"/>
    </row>
    <row r="51" spans="1:39" ht="15.75" customHeight="1" x14ac:dyDescent="0.35">
      <c r="A51" s="57"/>
      <c r="B51" s="58"/>
      <c r="C51" s="59" t="s">
        <v>125</v>
      </c>
      <c r="D51" s="27"/>
      <c r="E51" s="61">
        <v>40000</v>
      </c>
      <c r="F51" s="27"/>
      <c r="G51" s="27"/>
      <c r="H51" s="27"/>
      <c r="I51" s="64">
        <v>2</v>
      </c>
      <c r="J51" s="65"/>
      <c r="K51" s="64"/>
      <c r="L51" s="65"/>
      <c r="M51" s="65"/>
      <c r="N51" s="65"/>
      <c r="O51" s="65"/>
      <c r="P51" s="65"/>
      <c r="Q51" s="65"/>
      <c r="R51" s="65"/>
      <c r="S51" s="65"/>
      <c r="T51" s="65"/>
      <c r="U51" s="65"/>
      <c r="V51" s="65"/>
      <c r="W51" s="65"/>
      <c r="X51" s="65"/>
      <c r="Y51" s="65"/>
      <c r="Z51" s="65"/>
      <c r="AA51" s="65"/>
      <c r="AB51" s="65"/>
      <c r="AC51" s="65"/>
      <c r="AD51" s="65"/>
      <c r="AE51" s="65"/>
      <c r="AF51" s="65"/>
      <c r="AG51" s="65"/>
      <c r="AH51" s="65"/>
      <c r="AI51" s="66"/>
      <c r="AJ51" s="34"/>
      <c r="AK51" s="28"/>
    </row>
    <row r="52" spans="1:39" ht="27" customHeight="1" x14ac:dyDescent="0.35">
      <c r="A52" s="57"/>
      <c r="B52" s="58"/>
      <c r="C52" s="59" t="s">
        <v>126</v>
      </c>
      <c r="D52" s="104" t="s">
        <v>127</v>
      </c>
      <c r="E52" s="61">
        <v>6000</v>
      </c>
      <c r="F52" s="105">
        <f>E52*4</f>
        <v>24000</v>
      </c>
      <c r="G52" s="106" t="s">
        <v>88</v>
      </c>
      <c r="H52" s="107" t="s">
        <v>82</v>
      </c>
      <c r="I52" s="64">
        <v>4</v>
      </c>
      <c r="J52" s="65"/>
      <c r="K52" s="64"/>
      <c r="L52" s="65"/>
      <c r="M52" s="65"/>
      <c r="N52" s="65"/>
      <c r="O52" s="65"/>
      <c r="P52" s="65"/>
      <c r="Q52" s="65"/>
      <c r="R52" s="65"/>
      <c r="S52" s="65"/>
      <c r="T52" s="65"/>
      <c r="U52" s="65"/>
      <c r="V52" s="65"/>
      <c r="W52" s="65"/>
      <c r="X52" s="65"/>
      <c r="Y52" s="65"/>
      <c r="Z52" s="65"/>
      <c r="AA52" s="65"/>
      <c r="AB52" s="65"/>
      <c r="AC52" s="65"/>
      <c r="AD52" s="65"/>
      <c r="AE52" s="65"/>
      <c r="AF52" s="65"/>
      <c r="AG52" s="65"/>
      <c r="AH52" s="65"/>
      <c r="AI52" s="66"/>
      <c r="AJ52" s="34"/>
      <c r="AK52" s="28"/>
    </row>
    <row r="53" spans="1:39" ht="15.75" customHeight="1" x14ac:dyDescent="0.35">
      <c r="A53" s="40" t="s">
        <v>128</v>
      </c>
      <c r="B53" s="100"/>
      <c r="C53" s="108" t="s">
        <v>129</v>
      </c>
      <c r="D53" s="41"/>
      <c r="E53" s="43"/>
      <c r="F53" s="44"/>
      <c r="G53" s="41"/>
      <c r="H53" s="41"/>
      <c r="I53" s="41"/>
      <c r="J53" s="41"/>
      <c r="K53" s="41"/>
      <c r="L53" s="41"/>
      <c r="M53" s="41"/>
      <c r="N53" s="41"/>
      <c r="O53" s="41"/>
      <c r="P53" s="41"/>
      <c r="Q53" s="41"/>
      <c r="R53" s="41"/>
      <c r="S53" s="41"/>
      <c r="T53" s="41"/>
      <c r="U53" s="41"/>
      <c r="V53" s="41"/>
      <c r="W53" s="41"/>
      <c r="X53" s="41"/>
      <c r="Y53" s="41"/>
      <c r="Z53" s="41"/>
      <c r="AA53" s="41"/>
      <c r="AB53" s="41"/>
      <c r="AC53" s="41"/>
      <c r="AD53" s="41"/>
      <c r="AE53" s="41"/>
      <c r="AF53" s="41"/>
      <c r="AG53" s="41"/>
      <c r="AH53" s="41"/>
      <c r="AI53" s="45"/>
      <c r="AJ53" s="109"/>
      <c r="AK53" s="110"/>
      <c r="AL53" s="111"/>
      <c r="AM53" s="111"/>
    </row>
    <row r="54" spans="1:39" ht="15.75" customHeight="1" x14ac:dyDescent="0.35">
      <c r="A54" s="57"/>
      <c r="B54" s="58"/>
      <c r="C54" s="59" t="s">
        <v>130</v>
      </c>
      <c r="D54" s="64" t="s">
        <v>80</v>
      </c>
      <c r="E54" s="112">
        <v>17000</v>
      </c>
      <c r="F54" s="112">
        <f>E54*30</f>
        <v>510000</v>
      </c>
      <c r="G54" s="113" t="s">
        <v>131</v>
      </c>
      <c r="H54" s="64" t="s">
        <v>82</v>
      </c>
      <c r="I54" s="64"/>
      <c r="J54" s="64"/>
      <c r="K54" s="64">
        <v>30</v>
      </c>
      <c r="L54" s="65"/>
      <c r="M54" s="65"/>
      <c r="N54" s="65"/>
      <c r="O54" s="65"/>
      <c r="P54" s="65"/>
      <c r="Q54" s="65"/>
      <c r="R54" s="65"/>
      <c r="S54" s="65"/>
      <c r="T54" s="65"/>
      <c r="U54" s="65"/>
      <c r="V54" s="65"/>
      <c r="W54" s="65"/>
      <c r="X54" s="65"/>
      <c r="Y54" s="65"/>
      <c r="Z54" s="65"/>
      <c r="AA54" s="65"/>
      <c r="AB54" s="65"/>
      <c r="AC54" s="65"/>
      <c r="AD54" s="65"/>
      <c r="AE54" s="65"/>
      <c r="AF54" s="65"/>
      <c r="AG54" s="65"/>
      <c r="AH54" s="65"/>
      <c r="AI54" s="66"/>
      <c r="AJ54" s="34"/>
      <c r="AK54" s="28"/>
    </row>
    <row r="55" spans="1:39" ht="15.75" customHeight="1" x14ac:dyDescent="0.35">
      <c r="A55" s="40" t="s">
        <v>132</v>
      </c>
      <c r="B55" s="41"/>
      <c r="C55" s="42" t="s">
        <v>133</v>
      </c>
      <c r="D55" s="41"/>
      <c r="E55" s="43"/>
      <c r="F55" s="44"/>
      <c r="G55" s="41"/>
      <c r="H55" s="41"/>
      <c r="I55" s="41"/>
      <c r="J55" s="41"/>
      <c r="K55" s="41"/>
      <c r="L55" s="41"/>
      <c r="M55" s="41"/>
      <c r="N55" s="41"/>
      <c r="O55" s="41"/>
      <c r="P55" s="41"/>
      <c r="Q55" s="41"/>
      <c r="R55" s="41"/>
      <c r="S55" s="41"/>
      <c r="T55" s="41"/>
      <c r="U55" s="41"/>
      <c r="V55" s="41"/>
      <c r="W55" s="41"/>
      <c r="X55" s="41"/>
      <c r="Y55" s="41"/>
      <c r="Z55" s="41"/>
      <c r="AA55" s="41"/>
      <c r="AB55" s="41"/>
      <c r="AC55" s="41"/>
      <c r="AD55" s="41"/>
      <c r="AE55" s="41"/>
      <c r="AF55" s="41"/>
      <c r="AG55" s="41"/>
      <c r="AH55" s="41"/>
      <c r="AI55" s="45"/>
      <c r="AJ55" s="34"/>
      <c r="AK55" s="28"/>
    </row>
    <row r="56" spans="1:39" ht="27.75" customHeight="1" x14ac:dyDescent="0.35">
      <c r="A56" s="57"/>
      <c r="B56" s="58"/>
      <c r="C56" s="59" t="s">
        <v>134</v>
      </c>
      <c r="D56" s="113" t="s">
        <v>135</v>
      </c>
      <c r="E56" s="61">
        <v>4500</v>
      </c>
      <c r="F56" s="112">
        <f>E56*10</f>
        <v>45000</v>
      </c>
      <c r="G56" s="114" t="s">
        <v>136</v>
      </c>
      <c r="H56" s="64"/>
      <c r="I56" s="64">
        <v>8</v>
      </c>
      <c r="J56" s="64">
        <v>2</v>
      </c>
      <c r="K56" s="64"/>
      <c r="L56" s="65"/>
      <c r="M56" s="65"/>
      <c r="N56" s="65"/>
      <c r="O56" s="65"/>
      <c r="P56" s="65"/>
      <c r="Q56" s="65"/>
      <c r="R56" s="65"/>
      <c r="S56" s="65"/>
      <c r="T56" s="65"/>
      <c r="U56" s="65"/>
      <c r="V56" s="65"/>
      <c r="W56" s="65"/>
      <c r="X56" s="65"/>
      <c r="Y56" s="65"/>
      <c r="Z56" s="65"/>
      <c r="AA56" s="65"/>
      <c r="AB56" s="65"/>
      <c r="AC56" s="65"/>
      <c r="AD56" s="65"/>
      <c r="AE56" s="65"/>
      <c r="AF56" s="65"/>
      <c r="AG56" s="65"/>
      <c r="AH56" s="65"/>
      <c r="AI56" s="66"/>
      <c r="AJ56" s="109"/>
      <c r="AK56" s="110"/>
      <c r="AL56" s="111"/>
      <c r="AM56" s="111"/>
    </row>
    <row r="57" spans="1:39" ht="27.75" customHeight="1" x14ac:dyDescent="0.35">
      <c r="A57" s="57"/>
      <c r="B57" s="58"/>
      <c r="C57" s="59" t="s">
        <v>137</v>
      </c>
      <c r="D57" s="113" t="s">
        <v>84</v>
      </c>
      <c r="E57" s="61">
        <v>50000</v>
      </c>
      <c r="F57" s="112">
        <f>E57*2</f>
        <v>100000</v>
      </c>
      <c r="G57" s="113" t="s">
        <v>138</v>
      </c>
      <c r="H57" s="64"/>
      <c r="I57" s="64">
        <v>1</v>
      </c>
      <c r="J57" s="64">
        <v>1</v>
      </c>
      <c r="K57" s="64"/>
      <c r="L57" s="65"/>
      <c r="M57" s="65"/>
      <c r="N57" s="65"/>
      <c r="O57" s="65"/>
      <c r="P57" s="65"/>
      <c r="Q57" s="65"/>
      <c r="R57" s="65"/>
      <c r="S57" s="65"/>
      <c r="T57" s="65"/>
      <c r="U57" s="65"/>
      <c r="V57" s="65"/>
      <c r="W57" s="65"/>
      <c r="X57" s="65"/>
      <c r="Y57" s="65"/>
      <c r="Z57" s="65"/>
      <c r="AA57" s="65"/>
      <c r="AB57" s="65"/>
      <c r="AC57" s="65"/>
      <c r="AD57" s="65"/>
      <c r="AE57" s="65"/>
      <c r="AF57" s="65"/>
      <c r="AG57" s="65"/>
      <c r="AH57" s="65"/>
      <c r="AI57" s="66"/>
      <c r="AJ57" s="34"/>
      <c r="AK57" s="28"/>
    </row>
    <row r="58" spans="1:39" ht="26.25" customHeight="1" x14ac:dyDescent="0.35">
      <c r="A58" s="115"/>
      <c r="B58" s="116"/>
      <c r="C58" s="117" t="s">
        <v>139</v>
      </c>
      <c r="D58" s="114" t="s">
        <v>140</v>
      </c>
      <c r="E58" s="118">
        <v>300</v>
      </c>
      <c r="F58" s="119">
        <f>E58*15</f>
        <v>4500</v>
      </c>
      <c r="G58" s="114" t="s">
        <v>136</v>
      </c>
      <c r="H58" s="120"/>
      <c r="I58" s="120">
        <v>6</v>
      </c>
      <c r="J58" s="120">
        <v>4</v>
      </c>
      <c r="K58" s="120">
        <v>5</v>
      </c>
      <c r="L58" s="121"/>
      <c r="M58" s="121"/>
      <c r="N58" s="121"/>
      <c r="O58" s="121"/>
      <c r="P58" s="121"/>
      <c r="Q58" s="121"/>
      <c r="R58" s="121"/>
      <c r="S58" s="121"/>
      <c r="T58" s="121"/>
      <c r="U58" s="121"/>
      <c r="V58" s="121"/>
      <c r="W58" s="121"/>
      <c r="X58" s="121"/>
      <c r="Y58" s="121"/>
      <c r="Z58" s="121"/>
      <c r="AA58" s="121"/>
      <c r="AB58" s="121"/>
      <c r="AC58" s="121"/>
      <c r="AD58" s="121"/>
      <c r="AE58" s="121"/>
      <c r="AF58" s="121"/>
      <c r="AG58" s="121"/>
      <c r="AH58" s="121"/>
      <c r="AI58" s="122"/>
      <c r="AJ58" s="34"/>
      <c r="AK58" s="28"/>
    </row>
    <row r="59" spans="1:39" ht="31.5" customHeight="1" x14ac:dyDescent="0.35">
      <c r="A59" s="40" t="s">
        <v>141</v>
      </c>
      <c r="B59" s="100"/>
      <c r="C59" s="108" t="s">
        <v>142</v>
      </c>
      <c r="D59" s="41"/>
      <c r="E59" s="43"/>
      <c r="F59" s="44"/>
      <c r="G59" s="41"/>
      <c r="H59" s="41"/>
      <c r="I59" s="41"/>
      <c r="J59" s="41"/>
      <c r="K59" s="41"/>
      <c r="L59" s="41"/>
      <c r="M59" s="41"/>
      <c r="N59" s="41"/>
      <c r="O59" s="41"/>
      <c r="P59" s="41"/>
      <c r="Q59" s="41"/>
      <c r="R59" s="41"/>
      <c r="S59" s="41"/>
      <c r="T59" s="41"/>
      <c r="U59" s="41"/>
      <c r="V59" s="41"/>
      <c r="W59" s="41"/>
      <c r="X59" s="41"/>
      <c r="Y59" s="41"/>
      <c r="Z59" s="41"/>
      <c r="AA59" s="41"/>
      <c r="AB59" s="41"/>
      <c r="AC59" s="41"/>
      <c r="AD59" s="41"/>
      <c r="AE59" s="41"/>
      <c r="AF59" s="41"/>
      <c r="AG59" s="41"/>
      <c r="AH59" s="41"/>
      <c r="AI59" s="45"/>
      <c r="AJ59" s="34"/>
      <c r="AK59" s="28"/>
    </row>
    <row r="60" spans="1:39" ht="22.5" customHeight="1" x14ac:dyDescent="0.35">
      <c r="A60" s="57"/>
      <c r="B60" s="65"/>
      <c r="C60" s="123" t="s">
        <v>79</v>
      </c>
      <c r="D60" s="64" t="s">
        <v>143</v>
      </c>
      <c r="E60" s="112">
        <v>700</v>
      </c>
      <c r="F60" s="112">
        <f>E60*27</f>
        <v>18900</v>
      </c>
      <c r="G60" s="113" t="s">
        <v>81</v>
      </c>
      <c r="H60" s="64" t="s">
        <v>82</v>
      </c>
      <c r="I60" s="64">
        <v>27</v>
      </c>
      <c r="J60" s="65"/>
      <c r="K60" s="64"/>
      <c r="L60" s="65"/>
      <c r="M60" s="65"/>
      <c r="N60" s="65"/>
      <c r="O60" s="65"/>
      <c r="P60" s="65"/>
      <c r="Q60" s="65"/>
      <c r="R60" s="65"/>
      <c r="S60" s="65"/>
      <c r="T60" s="65"/>
      <c r="U60" s="65"/>
      <c r="V60" s="65"/>
      <c r="W60" s="65"/>
      <c r="X60" s="65"/>
      <c r="Y60" s="65"/>
      <c r="Z60" s="65"/>
      <c r="AA60" s="65"/>
      <c r="AB60" s="65"/>
      <c r="AC60" s="65"/>
      <c r="AD60" s="65"/>
      <c r="AE60" s="65"/>
      <c r="AF60" s="65"/>
      <c r="AG60" s="65"/>
      <c r="AH60" s="65"/>
      <c r="AI60" s="66"/>
      <c r="AJ60" s="34"/>
      <c r="AK60" s="28"/>
      <c r="AL60" s="3"/>
      <c r="AM60" s="3"/>
    </row>
    <row r="61" spans="1:39" ht="22.5" customHeight="1" x14ac:dyDescent="0.35">
      <c r="A61" s="57"/>
      <c r="B61" s="65"/>
      <c r="C61" s="123" t="s">
        <v>144</v>
      </c>
      <c r="D61" s="64" t="s">
        <v>145</v>
      </c>
      <c r="E61" s="112">
        <v>350</v>
      </c>
      <c r="F61" s="112">
        <f>E61*35</f>
        <v>12250</v>
      </c>
      <c r="G61" s="113" t="s">
        <v>88</v>
      </c>
      <c r="H61" s="64" t="s">
        <v>82</v>
      </c>
      <c r="I61" s="64"/>
      <c r="J61" s="64">
        <v>35</v>
      </c>
      <c r="K61" s="64"/>
      <c r="L61" s="65"/>
      <c r="M61" s="65"/>
      <c r="N61" s="65"/>
      <c r="O61" s="65"/>
      <c r="P61" s="65"/>
      <c r="Q61" s="65"/>
      <c r="R61" s="65"/>
      <c r="S61" s="65"/>
      <c r="T61" s="65"/>
      <c r="U61" s="65"/>
      <c r="V61" s="65"/>
      <c r="W61" s="65"/>
      <c r="X61" s="65"/>
      <c r="Y61" s="65"/>
      <c r="Z61" s="65"/>
      <c r="AA61" s="65"/>
      <c r="AB61" s="65"/>
      <c r="AC61" s="65"/>
      <c r="AD61" s="65"/>
      <c r="AE61" s="65"/>
      <c r="AF61" s="65"/>
      <c r="AG61" s="65"/>
      <c r="AH61" s="65"/>
      <c r="AI61" s="66"/>
      <c r="AJ61" s="34"/>
      <c r="AK61" s="28"/>
      <c r="AL61" s="3"/>
      <c r="AM61" s="3"/>
    </row>
    <row r="62" spans="1:39" ht="22.5" customHeight="1" x14ac:dyDescent="0.35">
      <c r="A62" s="57"/>
      <c r="B62" s="65"/>
      <c r="C62" s="123" t="s">
        <v>146</v>
      </c>
      <c r="D62" s="64" t="s">
        <v>147</v>
      </c>
      <c r="E62" s="112">
        <v>200</v>
      </c>
      <c r="F62" s="112">
        <f>E62*1000</f>
        <v>200000</v>
      </c>
      <c r="G62" s="113" t="s">
        <v>88</v>
      </c>
      <c r="H62" s="64" t="s">
        <v>82</v>
      </c>
      <c r="I62" s="64"/>
      <c r="J62" s="64">
        <v>1000</v>
      </c>
      <c r="K62" s="64"/>
      <c r="L62" s="65"/>
      <c r="M62" s="65"/>
      <c r="N62" s="65"/>
      <c r="O62" s="65"/>
      <c r="P62" s="65"/>
      <c r="Q62" s="65"/>
      <c r="R62" s="65"/>
      <c r="S62" s="65"/>
      <c r="T62" s="65"/>
      <c r="U62" s="65"/>
      <c r="V62" s="65"/>
      <c r="W62" s="65"/>
      <c r="X62" s="65"/>
      <c r="Y62" s="65"/>
      <c r="Z62" s="65"/>
      <c r="AA62" s="65"/>
      <c r="AB62" s="65"/>
      <c r="AC62" s="65"/>
      <c r="AD62" s="65"/>
      <c r="AE62" s="65"/>
      <c r="AF62" s="65"/>
      <c r="AG62" s="65"/>
      <c r="AH62" s="65"/>
      <c r="AI62" s="66"/>
      <c r="AJ62" s="34"/>
      <c r="AK62" s="28"/>
      <c r="AL62" s="3"/>
      <c r="AM62" s="3"/>
    </row>
    <row r="63" spans="1:39" s="135" customFormat="1" ht="20.25" customHeight="1" x14ac:dyDescent="0.35">
      <c r="A63" s="124"/>
      <c r="B63" s="125"/>
      <c r="C63" s="126" t="s">
        <v>148</v>
      </c>
      <c r="D63" s="107" t="s">
        <v>149</v>
      </c>
      <c r="E63" s="127">
        <v>15000</v>
      </c>
      <c r="F63" s="128">
        <f>E63*2</f>
        <v>30000</v>
      </c>
      <c r="G63" s="129" t="s">
        <v>81</v>
      </c>
      <c r="H63" s="107" t="s">
        <v>82</v>
      </c>
      <c r="I63" s="107">
        <v>2</v>
      </c>
      <c r="J63" s="130"/>
      <c r="K63" s="107"/>
      <c r="L63" s="130"/>
      <c r="M63" s="130"/>
      <c r="N63" s="130"/>
      <c r="O63" s="130"/>
      <c r="P63" s="130"/>
      <c r="Q63" s="130"/>
      <c r="R63" s="130"/>
      <c r="S63" s="130"/>
      <c r="T63" s="130"/>
      <c r="U63" s="130"/>
      <c r="V63" s="130"/>
      <c r="W63" s="130"/>
      <c r="X63" s="130"/>
      <c r="Y63" s="130"/>
      <c r="Z63" s="130"/>
      <c r="AA63" s="130"/>
      <c r="AB63" s="130"/>
      <c r="AC63" s="130"/>
      <c r="AD63" s="130"/>
      <c r="AE63" s="130"/>
      <c r="AF63" s="130"/>
      <c r="AG63" s="130"/>
      <c r="AH63" s="130"/>
      <c r="AI63" s="131"/>
      <c r="AJ63" s="132"/>
      <c r="AK63" s="133"/>
      <c r="AL63" s="134"/>
      <c r="AM63" s="134"/>
    </row>
    <row r="64" spans="1:39" ht="15.75" customHeight="1" x14ac:dyDescent="0.35">
      <c r="A64" s="57"/>
      <c r="B64" s="58"/>
      <c r="C64" s="59" t="s">
        <v>150</v>
      </c>
      <c r="D64" s="64" t="s">
        <v>151</v>
      </c>
      <c r="E64" s="61">
        <v>6500</v>
      </c>
      <c r="F64" s="136">
        <f t="shared" ref="F64:F67" si="0">E64*4</f>
        <v>26000</v>
      </c>
      <c r="G64" s="113" t="s">
        <v>81</v>
      </c>
      <c r="H64" s="64" t="s">
        <v>82</v>
      </c>
      <c r="I64" s="64">
        <v>4</v>
      </c>
      <c r="J64" s="65"/>
      <c r="K64" s="65"/>
      <c r="L64" s="65"/>
      <c r="M64" s="65"/>
      <c r="N64" s="65"/>
      <c r="O64" s="65"/>
      <c r="P64" s="65"/>
      <c r="Q64" s="65"/>
      <c r="R64" s="65"/>
      <c r="S64" s="65"/>
      <c r="T64" s="65"/>
      <c r="U64" s="65"/>
      <c r="V64" s="65"/>
      <c r="W64" s="65"/>
      <c r="X64" s="65"/>
      <c r="Y64" s="65"/>
      <c r="Z64" s="65"/>
      <c r="AA64" s="65"/>
      <c r="AB64" s="65"/>
      <c r="AC64" s="65"/>
      <c r="AD64" s="65"/>
      <c r="AE64" s="65"/>
      <c r="AF64" s="65"/>
      <c r="AG64" s="65"/>
      <c r="AH64" s="65"/>
      <c r="AI64" s="66"/>
      <c r="AJ64" s="34"/>
      <c r="AK64" s="28"/>
    </row>
    <row r="65" spans="1:39" ht="15.75" customHeight="1" x14ac:dyDescent="0.35">
      <c r="A65" s="57"/>
      <c r="B65" s="58"/>
      <c r="C65" s="59" t="s">
        <v>152</v>
      </c>
      <c r="D65" s="64" t="s">
        <v>127</v>
      </c>
      <c r="E65" s="61">
        <v>26000</v>
      </c>
      <c r="F65" s="112">
        <f t="shared" si="0"/>
        <v>104000</v>
      </c>
      <c r="G65" s="113" t="s">
        <v>81</v>
      </c>
      <c r="H65" s="64" t="s">
        <v>82</v>
      </c>
      <c r="I65" s="64">
        <v>4</v>
      </c>
      <c r="J65" s="65"/>
      <c r="K65" s="64"/>
      <c r="L65" s="65"/>
      <c r="M65" s="65"/>
      <c r="N65" s="65"/>
      <c r="O65" s="65"/>
      <c r="P65" s="65"/>
      <c r="Q65" s="65"/>
      <c r="R65" s="65"/>
      <c r="S65" s="65"/>
      <c r="T65" s="65"/>
      <c r="U65" s="65"/>
      <c r="V65" s="65"/>
      <c r="W65" s="65"/>
      <c r="X65" s="65"/>
      <c r="Y65" s="65"/>
      <c r="Z65" s="65"/>
      <c r="AA65" s="65"/>
      <c r="AB65" s="65"/>
      <c r="AC65" s="65"/>
      <c r="AD65" s="65"/>
      <c r="AE65" s="65"/>
      <c r="AF65" s="65"/>
      <c r="AG65" s="65"/>
      <c r="AH65" s="65"/>
      <c r="AI65" s="66"/>
      <c r="AJ65" s="34"/>
      <c r="AK65" s="28"/>
      <c r="AL65" s="3"/>
      <c r="AM65" s="3"/>
    </row>
    <row r="66" spans="1:39" ht="15.75" customHeight="1" x14ac:dyDescent="0.35">
      <c r="A66" s="57"/>
      <c r="B66" s="58"/>
      <c r="C66" s="59" t="s">
        <v>153</v>
      </c>
      <c r="D66" s="64" t="s">
        <v>127</v>
      </c>
      <c r="E66" s="61">
        <v>4000</v>
      </c>
      <c r="F66" s="112">
        <f t="shared" si="0"/>
        <v>16000</v>
      </c>
      <c r="G66" s="113" t="s">
        <v>81</v>
      </c>
      <c r="H66" s="64" t="s">
        <v>82</v>
      </c>
      <c r="I66" s="64">
        <v>4</v>
      </c>
      <c r="J66" s="64"/>
      <c r="K66" s="65"/>
      <c r="L66" s="65"/>
      <c r="M66" s="65"/>
      <c r="N66" s="65"/>
      <c r="O66" s="65"/>
      <c r="P66" s="65"/>
      <c r="Q66" s="65"/>
      <c r="R66" s="65"/>
      <c r="S66" s="65"/>
      <c r="T66" s="65"/>
      <c r="U66" s="65"/>
      <c r="V66" s="65"/>
      <c r="W66" s="65"/>
      <c r="X66" s="65"/>
      <c r="Y66" s="65"/>
      <c r="Z66" s="65"/>
      <c r="AA66" s="65"/>
      <c r="AB66" s="65"/>
      <c r="AC66" s="65"/>
      <c r="AD66" s="65"/>
      <c r="AE66" s="65"/>
      <c r="AF66" s="65"/>
      <c r="AG66" s="65"/>
      <c r="AH66" s="65"/>
      <c r="AI66" s="66"/>
      <c r="AJ66" s="34"/>
      <c r="AK66" s="28"/>
      <c r="AL66" s="3"/>
      <c r="AM66" s="3"/>
    </row>
    <row r="67" spans="1:39" ht="15.75" customHeight="1" x14ac:dyDescent="0.35">
      <c r="A67" s="57"/>
      <c r="B67" s="58"/>
      <c r="C67" s="59" t="s">
        <v>154</v>
      </c>
      <c r="D67" s="64" t="s">
        <v>84</v>
      </c>
      <c r="E67" s="61">
        <v>7000</v>
      </c>
      <c r="F67" s="112">
        <f t="shared" si="0"/>
        <v>28000</v>
      </c>
      <c r="G67" s="113" t="s">
        <v>81</v>
      </c>
      <c r="H67" s="64" t="s">
        <v>82</v>
      </c>
      <c r="I67" s="64">
        <v>4</v>
      </c>
      <c r="J67" s="65"/>
      <c r="K67" s="64"/>
      <c r="L67" s="65"/>
      <c r="M67" s="65"/>
      <c r="N67" s="65"/>
      <c r="O67" s="65"/>
      <c r="P67" s="65"/>
      <c r="Q67" s="65"/>
      <c r="R67" s="65"/>
      <c r="S67" s="65"/>
      <c r="T67" s="65"/>
      <c r="U67" s="65"/>
      <c r="V67" s="65"/>
      <c r="W67" s="65"/>
      <c r="X67" s="65"/>
      <c r="Y67" s="65"/>
      <c r="Z67" s="65"/>
      <c r="AA67" s="65"/>
      <c r="AB67" s="65"/>
      <c r="AC67" s="65"/>
      <c r="AD67" s="65"/>
      <c r="AE67" s="65"/>
      <c r="AF67" s="65"/>
      <c r="AG67" s="65"/>
      <c r="AH67" s="65"/>
      <c r="AI67" s="66"/>
      <c r="AJ67" s="34"/>
      <c r="AK67" s="28"/>
    </row>
    <row r="68" spans="1:39" ht="15.75" customHeight="1" x14ac:dyDescent="0.35">
      <c r="A68" s="40" t="s">
        <v>155</v>
      </c>
      <c r="B68" s="100"/>
      <c r="C68" s="108" t="s">
        <v>156</v>
      </c>
      <c r="D68" s="41"/>
      <c r="E68" s="43"/>
      <c r="F68" s="44"/>
      <c r="G68" s="41"/>
      <c r="H68" s="41"/>
      <c r="I68" s="41"/>
      <c r="J68" s="41"/>
      <c r="K68" s="41"/>
      <c r="L68" s="41"/>
      <c r="M68" s="41"/>
      <c r="N68" s="41"/>
      <c r="O68" s="41"/>
      <c r="P68" s="41"/>
      <c r="Q68" s="41"/>
      <c r="R68" s="41"/>
      <c r="S68" s="41"/>
      <c r="T68" s="41"/>
      <c r="U68" s="41"/>
      <c r="V68" s="41"/>
      <c r="W68" s="41"/>
      <c r="X68" s="41"/>
      <c r="Y68" s="41"/>
      <c r="Z68" s="41"/>
      <c r="AA68" s="41"/>
      <c r="AB68" s="41"/>
      <c r="AC68" s="41"/>
      <c r="AD68" s="41"/>
      <c r="AE68" s="41"/>
      <c r="AF68" s="41"/>
      <c r="AG68" s="41"/>
      <c r="AH68" s="41"/>
      <c r="AI68" s="45"/>
      <c r="AJ68" s="34"/>
      <c r="AK68" s="28"/>
    </row>
    <row r="69" spans="1:39" ht="15.75" customHeight="1" x14ac:dyDescent="0.35">
      <c r="A69" s="57"/>
      <c r="B69" s="58"/>
      <c r="C69" s="59" t="s">
        <v>157</v>
      </c>
      <c r="D69" s="113" t="s">
        <v>84</v>
      </c>
      <c r="E69" s="61">
        <v>10000</v>
      </c>
      <c r="F69" s="112">
        <f>E69*2</f>
        <v>20000</v>
      </c>
      <c r="G69" s="113" t="s">
        <v>158</v>
      </c>
      <c r="H69" s="64" t="s">
        <v>82</v>
      </c>
      <c r="I69" s="65"/>
      <c r="J69" s="64">
        <v>2</v>
      </c>
      <c r="K69" s="65"/>
      <c r="L69" s="65"/>
      <c r="M69" s="65"/>
      <c r="N69" s="65"/>
      <c r="O69" s="65"/>
      <c r="P69" s="65"/>
      <c r="Q69" s="65"/>
      <c r="R69" s="65"/>
      <c r="S69" s="65"/>
      <c r="T69" s="65"/>
      <c r="U69" s="65"/>
      <c r="V69" s="65"/>
      <c r="W69" s="65"/>
      <c r="X69" s="65"/>
      <c r="Y69" s="65"/>
      <c r="Z69" s="65"/>
      <c r="AA69" s="65"/>
      <c r="AB69" s="65"/>
      <c r="AC69" s="65"/>
      <c r="AD69" s="65"/>
      <c r="AE69" s="65"/>
      <c r="AF69" s="65"/>
      <c r="AG69" s="65"/>
      <c r="AH69" s="65"/>
      <c r="AI69" s="66"/>
      <c r="AJ69" s="34"/>
      <c r="AK69" s="28"/>
    </row>
    <row r="70" spans="1:39" ht="15.75" customHeight="1" x14ac:dyDescent="0.35">
      <c r="A70" s="40" t="s">
        <v>159</v>
      </c>
      <c r="B70" s="41"/>
      <c r="C70" s="137" t="s">
        <v>160</v>
      </c>
      <c r="D70" s="41"/>
      <c r="E70" s="43"/>
      <c r="F70" s="44"/>
      <c r="G70" s="41"/>
      <c r="H70" s="41"/>
      <c r="I70" s="41"/>
      <c r="J70" s="41"/>
      <c r="K70" s="41"/>
      <c r="L70" s="41"/>
      <c r="M70" s="41"/>
      <c r="N70" s="41"/>
      <c r="O70" s="41"/>
      <c r="P70" s="41"/>
      <c r="Q70" s="41"/>
      <c r="R70" s="41"/>
      <c r="S70" s="41"/>
      <c r="T70" s="41"/>
      <c r="U70" s="41"/>
      <c r="V70" s="41"/>
      <c r="W70" s="41"/>
      <c r="X70" s="41"/>
      <c r="Y70" s="41"/>
      <c r="Z70" s="41"/>
      <c r="AA70" s="41"/>
      <c r="AB70" s="41"/>
      <c r="AC70" s="41"/>
      <c r="AD70" s="41"/>
      <c r="AE70" s="41"/>
      <c r="AF70" s="41"/>
      <c r="AG70" s="41"/>
      <c r="AH70" s="41"/>
      <c r="AI70" s="45"/>
      <c r="AJ70" s="34"/>
      <c r="AK70" s="28"/>
    </row>
    <row r="71" spans="1:39" s="135" customFormat="1" ht="15.75" customHeight="1" x14ac:dyDescent="0.35">
      <c r="A71" s="124"/>
      <c r="B71" s="125"/>
      <c r="C71" s="126" t="s">
        <v>161</v>
      </c>
      <c r="D71" s="107" t="s">
        <v>162</v>
      </c>
      <c r="E71" s="127">
        <v>500</v>
      </c>
      <c r="F71" s="127">
        <f>E71*20</f>
        <v>10000</v>
      </c>
      <c r="G71" s="129" t="s">
        <v>81</v>
      </c>
      <c r="H71" s="107" t="s">
        <v>82</v>
      </c>
      <c r="I71" s="107">
        <v>20</v>
      </c>
      <c r="J71" s="107"/>
      <c r="K71" s="130"/>
      <c r="L71" s="130"/>
      <c r="M71" s="130"/>
      <c r="N71" s="130"/>
      <c r="O71" s="130"/>
      <c r="P71" s="130"/>
      <c r="Q71" s="130"/>
      <c r="R71" s="130"/>
      <c r="S71" s="130"/>
      <c r="T71" s="130"/>
      <c r="U71" s="130"/>
      <c r="V71" s="130"/>
      <c r="W71" s="130"/>
      <c r="X71" s="130"/>
      <c r="Y71" s="130"/>
      <c r="Z71" s="130"/>
      <c r="AA71" s="130"/>
      <c r="AB71" s="130"/>
      <c r="AC71" s="130"/>
      <c r="AD71" s="130"/>
      <c r="AE71" s="130"/>
      <c r="AF71" s="130"/>
      <c r="AG71" s="130"/>
      <c r="AH71" s="130"/>
      <c r="AI71" s="131"/>
      <c r="AJ71" s="132"/>
      <c r="AK71" s="133"/>
      <c r="AL71" s="134"/>
      <c r="AM71" s="134"/>
    </row>
    <row r="72" spans="1:39" s="135" customFormat="1" ht="15.75" customHeight="1" x14ac:dyDescent="0.35">
      <c r="A72" s="124"/>
      <c r="B72" s="125"/>
      <c r="C72" s="126" t="s">
        <v>163</v>
      </c>
      <c r="D72" s="94" t="s">
        <v>80</v>
      </c>
      <c r="E72" s="127">
        <v>10000</v>
      </c>
      <c r="F72" s="138">
        <f>(E72*3)+(E73*20)</f>
        <v>70000</v>
      </c>
      <c r="G72" s="139" t="s">
        <v>81</v>
      </c>
      <c r="H72" s="107" t="s">
        <v>82</v>
      </c>
      <c r="I72" s="107">
        <v>3</v>
      </c>
      <c r="J72" s="107"/>
      <c r="K72" s="130"/>
      <c r="L72" s="130"/>
      <c r="M72" s="130"/>
      <c r="N72" s="130"/>
      <c r="O72" s="130"/>
      <c r="P72" s="130"/>
      <c r="Q72" s="130"/>
      <c r="R72" s="130"/>
      <c r="S72" s="130"/>
      <c r="T72" s="130"/>
      <c r="U72" s="130"/>
      <c r="V72" s="130"/>
      <c r="W72" s="130"/>
      <c r="X72" s="130"/>
      <c r="Y72" s="130"/>
      <c r="Z72" s="130"/>
      <c r="AA72" s="130"/>
      <c r="AB72" s="130"/>
      <c r="AC72" s="130"/>
      <c r="AD72" s="130"/>
      <c r="AE72" s="130"/>
      <c r="AF72" s="130"/>
      <c r="AG72" s="130"/>
      <c r="AH72" s="130"/>
      <c r="AI72" s="131"/>
      <c r="AJ72" s="132"/>
      <c r="AK72" s="133"/>
    </row>
    <row r="73" spans="1:39" s="135" customFormat="1" ht="15.75" customHeight="1" x14ac:dyDescent="0.35">
      <c r="A73" s="124"/>
      <c r="B73" s="130"/>
      <c r="C73" s="140" t="s">
        <v>164</v>
      </c>
      <c r="D73" s="27"/>
      <c r="E73" s="127">
        <v>2000</v>
      </c>
      <c r="F73" s="27"/>
      <c r="G73" s="27"/>
      <c r="H73" s="107" t="s">
        <v>82</v>
      </c>
      <c r="I73" s="107">
        <v>20</v>
      </c>
      <c r="J73" s="107"/>
      <c r="K73" s="130"/>
      <c r="L73" s="130"/>
      <c r="M73" s="130"/>
      <c r="N73" s="130"/>
      <c r="O73" s="130"/>
      <c r="P73" s="130"/>
      <c r="Q73" s="130"/>
      <c r="R73" s="130"/>
      <c r="S73" s="130"/>
      <c r="T73" s="130"/>
      <c r="U73" s="130"/>
      <c r="V73" s="130"/>
      <c r="W73" s="130"/>
      <c r="X73" s="130"/>
      <c r="Y73" s="130"/>
      <c r="Z73" s="130"/>
      <c r="AA73" s="130"/>
      <c r="AB73" s="130"/>
      <c r="AC73" s="130"/>
      <c r="AD73" s="130"/>
      <c r="AE73" s="130"/>
      <c r="AF73" s="130"/>
      <c r="AG73" s="130"/>
      <c r="AH73" s="130"/>
      <c r="AI73" s="131"/>
      <c r="AJ73" s="132"/>
      <c r="AK73" s="133"/>
    </row>
    <row r="74" spans="1:39" s="135" customFormat="1" ht="15.75" customHeight="1" x14ac:dyDescent="0.35">
      <c r="A74" s="124"/>
      <c r="B74" s="130"/>
      <c r="C74" s="140" t="s">
        <v>165</v>
      </c>
      <c r="D74" s="141" t="s">
        <v>149</v>
      </c>
      <c r="E74" s="127">
        <v>10000</v>
      </c>
      <c r="F74" s="127">
        <f>E74*2</f>
        <v>20000</v>
      </c>
      <c r="G74" s="129" t="s">
        <v>81</v>
      </c>
      <c r="H74" s="107" t="s">
        <v>82</v>
      </c>
      <c r="I74" s="107">
        <v>2</v>
      </c>
      <c r="J74" s="107"/>
      <c r="K74" s="130"/>
      <c r="L74" s="130"/>
      <c r="M74" s="130"/>
      <c r="N74" s="130"/>
      <c r="O74" s="130"/>
      <c r="P74" s="130"/>
      <c r="Q74" s="130"/>
      <c r="R74" s="130"/>
      <c r="S74" s="130"/>
      <c r="T74" s="130"/>
      <c r="U74" s="130"/>
      <c r="V74" s="130"/>
      <c r="W74" s="130"/>
      <c r="X74" s="130"/>
      <c r="Y74" s="130"/>
      <c r="Z74" s="130"/>
      <c r="AA74" s="130"/>
      <c r="AB74" s="130"/>
      <c r="AC74" s="130"/>
      <c r="AD74" s="130"/>
      <c r="AE74" s="130"/>
      <c r="AF74" s="130"/>
      <c r="AG74" s="130"/>
      <c r="AH74" s="130"/>
      <c r="AI74" s="131"/>
      <c r="AJ74" s="132"/>
      <c r="AK74" s="133"/>
    </row>
    <row r="75" spans="1:39" ht="15.75" customHeight="1" x14ac:dyDescent="0.35">
      <c r="A75" s="57"/>
      <c r="B75" s="58"/>
      <c r="C75" s="59" t="s">
        <v>166</v>
      </c>
      <c r="D75" s="60" t="s">
        <v>80</v>
      </c>
      <c r="E75" s="61">
        <v>542000</v>
      </c>
      <c r="F75" s="62">
        <f>E75+E76</f>
        <v>1092000</v>
      </c>
      <c r="G75" s="63" t="s">
        <v>167</v>
      </c>
      <c r="H75" s="60" t="s">
        <v>82</v>
      </c>
      <c r="I75" s="64">
        <v>1</v>
      </c>
      <c r="J75" s="65"/>
      <c r="K75" s="64"/>
      <c r="L75" s="65"/>
      <c r="M75" s="65"/>
      <c r="N75" s="65"/>
      <c r="O75" s="65"/>
      <c r="P75" s="65"/>
      <c r="Q75" s="65"/>
      <c r="R75" s="65"/>
      <c r="S75" s="65"/>
      <c r="T75" s="65"/>
      <c r="U75" s="65"/>
      <c r="V75" s="65"/>
      <c r="W75" s="65"/>
      <c r="X75" s="65"/>
      <c r="Y75" s="65"/>
      <c r="Z75" s="65"/>
      <c r="AA75" s="65"/>
      <c r="AB75" s="65"/>
      <c r="AC75" s="65"/>
      <c r="AD75" s="65"/>
      <c r="AE75" s="65"/>
      <c r="AF75" s="65"/>
      <c r="AG75" s="65"/>
      <c r="AH75" s="65"/>
      <c r="AI75" s="66"/>
      <c r="AJ75" s="34"/>
      <c r="AK75" s="28"/>
      <c r="AL75" s="3"/>
      <c r="AM75" s="3"/>
    </row>
    <row r="76" spans="1:39" ht="15.75" customHeight="1" x14ac:dyDescent="0.35">
      <c r="A76" s="57"/>
      <c r="B76" s="58"/>
      <c r="C76" s="59" t="s">
        <v>168</v>
      </c>
      <c r="D76" s="81"/>
      <c r="E76" s="61">
        <v>550000</v>
      </c>
      <c r="F76" s="82"/>
      <c r="G76" s="142"/>
      <c r="H76" s="81"/>
      <c r="I76" s="64">
        <v>1</v>
      </c>
      <c r="J76" s="65"/>
      <c r="K76" s="64"/>
      <c r="L76" s="65"/>
      <c r="M76" s="65"/>
      <c r="N76" s="65"/>
      <c r="O76" s="65"/>
      <c r="P76" s="65"/>
      <c r="Q76" s="65"/>
      <c r="R76" s="65"/>
      <c r="S76" s="65"/>
      <c r="T76" s="65"/>
      <c r="U76" s="65"/>
      <c r="V76" s="65"/>
      <c r="W76" s="65"/>
      <c r="X76" s="65"/>
      <c r="Y76" s="65"/>
      <c r="Z76" s="65"/>
      <c r="AA76" s="65"/>
      <c r="AB76" s="65"/>
      <c r="AC76" s="65"/>
      <c r="AD76" s="65"/>
      <c r="AE76" s="65"/>
      <c r="AF76" s="65"/>
      <c r="AG76" s="65"/>
      <c r="AH76" s="65"/>
      <c r="AI76" s="66"/>
      <c r="AJ76" s="34"/>
      <c r="AK76" s="28"/>
      <c r="AL76" s="3"/>
      <c r="AM76" s="3"/>
    </row>
    <row r="77" spans="1:39" ht="15.75" customHeight="1" x14ac:dyDescent="0.35">
      <c r="A77" s="40" t="s">
        <v>169</v>
      </c>
      <c r="B77" s="100"/>
      <c r="C77" s="101" t="s">
        <v>170</v>
      </c>
      <c r="D77" s="41"/>
      <c r="E77" s="43"/>
      <c r="F77" s="43"/>
      <c r="G77" s="41"/>
      <c r="H77" s="41"/>
      <c r="I77" s="41"/>
      <c r="J77" s="41"/>
      <c r="K77" s="41"/>
      <c r="L77" s="41"/>
      <c r="M77" s="41"/>
      <c r="N77" s="41"/>
      <c r="O77" s="41"/>
      <c r="P77" s="41"/>
      <c r="Q77" s="41"/>
      <c r="R77" s="41"/>
      <c r="S77" s="41"/>
      <c r="T77" s="41"/>
      <c r="U77" s="41"/>
      <c r="V77" s="41"/>
      <c r="W77" s="41"/>
      <c r="X77" s="41"/>
      <c r="Y77" s="41"/>
      <c r="Z77" s="41"/>
      <c r="AA77" s="41"/>
      <c r="AB77" s="41"/>
      <c r="AC77" s="41"/>
      <c r="AD77" s="41"/>
      <c r="AE77" s="41"/>
      <c r="AF77" s="41"/>
      <c r="AG77" s="41"/>
      <c r="AH77" s="41"/>
      <c r="AI77" s="45"/>
      <c r="AJ77" s="109"/>
      <c r="AK77" s="110"/>
      <c r="AL77" s="111"/>
      <c r="AM77" s="111"/>
    </row>
    <row r="78" spans="1:39" s="135" customFormat="1" ht="15.75" customHeight="1" x14ac:dyDescent="0.35">
      <c r="A78" s="124"/>
      <c r="B78" s="125"/>
      <c r="C78" s="126" t="s">
        <v>171</v>
      </c>
      <c r="D78" s="143" t="s">
        <v>172</v>
      </c>
      <c r="E78" s="127">
        <v>25000</v>
      </c>
      <c r="F78" s="128">
        <f t="shared" ref="F78:F80" si="1">E78*1</f>
        <v>25000</v>
      </c>
      <c r="G78" s="129" t="s">
        <v>81</v>
      </c>
      <c r="H78" s="107" t="s">
        <v>82</v>
      </c>
      <c r="I78" s="107">
        <v>1</v>
      </c>
      <c r="J78" s="107"/>
      <c r="K78" s="130"/>
      <c r="L78" s="130"/>
      <c r="M78" s="130"/>
      <c r="N78" s="130"/>
      <c r="O78" s="130"/>
      <c r="P78" s="130"/>
      <c r="Q78" s="130"/>
      <c r="R78" s="130"/>
      <c r="S78" s="130"/>
      <c r="T78" s="130"/>
      <c r="U78" s="130"/>
      <c r="V78" s="130"/>
      <c r="W78" s="130"/>
      <c r="X78" s="130"/>
      <c r="Y78" s="130"/>
      <c r="Z78" s="130"/>
      <c r="AA78" s="130"/>
      <c r="AB78" s="130"/>
      <c r="AC78" s="130"/>
      <c r="AD78" s="130"/>
      <c r="AE78" s="130"/>
      <c r="AF78" s="130"/>
      <c r="AG78" s="130"/>
      <c r="AH78" s="130"/>
      <c r="AI78" s="131"/>
      <c r="AJ78" s="132"/>
      <c r="AK78" s="133"/>
    </row>
    <row r="79" spans="1:39" ht="15.75" customHeight="1" x14ac:dyDescent="0.35">
      <c r="A79" s="57"/>
      <c r="B79" s="58"/>
      <c r="C79" s="59" t="s">
        <v>173</v>
      </c>
      <c r="D79" s="144" t="s">
        <v>172</v>
      </c>
      <c r="E79" s="61">
        <v>6500</v>
      </c>
      <c r="F79" s="112">
        <f t="shared" si="1"/>
        <v>6500</v>
      </c>
      <c r="G79" s="113" t="s">
        <v>81</v>
      </c>
      <c r="H79" s="64" t="s">
        <v>82</v>
      </c>
      <c r="I79" s="107">
        <v>1</v>
      </c>
      <c r="J79" s="64"/>
      <c r="K79" s="65"/>
      <c r="L79" s="65"/>
      <c r="M79" s="65"/>
      <c r="N79" s="65"/>
      <c r="O79" s="65"/>
      <c r="P79" s="65"/>
      <c r="Q79" s="65"/>
      <c r="R79" s="65"/>
      <c r="S79" s="65"/>
      <c r="T79" s="65"/>
      <c r="U79" s="65"/>
      <c r="V79" s="65"/>
      <c r="W79" s="65"/>
      <c r="X79" s="65"/>
      <c r="Y79" s="65"/>
      <c r="Z79" s="65"/>
      <c r="AA79" s="65"/>
      <c r="AB79" s="65"/>
      <c r="AC79" s="65"/>
      <c r="AD79" s="65"/>
      <c r="AE79" s="65"/>
      <c r="AF79" s="65"/>
      <c r="AG79" s="65"/>
      <c r="AH79" s="65"/>
      <c r="AI79" s="66"/>
      <c r="AJ79" s="34"/>
      <c r="AK79" s="28"/>
    </row>
    <row r="80" spans="1:39" ht="15.75" customHeight="1" x14ac:dyDescent="0.35">
      <c r="A80" s="57"/>
      <c r="B80" s="58"/>
      <c r="C80" s="59" t="s">
        <v>174</v>
      </c>
      <c r="D80" s="144" t="s">
        <v>172</v>
      </c>
      <c r="E80" s="61">
        <v>3500</v>
      </c>
      <c r="F80" s="112">
        <f t="shared" si="1"/>
        <v>3500</v>
      </c>
      <c r="G80" s="113" t="s">
        <v>81</v>
      </c>
      <c r="H80" s="64" t="s">
        <v>82</v>
      </c>
      <c r="I80" s="107">
        <v>1</v>
      </c>
      <c r="J80" s="64"/>
      <c r="K80" s="65"/>
      <c r="L80" s="65"/>
      <c r="M80" s="65"/>
      <c r="N80" s="65"/>
      <c r="O80" s="65"/>
      <c r="P80" s="65"/>
      <c r="Q80" s="65"/>
      <c r="R80" s="65"/>
      <c r="S80" s="65"/>
      <c r="T80" s="65"/>
      <c r="U80" s="65"/>
      <c r="V80" s="65"/>
      <c r="W80" s="65"/>
      <c r="X80" s="65"/>
      <c r="Y80" s="65"/>
      <c r="Z80" s="65"/>
      <c r="AA80" s="65"/>
      <c r="AB80" s="65"/>
      <c r="AC80" s="65"/>
      <c r="AD80" s="65"/>
      <c r="AE80" s="65"/>
      <c r="AF80" s="65"/>
      <c r="AG80" s="65"/>
      <c r="AH80" s="65"/>
      <c r="AI80" s="66"/>
      <c r="AJ80" s="34"/>
      <c r="AK80" s="28"/>
    </row>
    <row r="81" spans="1:39" ht="15.75" customHeight="1" x14ac:dyDescent="0.35">
      <c r="A81" s="57"/>
      <c r="B81" s="58"/>
      <c r="C81" s="91" t="s">
        <v>175</v>
      </c>
      <c r="D81" s="144" t="s">
        <v>176</v>
      </c>
      <c r="E81" s="61">
        <v>500</v>
      </c>
      <c r="F81" s="112">
        <f>E81*30</f>
        <v>15000</v>
      </c>
      <c r="G81" s="113" t="s">
        <v>81</v>
      </c>
      <c r="H81" s="64" t="s">
        <v>82</v>
      </c>
      <c r="I81" s="107"/>
      <c r="J81" s="64">
        <v>30</v>
      </c>
      <c r="K81" s="65"/>
      <c r="L81" s="65"/>
      <c r="M81" s="65"/>
      <c r="N81" s="65"/>
      <c r="O81" s="65"/>
      <c r="P81" s="65"/>
      <c r="Q81" s="65"/>
      <c r="R81" s="65"/>
      <c r="S81" s="65"/>
      <c r="T81" s="65"/>
      <c r="U81" s="65"/>
      <c r="V81" s="65"/>
      <c r="W81" s="65"/>
      <c r="X81" s="65"/>
      <c r="Y81" s="65"/>
      <c r="Z81" s="65"/>
      <c r="AA81" s="65"/>
      <c r="AB81" s="65"/>
      <c r="AC81" s="65"/>
      <c r="AD81" s="65"/>
      <c r="AE81" s="65"/>
      <c r="AF81" s="65"/>
      <c r="AG81" s="65"/>
      <c r="AH81" s="65"/>
      <c r="AI81" s="66"/>
      <c r="AJ81" s="34"/>
      <c r="AK81" s="28"/>
    </row>
    <row r="82" spans="1:39" ht="15.75" customHeight="1" x14ac:dyDescent="0.35">
      <c r="A82" s="57"/>
      <c r="B82" s="58"/>
      <c r="C82" s="91" t="s">
        <v>177</v>
      </c>
      <c r="D82" s="144" t="s">
        <v>178</v>
      </c>
      <c r="E82" s="61">
        <v>50</v>
      </c>
      <c r="F82" s="112">
        <f>E82*500</f>
        <v>25000</v>
      </c>
      <c r="G82" s="113" t="s">
        <v>81</v>
      </c>
      <c r="H82" s="64" t="s">
        <v>82</v>
      </c>
      <c r="I82" s="107"/>
      <c r="J82" s="64">
        <v>500</v>
      </c>
      <c r="K82" s="65"/>
      <c r="L82" s="65"/>
      <c r="M82" s="65"/>
      <c r="N82" s="65"/>
      <c r="O82" s="65"/>
      <c r="P82" s="65"/>
      <c r="Q82" s="65"/>
      <c r="R82" s="65"/>
      <c r="S82" s="65"/>
      <c r="T82" s="65"/>
      <c r="U82" s="65"/>
      <c r="V82" s="65"/>
      <c r="W82" s="65"/>
      <c r="X82" s="65"/>
      <c r="Y82" s="65"/>
      <c r="Z82" s="65"/>
      <c r="AA82" s="65"/>
      <c r="AB82" s="65"/>
      <c r="AC82" s="65"/>
      <c r="AD82" s="65"/>
      <c r="AE82" s="65"/>
      <c r="AF82" s="65"/>
      <c r="AG82" s="65"/>
      <c r="AH82" s="65"/>
      <c r="AI82" s="66"/>
      <c r="AJ82" s="34"/>
      <c r="AK82" s="28"/>
    </row>
    <row r="83" spans="1:39" ht="26.5" customHeight="1" x14ac:dyDescent="0.35">
      <c r="A83" s="57"/>
      <c r="B83" s="58"/>
      <c r="C83" s="59" t="s">
        <v>179</v>
      </c>
      <c r="D83" s="64" t="s">
        <v>180</v>
      </c>
      <c r="E83" s="61">
        <v>50000</v>
      </c>
      <c r="F83" s="112">
        <f>E83</f>
        <v>50000</v>
      </c>
      <c r="G83" s="113" t="s">
        <v>88</v>
      </c>
      <c r="H83" s="64" t="s">
        <v>82</v>
      </c>
      <c r="I83" s="107"/>
      <c r="J83" s="64">
        <v>200</v>
      </c>
      <c r="K83" s="65"/>
      <c r="L83" s="65"/>
      <c r="M83" s="65"/>
      <c r="N83" s="65"/>
      <c r="O83" s="65"/>
      <c r="P83" s="65"/>
      <c r="Q83" s="65"/>
      <c r="R83" s="65"/>
      <c r="S83" s="65"/>
      <c r="T83" s="65"/>
      <c r="U83" s="65"/>
      <c r="V83" s="65"/>
      <c r="W83" s="65"/>
      <c r="X83" s="65"/>
      <c r="Y83" s="65"/>
      <c r="Z83" s="65"/>
      <c r="AA83" s="65"/>
      <c r="AB83" s="65"/>
      <c r="AC83" s="65"/>
      <c r="AD83" s="65"/>
      <c r="AE83" s="65"/>
      <c r="AF83" s="65"/>
      <c r="AG83" s="65"/>
      <c r="AH83" s="65"/>
      <c r="AI83" s="66"/>
      <c r="AJ83" s="34"/>
      <c r="AK83" s="28"/>
    </row>
    <row r="84" spans="1:39" ht="15.75" customHeight="1" x14ac:dyDescent="0.35">
      <c r="A84" s="115"/>
      <c r="B84" s="121"/>
      <c r="C84" s="145" t="s">
        <v>181</v>
      </c>
      <c r="D84" s="146" t="s">
        <v>80</v>
      </c>
      <c r="E84" s="118">
        <v>300</v>
      </c>
      <c r="F84" s="147">
        <f>SUM(E84*3000)+(E85*300)</f>
        <v>975000</v>
      </c>
      <c r="G84" s="148" t="s">
        <v>88</v>
      </c>
      <c r="H84" s="146" t="s">
        <v>82</v>
      </c>
      <c r="I84" s="121"/>
      <c r="J84" s="120">
        <v>3000</v>
      </c>
      <c r="K84" s="121"/>
      <c r="L84" s="121"/>
      <c r="M84" s="121"/>
      <c r="N84" s="121"/>
      <c r="O84" s="121"/>
      <c r="P84" s="121"/>
      <c r="Q84" s="121"/>
      <c r="R84" s="121"/>
      <c r="S84" s="121"/>
      <c r="T84" s="121"/>
      <c r="U84" s="121"/>
      <c r="V84" s="121"/>
      <c r="W84" s="121"/>
      <c r="X84" s="121"/>
      <c r="Y84" s="121"/>
      <c r="Z84" s="121"/>
      <c r="AA84" s="121"/>
      <c r="AB84" s="121"/>
      <c r="AC84" s="121"/>
      <c r="AD84" s="121"/>
      <c r="AE84" s="121"/>
      <c r="AF84" s="121"/>
      <c r="AG84" s="121"/>
      <c r="AH84" s="121"/>
      <c r="AI84" s="122"/>
      <c r="AJ84" s="109"/>
      <c r="AK84" s="110"/>
      <c r="AL84" s="111"/>
      <c r="AM84" s="111"/>
    </row>
    <row r="85" spans="1:39" ht="15.75" customHeight="1" x14ac:dyDescent="0.35">
      <c r="A85" s="115"/>
      <c r="B85" s="121"/>
      <c r="C85" s="145" t="s">
        <v>182</v>
      </c>
      <c r="D85" s="27"/>
      <c r="E85" s="118">
        <v>250</v>
      </c>
      <c r="F85" s="27"/>
      <c r="G85" s="27"/>
      <c r="H85" s="27"/>
      <c r="I85" s="121"/>
      <c r="J85" s="120">
        <v>300</v>
      </c>
      <c r="K85" s="121"/>
      <c r="L85" s="121"/>
      <c r="M85" s="121"/>
      <c r="N85" s="121"/>
      <c r="O85" s="121"/>
      <c r="P85" s="121"/>
      <c r="Q85" s="121"/>
      <c r="R85" s="121"/>
      <c r="S85" s="121"/>
      <c r="T85" s="121"/>
      <c r="U85" s="121"/>
      <c r="V85" s="121"/>
      <c r="W85" s="121"/>
      <c r="X85" s="121"/>
      <c r="Y85" s="121"/>
      <c r="Z85" s="121"/>
      <c r="AA85" s="121"/>
      <c r="AB85" s="121"/>
      <c r="AC85" s="121"/>
      <c r="AD85" s="121"/>
      <c r="AE85" s="121"/>
      <c r="AF85" s="121"/>
      <c r="AG85" s="121"/>
      <c r="AH85" s="121"/>
      <c r="AI85" s="122"/>
      <c r="AJ85" s="109"/>
      <c r="AK85" s="110"/>
      <c r="AL85" s="111"/>
      <c r="AM85" s="111"/>
    </row>
    <row r="86" spans="1:39" s="135" customFormat="1" ht="22.5" customHeight="1" x14ac:dyDescent="0.35">
      <c r="A86" s="124"/>
      <c r="B86" s="130"/>
      <c r="C86" s="140" t="s">
        <v>183</v>
      </c>
      <c r="D86" s="107" t="s">
        <v>184</v>
      </c>
      <c r="E86" s="127">
        <v>200</v>
      </c>
      <c r="F86" s="128">
        <f>E86*300</f>
        <v>60000</v>
      </c>
      <c r="G86" s="129" t="s">
        <v>88</v>
      </c>
      <c r="H86" s="107" t="s">
        <v>82</v>
      </c>
      <c r="I86" s="107">
        <v>300</v>
      </c>
      <c r="J86" s="107"/>
      <c r="K86" s="130"/>
      <c r="L86" s="130"/>
      <c r="M86" s="130"/>
      <c r="N86" s="130"/>
      <c r="O86" s="130"/>
      <c r="P86" s="130"/>
      <c r="Q86" s="130"/>
      <c r="R86" s="130"/>
      <c r="S86" s="130"/>
      <c r="T86" s="130"/>
      <c r="U86" s="130"/>
      <c r="V86" s="130"/>
      <c r="W86" s="130"/>
      <c r="X86" s="130"/>
      <c r="Y86" s="130"/>
      <c r="Z86" s="130"/>
      <c r="AA86" s="130"/>
      <c r="AB86" s="130"/>
      <c r="AC86" s="130"/>
      <c r="AD86" s="130"/>
      <c r="AE86" s="130"/>
      <c r="AF86" s="130"/>
      <c r="AG86" s="130"/>
      <c r="AH86" s="130"/>
      <c r="AI86" s="131"/>
      <c r="AJ86" s="132"/>
      <c r="AK86" s="133"/>
      <c r="AL86" s="134"/>
      <c r="AM86" s="134"/>
    </row>
    <row r="87" spans="1:39" s="135" customFormat="1" ht="27.5" customHeight="1" x14ac:dyDescent="0.35">
      <c r="A87" s="124"/>
      <c r="B87" s="130"/>
      <c r="C87" s="140" t="s">
        <v>185</v>
      </c>
      <c r="D87" s="141" t="s">
        <v>186</v>
      </c>
      <c r="E87" s="127">
        <v>110</v>
      </c>
      <c r="F87" s="128">
        <f>E87*1000</f>
        <v>110000</v>
      </c>
      <c r="G87" s="129" t="s">
        <v>88</v>
      </c>
      <c r="H87" s="107" t="s">
        <v>82</v>
      </c>
      <c r="I87" s="107"/>
      <c r="J87" s="107">
        <v>100</v>
      </c>
      <c r="K87" s="130"/>
      <c r="L87" s="130"/>
      <c r="M87" s="130"/>
      <c r="N87" s="130"/>
      <c r="O87" s="130"/>
      <c r="P87" s="130"/>
      <c r="Q87" s="130"/>
      <c r="R87" s="130"/>
      <c r="S87" s="130"/>
      <c r="T87" s="130"/>
      <c r="U87" s="130"/>
      <c r="V87" s="130"/>
      <c r="W87" s="130"/>
      <c r="X87" s="130"/>
      <c r="Y87" s="130"/>
      <c r="Z87" s="130"/>
      <c r="AA87" s="130"/>
      <c r="AB87" s="130"/>
      <c r="AC87" s="130"/>
      <c r="AD87" s="130"/>
      <c r="AE87" s="130"/>
      <c r="AF87" s="130"/>
      <c r="AG87" s="130"/>
      <c r="AH87" s="130"/>
      <c r="AI87" s="131"/>
      <c r="AJ87" s="132"/>
      <c r="AK87" s="133"/>
      <c r="AL87" s="134"/>
      <c r="AM87" s="134"/>
    </row>
    <row r="88" spans="1:39" ht="15.75" customHeight="1" x14ac:dyDescent="0.35">
      <c r="A88" s="40" t="s">
        <v>187</v>
      </c>
      <c r="B88" s="41"/>
      <c r="C88" s="137" t="s">
        <v>188</v>
      </c>
      <c r="D88" s="41"/>
      <c r="E88" s="43"/>
      <c r="F88" s="43"/>
      <c r="G88" s="41"/>
      <c r="H88" s="41"/>
      <c r="I88" s="41"/>
      <c r="J88" s="41"/>
      <c r="K88" s="41"/>
      <c r="L88" s="41"/>
      <c r="M88" s="41"/>
      <c r="N88" s="41"/>
      <c r="O88" s="41"/>
      <c r="P88" s="41"/>
      <c r="Q88" s="41"/>
      <c r="R88" s="41"/>
      <c r="S88" s="41"/>
      <c r="T88" s="41"/>
      <c r="U88" s="41"/>
      <c r="V88" s="41"/>
      <c r="W88" s="41"/>
      <c r="X88" s="41"/>
      <c r="Y88" s="41"/>
      <c r="Z88" s="41"/>
      <c r="AA88" s="41"/>
      <c r="AB88" s="41"/>
      <c r="AC88" s="41"/>
      <c r="AD88" s="41"/>
      <c r="AE88" s="41"/>
      <c r="AF88" s="41"/>
      <c r="AG88" s="41"/>
      <c r="AH88" s="41"/>
      <c r="AI88" s="45"/>
      <c r="AJ88" s="109"/>
      <c r="AK88" s="110"/>
      <c r="AL88" s="111"/>
      <c r="AM88" s="111"/>
    </row>
    <row r="89" spans="1:39" s="56" customFormat="1" ht="15.75" customHeight="1" x14ac:dyDescent="0.35">
      <c r="A89" s="149"/>
      <c r="B89" s="150"/>
      <c r="C89" s="151" t="s">
        <v>189</v>
      </c>
      <c r="D89" s="152" t="s">
        <v>190</v>
      </c>
      <c r="E89" s="153">
        <v>5000</v>
      </c>
      <c r="F89" s="153">
        <f>E89*10</f>
        <v>50000</v>
      </c>
      <c r="G89" s="154" t="s">
        <v>191</v>
      </c>
      <c r="H89" s="152" t="s">
        <v>82</v>
      </c>
      <c r="I89" s="152">
        <v>5</v>
      </c>
      <c r="J89" s="152">
        <v>5</v>
      </c>
      <c r="K89" s="152"/>
      <c r="L89" s="150"/>
      <c r="M89" s="150"/>
      <c r="N89" s="150"/>
      <c r="O89" s="150"/>
      <c r="P89" s="150"/>
      <c r="Q89" s="150"/>
      <c r="R89" s="150"/>
      <c r="S89" s="150"/>
      <c r="T89" s="150"/>
      <c r="U89" s="150"/>
      <c r="V89" s="150"/>
      <c r="W89" s="150"/>
      <c r="X89" s="150"/>
      <c r="Y89" s="150"/>
      <c r="Z89" s="150"/>
      <c r="AA89" s="150"/>
      <c r="AB89" s="150"/>
      <c r="AC89" s="150"/>
      <c r="AD89" s="150"/>
      <c r="AE89" s="150"/>
      <c r="AF89" s="150"/>
      <c r="AG89" s="150"/>
      <c r="AH89" s="150"/>
      <c r="AI89" s="155"/>
      <c r="AJ89" s="109"/>
      <c r="AK89" s="110"/>
      <c r="AL89" s="111"/>
      <c r="AM89" s="111"/>
    </row>
    <row r="90" spans="1:39" ht="15.75" customHeight="1" x14ac:dyDescent="0.35">
      <c r="A90" s="40" t="s">
        <v>192</v>
      </c>
      <c r="B90" s="41"/>
      <c r="C90" s="137" t="s">
        <v>193</v>
      </c>
      <c r="D90" s="41"/>
      <c r="E90" s="43"/>
      <c r="F90" s="43"/>
      <c r="G90" s="41"/>
      <c r="H90" s="41"/>
      <c r="I90" s="41"/>
      <c r="J90" s="41"/>
      <c r="K90" s="41"/>
      <c r="L90" s="41"/>
      <c r="M90" s="41"/>
      <c r="N90" s="41"/>
      <c r="O90" s="41"/>
      <c r="P90" s="41"/>
      <c r="Q90" s="41"/>
      <c r="R90" s="41"/>
      <c r="S90" s="41"/>
      <c r="T90" s="41"/>
      <c r="U90" s="41"/>
      <c r="V90" s="41"/>
      <c r="W90" s="41"/>
      <c r="X90" s="41"/>
      <c r="Y90" s="41"/>
      <c r="Z90" s="41"/>
      <c r="AA90" s="41"/>
      <c r="AB90" s="41"/>
      <c r="AC90" s="41"/>
      <c r="AD90" s="41"/>
      <c r="AE90" s="41"/>
      <c r="AF90" s="41"/>
      <c r="AG90" s="41"/>
      <c r="AH90" s="41"/>
      <c r="AI90" s="45"/>
      <c r="AJ90" s="109"/>
      <c r="AK90" s="110"/>
      <c r="AL90" s="111"/>
      <c r="AM90" s="111"/>
    </row>
    <row r="91" spans="1:39" s="56" customFormat="1" ht="15.75" customHeight="1" x14ac:dyDescent="0.35">
      <c r="A91" s="149"/>
      <c r="B91" s="150"/>
      <c r="C91" s="151" t="s">
        <v>194</v>
      </c>
      <c r="D91" s="49" t="s">
        <v>80</v>
      </c>
      <c r="E91" s="153">
        <v>2500</v>
      </c>
      <c r="F91" s="153">
        <f>E91*1</f>
        <v>2500</v>
      </c>
      <c r="G91" s="154" t="s">
        <v>191</v>
      </c>
      <c r="H91" s="152" t="s">
        <v>82</v>
      </c>
      <c r="I91" s="156">
        <v>1</v>
      </c>
      <c r="J91" s="150"/>
      <c r="K91" s="150"/>
      <c r="L91" s="150"/>
      <c r="M91" s="150"/>
      <c r="N91" s="150"/>
      <c r="O91" s="150"/>
      <c r="P91" s="150"/>
      <c r="Q91" s="150"/>
      <c r="R91" s="150"/>
      <c r="S91" s="150"/>
      <c r="T91" s="150"/>
      <c r="U91" s="150"/>
      <c r="V91" s="150"/>
      <c r="W91" s="150"/>
      <c r="X91" s="150"/>
      <c r="Y91" s="150"/>
      <c r="Z91" s="150"/>
      <c r="AA91" s="150"/>
      <c r="AB91" s="150"/>
      <c r="AC91" s="150"/>
      <c r="AD91" s="150"/>
      <c r="AE91" s="150"/>
      <c r="AF91" s="150"/>
      <c r="AG91" s="150"/>
      <c r="AH91" s="150"/>
      <c r="AI91" s="155"/>
      <c r="AJ91" s="157"/>
      <c r="AK91" s="158"/>
    </row>
    <row r="92" spans="1:39" ht="15.75" customHeight="1" x14ac:dyDescent="0.35">
      <c r="A92" s="57"/>
      <c r="B92" s="65"/>
      <c r="C92" s="123" t="s">
        <v>195</v>
      </c>
      <c r="D92" s="64" t="s">
        <v>84</v>
      </c>
      <c r="E92" s="61">
        <v>350</v>
      </c>
      <c r="F92" s="61">
        <f>E92*2</f>
        <v>700</v>
      </c>
      <c r="G92" s="113" t="s">
        <v>136</v>
      </c>
      <c r="H92" s="64" t="s">
        <v>82</v>
      </c>
      <c r="I92" s="156">
        <v>1</v>
      </c>
      <c r="J92" s="156">
        <v>1</v>
      </c>
      <c r="K92" s="65"/>
      <c r="L92" s="65"/>
      <c r="M92" s="65"/>
      <c r="N92" s="65"/>
      <c r="O92" s="65"/>
      <c r="P92" s="65"/>
      <c r="Q92" s="65"/>
      <c r="R92" s="65"/>
      <c r="S92" s="65"/>
      <c r="T92" s="65"/>
      <c r="U92" s="65"/>
      <c r="V92" s="65"/>
      <c r="W92" s="65"/>
      <c r="X92" s="65"/>
      <c r="Y92" s="65"/>
      <c r="Z92" s="65"/>
      <c r="AA92" s="65"/>
      <c r="AB92" s="65"/>
      <c r="AC92" s="65"/>
      <c r="AD92" s="65"/>
      <c r="AE92" s="65"/>
      <c r="AF92" s="65"/>
      <c r="AG92" s="65"/>
      <c r="AH92" s="65"/>
      <c r="AI92" s="66"/>
      <c r="AJ92" s="34"/>
      <c r="AK92" s="28"/>
    </row>
    <row r="93" spans="1:39" ht="15.75" customHeight="1" x14ac:dyDescent="0.35">
      <c r="A93" s="40" t="s">
        <v>196</v>
      </c>
      <c r="B93" s="41"/>
      <c r="C93" s="137" t="s">
        <v>197</v>
      </c>
      <c r="D93" s="41"/>
      <c r="E93" s="43"/>
      <c r="F93" s="41"/>
      <c r="G93" s="41"/>
      <c r="H93" s="41"/>
      <c r="I93" s="41"/>
      <c r="J93" s="41"/>
      <c r="K93" s="41"/>
      <c r="L93" s="41"/>
      <c r="M93" s="41"/>
      <c r="N93" s="41"/>
      <c r="O93" s="41"/>
      <c r="P93" s="41"/>
      <c r="Q93" s="41"/>
      <c r="R93" s="41"/>
      <c r="S93" s="41"/>
      <c r="T93" s="41"/>
      <c r="U93" s="41"/>
      <c r="V93" s="41"/>
      <c r="W93" s="41"/>
      <c r="X93" s="41"/>
      <c r="Y93" s="41"/>
      <c r="Z93" s="41"/>
      <c r="AA93" s="41"/>
      <c r="AB93" s="41"/>
      <c r="AC93" s="41"/>
      <c r="AD93" s="41"/>
      <c r="AE93" s="41"/>
      <c r="AF93" s="41"/>
      <c r="AG93" s="41"/>
      <c r="AH93" s="41"/>
      <c r="AI93" s="45"/>
      <c r="AJ93" s="34"/>
      <c r="AK93" s="28"/>
    </row>
    <row r="94" spans="1:39" ht="15.75" customHeight="1" x14ac:dyDescent="0.35">
      <c r="A94" s="57"/>
      <c r="B94" s="65"/>
      <c r="C94" s="123" t="s">
        <v>198</v>
      </c>
      <c r="D94" s="120" t="s">
        <v>80</v>
      </c>
      <c r="E94" s="61">
        <v>3000000</v>
      </c>
      <c r="F94" s="61">
        <f t="shared" ref="F94" si="2">E94*1</f>
        <v>3000000</v>
      </c>
      <c r="G94" s="113" t="s">
        <v>199</v>
      </c>
      <c r="H94" s="64" t="s">
        <v>200</v>
      </c>
      <c r="I94" s="64">
        <v>1</v>
      </c>
      <c r="J94" s="64"/>
      <c r="K94" s="65"/>
      <c r="L94" s="65"/>
      <c r="M94" s="65"/>
      <c r="N94" s="65"/>
      <c r="O94" s="65"/>
      <c r="P94" s="65"/>
      <c r="Q94" s="65"/>
      <c r="R94" s="65"/>
      <c r="S94" s="65"/>
      <c r="T94" s="65"/>
      <c r="U94" s="65"/>
      <c r="V94" s="65"/>
      <c r="W94" s="65"/>
      <c r="X94" s="65"/>
      <c r="Y94" s="65"/>
      <c r="Z94" s="65"/>
      <c r="AA94" s="65"/>
      <c r="AB94" s="65"/>
      <c r="AC94" s="65"/>
      <c r="AD94" s="65"/>
      <c r="AE94" s="65"/>
      <c r="AF94" s="65"/>
      <c r="AG94" s="65"/>
      <c r="AH94" s="65"/>
      <c r="AI94" s="66"/>
      <c r="AJ94" s="34"/>
      <c r="AK94" s="28"/>
    </row>
    <row r="95" spans="1:39" ht="15.75" customHeight="1" x14ac:dyDescent="0.35">
      <c r="A95" s="40" t="s">
        <v>201</v>
      </c>
      <c r="B95" s="41"/>
      <c r="C95" s="108" t="s">
        <v>202</v>
      </c>
      <c r="D95" s="41"/>
      <c r="E95" s="43"/>
      <c r="F95" s="44"/>
      <c r="G95" s="41"/>
      <c r="H95" s="41"/>
      <c r="I95" s="159"/>
      <c r="J95" s="159"/>
      <c r="K95" s="41"/>
      <c r="L95" s="41"/>
      <c r="M95" s="41"/>
      <c r="N95" s="41"/>
      <c r="O95" s="41"/>
      <c r="P95" s="41"/>
      <c r="Q95" s="41"/>
      <c r="R95" s="41"/>
      <c r="S95" s="41"/>
      <c r="T95" s="41"/>
      <c r="U95" s="41"/>
      <c r="V95" s="41"/>
      <c r="W95" s="41"/>
      <c r="X95" s="41"/>
      <c r="Y95" s="41"/>
      <c r="Z95" s="41"/>
      <c r="AA95" s="41"/>
      <c r="AB95" s="41"/>
      <c r="AC95" s="41"/>
      <c r="AD95" s="41"/>
      <c r="AE95" s="41"/>
      <c r="AF95" s="41"/>
      <c r="AG95" s="41"/>
      <c r="AH95" s="41"/>
      <c r="AI95" s="45"/>
      <c r="AJ95" s="109"/>
      <c r="AK95" s="110"/>
      <c r="AL95" s="111"/>
      <c r="AM95" s="111"/>
    </row>
    <row r="96" spans="1:39" ht="15.75" customHeight="1" x14ac:dyDescent="0.35">
      <c r="A96" s="57"/>
      <c r="B96" s="65"/>
      <c r="C96" s="160" t="s">
        <v>203</v>
      </c>
      <c r="D96" s="63" t="s">
        <v>80</v>
      </c>
      <c r="E96" s="62">
        <v>200000</v>
      </c>
      <c r="F96" s="62">
        <f>E96</f>
        <v>200000</v>
      </c>
      <c r="G96" s="103" t="s">
        <v>88</v>
      </c>
      <c r="H96" s="103" t="s">
        <v>204</v>
      </c>
      <c r="I96" s="161">
        <v>1</v>
      </c>
      <c r="J96" s="144"/>
      <c r="K96" s="65"/>
      <c r="L96" s="65"/>
      <c r="M96" s="65"/>
      <c r="N96" s="65"/>
      <c r="O96" s="65"/>
      <c r="P96" s="65"/>
      <c r="Q96" s="65"/>
      <c r="R96" s="65"/>
      <c r="S96" s="65"/>
      <c r="T96" s="65"/>
      <c r="U96" s="65"/>
      <c r="V96" s="65"/>
      <c r="W96" s="65"/>
      <c r="X96" s="65"/>
      <c r="Y96" s="65"/>
      <c r="Z96" s="65"/>
      <c r="AA96" s="65"/>
      <c r="AB96" s="65"/>
      <c r="AC96" s="65"/>
      <c r="AD96" s="65"/>
      <c r="AE96" s="65"/>
      <c r="AF96" s="65"/>
      <c r="AG96" s="65"/>
      <c r="AH96" s="65"/>
      <c r="AI96" s="66"/>
      <c r="AJ96" s="34"/>
      <c r="AK96" s="28"/>
      <c r="AL96" s="3"/>
      <c r="AM96" s="3"/>
    </row>
    <row r="97" spans="1:39" ht="23" customHeight="1" x14ac:dyDescent="0.35">
      <c r="A97" s="57"/>
      <c r="B97" s="65"/>
      <c r="C97" s="162" t="s">
        <v>205</v>
      </c>
      <c r="D97" s="79"/>
      <c r="E97" s="88"/>
      <c r="F97" s="88"/>
      <c r="G97" s="97"/>
      <c r="H97" s="97"/>
      <c r="I97" s="163"/>
      <c r="J97" s="144"/>
      <c r="K97" s="65"/>
      <c r="L97" s="65"/>
      <c r="M97" s="65"/>
      <c r="N97" s="65"/>
      <c r="O97" s="65"/>
      <c r="P97" s="65"/>
      <c r="Q97" s="65"/>
      <c r="R97" s="65"/>
      <c r="S97" s="65"/>
      <c r="T97" s="65"/>
      <c r="U97" s="65"/>
      <c r="V97" s="65"/>
      <c r="W97" s="65"/>
      <c r="X97" s="65"/>
      <c r="Y97" s="65"/>
      <c r="Z97" s="65"/>
      <c r="AA97" s="65"/>
      <c r="AB97" s="65"/>
      <c r="AC97" s="65"/>
      <c r="AD97" s="65"/>
      <c r="AE97" s="65"/>
      <c r="AF97" s="65"/>
      <c r="AG97" s="65"/>
      <c r="AH97" s="65"/>
      <c r="AI97" s="66"/>
      <c r="AJ97" s="34"/>
      <c r="AK97" s="28"/>
      <c r="AL97" s="3"/>
      <c r="AM97" s="3"/>
    </row>
    <row r="98" spans="1:39" ht="24.5" customHeight="1" x14ac:dyDescent="0.35">
      <c r="A98" s="57"/>
      <c r="B98" s="65"/>
      <c r="C98" s="164" t="s">
        <v>206</v>
      </c>
      <c r="D98" s="79"/>
      <c r="E98" s="88"/>
      <c r="F98" s="88"/>
      <c r="G98" s="97"/>
      <c r="H98" s="97"/>
      <c r="I98" s="163"/>
      <c r="J98" s="144"/>
      <c r="K98" s="65"/>
      <c r="L98" s="65"/>
      <c r="M98" s="65"/>
      <c r="N98" s="65"/>
      <c r="O98" s="65"/>
      <c r="P98" s="65"/>
      <c r="Q98" s="65"/>
      <c r="R98" s="65"/>
      <c r="S98" s="65"/>
      <c r="T98" s="65"/>
      <c r="U98" s="65"/>
      <c r="V98" s="65"/>
      <c r="W98" s="65"/>
      <c r="X98" s="65"/>
      <c r="Y98" s="65"/>
      <c r="Z98" s="65"/>
      <c r="AA98" s="65"/>
      <c r="AB98" s="65"/>
      <c r="AC98" s="65"/>
      <c r="AD98" s="65"/>
      <c r="AE98" s="65"/>
      <c r="AF98" s="65"/>
      <c r="AG98" s="65"/>
      <c r="AH98" s="65"/>
      <c r="AI98" s="66"/>
      <c r="AJ98" s="34"/>
      <c r="AK98" s="28"/>
      <c r="AL98" s="3"/>
      <c r="AM98" s="3"/>
    </row>
    <row r="99" spans="1:39" ht="24" customHeight="1" x14ac:dyDescent="0.35">
      <c r="A99" s="57"/>
      <c r="B99" s="65"/>
      <c r="C99" s="164" t="s">
        <v>207</v>
      </c>
      <c r="D99" s="73"/>
      <c r="E99" s="72"/>
      <c r="F99" s="72"/>
      <c r="G99" s="97"/>
      <c r="H99" s="97"/>
      <c r="I99" s="165"/>
      <c r="J99" s="144"/>
      <c r="K99" s="65"/>
      <c r="L99" s="65"/>
      <c r="M99" s="65"/>
      <c r="N99" s="65"/>
      <c r="O99" s="65"/>
      <c r="P99" s="65"/>
      <c r="Q99" s="65"/>
      <c r="R99" s="65"/>
      <c r="S99" s="65"/>
      <c r="T99" s="65"/>
      <c r="U99" s="65"/>
      <c r="V99" s="65"/>
      <c r="W99" s="65"/>
      <c r="X99" s="65"/>
      <c r="Y99" s="65"/>
      <c r="Z99" s="65"/>
      <c r="AA99" s="65"/>
      <c r="AB99" s="65"/>
      <c r="AC99" s="65"/>
      <c r="AD99" s="65"/>
      <c r="AE99" s="65"/>
      <c r="AF99" s="65"/>
      <c r="AG99" s="65"/>
      <c r="AH99" s="65"/>
      <c r="AI99" s="66"/>
      <c r="AJ99" s="34"/>
      <c r="AK99" s="28"/>
    </row>
    <row r="100" spans="1:39" ht="15.75" customHeight="1" x14ac:dyDescent="0.35">
      <c r="A100" s="166" t="s">
        <v>196</v>
      </c>
      <c r="B100" s="167"/>
      <c r="C100" s="167" t="s">
        <v>208</v>
      </c>
      <c r="D100" s="168"/>
      <c r="E100" s="169"/>
      <c r="F100" s="170"/>
      <c r="G100" s="171"/>
      <c r="H100" s="172"/>
      <c r="I100" s="172"/>
      <c r="J100" s="172"/>
      <c r="K100" s="172"/>
      <c r="L100" s="170"/>
      <c r="M100" s="170"/>
      <c r="N100" s="170"/>
      <c r="O100" s="170"/>
      <c r="P100" s="170"/>
      <c r="Q100" s="170"/>
      <c r="R100" s="170"/>
      <c r="S100" s="170"/>
      <c r="T100" s="170"/>
      <c r="U100" s="170"/>
      <c r="V100" s="170"/>
      <c r="W100" s="170"/>
      <c r="X100" s="170"/>
      <c r="Y100" s="170"/>
      <c r="Z100" s="170"/>
      <c r="AA100" s="170"/>
      <c r="AB100" s="170"/>
      <c r="AC100" s="170"/>
      <c r="AD100" s="170"/>
      <c r="AE100" s="170"/>
      <c r="AF100" s="170"/>
      <c r="AG100" s="170"/>
      <c r="AH100" s="170"/>
      <c r="AI100" s="173"/>
      <c r="AJ100" s="34"/>
      <c r="AK100" s="28"/>
    </row>
    <row r="101" spans="1:39" s="184" customFormat="1" ht="22.5" customHeight="1" x14ac:dyDescent="0.35">
      <c r="A101" s="174"/>
      <c r="B101" s="175"/>
      <c r="C101" s="176" t="s">
        <v>209</v>
      </c>
      <c r="D101" s="78" t="s">
        <v>210</v>
      </c>
      <c r="E101" s="177">
        <v>15000</v>
      </c>
      <c r="F101" s="178">
        <f>E101</f>
        <v>15000</v>
      </c>
      <c r="G101" s="77" t="s">
        <v>88</v>
      </c>
      <c r="H101" s="78" t="s">
        <v>204</v>
      </c>
      <c r="I101" s="78">
        <v>1</v>
      </c>
      <c r="J101" s="78"/>
      <c r="K101" s="78"/>
      <c r="L101" s="179"/>
      <c r="M101" s="179"/>
      <c r="N101" s="179"/>
      <c r="O101" s="179"/>
      <c r="P101" s="179"/>
      <c r="Q101" s="179"/>
      <c r="R101" s="179"/>
      <c r="S101" s="179"/>
      <c r="T101" s="179"/>
      <c r="U101" s="179"/>
      <c r="V101" s="179"/>
      <c r="W101" s="179"/>
      <c r="X101" s="179"/>
      <c r="Y101" s="179"/>
      <c r="Z101" s="179"/>
      <c r="AA101" s="179"/>
      <c r="AB101" s="179"/>
      <c r="AC101" s="179"/>
      <c r="AD101" s="179"/>
      <c r="AE101" s="179"/>
      <c r="AF101" s="179"/>
      <c r="AG101" s="179"/>
      <c r="AH101" s="179"/>
      <c r="AI101" s="180"/>
      <c r="AJ101" s="181"/>
      <c r="AK101" s="182"/>
      <c r="AL101" s="183"/>
      <c r="AM101" s="183"/>
    </row>
    <row r="102" spans="1:39" ht="22.5" customHeight="1" thickBot="1" x14ac:dyDescent="0.4">
      <c r="A102" s="185"/>
      <c r="B102" s="186"/>
      <c r="C102" s="187" t="s">
        <v>211</v>
      </c>
      <c r="D102" s="188" t="s">
        <v>210</v>
      </c>
      <c r="E102" s="189">
        <v>35000</v>
      </c>
      <c r="F102" s="190">
        <f>E102</f>
        <v>35000</v>
      </c>
      <c r="G102" s="191" t="s">
        <v>88</v>
      </c>
      <c r="H102" s="188" t="s">
        <v>204</v>
      </c>
      <c r="I102" s="188">
        <v>1</v>
      </c>
      <c r="J102" s="188"/>
      <c r="K102" s="188"/>
      <c r="L102" s="192"/>
      <c r="M102" s="192"/>
      <c r="N102" s="192"/>
      <c r="O102" s="192"/>
      <c r="P102" s="192"/>
      <c r="Q102" s="192"/>
      <c r="R102" s="192"/>
      <c r="S102" s="192"/>
      <c r="T102" s="192"/>
      <c r="U102" s="192"/>
      <c r="V102" s="192"/>
      <c r="W102" s="192"/>
      <c r="X102" s="192"/>
      <c r="Y102" s="192"/>
      <c r="Z102" s="192"/>
      <c r="AA102" s="192"/>
      <c r="AB102" s="192"/>
      <c r="AC102" s="192"/>
      <c r="AD102" s="192"/>
      <c r="AE102" s="192"/>
      <c r="AF102" s="192"/>
      <c r="AG102" s="192"/>
      <c r="AH102" s="192"/>
      <c r="AI102" s="193"/>
      <c r="AJ102" s="109"/>
      <c r="AK102" s="110"/>
      <c r="AL102" s="111"/>
      <c r="AM102" s="111"/>
    </row>
    <row r="103" spans="1:39" ht="15.75" customHeight="1" x14ac:dyDescent="0.35">
      <c r="A103" s="194"/>
      <c r="B103" s="195"/>
      <c r="C103" s="195"/>
      <c r="D103" s="196"/>
      <c r="E103" s="197"/>
      <c r="F103" s="198"/>
      <c r="G103" s="199"/>
      <c r="H103" s="199"/>
      <c r="I103" s="28"/>
      <c r="J103" s="28"/>
      <c r="K103" s="28"/>
      <c r="L103" s="28"/>
      <c r="M103" s="28"/>
      <c r="N103" s="28"/>
      <c r="O103" s="28"/>
      <c r="P103" s="28"/>
      <c r="Q103" s="28"/>
      <c r="R103" s="28"/>
      <c r="S103" s="28"/>
      <c r="T103" s="28"/>
      <c r="U103" s="28"/>
      <c r="V103" s="28"/>
      <c r="W103" s="28"/>
      <c r="X103" s="28"/>
      <c r="Y103" s="28"/>
      <c r="Z103" s="28"/>
      <c r="AA103" s="28"/>
      <c r="AB103" s="28"/>
      <c r="AC103" s="28"/>
      <c r="AD103" s="28"/>
      <c r="AE103" s="28"/>
      <c r="AF103" s="28"/>
      <c r="AG103" s="28"/>
      <c r="AH103" s="28"/>
      <c r="AI103" s="28"/>
      <c r="AJ103" s="3"/>
      <c r="AK103" s="3"/>
    </row>
    <row r="104" spans="1:39" ht="15.75" customHeight="1" thickBot="1" x14ac:dyDescent="0.4">
      <c r="A104" s="200" t="s">
        <v>212</v>
      </c>
      <c r="B104" s="195"/>
      <c r="C104" s="195"/>
      <c r="D104" s="201">
        <f>SUM(F12:F102)</f>
        <v>7494350</v>
      </c>
      <c r="E104" s="202"/>
      <c r="F104" s="202"/>
      <c r="G104" s="199"/>
      <c r="H104" s="199"/>
      <c r="I104" s="28"/>
      <c r="J104" s="28"/>
      <c r="K104" s="28"/>
      <c r="L104" s="28"/>
      <c r="M104" s="28"/>
      <c r="N104" s="28"/>
      <c r="O104" s="28"/>
      <c r="P104" s="28"/>
      <c r="Q104" s="28"/>
      <c r="R104" s="28"/>
      <c r="S104" s="28"/>
      <c r="T104" s="28"/>
      <c r="U104" s="28"/>
      <c r="V104" s="28"/>
      <c r="W104" s="28"/>
      <c r="X104" s="28"/>
      <c r="Y104" s="28"/>
      <c r="Z104" s="28"/>
      <c r="AA104" s="28"/>
      <c r="AB104" s="28"/>
      <c r="AC104" s="28"/>
      <c r="AD104" s="28"/>
      <c r="AE104" s="28"/>
      <c r="AF104" s="28"/>
      <c r="AG104" s="28"/>
      <c r="AH104" s="28"/>
      <c r="AI104" s="28"/>
      <c r="AJ104" s="3"/>
      <c r="AK104" s="3"/>
    </row>
    <row r="105" spans="1:39" ht="15.75" hidden="1" customHeight="1" x14ac:dyDescent="0.35">
      <c r="A105" s="203" t="s">
        <v>213</v>
      </c>
      <c r="B105" s="204"/>
      <c r="C105" s="204"/>
      <c r="D105" s="205">
        <f>PRODUCT(D104,0.1)</f>
        <v>749435</v>
      </c>
      <c r="E105" s="26"/>
      <c r="F105" s="27"/>
      <c r="G105" s="199"/>
      <c r="H105" s="199"/>
      <c r="I105" s="206"/>
      <c r="J105" s="2"/>
      <c r="K105" s="206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07"/>
      <c r="AI105" s="28"/>
      <c r="AJ105" s="3"/>
      <c r="AK105" s="3"/>
    </row>
    <row r="106" spans="1:39" ht="15.75" hidden="1" customHeight="1" x14ac:dyDescent="0.35">
      <c r="A106" s="208" t="s">
        <v>214</v>
      </c>
      <c r="B106" s="75"/>
      <c r="C106" s="75"/>
      <c r="D106" s="209">
        <f>PRODUCT(D104,0.1)</f>
        <v>749435</v>
      </c>
      <c r="E106" s="210"/>
      <c r="F106" s="211"/>
      <c r="G106" s="199"/>
      <c r="H106" s="199"/>
      <c r="I106" s="28"/>
      <c r="J106" s="28"/>
      <c r="K106" s="21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13"/>
      <c r="AI106" s="28"/>
      <c r="AJ106" s="3"/>
      <c r="AK106" s="3"/>
    </row>
    <row r="107" spans="1:39" ht="15.75" hidden="1" customHeight="1" x14ac:dyDescent="0.35">
      <c r="A107" s="208" t="s">
        <v>215</v>
      </c>
      <c r="B107" s="75"/>
      <c r="C107" s="75"/>
      <c r="D107" s="209">
        <f>SUM(D104:F106)</f>
        <v>8993220</v>
      </c>
      <c r="E107" s="210"/>
      <c r="F107" s="211"/>
      <c r="G107" s="199"/>
      <c r="H107" s="199"/>
      <c r="I107" s="28"/>
      <c r="J107" s="28"/>
      <c r="K107" s="21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13"/>
      <c r="AI107" s="28"/>
      <c r="AJ107" s="3"/>
      <c r="AK107" s="3"/>
    </row>
    <row r="108" spans="1:39" ht="15.75" customHeight="1" thickTop="1" x14ac:dyDescent="0.35">
      <c r="A108" s="194"/>
      <c r="B108" s="195"/>
      <c r="C108" s="195"/>
      <c r="D108" s="196"/>
      <c r="E108" s="197"/>
      <c r="F108" s="198"/>
      <c r="G108" s="199"/>
      <c r="H108" s="199"/>
      <c r="I108" s="28"/>
      <c r="J108" s="28"/>
      <c r="K108" s="21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13"/>
      <c r="AI108" s="28"/>
      <c r="AJ108" s="3"/>
      <c r="AK108" s="3"/>
    </row>
    <row r="109" spans="1:39" ht="15.75" customHeight="1" x14ac:dyDescent="0.35">
      <c r="A109" s="214" t="s">
        <v>216</v>
      </c>
      <c r="B109" s="195"/>
      <c r="C109" s="195"/>
      <c r="D109" s="196"/>
      <c r="E109" s="197"/>
      <c r="F109" s="198"/>
      <c r="G109" s="199"/>
      <c r="H109" s="199"/>
      <c r="I109" s="28"/>
      <c r="J109" s="28"/>
      <c r="K109" s="28"/>
      <c r="L109" s="28"/>
      <c r="M109" s="28"/>
      <c r="N109" s="28"/>
      <c r="O109" s="28"/>
      <c r="P109" s="28"/>
      <c r="Q109" s="28"/>
      <c r="R109" s="28"/>
      <c r="S109" s="28"/>
      <c r="T109" s="28"/>
      <c r="U109" s="28"/>
      <c r="V109" s="28"/>
      <c r="W109" s="28"/>
      <c r="X109" s="28"/>
      <c r="Y109" s="28"/>
      <c r="Z109" s="28"/>
      <c r="AA109" s="28"/>
      <c r="AB109" s="28"/>
      <c r="AC109" s="28"/>
      <c r="AD109" s="28"/>
      <c r="AE109" s="28"/>
      <c r="AF109" s="28"/>
      <c r="AG109" s="28"/>
      <c r="AH109" s="28"/>
      <c r="AI109" s="28"/>
      <c r="AJ109" s="3"/>
      <c r="AK109" s="3"/>
    </row>
    <row r="110" spans="1:39" ht="15.75" customHeight="1" x14ac:dyDescent="0.35">
      <c r="A110" s="195"/>
      <c r="B110" s="195"/>
      <c r="C110" s="195"/>
      <c r="D110" s="196"/>
      <c r="E110" s="197"/>
      <c r="F110" s="198"/>
      <c r="G110" s="199"/>
      <c r="H110" s="199"/>
      <c r="I110" s="28"/>
      <c r="J110" s="28"/>
      <c r="K110" s="28"/>
      <c r="L110" s="28"/>
      <c r="M110" s="28"/>
      <c r="N110" s="28"/>
      <c r="O110" s="28"/>
      <c r="P110" s="28"/>
      <c r="Q110" s="28"/>
      <c r="R110" s="28"/>
      <c r="S110" s="28"/>
      <c r="T110" s="28"/>
      <c r="U110" s="28"/>
      <c r="V110" s="28"/>
      <c r="W110" s="28"/>
      <c r="X110" s="28"/>
      <c r="Y110" s="28"/>
      <c r="Z110" s="28"/>
      <c r="AA110" s="28"/>
      <c r="AB110" s="28"/>
      <c r="AC110" s="28"/>
      <c r="AD110" s="28"/>
      <c r="AE110" s="28"/>
      <c r="AF110" s="28"/>
      <c r="AG110" s="28"/>
      <c r="AH110" s="28"/>
      <c r="AI110" s="28"/>
      <c r="AJ110" s="3"/>
      <c r="AK110" s="3"/>
    </row>
    <row r="111" spans="1:39" ht="15.75" customHeight="1" x14ac:dyDescent="0.35">
      <c r="A111" s="215" t="s">
        <v>217</v>
      </c>
      <c r="B111" s="15"/>
      <c r="C111" s="15"/>
      <c r="D111" s="216" t="s">
        <v>218</v>
      </c>
      <c r="E111" s="217"/>
      <c r="F111" s="218"/>
      <c r="G111" s="219" t="s">
        <v>219</v>
      </c>
      <c r="H111" s="3"/>
      <c r="I111" s="3"/>
      <c r="J111" s="219" t="s">
        <v>220</v>
      </c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220"/>
    </row>
    <row r="112" spans="1:39" ht="15.75" customHeight="1" x14ac:dyDescent="0.35">
      <c r="A112" s="215"/>
      <c r="B112" s="15"/>
      <c r="C112" s="15"/>
      <c r="D112" s="221"/>
      <c r="E112" s="217"/>
      <c r="F112" s="218"/>
      <c r="G112" s="222"/>
      <c r="H112" s="222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220"/>
      <c r="AK112" s="220"/>
    </row>
    <row r="113" spans="1:37" ht="15.75" customHeight="1" x14ac:dyDescent="0.35">
      <c r="A113" s="15"/>
      <c r="B113" s="15"/>
      <c r="C113" s="15"/>
      <c r="D113" s="221"/>
      <c r="E113" s="217"/>
      <c r="F113" s="218"/>
      <c r="G113" s="222"/>
      <c r="H113" s="222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220"/>
      <c r="AK113" s="220"/>
    </row>
    <row r="114" spans="1:37" ht="15.75" customHeight="1" x14ac:dyDescent="0.35">
      <c r="A114" s="223" t="s">
        <v>221</v>
      </c>
      <c r="B114" s="2"/>
      <c r="C114" s="2"/>
      <c r="D114" s="219" t="s">
        <v>222</v>
      </c>
      <c r="E114" s="224"/>
      <c r="F114" s="218"/>
      <c r="G114" s="219" t="s">
        <v>223</v>
      </c>
      <c r="H114" s="3"/>
      <c r="I114" s="3"/>
      <c r="J114" s="219" t="s">
        <v>224</v>
      </c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</row>
    <row r="115" spans="1:37" ht="15" customHeight="1" x14ac:dyDescent="0.35">
      <c r="A115" s="225" t="s">
        <v>225</v>
      </c>
      <c r="B115" s="2"/>
      <c r="C115" s="2"/>
      <c r="D115" s="3" t="s">
        <v>226</v>
      </c>
      <c r="E115" s="224"/>
      <c r="F115" s="218"/>
      <c r="G115" s="3" t="s">
        <v>227</v>
      </c>
      <c r="H115" s="3"/>
      <c r="I115" s="3"/>
      <c r="J115" s="3" t="s">
        <v>228</v>
      </c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220"/>
      <c r="AK115" s="220"/>
    </row>
    <row r="116" spans="1:37" ht="15.75" customHeight="1" x14ac:dyDescent="0.35">
      <c r="A116" s="3"/>
      <c r="B116" s="3"/>
      <c r="C116" s="3"/>
      <c r="D116" s="3"/>
      <c r="E116" s="224"/>
      <c r="F116" s="218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</row>
    <row r="117" spans="1:37" ht="15.75" customHeight="1" x14ac:dyDescent="0.35">
      <c r="A117" s="3" t="s">
        <v>229</v>
      </c>
      <c r="B117" s="3"/>
      <c r="C117" s="3"/>
      <c r="D117" s="3" t="s">
        <v>230</v>
      </c>
      <c r="E117" s="224"/>
      <c r="F117" s="218"/>
      <c r="G117" s="3" t="s">
        <v>230</v>
      </c>
      <c r="H117" s="3"/>
      <c r="I117" s="3"/>
      <c r="J117" s="3" t="s">
        <v>230</v>
      </c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</row>
    <row r="118" spans="1:37" ht="15.75" customHeight="1" x14ac:dyDescent="0.35">
      <c r="D118" s="3"/>
      <c r="E118" s="224"/>
      <c r="F118" s="218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</row>
    <row r="119" spans="1:37" ht="15.75" customHeight="1" x14ac:dyDescent="0.35">
      <c r="D119" s="226" t="s">
        <v>231</v>
      </c>
      <c r="E119" s="217"/>
      <c r="F119" s="218"/>
      <c r="G119" s="222"/>
      <c r="H119" s="222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</row>
    <row r="120" spans="1:37" ht="15.75" customHeight="1" x14ac:dyDescent="0.35">
      <c r="A120" s="28"/>
      <c r="B120" s="28"/>
      <c r="C120" s="28"/>
      <c r="D120" s="196"/>
      <c r="E120" s="197"/>
      <c r="F120" s="198"/>
      <c r="G120" s="199"/>
      <c r="H120" s="199"/>
      <c r="I120" s="28"/>
      <c r="J120" s="28"/>
      <c r="K120" s="28"/>
      <c r="L120" s="28"/>
      <c r="M120" s="28"/>
      <c r="N120" s="28"/>
      <c r="O120" s="28"/>
      <c r="P120" s="28"/>
      <c r="Q120" s="28"/>
      <c r="R120" s="28"/>
      <c r="S120" s="28"/>
      <c r="T120" s="28"/>
      <c r="U120" s="28"/>
      <c r="V120" s="28"/>
      <c r="W120" s="28"/>
      <c r="X120" s="28"/>
      <c r="Y120" s="28"/>
      <c r="Z120" s="28"/>
      <c r="AA120" s="28"/>
      <c r="AB120" s="28"/>
      <c r="AC120" s="28"/>
      <c r="AD120" s="28"/>
      <c r="AE120" s="28"/>
      <c r="AF120" s="28"/>
      <c r="AG120" s="28"/>
      <c r="AH120" s="28"/>
      <c r="AI120" s="28"/>
    </row>
    <row r="121" spans="1:37" ht="15.75" customHeight="1" x14ac:dyDescent="0.35">
      <c r="A121" s="28"/>
      <c r="B121" s="28"/>
      <c r="C121" s="28"/>
      <c r="D121" s="196"/>
      <c r="E121" s="197"/>
      <c r="F121" s="198"/>
      <c r="G121" s="199"/>
      <c r="H121" s="199"/>
      <c r="I121" s="28"/>
      <c r="J121" s="28"/>
      <c r="K121" s="28"/>
      <c r="L121" s="28"/>
      <c r="M121" s="28"/>
      <c r="N121" s="28"/>
      <c r="O121" s="28"/>
      <c r="P121" s="28"/>
      <c r="Q121" s="28"/>
      <c r="R121" s="28"/>
      <c r="S121" s="28"/>
      <c r="T121" s="28"/>
      <c r="U121" s="28"/>
      <c r="V121" s="28"/>
      <c r="W121" s="28"/>
      <c r="X121" s="28"/>
      <c r="Y121" s="28"/>
      <c r="Z121" s="28"/>
      <c r="AA121" s="28"/>
      <c r="AB121" s="28"/>
      <c r="AC121" s="28"/>
      <c r="AD121" s="28"/>
      <c r="AE121" s="28"/>
      <c r="AF121" s="28"/>
      <c r="AG121" s="28"/>
      <c r="AH121" s="28"/>
      <c r="AI121" s="28"/>
    </row>
    <row r="122" spans="1:37" ht="15.75" customHeight="1" x14ac:dyDescent="0.35">
      <c r="D122" s="221"/>
      <c r="E122" s="217"/>
      <c r="F122" s="218"/>
      <c r="G122" s="222"/>
      <c r="H122" s="222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</row>
    <row r="123" spans="1:37" ht="15.75" customHeight="1" x14ac:dyDescent="0.35">
      <c r="D123" s="221"/>
      <c r="E123" s="217"/>
      <c r="F123" s="218"/>
      <c r="G123" s="222"/>
      <c r="H123" s="222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</row>
    <row r="124" spans="1:37" ht="15.75" customHeight="1" x14ac:dyDescent="0.35">
      <c r="D124" s="221"/>
      <c r="E124" s="217"/>
      <c r="F124" s="218"/>
      <c r="G124" s="222"/>
      <c r="H124" s="222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</row>
    <row r="125" spans="1:37" ht="15.75" customHeight="1" x14ac:dyDescent="0.35">
      <c r="D125" s="221"/>
      <c r="E125" s="217"/>
      <c r="F125" s="218"/>
      <c r="G125" s="222"/>
      <c r="H125" s="222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</row>
    <row r="126" spans="1:37" ht="15.75" customHeight="1" x14ac:dyDescent="0.35">
      <c r="D126" s="221"/>
      <c r="E126" s="217"/>
      <c r="F126" s="218"/>
      <c r="G126" s="222"/>
      <c r="H126" s="222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</row>
    <row r="127" spans="1:37" ht="15.75" customHeight="1" x14ac:dyDescent="0.35">
      <c r="D127" s="221"/>
      <c r="E127" s="217"/>
      <c r="F127" s="218"/>
      <c r="G127" s="222"/>
      <c r="H127" s="222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</row>
    <row r="128" spans="1:37" ht="15.75" customHeight="1" x14ac:dyDescent="0.35">
      <c r="D128" s="221"/>
      <c r="E128" s="217"/>
      <c r="F128" s="218"/>
      <c r="G128" s="222"/>
      <c r="H128" s="222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</row>
    <row r="129" spans="4:35" ht="15.75" customHeight="1" x14ac:dyDescent="0.35">
      <c r="D129" s="221"/>
      <c r="E129" s="217"/>
      <c r="F129" s="218"/>
      <c r="G129" s="222"/>
      <c r="H129" s="222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</row>
    <row r="130" spans="4:35" ht="15.75" customHeight="1" x14ac:dyDescent="0.35">
      <c r="D130" s="221"/>
      <c r="E130" s="227"/>
      <c r="H130" s="228"/>
    </row>
    <row r="131" spans="4:35" ht="15.75" customHeight="1" x14ac:dyDescent="0.35">
      <c r="D131" s="221"/>
      <c r="E131" s="227"/>
      <c r="H131" s="228"/>
    </row>
    <row r="132" spans="4:35" ht="15.75" customHeight="1" x14ac:dyDescent="0.35">
      <c r="D132" s="221"/>
      <c r="E132" s="227"/>
      <c r="H132" s="228"/>
    </row>
    <row r="133" spans="4:35" ht="15.75" customHeight="1" x14ac:dyDescent="0.35">
      <c r="D133" s="221"/>
      <c r="E133" s="227"/>
      <c r="H133" s="228"/>
    </row>
    <row r="134" spans="4:35" ht="15.75" customHeight="1" x14ac:dyDescent="0.35">
      <c r="D134" s="221"/>
      <c r="E134" s="227"/>
      <c r="H134" s="228"/>
    </row>
    <row r="135" spans="4:35" ht="15.75" customHeight="1" x14ac:dyDescent="0.35">
      <c r="D135" s="221"/>
      <c r="E135" s="227"/>
      <c r="H135" s="228"/>
    </row>
    <row r="136" spans="4:35" ht="15.75" customHeight="1" x14ac:dyDescent="0.35">
      <c r="D136" s="221"/>
      <c r="E136" s="227"/>
      <c r="H136" s="228"/>
    </row>
    <row r="137" spans="4:35" ht="15.75" customHeight="1" x14ac:dyDescent="0.35">
      <c r="D137" s="221"/>
      <c r="E137" s="227"/>
      <c r="H137" s="228"/>
    </row>
    <row r="138" spans="4:35" ht="15.75" customHeight="1" x14ac:dyDescent="0.35">
      <c r="D138" s="221"/>
      <c r="E138" s="227"/>
      <c r="H138" s="228"/>
    </row>
    <row r="139" spans="4:35" ht="15.75" customHeight="1" x14ac:dyDescent="0.35">
      <c r="D139" s="221"/>
      <c r="E139" s="227"/>
      <c r="H139" s="228"/>
    </row>
    <row r="140" spans="4:35" ht="15.75" customHeight="1" x14ac:dyDescent="0.35">
      <c r="D140" s="221"/>
      <c r="E140" s="227"/>
      <c r="H140" s="228"/>
    </row>
    <row r="141" spans="4:35" ht="15.75" customHeight="1" x14ac:dyDescent="0.35">
      <c r="D141" s="221"/>
      <c r="E141" s="227"/>
      <c r="H141" s="228"/>
    </row>
    <row r="142" spans="4:35" ht="15.75" customHeight="1" x14ac:dyDescent="0.35">
      <c r="D142" s="221"/>
      <c r="E142" s="227"/>
      <c r="H142" s="228"/>
    </row>
    <row r="143" spans="4:35" ht="15.75" customHeight="1" x14ac:dyDescent="0.35">
      <c r="D143" s="221"/>
      <c r="E143" s="227"/>
      <c r="H143" s="228"/>
    </row>
    <row r="144" spans="4:35" ht="15.75" customHeight="1" x14ac:dyDescent="0.35">
      <c r="D144" s="221"/>
      <c r="E144" s="227"/>
      <c r="H144" s="228"/>
    </row>
    <row r="145" spans="4:8" ht="15.75" customHeight="1" x14ac:dyDescent="0.35">
      <c r="D145" s="221"/>
      <c r="E145" s="227"/>
      <c r="H145" s="228"/>
    </row>
    <row r="146" spans="4:8" ht="15.75" customHeight="1" x14ac:dyDescent="0.35">
      <c r="D146" s="221"/>
      <c r="E146" s="227"/>
      <c r="H146" s="228"/>
    </row>
    <row r="147" spans="4:8" ht="15.75" customHeight="1" x14ac:dyDescent="0.35">
      <c r="D147" s="221"/>
      <c r="E147" s="227"/>
      <c r="H147" s="228"/>
    </row>
    <row r="148" spans="4:8" ht="15.75" customHeight="1" x14ac:dyDescent="0.35">
      <c r="D148" s="221"/>
      <c r="E148" s="227"/>
      <c r="H148" s="228"/>
    </row>
    <row r="149" spans="4:8" ht="15.75" customHeight="1" x14ac:dyDescent="0.35">
      <c r="D149" s="221"/>
      <c r="E149" s="227"/>
      <c r="H149" s="228"/>
    </row>
    <row r="150" spans="4:8" ht="15.75" customHeight="1" x14ac:dyDescent="0.35">
      <c r="D150" s="221"/>
      <c r="E150" s="227"/>
      <c r="H150" s="228"/>
    </row>
    <row r="151" spans="4:8" ht="15.75" customHeight="1" x14ac:dyDescent="0.35">
      <c r="D151" s="221"/>
      <c r="E151" s="227"/>
      <c r="H151" s="228"/>
    </row>
    <row r="152" spans="4:8" ht="15.75" customHeight="1" x14ac:dyDescent="0.35">
      <c r="D152" s="221"/>
      <c r="E152" s="227"/>
      <c r="H152" s="228"/>
    </row>
    <row r="153" spans="4:8" ht="15.75" customHeight="1" x14ac:dyDescent="0.35">
      <c r="D153" s="221"/>
      <c r="E153" s="227"/>
      <c r="H153" s="228"/>
    </row>
    <row r="154" spans="4:8" ht="15.75" customHeight="1" x14ac:dyDescent="0.35">
      <c r="D154" s="221"/>
      <c r="E154" s="227"/>
      <c r="H154" s="228"/>
    </row>
    <row r="155" spans="4:8" ht="15.75" customHeight="1" x14ac:dyDescent="0.35">
      <c r="D155" s="221"/>
      <c r="E155" s="227"/>
      <c r="H155" s="228"/>
    </row>
    <row r="156" spans="4:8" ht="15.75" customHeight="1" x14ac:dyDescent="0.35">
      <c r="D156" s="221"/>
      <c r="E156" s="227"/>
      <c r="H156" s="228"/>
    </row>
    <row r="157" spans="4:8" ht="15.75" customHeight="1" x14ac:dyDescent="0.35">
      <c r="D157" s="221"/>
      <c r="E157" s="227"/>
      <c r="H157" s="228"/>
    </row>
    <row r="158" spans="4:8" ht="15.75" customHeight="1" x14ac:dyDescent="0.35">
      <c r="D158" s="221"/>
      <c r="E158" s="227"/>
      <c r="H158" s="228"/>
    </row>
    <row r="159" spans="4:8" ht="15.75" customHeight="1" x14ac:dyDescent="0.35">
      <c r="D159" s="221"/>
      <c r="E159" s="227"/>
      <c r="H159" s="228"/>
    </row>
    <row r="160" spans="4:8" ht="15.75" customHeight="1" x14ac:dyDescent="0.35">
      <c r="D160" s="221"/>
      <c r="E160" s="227"/>
      <c r="H160" s="228"/>
    </row>
    <row r="161" spans="4:8" ht="15.75" customHeight="1" x14ac:dyDescent="0.35">
      <c r="D161" s="221"/>
      <c r="E161" s="227"/>
      <c r="H161" s="228"/>
    </row>
    <row r="162" spans="4:8" ht="15.75" customHeight="1" x14ac:dyDescent="0.35">
      <c r="D162" s="221"/>
      <c r="E162" s="227"/>
      <c r="H162" s="228"/>
    </row>
    <row r="163" spans="4:8" ht="15.75" customHeight="1" x14ac:dyDescent="0.35">
      <c r="D163" s="221"/>
      <c r="E163" s="227"/>
      <c r="H163" s="228"/>
    </row>
    <row r="164" spans="4:8" ht="15.75" customHeight="1" x14ac:dyDescent="0.35">
      <c r="D164" s="221"/>
      <c r="E164" s="227"/>
      <c r="H164" s="228"/>
    </row>
    <row r="165" spans="4:8" ht="15.75" customHeight="1" x14ac:dyDescent="0.35">
      <c r="D165" s="221"/>
      <c r="E165" s="227"/>
      <c r="H165" s="228"/>
    </row>
    <row r="166" spans="4:8" ht="15.75" customHeight="1" x14ac:dyDescent="0.35">
      <c r="D166" s="221"/>
      <c r="E166" s="227"/>
      <c r="H166" s="228"/>
    </row>
    <row r="167" spans="4:8" ht="15.75" customHeight="1" x14ac:dyDescent="0.35">
      <c r="D167" s="221"/>
      <c r="E167" s="227"/>
      <c r="H167" s="228"/>
    </row>
    <row r="168" spans="4:8" ht="15.75" customHeight="1" x14ac:dyDescent="0.35">
      <c r="D168" s="221"/>
      <c r="E168" s="227"/>
      <c r="H168" s="228"/>
    </row>
    <row r="169" spans="4:8" ht="15.75" customHeight="1" x14ac:dyDescent="0.35">
      <c r="D169" s="221"/>
      <c r="E169" s="227"/>
      <c r="H169" s="228"/>
    </row>
    <row r="170" spans="4:8" ht="15.75" customHeight="1" x14ac:dyDescent="0.35">
      <c r="D170" s="221"/>
      <c r="E170" s="227"/>
      <c r="H170" s="228"/>
    </row>
    <row r="171" spans="4:8" ht="15.75" customHeight="1" x14ac:dyDescent="0.35">
      <c r="D171" s="221"/>
      <c r="E171" s="227"/>
      <c r="H171" s="228"/>
    </row>
    <row r="172" spans="4:8" ht="15.75" customHeight="1" x14ac:dyDescent="0.35">
      <c r="D172" s="221"/>
      <c r="E172" s="227"/>
      <c r="H172" s="228"/>
    </row>
    <row r="173" spans="4:8" ht="15.75" customHeight="1" x14ac:dyDescent="0.35">
      <c r="D173" s="221"/>
      <c r="E173" s="227"/>
      <c r="H173" s="228"/>
    </row>
    <row r="174" spans="4:8" ht="15.75" customHeight="1" x14ac:dyDescent="0.35">
      <c r="D174" s="221"/>
      <c r="E174" s="227"/>
      <c r="H174" s="228"/>
    </row>
    <row r="175" spans="4:8" ht="15.75" customHeight="1" x14ac:dyDescent="0.35">
      <c r="D175" s="221"/>
      <c r="E175" s="227"/>
      <c r="H175" s="228"/>
    </row>
    <row r="176" spans="4:8" ht="15.75" customHeight="1" x14ac:dyDescent="0.35">
      <c r="D176" s="221"/>
      <c r="E176" s="227"/>
      <c r="H176" s="228"/>
    </row>
    <row r="177" spans="4:8" ht="15.75" customHeight="1" x14ac:dyDescent="0.35">
      <c r="D177" s="221"/>
      <c r="E177" s="227"/>
      <c r="H177" s="228"/>
    </row>
    <row r="178" spans="4:8" ht="15.75" customHeight="1" x14ac:dyDescent="0.35">
      <c r="D178" s="221"/>
      <c r="E178" s="227"/>
      <c r="H178" s="228"/>
    </row>
    <row r="179" spans="4:8" ht="15.75" customHeight="1" x14ac:dyDescent="0.35">
      <c r="D179" s="221"/>
      <c r="E179" s="227"/>
      <c r="H179" s="228"/>
    </row>
    <row r="180" spans="4:8" ht="15.75" customHeight="1" x14ac:dyDescent="0.35">
      <c r="D180" s="221"/>
      <c r="E180" s="227"/>
      <c r="H180" s="228"/>
    </row>
    <row r="181" spans="4:8" ht="15.75" customHeight="1" x14ac:dyDescent="0.35">
      <c r="D181" s="221"/>
      <c r="E181" s="227"/>
      <c r="H181" s="228"/>
    </row>
    <row r="182" spans="4:8" ht="15.75" customHeight="1" x14ac:dyDescent="0.35">
      <c r="D182" s="221"/>
      <c r="E182" s="227"/>
      <c r="H182" s="228"/>
    </row>
    <row r="183" spans="4:8" ht="15.75" customHeight="1" x14ac:dyDescent="0.35">
      <c r="D183" s="221"/>
      <c r="E183" s="227"/>
      <c r="H183" s="228"/>
    </row>
    <row r="184" spans="4:8" ht="15.75" customHeight="1" x14ac:dyDescent="0.35">
      <c r="D184" s="221"/>
      <c r="E184" s="227"/>
      <c r="H184" s="228"/>
    </row>
    <row r="185" spans="4:8" ht="15.75" customHeight="1" x14ac:dyDescent="0.35">
      <c r="D185" s="221"/>
      <c r="E185" s="227"/>
      <c r="H185" s="228"/>
    </row>
    <row r="186" spans="4:8" ht="15.75" customHeight="1" x14ac:dyDescent="0.35">
      <c r="D186" s="221"/>
      <c r="E186" s="227"/>
      <c r="H186" s="228"/>
    </row>
    <row r="187" spans="4:8" ht="15.75" customHeight="1" x14ac:dyDescent="0.35">
      <c r="D187" s="221"/>
      <c r="E187" s="227"/>
      <c r="H187" s="228"/>
    </row>
    <row r="188" spans="4:8" ht="15.75" customHeight="1" x14ac:dyDescent="0.35">
      <c r="D188" s="221"/>
      <c r="E188" s="227"/>
      <c r="H188" s="228"/>
    </row>
    <row r="189" spans="4:8" ht="15.75" customHeight="1" x14ac:dyDescent="0.35">
      <c r="D189" s="221"/>
      <c r="E189" s="227"/>
      <c r="H189" s="228"/>
    </row>
    <row r="190" spans="4:8" ht="15.75" customHeight="1" x14ac:dyDescent="0.35">
      <c r="D190" s="221"/>
      <c r="E190" s="227"/>
      <c r="H190" s="228"/>
    </row>
    <row r="191" spans="4:8" ht="15.75" customHeight="1" x14ac:dyDescent="0.35">
      <c r="D191" s="221"/>
      <c r="E191" s="227"/>
      <c r="H191" s="228"/>
    </row>
    <row r="192" spans="4:8" ht="15.75" customHeight="1" x14ac:dyDescent="0.35">
      <c r="D192" s="221"/>
      <c r="E192" s="227"/>
      <c r="H192" s="228"/>
    </row>
    <row r="193" spans="4:8" ht="15.75" customHeight="1" x14ac:dyDescent="0.35">
      <c r="D193" s="221"/>
      <c r="E193" s="227"/>
      <c r="H193" s="228"/>
    </row>
    <row r="194" spans="4:8" ht="15.75" customHeight="1" x14ac:dyDescent="0.35">
      <c r="D194" s="221"/>
      <c r="E194" s="227"/>
      <c r="H194" s="228"/>
    </row>
    <row r="195" spans="4:8" ht="15.75" customHeight="1" x14ac:dyDescent="0.35">
      <c r="D195" s="221"/>
      <c r="E195" s="227"/>
      <c r="H195" s="228"/>
    </row>
    <row r="196" spans="4:8" ht="15.75" customHeight="1" x14ac:dyDescent="0.35">
      <c r="D196" s="221"/>
      <c r="E196" s="227"/>
      <c r="H196" s="228"/>
    </row>
    <row r="197" spans="4:8" ht="15.75" customHeight="1" x14ac:dyDescent="0.35">
      <c r="D197" s="221"/>
      <c r="E197" s="227"/>
      <c r="H197" s="228"/>
    </row>
    <row r="198" spans="4:8" ht="15.75" customHeight="1" x14ac:dyDescent="0.35">
      <c r="D198" s="221"/>
      <c r="E198" s="227"/>
      <c r="H198" s="228"/>
    </row>
    <row r="199" spans="4:8" ht="15.75" customHeight="1" x14ac:dyDescent="0.35">
      <c r="D199" s="221"/>
      <c r="E199" s="227"/>
      <c r="H199" s="228"/>
    </row>
    <row r="200" spans="4:8" ht="15.75" customHeight="1" x14ac:dyDescent="0.35">
      <c r="D200" s="221"/>
      <c r="E200" s="227"/>
      <c r="H200" s="228"/>
    </row>
    <row r="201" spans="4:8" ht="15.75" customHeight="1" x14ac:dyDescent="0.35">
      <c r="D201" s="221"/>
      <c r="E201" s="227"/>
      <c r="H201" s="228"/>
    </row>
    <row r="202" spans="4:8" ht="15.75" customHeight="1" x14ac:dyDescent="0.35">
      <c r="D202" s="221"/>
      <c r="E202" s="227"/>
      <c r="H202" s="228"/>
    </row>
    <row r="203" spans="4:8" ht="15.75" customHeight="1" x14ac:dyDescent="0.35">
      <c r="D203" s="221"/>
      <c r="E203" s="227"/>
      <c r="H203" s="228"/>
    </row>
    <row r="204" spans="4:8" ht="15.75" customHeight="1" x14ac:dyDescent="0.35">
      <c r="D204" s="221"/>
      <c r="E204" s="227"/>
      <c r="H204" s="228"/>
    </row>
    <row r="205" spans="4:8" ht="15.75" customHeight="1" x14ac:dyDescent="0.35">
      <c r="D205" s="221"/>
      <c r="E205" s="227"/>
      <c r="H205" s="228"/>
    </row>
    <row r="206" spans="4:8" ht="15.75" customHeight="1" x14ac:dyDescent="0.35">
      <c r="D206" s="221"/>
      <c r="E206" s="227"/>
      <c r="H206" s="228"/>
    </row>
    <row r="207" spans="4:8" ht="15.75" customHeight="1" x14ac:dyDescent="0.35">
      <c r="D207" s="221"/>
      <c r="E207" s="227"/>
      <c r="H207" s="228"/>
    </row>
    <row r="208" spans="4:8" ht="15.75" customHeight="1" x14ac:dyDescent="0.35">
      <c r="D208" s="221"/>
      <c r="E208" s="227"/>
      <c r="H208" s="228"/>
    </row>
    <row r="209" spans="4:8" ht="15.75" customHeight="1" x14ac:dyDescent="0.35">
      <c r="D209" s="221"/>
      <c r="E209" s="227"/>
      <c r="H209" s="228"/>
    </row>
    <row r="210" spans="4:8" ht="15.75" customHeight="1" x14ac:dyDescent="0.35">
      <c r="D210" s="221"/>
      <c r="E210" s="227"/>
      <c r="H210" s="228"/>
    </row>
    <row r="211" spans="4:8" ht="15.75" customHeight="1" x14ac:dyDescent="0.35">
      <c r="D211" s="221"/>
      <c r="E211" s="227"/>
      <c r="H211" s="228"/>
    </row>
    <row r="212" spans="4:8" ht="15.75" customHeight="1" x14ac:dyDescent="0.35">
      <c r="D212" s="221"/>
      <c r="E212" s="227"/>
      <c r="H212" s="228"/>
    </row>
    <row r="213" spans="4:8" ht="15.75" customHeight="1" x14ac:dyDescent="0.35">
      <c r="D213" s="221"/>
      <c r="E213" s="227"/>
      <c r="H213" s="228"/>
    </row>
    <row r="214" spans="4:8" ht="15.75" customHeight="1" x14ac:dyDescent="0.35">
      <c r="D214" s="221"/>
      <c r="E214" s="227"/>
      <c r="H214" s="228"/>
    </row>
    <row r="215" spans="4:8" ht="15.75" customHeight="1" x14ac:dyDescent="0.35">
      <c r="D215" s="221"/>
      <c r="E215" s="227"/>
      <c r="H215" s="228"/>
    </row>
    <row r="216" spans="4:8" ht="15.75" customHeight="1" x14ac:dyDescent="0.35">
      <c r="D216" s="221"/>
      <c r="E216" s="227"/>
      <c r="H216" s="228"/>
    </row>
    <row r="217" spans="4:8" ht="15.75" customHeight="1" x14ac:dyDescent="0.35">
      <c r="D217" s="221"/>
      <c r="E217" s="227"/>
      <c r="H217" s="228"/>
    </row>
    <row r="218" spans="4:8" ht="15.75" customHeight="1" x14ac:dyDescent="0.35">
      <c r="D218" s="221"/>
      <c r="E218" s="227"/>
      <c r="H218" s="228"/>
    </row>
    <row r="219" spans="4:8" ht="15.75" customHeight="1" x14ac:dyDescent="0.35">
      <c r="D219" s="221"/>
      <c r="E219" s="227"/>
      <c r="H219" s="228"/>
    </row>
    <row r="220" spans="4:8" ht="15.75" customHeight="1" x14ac:dyDescent="0.35">
      <c r="D220" s="221"/>
      <c r="E220" s="227"/>
      <c r="H220" s="228"/>
    </row>
    <row r="221" spans="4:8" ht="15.75" customHeight="1" x14ac:dyDescent="0.35">
      <c r="D221" s="221"/>
      <c r="E221" s="227"/>
      <c r="H221" s="228"/>
    </row>
    <row r="222" spans="4:8" ht="15.75" customHeight="1" x14ac:dyDescent="0.35">
      <c r="D222" s="221"/>
      <c r="E222" s="227"/>
      <c r="H222" s="228"/>
    </row>
    <row r="223" spans="4:8" ht="15.75" customHeight="1" x14ac:dyDescent="0.35">
      <c r="D223" s="221"/>
      <c r="E223" s="227"/>
      <c r="H223" s="228"/>
    </row>
    <row r="224" spans="4:8" ht="15.75" customHeight="1" x14ac:dyDescent="0.35">
      <c r="D224" s="221"/>
      <c r="E224" s="227"/>
      <c r="H224" s="228"/>
    </row>
    <row r="225" spans="4:8" ht="15.75" customHeight="1" x14ac:dyDescent="0.35">
      <c r="D225" s="221"/>
      <c r="E225" s="227"/>
      <c r="H225" s="228"/>
    </row>
    <row r="226" spans="4:8" ht="15.75" customHeight="1" x14ac:dyDescent="0.35">
      <c r="D226" s="221"/>
      <c r="E226" s="227"/>
      <c r="H226" s="228"/>
    </row>
    <row r="227" spans="4:8" ht="15.75" customHeight="1" x14ac:dyDescent="0.35">
      <c r="D227" s="221"/>
      <c r="E227" s="227"/>
      <c r="H227" s="228"/>
    </row>
    <row r="228" spans="4:8" ht="15.75" customHeight="1" x14ac:dyDescent="0.35">
      <c r="D228" s="221"/>
      <c r="E228" s="227"/>
      <c r="H228" s="228"/>
    </row>
    <row r="229" spans="4:8" ht="15.75" customHeight="1" x14ac:dyDescent="0.35">
      <c r="D229" s="221"/>
      <c r="E229" s="227"/>
      <c r="H229" s="228"/>
    </row>
    <row r="230" spans="4:8" ht="15.75" customHeight="1" x14ac:dyDescent="0.35">
      <c r="D230" s="221"/>
      <c r="E230" s="227"/>
      <c r="H230" s="228"/>
    </row>
    <row r="231" spans="4:8" ht="15.75" customHeight="1" x14ac:dyDescent="0.35">
      <c r="D231" s="221"/>
      <c r="E231" s="227"/>
      <c r="H231" s="228"/>
    </row>
    <row r="232" spans="4:8" ht="15.75" customHeight="1" x14ac:dyDescent="0.35">
      <c r="D232" s="221"/>
      <c r="E232" s="227"/>
      <c r="H232" s="228"/>
    </row>
    <row r="233" spans="4:8" ht="15.75" customHeight="1" x14ac:dyDescent="0.35">
      <c r="D233" s="221"/>
      <c r="E233" s="227"/>
      <c r="H233" s="228"/>
    </row>
    <row r="234" spans="4:8" ht="15.75" customHeight="1" x14ac:dyDescent="0.35">
      <c r="D234" s="221"/>
      <c r="E234" s="227"/>
      <c r="H234" s="228"/>
    </row>
    <row r="235" spans="4:8" ht="15.75" customHeight="1" x14ac:dyDescent="0.35">
      <c r="D235" s="221"/>
      <c r="E235" s="227"/>
      <c r="H235" s="228"/>
    </row>
    <row r="236" spans="4:8" ht="15.75" customHeight="1" x14ac:dyDescent="0.35">
      <c r="D236" s="221"/>
      <c r="E236" s="227"/>
      <c r="H236" s="228"/>
    </row>
    <row r="237" spans="4:8" ht="15.75" customHeight="1" x14ac:dyDescent="0.35">
      <c r="D237" s="221"/>
      <c r="E237" s="227"/>
      <c r="H237" s="228"/>
    </row>
    <row r="238" spans="4:8" ht="15.75" customHeight="1" x14ac:dyDescent="0.35">
      <c r="D238" s="221"/>
      <c r="E238" s="227"/>
      <c r="H238" s="228"/>
    </row>
    <row r="239" spans="4:8" ht="15.75" customHeight="1" x14ac:dyDescent="0.35">
      <c r="D239" s="221"/>
      <c r="E239" s="227"/>
      <c r="H239" s="228"/>
    </row>
    <row r="240" spans="4:8" ht="15.75" customHeight="1" x14ac:dyDescent="0.35">
      <c r="D240" s="221"/>
      <c r="E240" s="227"/>
      <c r="H240" s="228"/>
    </row>
    <row r="241" spans="4:8" ht="15.75" customHeight="1" x14ac:dyDescent="0.35">
      <c r="D241" s="221"/>
      <c r="E241" s="227"/>
      <c r="H241" s="228"/>
    </row>
    <row r="242" spans="4:8" ht="15.75" customHeight="1" x14ac:dyDescent="0.35">
      <c r="D242" s="221"/>
      <c r="E242" s="227"/>
      <c r="H242" s="228"/>
    </row>
    <row r="243" spans="4:8" ht="15.75" customHeight="1" x14ac:dyDescent="0.35">
      <c r="D243" s="221"/>
      <c r="E243" s="227"/>
      <c r="H243" s="228"/>
    </row>
    <row r="244" spans="4:8" ht="15.75" customHeight="1" x14ac:dyDescent="0.35">
      <c r="D244" s="221"/>
      <c r="E244" s="227"/>
      <c r="H244" s="228"/>
    </row>
    <row r="245" spans="4:8" ht="15.75" customHeight="1" x14ac:dyDescent="0.35">
      <c r="D245" s="221"/>
      <c r="E245" s="227"/>
      <c r="H245" s="228"/>
    </row>
    <row r="246" spans="4:8" ht="15.75" customHeight="1" x14ac:dyDescent="0.35">
      <c r="D246" s="221"/>
      <c r="E246" s="227"/>
      <c r="H246" s="228"/>
    </row>
    <row r="247" spans="4:8" ht="15.75" customHeight="1" x14ac:dyDescent="0.35">
      <c r="D247" s="221"/>
      <c r="E247" s="227"/>
      <c r="H247" s="228"/>
    </row>
    <row r="248" spans="4:8" ht="15.75" customHeight="1" x14ac:dyDescent="0.35">
      <c r="D248" s="221"/>
      <c r="E248" s="227"/>
      <c r="H248" s="228"/>
    </row>
    <row r="249" spans="4:8" ht="15.75" customHeight="1" x14ac:dyDescent="0.35">
      <c r="D249" s="221"/>
      <c r="E249" s="227"/>
      <c r="H249" s="228"/>
    </row>
    <row r="250" spans="4:8" ht="15.75" customHeight="1" x14ac:dyDescent="0.35">
      <c r="D250" s="221"/>
      <c r="E250" s="227"/>
      <c r="H250" s="228"/>
    </row>
    <row r="251" spans="4:8" ht="15.75" customHeight="1" x14ac:dyDescent="0.35">
      <c r="D251" s="221"/>
      <c r="E251" s="227"/>
      <c r="H251" s="228"/>
    </row>
    <row r="252" spans="4:8" ht="15.75" customHeight="1" x14ac:dyDescent="0.35">
      <c r="D252" s="221"/>
      <c r="E252" s="227"/>
      <c r="H252" s="228"/>
    </row>
    <row r="253" spans="4:8" ht="15.75" customHeight="1" x14ac:dyDescent="0.35">
      <c r="D253" s="221"/>
      <c r="E253" s="227"/>
      <c r="H253" s="228"/>
    </row>
    <row r="254" spans="4:8" ht="15.75" customHeight="1" x14ac:dyDescent="0.35">
      <c r="D254" s="221"/>
      <c r="E254" s="227"/>
      <c r="H254" s="228"/>
    </row>
    <row r="255" spans="4:8" ht="15.75" customHeight="1" x14ac:dyDescent="0.35">
      <c r="D255" s="221"/>
      <c r="E255" s="227"/>
      <c r="H255" s="228"/>
    </row>
    <row r="256" spans="4:8" ht="15.75" customHeight="1" x14ac:dyDescent="0.35">
      <c r="D256" s="221"/>
      <c r="E256" s="227"/>
      <c r="H256" s="228"/>
    </row>
    <row r="257" spans="4:8" ht="15.75" customHeight="1" x14ac:dyDescent="0.35">
      <c r="D257" s="221"/>
      <c r="E257" s="227"/>
      <c r="H257" s="228"/>
    </row>
    <row r="258" spans="4:8" ht="15.75" customHeight="1" x14ac:dyDescent="0.35">
      <c r="D258" s="221"/>
      <c r="E258" s="227"/>
      <c r="H258" s="228"/>
    </row>
    <row r="259" spans="4:8" ht="15.75" customHeight="1" x14ac:dyDescent="0.35">
      <c r="D259" s="221"/>
      <c r="E259" s="227"/>
      <c r="H259" s="228"/>
    </row>
    <row r="260" spans="4:8" ht="15.75" customHeight="1" x14ac:dyDescent="0.35">
      <c r="D260" s="221"/>
      <c r="E260" s="227"/>
      <c r="H260" s="228"/>
    </row>
    <row r="261" spans="4:8" ht="15.75" customHeight="1" x14ac:dyDescent="0.35">
      <c r="D261" s="221"/>
      <c r="E261" s="227"/>
      <c r="H261" s="228"/>
    </row>
    <row r="262" spans="4:8" ht="15.75" customHeight="1" x14ac:dyDescent="0.35">
      <c r="D262" s="221"/>
      <c r="E262" s="227"/>
      <c r="H262" s="228"/>
    </row>
    <row r="263" spans="4:8" ht="15.75" customHeight="1" x14ac:dyDescent="0.35">
      <c r="D263" s="221"/>
      <c r="E263" s="227"/>
      <c r="H263" s="228"/>
    </row>
    <row r="264" spans="4:8" ht="15.75" customHeight="1" x14ac:dyDescent="0.35">
      <c r="D264" s="221"/>
      <c r="E264" s="227"/>
      <c r="H264" s="228"/>
    </row>
    <row r="265" spans="4:8" ht="15.75" customHeight="1" x14ac:dyDescent="0.35">
      <c r="D265" s="221"/>
      <c r="E265" s="227"/>
      <c r="H265" s="228"/>
    </row>
    <row r="266" spans="4:8" ht="15.75" customHeight="1" x14ac:dyDescent="0.35">
      <c r="D266" s="221"/>
      <c r="E266" s="227"/>
      <c r="H266" s="228"/>
    </row>
    <row r="267" spans="4:8" ht="15.75" customHeight="1" x14ac:dyDescent="0.35">
      <c r="D267" s="221"/>
      <c r="E267" s="227"/>
      <c r="H267" s="228"/>
    </row>
    <row r="268" spans="4:8" ht="15.75" customHeight="1" x14ac:dyDescent="0.35">
      <c r="D268" s="221"/>
      <c r="E268" s="227"/>
      <c r="H268" s="228"/>
    </row>
    <row r="269" spans="4:8" ht="15.75" customHeight="1" x14ac:dyDescent="0.35">
      <c r="D269" s="221"/>
      <c r="E269" s="227"/>
      <c r="H269" s="228"/>
    </row>
    <row r="270" spans="4:8" ht="15.75" customHeight="1" x14ac:dyDescent="0.35">
      <c r="D270" s="221"/>
      <c r="E270" s="227"/>
      <c r="H270" s="228"/>
    </row>
    <row r="271" spans="4:8" ht="15.75" customHeight="1" x14ac:dyDescent="0.35">
      <c r="D271" s="221"/>
      <c r="E271" s="227"/>
      <c r="H271" s="228"/>
    </row>
    <row r="272" spans="4:8" ht="15.75" customHeight="1" x14ac:dyDescent="0.35">
      <c r="D272" s="221"/>
      <c r="E272" s="227"/>
      <c r="H272" s="228"/>
    </row>
    <row r="273" spans="4:8" ht="15.75" customHeight="1" x14ac:dyDescent="0.35">
      <c r="D273" s="221"/>
      <c r="E273" s="227"/>
      <c r="H273" s="228"/>
    </row>
    <row r="274" spans="4:8" ht="15.75" customHeight="1" x14ac:dyDescent="0.35">
      <c r="D274" s="221"/>
      <c r="E274" s="227"/>
      <c r="H274" s="228"/>
    </row>
    <row r="275" spans="4:8" ht="15.75" customHeight="1" x14ac:dyDescent="0.35">
      <c r="D275" s="221"/>
      <c r="E275" s="227"/>
      <c r="H275" s="228"/>
    </row>
    <row r="276" spans="4:8" ht="15.75" customHeight="1" x14ac:dyDescent="0.35">
      <c r="D276" s="221"/>
      <c r="E276" s="227"/>
      <c r="H276" s="228"/>
    </row>
    <row r="277" spans="4:8" ht="15.75" customHeight="1" x14ac:dyDescent="0.35">
      <c r="D277" s="221"/>
      <c r="E277" s="227"/>
      <c r="H277" s="228"/>
    </row>
    <row r="278" spans="4:8" ht="15.75" customHeight="1" x14ac:dyDescent="0.35">
      <c r="D278" s="221"/>
      <c r="E278" s="227"/>
      <c r="H278" s="228"/>
    </row>
    <row r="279" spans="4:8" ht="15.75" customHeight="1" x14ac:dyDescent="0.35">
      <c r="D279" s="221"/>
      <c r="E279" s="227"/>
      <c r="H279" s="228"/>
    </row>
    <row r="280" spans="4:8" ht="15.75" customHeight="1" x14ac:dyDescent="0.35">
      <c r="D280" s="221"/>
      <c r="E280" s="227"/>
      <c r="H280" s="228"/>
    </row>
    <row r="281" spans="4:8" ht="15.75" customHeight="1" x14ac:dyDescent="0.35">
      <c r="D281" s="221"/>
      <c r="E281" s="227"/>
      <c r="H281" s="228"/>
    </row>
    <row r="282" spans="4:8" ht="15.75" customHeight="1" x14ac:dyDescent="0.35">
      <c r="D282" s="221"/>
      <c r="E282" s="227"/>
      <c r="H282" s="228"/>
    </row>
    <row r="283" spans="4:8" ht="15.75" customHeight="1" x14ac:dyDescent="0.35">
      <c r="D283" s="221"/>
      <c r="E283" s="227"/>
      <c r="H283" s="228"/>
    </row>
    <row r="284" spans="4:8" ht="15.75" customHeight="1" x14ac:dyDescent="0.35">
      <c r="D284" s="221"/>
      <c r="E284" s="227"/>
      <c r="H284" s="228"/>
    </row>
    <row r="285" spans="4:8" ht="15.75" customHeight="1" x14ac:dyDescent="0.35">
      <c r="D285" s="221"/>
      <c r="E285" s="227"/>
      <c r="H285" s="228"/>
    </row>
    <row r="286" spans="4:8" ht="15.75" customHeight="1" x14ac:dyDescent="0.35">
      <c r="D286" s="221"/>
      <c r="E286" s="227"/>
      <c r="H286" s="228"/>
    </row>
    <row r="287" spans="4:8" ht="15.75" customHeight="1" x14ac:dyDescent="0.35">
      <c r="D287" s="221"/>
      <c r="E287" s="227"/>
      <c r="H287" s="228"/>
    </row>
    <row r="288" spans="4:8" ht="15.75" customHeight="1" x14ac:dyDescent="0.35">
      <c r="D288" s="221"/>
      <c r="E288" s="227"/>
      <c r="H288" s="228"/>
    </row>
    <row r="289" spans="4:8" ht="15.75" customHeight="1" x14ac:dyDescent="0.35">
      <c r="D289" s="221"/>
      <c r="E289" s="227"/>
      <c r="H289" s="228"/>
    </row>
    <row r="290" spans="4:8" ht="15.75" customHeight="1" x14ac:dyDescent="0.35">
      <c r="D290" s="221"/>
      <c r="E290" s="227"/>
      <c r="H290" s="228"/>
    </row>
    <row r="291" spans="4:8" ht="15.75" customHeight="1" x14ac:dyDescent="0.35">
      <c r="D291" s="221"/>
      <c r="E291" s="227"/>
      <c r="H291" s="228"/>
    </row>
    <row r="292" spans="4:8" ht="15.75" customHeight="1" x14ac:dyDescent="0.35">
      <c r="D292" s="221"/>
      <c r="E292" s="227"/>
      <c r="H292" s="228"/>
    </row>
    <row r="293" spans="4:8" ht="15.75" customHeight="1" x14ac:dyDescent="0.35">
      <c r="D293" s="221"/>
      <c r="E293" s="227"/>
      <c r="H293" s="228"/>
    </row>
    <row r="294" spans="4:8" ht="15.75" customHeight="1" x14ac:dyDescent="0.35">
      <c r="D294" s="221"/>
      <c r="E294" s="227"/>
      <c r="H294" s="228"/>
    </row>
    <row r="295" spans="4:8" ht="15.75" customHeight="1" x14ac:dyDescent="0.35">
      <c r="D295" s="221"/>
      <c r="E295" s="227"/>
      <c r="H295" s="228"/>
    </row>
    <row r="296" spans="4:8" ht="15.75" customHeight="1" x14ac:dyDescent="0.35">
      <c r="D296" s="221"/>
      <c r="E296" s="227"/>
      <c r="H296" s="228"/>
    </row>
    <row r="297" spans="4:8" ht="15.75" customHeight="1" x14ac:dyDescent="0.35">
      <c r="D297" s="221"/>
      <c r="E297" s="227"/>
      <c r="H297" s="228"/>
    </row>
    <row r="298" spans="4:8" ht="15.75" customHeight="1" x14ac:dyDescent="0.35">
      <c r="D298" s="221"/>
      <c r="E298" s="227"/>
      <c r="H298" s="228"/>
    </row>
    <row r="299" spans="4:8" ht="15.75" customHeight="1" x14ac:dyDescent="0.35">
      <c r="D299" s="221"/>
      <c r="E299" s="227"/>
      <c r="H299" s="228"/>
    </row>
    <row r="300" spans="4:8" ht="15.75" customHeight="1" x14ac:dyDescent="0.35">
      <c r="D300" s="221"/>
      <c r="E300" s="227"/>
      <c r="H300" s="228"/>
    </row>
    <row r="301" spans="4:8" ht="15.75" customHeight="1" x14ac:dyDescent="0.35">
      <c r="D301" s="221"/>
      <c r="E301" s="227"/>
      <c r="H301" s="228"/>
    </row>
    <row r="302" spans="4:8" ht="15.75" customHeight="1" x14ac:dyDescent="0.35">
      <c r="D302" s="221"/>
      <c r="E302" s="227"/>
      <c r="H302" s="228"/>
    </row>
    <row r="303" spans="4:8" ht="15.75" customHeight="1" x14ac:dyDescent="0.35">
      <c r="D303" s="221"/>
      <c r="E303" s="227"/>
      <c r="H303" s="228"/>
    </row>
    <row r="304" spans="4:8" ht="15.75" customHeight="1" x14ac:dyDescent="0.35">
      <c r="D304" s="221"/>
      <c r="E304" s="227"/>
      <c r="H304" s="228"/>
    </row>
    <row r="305" spans="4:8" ht="15.75" customHeight="1" x14ac:dyDescent="0.35">
      <c r="D305" s="221"/>
      <c r="E305" s="227"/>
      <c r="H305" s="228"/>
    </row>
    <row r="306" spans="4:8" ht="15.75" customHeight="1" x14ac:dyDescent="0.35">
      <c r="D306" s="221"/>
      <c r="E306" s="227"/>
      <c r="H306" s="228"/>
    </row>
    <row r="307" spans="4:8" ht="15.75" customHeight="1" x14ac:dyDescent="0.35">
      <c r="D307" s="221"/>
      <c r="E307" s="227"/>
      <c r="H307" s="228"/>
    </row>
    <row r="308" spans="4:8" ht="15.75" customHeight="1" x14ac:dyDescent="0.35">
      <c r="D308" s="221"/>
      <c r="E308" s="227"/>
      <c r="H308" s="228"/>
    </row>
    <row r="309" spans="4:8" ht="15.75" customHeight="1" x14ac:dyDescent="0.35">
      <c r="D309" s="221"/>
      <c r="E309" s="227"/>
      <c r="H309" s="228"/>
    </row>
    <row r="310" spans="4:8" ht="15.75" customHeight="1" x14ac:dyDescent="0.35">
      <c r="D310" s="221"/>
      <c r="E310" s="227"/>
      <c r="H310" s="228"/>
    </row>
    <row r="311" spans="4:8" ht="15.75" customHeight="1" x14ac:dyDescent="0.35">
      <c r="D311" s="221"/>
      <c r="E311" s="227"/>
      <c r="H311" s="228"/>
    </row>
    <row r="312" spans="4:8" ht="15.75" customHeight="1" x14ac:dyDescent="0.35">
      <c r="D312" s="221"/>
      <c r="E312" s="227"/>
      <c r="H312" s="228"/>
    </row>
    <row r="313" spans="4:8" ht="15.75" customHeight="1" x14ac:dyDescent="0.35">
      <c r="D313" s="221"/>
      <c r="E313" s="227"/>
      <c r="H313" s="228"/>
    </row>
    <row r="314" spans="4:8" ht="15.75" customHeight="1" x14ac:dyDescent="0.35">
      <c r="D314" s="221"/>
      <c r="E314" s="227"/>
      <c r="H314" s="228"/>
    </row>
    <row r="315" spans="4:8" ht="15.75" customHeight="1" x14ac:dyDescent="0.35">
      <c r="D315" s="221"/>
      <c r="E315" s="227"/>
      <c r="H315" s="228"/>
    </row>
    <row r="316" spans="4:8" ht="15.75" customHeight="1" x14ac:dyDescent="0.35">
      <c r="D316" s="221"/>
      <c r="E316" s="227"/>
      <c r="H316" s="228"/>
    </row>
    <row r="317" spans="4:8" ht="15.75" customHeight="1" x14ac:dyDescent="0.35">
      <c r="D317" s="221"/>
      <c r="E317" s="227"/>
      <c r="H317" s="228"/>
    </row>
    <row r="318" spans="4:8" ht="15.75" customHeight="1" x14ac:dyDescent="0.35"/>
    <row r="319" spans="4:8" ht="15.75" customHeight="1" x14ac:dyDescent="0.35"/>
    <row r="320" spans="4:8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</sheetData>
  <mergeCells count="61">
    <mergeCell ref="D107:F107"/>
    <mergeCell ref="K107:AG107"/>
    <mergeCell ref="K108:AG108"/>
    <mergeCell ref="A114:C114"/>
    <mergeCell ref="A115:C115"/>
    <mergeCell ref="I96:I99"/>
    <mergeCell ref="D104:F104"/>
    <mergeCell ref="D105:F105"/>
    <mergeCell ref="I105:J105"/>
    <mergeCell ref="K105:AG105"/>
    <mergeCell ref="D106:F106"/>
    <mergeCell ref="K106:AG106"/>
    <mergeCell ref="H75:H76"/>
    <mergeCell ref="D84:D85"/>
    <mergeCell ref="F84:F85"/>
    <mergeCell ref="G84:G85"/>
    <mergeCell ref="H84:H85"/>
    <mergeCell ref="D96:D99"/>
    <mergeCell ref="E96:E99"/>
    <mergeCell ref="F96:F99"/>
    <mergeCell ref="G96:G99"/>
    <mergeCell ref="H96:H99"/>
    <mergeCell ref="D72:D73"/>
    <mergeCell ref="F72:F73"/>
    <mergeCell ref="G72:G73"/>
    <mergeCell ref="D75:D76"/>
    <mergeCell ref="F75:F76"/>
    <mergeCell ref="G75:G76"/>
    <mergeCell ref="D21:D48"/>
    <mergeCell ref="F21:F48"/>
    <mergeCell ref="G21:G48"/>
    <mergeCell ref="H21:H48"/>
    <mergeCell ref="D50:D51"/>
    <mergeCell ref="F50:F51"/>
    <mergeCell ref="G50:G51"/>
    <mergeCell ref="H50:H51"/>
    <mergeCell ref="D16:D17"/>
    <mergeCell ref="F16:F17"/>
    <mergeCell ref="G16:G17"/>
    <mergeCell ref="H16:H17"/>
    <mergeCell ref="D18:D20"/>
    <mergeCell ref="F18:F20"/>
    <mergeCell ref="G18:G20"/>
    <mergeCell ref="H18:H20"/>
    <mergeCell ref="G8:G9"/>
    <mergeCell ref="H8:H9"/>
    <mergeCell ref="I8:AI8"/>
    <mergeCell ref="D13:D14"/>
    <mergeCell ref="F13:F14"/>
    <mergeCell ref="G13:G14"/>
    <mergeCell ref="H13:H14"/>
    <mergeCell ref="A1:AI1"/>
    <mergeCell ref="A2:AI2"/>
    <mergeCell ref="A3:AI3"/>
    <mergeCell ref="A4:G4"/>
    <mergeCell ref="A6:G6"/>
    <mergeCell ref="A8:A9"/>
    <mergeCell ref="B8:B9"/>
    <mergeCell ref="C8:C9"/>
    <mergeCell ref="E8:E9"/>
    <mergeCell ref="F8:F9"/>
  </mergeCells>
  <pageMargins left="0.7" right="0.36" top="0.27999999999999997" bottom="0.6" header="0" footer="0"/>
  <pageSetup paperSize="14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2nd Quarter as of 04-24-24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Lejsam Lois Dela Cruz</dc:creator>
  <cp:lastModifiedBy>Lejsam Lois Dela Cruz</cp:lastModifiedBy>
  <dcterms:created xsi:type="dcterms:W3CDTF">2024-04-24T08:28:46Z</dcterms:created>
  <dcterms:modified xsi:type="dcterms:W3CDTF">2024-04-24T08:29:08Z</dcterms:modified>
</cp:coreProperties>
</file>