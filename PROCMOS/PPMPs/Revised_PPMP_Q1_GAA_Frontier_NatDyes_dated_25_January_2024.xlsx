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nd revision - Q1 - GAA FRONTIE" sheetId="1" r:id="rId4"/>
    <sheet state="visible" name="(revised) Q1 - GAA FRONTIER Nat" sheetId="2" r:id="rId5"/>
    <sheet state="visible" name="(new) Q1 - GAA FRONTIER NatDyes" sheetId="3" r:id="rId6"/>
    <sheet state="visible" name="(old) Q1 - GAA FRONTIER NatDyes" sheetId="4" r:id="rId7"/>
  </sheets>
  <definedNames/>
  <calcPr/>
  <extLst>
    <ext uri="GoogleSheetsCustomDataVersion2">
      <go:sheetsCustomData xmlns:go="http://customooxmlschemas.google.com/" r:id="rId8" roundtripDataChecksum="gWjzc6hYj1lYgVKYaWDlKrFjswgwXF9vUzjEbDR+s3I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04">
      <text>
        <t xml:space="preserve">======
ID#AAABAGy0_yo
upmnih    (2021-04-08 04:25:07)
Prepared by: Project Staff/ Research Associate</t>
      </text>
    </comment>
    <comment authorId="0" ref="C104">
      <text>
        <t xml:space="preserve">======
ID#AAABAGy0_ys
upmnih    (2021-04-08 04:25:07)
Submitted by: Project Leader</t>
      </text>
    </comment>
  </commentList>
  <extLst>
    <ext uri="GoogleSheetsCustomDataVersion2">
      <go:sheetsCustomData xmlns:go="http://customooxmlschemas.google.com/" r:id="rId1" roundtripDataSignature="AMtx7mi2qU/8UHGB4QsNLpvyKOHGkAr3aw=="/>
    </ext>
  </extLst>
</comments>
</file>

<file path=xl/sharedStrings.xml><?xml version="1.0" encoding="utf-8"?>
<sst xmlns="http://schemas.openxmlformats.org/spreadsheetml/2006/main" count="1407" uniqueCount="229">
  <si>
    <t xml:space="preserve">  PROJECT PROCUREMENT MANAGEMENT PLAN (PPMP) 2024</t>
  </si>
  <si>
    <t>For 1st Quarter of CY 2024</t>
  </si>
  <si>
    <t>END-USER/UNIT: RDD-CDABUS</t>
  </si>
  <si>
    <t>Charged to: FRONTIER: Fostering the Revitalization of Nascent Textile Innovation Ecosystems in the Regions - Establishment of Natural Dye Hub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</si>
  <si>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</si>
  <si>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</si>
  <si>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</si>
  <si>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</si>
  <si>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</si>
  <si>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</si>
  <si>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</si>
  <si>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</si>
  <si>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</si>
  <si>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</si>
  <si>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</si>
  <si>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</si>
  <si>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</si>
  <si>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</si>
  <si>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</si>
  <si>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</si>
  <si>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</si>
  <si>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</si>
  <si>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</si>
  <si>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</si>
  <si>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</si>
  <si>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</si>
  <si>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</si>
  <si>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</si>
  <si>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Information and Communication Technology Equipment</t>
  </si>
  <si>
    <t>WiFi Printer and Scanner</t>
  </si>
  <si>
    <t>2 lots</t>
  </si>
  <si>
    <t>Shopping</t>
  </si>
  <si>
    <t>30-45 working days</t>
  </si>
  <si>
    <t>Laptop Computer with Microsoft Office License</t>
  </si>
  <si>
    <t>4 lots</t>
  </si>
  <si>
    <t>Scientific Software</t>
  </si>
  <si>
    <t>1 lot</t>
  </si>
  <si>
    <t>Negotiated Procurement</t>
  </si>
  <si>
    <t>HDMI Cable</t>
  </si>
  <si>
    <t>4 pieces</t>
  </si>
  <si>
    <t>Mirrorless Compact Digital Camera</t>
  </si>
  <si>
    <t>Office Supplies</t>
  </si>
  <si>
    <t>A4 Size Bond Paper</t>
  </si>
  <si>
    <t>25 boxes</t>
  </si>
  <si>
    <t>15-30 working days</t>
  </si>
  <si>
    <t>Folio Size Bond Paper</t>
  </si>
  <si>
    <t>Printer Ink</t>
  </si>
  <si>
    <t>50 sets</t>
  </si>
  <si>
    <t>Toner</t>
  </si>
  <si>
    <t>25 pieces</t>
  </si>
  <si>
    <t>Printer Maintenance Box</t>
  </si>
  <si>
    <t>5 pieces</t>
  </si>
  <si>
    <t>Label Sticker Flag</t>
  </si>
  <si>
    <t>Sticky Notepad</t>
  </si>
  <si>
    <t>White Board Marker</t>
  </si>
  <si>
    <t>White Board Eraser</t>
  </si>
  <si>
    <t>20 pieces</t>
  </si>
  <si>
    <t>Data Filing Cabinet</t>
  </si>
  <si>
    <t>2 pieces</t>
  </si>
  <si>
    <t>Sewing Thread Rack, 48 spool, wall-mounted</t>
  </si>
  <si>
    <t>Laboratory Supplies</t>
  </si>
  <si>
    <t>Sodium Hydroxide, liquid, 48-50% concentration, 30kg per carbouy</t>
  </si>
  <si>
    <t>10 carbouys</t>
  </si>
  <si>
    <t>60-90 working days</t>
  </si>
  <si>
    <t>Sodium Metabisulfite, technical grade</t>
  </si>
  <si>
    <t>10 kilograms</t>
  </si>
  <si>
    <t>Sodium Silicate, technical grade</t>
  </si>
  <si>
    <t>50 liters</t>
  </si>
  <si>
    <t>Sodium Hydroxide, flakes, technical grade</t>
  </si>
  <si>
    <t>15 kilograms</t>
  </si>
  <si>
    <t>Potash Alum, technical grade</t>
  </si>
  <si>
    <t>Sodium Hydrosulfite, technical grade</t>
  </si>
  <si>
    <t>Hydrochloric Acid, 37%, analytic grade, 2.5L per bottle</t>
  </si>
  <si>
    <t>4 bottles</t>
  </si>
  <si>
    <t>Sulfuric Acid, 98%, analytic grade, 2.5L per bottle</t>
  </si>
  <si>
    <t xml:space="preserve">Acetone, analytic grade, 2.5L per bottle
</t>
  </si>
  <si>
    <t>10 bottles</t>
  </si>
  <si>
    <t xml:space="preserve">Sodium Sulfite, anhydrous, analytic grade, 500g per bottle
</t>
  </si>
  <si>
    <t>8 bottles</t>
  </si>
  <si>
    <t>Guar Gum, analytic grade, 1 kg per bottle</t>
  </si>
  <si>
    <t>3 bottles</t>
  </si>
  <si>
    <t>Sodium Alginate, analytic grade, 1kg per bottle</t>
  </si>
  <si>
    <t>Copper Sulfate</t>
  </si>
  <si>
    <t>25 kilograms</t>
  </si>
  <si>
    <t>Soda Ash</t>
  </si>
  <si>
    <t>Nutrient Broth, analytic grade, 500 grams per bottle</t>
  </si>
  <si>
    <t xml:space="preserve">Bleaching Solution
</t>
  </si>
  <si>
    <t>40 gallons</t>
  </si>
  <si>
    <t xml:space="preserve">Non-Ionic Detergent
</t>
  </si>
  <si>
    <t>60 gallons</t>
  </si>
  <si>
    <t>Liquid Detergent</t>
  </si>
  <si>
    <t>20 bottles</t>
  </si>
  <si>
    <t>Liquid Handsoap</t>
  </si>
  <si>
    <t>Disinfectant Spray</t>
  </si>
  <si>
    <t>50 bottles</t>
  </si>
  <si>
    <t xml:space="preserve">Glacial Acetic Acid, technical grade, 30 kg per carbouy
</t>
  </si>
  <si>
    <t xml:space="preserve">Calcium Hydroxide (Lime)
</t>
  </si>
  <si>
    <t>Ethanol, 4L per carbouy</t>
  </si>
  <si>
    <t>Hydrogen Peroxide, technical grade, 30kg per carbouy</t>
  </si>
  <si>
    <t>30 carbouys</t>
  </si>
  <si>
    <t>Methanol, 2.5L, AR</t>
  </si>
  <si>
    <t>Weighing Balance, digital, 0.5-7.5kg</t>
  </si>
  <si>
    <t>10 units</t>
  </si>
  <si>
    <t>UV-Vis Rectangular Quartz Cuvette, with frosted and clear sides, 10mm</t>
  </si>
  <si>
    <t>Quartz Cuvette, with frosted and clear sides, 20mm</t>
  </si>
  <si>
    <t>Whatman Filter Paper, 125mm</t>
  </si>
  <si>
    <t>Weighing Balance, mechanical, 60kg</t>
  </si>
  <si>
    <t>Tong, various sizes</t>
  </si>
  <si>
    <t>5 sets</t>
  </si>
  <si>
    <t>Stirrer, various sizes</t>
  </si>
  <si>
    <t>Strainer, various sizes</t>
  </si>
  <si>
    <t>Glass Beakers, various sizes</t>
  </si>
  <si>
    <t>Glass Cylinder, various sizes</t>
  </si>
  <si>
    <t>Stainless Steel Vessel, various sizes</t>
  </si>
  <si>
    <t>Vietcong Burner, various sizes</t>
  </si>
  <si>
    <t>Polyethylene Plastic, standard size</t>
  </si>
  <si>
    <t>5 packs</t>
  </si>
  <si>
    <t>Plastic Pail with Handle and Cover, 32L capacity</t>
  </si>
  <si>
    <t>10 pieces</t>
  </si>
  <si>
    <t>Plastic Basin, 64L capacity</t>
  </si>
  <si>
    <t>Measuring Cup, max 2L capacity</t>
  </si>
  <si>
    <t>10 sets</t>
  </si>
  <si>
    <t>Polyethylene Bags</t>
  </si>
  <si>
    <t>10 packs</t>
  </si>
  <si>
    <t>Thermometer, 0-110 degrees Celsius</t>
  </si>
  <si>
    <t>Nitrile Gloves, ambidextrous, non-sterile, powder-free, various sizes</t>
  </si>
  <si>
    <t>LPG Tank/Fuel</t>
  </si>
  <si>
    <t>10 tanks</t>
  </si>
  <si>
    <t>Other Supplies and Materials</t>
  </si>
  <si>
    <t>Portable Abaca Stripping Machine</t>
  </si>
  <si>
    <t>30 sets</t>
  </si>
  <si>
    <t>Silkscreen Table and Accessories</t>
  </si>
  <si>
    <t>1 set</t>
  </si>
  <si>
    <t>Airconditioning Unit</t>
  </si>
  <si>
    <t>White Nylon Mechanic Work Gloves, various sizes</t>
  </si>
  <si>
    <t>Pruning Shear</t>
  </si>
  <si>
    <t>Bolo</t>
  </si>
  <si>
    <t>Hoe</t>
  </si>
  <si>
    <t>15 pieces</t>
  </si>
  <si>
    <t>Pico</t>
  </si>
  <si>
    <t>Carborondum</t>
  </si>
  <si>
    <t>Water Can, Water Sprinkler</t>
  </si>
  <si>
    <t>Mosquito Net</t>
  </si>
  <si>
    <t>25 yards</t>
  </si>
  <si>
    <t>Canvas (Lona/Weather Protection Cover)</t>
  </si>
  <si>
    <t>50 meters</t>
  </si>
  <si>
    <t>Seedling, Seedling Bag</t>
  </si>
  <si>
    <t>5 lots</t>
  </si>
  <si>
    <t>Plastic Container, 120L capacity</t>
  </si>
  <si>
    <t>Handloom-Woven Piña-Silk Fabrics</t>
  </si>
  <si>
    <t>100 yards</t>
  </si>
  <si>
    <t>Handloom-Woven Pure Silk Fabrics</t>
  </si>
  <si>
    <t>Handloom-Woven Abaca Fabrics</t>
  </si>
  <si>
    <t>Handloom-Woven Pineapple Fabrics</t>
  </si>
  <si>
    <t>Indigo Dye Powder</t>
  </si>
  <si>
    <t>7 kilograms</t>
  </si>
  <si>
    <t>Plant-Based Natural Dye Sources, reference, various</t>
  </si>
  <si>
    <t>Natural Dye Sources, preparation/research, various</t>
  </si>
  <si>
    <t>10 lots</t>
  </si>
  <si>
    <t>Other Professional Services</t>
  </si>
  <si>
    <t>Colorfastness Test for Dyed Fabrics</t>
  </si>
  <si>
    <t>Per Schedule</t>
  </si>
  <si>
    <t>Hand-Woven Sustainable Shoes</t>
  </si>
  <si>
    <t>125 pieces</t>
  </si>
  <si>
    <t>Printing Services</t>
  </si>
  <si>
    <t>Transportation and Delivery</t>
  </si>
  <si>
    <t>Repair and Maintenance</t>
  </si>
  <si>
    <t>3 lots</t>
  </si>
  <si>
    <t>Capital Outlay (Equipment)</t>
  </si>
  <si>
    <t>Bench Scale Extraction/Dyeing Assembly and Accessories</t>
  </si>
  <si>
    <t>Packaging and Labelling Machine</t>
  </si>
  <si>
    <t>Dye Source Chopper/Shredder</t>
  </si>
  <si>
    <t xml:space="preserve">UV-Vis Spectrophotometer
</t>
  </si>
  <si>
    <t>Digital Centrifuge</t>
  </si>
  <si>
    <t xml:space="preserve">Shaking Incubator
</t>
  </si>
  <si>
    <t>Office Equipment</t>
  </si>
  <si>
    <t>Laboratory Equipment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</si>
  <si>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</si>
  <si>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</si>
  <si>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</si>
  <si>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</si>
  <si>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</si>
  <si>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</si>
  <si>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</si>
  <si>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</si>
  <si>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</si>
  <si>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JENNELI E. CAYA</t>
  </si>
  <si>
    <t>MARILOU G. AGUSTIN</t>
  </si>
  <si>
    <t>MERLITA R. ODI</t>
  </si>
  <si>
    <t>JULIUS L. LEAÑO JR., Ph.D.</t>
  </si>
  <si>
    <t>Officer-in-Charge, Research and Development Division</t>
  </si>
  <si>
    <t>Head, Property, Procurement and General Services Section</t>
  </si>
  <si>
    <t>Head, Budget and Treasury Section</t>
  </si>
  <si>
    <t>Director IV</t>
  </si>
  <si>
    <t>Date: 24 January 2024</t>
  </si>
  <si>
    <t>Date: ______________________</t>
  </si>
  <si>
    <t>50 boxes</t>
  </si>
  <si>
    <t>50 pieces</t>
  </si>
  <si>
    <t>100 liters</t>
  </si>
  <si>
    <t>30 kilograms</t>
  </si>
  <si>
    <t>20 kilograms</t>
  </si>
  <si>
    <t>100 bottles</t>
  </si>
  <si>
    <t>30 pieces</t>
  </si>
  <si>
    <t>Diesel Fuel, 210L per drum</t>
  </si>
  <si>
    <t>20 drums</t>
  </si>
  <si>
    <t>20 packs</t>
  </si>
  <si>
    <t>ICT Equipment</t>
  </si>
  <si>
    <t>100 boxes</t>
  </si>
  <si>
    <t>100 sets</t>
  </si>
  <si>
    <t>100 pieces</t>
  </si>
  <si>
    <t>25 carbouys</t>
  </si>
  <si>
    <t>2 carbouys</t>
  </si>
  <si>
    <t>75 kilograms</t>
  </si>
  <si>
    <t>2 kilograms</t>
  </si>
  <si>
    <t>150 liters</t>
  </si>
  <si>
    <t>5 liters</t>
  </si>
  <si>
    <t>50 kilograms</t>
  </si>
  <si>
    <t>5 kilograms</t>
  </si>
  <si>
    <t>10 gallons</t>
  </si>
  <si>
    <t xml:space="preserve">Liquid Detergent </t>
  </si>
  <si>
    <t>12 kilograms</t>
  </si>
  <si>
    <t>5 units</t>
  </si>
  <si>
    <t>20 tanks</t>
  </si>
  <si>
    <t>Abaca Stripping Machine</t>
  </si>
  <si>
    <t>Natural Dye Sources, various</t>
  </si>
  <si>
    <t>Natural Dye Powder, reference, various sources</t>
  </si>
  <si>
    <t>Cash Advance</t>
  </si>
  <si>
    <t>ZAILLA F. PAYAG</t>
  </si>
  <si>
    <t>Date: 15 January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</si>
</sst>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20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>
      <b/>
      <sz val="10.0"/>
      <color theme="1"/>
      <name val="Arial"/>
    </font>
    <font/>
    <font>
      <sz val="9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  <font>
      <sz val="10.0"/>
      <color theme="1"/>
      <name val="Arial"/>
    </font>
    <font>
      <b/>
      <u/>
      <sz val="9.0"/>
      <color theme="1"/>
      <name val="Arial"/>
    </font>
    <font>
      <b/>
      <sz val="8.0"/>
      <color theme="1"/>
      <name val="Arial"/>
    </font>
    <font>
      <u/>
      <sz val="8.0"/>
      <color theme="1"/>
      <name val="Arial"/>
    </font>
    <font>
      <sz val="11.0"/>
      <color theme="1"/>
      <name val="Calibri"/>
    </font>
    <font>
      <b/>
      <sz val="10.0"/>
      <color theme="1"/>
      <name val="Verdana"/>
    </font>
    <font>
      <sz val="10.0"/>
      <color theme="1"/>
      <name val="Calibri"/>
    </font>
    <font>
      <sz val="10.0"/>
      <color theme="1"/>
      <name val="Verdana"/>
    </font>
  </fonts>
  <fills count="3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E599"/>
        <bgColor rgb="FFFFE599"/>
      </patternFill>
    </fill>
    <fill>
      <patternFill patternType="solid">
        <fgColor rgb="FFBF9000"/>
        <bgColor rgb="FFBF9000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1C232"/>
        <bgColor rgb="FFF1C232"/>
      </patternFill>
    </fill>
    <fill>
      <patternFill patternType="solid">
        <fgColor rgb="FF00FFFF"/>
        <bgColor rgb="FF00FFFF"/>
      </patternFill>
    </fill>
    <fill>
      <patternFill patternType="solid">
        <fgColor rgb="FFCC4125"/>
        <bgColor rgb="FFCC4125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D0E0E3"/>
        <bgColor rgb="FFD0E0E3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FFF2CC"/>
        <bgColor rgb="FFFFF2CC"/>
      </patternFill>
    </fill>
    <fill>
      <patternFill patternType="solid">
        <fgColor rgb="FFF6B26B"/>
        <bgColor rgb="FFF6B26B"/>
      </patternFill>
    </fill>
    <fill>
      <patternFill patternType="solid">
        <fgColor rgb="FFA2C4C9"/>
        <bgColor rgb="FFA2C4C9"/>
      </patternFill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  <fill>
      <patternFill patternType="solid">
        <fgColor rgb="FFB45F06"/>
        <bgColor rgb="FFB45F06"/>
      </patternFill>
    </fill>
    <fill>
      <patternFill patternType="solid">
        <fgColor rgb="FFE69138"/>
        <bgColor rgb="FFE69138"/>
      </patternFill>
    </fill>
    <fill>
      <patternFill patternType="solid">
        <fgColor rgb="FF999999"/>
        <bgColor rgb="FF999999"/>
      </patternFill>
    </fill>
    <fill>
      <patternFill patternType="solid">
        <fgColor rgb="FFC27BA0"/>
        <bgColor rgb="FFC27BA0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</fills>
  <borders count="3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horizontal="right" vertical="center"/>
    </xf>
    <xf borderId="0" fillId="0" fontId="5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6" numFmtId="4" xfId="0" applyAlignment="1" applyBorder="1" applyFont="1" applyNumberForma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5" fillId="0" fontId="8" numFmtId="0" xfId="0" applyBorder="1" applyFont="1"/>
    <xf borderId="6" fillId="0" fontId="8" numFmtId="0" xfId="0" applyBorder="1" applyFont="1"/>
    <xf borderId="0" fillId="0" fontId="9" numFmtId="0" xfId="0" applyFont="1"/>
    <xf borderId="7" fillId="0" fontId="8" numFmtId="0" xfId="0" applyBorder="1" applyFont="1"/>
    <xf borderId="8" fillId="0" fontId="8" numFmtId="0" xfId="0" applyBorder="1" applyFont="1"/>
    <xf borderId="9" fillId="0" fontId="6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3" fillId="2" fontId="10" numFmtId="0" xfId="0" applyAlignment="1" applyBorder="1" applyFill="1" applyFont="1">
      <alignment horizontal="left" readingOrder="0" shrinkToFit="0" vertical="center" wrapText="1"/>
    </xf>
    <xf borderId="12" fillId="2" fontId="6" numFmtId="0" xfId="0" applyAlignment="1" applyBorder="1" applyFont="1">
      <alignment horizontal="center" shrinkToFit="0" vertical="center" wrapText="1"/>
    </xf>
    <xf borderId="12" fillId="2" fontId="6" numFmtId="4" xfId="0" applyAlignment="1" applyBorder="1" applyFont="1" applyNumberFormat="1">
      <alignment horizontal="right" shrinkToFit="0" vertical="center" wrapText="1"/>
    </xf>
    <xf borderId="12" fillId="2" fontId="6" numFmtId="164" xfId="0" applyAlignment="1" applyBorder="1" applyFont="1" applyNumberFormat="1">
      <alignment horizontal="center" shrinkToFit="0" vertical="center" wrapText="1"/>
    </xf>
    <xf borderId="12" fillId="2" fontId="7" numFmtId="0" xfId="0" applyAlignment="1" applyBorder="1" applyFont="1">
      <alignment horizontal="center" shrinkToFit="0" vertical="center" wrapText="1"/>
    </xf>
    <xf borderId="13" fillId="2" fontId="7" numFmtId="0" xfId="0" applyAlignment="1" applyBorder="1" applyFont="1">
      <alignment horizontal="center" shrinkToFit="0" vertical="center" wrapText="1"/>
    </xf>
    <xf borderId="3" fillId="2" fontId="7" numFmtId="0" xfId="0" applyAlignment="1" applyBorder="1" applyFont="1">
      <alignment horizontal="center" shrinkToFit="0" vertical="center" wrapText="1"/>
    </xf>
    <xf borderId="11" fillId="0" fontId="10" numFmtId="0" xfId="0" applyAlignment="1" applyBorder="1" applyFont="1">
      <alignment horizontal="center" shrinkToFit="0" vertical="center" wrapText="1"/>
    </xf>
    <xf borderId="14" fillId="0" fontId="2" numFmtId="49" xfId="0" applyAlignment="1" applyBorder="1" applyFont="1" applyNumberFormat="1">
      <alignment readingOrder="0" vertical="center"/>
    </xf>
    <xf borderId="11" fillId="0" fontId="2" numFmtId="0" xfId="0" applyAlignment="1" applyBorder="1" applyFont="1">
      <alignment horizontal="center" readingOrder="0" shrinkToFit="0" vertical="center" wrapText="1"/>
    </xf>
    <xf borderId="11" fillId="0" fontId="2" numFmtId="4" xfId="0" applyAlignment="1" applyBorder="1" applyFont="1" applyNumberFormat="1">
      <alignment horizontal="right" readingOrder="0" shrinkToFit="0" vertical="center" wrapText="1"/>
    </xf>
    <xf borderId="11" fillId="0" fontId="2" numFmtId="164" xfId="0" applyAlignment="1" applyBorder="1" applyFont="1" applyNumberFormat="1">
      <alignment horizontal="center" readingOrder="0" shrinkToFit="0" vertical="center" wrapText="1"/>
    </xf>
    <xf borderId="11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readingOrder="0" vertical="center"/>
    </xf>
    <xf borderId="11" fillId="3" fontId="2" numFmtId="0" xfId="0" applyAlignment="1" applyBorder="1" applyFill="1" applyFont="1">
      <alignment readingOrder="0" vertical="center"/>
    </xf>
    <xf borderId="11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1" fillId="0" fontId="2" numFmtId="164" xfId="0" applyAlignment="1" applyBorder="1" applyFont="1" applyNumberFormat="1">
      <alignment horizontal="center" shrinkToFit="0" vertical="center" wrapText="1"/>
    </xf>
    <xf borderId="11" fillId="4" fontId="2" numFmtId="0" xfId="0" applyAlignment="1" applyBorder="1" applyFill="1" applyFont="1">
      <alignment readingOrder="0" vertical="center"/>
    </xf>
    <xf borderId="15" fillId="0" fontId="2" numFmtId="49" xfId="0" applyAlignment="1" applyBorder="1" applyFont="1" applyNumberFormat="1">
      <alignment readingOrder="0" vertical="center"/>
    </xf>
    <xf borderId="10" fillId="0" fontId="10" numFmtId="0" xfId="0" applyAlignment="1" applyBorder="1" applyFont="1">
      <alignment horizontal="center" shrinkToFit="0" vertical="center" wrapText="1"/>
    </xf>
    <xf borderId="13" fillId="0" fontId="2" numFmtId="49" xfId="0" applyAlignment="1" applyBorder="1" applyFont="1" applyNumberFormat="1">
      <alignment readingOrder="0" vertical="center"/>
    </xf>
    <xf borderId="16" fillId="0" fontId="2" numFmtId="0" xfId="0" applyAlignment="1" applyBorder="1" applyFont="1">
      <alignment horizontal="center" readingOrder="0" shrinkToFit="0" vertical="center" wrapText="1"/>
    </xf>
    <xf borderId="14" fillId="2" fontId="10" numFmtId="0" xfId="0" applyAlignment="1" applyBorder="1" applyFont="1">
      <alignment horizontal="left" readingOrder="0" shrinkToFit="0" vertical="center" wrapText="1"/>
    </xf>
    <xf borderId="11" fillId="5" fontId="2" numFmtId="0" xfId="0" applyAlignment="1" applyBorder="1" applyFill="1" applyFont="1">
      <alignment readingOrder="0" vertical="center"/>
    </xf>
    <xf borderId="11" fillId="6" fontId="2" numFmtId="0" xfId="0" applyAlignment="1" applyBorder="1" applyFill="1" applyFont="1">
      <alignment readingOrder="0" vertical="center"/>
    </xf>
    <xf borderId="17" fillId="2" fontId="10" numFmtId="0" xfId="0" applyAlignment="1" applyBorder="1" applyFont="1">
      <alignment horizontal="left" vertical="center"/>
    </xf>
    <xf borderId="13" fillId="2" fontId="2" numFmtId="0" xfId="0" applyAlignment="1" applyBorder="1" applyFont="1">
      <alignment vertical="center"/>
    </xf>
    <xf borderId="13" fillId="2" fontId="2" numFmtId="4" xfId="0" applyAlignment="1" applyBorder="1" applyFont="1" applyNumberFormat="1">
      <alignment horizontal="right" vertical="center"/>
    </xf>
    <xf borderId="13" fillId="2" fontId="2" numFmtId="0" xfId="0" applyAlignment="1" applyBorder="1" applyFont="1">
      <alignment horizontal="center" vertical="center"/>
    </xf>
    <xf borderId="11" fillId="0" fontId="2" numFmtId="4" xfId="0" applyAlignment="1" applyBorder="1" applyFont="1" applyNumberFormat="1">
      <alignment horizontal="right" shrinkToFit="0" vertical="center" wrapText="1"/>
    </xf>
    <xf borderId="13" fillId="0" fontId="2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readingOrder="0" vertical="center"/>
    </xf>
    <xf borderId="13" fillId="7" fontId="2" numFmtId="0" xfId="0" applyAlignment="1" applyBorder="1" applyFill="1" applyFont="1">
      <alignment readingOrder="0" vertical="center"/>
    </xf>
    <xf borderId="14" fillId="0" fontId="2" numFmtId="49" xfId="0" applyAlignment="1" applyBorder="1" applyFont="1" applyNumberFormat="1">
      <alignment vertical="center"/>
    </xf>
    <xf borderId="18" fillId="0" fontId="2" numFmtId="49" xfId="0" applyAlignment="1" applyBorder="1" applyFont="1" applyNumberFormat="1">
      <alignment readingOrder="0" vertical="center"/>
    </xf>
    <xf borderId="16" fillId="0" fontId="2" numFmtId="4" xfId="0" applyAlignment="1" applyBorder="1" applyFont="1" applyNumberFormat="1">
      <alignment horizontal="right" readingOrder="0" shrinkToFit="0" vertical="center" wrapText="1"/>
    </xf>
    <xf borderId="16" fillId="0" fontId="2" numFmtId="164" xfId="0" applyAlignment="1" applyBorder="1" applyFont="1" applyNumberFormat="1">
      <alignment horizontal="center" shrinkToFit="0" vertical="center" wrapText="1"/>
    </xf>
    <xf borderId="19" fillId="7" fontId="2" numFmtId="0" xfId="0" applyAlignment="1" applyBorder="1" applyFont="1">
      <alignment readingOrder="0" vertical="center"/>
    </xf>
    <xf borderId="19" fillId="0" fontId="2" numFmtId="0" xfId="0" applyAlignment="1" applyBorder="1" applyFont="1">
      <alignment readingOrder="0" vertical="center"/>
    </xf>
    <xf borderId="19" fillId="0" fontId="2" numFmtId="0" xfId="0" applyAlignment="1" applyBorder="1" applyFont="1">
      <alignment vertical="center"/>
    </xf>
    <xf borderId="19" fillId="0" fontId="2" numFmtId="0" xfId="0" applyAlignment="1" applyBorder="1" applyFont="1">
      <alignment horizontal="center" readingOrder="0" vertical="center"/>
    </xf>
    <xf borderId="19" fillId="6" fontId="2" numFmtId="0" xfId="0" applyAlignment="1" applyBorder="1" applyFont="1">
      <alignment readingOrder="0" vertical="center"/>
    </xf>
    <xf borderId="13" fillId="6" fontId="2" numFmtId="0" xfId="0" applyAlignment="1" applyBorder="1" applyFont="1">
      <alignment readingOrder="0" vertical="center"/>
    </xf>
    <xf borderId="18" fillId="0" fontId="11" numFmtId="49" xfId="0" applyAlignment="1" applyBorder="1" applyFont="1" applyNumberFormat="1">
      <alignment readingOrder="0" vertical="center"/>
    </xf>
    <xf borderId="16" fillId="0" fontId="11" numFmtId="4" xfId="0" applyAlignment="1" applyBorder="1" applyFont="1" applyNumberFormat="1">
      <alignment horizontal="right" readingOrder="0" shrinkToFit="0" vertical="center" wrapText="1"/>
    </xf>
    <xf borderId="16" fillId="0" fontId="11" numFmtId="164" xfId="0" applyAlignment="1" applyBorder="1" applyFont="1" applyNumberFormat="1">
      <alignment horizontal="center" shrinkToFit="0" vertical="center" wrapText="1"/>
    </xf>
    <xf borderId="19" fillId="0" fontId="11" numFmtId="0" xfId="0" applyAlignment="1" applyBorder="1" applyFont="1">
      <alignment horizontal="center" readingOrder="0" vertical="center"/>
    </xf>
    <xf borderId="19" fillId="6" fontId="11" numFmtId="0" xfId="0" applyAlignment="1" applyBorder="1" applyFont="1">
      <alignment readingOrder="0" vertical="center"/>
    </xf>
    <xf borderId="11" fillId="0" fontId="11" numFmtId="0" xfId="0" applyAlignment="1" applyBorder="1" applyFont="1">
      <alignment horizontal="center" readingOrder="0" shrinkToFit="0" vertical="center" wrapText="1"/>
    </xf>
    <xf borderId="11" fillId="8" fontId="2" numFmtId="0" xfId="0" applyAlignment="1" applyBorder="1" applyFill="1" applyFont="1">
      <alignment readingOrder="0" vertical="center"/>
    </xf>
    <xf borderId="15" fillId="0" fontId="2" numFmtId="0" xfId="0" applyAlignment="1" applyBorder="1" applyFont="1">
      <alignment vertical="center"/>
    </xf>
    <xf borderId="19" fillId="2" fontId="10" numFmtId="49" xfId="0" applyAlignment="1" applyBorder="1" applyFont="1" applyNumberFormat="1">
      <alignment readingOrder="0" vertical="center"/>
    </xf>
    <xf borderId="19" fillId="2" fontId="2" numFmtId="0" xfId="0" applyAlignment="1" applyBorder="1" applyFont="1">
      <alignment vertical="center"/>
    </xf>
    <xf borderId="19" fillId="2" fontId="2" numFmtId="4" xfId="0" applyAlignment="1" applyBorder="1" applyFont="1" applyNumberFormat="1">
      <alignment vertical="center"/>
    </xf>
    <xf borderId="19" fillId="2" fontId="2" numFmtId="164" xfId="0" applyAlignment="1" applyBorder="1" applyFont="1" applyNumberFormat="1">
      <alignment vertical="center"/>
    </xf>
    <xf borderId="19" fillId="2" fontId="2" numFmtId="0" xfId="0" applyAlignment="1" applyBorder="1" applyFont="1">
      <alignment horizontal="center" vertical="center"/>
    </xf>
    <xf borderId="19" fillId="2" fontId="2" numFmtId="0" xfId="0" applyAlignment="1" applyBorder="1" applyFont="1">
      <alignment vertical="center"/>
    </xf>
    <xf borderId="0" fillId="0" fontId="2" numFmtId="0" xfId="0" applyAlignment="1" applyFont="1">
      <alignment vertical="bottom"/>
    </xf>
    <xf borderId="13" fillId="9" fontId="2" numFmtId="0" xfId="0" applyAlignment="1" applyBorder="1" applyFill="1" applyFont="1">
      <alignment readingOrder="0" vertical="center"/>
    </xf>
    <xf borderId="19" fillId="10" fontId="2" numFmtId="0" xfId="0" applyAlignment="1" applyBorder="1" applyFill="1" applyFont="1">
      <alignment readingOrder="0" vertical="center"/>
    </xf>
    <xf borderId="19" fillId="11" fontId="2" numFmtId="0" xfId="0" applyAlignment="1" applyBorder="1" applyFill="1" applyFont="1">
      <alignment readingOrder="0" vertical="center"/>
    </xf>
    <xf borderId="19" fillId="12" fontId="2" numFmtId="0" xfId="0" applyAlignment="1" applyBorder="1" applyFill="1" applyFont="1">
      <alignment readingOrder="0" vertical="center"/>
    </xf>
    <xf borderId="19" fillId="13" fontId="2" numFmtId="0" xfId="0" applyAlignment="1" applyBorder="1" applyFill="1" applyFont="1">
      <alignment readingOrder="0" vertical="center"/>
    </xf>
    <xf borderId="13" fillId="13" fontId="2" numFmtId="0" xfId="0" applyAlignment="1" applyBorder="1" applyFont="1">
      <alignment readingOrder="0" vertical="center"/>
    </xf>
    <xf borderId="16" fillId="0" fontId="11" numFmtId="0" xfId="0" applyAlignment="1" applyBorder="1" applyFont="1">
      <alignment horizontal="center" readingOrder="0" shrinkToFit="0" vertical="center" wrapText="1"/>
    </xf>
    <xf borderId="13" fillId="14" fontId="11" numFmtId="0" xfId="0" applyAlignment="1" applyBorder="1" applyFill="1" applyFont="1">
      <alignment readingOrder="0" vertical="center"/>
    </xf>
    <xf borderId="13" fillId="0" fontId="11" numFmtId="0" xfId="0" applyAlignment="1" applyBorder="1" applyFont="1">
      <alignment readingOrder="0" vertical="center"/>
    </xf>
    <xf borderId="13" fillId="15" fontId="11" numFmtId="0" xfId="0" applyAlignment="1" applyBorder="1" applyFill="1" applyFont="1">
      <alignment readingOrder="0" vertical="center"/>
    </xf>
    <xf borderId="16" fillId="0" fontId="11" numFmtId="164" xfId="0" applyAlignment="1" applyBorder="1" applyFont="1" applyNumberFormat="1">
      <alignment horizontal="center" readingOrder="0" shrinkToFit="0" vertical="center" wrapText="1"/>
    </xf>
    <xf borderId="13" fillId="16" fontId="11" numFmtId="0" xfId="0" applyAlignment="1" applyBorder="1" applyFill="1" applyFont="1">
      <alignment readingOrder="0" vertical="center"/>
    </xf>
    <xf borderId="13" fillId="17" fontId="11" numFmtId="0" xfId="0" applyAlignment="1" applyBorder="1" applyFill="1" applyFont="1">
      <alignment readingOrder="0" vertical="center"/>
    </xf>
    <xf borderId="13" fillId="18" fontId="11" numFmtId="0" xfId="0" applyAlignment="1" applyBorder="1" applyFill="1" applyFont="1">
      <alignment readingOrder="0" vertical="center"/>
    </xf>
    <xf borderId="13" fillId="19" fontId="11" numFmtId="0" xfId="0" applyAlignment="1" applyBorder="1" applyFill="1" applyFont="1">
      <alignment readingOrder="0" vertical="center"/>
    </xf>
    <xf borderId="17" fillId="2" fontId="10" numFmtId="0" xfId="0" applyAlignment="1" applyBorder="1" applyFont="1">
      <alignment horizontal="left" readingOrder="0" vertical="center"/>
    </xf>
    <xf borderId="13" fillId="20" fontId="2" numFmtId="0" xfId="0" applyAlignment="1" applyBorder="1" applyFill="1" applyFont="1">
      <alignment readingOrder="0" vertical="center"/>
    </xf>
    <xf borderId="13" fillId="21" fontId="2" numFmtId="0" xfId="0" applyAlignment="1" applyBorder="1" applyFill="1" applyFont="1">
      <alignment readingOrder="0" vertical="center"/>
    </xf>
    <xf borderId="13" fillId="10" fontId="11" numFmtId="0" xfId="0" applyAlignment="1" applyBorder="1" applyFont="1">
      <alignment readingOrder="0" vertical="center"/>
    </xf>
    <xf borderId="13" fillId="22" fontId="11" numFmtId="0" xfId="0" applyAlignment="1" applyBorder="1" applyFill="1" applyFont="1">
      <alignment readingOrder="0" vertical="center"/>
    </xf>
    <xf borderId="13" fillId="23" fontId="11" numFmtId="0" xfId="0" applyAlignment="1" applyBorder="1" applyFill="1" applyFont="1">
      <alignment readingOrder="0" vertical="center"/>
    </xf>
    <xf borderId="18" fillId="2" fontId="10" numFmtId="0" xfId="0" applyAlignment="1" applyBorder="1" applyFont="1">
      <alignment horizontal="left" readingOrder="0" vertical="center"/>
    </xf>
    <xf borderId="16" fillId="2" fontId="2" numFmtId="0" xfId="0" applyAlignment="1" applyBorder="1" applyFont="1">
      <alignment vertical="center"/>
    </xf>
    <xf borderId="16" fillId="2" fontId="2" numFmtId="4" xfId="0" applyAlignment="1" applyBorder="1" applyFont="1" applyNumberFormat="1">
      <alignment horizontal="right" vertical="center"/>
    </xf>
    <xf borderId="19" fillId="2" fontId="2" numFmtId="0" xfId="0" applyAlignment="1" applyBorder="1" applyFont="1">
      <alignment horizontal="center" vertical="center"/>
    </xf>
    <xf borderId="15" fillId="0" fontId="10" numFmtId="0" xfId="0" applyAlignment="1" applyBorder="1" applyFont="1">
      <alignment horizontal="center" shrinkToFit="0" vertical="center" wrapText="1"/>
    </xf>
    <xf borderId="14" fillId="0" fontId="11" numFmtId="0" xfId="0" applyAlignment="1" applyBorder="1" applyFont="1">
      <alignment horizontal="left" readingOrder="0" vertical="center"/>
    </xf>
    <xf borderId="15" fillId="0" fontId="2" numFmtId="0" xfId="0" applyAlignment="1" applyBorder="1" applyFont="1">
      <alignment horizontal="center" readingOrder="0" shrinkToFit="0" vertical="center" wrapText="1"/>
    </xf>
    <xf borderId="15" fillId="0" fontId="2" numFmtId="4" xfId="0" applyAlignment="1" applyBorder="1" applyFont="1" applyNumberFormat="1">
      <alignment horizontal="right" readingOrder="0" shrinkToFit="0" vertical="center" wrapText="1"/>
    </xf>
    <xf borderId="15" fillId="0" fontId="2" numFmtId="4" xfId="0" applyAlignment="1" applyBorder="1" applyFont="1" applyNumberFormat="1">
      <alignment horizontal="right" shrinkToFit="0" vertical="center" wrapText="1"/>
    </xf>
    <xf borderId="14" fillId="0" fontId="2" numFmtId="0" xfId="0" applyAlignment="1" applyBorder="1" applyFont="1">
      <alignment horizontal="center" readingOrder="0" vertical="center"/>
    </xf>
    <xf borderId="13" fillId="24" fontId="11" numFmtId="0" xfId="0" applyAlignment="1" applyBorder="1" applyFill="1" applyFont="1">
      <alignment readingOrder="0" vertical="center"/>
    </xf>
    <xf borderId="13" fillId="25" fontId="11" numFmtId="0" xfId="0" applyAlignment="1" applyBorder="1" applyFill="1" applyFont="1">
      <alignment readingOrder="0" vertical="center"/>
    </xf>
    <xf borderId="13" fillId="26" fontId="11" numFmtId="0" xfId="0" applyAlignment="1" applyBorder="1" applyFill="1" applyFont="1">
      <alignment readingOrder="0" vertical="center"/>
    </xf>
    <xf borderId="13" fillId="0" fontId="10" numFmtId="0" xfId="0" applyAlignment="1" applyBorder="1" applyFont="1">
      <alignment horizontal="center" shrinkToFit="0" vertical="center" wrapText="1"/>
    </xf>
    <xf borderId="13" fillId="12" fontId="11" numFmtId="0" xfId="0" applyAlignment="1" applyBorder="1" applyFont="1">
      <alignment readingOrder="0" vertical="center"/>
    </xf>
    <xf borderId="13" fillId="27" fontId="11" numFmtId="0" xfId="0" applyAlignment="1" applyBorder="1" applyFill="1" applyFont="1">
      <alignment readingOrder="0" vertical="center"/>
    </xf>
    <xf borderId="13" fillId="28" fontId="11" numFmtId="0" xfId="0" applyAlignment="1" applyBorder="1" applyFill="1" applyFont="1">
      <alignment readingOrder="0" vertical="center"/>
    </xf>
    <xf borderId="14" fillId="0" fontId="2" numFmtId="0" xfId="0" applyAlignment="1" applyBorder="1" applyFont="1">
      <alignment horizontal="left" vertical="center"/>
    </xf>
    <xf borderId="13" fillId="29" fontId="2" numFmtId="0" xfId="0" applyAlignment="1" applyBorder="1" applyFill="1" applyFont="1">
      <alignment vertical="center"/>
    </xf>
    <xf borderId="11" fillId="0" fontId="2" numFmtId="0" xfId="0" applyAlignment="1" applyBorder="1" applyFont="1">
      <alignment horizontal="center" shrinkToFit="0" vertical="center" wrapText="1"/>
    </xf>
    <xf borderId="13" fillId="12" fontId="2" numFmtId="0" xfId="0" applyAlignment="1" applyBorder="1" applyFont="1">
      <alignment readingOrder="0" vertical="center"/>
    </xf>
    <xf borderId="13" fillId="30" fontId="2" numFmtId="0" xfId="0" applyAlignment="1" applyBorder="1" applyFill="1" applyFont="1">
      <alignment readingOrder="0" vertical="center"/>
    </xf>
    <xf borderId="13" fillId="31" fontId="2" numFmtId="0" xfId="0" applyAlignment="1" applyBorder="1" applyFill="1" applyFont="1">
      <alignment readingOrder="0" vertical="center"/>
    </xf>
    <xf borderId="13" fillId="32" fontId="2" numFmtId="0" xfId="0" applyAlignment="1" applyBorder="1" applyFill="1" applyFont="1">
      <alignment readingOrder="0" vertical="center"/>
    </xf>
    <xf borderId="13" fillId="3" fontId="2" numFmtId="0" xfId="0" applyAlignment="1" applyBorder="1" applyFont="1">
      <alignment readingOrder="0" vertical="center"/>
    </xf>
    <xf borderId="13" fillId="33" fontId="2" numFmtId="0" xfId="0" applyAlignment="1" applyBorder="1" applyFill="1" applyFont="1">
      <alignment readingOrder="0" vertical="center"/>
    </xf>
    <xf borderId="20" fillId="0" fontId="10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5" fillId="0" fontId="2" numFmtId="164" xfId="0" applyAlignment="1" applyBorder="1" applyFont="1" applyNumberFormat="1">
      <alignment horizontal="center" shrinkToFit="0" vertical="center" wrapText="1"/>
    </xf>
    <xf borderId="21" fillId="0" fontId="10" numFmtId="0" xfId="0" applyAlignment="1" applyBorder="1" applyFont="1">
      <alignment horizontal="center" shrinkToFit="0" vertical="center" wrapText="1"/>
    </xf>
    <xf borderId="22" fillId="0" fontId="10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left" vertical="center"/>
    </xf>
    <xf borderId="13" fillId="0" fontId="2" numFmtId="0" xfId="0" applyAlignment="1" applyBorder="1" applyFont="1">
      <alignment horizontal="center" shrinkToFit="0" vertical="center" wrapText="1"/>
    </xf>
    <xf borderId="13" fillId="0" fontId="2" numFmtId="4" xfId="0" applyAlignment="1" applyBorder="1" applyFont="1" applyNumberFormat="1">
      <alignment horizontal="right" shrinkToFit="0" vertical="center" wrapText="1"/>
    </xf>
    <xf borderId="13" fillId="0" fontId="2" numFmtId="164" xfId="0" applyAlignment="1" applyBorder="1" applyFont="1" applyNumberFormat="1">
      <alignment horizontal="center" shrinkToFit="0" vertical="center" wrapText="1"/>
    </xf>
    <xf borderId="15" fillId="0" fontId="2" numFmtId="0" xfId="0" applyAlignment="1" applyBorder="1" applyFont="1">
      <alignment horizontal="left" vertical="center"/>
    </xf>
    <xf borderId="23" fillId="0" fontId="10" numFmtId="0" xfId="0" applyAlignment="1" applyBorder="1" applyFont="1">
      <alignment horizontal="center" shrinkToFit="0" vertical="center" wrapText="1"/>
    </xf>
    <xf borderId="23" fillId="0" fontId="6" numFmtId="0" xfId="0" applyAlignment="1" applyBorder="1" applyFont="1">
      <alignment horizontal="left" shrinkToFit="0" vertical="center" wrapText="1"/>
    </xf>
    <xf borderId="23" fillId="0" fontId="8" numFmtId="0" xfId="0" applyBorder="1" applyFont="1"/>
    <xf borderId="23" fillId="0" fontId="2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0" fillId="0" fontId="12" numFmtId="0" xfId="0" applyAlignment="1" applyFont="1">
      <alignment vertical="center"/>
    </xf>
    <xf borderId="24" fillId="0" fontId="2" numFmtId="164" xfId="0" applyAlignment="1" applyBorder="1" applyFont="1" applyNumberFormat="1">
      <alignment vertical="center"/>
    </xf>
    <xf borderId="0" fillId="0" fontId="13" numFmtId="0" xfId="0" applyAlignment="1" applyFont="1">
      <alignment vertical="center"/>
    </xf>
    <xf borderId="0" fillId="0" fontId="1" numFmtId="164" xfId="0" applyAlignment="1" applyFont="1" applyNumberFormat="1">
      <alignment horizontal="center" vertical="center"/>
    </xf>
    <xf borderId="14" fillId="0" fontId="6" numFmtId="0" xfId="0" applyAlignment="1" applyBorder="1" applyFont="1">
      <alignment vertical="center"/>
    </xf>
    <xf borderId="25" fillId="0" fontId="1" numFmtId="164" xfId="0" applyAlignment="1" applyBorder="1" applyFont="1" applyNumberFormat="1">
      <alignment horizontal="center" vertical="center"/>
    </xf>
    <xf borderId="26" fillId="0" fontId="8" numFmtId="0" xfId="0" applyBorder="1" applyFont="1"/>
    <xf borderId="18" fillId="0" fontId="8" numFmtId="0" xfId="0" applyBorder="1" applyFont="1"/>
    <xf borderId="0" fillId="0" fontId="9" numFmtId="0" xfId="0" applyAlignment="1" applyFont="1">
      <alignment horizontal="left" vertical="center"/>
    </xf>
    <xf borderId="13" fillId="0" fontId="6" numFmtId="0" xfId="0" applyAlignment="1" applyBorder="1" applyFont="1">
      <alignment vertical="center"/>
    </xf>
    <xf borderId="27" fillId="0" fontId="1" numFmtId="164" xfId="0" applyAlignment="1" applyBorder="1" applyFont="1" applyNumberFormat="1">
      <alignment horizontal="center" vertical="center"/>
    </xf>
    <xf borderId="28" fillId="0" fontId="8" numFmtId="0" xfId="0" applyBorder="1" applyFont="1"/>
    <xf borderId="19" fillId="0" fontId="8" numFmtId="0" xfId="0" applyBorder="1" applyFont="1"/>
    <xf borderId="0" fillId="0" fontId="12" numFmtId="164" xfId="0" applyAlignment="1" applyFont="1" applyNumberFormat="1">
      <alignment horizontal="center" vertical="center"/>
    </xf>
    <xf borderId="0" fillId="0" fontId="14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left" shrinkToFit="0" vertical="center" wrapText="1"/>
    </xf>
    <xf borderId="0" fillId="0" fontId="12" numFmtId="0" xfId="0" applyFont="1"/>
    <xf borderId="0" fillId="0" fontId="7" numFmtId="4" xfId="0" applyAlignment="1" applyFont="1" applyNumberFormat="1">
      <alignment horizontal="right" shrinkToFit="0" vertical="center" wrapText="1"/>
    </xf>
    <xf borderId="0" fillId="0" fontId="12" numFmtId="4" xfId="0" applyAlignment="1" applyFont="1" applyNumberFormat="1">
      <alignment horizontal="right" vertical="center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left" readingOrder="0" vertical="center"/>
    </xf>
    <xf borderId="0" fillId="0" fontId="12" numFmtId="0" xfId="0" applyAlignment="1" applyFont="1">
      <alignment horizontal="left" vertical="center"/>
    </xf>
    <xf borderId="0" fillId="0" fontId="1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vertical="center"/>
    </xf>
    <xf borderId="0" fillId="0" fontId="12" numFmtId="0" xfId="0" applyAlignment="1" applyFont="1">
      <alignment shrinkToFit="0" vertical="center" wrapText="1"/>
    </xf>
    <xf borderId="0" fillId="0" fontId="2" numFmtId="0" xfId="0" applyAlignment="1" applyFont="1">
      <alignment readingOrder="0" vertical="center"/>
    </xf>
    <xf borderId="0" fillId="0" fontId="16" numFmtId="4" xfId="0" applyAlignment="1" applyFont="1" applyNumberFormat="1">
      <alignment horizontal="right"/>
    </xf>
    <xf borderId="0" fillId="0" fontId="17" numFmtId="0" xfId="0" applyAlignment="1" applyFont="1">
      <alignment horizontal="left" shrinkToFit="0" vertical="center" wrapText="1"/>
    </xf>
    <xf borderId="0" fillId="0" fontId="18" numFmtId="0" xfId="0" applyFont="1"/>
    <xf borderId="0" fillId="0" fontId="17" numFmtId="0" xfId="0" applyAlignment="1" applyFont="1">
      <alignment shrinkToFit="0" wrapText="1"/>
    </xf>
    <xf borderId="0" fillId="0" fontId="19" numFmtId="0" xfId="0" applyFont="1"/>
    <xf borderId="0" fillId="0" fontId="17" numFmtId="0" xfId="0" applyAlignment="1" applyFont="1">
      <alignment horizontal="left" shrinkToFit="0" wrapText="1"/>
    </xf>
    <xf borderId="0" fillId="0" fontId="19" numFmtId="164" xfId="0" applyAlignment="1" applyFont="1" applyNumberFormat="1">
      <alignment horizontal="left" shrinkToFit="0" vertical="center" wrapText="1"/>
    </xf>
    <xf borderId="11" fillId="26" fontId="2" numFmtId="0" xfId="0" applyAlignment="1" applyBorder="1" applyFont="1">
      <alignment readingOrder="0" vertical="center"/>
    </xf>
    <xf borderId="16" fillId="0" fontId="2" numFmtId="0" xfId="0" applyAlignment="1" applyBorder="1" applyFont="1">
      <alignment horizontal="center" readingOrder="0" vertical="center"/>
    </xf>
    <xf borderId="16" fillId="0" fontId="2" numFmtId="0" xfId="0" applyAlignment="1" applyBorder="1" applyFont="1">
      <alignment readingOrder="0" vertical="center"/>
    </xf>
    <xf borderId="16" fillId="8" fontId="2" numFmtId="0" xfId="0" applyAlignment="1" applyBorder="1" applyFont="1">
      <alignment readingOrder="0" vertical="center"/>
    </xf>
    <xf borderId="16" fillId="0" fontId="2" numFmtId="0" xfId="0" applyAlignment="1" applyBorder="1" applyFont="1">
      <alignment vertical="center"/>
    </xf>
    <xf borderId="29" fillId="0" fontId="2" numFmtId="0" xfId="0" applyAlignment="1" applyBorder="1" applyFont="1">
      <alignment vertical="center"/>
    </xf>
    <xf borderId="18" fillId="0" fontId="2" numFmtId="0" xfId="0" applyAlignment="1" applyBorder="1" applyFont="1">
      <alignment vertical="center"/>
    </xf>
    <xf borderId="14" fillId="12" fontId="2" numFmtId="0" xfId="0" applyAlignment="1" applyBorder="1" applyFont="1">
      <alignment readingOrder="0" vertical="center"/>
    </xf>
    <xf borderId="14" fillId="0" fontId="2" numFmtId="0" xfId="0" applyAlignment="1" applyBorder="1" applyFont="1">
      <alignment readingOrder="0" vertical="center"/>
    </xf>
    <xf borderId="26" fillId="0" fontId="9" numFmtId="0" xfId="0" applyBorder="1" applyFont="1"/>
    <xf borderId="26" fillId="0" fontId="2" numFmtId="0" xfId="0" applyBorder="1" applyFont="1"/>
    <xf borderId="23" fillId="0" fontId="9" numFmtId="0" xfId="0" applyBorder="1" applyFont="1"/>
    <xf borderId="23" fillId="0" fontId="2" numFmtId="0" xfId="0" applyBorder="1" applyFont="1"/>
    <xf borderId="21" fillId="0" fontId="6" numFmtId="0" xfId="0" applyAlignment="1" applyBorder="1" applyFont="1">
      <alignment horizontal="center" shrinkToFit="0" vertical="center" wrapText="1"/>
    </xf>
    <xf borderId="22" fillId="0" fontId="2" numFmtId="0" xfId="0" applyAlignment="1" applyBorder="1" applyFont="1">
      <alignment vertical="center"/>
    </xf>
    <xf borderId="13" fillId="14" fontId="2" numFmtId="0" xfId="0" applyAlignment="1" applyBorder="1" applyFont="1">
      <alignment readingOrder="0" vertical="center"/>
    </xf>
    <xf borderId="0" fillId="0" fontId="7" numFmtId="0" xfId="0" applyAlignment="1" applyFont="1">
      <alignment horizontal="left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0" xfId="0" applyAlignment="1" applyFont="1">
      <alignment horizontal="center" shrinkToFit="0" wrapText="1"/>
    </xf>
    <xf borderId="30" fillId="0" fontId="7" numFmtId="0" xfId="0" applyAlignment="1" applyBorder="1" applyFont="1">
      <alignment horizontal="center" shrinkToFit="0" vertical="center" wrapText="1"/>
    </xf>
    <xf borderId="31" fillId="2" fontId="7" numFmtId="0" xfId="0" applyAlignment="1" applyBorder="1" applyFont="1">
      <alignment horizontal="center" shrinkToFit="0" vertical="center" wrapText="1"/>
    </xf>
    <xf borderId="14" fillId="0" fontId="2" numFmtId="49" xfId="0" applyAlignment="1" applyBorder="1" applyFont="1" applyNumberFormat="1">
      <alignment readingOrder="0"/>
    </xf>
    <xf borderId="11" fillId="0" fontId="2" numFmtId="0" xfId="0" applyAlignment="1" applyBorder="1" applyFont="1">
      <alignment readingOrder="0"/>
    </xf>
    <xf borderId="11" fillId="0" fontId="2" numFmtId="0" xfId="0" applyBorder="1" applyFont="1"/>
    <xf borderId="15" fillId="0" fontId="2" numFmtId="0" xfId="0" applyBorder="1" applyFont="1"/>
    <xf borderId="14" fillId="0" fontId="2" numFmtId="0" xfId="0" applyBorder="1" applyFont="1"/>
    <xf borderId="13" fillId="2" fontId="2" numFmtId="0" xfId="0" applyBorder="1" applyFont="1"/>
    <xf borderId="13" fillId="2" fontId="2" numFmtId="4" xfId="0" applyAlignment="1" applyBorder="1" applyFont="1" applyNumberFormat="1">
      <alignment horizontal="right"/>
    </xf>
    <xf borderId="13" fillId="0" fontId="2" numFmtId="0" xfId="0" applyAlignment="1" applyBorder="1" applyFont="1">
      <alignment readingOrder="0"/>
    </xf>
    <xf borderId="13" fillId="0" fontId="2" numFmtId="0" xfId="0" applyBorder="1" applyFont="1"/>
    <xf borderId="14" fillId="0" fontId="2" numFmtId="49" xfId="0" applyBorder="1" applyFont="1" applyNumberFormat="1"/>
    <xf borderId="18" fillId="0" fontId="2" numFmtId="49" xfId="0" applyAlignment="1" applyBorder="1" applyFont="1" applyNumberFormat="1">
      <alignment readingOrder="0"/>
    </xf>
    <xf borderId="19" fillId="0" fontId="2" numFmtId="0" xfId="0" applyBorder="1" applyFont="1"/>
    <xf borderId="19" fillId="0" fontId="2" numFmtId="0" xfId="0" applyAlignment="1" applyBorder="1" applyFont="1">
      <alignment readingOrder="0"/>
    </xf>
    <xf borderId="22" fillId="0" fontId="2" numFmtId="0" xfId="0" applyBorder="1" applyFont="1"/>
    <xf borderId="19" fillId="2" fontId="10" numFmtId="49" xfId="0" applyAlignment="1" applyBorder="1" applyFont="1" applyNumberFormat="1">
      <alignment readingOrder="0"/>
    </xf>
    <xf borderId="19" fillId="2" fontId="2" numFmtId="0" xfId="0" applyAlignment="1" applyBorder="1" applyFont="1">
      <alignment vertical="bottom"/>
    </xf>
    <xf borderId="19" fillId="2" fontId="2" numFmtId="4" xfId="0" applyAlignment="1" applyBorder="1" applyFont="1" applyNumberFormat="1">
      <alignment vertical="bottom"/>
    </xf>
    <xf borderId="19" fillId="2" fontId="2" numFmtId="164" xfId="0" applyAlignment="1" applyBorder="1" applyFont="1" applyNumberFormat="1">
      <alignment vertical="bottom"/>
    </xf>
    <xf borderId="19" fillId="2" fontId="2" numFmtId="0" xfId="0" applyAlignment="1" applyBorder="1" applyFont="1">
      <alignment vertical="bottom"/>
    </xf>
    <xf borderId="24" fillId="0" fontId="2" numFmtId="164" xfId="0" applyBorder="1" applyFont="1" applyNumberFormat="1"/>
    <xf borderId="0" fillId="0" fontId="1" numFmtId="164" xfId="0" applyAlignment="1" applyFont="1" applyNumberFormat="1">
      <alignment horizontal="center"/>
    </xf>
    <xf borderId="25" fillId="0" fontId="1" numFmtId="164" xfId="0" applyAlignment="1" applyBorder="1" applyFont="1" applyNumberFormat="1">
      <alignment horizontal="center"/>
    </xf>
    <xf borderId="0" fillId="0" fontId="9" numFmtId="0" xfId="0" applyAlignment="1" applyFont="1">
      <alignment horizontal="left"/>
    </xf>
    <xf borderId="27" fillId="0" fontId="1" numFmtId="164" xfId="0" applyAlignment="1" applyBorder="1" applyFont="1" applyNumberFormat="1">
      <alignment horizontal="center"/>
    </xf>
    <xf borderId="0" fillId="0" fontId="12" numFmtId="164" xfId="0" applyAlignment="1" applyFont="1" applyNumberFormat="1">
      <alignment horizontal="center"/>
    </xf>
    <xf borderId="0" fillId="0" fontId="12" numFmtId="4" xfId="0" applyAlignment="1" applyFont="1" applyNumberFormat="1">
      <alignment horizontal="right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left" shrinkToFit="0" wrapText="1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59.13"/>
    <col customWidth="1" min="3" max="3" width="11.63"/>
    <col customWidth="1" min="4" max="5" width="11.75"/>
    <col customWidth="1" min="6" max="6" width="23.25"/>
    <col customWidth="1" min="7" max="7" width="16.88"/>
    <col customWidth="1" min="8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1" t="s">
        <v>0</v>
      </c>
      <c r="W1" s="2"/>
      <c r="X1" s="2"/>
    </row>
    <row r="2">
      <c r="A2" s="3" t="s">
        <v>1</v>
      </c>
      <c r="W2" s="2"/>
      <c r="X2" s="2"/>
    </row>
    <row r="3">
      <c r="A3" s="4"/>
      <c r="W3" s="2"/>
      <c r="X3" s="2"/>
    </row>
    <row r="4">
      <c r="A4" s="5" t="s">
        <v>2</v>
      </c>
      <c r="B4" s="6"/>
      <c r="C4" s="6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"/>
      <c r="X4" s="2"/>
    </row>
    <row r="5">
      <c r="A5" s="8"/>
      <c r="B5" s="6"/>
      <c r="C5" s="6"/>
      <c r="D5" s="7"/>
      <c r="E5" s="9"/>
      <c r="F5" s="10"/>
      <c r="G5" s="10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"/>
      <c r="X5" s="2"/>
    </row>
    <row r="6">
      <c r="A6" s="5" t="s">
        <v>3</v>
      </c>
      <c r="B6" s="6"/>
      <c r="C6" s="6"/>
      <c r="D6" s="7"/>
      <c r="E6" s="9"/>
      <c r="F6" s="10"/>
      <c r="G6" s="10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"/>
      <c r="X6" s="2"/>
    </row>
    <row r="7">
      <c r="A7" s="8" t="s">
        <v>4</v>
      </c>
      <c r="B7" s="6"/>
      <c r="C7" s="6"/>
      <c r="D7" s="7"/>
      <c r="E7" s="9"/>
      <c r="F7" s="10"/>
      <c r="G7" s="10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"/>
      <c r="X7" s="2"/>
    </row>
    <row r="8" ht="22.5" customHeight="1">
      <c r="A8" s="11" t="s">
        <v>5</v>
      </c>
      <c r="B8" s="12" t="s">
        <v>6</v>
      </c>
      <c r="C8" s="13" t="s">
        <v>7</v>
      </c>
      <c r="D8" s="14" t="s">
        <v>8</v>
      </c>
      <c r="E8" s="15" t="s">
        <v>9</v>
      </c>
      <c r="F8" s="16" t="s">
        <v>10</v>
      </c>
      <c r="G8" s="12" t="s">
        <v>11</v>
      </c>
      <c r="H8" s="17" t="s">
        <v>12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9"/>
      <c r="W8" s="20"/>
      <c r="X8" s="20"/>
    </row>
    <row r="9">
      <c r="A9" s="21"/>
      <c r="B9" s="22"/>
      <c r="C9" s="23" t="s">
        <v>13</v>
      </c>
      <c r="D9" s="22"/>
      <c r="E9" s="22"/>
      <c r="F9" s="22"/>
      <c r="G9" s="22"/>
      <c r="H9" s="24" t="s">
        <v>14</v>
      </c>
      <c r="I9" s="24" t="s">
        <v>15</v>
      </c>
      <c r="J9" s="24" t="s">
        <v>16</v>
      </c>
      <c r="K9" s="24" t="s">
        <v>17</v>
      </c>
      <c r="L9" s="24" t="s">
        <v>18</v>
      </c>
      <c r="M9" s="24" t="s">
        <v>19</v>
      </c>
      <c r="N9" s="24" t="s">
        <v>20</v>
      </c>
      <c r="O9" s="24" t="s">
        <v>21</v>
      </c>
      <c r="P9" s="24" t="s">
        <v>22</v>
      </c>
      <c r="Q9" s="24" t="s">
        <v>23</v>
      </c>
      <c r="R9" s="24" t="s">
        <v>24</v>
      </c>
      <c r="S9" s="24" t="s">
        <v>25</v>
      </c>
      <c r="T9" s="24" t="s">
        <v>26</v>
      </c>
      <c r="U9" s="25" t="str">
        <f>$V$9</f>
        <v>REMARKS</v>
      </c>
      <c r="V9" s="24" t="s">
        <v>27</v>
      </c>
      <c r="W9" s="20"/>
      <c r="X9" s="20"/>
    </row>
    <row r="10">
      <c r="A10" s="26"/>
      <c r="B10" s="27" t="s">
        <v>28</v>
      </c>
      <c r="C10" s="28"/>
      <c r="D10" s="29"/>
      <c r="E10" s="30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2"/>
      <c r="V10" s="33"/>
      <c r="W10" s="20"/>
      <c r="X10" s="20"/>
    </row>
    <row r="11" ht="15.75" customHeight="1">
      <c r="A11" s="34"/>
      <c r="B11" s="35" t="s">
        <v>29</v>
      </c>
      <c r="C11" s="36" t="s">
        <v>30</v>
      </c>
      <c r="D11" s="37">
        <v>20000.0</v>
      </c>
      <c r="E11" s="38">
        <f>D11*3</f>
        <v>60000</v>
      </c>
      <c r="F11" s="39" t="s">
        <v>31</v>
      </c>
      <c r="G11" s="40" t="s">
        <v>32</v>
      </c>
      <c r="H11" s="41">
        <v>2.0</v>
      </c>
      <c r="I11" s="40">
        <v>0.0</v>
      </c>
      <c r="J11" s="40">
        <v>0.0</v>
      </c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3"/>
      <c r="V11" s="44"/>
      <c r="W11" s="20"/>
      <c r="X11" s="20"/>
    </row>
    <row r="12" ht="15.75" customHeight="1">
      <c r="A12" s="34"/>
      <c r="B12" s="35" t="s">
        <v>33</v>
      </c>
      <c r="C12" s="36" t="s">
        <v>34</v>
      </c>
      <c r="D12" s="37">
        <v>49995.0</v>
      </c>
      <c r="E12" s="45">
        <f>D12*4</f>
        <v>199980</v>
      </c>
      <c r="F12" s="39" t="s">
        <v>31</v>
      </c>
      <c r="G12" s="40" t="s">
        <v>32</v>
      </c>
      <c r="H12" s="41">
        <v>4.0</v>
      </c>
      <c r="I12" s="40">
        <v>0.0</v>
      </c>
      <c r="J12" s="40">
        <v>0.0</v>
      </c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3"/>
      <c r="V12" s="44"/>
      <c r="W12" s="20"/>
      <c r="X12" s="20"/>
    </row>
    <row r="13" ht="15.75" customHeight="1">
      <c r="A13" s="34"/>
      <c r="B13" s="35" t="s">
        <v>35</v>
      </c>
      <c r="C13" s="36" t="s">
        <v>36</v>
      </c>
      <c r="D13" s="37">
        <v>300000.0</v>
      </c>
      <c r="E13" s="37">
        <v>300000.0</v>
      </c>
      <c r="F13" s="39" t="s">
        <v>37</v>
      </c>
      <c r="G13" s="40" t="s">
        <v>32</v>
      </c>
      <c r="H13" s="46">
        <v>1.0</v>
      </c>
      <c r="I13" s="40">
        <v>0.0</v>
      </c>
      <c r="J13" s="40">
        <v>0.0</v>
      </c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3"/>
      <c r="V13" s="44"/>
      <c r="W13" s="20"/>
      <c r="X13" s="20"/>
    </row>
    <row r="14" ht="15.75" customHeight="1">
      <c r="A14" s="34"/>
      <c r="B14" s="47" t="s">
        <v>38</v>
      </c>
      <c r="C14" s="36" t="s">
        <v>39</v>
      </c>
      <c r="D14" s="37">
        <v>3000.0</v>
      </c>
      <c r="E14" s="37">
        <f>3000*4</f>
        <v>12000</v>
      </c>
      <c r="F14" s="39" t="s">
        <v>31</v>
      </c>
      <c r="G14" s="40" t="s">
        <v>32</v>
      </c>
      <c r="H14" s="41">
        <v>4.0</v>
      </c>
      <c r="I14" s="40">
        <v>0.0</v>
      </c>
      <c r="J14" s="40">
        <v>0.0</v>
      </c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3"/>
      <c r="V14" s="44"/>
      <c r="W14" s="20"/>
      <c r="X14" s="20"/>
    </row>
    <row r="15" ht="15.75" customHeight="1">
      <c r="A15" s="48"/>
      <c r="B15" s="49" t="s">
        <v>40</v>
      </c>
      <c r="C15" s="50" t="s">
        <v>36</v>
      </c>
      <c r="D15" s="37">
        <v>50000.0</v>
      </c>
      <c r="E15" s="37">
        <v>50000.0</v>
      </c>
      <c r="F15" s="39" t="s">
        <v>31</v>
      </c>
      <c r="G15" s="40" t="s">
        <v>32</v>
      </c>
      <c r="H15" s="41">
        <v>1.0</v>
      </c>
      <c r="I15" s="40">
        <v>0.0</v>
      </c>
      <c r="J15" s="40">
        <v>0.0</v>
      </c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3"/>
      <c r="V15" s="44"/>
      <c r="W15" s="20"/>
      <c r="X15" s="20"/>
    </row>
    <row r="16">
      <c r="A16" s="26"/>
      <c r="B16" s="51" t="s">
        <v>41</v>
      </c>
      <c r="C16" s="28"/>
      <c r="D16" s="29"/>
      <c r="E16" s="30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2"/>
      <c r="V16" s="33"/>
      <c r="W16" s="20"/>
      <c r="X16" s="20"/>
    </row>
    <row r="17" ht="15.75" customHeight="1">
      <c r="A17" s="34"/>
      <c r="B17" s="35" t="s">
        <v>42</v>
      </c>
      <c r="C17" s="36" t="s">
        <v>43</v>
      </c>
      <c r="D17" s="37">
        <v>1700.0</v>
      </c>
      <c r="E17" s="45">
        <f t="shared" ref="E17:E18" si="1">D17*25</f>
        <v>42500</v>
      </c>
      <c r="F17" s="39" t="s">
        <v>31</v>
      </c>
      <c r="G17" s="40" t="s">
        <v>44</v>
      </c>
      <c r="H17" s="40">
        <v>0.0</v>
      </c>
      <c r="I17" s="52">
        <v>25.0</v>
      </c>
      <c r="J17" s="40">
        <v>0.0</v>
      </c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3"/>
      <c r="V17" s="44"/>
      <c r="W17" s="20"/>
      <c r="X17" s="20"/>
    </row>
    <row r="18" ht="15.75" customHeight="1">
      <c r="A18" s="34"/>
      <c r="B18" s="35" t="s">
        <v>45</v>
      </c>
      <c r="C18" s="36" t="s">
        <v>43</v>
      </c>
      <c r="D18" s="37">
        <v>1700.0</v>
      </c>
      <c r="E18" s="45">
        <f t="shared" si="1"/>
        <v>42500</v>
      </c>
      <c r="F18" s="39" t="s">
        <v>31</v>
      </c>
      <c r="G18" s="40" t="s">
        <v>44</v>
      </c>
      <c r="H18" s="40">
        <v>0.0</v>
      </c>
      <c r="I18" s="52">
        <v>25.0</v>
      </c>
      <c r="J18" s="40">
        <v>0.0</v>
      </c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3"/>
      <c r="V18" s="44"/>
      <c r="W18" s="20"/>
      <c r="X18" s="20"/>
    </row>
    <row r="19" ht="15.75" customHeight="1">
      <c r="A19" s="34"/>
      <c r="B19" s="35" t="s">
        <v>46</v>
      </c>
      <c r="C19" s="36" t="s">
        <v>47</v>
      </c>
      <c r="D19" s="37">
        <v>4000.0</v>
      </c>
      <c r="E19" s="45">
        <f>D19*50</f>
        <v>200000</v>
      </c>
      <c r="F19" s="39" t="s">
        <v>31</v>
      </c>
      <c r="G19" s="40" t="s">
        <v>44</v>
      </c>
      <c r="H19" s="40">
        <v>0.0</v>
      </c>
      <c r="I19" s="52">
        <v>50.0</v>
      </c>
      <c r="J19" s="40">
        <v>0.0</v>
      </c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3"/>
      <c r="V19" s="44"/>
      <c r="W19" s="20"/>
      <c r="X19" s="20"/>
    </row>
    <row r="20" ht="15.75" customHeight="1">
      <c r="A20" s="34"/>
      <c r="B20" s="35" t="s">
        <v>48</v>
      </c>
      <c r="C20" s="36" t="s">
        <v>49</v>
      </c>
      <c r="D20" s="37">
        <v>8000.0</v>
      </c>
      <c r="E20" s="45">
        <f>D20*25</f>
        <v>200000</v>
      </c>
      <c r="F20" s="39" t="s">
        <v>31</v>
      </c>
      <c r="G20" s="40" t="s">
        <v>44</v>
      </c>
      <c r="H20" s="40">
        <v>0.0</v>
      </c>
      <c r="I20" s="53">
        <v>25.0</v>
      </c>
      <c r="J20" s="40">
        <v>0.0</v>
      </c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3"/>
      <c r="V20" s="44"/>
      <c r="W20" s="20"/>
      <c r="X20" s="20"/>
    </row>
    <row r="21" ht="15.75" customHeight="1">
      <c r="A21" s="34"/>
      <c r="B21" s="35" t="s">
        <v>50</v>
      </c>
      <c r="C21" s="36" t="s">
        <v>51</v>
      </c>
      <c r="D21" s="37">
        <v>2000.0</v>
      </c>
      <c r="E21" s="45">
        <f>D21*5</f>
        <v>10000</v>
      </c>
      <c r="F21" s="39" t="s">
        <v>31</v>
      </c>
      <c r="G21" s="40" t="s">
        <v>44</v>
      </c>
      <c r="H21" s="40">
        <v>0.0</v>
      </c>
      <c r="I21" s="52">
        <v>5.0</v>
      </c>
      <c r="J21" s="40">
        <v>0.0</v>
      </c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3"/>
      <c r="V21" s="44"/>
      <c r="W21" s="20"/>
      <c r="X21" s="20"/>
    </row>
    <row r="22" ht="15.75" customHeight="1">
      <c r="A22" s="34"/>
      <c r="B22" s="35" t="s">
        <v>52</v>
      </c>
      <c r="C22" s="36" t="s">
        <v>49</v>
      </c>
      <c r="D22" s="37">
        <v>100.0</v>
      </c>
      <c r="E22" s="45">
        <f>100*25</f>
        <v>2500</v>
      </c>
      <c r="F22" s="39" t="s">
        <v>31</v>
      </c>
      <c r="G22" s="40" t="s">
        <v>44</v>
      </c>
      <c r="H22" s="40">
        <v>0.0</v>
      </c>
      <c r="I22" s="52">
        <v>25.0</v>
      </c>
      <c r="J22" s="40">
        <v>0.0</v>
      </c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3"/>
      <c r="V22" s="44"/>
      <c r="W22" s="20"/>
      <c r="X22" s="20"/>
    </row>
    <row r="23" ht="15.75" customHeight="1">
      <c r="A23" s="34"/>
      <c r="B23" s="35" t="s">
        <v>53</v>
      </c>
      <c r="C23" s="36" t="s">
        <v>49</v>
      </c>
      <c r="D23" s="37">
        <v>150.0</v>
      </c>
      <c r="E23" s="45">
        <f>150*25</f>
        <v>3750</v>
      </c>
      <c r="F23" s="39" t="s">
        <v>31</v>
      </c>
      <c r="G23" s="40" t="s">
        <v>44</v>
      </c>
      <c r="H23" s="40">
        <v>0.0</v>
      </c>
      <c r="I23" s="52">
        <v>25.0</v>
      </c>
      <c r="J23" s="40">
        <v>0.0</v>
      </c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3"/>
      <c r="V23" s="44"/>
      <c r="W23" s="20"/>
      <c r="X23" s="20"/>
    </row>
    <row r="24" ht="15.75" customHeight="1">
      <c r="A24" s="34"/>
      <c r="B24" s="35" t="s">
        <v>54</v>
      </c>
      <c r="C24" s="36" t="s">
        <v>49</v>
      </c>
      <c r="D24" s="37">
        <v>100.0</v>
      </c>
      <c r="E24" s="45">
        <f>D24*25</f>
        <v>2500</v>
      </c>
      <c r="F24" s="39" t="s">
        <v>31</v>
      </c>
      <c r="G24" s="40" t="s">
        <v>44</v>
      </c>
      <c r="H24" s="40">
        <v>0.0</v>
      </c>
      <c r="I24" s="52">
        <v>25.0</v>
      </c>
      <c r="J24" s="40">
        <v>0.0</v>
      </c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3"/>
      <c r="V24" s="44"/>
      <c r="W24" s="20"/>
      <c r="X24" s="20"/>
    </row>
    <row r="25" ht="15.75" customHeight="1">
      <c r="A25" s="34"/>
      <c r="B25" s="35" t="s">
        <v>55</v>
      </c>
      <c r="C25" s="36" t="s">
        <v>56</v>
      </c>
      <c r="D25" s="37">
        <v>80.0</v>
      </c>
      <c r="E25" s="45">
        <f>80*20</f>
        <v>1600</v>
      </c>
      <c r="F25" s="39" t="s">
        <v>31</v>
      </c>
      <c r="G25" s="40" t="s">
        <v>44</v>
      </c>
      <c r="H25" s="40">
        <v>0.0</v>
      </c>
      <c r="I25" s="52">
        <v>20.0</v>
      </c>
      <c r="J25" s="40">
        <v>0.0</v>
      </c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3"/>
      <c r="V25" s="44"/>
      <c r="W25" s="20"/>
      <c r="X25" s="20"/>
    </row>
    <row r="26" ht="15.75" customHeight="1">
      <c r="A26" s="34"/>
      <c r="B26" s="35" t="s">
        <v>57</v>
      </c>
      <c r="C26" s="36" t="s">
        <v>58</v>
      </c>
      <c r="D26" s="37">
        <v>30000.0</v>
      </c>
      <c r="E26" s="45">
        <f>D26*2</f>
        <v>60000</v>
      </c>
      <c r="F26" s="39" t="s">
        <v>31</v>
      </c>
      <c r="G26" s="40" t="s">
        <v>44</v>
      </c>
      <c r="H26" s="40">
        <v>0.0</v>
      </c>
      <c r="I26" s="52">
        <v>2.0</v>
      </c>
      <c r="J26" s="40">
        <v>0.0</v>
      </c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3"/>
      <c r="V26" s="44"/>
      <c r="W26" s="20"/>
      <c r="X26" s="20"/>
    </row>
    <row r="27" ht="15.75" customHeight="1">
      <c r="A27" s="34"/>
      <c r="B27" s="35" t="s">
        <v>59</v>
      </c>
      <c r="C27" s="36" t="s">
        <v>51</v>
      </c>
      <c r="D27" s="37">
        <v>3000.0</v>
      </c>
      <c r="E27" s="45">
        <f>3000*5</f>
        <v>15000</v>
      </c>
      <c r="F27" s="39" t="s">
        <v>31</v>
      </c>
      <c r="G27" s="40" t="s">
        <v>44</v>
      </c>
      <c r="H27" s="40">
        <v>0.0</v>
      </c>
      <c r="I27" s="52">
        <v>5.0</v>
      </c>
      <c r="J27" s="40">
        <v>0.0</v>
      </c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3"/>
      <c r="V27" s="44"/>
      <c r="W27" s="20"/>
      <c r="X27" s="20"/>
    </row>
    <row r="28" ht="15.75" customHeight="1">
      <c r="A28" s="34"/>
      <c r="B28" s="54" t="s">
        <v>60</v>
      </c>
      <c r="C28" s="55"/>
      <c r="D28" s="56"/>
      <c r="E28" s="55"/>
      <c r="F28" s="57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20"/>
      <c r="X28" s="20"/>
      <c r="Y28" s="2"/>
      <c r="Z28" s="2"/>
    </row>
    <row r="29" ht="15.75" customHeight="1">
      <c r="A29" s="34"/>
      <c r="B29" s="35" t="s">
        <v>61</v>
      </c>
      <c r="C29" s="36" t="s">
        <v>62</v>
      </c>
      <c r="D29" s="58">
        <v>2000.0</v>
      </c>
      <c r="E29" s="45">
        <f t="shared" ref="E29:E30" si="2">D29*10</f>
        <v>20000</v>
      </c>
      <c r="F29" s="59" t="s">
        <v>37</v>
      </c>
      <c r="G29" s="60" t="s">
        <v>63</v>
      </c>
      <c r="H29" s="61">
        <v>10.0</v>
      </c>
      <c r="I29" s="60">
        <v>0.0</v>
      </c>
      <c r="J29" s="60">
        <v>0.0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20"/>
      <c r="X29" s="20"/>
      <c r="Y29" s="2"/>
      <c r="Z29" s="2"/>
    </row>
    <row r="30" ht="15.75" customHeight="1">
      <c r="A30" s="34"/>
      <c r="B30" s="62" t="s">
        <v>64</v>
      </c>
      <c r="C30" s="36" t="s">
        <v>65</v>
      </c>
      <c r="D30" s="58">
        <v>350.0</v>
      </c>
      <c r="E30" s="45">
        <f t="shared" si="2"/>
        <v>3500</v>
      </c>
      <c r="F30" s="59" t="s">
        <v>37</v>
      </c>
      <c r="G30" s="60" t="s">
        <v>63</v>
      </c>
      <c r="H30" s="61">
        <v>10.0</v>
      </c>
      <c r="I30" s="60">
        <v>0.0</v>
      </c>
      <c r="J30" s="60">
        <v>0.0</v>
      </c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20"/>
      <c r="X30" s="20"/>
      <c r="Y30" s="2"/>
      <c r="Z30" s="2"/>
    </row>
    <row r="31" ht="15.75" customHeight="1">
      <c r="A31" s="34"/>
      <c r="B31" s="62" t="s">
        <v>66</v>
      </c>
      <c r="C31" s="36" t="s">
        <v>67</v>
      </c>
      <c r="D31" s="58">
        <v>500.0</v>
      </c>
      <c r="E31" s="45">
        <f>D31*50</f>
        <v>25000</v>
      </c>
      <c r="F31" s="59" t="s">
        <v>37</v>
      </c>
      <c r="G31" s="60" t="s">
        <v>63</v>
      </c>
      <c r="H31" s="61">
        <v>50.0</v>
      </c>
      <c r="I31" s="60">
        <v>0.0</v>
      </c>
      <c r="J31" s="60">
        <v>0.0</v>
      </c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20"/>
      <c r="X31" s="20"/>
      <c r="Y31" s="2"/>
      <c r="Z31" s="2"/>
    </row>
    <row r="32" ht="15.75" customHeight="1">
      <c r="A32" s="34"/>
      <c r="B32" s="62" t="s">
        <v>68</v>
      </c>
      <c r="C32" s="36" t="s">
        <v>69</v>
      </c>
      <c r="D32" s="37">
        <v>600.0</v>
      </c>
      <c r="E32" s="45">
        <f t="shared" ref="E32:E33" si="3">D32*15</f>
        <v>9000</v>
      </c>
      <c r="F32" s="59" t="s">
        <v>37</v>
      </c>
      <c r="G32" s="60" t="s">
        <v>63</v>
      </c>
      <c r="H32" s="61">
        <v>15.0</v>
      </c>
      <c r="I32" s="60">
        <v>0.0</v>
      </c>
      <c r="J32" s="60">
        <v>0.0</v>
      </c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20"/>
      <c r="X32" s="20"/>
      <c r="Y32" s="2"/>
      <c r="Z32" s="2"/>
    </row>
    <row r="33" ht="15.75" customHeight="1">
      <c r="A33" s="34"/>
      <c r="B33" s="62" t="s">
        <v>70</v>
      </c>
      <c r="C33" s="36" t="s">
        <v>69</v>
      </c>
      <c r="D33" s="58">
        <v>200.0</v>
      </c>
      <c r="E33" s="45">
        <f t="shared" si="3"/>
        <v>3000</v>
      </c>
      <c r="F33" s="59" t="s">
        <v>37</v>
      </c>
      <c r="G33" s="60" t="s">
        <v>63</v>
      </c>
      <c r="H33" s="61">
        <v>15.0</v>
      </c>
      <c r="I33" s="60">
        <v>0.0</v>
      </c>
      <c r="J33" s="60">
        <v>0.0</v>
      </c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20"/>
      <c r="X33" s="20"/>
      <c r="Y33" s="2"/>
      <c r="Z33" s="2"/>
    </row>
    <row r="34" ht="15.75" customHeight="1">
      <c r="A34" s="34"/>
      <c r="B34" s="62" t="s">
        <v>71</v>
      </c>
      <c r="C34" s="36" t="s">
        <v>65</v>
      </c>
      <c r="D34" s="37">
        <v>900.0</v>
      </c>
      <c r="E34" s="45">
        <f>D34*10</f>
        <v>9000</v>
      </c>
      <c r="F34" s="59" t="s">
        <v>37</v>
      </c>
      <c r="G34" s="60" t="s">
        <v>63</v>
      </c>
      <c r="H34" s="61">
        <v>10.0</v>
      </c>
      <c r="I34" s="60">
        <v>5.0</v>
      </c>
      <c r="J34" s="60">
        <v>10.0</v>
      </c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20"/>
      <c r="X34" s="20"/>
      <c r="Y34" s="2"/>
      <c r="Z34" s="2"/>
    </row>
    <row r="35" ht="15.75" customHeight="1">
      <c r="A35" s="34"/>
      <c r="B35" s="35" t="s">
        <v>72</v>
      </c>
      <c r="C35" s="36" t="s">
        <v>73</v>
      </c>
      <c r="D35" s="37">
        <v>3000.0</v>
      </c>
      <c r="E35" s="45">
        <f t="shared" ref="E35:E36" si="4">D35*4</f>
        <v>12000</v>
      </c>
      <c r="F35" s="59" t="s">
        <v>37</v>
      </c>
      <c r="G35" s="60" t="s">
        <v>63</v>
      </c>
      <c r="H35" s="61">
        <v>4.0</v>
      </c>
      <c r="I35" s="60">
        <v>0.0</v>
      </c>
      <c r="J35" s="60">
        <v>0.0</v>
      </c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20"/>
      <c r="X35" s="20"/>
      <c r="Y35" s="2"/>
      <c r="Z35" s="2"/>
    </row>
    <row r="36" ht="15.75" customHeight="1">
      <c r="A36" s="34"/>
      <c r="B36" s="35" t="s">
        <v>74</v>
      </c>
      <c r="C36" s="36" t="s">
        <v>73</v>
      </c>
      <c r="D36" s="37">
        <v>3000.0</v>
      </c>
      <c r="E36" s="45">
        <f t="shared" si="4"/>
        <v>12000</v>
      </c>
      <c r="F36" s="59" t="s">
        <v>37</v>
      </c>
      <c r="G36" s="60" t="s">
        <v>63</v>
      </c>
      <c r="H36" s="61">
        <v>4.0</v>
      </c>
      <c r="I36" s="60">
        <v>0.0</v>
      </c>
      <c r="J36" s="60">
        <v>0.0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20"/>
      <c r="X36" s="20"/>
      <c r="Y36" s="2"/>
      <c r="Z36" s="2"/>
    </row>
    <row r="37" ht="15.75" customHeight="1">
      <c r="A37" s="34"/>
      <c r="B37" s="35" t="s">
        <v>75</v>
      </c>
      <c r="C37" s="36" t="s">
        <v>76</v>
      </c>
      <c r="D37" s="37">
        <v>5000.0</v>
      </c>
      <c r="E37" s="45">
        <f>D37*10</f>
        <v>50000</v>
      </c>
      <c r="F37" s="59" t="s">
        <v>37</v>
      </c>
      <c r="G37" s="60" t="s">
        <v>63</v>
      </c>
      <c r="H37" s="61">
        <v>10.0</v>
      </c>
      <c r="I37" s="60">
        <v>0.0</v>
      </c>
      <c r="J37" s="60">
        <v>0.0</v>
      </c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20"/>
      <c r="X37" s="20"/>
      <c r="Y37" s="2"/>
      <c r="Z37" s="2"/>
    </row>
    <row r="38" ht="15.75" customHeight="1">
      <c r="A38" s="34"/>
      <c r="B38" s="35" t="s">
        <v>77</v>
      </c>
      <c r="C38" s="36" t="s">
        <v>78</v>
      </c>
      <c r="D38" s="37">
        <v>2000.0</v>
      </c>
      <c r="E38" s="45">
        <f>D38*8</f>
        <v>16000</v>
      </c>
      <c r="F38" s="59" t="s">
        <v>37</v>
      </c>
      <c r="G38" s="60" t="s">
        <v>63</v>
      </c>
      <c r="H38" s="61">
        <v>8.0</v>
      </c>
      <c r="I38" s="60">
        <v>0.0</v>
      </c>
      <c r="J38" s="60">
        <v>0.0</v>
      </c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20"/>
      <c r="X38" s="20"/>
      <c r="Y38" s="2"/>
      <c r="Z38" s="2"/>
    </row>
    <row r="39" ht="15.75" customHeight="1">
      <c r="A39" s="34"/>
      <c r="B39" s="35" t="s">
        <v>79</v>
      </c>
      <c r="C39" s="36" t="s">
        <v>80</v>
      </c>
      <c r="D39" s="37">
        <v>15000.0</v>
      </c>
      <c r="E39" s="45">
        <f t="shared" ref="E39:E40" si="5">15000*3</f>
        <v>45000</v>
      </c>
      <c r="F39" s="59" t="s">
        <v>37</v>
      </c>
      <c r="G39" s="60" t="s">
        <v>63</v>
      </c>
      <c r="H39" s="61">
        <v>3.0</v>
      </c>
      <c r="I39" s="60">
        <v>0.0</v>
      </c>
      <c r="J39" s="60">
        <v>0.0</v>
      </c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20"/>
      <c r="X39" s="20"/>
      <c r="Y39" s="2"/>
      <c r="Z39" s="2"/>
    </row>
    <row r="40" ht="15.75" customHeight="1">
      <c r="A40" s="34"/>
      <c r="B40" s="35" t="s">
        <v>81</v>
      </c>
      <c r="C40" s="36" t="s">
        <v>80</v>
      </c>
      <c r="D40" s="37">
        <v>15000.0</v>
      </c>
      <c r="E40" s="45">
        <f t="shared" si="5"/>
        <v>45000</v>
      </c>
      <c r="F40" s="59" t="s">
        <v>37</v>
      </c>
      <c r="G40" s="60" t="s">
        <v>63</v>
      </c>
      <c r="H40" s="61">
        <v>3.0</v>
      </c>
      <c r="I40" s="60">
        <v>0.0</v>
      </c>
      <c r="J40" s="60">
        <v>0.0</v>
      </c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20"/>
      <c r="X40" s="20"/>
      <c r="Y40" s="2"/>
      <c r="Z40" s="2"/>
    </row>
    <row r="41" ht="15.75" customHeight="1">
      <c r="A41" s="34"/>
      <c r="B41" s="35" t="s">
        <v>82</v>
      </c>
      <c r="C41" s="36" t="s">
        <v>83</v>
      </c>
      <c r="D41" s="37">
        <v>450.0</v>
      </c>
      <c r="E41" s="45">
        <f t="shared" ref="E41:E42" si="6">D41*25</f>
        <v>11250</v>
      </c>
      <c r="F41" s="59" t="s">
        <v>37</v>
      </c>
      <c r="G41" s="60" t="s">
        <v>63</v>
      </c>
      <c r="H41" s="61">
        <v>25.0</v>
      </c>
      <c r="I41" s="60">
        <v>0.0</v>
      </c>
      <c r="J41" s="60">
        <v>0.0</v>
      </c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20"/>
      <c r="X41" s="20"/>
      <c r="Y41" s="2"/>
      <c r="Z41" s="2"/>
    </row>
    <row r="42" ht="15.75" customHeight="1">
      <c r="A42" s="34"/>
      <c r="B42" s="35" t="s">
        <v>84</v>
      </c>
      <c r="C42" s="36" t="s">
        <v>83</v>
      </c>
      <c r="D42" s="37">
        <v>450.0</v>
      </c>
      <c r="E42" s="45">
        <f t="shared" si="6"/>
        <v>11250</v>
      </c>
      <c r="F42" s="59" t="s">
        <v>37</v>
      </c>
      <c r="G42" s="60" t="s">
        <v>63</v>
      </c>
      <c r="H42" s="61">
        <v>25.0</v>
      </c>
      <c r="I42" s="60">
        <v>0.0</v>
      </c>
      <c r="J42" s="60">
        <v>0.0</v>
      </c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20"/>
      <c r="X42" s="20"/>
      <c r="Y42" s="2"/>
      <c r="Z42" s="2"/>
    </row>
    <row r="43" ht="15.75" customHeight="1">
      <c r="A43" s="34"/>
      <c r="B43" s="35" t="s">
        <v>85</v>
      </c>
      <c r="C43" s="36" t="s">
        <v>76</v>
      </c>
      <c r="D43" s="37">
        <v>7000.0</v>
      </c>
      <c r="E43" s="45">
        <f>7000*10</f>
        <v>70000</v>
      </c>
      <c r="F43" s="59" t="s">
        <v>37</v>
      </c>
      <c r="G43" s="60" t="s">
        <v>63</v>
      </c>
      <c r="H43" s="61">
        <v>10.0</v>
      </c>
      <c r="I43" s="60">
        <v>0.0</v>
      </c>
      <c r="J43" s="60">
        <v>0.0</v>
      </c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20"/>
      <c r="X43" s="20"/>
      <c r="Y43" s="2"/>
      <c r="Z43" s="2"/>
    </row>
    <row r="44" ht="15.75" customHeight="1">
      <c r="A44" s="34"/>
      <c r="B44" s="35" t="s">
        <v>86</v>
      </c>
      <c r="C44" s="36" t="s">
        <v>87</v>
      </c>
      <c r="D44" s="37">
        <v>500.0</v>
      </c>
      <c r="E44" s="45">
        <f>D44*40</f>
        <v>20000</v>
      </c>
      <c r="F44" s="59" t="s">
        <v>37</v>
      </c>
      <c r="G44" s="60" t="s">
        <v>63</v>
      </c>
      <c r="H44" s="61">
        <v>40.0</v>
      </c>
      <c r="I44" s="60">
        <v>0.0</v>
      </c>
      <c r="J44" s="60">
        <v>0.0</v>
      </c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20"/>
      <c r="X44" s="20"/>
      <c r="Y44" s="2"/>
      <c r="Z44" s="2"/>
    </row>
    <row r="45" ht="15.75" customHeight="1">
      <c r="A45" s="34"/>
      <c r="B45" s="35" t="s">
        <v>88</v>
      </c>
      <c r="C45" s="36" t="s">
        <v>89</v>
      </c>
      <c r="D45" s="37">
        <v>800.0</v>
      </c>
      <c r="E45" s="45">
        <f>D45*60</f>
        <v>48000</v>
      </c>
      <c r="F45" s="59" t="s">
        <v>37</v>
      </c>
      <c r="G45" s="60" t="s">
        <v>63</v>
      </c>
      <c r="H45" s="61">
        <v>60.0</v>
      </c>
      <c r="I45" s="60">
        <v>0.0</v>
      </c>
      <c r="J45" s="60">
        <v>0.0</v>
      </c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20"/>
      <c r="X45" s="20"/>
      <c r="Y45" s="2"/>
      <c r="Z45" s="2"/>
    </row>
    <row r="46">
      <c r="A46" s="34"/>
      <c r="B46" s="35" t="s">
        <v>90</v>
      </c>
      <c r="C46" s="36" t="s">
        <v>91</v>
      </c>
      <c r="D46" s="37">
        <v>900.0</v>
      </c>
      <c r="E46" s="45">
        <f>D46*20</f>
        <v>18000</v>
      </c>
      <c r="F46" s="59" t="s">
        <v>37</v>
      </c>
      <c r="G46" s="60" t="s">
        <v>63</v>
      </c>
      <c r="H46" s="61">
        <v>20.0</v>
      </c>
      <c r="I46" s="60">
        <v>0.0</v>
      </c>
      <c r="J46" s="60">
        <v>0.0</v>
      </c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20"/>
      <c r="X46" s="20"/>
      <c r="Y46" s="2"/>
      <c r="Z46" s="2"/>
    </row>
    <row r="47">
      <c r="A47" s="34"/>
      <c r="B47" s="35" t="s">
        <v>92</v>
      </c>
      <c r="C47" s="36" t="s">
        <v>91</v>
      </c>
      <c r="D47" s="37">
        <v>500.0</v>
      </c>
      <c r="E47" s="45">
        <f>500*20</f>
        <v>10000</v>
      </c>
      <c r="F47" s="59" t="s">
        <v>37</v>
      </c>
      <c r="G47" s="60" t="s">
        <v>63</v>
      </c>
      <c r="H47" s="61">
        <v>20.0</v>
      </c>
      <c r="I47" s="60">
        <v>0.0</v>
      </c>
      <c r="J47" s="60">
        <v>0.0</v>
      </c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20"/>
      <c r="X47" s="20"/>
      <c r="Y47" s="2"/>
      <c r="Z47" s="2"/>
    </row>
    <row r="48">
      <c r="A48" s="34"/>
      <c r="B48" s="35" t="s">
        <v>93</v>
      </c>
      <c r="C48" s="36" t="s">
        <v>94</v>
      </c>
      <c r="D48" s="37">
        <v>800.0</v>
      </c>
      <c r="E48" s="45">
        <f>800*50</f>
        <v>40000</v>
      </c>
      <c r="F48" s="59" t="s">
        <v>37</v>
      </c>
      <c r="G48" s="60" t="s">
        <v>63</v>
      </c>
      <c r="H48" s="61">
        <v>50.0</v>
      </c>
      <c r="I48" s="60">
        <v>0.0</v>
      </c>
      <c r="J48" s="60">
        <v>0.0</v>
      </c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20"/>
      <c r="X48" s="20"/>
      <c r="Y48" s="2"/>
      <c r="Z48" s="2"/>
    </row>
    <row r="49" ht="15.75" customHeight="1">
      <c r="A49" s="34"/>
      <c r="B49" s="35" t="s">
        <v>95</v>
      </c>
      <c r="C49" s="36" t="s">
        <v>62</v>
      </c>
      <c r="D49" s="37">
        <v>5500.0</v>
      </c>
      <c r="E49" s="45">
        <f>D49*10</f>
        <v>55000</v>
      </c>
      <c r="F49" s="59" t="s">
        <v>37</v>
      </c>
      <c r="G49" s="60" t="s">
        <v>63</v>
      </c>
      <c r="H49" s="61">
        <v>10.0</v>
      </c>
      <c r="I49" s="60">
        <v>0.0</v>
      </c>
      <c r="J49" s="60">
        <v>0.0</v>
      </c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20"/>
      <c r="X49" s="20"/>
      <c r="Y49" s="2"/>
      <c r="Z49" s="2"/>
    </row>
    <row r="50" ht="15.75" customHeight="1">
      <c r="A50" s="34"/>
      <c r="B50" s="63" t="s">
        <v>96</v>
      </c>
      <c r="C50" s="50" t="s">
        <v>69</v>
      </c>
      <c r="D50" s="64">
        <v>700.0</v>
      </c>
      <c r="E50" s="65">
        <f>D50*15</f>
        <v>10500</v>
      </c>
      <c r="F50" s="59" t="s">
        <v>37</v>
      </c>
      <c r="G50" s="60" t="s">
        <v>63</v>
      </c>
      <c r="H50" s="66">
        <v>15.0</v>
      </c>
      <c r="I50" s="67">
        <v>0.0</v>
      </c>
      <c r="J50" s="67">
        <v>0.0</v>
      </c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20"/>
      <c r="X50" s="20"/>
      <c r="Y50" s="2"/>
      <c r="Z50" s="2"/>
    </row>
    <row r="51" ht="15.75" customHeight="1">
      <c r="A51" s="34"/>
      <c r="B51" s="63" t="s">
        <v>97</v>
      </c>
      <c r="C51" s="50" t="s">
        <v>62</v>
      </c>
      <c r="D51" s="64">
        <v>2500.0</v>
      </c>
      <c r="E51" s="65">
        <f>D51*10</f>
        <v>25000</v>
      </c>
      <c r="F51" s="59" t="s">
        <v>37</v>
      </c>
      <c r="G51" s="60" t="s">
        <v>63</v>
      </c>
      <c r="H51" s="66">
        <v>10.0</v>
      </c>
      <c r="I51" s="67">
        <v>0.0</v>
      </c>
      <c r="J51" s="67">
        <v>0.0</v>
      </c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20"/>
      <c r="X51" s="20"/>
      <c r="Y51" s="2"/>
      <c r="Z51" s="2"/>
    </row>
    <row r="52" ht="15.75" customHeight="1">
      <c r="A52" s="34"/>
      <c r="B52" s="63" t="s">
        <v>98</v>
      </c>
      <c r="C52" s="50" t="s">
        <v>99</v>
      </c>
      <c r="D52" s="64">
        <v>4500.0</v>
      </c>
      <c r="E52" s="65">
        <f>D52*30</f>
        <v>135000</v>
      </c>
      <c r="F52" s="59" t="s">
        <v>37</v>
      </c>
      <c r="G52" s="60" t="s">
        <v>63</v>
      </c>
      <c r="H52" s="66">
        <v>30.0</v>
      </c>
      <c r="I52" s="67">
        <v>0.0</v>
      </c>
      <c r="J52" s="67">
        <v>0.0</v>
      </c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20"/>
      <c r="X52" s="20"/>
      <c r="Y52" s="2"/>
      <c r="Z52" s="2"/>
    </row>
    <row r="53" ht="15.75" customHeight="1">
      <c r="A53" s="34"/>
      <c r="B53" s="63" t="s">
        <v>100</v>
      </c>
      <c r="C53" s="50" t="s">
        <v>76</v>
      </c>
      <c r="D53" s="64">
        <v>1500.0</v>
      </c>
      <c r="E53" s="65">
        <f>D53*10</f>
        <v>15000</v>
      </c>
      <c r="F53" s="69" t="s">
        <v>37</v>
      </c>
      <c r="G53" s="60" t="s">
        <v>63</v>
      </c>
      <c r="H53" s="66">
        <v>10.0</v>
      </c>
      <c r="I53" s="67">
        <v>0.0</v>
      </c>
      <c r="J53" s="67">
        <v>0.0</v>
      </c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20"/>
      <c r="X53" s="20"/>
      <c r="Y53" s="2"/>
      <c r="Z53" s="2"/>
    </row>
    <row r="54" ht="15.75" customHeight="1">
      <c r="A54" s="34"/>
      <c r="B54" s="63" t="s">
        <v>101</v>
      </c>
      <c r="C54" s="50" t="s">
        <v>102</v>
      </c>
      <c r="D54" s="64">
        <v>12000.0</v>
      </c>
      <c r="E54" s="65">
        <f>D54*10</f>
        <v>120000</v>
      </c>
      <c r="F54" s="69" t="s">
        <v>37</v>
      </c>
      <c r="G54" s="60" t="s">
        <v>63</v>
      </c>
      <c r="H54" s="66">
        <v>10.0</v>
      </c>
      <c r="I54" s="67">
        <v>0.0</v>
      </c>
      <c r="J54" s="67">
        <v>0.0</v>
      </c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20"/>
      <c r="X54" s="20"/>
      <c r="Y54" s="2"/>
      <c r="Z54" s="2"/>
    </row>
    <row r="55" ht="15.75" customHeight="1">
      <c r="A55" s="34"/>
      <c r="B55" s="63" t="s">
        <v>103</v>
      </c>
      <c r="C55" s="50" t="s">
        <v>39</v>
      </c>
      <c r="D55" s="64">
        <v>10000.0</v>
      </c>
      <c r="E55" s="65">
        <f t="shared" ref="E55:E56" si="7">10000*4</f>
        <v>40000</v>
      </c>
      <c r="F55" s="69" t="s">
        <v>37</v>
      </c>
      <c r="G55" s="60" t="s">
        <v>63</v>
      </c>
      <c r="H55" s="70">
        <v>4.0</v>
      </c>
      <c r="I55" s="67">
        <v>0.0</v>
      </c>
      <c r="J55" s="67">
        <v>0.0</v>
      </c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20"/>
      <c r="X55" s="20"/>
      <c r="Y55" s="2"/>
      <c r="Z55" s="2"/>
    </row>
    <row r="56" ht="15.75" customHeight="1">
      <c r="A56" s="34"/>
      <c r="B56" s="63" t="s">
        <v>104</v>
      </c>
      <c r="C56" s="50" t="s">
        <v>39</v>
      </c>
      <c r="D56" s="64">
        <v>10000.0</v>
      </c>
      <c r="E56" s="65">
        <f t="shared" si="7"/>
        <v>40000</v>
      </c>
      <c r="F56" s="69" t="s">
        <v>37</v>
      </c>
      <c r="G56" s="60" t="s">
        <v>63</v>
      </c>
      <c r="H56" s="70">
        <v>4.0</v>
      </c>
      <c r="I56" s="67">
        <v>0.0</v>
      </c>
      <c r="J56" s="67">
        <v>0.0</v>
      </c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20"/>
      <c r="X56" s="20"/>
      <c r="Y56" s="2"/>
      <c r="Z56" s="2"/>
    </row>
    <row r="57" ht="15.75" customHeight="1">
      <c r="A57" s="34"/>
      <c r="B57" s="35" t="s">
        <v>105</v>
      </c>
      <c r="C57" s="36" t="s">
        <v>43</v>
      </c>
      <c r="D57" s="37">
        <v>5000.0</v>
      </c>
      <c r="E57" s="45">
        <f>5000*25</f>
        <v>125000</v>
      </c>
      <c r="F57" s="69" t="s">
        <v>37</v>
      </c>
      <c r="G57" s="60" t="s">
        <v>63</v>
      </c>
      <c r="H57" s="71">
        <v>25.0</v>
      </c>
      <c r="I57" s="60">
        <v>0.0</v>
      </c>
      <c r="J57" s="60">
        <v>0.0</v>
      </c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20"/>
      <c r="X57" s="20"/>
      <c r="Y57" s="2"/>
      <c r="Z57" s="2"/>
    </row>
    <row r="58" ht="15.75" customHeight="1">
      <c r="A58" s="34"/>
      <c r="B58" s="63" t="s">
        <v>106</v>
      </c>
      <c r="C58" s="50" t="s">
        <v>102</v>
      </c>
      <c r="D58" s="64">
        <v>8000.0</v>
      </c>
      <c r="E58" s="65">
        <f>D58*10</f>
        <v>80000</v>
      </c>
      <c r="F58" s="69" t="s">
        <v>37</v>
      </c>
      <c r="G58" s="60" t="s">
        <v>63</v>
      </c>
      <c r="H58" s="70">
        <v>10.0</v>
      </c>
      <c r="I58" s="67">
        <v>0.0</v>
      </c>
      <c r="J58" s="67">
        <v>0.0</v>
      </c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20"/>
      <c r="X58" s="20"/>
      <c r="Y58" s="2"/>
      <c r="Z58" s="2"/>
    </row>
    <row r="59" ht="15.75" customHeight="1">
      <c r="A59" s="34"/>
      <c r="B59" s="63" t="s">
        <v>107</v>
      </c>
      <c r="C59" s="50" t="s">
        <v>108</v>
      </c>
      <c r="D59" s="64">
        <v>2500.0</v>
      </c>
      <c r="E59" s="65">
        <f t="shared" ref="E59:E66" si="8">D59*5</f>
        <v>12500</v>
      </c>
      <c r="F59" s="69" t="s">
        <v>37</v>
      </c>
      <c r="G59" s="60" t="s">
        <v>63</v>
      </c>
      <c r="H59" s="70">
        <v>5.0</v>
      </c>
      <c r="I59" s="67">
        <v>0.0</v>
      </c>
      <c r="J59" s="67">
        <v>0.0</v>
      </c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20"/>
      <c r="X59" s="20"/>
      <c r="Y59" s="2"/>
      <c r="Z59" s="2"/>
    </row>
    <row r="60" ht="15.75" customHeight="1">
      <c r="A60" s="34"/>
      <c r="B60" s="63" t="s">
        <v>109</v>
      </c>
      <c r="C60" s="50" t="s">
        <v>108</v>
      </c>
      <c r="D60" s="64">
        <v>900.0</v>
      </c>
      <c r="E60" s="65">
        <f t="shared" si="8"/>
        <v>4500</v>
      </c>
      <c r="F60" s="69" t="s">
        <v>37</v>
      </c>
      <c r="G60" s="60" t="s">
        <v>63</v>
      </c>
      <c r="H60" s="70">
        <v>5.0</v>
      </c>
      <c r="I60" s="67">
        <v>0.0</v>
      </c>
      <c r="J60" s="67">
        <v>0.0</v>
      </c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20"/>
      <c r="X60" s="20"/>
      <c r="Y60" s="2"/>
      <c r="Z60" s="2"/>
    </row>
    <row r="61" ht="15.75" customHeight="1">
      <c r="A61" s="34"/>
      <c r="B61" s="63" t="s">
        <v>110</v>
      </c>
      <c r="C61" s="50" t="s">
        <v>108</v>
      </c>
      <c r="D61" s="64">
        <v>2400.0</v>
      </c>
      <c r="E61" s="65">
        <f t="shared" si="8"/>
        <v>12000</v>
      </c>
      <c r="F61" s="69" t="s">
        <v>37</v>
      </c>
      <c r="G61" s="60" t="s">
        <v>63</v>
      </c>
      <c r="H61" s="70">
        <v>5.0</v>
      </c>
      <c r="I61" s="67">
        <v>0.0</v>
      </c>
      <c r="J61" s="67">
        <v>0.0</v>
      </c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20"/>
      <c r="X61" s="20"/>
      <c r="Y61" s="2"/>
      <c r="Z61" s="2"/>
    </row>
    <row r="62" ht="15.75" customHeight="1">
      <c r="A62" s="34"/>
      <c r="B62" s="72" t="s">
        <v>111</v>
      </c>
      <c r="C62" s="50" t="s">
        <v>108</v>
      </c>
      <c r="D62" s="73">
        <v>10000.0</v>
      </c>
      <c r="E62" s="74">
        <f t="shared" si="8"/>
        <v>50000</v>
      </c>
      <c r="F62" s="75" t="s">
        <v>37</v>
      </c>
      <c r="G62" s="60" t="s">
        <v>63</v>
      </c>
      <c r="H62" s="76">
        <v>5.0</v>
      </c>
      <c r="I62" s="67">
        <v>0.0</v>
      </c>
      <c r="J62" s="67">
        <v>0.0</v>
      </c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20"/>
      <c r="X62" s="20"/>
      <c r="Y62" s="2"/>
      <c r="Z62" s="2"/>
    </row>
    <row r="63" ht="15.75" customHeight="1">
      <c r="A63" s="34"/>
      <c r="B63" s="72" t="s">
        <v>112</v>
      </c>
      <c r="C63" s="50" t="s">
        <v>108</v>
      </c>
      <c r="D63" s="73">
        <v>10000.0</v>
      </c>
      <c r="E63" s="74">
        <f t="shared" si="8"/>
        <v>50000</v>
      </c>
      <c r="F63" s="75" t="s">
        <v>37</v>
      </c>
      <c r="G63" s="60" t="s">
        <v>63</v>
      </c>
      <c r="H63" s="76">
        <v>5.0</v>
      </c>
      <c r="I63" s="67">
        <v>0.0</v>
      </c>
      <c r="J63" s="67">
        <v>0.0</v>
      </c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20"/>
      <c r="X63" s="20"/>
      <c r="Y63" s="2"/>
      <c r="Z63" s="2"/>
    </row>
    <row r="64" ht="15.75" customHeight="1">
      <c r="A64" s="34"/>
      <c r="B64" s="63" t="s">
        <v>113</v>
      </c>
      <c r="C64" s="50" t="s">
        <v>108</v>
      </c>
      <c r="D64" s="64">
        <v>45000.0</v>
      </c>
      <c r="E64" s="65">
        <f t="shared" si="8"/>
        <v>225000</v>
      </c>
      <c r="F64" s="69" t="s">
        <v>37</v>
      </c>
      <c r="G64" s="60" t="s">
        <v>63</v>
      </c>
      <c r="H64" s="70">
        <v>5.0</v>
      </c>
      <c r="I64" s="67">
        <v>0.0</v>
      </c>
      <c r="J64" s="67">
        <v>0.0</v>
      </c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20"/>
      <c r="X64" s="20"/>
      <c r="Y64" s="2"/>
      <c r="Z64" s="2"/>
    </row>
    <row r="65" ht="15.75" customHeight="1">
      <c r="A65" s="34"/>
      <c r="B65" s="63" t="s">
        <v>114</v>
      </c>
      <c r="C65" s="50" t="s">
        <v>108</v>
      </c>
      <c r="D65" s="64">
        <v>6000.0</v>
      </c>
      <c r="E65" s="65">
        <f t="shared" si="8"/>
        <v>30000</v>
      </c>
      <c r="F65" s="69" t="s">
        <v>37</v>
      </c>
      <c r="G65" s="60" t="s">
        <v>63</v>
      </c>
      <c r="H65" s="70">
        <v>5.0</v>
      </c>
      <c r="I65" s="67">
        <v>0.0</v>
      </c>
      <c r="J65" s="67">
        <v>0.0</v>
      </c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20"/>
      <c r="X65" s="20"/>
      <c r="Y65" s="2"/>
      <c r="Z65" s="2"/>
    </row>
    <row r="66" ht="15.75" customHeight="1">
      <c r="A66" s="34"/>
      <c r="B66" s="63" t="s">
        <v>115</v>
      </c>
      <c r="C66" s="50" t="s">
        <v>116</v>
      </c>
      <c r="D66" s="64">
        <v>1000.0</v>
      </c>
      <c r="E66" s="65">
        <f t="shared" si="8"/>
        <v>5000</v>
      </c>
      <c r="F66" s="69" t="s">
        <v>37</v>
      </c>
      <c r="G66" s="60" t="s">
        <v>63</v>
      </c>
      <c r="H66" s="70">
        <v>5.0</v>
      </c>
      <c r="I66" s="67">
        <v>0.0</v>
      </c>
      <c r="J66" s="67">
        <v>0.0</v>
      </c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20"/>
      <c r="X66" s="20"/>
      <c r="Y66" s="2"/>
      <c r="Z66" s="2"/>
    </row>
    <row r="67" ht="15.75" customHeight="1">
      <c r="A67" s="34"/>
      <c r="B67" s="63" t="s">
        <v>117</v>
      </c>
      <c r="C67" s="50" t="s">
        <v>118</v>
      </c>
      <c r="D67" s="64">
        <v>600.0</v>
      </c>
      <c r="E67" s="65">
        <f t="shared" ref="E67:E69" si="9">D67*10</f>
        <v>6000</v>
      </c>
      <c r="F67" s="69" t="s">
        <v>37</v>
      </c>
      <c r="G67" s="60" t="s">
        <v>63</v>
      </c>
      <c r="H67" s="70">
        <v>10.0</v>
      </c>
      <c r="I67" s="67">
        <v>0.0</v>
      </c>
      <c r="J67" s="67">
        <v>0.0</v>
      </c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20"/>
      <c r="X67" s="20"/>
      <c r="Y67" s="2"/>
      <c r="Z67" s="2"/>
    </row>
    <row r="68" ht="15.75" customHeight="1">
      <c r="A68" s="34"/>
      <c r="B68" s="63" t="s">
        <v>119</v>
      </c>
      <c r="C68" s="50" t="s">
        <v>118</v>
      </c>
      <c r="D68" s="64">
        <v>1000.0</v>
      </c>
      <c r="E68" s="65">
        <f t="shared" si="9"/>
        <v>10000</v>
      </c>
      <c r="F68" s="69" t="s">
        <v>37</v>
      </c>
      <c r="G68" s="60" t="s">
        <v>63</v>
      </c>
      <c r="H68" s="70">
        <v>10.0</v>
      </c>
      <c r="I68" s="67">
        <v>0.0</v>
      </c>
      <c r="J68" s="67">
        <v>0.0</v>
      </c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20"/>
      <c r="X68" s="20"/>
      <c r="Y68" s="2"/>
      <c r="Z68" s="2"/>
    </row>
    <row r="69" ht="15.75" customHeight="1">
      <c r="A69" s="34"/>
      <c r="B69" s="63" t="s">
        <v>120</v>
      </c>
      <c r="C69" s="50" t="s">
        <v>121</v>
      </c>
      <c r="D69" s="64">
        <v>1000.0</v>
      </c>
      <c r="E69" s="65">
        <f t="shared" si="9"/>
        <v>10000</v>
      </c>
      <c r="F69" s="69" t="s">
        <v>37</v>
      </c>
      <c r="G69" s="60" t="s">
        <v>63</v>
      </c>
      <c r="H69" s="70">
        <v>10.0</v>
      </c>
      <c r="I69" s="67">
        <v>0.0</v>
      </c>
      <c r="J69" s="67">
        <v>0.0</v>
      </c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20"/>
      <c r="X69" s="20"/>
      <c r="Y69" s="2"/>
      <c r="Z69" s="2"/>
    </row>
    <row r="70" ht="15.75" customHeight="1">
      <c r="A70" s="34"/>
      <c r="B70" s="63" t="s">
        <v>122</v>
      </c>
      <c r="C70" s="50" t="s">
        <v>123</v>
      </c>
      <c r="D70" s="64">
        <v>500.0</v>
      </c>
      <c r="E70" s="65">
        <f t="shared" ref="E70:E71" si="10">D70*10</f>
        <v>5000</v>
      </c>
      <c r="F70" s="69" t="s">
        <v>37</v>
      </c>
      <c r="G70" s="60" t="s">
        <v>63</v>
      </c>
      <c r="H70" s="70">
        <v>10.0</v>
      </c>
      <c r="I70" s="67">
        <v>0.0</v>
      </c>
      <c r="J70" s="67">
        <v>0.0</v>
      </c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20"/>
      <c r="X70" s="20"/>
      <c r="Y70" s="2"/>
      <c r="Z70" s="2"/>
    </row>
    <row r="71" ht="15.75" customHeight="1">
      <c r="A71" s="34"/>
      <c r="B71" s="63" t="s">
        <v>100</v>
      </c>
      <c r="C71" s="50" t="s">
        <v>76</v>
      </c>
      <c r="D71" s="64">
        <v>1500.0</v>
      </c>
      <c r="E71" s="65">
        <f t="shared" si="10"/>
        <v>15000</v>
      </c>
      <c r="F71" s="69" t="s">
        <v>37</v>
      </c>
      <c r="G71" s="60" t="s">
        <v>63</v>
      </c>
      <c r="H71" s="70">
        <v>10.0</v>
      </c>
      <c r="I71" s="67">
        <v>0.0</v>
      </c>
      <c r="J71" s="67">
        <v>0.0</v>
      </c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20"/>
      <c r="X71" s="20"/>
      <c r="Y71" s="2"/>
      <c r="Z71" s="2"/>
    </row>
    <row r="72" ht="15.75" customHeight="1">
      <c r="A72" s="34"/>
      <c r="B72" s="63" t="s">
        <v>124</v>
      </c>
      <c r="C72" s="50" t="s">
        <v>118</v>
      </c>
      <c r="D72" s="64">
        <v>500.0</v>
      </c>
      <c r="E72" s="65">
        <f>D72*10</f>
        <v>5000</v>
      </c>
      <c r="F72" s="69" t="s">
        <v>37</v>
      </c>
      <c r="G72" s="60" t="s">
        <v>63</v>
      </c>
      <c r="H72" s="70">
        <v>10.0</v>
      </c>
      <c r="I72" s="67">
        <v>0.0</v>
      </c>
      <c r="J72" s="67">
        <v>0.0</v>
      </c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20"/>
      <c r="X72" s="20"/>
      <c r="Y72" s="2"/>
      <c r="Z72" s="2"/>
    </row>
    <row r="73" ht="15.75" customHeight="1">
      <c r="A73" s="34"/>
      <c r="B73" s="63" t="s">
        <v>125</v>
      </c>
      <c r="C73" s="50" t="s">
        <v>43</v>
      </c>
      <c r="D73" s="64">
        <v>1500.0</v>
      </c>
      <c r="E73" s="65">
        <f>D73*25</f>
        <v>37500</v>
      </c>
      <c r="F73" s="69" t="s">
        <v>37</v>
      </c>
      <c r="G73" s="60" t="s">
        <v>63</v>
      </c>
      <c r="H73" s="70">
        <v>25.0</v>
      </c>
      <c r="I73" s="67">
        <v>0.0</v>
      </c>
      <c r="J73" s="67">
        <v>0.0</v>
      </c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20"/>
      <c r="X73" s="20"/>
      <c r="Y73" s="2"/>
      <c r="Z73" s="2"/>
    </row>
    <row r="74" ht="15.75" customHeight="1">
      <c r="A74" s="34"/>
      <c r="B74" s="35" t="s">
        <v>126</v>
      </c>
      <c r="C74" s="77" t="s">
        <v>127</v>
      </c>
      <c r="D74" s="37">
        <v>5000.0</v>
      </c>
      <c r="E74" s="45">
        <f>D74*10</f>
        <v>50000</v>
      </c>
      <c r="F74" s="39" t="s">
        <v>37</v>
      </c>
      <c r="G74" s="60" t="s">
        <v>63</v>
      </c>
      <c r="H74" s="40">
        <v>0.0</v>
      </c>
      <c r="I74" s="78">
        <v>10.0</v>
      </c>
      <c r="J74" s="40">
        <v>0.0</v>
      </c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79"/>
      <c r="V74" s="44"/>
      <c r="W74" s="20"/>
      <c r="X74" s="20"/>
    </row>
    <row r="75" ht="15.75" customHeight="1">
      <c r="A75" s="43"/>
      <c r="B75" s="80" t="s">
        <v>128</v>
      </c>
      <c r="C75" s="81"/>
      <c r="D75" s="82"/>
      <c r="E75" s="83"/>
      <c r="F75" s="84"/>
      <c r="G75" s="85"/>
      <c r="H75" s="81"/>
      <c r="I75" s="81"/>
      <c r="J75" s="81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6"/>
      <c r="X75" s="86"/>
      <c r="Y75" s="86"/>
      <c r="Z75" s="86"/>
    </row>
    <row r="76" ht="15.75" customHeight="1">
      <c r="A76" s="34"/>
      <c r="B76" s="35" t="s">
        <v>129</v>
      </c>
      <c r="C76" s="36" t="s">
        <v>130</v>
      </c>
      <c r="D76" s="37">
        <v>7000.0</v>
      </c>
      <c r="E76" s="45">
        <f>D76*30</f>
        <v>210000</v>
      </c>
      <c r="F76" s="59" t="s">
        <v>37</v>
      </c>
      <c r="G76" s="40" t="s">
        <v>44</v>
      </c>
      <c r="H76" s="60">
        <v>0.0</v>
      </c>
      <c r="I76" s="87">
        <v>30.0</v>
      </c>
      <c r="J76" s="60">
        <v>0.0</v>
      </c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20"/>
      <c r="X76" s="20"/>
      <c r="Y76" s="2"/>
      <c r="Z76" s="2"/>
    </row>
    <row r="77" ht="15.75" customHeight="1">
      <c r="A77" s="34"/>
      <c r="B77" s="63" t="s">
        <v>131</v>
      </c>
      <c r="C77" s="50" t="s">
        <v>132</v>
      </c>
      <c r="D77" s="64">
        <v>50000.0</v>
      </c>
      <c r="E77" s="65">
        <f>50000*1</f>
        <v>50000</v>
      </c>
      <c r="F77" s="69" t="s">
        <v>37</v>
      </c>
      <c r="G77" s="40" t="s">
        <v>44</v>
      </c>
      <c r="H77" s="67">
        <v>0.0</v>
      </c>
      <c r="I77" s="88">
        <v>1.0</v>
      </c>
      <c r="J77" s="67">
        <v>0.0</v>
      </c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20"/>
      <c r="X77" s="20"/>
      <c r="Y77" s="2"/>
      <c r="Z77" s="2"/>
    </row>
    <row r="78" ht="15.75" customHeight="1">
      <c r="A78" s="34"/>
      <c r="B78" s="63" t="s">
        <v>133</v>
      </c>
      <c r="C78" s="50" t="s">
        <v>34</v>
      </c>
      <c r="D78" s="64">
        <v>50000.0</v>
      </c>
      <c r="E78" s="65">
        <f>50000*4</f>
        <v>200000</v>
      </c>
      <c r="F78" s="69" t="s">
        <v>37</v>
      </c>
      <c r="G78" s="40" t="s">
        <v>44</v>
      </c>
      <c r="H78" s="89">
        <v>4.0</v>
      </c>
      <c r="I78" s="90">
        <v>0.0</v>
      </c>
      <c r="J78" s="67">
        <v>0.0</v>
      </c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20"/>
      <c r="X78" s="20"/>
      <c r="Y78" s="2"/>
      <c r="Z78" s="2"/>
    </row>
    <row r="79" ht="15.75" customHeight="1">
      <c r="A79" s="34"/>
      <c r="B79" s="63" t="s">
        <v>134</v>
      </c>
      <c r="C79" s="50" t="s">
        <v>116</v>
      </c>
      <c r="D79" s="64">
        <v>6000.0</v>
      </c>
      <c r="E79" s="65">
        <f>6000*5</f>
        <v>30000</v>
      </c>
      <c r="F79" s="69" t="s">
        <v>37</v>
      </c>
      <c r="G79" s="40" t="s">
        <v>44</v>
      </c>
      <c r="H79" s="67">
        <v>0.0</v>
      </c>
      <c r="I79" s="91">
        <v>5.0</v>
      </c>
      <c r="J79" s="67">
        <v>0.0</v>
      </c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20"/>
      <c r="X79" s="20"/>
      <c r="Y79" s="2"/>
      <c r="Z79" s="2"/>
    </row>
    <row r="80" ht="15.75" customHeight="1">
      <c r="A80" s="34"/>
      <c r="B80" s="63" t="s">
        <v>135</v>
      </c>
      <c r="C80" s="50" t="s">
        <v>118</v>
      </c>
      <c r="D80" s="64">
        <v>1000.0</v>
      </c>
      <c r="E80" s="65">
        <f>D80*10</f>
        <v>10000</v>
      </c>
      <c r="F80" s="69" t="s">
        <v>37</v>
      </c>
      <c r="G80" s="40" t="s">
        <v>44</v>
      </c>
      <c r="H80" s="67">
        <v>0.0</v>
      </c>
      <c r="I80" s="91">
        <v>10.0</v>
      </c>
      <c r="J80" s="67">
        <v>0.0</v>
      </c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20"/>
      <c r="X80" s="20"/>
      <c r="Y80" s="2"/>
      <c r="Z80" s="2"/>
    </row>
    <row r="81" ht="15.75" customHeight="1">
      <c r="A81" s="34"/>
      <c r="B81" s="63" t="s">
        <v>136</v>
      </c>
      <c r="C81" s="50" t="s">
        <v>49</v>
      </c>
      <c r="D81" s="64">
        <v>700.0</v>
      </c>
      <c r="E81" s="65">
        <f>D81*25</f>
        <v>17500</v>
      </c>
      <c r="F81" s="69" t="s">
        <v>37</v>
      </c>
      <c r="G81" s="40" t="s">
        <v>44</v>
      </c>
      <c r="H81" s="67">
        <v>0.0</v>
      </c>
      <c r="I81" s="91">
        <v>25.0</v>
      </c>
      <c r="J81" s="67">
        <v>0.0</v>
      </c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20"/>
      <c r="X81" s="20"/>
      <c r="Y81" s="2"/>
      <c r="Z81" s="2"/>
    </row>
    <row r="82" ht="15.75" customHeight="1">
      <c r="A82" s="34"/>
      <c r="B82" s="35" t="s">
        <v>137</v>
      </c>
      <c r="C82" s="36" t="s">
        <v>138</v>
      </c>
      <c r="D82" s="37">
        <v>700.0</v>
      </c>
      <c r="E82" s="45">
        <f>D82*15</f>
        <v>10500</v>
      </c>
      <c r="F82" s="59" t="s">
        <v>37</v>
      </c>
      <c r="G82" s="40" t="s">
        <v>44</v>
      </c>
      <c r="H82" s="60">
        <v>0.0</v>
      </c>
      <c r="I82" s="92">
        <v>15.0</v>
      </c>
      <c r="J82" s="60">
        <v>0.0</v>
      </c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20"/>
      <c r="X82" s="20"/>
      <c r="Y82" s="2"/>
      <c r="Z82" s="2"/>
    </row>
    <row r="83" ht="15.75" customHeight="1">
      <c r="A83" s="34"/>
      <c r="B83" s="35" t="s">
        <v>139</v>
      </c>
      <c r="C83" s="36" t="s">
        <v>118</v>
      </c>
      <c r="D83" s="37">
        <v>1000.0</v>
      </c>
      <c r="E83" s="45">
        <f>D83*10</f>
        <v>10000</v>
      </c>
      <c r="F83" s="59" t="s">
        <v>37</v>
      </c>
      <c r="G83" s="40" t="s">
        <v>44</v>
      </c>
      <c r="H83" s="60">
        <v>0.0</v>
      </c>
      <c r="I83" s="92">
        <v>10.0</v>
      </c>
      <c r="J83" s="60">
        <v>0.0</v>
      </c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20"/>
      <c r="X83" s="20"/>
      <c r="Y83" s="2"/>
      <c r="Z83" s="2"/>
    </row>
    <row r="84" ht="15.75" customHeight="1">
      <c r="A84" s="34"/>
      <c r="B84" s="35" t="s">
        <v>140</v>
      </c>
      <c r="C84" s="36" t="s">
        <v>51</v>
      </c>
      <c r="D84" s="37">
        <v>700.0</v>
      </c>
      <c r="E84" s="45">
        <f t="shared" ref="E84:E86" si="11">D84*5</f>
        <v>3500</v>
      </c>
      <c r="F84" s="59" t="s">
        <v>37</v>
      </c>
      <c r="G84" s="40" t="s">
        <v>44</v>
      </c>
      <c r="H84" s="60">
        <v>0.0</v>
      </c>
      <c r="I84" s="92">
        <v>5.0</v>
      </c>
      <c r="J84" s="60">
        <v>0.0</v>
      </c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20"/>
      <c r="X84" s="20"/>
      <c r="Y84" s="2"/>
      <c r="Z84" s="2"/>
    </row>
    <row r="85" ht="15.75" customHeight="1">
      <c r="A85" s="34"/>
      <c r="B85" s="35" t="s">
        <v>141</v>
      </c>
      <c r="C85" s="36" t="s">
        <v>108</v>
      </c>
      <c r="D85" s="37">
        <v>1500.0</v>
      </c>
      <c r="E85" s="45">
        <f t="shared" si="11"/>
        <v>7500</v>
      </c>
      <c r="F85" s="59" t="s">
        <v>37</v>
      </c>
      <c r="G85" s="40" t="s">
        <v>44</v>
      </c>
      <c r="H85" s="60">
        <v>0.0</v>
      </c>
      <c r="I85" s="92">
        <v>5.0</v>
      </c>
      <c r="J85" s="60">
        <v>0.0</v>
      </c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20"/>
      <c r="X85" s="20"/>
      <c r="Y85" s="2"/>
      <c r="Z85" s="2"/>
    </row>
    <row r="86" ht="15.75" customHeight="1">
      <c r="A86" s="34"/>
      <c r="B86" s="35" t="s">
        <v>142</v>
      </c>
      <c r="C86" s="36" t="s">
        <v>143</v>
      </c>
      <c r="D86" s="37">
        <v>500.0</v>
      </c>
      <c r="E86" s="45">
        <f t="shared" si="11"/>
        <v>2500</v>
      </c>
      <c r="F86" s="59" t="s">
        <v>37</v>
      </c>
      <c r="G86" s="40" t="s">
        <v>44</v>
      </c>
      <c r="H86" s="60">
        <v>0.0</v>
      </c>
      <c r="I86" s="92">
        <v>25.0</v>
      </c>
      <c r="J86" s="60">
        <v>0.0</v>
      </c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20"/>
      <c r="X86" s="20"/>
      <c r="Y86" s="2"/>
      <c r="Z86" s="2"/>
    </row>
    <row r="87" ht="15.75" customHeight="1">
      <c r="A87" s="34"/>
      <c r="B87" s="35" t="s">
        <v>144</v>
      </c>
      <c r="C87" s="36" t="s">
        <v>145</v>
      </c>
      <c r="D87" s="37">
        <v>200.0</v>
      </c>
      <c r="E87" s="45">
        <f>D87*50</f>
        <v>10000</v>
      </c>
      <c r="F87" s="59" t="s">
        <v>37</v>
      </c>
      <c r="G87" s="40" t="s">
        <v>44</v>
      </c>
      <c r="H87" s="60">
        <v>0.0</v>
      </c>
      <c r="I87" s="92">
        <v>50.0</v>
      </c>
      <c r="J87" s="60">
        <v>0.0</v>
      </c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20"/>
      <c r="X87" s="20"/>
      <c r="Y87" s="2"/>
      <c r="Z87" s="2"/>
    </row>
    <row r="88" ht="15.75" customHeight="1">
      <c r="A88" s="34"/>
      <c r="B88" s="35" t="s">
        <v>146</v>
      </c>
      <c r="C88" s="36" t="s">
        <v>147</v>
      </c>
      <c r="D88" s="37">
        <v>6500.0</v>
      </c>
      <c r="E88" s="45">
        <f>D88*5</f>
        <v>32500</v>
      </c>
      <c r="F88" s="59" t="s">
        <v>37</v>
      </c>
      <c r="G88" s="40" t="s">
        <v>44</v>
      </c>
      <c r="H88" s="60">
        <v>0.0</v>
      </c>
      <c r="I88" s="92">
        <v>5.0</v>
      </c>
      <c r="J88" s="60">
        <v>0.0</v>
      </c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20"/>
      <c r="X88" s="20"/>
      <c r="Y88" s="2"/>
      <c r="Z88" s="2"/>
    </row>
    <row r="89" ht="15.75" customHeight="1">
      <c r="A89" s="34"/>
      <c r="B89" s="35" t="s">
        <v>148</v>
      </c>
      <c r="C89" s="36" t="s">
        <v>138</v>
      </c>
      <c r="D89" s="37">
        <v>1000.0</v>
      </c>
      <c r="E89" s="45">
        <f>D89*15</f>
        <v>15000</v>
      </c>
      <c r="F89" s="59" t="s">
        <v>37</v>
      </c>
      <c r="G89" s="40" t="s">
        <v>44</v>
      </c>
      <c r="H89" s="60">
        <v>0.0</v>
      </c>
      <c r="I89" s="92">
        <v>15.0</v>
      </c>
      <c r="J89" s="60">
        <v>0.0</v>
      </c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20"/>
      <c r="X89" s="20"/>
      <c r="Y89" s="2"/>
      <c r="Z89" s="2"/>
    </row>
    <row r="90" ht="15.75" customHeight="1">
      <c r="A90" s="34"/>
      <c r="B90" s="72" t="s">
        <v>149</v>
      </c>
      <c r="C90" s="93" t="s">
        <v>150</v>
      </c>
      <c r="D90" s="73">
        <v>980.0</v>
      </c>
      <c r="E90" s="74">
        <f t="shared" ref="E90:E93" si="12">D90*100</f>
        <v>98000</v>
      </c>
      <c r="F90" s="75" t="s">
        <v>37</v>
      </c>
      <c r="G90" s="40" t="s">
        <v>44</v>
      </c>
      <c r="H90" s="94">
        <v>100.0</v>
      </c>
      <c r="I90" s="95">
        <v>0.0</v>
      </c>
      <c r="J90" s="95">
        <v>0.0</v>
      </c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20"/>
      <c r="X90" s="20"/>
      <c r="Y90" s="2"/>
      <c r="Z90" s="2"/>
    </row>
    <row r="91" ht="15.75" customHeight="1">
      <c r="A91" s="34"/>
      <c r="B91" s="72" t="s">
        <v>151</v>
      </c>
      <c r="C91" s="93" t="s">
        <v>150</v>
      </c>
      <c r="D91" s="73">
        <v>980.0</v>
      </c>
      <c r="E91" s="74">
        <f t="shared" si="12"/>
        <v>98000</v>
      </c>
      <c r="F91" s="75" t="s">
        <v>37</v>
      </c>
      <c r="G91" s="40" t="s">
        <v>44</v>
      </c>
      <c r="H91" s="94">
        <v>100.0</v>
      </c>
      <c r="I91" s="95">
        <v>0.0</v>
      </c>
      <c r="J91" s="95">
        <v>0.0</v>
      </c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20"/>
      <c r="X91" s="20"/>
      <c r="Y91" s="2"/>
      <c r="Z91" s="2"/>
    </row>
    <row r="92" ht="15.75" customHeight="1">
      <c r="A92" s="34"/>
      <c r="B92" s="72" t="s">
        <v>152</v>
      </c>
      <c r="C92" s="93" t="s">
        <v>150</v>
      </c>
      <c r="D92" s="73">
        <v>980.0</v>
      </c>
      <c r="E92" s="74">
        <f t="shared" si="12"/>
        <v>98000</v>
      </c>
      <c r="F92" s="75" t="s">
        <v>37</v>
      </c>
      <c r="G92" s="40" t="s">
        <v>44</v>
      </c>
      <c r="H92" s="94">
        <v>100.0</v>
      </c>
      <c r="I92" s="95">
        <v>0.0</v>
      </c>
      <c r="J92" s="95">
        <v>0.0</v>
      </c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20"/>
      <c r="X92" s="20"/>
      <c r="Y92" s="2"/>
      <c r="Z92" s="2"/>
    </row>
    <row r="93" ht="15.75" customHeight="1">
      <c r="A93" s="34"/>
      <c r="B93" s="72" t="s">
        <v>153</v>
      </c>
      <c r="C93" s="93" t="s">
        <v>150</v>
      </c>
      <c r="D93" s="73">
        <v>980.0</v>
      </c>
      <c r="E93" s="74">
        <f t="shared" si="12"/>
        <v>98000</v>
      </c>
      <c r="F93" s="75" t="s">
        <v>37</v>
      </c>
      <c r="G93" s="40" t="s">
        <v>44</v>
      </c>
      <c r="H93" s="94">
        <v>100.0</v>
      </c>
      <c r="I93" s="95">
        <v>0.0</v>
      </c>
      <c r="J93" s="95">
        <v>0.0</v>
      </c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20"/>
      <c r="X93" s="20"/>
      <c r="Y93" s="2"/>
      <c r="Z93" s="2"/>
    </row>
    <row r="94" ht="15.75" customHeight="1">
      <c r="A94" s="34"/>
      <c r="B94" s="72" t="s">
        <v>154</v>
      </c>
      <c r="C94" s="93" t="s">
        <v>155</v>
      </c>
      <c r="D94" s="73">
        <v>8000.0</v>
      </c>
      <c r="E94" s="74">
        <f>8000*7</f>
        <v>56000</v>
      </c>
      <c r="F94" s="75" t="s">
        <v>37</v>
      </c>
      <c r="G94" s="40" t="s">
        <v>44</v>
      </c>
      <c r="H94" s="96">
        <v>7.0</v>
      </c>
      <c r="I94" s="95">
        <v>0.0</v>
      </c>
      <c r="J94" s="95">
        <v>0.0</v>
      </c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20"/>
      <c r="X94" s="20"/>
      <c r="Y94" s="2"/>
      <c r="Z94" s="2"/>
    </row>
    <row r="95" ht="15.75" customHeight="1">
      <c r="A95" s="34"/>
      <c r="B95" s="72" t="s">
        <v>156</v>
      </c>
      <c r="C95" s="93" t="s">
        <v>36</v>
      </c>
      <c r="D95" s="73">
        <v>5000.0</v>
      </c>
      <c r="E95" s="97">
        <v>5000.0</v>
      </c>
      <c r="F95" s="75" t="s">
        <v>37</v>
      </c>
      <c r="G95" s="40" t="s">
        <v>44</v>
      </c>
      <c r="H95" s="98">
        <v>1.0</v>
      </c>
      <c r="I95" s="95">
        <v>0.0</v>
      </c>
      <c r="J95" s="95">
        <v>0.0</v>
      </c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20"/>
      <c r="X95" s="20"/>
      <c r="Y95" s="2"/>
      <c r="Z95" s="2"/>
    </row>
    <row r="96" ht="15.75" customHeight="1">
      <c r="A96" s="34"/>
      <c r="B96" s="72" t="s">
        <v>157</v>
      </c>
      <c r="C96" s="93" t="s">
        <v>158</v>
      </c>
      <c r="D96" s="73">
        <v>15000.0</v>
      </c>
      <c r="E96" s="74">
        <f>15000*10</f>
        <v>150000</v>
      </c>
      <c r="F96" s="75" t="s">
        <v>37</v>
      </c>
      <c r="G96" s="40" t="s">
        <v>44</v>
      </c>
      <c r="H96" s="99">
        <v>2.0</v>
      </c>
      <c r="I96" s="100">
        <v>4.0</v>
      </c>
      <c r="J96" s="101">
        <v>4.0</v>
      </c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20"/>
      <c r="X96" s="20"/>
      <c r="Y96" s="2"/>
      <c r="Z96" s="2"/>
    </row>
    <row r="97" ht="15.75" customHeight="1">
      <c r="A97" s="34"/>
      <c r="B97" s="102" t="s">
        <v>159</v>
      </c>
      <c r="C97" s="55"/>
      <c r="D97" s="56"/>
      <c r="E97" s="55"/>
      <c r="F97" s="57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20"/>
      <c r="X97" s="20"/>
      <c r="Y97" s="2"/>
      <c r="Z97" s="2"/>
    </row>
    <row r="98" ht="15.75" customHeight="1">
      <c r="A98" s="34"/>
      <c r="B98" s="35" t="s">
        <v>160</v>
      </c>
      <c r="C98" s="36" t="s">
        <v>147</v>
      </c>
      <c r="D98" s="37">
        <v>10000.0</v>
      </c>
      <c r="E98" s="45">
        <f>D98*5</f>
        <v>50000</v>
      </c>
      <c r="F98" s="59" t="s">
        <v>37</v>
      </c>
      <c r="G98" s="59" t="s">
        <v>161</v>
      </c>
      <c r="H98" s="60">
        <v>0.0</v>
      </c>
      <c r="I98" s="103">
        <v>5.0</v>
      </c>
      <c r="J98" s="60">
        <v>0.0</v>
      </c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20"/>
      <c r="X98" s="20"/>
      <c r="Y98" s="2"/>
      <c r="Z98" s="2"/>
    </row>
    <row r="99" ht="15.75" customHeight="1">
      <c r="A99" s="34"/>
      <c r="B99" s="63" t="s">
        <v>162</v>
      </c>
      <c r="C99" s="50" t="s">
        <v>163</v>
      </c>
      <c r="D99" s="64">
        <f>2500</f>
        <v>2500</v>
      </c>
      <c r="E99" s="65">
        <f>2500*125</f>
        <v>312500</v>
      </c>
      <c r="F99" s="69" t="s">
        <v>37</v>
      </c>
      <c r="G99" s="59" t="s">
        <v>161</v>
      </c>
      <c r="H99" s="104">
        <v>125.0</v>
      </c>
      <c r="I99" s="60">
        <v>0.0</v>
      </c>
      <c r="J99" s="60">
        <v>0.0</v>
      </c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20"/>
      <c r="X99" s="20"/>
      <c r="Y99" s="2"/>
      <c r="Z99" s="2"/>
    </row>
    <row r="100" ht="15.75" customHeight="1">
      <c r="A100" s="34"/>
      <c r="B100" s="63" t="s">
        <v>164</v>
      </c>
      <c r="C100" s="50" t="s">
        <v>158</v>
      </c>
      <c r="D100" s="64">
        <v>1500.0</v>
      </c>
      <c r="E100" s="65">
        <f>1500*10</f>
        <v>15000</v>
      </c>
      <c r="F100" s="69" t="s">
        <v>37</v>
      </c>
      <c r="G100" s="59" t="s">
        <v>161</v>
      </c>
      <c r="H100" s="105">
        <v>2.0</v>
      </c>
      <c r="I100" s="106">
        <v>4.0</v>
      </c>
      <c r="J100" s="107">
        <v>4.0</v>
      </c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20"/>
      <c r="X100" s="20"/>
      <c r="Y100" s="2"/>
      <c r="Z100" s="2"/>
    </row>
    <row r="101" ht="15.75" customHeight="1">
      <c r="A101" s="34"/>
      <c r="B101" s="108" t="s">
        <v>165</v>
      </c>
      <c r="C101" s="109"/>
      <c r="D101" s="110"/>
      <c r="E101" s="109"/>
      <c r="F101" s="111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20"/>
      <c r="X101" s="20"/>
      <c r="Y101" s="2"/>
      <c r="Z101" s="2"/>
    </row>
    <row r="102" ht="15.75" customHeight="1">
      <c r="A102" s="112"/>
      <c r="B102" s="113" t="s">
        <v>165</v>
      </c>
      <c r="C102" s="114" t="s">
        <v>158</v>
      </c>
      <c r="D102" s="115">
        <v>2000.0</v>
      </c>
      <c r="E102" s="116">
        <f>2000*10</f>
        <v>20000</v>
      </c>
      <c r="F102" s="117" t="s">
        <v>37</v>
      </c>
      <c r="G102" s="59" t="s">
        <v>161</v>
      </c>
      <c r="H102" s="118">
        <v>2.0</v>
      </c>
      <c r="I102" s="119">
        <v>4.0</v>
      </c>
      <c r="J102" s="120">
        <v>4.0</v>
      </c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20"/>
      <c r="X102" s="20"/>
      <c r="Y102" s="2"/>
      <c r="Z102" s="2"/>
    </row>
    <row r="103" ht="15.75" customHeight="1">
      <c r="A103" s="121"/>
      <c r="B103" s="102" t="s">
        <v>166</v>
      </c>
      <c r="C103" s="55"/>
      <c r="D103" s="56"/>
      <c r="E103" s="55"/>
      <c r="F103" s="57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20"/>
      <c r="X103" s="20"/>
      <c r="Y103" s="2"/>
      <c r="Z103" s="2"/>
    </row>
    <row r="104" ht="15.75" customHeight="1">
      <c r="A104" s="112"/>
      <c r="B104" s="113" t="s">
        <v>166</v>
      </c>
      <c r="C104" s="114" t="s">
        <v>167</v>
      </c>
      <c r="D104" s="115">
        <v>500000.0</v>
      </c>
      <c r="E104" s="116">
        <f>D104*3</f>
        <v>1500000</v>
      </c>
      <c r="F104" s="117" t="s">
        <v>37</v>
      </c>
      <c r="G104" s="59" t="s">
        <v>161</v>
      </c>
      <c r="H104" s="122">
        <v>0.0</v>
      </c>
      <c r="I104" s="123">
        <v>1.0</v>
      </c>
      <c r="J104" s="124">
        <v>1.0</v>
      </c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20"/>
      <c r="X104" s="20"/>
      <c r="Y104" s="2"/>
      <c r="Z104" s="2"/>
    </row>
    <row r="105" ht="15.75" customHeight="1">
      <c r="A105" s="34"/>
      <c r="B105" s="54" t="s">
        <v>168</v>
      </c>
      <c r="C105" s="55"/>
      <c r="D105" s="56"/>
      <c r="E105" s="55"/>
      <c r="F105" s="57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20"/>
      <c r="X105" s="20"/>
      <c r="Y105" s="2"/>
      <c r="Z105" s="2"/>
    </row>
    <row r="106" ht="15.75" customHeight="1">
      <c r="A106" s="34"/>
      <c r="B106" s="125" t="s">
        <v>169</v>
      </c>
      <c r="C106" s="36" t="s">
        <v>36</v>
      </c>
      <c r="D106" s="58">
        <v>200000.0</v>
      </c>
      <c r="E106" s="58">
        <v>200000.0</v>
      </c>
      <c r="F106" s="59" t="s">
        <v>37</v>
      </c>
      <c r="G106" s="60" t="s">
        <v>63</v>
      </c>
      <c r="H106" s="126">
        <v>1.0</v>
      </c>
      <c r="I106" s="60">
        <v>0.0</v>
      </c>
      <c r="J106" s="60">
        <v>0.0</v>
      </c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20"/>
      <c r="X106" s="20"/>
    </row>
    <row r="107" ht="15.75" customHeight="1">
      <c r="A107" s="34"/>
      <c r="B107" s="125" t="s">
        <v>170</v>
      </c>
      <c r="C107" s="127" t="s">
        <v>36</v>
      </c>
      <c r="D107" s="58">
        <v>200000.0</v>
      </c>
      <c r="E107" s="58">
        <v>200000.0</v>
      </c>
      <c r="F107" s="59" t="s">
        <v>37</v>
      </c>
      <c r="G107" s="60" t="s">
        <v>63</v>
      </c>
      <c r="H107" s="128">
        <v>0.0</v>
      </c>
      <c r="I107" s="129">
        <v>1.0</v>
      </c>
      <c r="J107" s="60">
        <v>0.0</v>
      </c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20"/>
      <c r="X107" s="20"/>
    </row>
    <row r="108" ht="15.75" customHeight="1">
      <c r="A108" s="34"/>
      <c r="B108" s="125" t="s">
        <v>171</v>
      </c>
      <c r="C108" s="36" t="s">
        <v>36</v>
      </c>
      <c r="D108" s="58">
        <v>200000.0</v>
      </c>
      <c r="E108" s="58">
        <v>200000.0</v>
      </c>
      <c r="F108" s="59" t="s">
        <v>37</v>
      </c>
      <c r="G108" s="60" t="s">
        <v>63</v>
      </c>
      <c r="H108" s="130">
        <v>1.0</v>
      </c>
      <c r="I108" s="60">
        <v>0.0</v>
      </c>
      <c r="J108" s="60">
        <v>0.0</v>
      </c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20"/>
      <c r="X108" s="20"/>
    </row>
    <row r="109" ht="15.75" customHeight="1">
      <c r="A109" s="34"/>
      <c r="B109" s="125" t="s">
        <v>172</v>
      </c>
      <c r="C109" s="127" t="s">
        <v>36</v>
      </c>
      <c r="D109" s="58">
        <v>2000000.0</v>
      </c>
      <c r="E109" s="58">
        <v>2000000.0</v>
      </c>
      <c r="F109" s="59" t="s">
        <v>37</v>
      </c>
      <c r="G109" s="60" t="s">
        <v>63</v>
      </c>
      <c r="H109" s="131">
        <v>1.0</v>
      </c>
      <c r="I109" s="60">
        <v>0.0</v>
      </c>
      <c r="J109" s="60">
        <v>0.0</v>
      </c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20"/>
      <c r="X109" s="20"/>
      <c r="Y109" s="2"/>
      <c r="Z109" s="2"/>
    </row>
    <row r="110" ht="15.75" customHeight="1">
      <c r="A110" s="34"/>
      <c r="B110" s="125" t="s">
        <v>173</v>
      </c>
      <c r="C110" s="127" t="s">
        <v>36</v>
      </c>
      <c r="D110" s="58">
        <v>250000.0</v>
      </c>
      <c r="E110" s="58">
        <v>250000.0</v>
      </c>
      <c r="F110" s="59" t="s">
        <v>37</v>
      </c>
      <c r="G110" s="60" t="s">
        <v>63</v>
      </c>
      <c r="H110" s="132">
        <v>1.0</v>
      </c>
      <c r="I110" s="60">
        <v>0.0</v>
      </c>
      <c r="J110" s="60">
        <v>0.0</v>
      </c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20"/>
      <c r="X110" s="20"/>
      <c r="Y110" s="2"/>
      <c r="Z110" s="2"/>
    </row>
    <row r="111" ht="15.75" customHeight="1">
      <c r="A111" s="121"/>
      <c r="B111" s="125" t="s">
        <v>174</v>
      </c>
      <c r="C111" s="127" t="s">
        <v>36</v>
      </c>
      <c r="D111" s="58">
        <v>250000.0</v>
      </c>
      <c r="E111" s="58">
        <v>250000.0</v>
      </c>
      <c r="F111" s="59" t="s">
        <v>37</v>
      </c>
      <c r="G111" s="60" t="s">
        <v>63</v>
      </c>
      <c r="H111" s="133">
        <v>1.0</v>
      </c>
      <c r="I111" s="60">
        <v>0.0</v>
      </c>
      <c r="J111" s="60">
        <v>0.0</v>
      </c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20"/>
      <c r="X111" s="20"/>
      <c r="Y111" s="2"/>
      <c r="Z111" s="2"/>
    </row>
    <row r="112" ht="15.75" hidden="1" customHeight="1">
      <c r="A112" s="134"/>
      <c r="B112" s="125"/>
      <c r="C112" s="135"/>
      <c r="D112" s="116"/>
      <c r="E112" s="136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20"/>
      <c r="X112" s="20"/>
    </row>
    <row r="113" ht="15.75" hidden="1" customHeight="1">
      <c r="A113" s="137"/>
      <c r="B113" s="125"/>
      <c r="C113" s="127"/>
      <c r="D113" s="58"/>
      <c r="E113" s="45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20"/>
      <c r="X113" s="20"/>
    </row>
    <row r="114" ht="15.75" hidden="1" customHeight="1">
      <c r="A114" s="137"/>
      <c r="B114" s="125"/>
      <c r="C114" s="127"/>
      <c r="D114" s="58"/>
      <c r="E114" s="45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20"/>
      <c r="X114" s="20"/>
    </row>
    <row r="115" ht="15.75" hidden="1" customHeight="1">
      <c r="A115" s="137"/>
      <c r="B115" s="125"/>
      <c r="C115" s="127"/>
      <c r="D115" s="58"/>
      <c r="E115" s="45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20"/>
      <c r="X115" s="20"/>
    </row>
    <row r="116" ht="15.75" hidden="1" customHeight="1">
      <c r="A116" s="137"/>
      <c r="B116" s="125"/>
      <c r="C116" s="127"/>
      <c r="D116" s="58"/>
      <c r="E116" s="45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20"/>
      <c r="X116" s="20"/>
    </row>
    <row r="117" ht="15.75" hidden="1" customHeight="1">
      <c r="A117" s="137"/>
      <c r="B117" s="125"/>
      <c r="C117" s="127"/>
      <c r="D117" s="58"/>
      <c r="E117" s="45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20"/>
      <c r="X117" s="20"/>
    </row>
    <row r="118" ht="15.75" hidden="1" customHeight="1">
      <c r="A118" s="138"/>
      <c r="B118" s="139"/>
      <c r="C118" s="140"/>
      <c r="D118" s="141"/>
      <c r="E118" s="142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20"/>
      <c r="X118" s="20"/>
    </row>
    <row r="119" ht="15.75" hidden="1" customHeight="1">
      <c r="A119" s="137"/>
      <c r="B119" s="54" t="s">
        <v>175</v>
      </c>
      <c r="C119" s="55"/>
      <c r="D119" s="56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20"/>
      <c r="X119" s="20"/>
    </row>
    <row r="120" ht="15.75" hidden="1" customHeight="1">
      <c r="A120" s="137"/>
      <c r="B120" s="125"/>
      <c r="C120" s="127"/>
      <c r="D120" s="58"/>
      <c r="E120" s="45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20"/>
      <c r="X120" s="20"/>
    </row>
    <row r="121" ht="15.75" hidden="1" customHeight="1">
      <c r="A121" s="137"/>
      <c r="B121" s="125"/>
      <c r="C121" s="127"/>
      <c r="D121" s="58"/>
      <c r="E121" s="45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20"/>
      <c r="X121" s="20"/>
    </row>
    <row r="122" ht="15.75" hidden="1" customHeight="1">
      <c r="A122" s="137"/>
      <c r="B122" s="125"/>
      <c r="C122" s="127"/>
      <c r="D122" s="58"/>
      <c r="E122" s="45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20"/>
      <c r="X122" s="20"/>
    </row>
    <row r="123" ht="15.75" hidden="1" customHeight="1">
      <c r="A123" s="137"/>
      <c r="B123" s="125"/>
      <c r="C123" s="127"/>
      <c r="D123" s="58"/>
      <c r="E123" s="45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20"/>
      <c r="X123" s="20"/>
    </row>
    <row r="124" ht="15.75" hidden="1" customHeight="1">
      <c r="A124" s="137"/>
      <c r="B124" s="54" t="s">
        <v>176</v>
      </c>
      <c r="C124" s="55"/>
      <c r="D124" s="56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20"/>
      <c r="X124" s="20"/>
    </row>
    <row r="125" ht="15.75" hidden="1" customHeight="1">
      <c r="A125" s="137"/>
      <c r="B125" s="125"/>
      <c r="C125" s="127"/>
      <c r="D125" s="58"/>
      <c r="E125" s="45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20"/>
      <c r="X125" s="20"/>
    </row>
    <row r="126" ht="15.75" hidden="1" customHeight="1">
      <c r="A126" s="137"/>
      <c r="B126" s="125"/>
      <c r="C126" s="127"/>
      <c r="D126" s="58"/>
      <c r="E126" s="45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20"/>
      <c r="X126" s="20"/>
    </row>
    <row r="127" ht="15.75" hidden="1" customHeight="1">
      <c r="A127" s="137"/>
      <c r="B127" s="143"/>
      <c r="C127" s="127"/>
      <c r="D127" s="58"/>
      <c r="E127" s="45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20"/>
      <c r="X127" s="20"/>
    </row>
    <row r="128" ht="15.75" customHeight="1">
      <c r="A128" s="144"/>
      <c r="B128" s="145"/>
      <c r="C128" s="146"/>
      <c r="D128" s="146"/>
      <c r="E128" s="146"/>
      <c r="F128" s="146"/>
      <c r="G128" s="146"/>
      <c r="H128" s="146"/>
      <c r="I128" s="146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20"/>
      <c r="X128" s="20"/>
      <c r="Y128" s="2"/>
      <c r="Z128" s="2"/>
    </row>
    <row r="129" ht="15.75" customHeight="1">
      <c r="A129" s="148"/>
      <c r="B129" s="149"/>
      <c r="C129" s="6"/>
      <c r="D129" s="7"/>
      <c r="E129" s="150"/>
      <c r="F129" s="10"/>
      <c r="G129" s="10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"/>
      <c r="X129" s="2"/>
    </row>
    <row r="130" ht="15.75" customHeight="1">
      <c r="A130" s="151" t="s">
        <v>177</v>
      </c>
      <c r="B130" s="6"/>
      <c r="C130" s="152">
        <f>SUM(E11:E111)</f>
        <v>9062830</v>
      </c>
      <c r="F130" s="10"/>
      <c r="G130" s="148"/>
      <c r="H130" s="149"/>
      <c r="I130" s="6"/>
      <c r="J130" s="7"/>
      <c r="K130" s="150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"/>
      <c r="X130" s="2"/>
    </row>
    <row r="131" ht="15.75" hidden="1" customHeight="1">
      <c r="A131" s="153" t="s">
        <v>178</v>
      </c>
      <c r="B131" s="44"/>
      <c r="C131" s="154">
        <f>PRODUCT(C130,0.1)</f>
        <v>906283</v>
      </c>
      <c r="D131" s="155"/>
      <c r="E131" s="156"/>
      <c r="F131" s="10"/>
      <c r="G131" s="151" t="s">
        <v>177</v>
      </c>
      <c r="H131" s="6"/>
      <c r="I131" s="152">
        <f>SUM(K12:K112)</f>
        <v>0</v>
      </c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6"/>
      <c r="W131" s="2"/>
      <c r="X131" s="2"/>
    </row>
    <row r="132" ht="15.75" hidden="1" customHeight="1">
      <c r="A132" s="158" t="s">
        <v>179</v>
      </c>
      <c r="B132" s="43"/>
      <c r="C132" s="159">
        <f>PRODUCT(C130,0.1)</f>
        <v>906283</v>
      </c>
      <c r="D132" s="160"/>
      <c r="E132" s="161"/>
      <c r="F132" s="10"/>
      <c r="G132" s="10"/>
      <c r="H132" s="149"/>
      <c r="I132" s="149"/>
      <c r="J132" s="162"/>
      <c r="U132" s="162"/>
      <c r="V132" s="6"/>
      <c r="W132" s="2"/>
      <c r="X132" s="2"/>
    </row>
    <row r="133" ht="15.75" hidden="1" customHeight="1">
      <c r="A133" s="158" t="s">
        <v>180</v>
      </c>
      <c r="B133" s="43"/>
      <c r="C133" s="159">
        <f>SUM(C130:E132)</f>
        <v>10875396</v>
      </c>
      <c r="D133" s="160"/>
      <c r="E133" s="161"/>
      <c r="F133" s="10"/>
      <c r="G133" s="10"/>
      <c r="H133" s="149"/>
      <c r="I133" s="149"/>
      <c r="J133" s="162"/>
      <c r="U133" s="162"/>
      <c r="V133" s="6"/>
      <c r="W133" s="2"/>
      <c r="X133" s="2"/>
    </row>
    <row r="134" ht="15.75" customHeight="1">
      <c r="A134" s="163"/>
      <c r="B134" s="6"/>
      <c r="C134" s="6"/>
      <c r="D134" s="7"/>
      <c r="E134" s="9"/>
      <c r="F134" s="10"/>
      <c r="G134" s="10"/>
      <c r="H134" s="149"/>
      <c r="I134" s="149"/>
      <c r="J134" s="162"/>
      <c r="U134" s="162"/>
      <c r="V134" s="6"/>
      <c r="W134" s="2"/>
      <c r="X134" s="2"/>
    </row>
    <row r="135" ht="15.75" customHeight="1">
      <c r="A135" s="164" t="s">
        <v>181</v>
      </c>
      <c r="B135" s="6"/>
      <c r="C135" s="6"/>
      <c r="D135" s="7"/>
      <c r="E135" s="9"/>
      <c r="F135" s="10"/>
      <c r="G135" s="10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"/>
      <c r="X135" s="2"/>
    </row>
    <row r="136" ht="15.75" customHeight="1">
      <c r="A136" s="165"/>
      <c r="B136" s="6"/>
      <c r="C136" s="6"/>
      <c r="D136" s="7"/>
      <c r="E136" s="9"/>
      <c r="F136" s="10"/>
      <c r="G136" s="10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"/>
      <c r="X136" s="2"/>
    </row>
    <row r="137" ht="15.75" customHeight="1">
      <c r="A137" s="166" t="s">
        <v>182</v>
      </c>
      <c r="B137" s="149"/>
      <c r="C137" s="167" t="s">
        <v>183</v>
      </c>
      <c r="F137" s="149"/>
      <c r="G137" s="149"/>
      <c r="H137" s="6"/>
      <c r="I137" s="167" t="s">
        <v>184</v>
      </c>
      <c r="O137" s="6"/>
      <c r="P137" s="6"/>
      <c r="Q137" s="167" t="s">
        <v>185</v>
      </c>
      <c r="U137" s="6"/>
      <c r="V137" s="6"/>
      <c r="W137" s="2"/>
      <c r="X137" s="168"/>
    </row>
    <row r="138" ht="15.75" customHeight="1">
      <c r="A138" s="166"/>
      <c r="B138" s="149"/>
      <c r="C138" s="167"/>
      <c r="D138" s="169"/>
      <c r="E138" s="167"/>
      <c r="F138" s="149"/>
      <c r="G138" s="149"/>
      <c r="H138" s="6"/>
      <c r="I138" s="167"/>
      <c r="J138" s="167"/>
      <c r="K138" s="167"/>
      <c r="L138" s="167"/>
      <c r="M138" s="167"/>
      <c r="N138" s="167"/>
      <c r="O138" s="167"/>
      <c r="P138" s="167"/>
      <c r="Q138" s="167"/>
      <c r="R138" s="167"/>
      <c r="S138" s="167"/>
      <c r="T138" s="167"/>
      <c r="U138" s="167"/>
      <c r="V138" s="167"/>
      <c r="W138" s="168"/>
      <c r="X138" s="168"/>
    </row>
    <row r="139" ht="15.75" customHeight="1">
      <c r="A139" s="149"/>
      <c r="B139" s="149"/>
      <c r="C139" s="149"/>
      <c r="D139" s="170"/>
      <c r="E139" s="171"/>
      <c r="F139" s="149"/>
      <c r="G139" s="149"/>
      <c r="H139" s="6"/>
      <c r="I139" s="149"/>
      <c r="J139" s="171"/>
      <c r="K139" s="171"/>
      <c r="L139" s="171"/>
      <c r="M139" s="171"/>
      <c r="N139" s="171"/>
      <c r="O139" s="171"/>
      <c r="P139" s="171"/>
      <c r="Q139" s="149"/>
      <c r="R139" s="171"/>
      <c r="S139" s="149"/>
      <c r="T139" s="149"/>
      <c r="U139" s="149"/>
      <c r="V139" s="149"/>
      <c r="W139" s="168"/>
      <c r="X139" s="168"/>
    </row>
    <row r="140" ht="15.75" customHeight="1">
      <c r="A140" s="172" t="s">
        <v>186</v>
      </c>
      <c r="C140" s="167" t="s">
        <v>187</v>
      </c>
      <c r="G140" s="6"/>
      <c r="H140" s="6"/>
      <c r="I140" s="167" t="s">
        <v>188</v>
      </c>
      <c r="O140" s="6"/>
      <c r="P140" s="6"/>
      <c r="Q140" s="167" t="s">
        <v>189</v>
      </c>
      <c r="U140" s="6"/>
      <c r="V140" s="6"/>
      <c r="W140" s="2"/>
      <c r="X140" s="2"/>
    </row>
    <row r="141" ht="15.0" customHeight="1">
      <c r="A141" s="173" t="s">
        <v>190</v>
      </c>
      <c r="C141" s="174" t="s">
        <v>191</v>
      </c>
      <c r="G141" s="175"/>
      <c r="H141" s="6"/>
      <c r="I141" s="176" t="s">
        <v>192</v>
      </c>
      <c r="O141" s="6"/>
      <c r="P141" s="6"/>
      <c r="Q141" s="174" t="s">
        <v>193</v>
      </c>
      <c r="U141" s="6"/>
      <c r="V141" s="6"/>
      <c r="W141" s="168"/>
      <c r="X141" s="168"/>
    </row>
    <row r="142" ht="15.75" customHeight="1">
      <c r="A142" s="6"/>
      <c r="B142" s="6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"/>
      <c r="X142" s="2"/>
    </row>
    <row r="143" ht="15.75" customHeight="1">
      <c r="A143" s="177" t="s">
        <v>194</v>
      </c>
      <c r="B143" s="6"/>
      <c r="C143" s="6" t="s">
        <v>195</v>
      </c>
      <c r="D143" s="7"/>
      <c r="E143" s="6"/>
      <c r="F143" s="6"/>
      <c r="G143" s="6"/>
      <c r="H143" s="6"/>
      <c r="I143" s="6" t="s">
        <v>195</v>
      </c>
      <c r="J143" s="6"/>
      <c r="K143" s="6"/>
      <c r="L143" s="6"/>
      <c r="M143" s="6"/>
      <c r="N143" s="6"/>
      <c r="O143" s="6"/>
      <c r="P143" s="6"/>
      <c r="Q143" s="6" t="s">
        <v>195</v>
      </c>
      <c r="R143" s="6"/>
      <c r="S143" s="6"/>
      <c r="T143" s="6"/>
      <c r="U143" s="6"/>
      <c r="V143" s="6"/>
      <c r="W143" s="2"/>
      <c r="X143" s="2"/>
    </row>
    <row r="144" ht="15.75" customHeight="1">
      <c r="D144" s="178"/>
      <c r="H144" s="179"/>
    </row>
    <row r="145" ht="15.75" customHeight="1">
      <c r="D145" s="178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</row>
    <row r="146" ht="15.75" customHeight="1">
      <c r="D146" s="178"/>
      <c r="H146" s="180"/>
      <c r="I146" s="181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2"/>
    </row>
    <row r="147" ht="15.75" customHeight="1">
      <c r="D147" s="178"/>
      <c r="H147" s="183"/>
    </row>
    <row r="148" ht="15.75" customHeight="1">
      <c r="D148" s="178"/>
      <c r="H148" s="184"/>
    </row>
    <row r="149" ht="15.75" customHeight="1">
      <c r="D149" s="178"/>
    </row>
    <row r="150" ht="15.75" customHeight="1">
      <c r="D150" s="178"/>
    </row>
    <row r="151" ht="15.75" customHeight="1">
      <c r="D151" s="178"/>
    </row>
    <row r="152" ht="15.75" customHeight="1">
      <c r="D152" s="178"/>
    </row>
    <row r="153" ht="15.75" customHeight="1">
      <c r="D153" s="178"/>
    </row>
    <row r="154" ht="15.75" customHeight="1">
      <c r="D154" s="178"/>
    </row>
    <row r="155" ht="15.75" customHeight="1">
      <c r="D155" s="178"/>
    </row>
    <row r="156" ht="15.75" customHeight="1">
      <c r="D156" s="178"/>
    </row>
    <row r="157" ht="15.75" customHeight="1">
      <c r="D157" s="178"/>
    </row>
    <row r="158" ht="15.75" customHeight="1">
      <c r="D158" s="178"/>
    </row>
    <row r="159" ht="15.75" customHeight="1">
      <c r="D159" s="178"/>
    </row>
    <row r="160" ht="15.75" customHeight="1">
      <c r="D160" s="178"/>
    </row>
    <row r="161" ht="15.75" customHeight="1">
      <c r="D161" s="178"/>
    </row>
    <row r="162" ht="15.75" customHeight="1">
      <c r="D162" s="178"/>
    </row>
    <row r="163" ht="15.75" customHeight="1">
      <c r="D163" s="178"/>
    </row>
    <row r="164" ht="15.75" customHeight="1">
      <c r="D164" s="178"/>
    </row>
    <row r="165" ht="15.75" customHeight="1">
      <c r="D165" s="178"/>
    </row>
    <row r="166" ht="15.75" customHeight="1">
      <c r="D166" s="178"/>
    </row>
    <row r="167" ht="15.75" customHeight="1">
      <c r="D167" s="178"/>
    </row>
    <row r="168" ht="15.75" customHeight="1">
      <c r="D168" s="178"/>
    </row>
    <row r="169" ht="15.75" customHeight="1">
      <c r="D169" s="178"/>
    </row>
    <row r="170" ht="15.75" customHeight="1">
      <c r="D170" s="178"/>
    </row>
    <row r="171" ht="15.75" customHeight="1">
      <c r="D171" s="178"/>
    </row>
    <row r="172" ht="15.75" customHeight="1">
      <c r="D172" s="178"/>
    </row>
    <row r="173" ht="15.75" customHeight="1">
      <c r="D173" s="178"/>
    </row>
    <row r="174" ht="15.75" customHeight="1">
      <c r="D174" s="178"/>
    </row>
    <row r="175" ht="15.75" customHeight="1">
      <c r="D175" s="178"/>
    </row>
    <row r="176" ht="15.75" customHeight="1">
      <c r="D176" s="178"/>
    </row>
    <row r="177" ht="15.75" customHeight="1">
      <c r="D177" s="178"/>
    </row>
    <row r="178" ht="15.75" customHeight="1">
      <c r="D178" s="178"/>
    </row>
    <row r="179" ht="15.75" customHeight="1">
      <c r="D179" s="178"/>
    </row>
    <row r="180" ht="15.75" customHeight="1">
      <c r="D180" s="178"/>
    </row>
    <row r="181" ht="15.75" customHeight="1">
      <c r="D181" s="178"/>
    </row>
    <row r="182" ht="15.75" customHeight="1">
      <c r="D182" s="178"/>
    </row>
    <row r="183" ht="15.75" customHeight="1">
      <c r="D183" s="178"/>
    </row>
    <row r="184" ht="15.75" customHeight="1">
      <c r="D184" s="178"/>
    </row>
    <row r="185" ht="15.75" customHeight="1">
      <c r="D185" s="178"/>
    </row>
    <row r="186" ht="15.75" customHeight="1">
      <c r="D186" s="178"/>
    </row>
    <row r="187" ht="15.75" customHeight="1">
      <c r="D187" s="178"/>
    </row>
    <row r="188" ht="15.75" customHeight="1">
      <c r="D188" s="178"/>
    </row>
    <row r="189" ht="15.75" customHeight="1">
      <c r="D189" s="178"/>
    </row>
    <row r="190" ht="15.75" customHeight="1">
      <c r="D190" s="178"/>
    </row>
    <row r="191" ht="15.75" customHeight="1">
      <c r="D191" s="178"/>
    </row>
    <row r="192" ht="15.75" customHeight="1">
      <c r="D192" s="178"/>
    </row>
    <row r="193" ht="15.75" customHeight="1">
      <c r="D193" s="178"/>
    </row>
    <row r="194" ht="15.75" customHeight="1">
      <c r="D194" s="178"/>
    </row>
    <row r="195" ht="15.75" customHeight="1">
      <c r="D195" s="178"/>
    </row>
    <row r="196" ht="15.75" customHeight="1">
      <c r="D196" s="178"/>
    </row>
    <row r="197" ht="15.75" customHeight="1">
      <c r="D197" s="178"/>
    </row>
    <row r="198" ht="15.75" customHeight="1">
      <c r="D198" s="178"/>
    </row>
    <row r="199" ht="15.75" customHeight="1">
      <c r="D199" s="178"/>
    </row>
    <row r="200" ht="15.75" customHeight="1">
      <c r="D200" s="178"/>
    </row>
    <row r="201" ht="15.75" customHeight="1">
      <c r="D201" s="178"/>
    </row>
    <row r="202" ht="15.75" customHeight="1">
      <c r="D202" s="178"/>
    </row>
    <row r="203" ht="15.75" customHeight="1">
      <c r="D203" s="178"/>
    </row>
    <row r="204" ht="15.75" customHeight="1">
      <c r="D204" s="178"/>
    </row>
    <row r="205" ht="15.75" customHeight="1">
      <c r="D205" s="178"/>
    </row>
    <row r="206" ht="15.75" customHeight="1">
      <c r="D206" s="178"/>
    </row>
    <row r="207" ht="15.75" customHeight="1">
      <c r="D207" s="178"/>
    </row>
    <row r="208" ht="15.75" customHeight="1">
      <c r="D208" s="178"/>
    </row>
    <row r="209" ht="15.75" customHeight="1">
      <c r="D209" s="178"/>
    </row>
    <row r="210" ht="15.75" customHeight="1">
      <c r="D210" s="178"/>
    </row>
    <row r="211" ht="15.75" customHeight="1">
      <c r="D211" s="178"/>
    </row>
    <row r="212" ht="15.75" customHeight="1">
      <c r="D212" s="178"/>
    </row>
    <row r="213" ht="15.75" customHeight="1">
      <c r="D213" s="178"/>
    </row>
    <row r="214" ht="15.75" customHeight="1">
      <c r="D214" s="178"/>
    </row>
    <row r="215" ht="15.75" customHeight="1">
      <c r="D215" s="178"/>
    </row>
    <row r="216" ht="15.75" customHeight="1">
      <c r="D216" s="178"/>
    </row>
    <row r="217" ht="15.75" customHeight="1">
      <c r="D217" s="178"/>
    </row>
    <row r="218" ht="15.75" customHeight="1">
      <c r="D218" s="178"/>
    </row>
    <row r="219" ht="15.75" customHeight="1">
      <c r="D219" s="178"/>
    </row>
    <row r="220" ht="15.75" customHeight="1">
      <c r="D220" s="178"/>
    </row>
    <row r="221" ht="15.75" customHeight="1">
      <c r="D221" s="178"/>
    </row>
    <row r="222" ht="15.75" customHeight="1">
      <c r="D222" s="178"/>
    </row>
    <row r="223" ht="15.75" customHeight="1">
      <c r="D223" s="178"/>
    </row>
    <row r="224" ht="15.75" customHeight="1">
      <c r="D224" s="178"/>
    </row>
    <row r="225" ht="15.75" customHeight="1">
      <c r="D225" s="178"/>
    </row>
    <row r="226" ht="15.75" customHeight="1">
      <c r="D226" s="178"/>
    </row>
    <row r="227" ht="15.75" customHeight="1">
      <c r="D227" s="178"/>
    </row>
    <row r="228" ht="15.75" customHeight="1">
      <c r="D228" s="178"/>
    </row>
    <row r="229" ht="15.75" customHeight="1">
      <c r="D229" s="178"/>
    </row>
    <row r="230" ht="15.75" customHeight="1">
      <c r="D230" s="178"/>
    </row>
    <row r="231" ht="15.75" customHeight="1">
      <c r="D231" s="178"/>
    </row>
    <row r="232" ht="15.75" customHeight="1">
      <c r="D232" s="178"/>
    </row>
    <row r="233" ht="15.75" customHeight="1">
      <c r="D233" s="178"/>
    </row>
    <row r="234" ht="15.75" customHeight="1">
      <c r="D234" s="178"/>
    </row>
    <row r="235" ht="15.75" customHeight="1">
      <c r="D235" s="178"/>
    </row>
    <row r="236" ht="15.75" customHeight="1">
      <c r="D236" s="178"/>
    </row>
    <row r="237" ht="15.75" customHeight="1">
      <c r="D237" s="178"/>
    </row>
    <row r="238" ht="15.75" customHeight="1">
      <c r="D238" s="178"/>
    </row>
    <row r="239" ht="15.75" customHeight="1">
      <c r="D239" s="178"/>
    </row>
    <row r="240" ht="15.75" customHeight="1">
      <c r="D240" s="178"/>
    </row>
    <row r="241" ht="15.75" customHeight="1">
      <c r="D241" s="178"/>
    </row>
    <row r="242" ht="15.75" customHeight="1">
      <c r="D242" s="178"/>
    </row>
    <row r="243" ht="15.75" customHeight="1">
      <c r="D243" s="178"/>
    </row>
    <row r="244" ht="15.75" customHeight="1">
      <c r="D244" s="178"/>
    </row>
    <row r="245" ht="15.75" customHeight="1">
      <c r="D245" s="178"/>
    </row>
    <row r="246" ht="15.75" customHeight="1">
      <c r="D246" s="178"/>
    </row>
    <row r="247" ht="15.75" customHeight="1">
      <c r="D247" s="178"/>
    </row>
    <row r="248" ht="15.75" customHeight="1">
      <c r="D248" s="178"/>
    </row>
    <row r="249" ht="15.75" customHeight="1">
      <c r="D249" s="178"/>
    </row>
    <row r="250" ht="15.75" customHeight="1">
      <c r="D250" s="178"/>
    </row>
    <row r="251" ht="15.75" customHeight="1">
      <c r="D251" s="178"/>
    </row>
    <row r="252" ht="15.75" customHeight="1">
      <c r="D252" s="178"/>
    </row>
    <row r="253" ht="15.75" customHeight="1">
      <c r="D253" s="178"/>
    </row>
    <row r="254" ht="15.75" customHeight="1">
      <c r="D254" s="178"/>
    </row>
    <row r="255" ht="15.75" customHeight="1">
      <c r="D255" s="178"/>
    </row>
    <row r="256" ht="15.75" customHeight="1">
      <c r="D256" s="178"/>
    </row>
    <row r="257" ht="15.75" customHeight="1">
      <c r="D257" s="178"/>
    </row>
    <row r="258" ht="15.75" customHeight="1">
      <c r="D258" s="178"/>
    </row>
    <row r="259" ht="15.75" customHeight="1">
      <c r="D259" s="178"/>
    </row>
    <row r="260" ht="15.75" customHeight="1">
      <c r="D260" s="178"/>
    </row>
    <row r="261" ht="15.75" customHeight="1">
      <c r="D261" s="178"/>
    </row>
    <row r="262" ht="15.75" customHeight="1">
      <c r="D262" s="178"/>
    </row>
    <row r="263" ht="15.75" customHeight="1">
      <c r="D263" s="178"/>
    </row>
    <row r="264" ht="15.75" customHeight="1">
      <c r="D264" s="178"/>
    </row>
    <row r="265" ht="15.75" customHeight="1">
      <c r="D265" s="178"/>
    </row>
    <row r="266" ht="15.75" customHeight="1">
      <c r="D266" s="178"/>
    </row>
    <row r="267" ht="15.75" customHeight="1">
      <c r="D267" s="178"/>
    </row>
    <row r="268" ht="15.75" customHeight="1">
      <c r="D268" s="178"/>
    </row>
    <row r="269" ht="15.75" customHeight="1">
      <c r="D269" s="178"/>
    </row>
    <row r="270" ht="15.75" customHeight="1">
      <c r="D270" s="178"/>
    </row>
    <row r="271" ht="15.75" customHeight="1">
      <c r="D271" s="178"/>
    </row>
    <row r="272" ht="15.75" customHeight="1">
      <c r="D272" s="178"/>
    </row>
    <row r="273" ht="15.75" customHeight="1">
      <c r="D273" s="178"/>
    </row>
    <row r="274" ht="15.75" customHeight="1">
      <c r="D274" s="178"/>
    </row>
    <row r="275" ht="15.75" customHeight="1">
      <c r="D275" s="178"/>
    </row>
    <row r="276" ht="15.75" customHeight="1">
      <c r="D276" s="178"/>
    </row>
    <row r="277" ht="15.75" customHeight="1">
      <c r="D277" s="178"/>
    </row>
    <row r="278" ht="15.75" customHeight="1">
      <c r="D278" s="178"/>
    </row>
    <row r="279" ht="15.75" customHeight="1">
      <c r="D279" s="178"/>
    </row>
    <row r="280" ht="15.75" customHeight="1">
      <c r="D280" s="178"/>
    </row>
    <row r="281" ht="15.75" customHeight="1">
      <c r="D281" s="178"/>
    </row>
    <row r="282" ht="15.75" customHeight="1">
      <c r="D282" s="178"/>
    </row>
    <row r="283" ht="15.75" customHeight="1">
      <c r="D283" s="178"/>
    </row>
    <row r="284" ht="15.75" customHeight="1">
      <c r="D284" s="178"/>
    </row>
    <row r="285" ht="15.75" customHeight="1">
      <c r="D285" s="178"/>
    </row>
    <row r="286" ht="15.75" customHeight="1">
      <c r="D286" s="178"/>
    </row>
    <row r="287" ht="15.75" customHeight="1">
      <c r="D287" s="178"/>
    </row>
    <row r="288" ht="15.75" customHeight="1">
      <c r="D288" s="178"/>
    </row>
    <row r="289" ht="15.75" customHeight="1">
      <c r="D289" s="178"/>
    </row>
    <row r="290" ht="15.75" customHeight="1">
      <c r="D290" s="178"/>
    </row>
    <row r="291" ht="15.75" customHeight="1">
      <c r="D291" s="178"/>
    </row>
    <row r="292" ht="15.75" customHeight="1">
      <c r="D292" s="178"/>
    </row>
    <row r="293" ht="15.75" customHeight="1">
      <c r="D293" s="178"/>
    </row>
    <row r="294" ht="15.75" customHeight="1">
      <c r="D294" s="178"/>
    </row>
    <row r="295" ht="15.75" customHeight="1">
      <c r="D295" s="178"/>
    </row>
    <row r="296" ht="15.75" customHeight="1">
      <c r="D296" s="178"/>
    </row>
    <row r="297" ht="15.75" customHeight="1">
      <c r="D297" s="178"/>
    </row>
    <row r="298" ht="15.75" customHeight="1">
      <c r="D298" s="178"/>
    </row>
    <row r="299" ht="15.75" customHeight="1">
      <c r="D299" s="178"/>
    </row>
    <row r="300" ht="15.75" customHeight="1">
      <c r="D300" s="178"/>
    </row>
    <row r="301" ht="15.75" customHeight="1">
      <c r="D301" s="178"/>
    </row>
    <row r="302" ht="15.75" customHeight="1">
      <c r="D302" s="178"/>
    </row>
    <row r="303" ht="15.75" customHeight="1">
      <c r="D303" s="178"/>
    </row>
    <row r="304" ht="15.75" customHeight="1">
      <c r="D304" s="178"/>
    </row>
    <row r="305" ht="15.75" customHeight="1">
      <c r="D305" s="178"/>
    </row>
    <row r="306" ht="15.75" customHeight="1">
      <c r="D306" s="178"/>
    </row>
    <row r="307" ht="15.75" customHeight="1">
      <c r="D307" s="178"/>
    </row>
    <row r="308" ht="15.75" customHeight="1">
      <c r="D308" s="178"/>
    </row>
    <row r="309" ht="15.75" customHeight="1">
      <c r="D309" s="178"/>
    </row>
    <row r="310" ht="15.75" customHeight="1">
      <c r="D310" s="178"/>
    </row>
    <row r="311" ht="15.75" customHeight="1">
      <c r="D311" s="178"/>
    </row>
    <row r="312" ht="15.75" customHeight="1">
      <c r="D312" s="178"/>
    </row>
    <row r="313" ht="15.75" customHeight="1">
      <c r="D313" s="178"/>
    </row>
    <row r="314" ht="15.75" customHeight="1">
      <c r="D314" s="178"/>
    </row>
    <row r="315" ht="15.75" customHeight="1">
      <c r="D315" s="178"/>
    </row>
    <row r="316" ht="15.75" customHeight="1">
      <c r="D316" s="178"/>
    </row>
    <row r="317" ht="15.75" customHeight="1">
      <c r="D317" s="178"/>
    </row>
    <row r="318" ht="15.75" customHeight="1">
      <c r="D318" s="178"/>
    </row>
    <row r="319" ht="15.75" customHeight="1">
      <c r="D319" s="178"/>
    </row>
    <row r="320" ht="15.75" customHeight="1">
      <c r="D320" s="178"/>
    </row>
    <row r="321" ht="15.75" customHeight="1">
      <c r="D321" s="178"/>
    </row>
    <row r="322" ht="15.75" customHeight="1">
      <c r="D322" s="178"/>
    </row>
    <row r="323" ht="15.75" customHeight="1">
      <c r="D323" s="178"/>
    </row>
    <row r="324" ht="15.75" customHeight="1">
      <c r="D324" s="178"/>
    </row>
    <row r="325" ht="15.75" customHeight="1">
      <c r="D325" s="178"/>
    </row>
    <row r="326" ht="15.75" customHeight="1">
      <c r="D326" s="178"/>
    </row>
    <row r="327" ht="15.75" customHeight="1">
      <c r="D327" s="178"/>
    </row>
    <row r="328" ht="15.75" customHeight="1">
      <c r="D328" s="178"/>
    </row>
    <row r="329" ht="15.75" customHeight="1">
      <c r="D329" s="178"/>
    </row>
    <row r="330" ht="15.75" customHeight="1">
      <c r="D330" s="178"/>
    </row>
    <row r="331" ht="15.75" customHeight="1">
      <c r="D331" s="178"/>
    </row>
    <row r="332" ht="15.75" customHeight="1">
      <c r="D332" s="178"/>
    </row>
    <row r="333" ht="15.75" customHeight="1">
      <c r="D333" s="178"/>
    </row>
    <row r="334" ht="15.75" customHeight="1">
      <c r="D334" s="178"/>
    </row>
    <row r="335" ht="15.75" customHeight="1">
      <c r="D335" s="178"/>
    </row>
    <row r="336" ht="15.75" customHeight="1">
      <c r="D336" s="178"/>
    </row>
    <row r="337" ht="15.75" customHeight="1">
      <c r="D337" s="178"/>
    </row>
    <row r="338" ht="15.75" customHeight="1">
      <c r="D338" s="178"/>
    </row>
    <row r="339" ht="15.75" customHeight="1">
      <c r="D339" s="178"/>
    </row>
    <row r="340" ht="15.75" customHeight="1">
      <c r="D340" s="178"/>
    </row>
    <row r="341" ht="15.75" customHeight="1">
      <c r="D341" s="178"/>
    </row>
    <row r="342" ht="15.75" customHeight="1">
      <c r="D342" s="178"/>
    </row>
    <row r="343" ht="15.75" customHeight="1">
      <c r="D343" s="178"/>
    </row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</sheetData>
  <mergeCells count="33">
    <mergeCell ref="A1:V1"/>
    <mergeCell ref="A2:V2"/>
    <mergeCell ref="A3:V3"/>
    <mergeCell ref="A8:A9"/>
    <mergeCell ref="B8:B9"/>
    <mergeCell ref="D8:D9"/>
    <mergeCell ref="E8:E9"/>
    <mergeCell ref="H8:V8"/>
    <mergeCell ref="C133:E133"/>
    <mergeCell ref="C137:E137"/>
    <mergeCell ref="A140:B140"/>
    <mergeCell ref="C140:F140"/>
    <mergeCell ref="A141:B141"/>
    <mergeCell ref="C141:F141"/>
    <mergeCell ref="F8:F9"/>
    <mergeCell ref="G8:G9"/>
    <mergeCell ref="B128:I128"/>
    <mergeCell ref="C130:E130"/>
    <mergeCell ref="C131:E131"/>
    <mergeCell ref="C132:E132"/>
    <mergeCell ref="I140:N140"/>
    <mergeCell ref="I141:N141"/>
    <mergeCell ref="Q141:T141"/>
    <mergeCell ref="H144:T144"/>
    <mergeCell ref="H147:T147"/>
    <mergeCell ref="H148:T148"/>
    <mergeCell ref="J132:T132"/>
    <mergeCell ref="J133:T133"/>
    <mergeCell ref="J134:T134"/>
    <mergeCell ref="I137:N137"/>
    <mergeCell ref="Q137:T137"/>
    <mergeCell ref="Q140:T140"/>
    <mergeCell ref="I131:K131"/>
  </mergeCells>
  <printOptions horizontalCentered="1"/>
  <pageMargins bottom="0.2" footer="0.0" header="0.0" left="1.5" right="0.5" top="0.5"/>
  <pageSetup fitToHeight="0"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59.13"/>
    <col customWidth="1" min="3" max="3" width="11.63"/>
    <col customWidth="1" min="4" max="5" width="11.75"/>
    <col customWidth="1" min="6" max="6" width="23.25"/>
    <col customWidth="1" min="7" max="7" width="16.88"/>
    <col customWidth="1" min="8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1" t="s">
        <v>0</v>
      </c>
      <c r="W1" s="2"/>
      <c r="X1" s="2"/>
    </row>
    <row r="2">
      <c r="A2" s="3" t="s">
        <v>1</v>
      </c>
      <c r="W2" s="2"/>
      <c r="X2" s="2"/>
    </row>
    <row r="3">
      <c r="A3" s="4"/>
      <c r="W3" s="2"/>
      <c r="X3" s="2"/>
    </row>
    <row r="4">
      <c r="A4" s="5" t="s">
        <v>2</v>
      </c>
      <c r="B4" s="6"/>
      <c r="C4" s="6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"/>
      <c r="X4" s="2"/>
    </row>
    <row r="5">
      <c r="A5" s="8"/>
      <c r="B5" s="6"/>
      <c r="C5" s="6"/>
      <c r="D5" s="7"/>
      <c r="E5" s="9"/>
      <c r="F5" s="10"/>
      <c r="G5" s="10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"/>
      <c r="X5" s="2"/>
    </row>
    <row r="6">
      <c r="A6" s="5" t="s">
        <v>3</v>
      </c>
      <c r="B6" s="6"/>
      <c r="C6" s="6"/>
      <c r="D6" s="7"/>
      <c r="E6" s="9"/>
      <c r="F6" s="10"/>
      <c r="G6" s="10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"/>
      <c r="X6" s="2"/>
    </row>
    <row r="7">
      <c r="A7" s="8" t="s">
        <v>4</v>
      </c>
      <c r="B7" s="6"/>
      <c r="C7" s="6"/>
      <c r="D7" s="7"/>
      <c r="E7" s="9"/>
      <c r="F7" s="10"/>
      <c r="G7" s="10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"/>
      <c r="X7" s="2"/>
    </row>
    <row r="8" ht="22.5" customHeight="1">
      <c r="A8" s="11" t="s">
        <v>5</v>
      </c>
      <c r="B8" s="12" t="s">
        <v>6</v>
      </c>
      <c r="C8" s="13" t="s">
        <v>7</v>
      </c>
      <c r="D8" s="14" t="s">
        <v>8</v>
      </c>
      <c r="E8" s="15" t="s">
        <v>9</v>
      </c>
      <c r="F8" s="16" t="s">
        <v>10</v>
      </c>
      <c r="G8" s="12" t="s">
        <v>11</v>
      </c>
      <c r="H8" s="17" t="s">
        <v>12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9"/>
      <c r="W8" s="20"/>
      <c r="X8" s="20"/>
    </row>
    <row r="9">
      <c r="A9" s="21"/>
      <c r="B9" s="22"/>
      <c r="C9" s="23" t="s">
        <v>13</v>
      </c>
      <c r="D9" s="22"/>
      <c r="E9" s="22"/>
      <c r="F9" s="22"/>
      <c r="G9" s="22"/>
      <c r="H9" s="24" t="s">
        <v>14</v>
      </c>
      <c r="I9" s="24" t="s">
        <v>15</v>
      </c>
      <c r="J9" s="24" t="s">
        <v>16</v>
      </c>
      <c r="K9" s="24" t="s">
        <v>17</v>
      </c>
      <c r="L9" s="24" t="s">
        <v>18</v>
      </c>
      <c r="M9" s="24" t="s">
        <v>19</v>
      </c>
      <c r="N9" s="24" t="s">
        <v>20</v>
      </c>
      <c r="O9" s="24" t="s">
        <v>21</v>
      </c>
      <c r="P9" s="24" t="s">
        <v>22</v>
      </c>
      <c r="Q9" s="24" t="s">
        <v>23</v>
      </c>
      <c r="R9" s="24" t="s">
        <v>24</v>
      </c>
      <c r="S9" s="24" t="s">
        <v>25</v>
      </c>
      <c r="T9" s="24" t="s">
        <v>26</v>
      </c>
      <c r="U9" s="25" t="str">
        <f>$V$9</f>
        <v>REMARKS</v>
      </c>
      <c r="V9" s="24" t="s">
        <v>27</v>
      </c>
      <c r="W9" s="20"/>
      <c r="X9" s="20"/>
    </row>
    <row r="10">
      <c r="A10" s="26"/>
      <c r="B10" s="27" t="s">
        <v>28</v>
      </c>
      <c r="C10" s="28"/>
      <c r="D10" s="29"/>
      <c r="E10" s="30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2"/>
      <c r="V10" s="33"/>
      <c r="W10" s="20"/>
      <c r="X10" s="20"/>
    </row>
    <row r="11" ht="15.75" customHeight="1">
      <c r="A11" s="34"/>
      <c r="B11" s="35" t="s">
        <v>29</v>
      </c>
      <c r="C11" s="36" t="s">
        <v>167</v>
      </c>
      <c r="D11" s="37">
        <v>20000.0</v>
      </c>
      <c r="E11" s="38">
        <f>D11*3</f>
        <v>60000</v>
      </c>
      <c r="F11" s="39" t="s">
        <v>31</v>
      </c>
      <c r="G11" s="40" t="s">
        <v>32</v>
      </c>
      <c r="H11" s="41">
        <v>3.0</v>
      </c>
      <c r="I11" s="40">
        <v>0.0</v>
      </c>
      <c r="J11" s="40">
        <v>0.0</v>
      </c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3"/>
      <c r="V11" s="44"/>
      <c r="W11" s="20"/>
      <c r="X11" s="20"/>
    </row>
    <row r="12" ht="15.75" customHeight="1">
      <c r="A12" s="34"/>
      <c r="B12" s="35" t="s">
        <v>33</v>
      </c>
      <c r="C12" s="36" t="s">
        <v>34</v>
      </c>
      <c r="D12" s="37">
        <v>49995.0</v>
      </c>
      <c r="E12" s="45">
        <f>D12*4</f>
        <v>199980</v>
      </c>
      <c r="F12" s="39" t="s">
        <v>31</v>
      </c>
      <c r="G12" s="40" t="s">
        <v>32</v>
      </c>
      <c r="H12" s="41">
        <v>4.0</v>
      </c>
      <c r="I12" s="40">
        <v>0.0</v>
      </c>
      <c r="J12" s="40">
        <v>0.0</v>
      </c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3"/>
      <c r="V12" s="44"/>
      <c r="W12" s="20"/>
      <c r="X12" s="20"/>
    </row>
    <row r="13" ht="15.75" customHeight="1">
      <c r="A13" s="34"/>
      <c r="B13" s="35" t="s">
        <v>35</v>
      </c>
      <c r="C13" s="36" t="s">
        <v>36</v>
      </c>
      <c r="D13" s="37">
        <v>300000.0</v>
      </c>
      <c r="E13" s="37">
        <v>300000.0</v>
      </c>
      <c r="F13" s="39" t="s">
        <v>37</v>
      </c>
      <c r="G13" s="40" t="s">
        <v>32</v>
      </c>
      <c r="H13" s="46">
        <v>1.0</v>
      </c>
      <c r="I13" s="40"/>
      <c r="J13" s="40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3"/>
      <c r="V13" s="44"/>
      <c r="W13" s="20"/>
      <c r="X13" s="20"/>
    </row>
    <row r="14" ht="15.75" customHeight="1">
      <c r="A14" s="34"/>
      <c r="B14" s="35" t="s">
        <v>38</v>
      </c>
      <c r="C14" s="36" t="s">
        <v>39</v>
      </c>
      <c r="D14" s="37">
        <v>3000.0</v>
      </c>
      <c r="E14" s="37">
        <f>3000*4</f>
        <v>12000</v>
      </c>
      <c r="F14" s="39" t="s">
        <v>31</v>
      </c>
      <c r="G14" s="40" t="s">
        <v>32</v>
      </c>
      <c r="H14" s="185">
        <v>4.0</v>
      </c>
      <c r="I14" s="40"/>
      <c r="J14" s="40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3"/>
      <c r="V14" s="44"/>
      <c r="W14" s="20"/>
      <c r="X14" s="20"/>
    </row>
    <row r="15">
      <c r="A15" s="26"/>
      <c r="B15" s="27" t="s">
        <v>41</v>
      </c>
      <c r="C15" s="28"/>
      <c r="D15" s="29"/>
      <c r="E15" s="30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2"/>
      <c r="V15" s="33"/>
      <c r="W15" s="20"/>
      <c r="X15" s="20"/>
    </row>
    <row r="16" ht="15.75" customHeight="1">
      <c r="A16" s="34"/>
      <c r="B16" s="35" t="s">
        <v>42</v>
      </c>
      <c r="C16" s="36" t="s">
        <v>196</v>
      </c>
      <c r="D16" s="37">
        <v>1700.0</v>
      </c>
      <c r="E16" s="45">
        <f t="shared" ref="E16:E18" si="1">D16*100</f>
        <v>170000</v>
      </c>
      <c r="F16" s="39" t="s">
        <v>31</v>
      </c>
      <c r="G16" s="40" t="s">
        <v>44</v>
      </c>
      <c r="H16" s="40">
        <v>0.0</v>
      </c>
      <c r="I16" s="52">
        <v>100.0</v>
      </c>
      <c r="J16" s="40">
        <v>0.0</v>
      </c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3"/>
      <c r="V16" s="44"/>
      <c r="W16" s="20"/>
      <c r="X16" s="20"/>
    </row>
    <row r="17" ht="15.75" customHeight="1">
      <c r="A17" s="34"/>
      <c r="B17" s="35" t="s">
        <v>45</v>
      </c>
      <c r="C17" s="36" t="s">
        <v>196</v>
      </c>
      <c r="D17" s="37">
        <v>1700.0</v>
      </c>
      <c r="E17" s="45">
        <f t="shared" si="1"/>
        <v>170000</v>
      </c>
      <c r="F17" s="39" t="s">
        <v>31</v>
      </c>
      <c r="G17" s="40" t="s">
        <v>44</v>
      </c>
      <c r="H17" s="40">
        <v>0.0</v>
      </c>
      <c r="I17" s="52">
        <v>100.0</v>
      </c>
      <c r="J17" s="40">
        <v>0.0</v>
      </c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3"/>
      <c r="V17" s="44"/>
      <c r="W17" s="20"/>
      <c r="X17" s="20"/>
    </row>
    <row r="18" ht="15.75" customHeight="1">
      <c r="A18" s="34"/>
      <c r="B18" s="35" t="s">
        <v>46</v>
      </c>
      <c r="C18" s="36" t="s">
        <v>47</v>
      </c>
      <c r="D18" s="37">
        <v>4000.0</v>
      </c>
      <c r="E18" s="45">
        <f t="shared" si="1"/>
        <v>400000</v>
      </c>
      <c r="F18" s="39" t="s">
        <v>31</v>
      </c>
      <c r="G18" s="40" t="s">
        <v>44</v>
      </c>
      <c r="H18" s="40">
        <v>0.0</v>
      </c>
      <c r="I18" s="52">
        <v>100.0</v>
      </c>
      <c r="J18" s="40">
        <v>0.0</v>
      </c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3"/>
      <c r="V18" s="44"/>
      <c r="W18" s="20"/>
      <c r="X18" s="20"/>
    </row>
    <row r="19" ht="15.75" customHeight="1">
      <c r="A19" s="34"/>
      <c r="B19" s="35" t="s">
        <v>48</v>
      </c>
      <c r="C19" s="36" t="s">
        <v>49</v>
      </c>
      <c r="D19" s="37">
        <v>8000.0</v>
      </c>
      <c r="E19" s="45">
        <f>D19*25</f>
        <v>200000</v>
      </c>
      <c r="F19" s="39" t="s">
        <v>31</v>
      </c>
      <c r="G19" s="40" t="s">
        <v>44</v>
      </c>
      <c r="H19" s="40">
        <v>0.0</v>
      </c>
      <c r="I19" s="53">
        <v>25.0</v>
      </c>
      <c r="J19" s="40">
        <v>0.0</v>
      </c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3"/>
      <c r="V19" s="44"/>
      <c r="W19" s="20"/>
      <c r="X19" s="20"/>
    </row>
    <row r="20" ht="15.75" customHeight="1">
      <c r="A20" s="34"/>
      <c r="B20" s="35" t="s">
        <v>50</v>
      </c>
      <c r="C20" s="36" t="s">
        <v>118</v>
      </c>
      <c r="D20" s="37">
        <v>1500.0</v>
      </c>
      <c r="E20" s="45">
        <f>D20*10</f>
        <v>15000</v>
      </c>
      <c r="F20" s="39" t="s">
        <v>31</v>
      </c>
      <c r="G20" s="40" t="s">
        <v>44</v>
      </c>
      <c r="H20" s="40">
        <v>0.0</v>
      </c>
      <c r="I20" s="52">
        <v>10.0</v>
      </c>
      <c r="J20" s="40">
        <v>0.0</v>
      </c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3"/>
      <c r="V20" s="44"/>
      <c r="W20" s="20"/>
      <c r="X20" s="20"/>
    </row>
    <row r="21" ht="15.75" customHeight="1">
      <c r="A21" s="34"/>
      <c r="B21" s="35" t="s">
        <v>52</v>
      </c>
      <c r="C21" s="36" t="s">
        <v>197</v>
      </c>
      <c r="D21" s="37">
        <v>100.0</v>
      </c>
      <c r="E21" s="45">
        <f>100*100</f>
        <v>10000</v>
      </c>
      <c r="F21" s="39" t="s">
        <v>31</v>
      </c>
      <c r="G21" s="40" t="s">
        <v>44</v>
      </c>
      <c r="H21" s="40">
        <v>0.0</v>
      </c>
      <c r="I21" s="52">
        <v>100.0</v>
      </c>
      <c r="J21" s="40">
        <v>0.0</v>
      </c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3"/>
      <c r="V21" s="44"/>
      <c r="W21" s="20"/>
      <c r="X21" s="20"/>
    </row>
    <row r="22" ht="15.75" customHeight="1">
      <c r="A22" s="34"/>
      <c r="B22" s="35" t="s">
        <v>53</v>
      </c>
      <c r="C22" s="36" t="s">
        <v>197</v>
      </c>
      <c r="D22" s="37">
        <v>150.0</v>
      </c>
      <c r="E22" s="45">
        <f>150*100</f>
        <v>15000</v>
      </c>
      <c r="F22" s="39" t="s">
        <v>31</v>
      </c>
      <c r="G22" s="40" t="s">
        <v>44</v>
      </c>
      <c r="H22" s="40">
        <v>0.0</v>
      </c>
      <c r="I22" s="52">
        <v>100.0</v>
      </c>
      <c r="J22" s="40">
        <v>0.0</v>
      </c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3"/>
      <c r="V22" s="44"/>
      <c r="W22" s="20"/>
      <c r="X22" s="20"/>
    </row>
    <row r="23" ht="15.75" customHeight="1">
      <c r="A23" s="34"/>
      <c r="B23" s="35" t="s">
        <v>54</v>
      </c>
      <c r="C23" s="36" t="s">
        <v>197</v>
      </c>
      <c r="D23" s="37">
        <v>100.0</v>
      </c>
      <c r="E23" s="45">
        <f>D23*100</f>
        <v>10000</v>
      </c>
      <c r="F23" s="39" t="s">
        <v>31</v>
      </c>
      <c r="G23" s="40" t="s">
        <v>44</v>
      </c>
      <c r="H23" s="40">
        <v>0.0</v>
      </c>
      <c r="I23" s="52">
        <v>100.0</v>
      </c>
      <c r="J23" s="40">
        <v>0.0</v>
      </c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3"/>
      <c r="V23" s="44"/>
      <c r="W23" s="20"/>
      <c r="X23" s="20"/>
    </row>
    <row r="24" ht="15.75" customHeight="1">
      <c r="A24" s="34"/>
      <c r="B24" s="35" t="s">
        <v>55</v>
      </c>
      <c r="C24" s="36" t="s">
        <v>56</v>
      </c>
      <c r="D24" s="37">
        <v>80.0</v>
      </c>
      <c r="E24" s="45">
        <f>80*25</f>
        <v>2000</v>
      </c>
      <c r="F24" s="39" t="s">
        <v>31</v>
      </c>
      <c r="G24" s="40" t="s">
        <v>44</v>
      </c>
      <c r="H24" s="40">
        <v>0.0</v>
      </c>
      <c r="I24" s="52">
        <v>25.0</v>
      </c>
      <c r="J24" s="40">
        <v>0.0</v>
      </c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3"/>
      <c r="V24" s="44"/>
      <c r="W24" s="20"/>
      <c r="X24" s="20"/>
    </row>
    <row r="25" ht="15.75" customHeight="1">
      <c r="A25" s="34"/>
      <c r="B25" s="35" t="s">
        <v>57</v>
      </c>
      <c r="C25" s="36" t="s">
        <v>58</v>
      </c>
      <c r="D25" s="37">
        <v>30000.0</v>
      </c>
      <c r="E25" s="45">
        <f>D25*2</f>
        <v>60000</v>
      </c>
      <c r="F25" s="39" t="s">
        <v>31</v>
      </c>
      <c r="G25" s="40" t="s">
        <v>44</v>
      </c>
      <c r="H25" s="40">
        <v>0.0</v>
      </c>
      <c r="I25" s="52">
        <v>2.0</v>
      </c>
      <c r="J25" s="40">
        <v>0.0</v>
      </c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3"/>
      <c r="V25" s="44"/>
      <c r="W25" s="20"/>
      <c r="X25" s="20"/>
    </row>
    <row r="26" ht="15.75" customHeight="1">
      <c r="A26" s="34"/>
      <c r="B26" s="35" t="s">
        <v>59</v>
      </c>
      <c r="C26" s="36" t="s">
        <v>51</v>
      </c>
      <c r="D26" s="37">
        <v>3000.0</v>
      </c>
      <c r="E26" s="45">
        <f>3000*5</f>
        <v>15000</v>
      </c>
      <c r="F26" s="39" t="s">
        <v>31</v>
      </c>
      <c r="G26" s="40" t="s">
        <v>44</v>
      </c>
      <c r="H26" s="40">
        <v>0.0</v>
      </c>
      <c r="I26" s="52">
        <v>5.0</v>
      </c>
      <c r="J26" s="40">
        <v>0.0</v>
      </c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3"/>
      <c r="V26" s="44"/>
      <c r="W26" s="20"/>
      <c r="X26" s="20"/>
    </row>
    <row r="27" ht="15.75" customHeight="1">
      <c r="A27" s="34"/>
      <c r="B27" s="54" t="s">
        <v>60</v>
      </c>
      <c r="C27" s="55"/>
      <c r="D27" s="56"/>
      <c r="E27" s="55"/>
      <c r="F27" s="57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20"/>
      <c r="X27" s="20"/>
      <c r="Y27" s="2"/>
      <c r="Z27" s="2"/>
    </row>
    <row r="28" ht="15.75" customHeight="1">
      <c r="A28" s="34"/>
      <c r="B28" s="35" t="s">
        <v>61</v>
      </c>
      <c r="C28" s="36" t="s">
        <v>62</v>
      </c>
      <c r="D28" s="58">
        <v>2000.0</v>
      </c>
      <c r="E28" s="45">
        <f t="shared" ref="E28:E29" si="2">D28*10</f>
        <v>20000</v>
      </c>
      <c r="F28" s="59" t="s">
        <v>37</v>
      </c>
      <c r="G28" s="60" t="s">
        <v>63</v>
      </c>
      <c r="H28" s="61">
        <v>10.0</v>
      </c>
      <c r="I28" s="60">
        <v>0.0</v>
      </c>
      <c r="J28" s="60">
        <v>0.0</v>
      </c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20"/>
      <c r="X28" s="20"/>
      <c r="Y28" s="2"/>
      <c r="Z28" s="2"/>
    </row>
    <row r="29" ht="15.75" customHeight="1">
      <c r="A29" s="34"/>
      <c r="B29" s="62" t="s">
        <v>64</v>
      </c>
      <c r="C29" s="36" t="s">
        <v>65</v>
      </c>
      <c r="D29" s="58">
        <v>350.0</v>
      </c>
      <c r="E29" s="45">
        <f t="shared" si="2"/>
        <v>3500</v>
      </c>
      <c r="F29" s="59" t="s">
        <v>37</v>
      </c>
      <c r="G29" s="60" t="s">
        <v>63</v>
      </c>
      <c r="H29" s="61">
        <v>10.0</v>
      </c>
      <c r="I29" s="60">
        <v>0.0</v>
      </c>
      <c r="J29" s="60">
        <v>0.0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20"/>
      <c r="X29" s="20"/>
      <c r="Y29" s="2"/>
      <c r="Z29" s="2"/>
    </row>
    <row r="30" ht="15.75" customHeight="1">
      <c r="A30" s="34"/>
      <c r="B30" s="62" t="s">
        <v>66</v>
      </c>
      <c r="C30" s="36" t="s">
        <v>198</v>
      </c>
      <c r="D30" s="58">
        <v>500.0</v>
      </c>
      <c r="E30" s="45">
        <f>D30*100</f>
        <v>50000</v>
      </c>
      <c r="F30" s="59" t="s">
        <v>37</v>
      </c>
      <c r="G30" s="60" t="s">
        <v>63</v>
      </c>
      <c r="H30" s="61">
        <v>150.0</v>
      </c>
      <c r="I30" s="60">
        <v>0.0</v>
      </c>
      <c r="J30" s="60">
        <v>0.0</v>
      </c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20"/>
      <c r="X30" s="20"/>
      <c r="Y30" s="2"/>
      <c r="Z30" s="2"/>
    </row>
    <row r="31" ht="15.75" customHeight="1">
      <c r="A31" s="34"/>
      <c r="B31" s="62" t="s">
        <v>68</v>
      </c>
      <c r="C31" s="36" t="s">
        <v>199</v>
      </c>
      <c r="D31" s="37">
        <v>600.0</v>
      </c>
      <c r="E31" s="45">
        <f t="shared" ref="E31:E32" si="3">D31*30</f>
        <v>18000</v>
      </c>
      <c r="F31" s="59" t="s">
        <v>37</v>
      </c>
      <c r="G31" s="60" t="s">
        <v>63</v>
      </c>
      <c r="H31" s="61">
        <v>30.0</v>
      </c>
      <c r="I31" s="60">
        <v>0.0</v>
      </c>
      <c r="J31" s="60">
        <v>0.0</v>
      </c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20"/>
      <c r="X31" s="20"/>
      <c r="Y31" s="2"/>
      <c r="Z31" s="2"/>
    </row>
    <row r="32" ht="15.75" customHeight="1">
      <c r="A32" s="34"/>
      <c r="B32" s="62" t="s">
        <v>70</v>
      </c>
      <c r="C32" s="36" t="s">
        <v>199</v>
      </c>
      <c r="D32" s="58">
        <v>200.0</v>
      </c>
      <c r="E32" s="45">
        <f t="shared" si="3"/>
        <v>6000</v>
      </c>
      <c r="F32" s="59" t="s">
        <v>37</v>
      </c>
      <c r="G32" s="60" t="s">
        <v>63</v>
      </c>
      <c r="H32" s="61">
        <v>30.0</v>
      </c>
      <c r="I32" s="60">
        <v>0.0</v>
      </c>
      <c r="J32" s="60">
        <v>0.0</v>
      </c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20"/>
      <c r="X32" s="20"/>
      <c r="Y32" s="2"/>
      <c r="Z32" s="2"/>
    </row>
    <row r="33" ht="15.75" customHeight="1">
      <c r="A33" s="34"/>
      <c r="B33" s="62" t="s">
        <v>71</v>
      </c>
      <c r="C33" s="36" t="s">
        <v>200</v>
      </c>
      <c r="D33" s="37">
        <v>900.0</v>
      </c>
      <c r="E33" s="45">
        <f>D33*20</f>
        <v>18000</v>
      </c>
      <c r="F33" s="59" t="s">
        <v>37</v>
      </c>
      <c r="G33" s="60" t="s">
        <v>63</v>
      </c>
      <c r="H33" s="61">
        <v>5.0</v>
      </c>
      <c r="I33" s="60">
        <v>5.0</v>
      </c>
      <c r="J33" s="60">
        <v>10.0</v>
      </c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20"/>
      <c r="X33" s="20"/>
      <c r="Y33" s="2"/>
      <c r="Z33" s="2"/>
    </row>
    <row r="34" ht="15.75" customHeight="1">
      <c r="A34" s="34"/>
      <c r="B34" s="35" t="s">
        <v>72</v>
      </c>
      <c r="C34" s="36" t="s">
        <v>73</v>
      </c>
      <c r="D34" s="37">
        <v>3000.0</v>
      </c>
      <c r="E34" s="45">
        <f t="shared" ref="E34:E36" si="4">D34*4</f>
        <v>12000</v>
      </c>
      <c r="F34" s="59" t="s">
        <v>37</v>
      </c>
      <c r="G34" s="60" t="s">
        <v>63</v>
      </c>
      <c r="H34" s="61">
        <v>4.0</v>
      </c>
      <c r="I34" s="60">
        <v>0.0</v>
      </c>
      <c r="J34" s="60">
        <v>0.0</v>
      </c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20"/>
      <c r="X34" s="20"/>
      <c r="Y34" s="2"/>
      <c r="Z34" s="2"/>
    </row>
    <row r="35" ht="15.75" customHeight="1">
      <c r="A35" s="34"/>
      <c r="B35" s="35" t="s">
        <v>74</v>
      </c>
      <c r="C35" s="36" t="s">
        <v>73</v>
      </c>
      <c r="D35" s="37">
        <v>3000.0</v>
      </c>
      <c r="E35" s="45">
        <f t="shared" si="4"/>
        <v>12000</v>
      </c>
      <c r="F35" s="59" t="s">
        <v>37</v>
      </c>
      <c r="G35" s="60" t="s">
        <v>63</v>
      </c>
      <c r="H35" s="61">
        <v>4.0</v>
      </c>
      <c r="I35" s="60">
        <v>0.0</v>
      </c>
      <c r="J35" s="60">
        <v>0.0</v>
      </c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20"/>
      <c r="X35" s="20"/>
      <c r="Y35" s="2"/>
      <c r="Z35" s="2"/>
    </row>
    <row r="36" ht="15.75" customHeight="1">
      <c r="A36" s="34"/>
      <c r="B36" s="35" t="s">
        <v>75</v>
      </c>
      <c r="C36" s="36" t="s">
        <v>73</v>
      </c>
      <c r="D36" s="37">
        <v>5000.0</v>
      </c>
      <c r="E36" s="45">
        <f t="shared" si="4"/>
        <v>20000</v>
      </c>
      <c r="F36" s="59" t="s">
        <v>37</v>
      </c>
      <c r="G36" s="60" t="s">
        <v>63</v>
      </c>
      <c r="H36" s="61">
        <v>4.0</v>
      </c>
      <c r="I36" s="60">
        <v>0.0</v>
      </c>
      <c r="J36" s="60">
        <v>0.0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20"/>
      <c r="X36" s="20"/>
      <c r="Y36" s="2"/>
      <c r="Z36" s="2"/>
    </row>
    <row r="37" ht="15.75" customHeight="1">
      <c r="A37" s="34"/>
      <c r="B37" s="35" t="s">
        <v>77</v>
      </c>
      <c r="C37" s="36" t="s">
        <v>78</v>
      </c>
      <c r="D37" s="37">
        <v>2000.0</v>
      </c>
      <c r="E37" s="45">
        <f>D37*8</f>
        <v>16000</v>
      </c>
      <c r="F37" s="59" t="s">
        <v>37</v>
      </c>
      <c r="G37" s="60" t="s">
        <v>63</v>
      </c>
      <c r="H37" s="61">
        <v>8.0</v>
      </c>
      <c r="I37" s="60">
        <v>0.0</v>
      </c>
      <c r="J37" s="60">
        <v>0.0</v>
      </c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20"/>
      <c r="X37" s="20"/>
      <c r="Y37" s="2"/>
      <c r="Z37" s="2"/>
    </row>
    <row r="38" ht="15.75" customHeight="1">
      <c r="A38" s="34"/>
      <c r="B38" s="35" t="s">
        <v>79</v>
      </c>
      <c r="C38" s="36" t="s">
        <v>80</v>
      </c>
      <c r="D38" s="37">
        <v>15000.0</v>
      </c>
      <c r="E38" s="45">
        <f t="shared" ref="E38:E39" si="5">15000*3</f>
        <v>45000</v>
      </c>
      <c r="F38" s="59" t="s">
        <v>37</v>
      </c>
      <c r="G38" s="60" t="s">
        <v>63</v>
      </c>
      <c r="H38" s="61">
        <v>3.0</v>
      </c>
      <c r="I38" s="60">
        <v>0.0</v>
      </c>
      <c r="J38" s="60">
        <v>0.0</v>
      </c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20"/>
      <c r="X38" s="20"/>
      <c r="Y38" s="2"/>
      <c r="Z38" s="2"/>
    </row>
    <row r="39" ht="15.75" customHeight="1">
      <c r="A39" s="34"/>
      <c r="B39" s="35" t="s">
        <v>81</v>
      </c>
      <c r="C39" s="36" t="s">
        <v>80</v>
      </c>
      <c r="D39" s="37">
        <v>15000.0</v>
      </c>
      <c r="E39" s="45">
        <f t="shared" si="5"/>
        <v>45000</v>
      </c>
      <c r="F39" s="59" t="s">
        <v>37</v>
      </c>
      <c r="G39" s="60" t="s">
        <v>63</v>
      </c>
      <c r="H39" s="61">
        <v>3.0</v>
      </c>
      <c r="I39" s="60">
        <v>0.0</v>
      </c>
      <c r="J39" s="60">
        <v>0.0</v>
      </c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20"/>
      <c r="X39" s="20"/>
      <c r="Y39" s="2"/>
      <c r="Z39" s="2"/>
    </row>
    <row r="40" ht="15.75" customHeight="1">
      <c r="A40" s="34"/>
      <c r="B40" s="35" t="s">
        <v>82</v>
      </c>
      <c r="C40" s="36" t="s">
        <v>83</v>
      </c>
      <c r="D40" s="37">
        <v>450.0</v>
      </c>
      <c r="E40" s="45">
        <f t="shared" ref="E40:E41" si="6">D40*25</f>
        <v>11250</v>
      </c>
      <c r="F40" s="59" t="s">
        <v>37</v>
      </c>
      <c r="G40" s="60" t="s">
        <v>63</v>
      </c>
      <c r="H40" s="61">
        <v>50.0</v>
      </c>
      <c r="I40" s="60">
        <v>0.0</v>
      </c>
      <c r="J40" s="60">
        <v>0.0</v>
      </c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20"/>
      <c r="X40" s="20"/>
      <c r="Y40" s="2"/>
      <c r="Z40" s="2"/>
    </row>
    <row r="41" ht="15.75" customHeight="1">
      <c r="A41" s="34"/>
      <c r="B41" s="35" t="s">
        <v>84</v>
      </c>
      <c r="C41" s="36" t="s">
        <v>83</v>
      </c>
      <c r="D41" s="37">
        <v>450.0</v>
      </c>
      <c r="E41" s="45">
        <f t="shared" si="6"/>
        <v>11250</v>
      </c>
      <c r="F41" s="59" t="s">
        <v>37</v>
      </c>
      <c r="G41" s="60" t="s">
        <v>63</v>
      </c>
      <c r="H41" s="61">
        <v>50.0</v>
      </c>
      <c r="I41" s="60">
        <v>0.0</v>
      </c>
      <c r="J41" s="60">
        <v>0.0</v>
      </c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20"/>
      <c r="X41" s="20"/>
      <c r="Y41" s="2"/>
      <c r="Z41" s="2"/>
    </row>
    <row r="42" ht="15.75" customHeight="1">
      <c r="A42" s="34"/>
      <c r="B42" s="35" t="s">
        <v>85</v>
      </c>
      <c r="C42" s="36" t="s">
        <v>76</v>
      </c>
      <c r="D42" s="37">
        <v>7000.0</v>
      </c>
      <c r="E42" s="45">
        <f>7000*10</f>
        <v>70000</v>
      </c>
      <c r="F42" s="59" t="s">
        <v>37</v>
      </c>
      <c r="G42" s="60" t="s">
        <v>63</v>
      </c>
      <c r="H42" s="61"/>
      <c r="I42" s="60">
        <v>0.0</v>
      </c>
      <c r="J42" s="60">
        <v>0.0</v>
      </c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20"/>
      <c r="X42" s="20"/>
      <c r="Y42" s="2"/>
      <c r="Z42" s="2"/>
    </row>
    <row r="43" ht="15.75" customHeight="1">
      <c r="A43" s="34"/>
      <c r="B43" s="35" t="s">
        <v>86</v>
      </c>
      <c r="C43" s="36" t="s">
        <v>87</v>
      </c>
      <c r="D43" s="37">
        <v>500.0</v>
      </c>
      <c r="E43" s="45">
        <f>D43*40</f>
        <v>20000</v>
      </c>
      <c r="F43" s="59" t="s">
        <v>37</v>
      </c>
      <c r="G43" s="60" t="s">
        <v>63</v>
      </c>
      <c r="H43" s="61">
        <v>40.0</v>
      </c>
      <c r="I43" s="60">
        <v>0.0</v>
      </c>
      <c r="J43" s="60">
        <v>0.0</v>
      </c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20"/>
      <c r="X43" s="20"/>
      <c r="Y43" s="2"/>
      <c r="Z43" s="2"/>
    </row>
    <row r="44" ht="15.75" customHeight="1">
      <c r="A44" s="34"/>
      <c r="B44" s="35" t="s">
        <v>88</v>
      </c>
      <c r="C44" s="36" t="s">
        <v>89</v>
      </c>
      <c r="D44" s="37">
        <v>800.0</v>
      </c>
      <c r="E44" s="45">
        <f>D44*60</f>
        <v>48000</v>
      </c>
      <c r="F44" s="59" t="s">
        <v>37</v>
      </c>
      <c r="G44" s="60" t="s">
        <v>63</v>
      </c>
      <c r="H44" s="61">
        <v>60.0</v>
      </c>
      <c r="I44" s="60">
        <v>0.0</v>
      </c>
      <c r="J44" s="60">
        <v>0.0</v>
      </c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20"/>
      <c r="X44" s="20"/>
      <c r="Y44" s="2"/>
      <c r="Z44" s="2"/>
    </row>
    <row r="45">
      <c r="A45" s="34"/>
      <c r="B45" s="35" t="s">
        <v>90</v>
      </c>
      <c r="C45" s="36" t="s">
        <v>94</v>
      </c>
      <c r="D45" s="37">
        <v>900.0</v>
      </c>
      <c r="E45" s="45">
        <f>D45*50</f>
        <v>45000</v>
      </c>
      <c r="F45" s="59" t="s">
        <v>37</v>
      </c>
      <c r="G45" s="60" t="s">
        <v>63</v>
      </c>
      <c r="H45" s="61">
        <v>10.0</v>
      </c>
      <c r="I45" s="60">
        <v>0.0</v>
      </c>
      <c r="J45" s="60">
        <v>0.0</v>
      </c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20"/>
      <c r="X45" s="20"/>
      <c r="Y45" s="2"/>
      <c r="Z45" s="2"/>
    </row>
    <row r="46">
      <c r="A46" s="34"/>
      <c r="B46" s="35" t="s">
        <v>92</v>
      </c>
      <c r="C46" s="36" t="s">
        <v>94</v>
      </c>
      <c r="D46" s="37">
        <v>500.0</v>
      </c>
      <c r="E46" s="45">
        <f>500*50</f>
        <v>25000</v>
      </c>
      <c r="F46" s="59" t="s">
        <v>37</v>
      </c>
      <c r="G46" s="60" t="s">
        <v>63</v>
      </c>
      <c r="H46" s="61"/>
      <c r="I46" s="60"/>
      <c r="J46" s="60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20"/>
      <c r="X46" s="20"/>
      <c r="Y46" s="2"/>
      <c r="Z46" s="2"/>
    </row>
    <row r="47">
      <c r="A47" s="34"/>
      <c r="B47" s="35" t="s">
        <v>93</v>
      </c>
      <c r="C47" s="36" t="s">
        <v>201</v>
      </c>
      <c r="D47" s="37">
        <v>800.0</v>
      </c>
      <c r="E47" s="45">
        <f>800*100</f>
        <v>80000</v>
      </c>
      <c r="F47" s="59" t="s">
        <v>37</v>
      </c>
      <c r="G47" s="60" t="s">
        <v>63</v>
      </c>
      <c r="H47" s="61"/>
      <c r="I47" s="60"/>
      <c r="J47" s="60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20"/>
      <c r="X47" s="20"/>
      <c r="Y47" s="2"/>
      <c r="Z47" s="2"/>
    </row>
    <row r="48" ht="15.75" customHeight="1">
      <c r="A48" s="34"/>
      <c r="B48" s="35" t="s">
        <v>95</v>
      </c>
      <c r="C48" s="36" t="s">
        <v>62</v>
      </c>
      <c r="D48" s="37">
        <v>5500.0</v>
      </c>
      <c r="E48" s="45">
        <f>D48*10</f>
        <v>55000</v>
      </c>
      <c r="F48" s="59" t="s">
        <v>37</v>
      </c>
      <c r="G48" s="60" t="s">
        <v>63</v>
      </c>
      <c r="H48" s="61">
        <v>10.0</v>
      </c>
      <c r="I48" s="60">
        <v>0.0</v>
      </c>
      <c r="J48" s="60">
        <v>0.0</v>
      </c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20"/>
      <c r="X48" s="20"/>
      <c r="Y48" s="2"/>
      <c r="Z48" s="2"/>
    </row>
    <row r="49" ht="15.75" customHeight="1">
      <c r="A49" s="34"/>
      <c r="B49" s="63" t="s">
        <v>96</v>
      </c>
      <c r="C49" s="50" t="s">
        <v>69</v>
      </c>
      <c r="D49" s="64">
        <v>700.0</v>
      </c>
      <c r="E49" s="65">
        <f>D49*15</f>
        <v>10500</v>
      </c>
      <c r="F49" s="59" t="s">
        <v>37</v>
      </c>
      <c r="G49" s="60" t="s">
        <v>63</v>
      </c>
      <c r="H49" s="66">
        <v>15.0</v>
      </c>
      <c r="I49" s="67">
        <v>0.0</v>
      </c>
      <c r="J49" s="67">
        <v>0.0</v>
      </c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20"/>
      <c r="X49" s="20"/>
      <c r="Y49" s="2"/>
      <c r="Z49" s="2"/>
    </row>
    <row r="50" ht="15.75" customHeight="1">
      <c r="A50" s="34"/>
      <c r="B50" s="63" t="s">
        <v>97</v>
      </c>
      <c r="C50" s="50" t="s">
        <v>62</v>
      </c>
      <c r="D50" s="64">
        <v>2500.0</v>
      </c>
      <c r="E50" s="65">
        <f>D50*10</f>
        <v>25000</v>
      </c>
      <c r="F50" s="59" t="s">
        <v>37</v>
      </c>
      <c r="G50" s="60" t="s">
        <v>63</v>
      </c>
      <c r="H50" s="66">
        <v>10.0</v>
      </c>
      <c r="I50" s="67">
        <v>0.0</v>
      </c>
      <c r="J50" s="67">
        <v>0.0</v>
      </c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20"/>
      <c r="X50" s="20"/>
      <c r="Y50" s="2"/>
      <c r="Z50" s="2"/>
    </row>
    <row r="51" ht="15.75" customHeight="1">
      <c r="A51" s="34"/>
      <c r="B51" s="63" t="s">
        <v>98</v>
      </c>
      <c r="C51" s="50" t="s">
        <v>99</v>
      </c>
      <c r="D51" s="64">
        <v>4500.0</v>
      </c>
      <c r="E51" s="65">
        <f>D51*30</f>
        <v>135000</v>
      </c>
      <c r="F51" s="59" t="s">
        <v>37</v>
      </c>
      <c r="G51" s="60" t="s">
        <v>63</v>
      </c>
      <c r="H51" s="66">
        <v>30.0</v>
      </c>
      <c r="I51" s="67">
        <v>0.0</v>
      </c>
      <c r="J51" s="67">
        <v>0.0</v>
      </c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20"/>
      <c r="X51" s="20"/>
      <c r="Y51" s="2"/>
      <c r="Z51" s="2"/>
    </row>
    <row r="52" ht="15.75" customHeight="1">
      <c r="A52" s="34"/>
      <c r="B52" s="63" t="s">
        <v>100</v>
      </c>
      <c r="C52" s="50" t="s">
        <v>76</v>
      </c>
      <c r="D52" s="64">
        <v>1500.0</v>
      </c>
      <c r="E52" s="65">
        <f>D52*10</f>
        <v>15000</v>
      </c>
      <c r="F52" s="69" t="s">
        <v>37</v>
      </c>
      <c r="G52" s="60" t="s">
        <v>63</v>
      </c>
      <c r="H52" s="66">
        <v>10.0</v>
      </c>
      <c r="I52" s="67">
        <v>0.0</v>
      </c>
      <c r="J52" s="67">
        <v>0.0</v>
      </c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20"/>
      <c r="X52" s="20"/>
      <c r="Y52" s="2"/>
      <c r="Z52" s="2"/>
    </row>
    <row r="53" ht="15.75" customHeight="1">
      <c r="A53" s="34"/>
      <c r="B53" s="63" t="s">
        <v>101</v>
      </c>
      <c r="C53" s="50" t="s">
        <v>102</v>
      </c>
      <c r="D53" s="64">
        <v>12000.0</v>
      </c>
      <c r="E53" s="65">
        <f>D53*10</f>
        <v>120000</v>
      </c>
      <c r="F53" s="69" t="s">
        <v>37</v>
      </c>
      <c r="G53" s="60" t="s">
        <v>63</v>
      </c>
      <c r="H53" s="66">
        <v>5.0</v>
      </c>
      <c r="I53" s="67">
        <v>0.0</v>
      </c>
      <c r="J53" s="67">
        <v>0.0</v>
      </c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20"/>
      <c r="X53" s="20"/>
      <c r="Y53" s="2"/>
      <c r="Z53" s="2"/>
    </row>
    <row r="54" ht="15.75" customHeight="1">
      <c r="A54" s="34"/>
      <c r="B54" s="63" t="s">
        <v>103</v>
      </c>
      <c r="C54" s="50" t="s">
        <v>39</v>
      </c>
      <c r="D54" s="64">
        <v>10000.0</v>
      </c>
      <c r="E54" s="65">
        <f t="shared" ref="E54:E55" si="7">10000*4</f>
        <v>40000</v>
      </c>
      <c r="F54" s="69" t="s">
        <v>37</v>
      </c>
      <c r="G54" s="60" t="s">
        <v>63</v>
      </c>
      <c r="H54" s="70">
        <v>4.0</v>
      </c>
      <c r="I54" s="67">
        <v>0.0</v>
      </c>
      <c r="J54" s="67">
        <v>0.0</v>
      </c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20"/>
      <c r="X54" s="20"/>
      <c r="Y54" s="2"/>
      <c r="Z54" s="2"/>
    </row>
    <row r="55" ht="15.75" customHeight="1">
      <c r="A55" s="34"/>
      <c r="B55" s="63" t="s">
        <v>104</v>
      </c>
      <c r="C55" s="50" t="s">
        <v>39</v>
      </c>
      <c r="D55" s="64">
        <v>10000.0</v>
      </c>
      <c r="E55" s="65">
        <f t="shared" si="7"/>
        <v>40000</v>
      </c>
      <c r="F55" s="69" t="s">
        <v>37</v>
      </c>
      <c r="G55" s="60" t="s">
        <v>63</v>
      </c>
      <c r="H55" s="70">
        <v>4.0</v>
      </c>
      <c r="I55" s="67">
        <v>0.0</v>
      </c>
      <c r="J55" s="67">
        <v>0.0</v>
      </c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20"/>
      <c r="X55" s="20"/>
      <c r="Y55" s="2"/>
      <c r="Z55" s="2"/>
    </row>
    <row r="56" ht="15.75" customHeight="1">
      <c r="A56" s="34"/>
      <c r="B56" s="35" t="s">
        <v>105</v>
      </c>
      <c r="C56" s="36" t="s">
        <v>43</v>
      </c>
      <c r="D56" s="37">
        <v>5000.0</v>
      </c>
      <c r="E56" s="45">
        <f>5000*25</f>
        <v>125000</v>
      </c>
      <c r="F56" s="69" t="s">
        <v>37</v>
      </c>
      <c r="G56" s="60" t="s">
        <v>63</v>
      </c>
      <c r="H56" s="71">
        <v>25.0</v>
      </c>
      <c r="I56" s="60">
        <v>0.0</v>
      </c>
      <c r="J56" s="60">
        <v>0.0</v>
      </c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20"/>
      <c r="X56" s="20"/>
      <c r="Y56" s="2"/>
      <c r="Z56" s="2"/>
    </row>
    <row r="57" ht="15.75" customHeight="1">
      <c r="A57" s="34"/>
      <c r="B57" s="63" t="s">
        <v>106</v>
      </c>
      <c r="C57" s="50" t="s">
        <v>102</v>
      </c>
      <c r="D57" s="64">
        <v>8000.0</v>
      </c>
      <c r="E57" s="65">
        <f t="shared" ref="E57:E60" si="8">D57*10</f>
        <v>80000</v>
      </c>
      <c r="F57" s="69" t="s">
        <v>37</v>
      </c>
      <c r="G57" s="60" t="s">
        <v>63</v>
      </c>
      <c r="H57" s="70">
        <v>5.0</v>
      </c>
      <c r="I57" s="67">
        <v>0.0</v>
      </c>
      <c r="J57" s="67">
        <v>0.0</v>
      </c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20"/>
      <c r="X57" s="20"/>
      <c r="Y57" s="2"/>
      <c r="Z57" s="2"/>
    </row>
    <row r="58" ht="15.75" customHeight="1">
      <c r="A58" s="34"/>
      <c r="B58" s="63" t="s">
        <v>107</v>
      </c>
      <c r="C58" s="50" t="s">
        <v>121</v>
      </c>
      <c r="D58" s="64">
        <v>2500.0</v>
      </c>
      <c r="E58" s="65">
        <f t="shared" si="8"/>
        <v>25000</v>
      </c>
      <c r="F58" s="69" t="s">
        <v>37</v>
      </c>
      <c r="G58" s="60" t="s">
        <v>63</v>
      </c>
      <c r="H58" s="70">
        <v>5.0</v>
      </c>
      <c r="I58" s="67">
        <v>0.0</v>
      </c>
      <c r="J58" s="67">
        <v>0.0</v>
      </c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20"/>
      <c r="X58" s="20"/>
      <c r="Y58" s="2"/>
      <c r="Z58" s="2"/>
    </row>
    <row r="59" ht="15.75" customHeight="1">
      <c r="A59" s="34"/>
      <c r="B59" s="63" t="s">
        <v>109</v>
      </c>
      <c r="C59" s="50" t="s">
        <v>121</v>
      </c>
      <c r="D59" s="64">
        <v>900.0</v>
      </c>
      <c r="E59" s="65">
        <f t="shared" si="8"/>
        <v>9000</v>
      </c>
      <c r="F59" s="69" t="s">
        <v>37</v>
      </c>
      <c r="G59" s="60" t="s">
        <v>63</v>
      </c>
      <c r="H59" s="70">
        <v>5.0</v>
      </c>
      <c r="I59" s="67">
        <v>0.0</v>
      </c>
      <c r="J59" s="67">
        <v>0.0</v>
      </c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20"/>
      <c r="X59" s="20"/>
      <c r="Y59" s="2"/>
      <c r="Z59" s="2"/>
    </row>
    <row r="60" ht="15.75" customHeight="1">
      <c r="A60" s="34"/>
      <c r="B60" s="63" t="s">
        <v>110</v>
      </c>
      <c r="C60" s="50" t="s">
        <v>121</v>
      </c>
      <c r="D60" s="64">
        <v>2400.0</v>
      </c>
      <c r="E60" s="65">
        <f t="shared" si="8"/>
        <v>24000</v>
      </c>
      <c r="F60" s="69" t="s">
        <v>37</v>
      </c>
      <c r="G60" s="60" t="s">
        <v>63</v>
      </c>
      <c r="H60" s="70">
        <v>5.0</v>
      </c>
      <c r="I60" s="67">
        <v>0.0</v>
      </c>
      <c r="J60" s="67">
        <v>0.0</v>
      </c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20"/>
      <c r="X60" s="20"/>
      <c r="Y60" s="2"/>
      <c r="Z60" s="2"/>
    </row>
    <row r="61" ht="15.75" customHeight="1">
      <c r="A61" s="34"/>
      <c r="B61" s="72" t="s">
        <v>111</v>
      </c>
      <c r="C61" s="93" t="s">
        <v>121</v>
      </c>
      <c r="D61" s="73">
        <v>10000.0</v>
      </c>
      <c r="E61" s="74">
        <f>D61*10</f>
        <v>100000</v>
      </c>
      <c r="F61" s="75" t="s">
        <v>37</v>
      </c>
      <c r="G61" s="60" t="s">
        <v>63</v>
      </c>
      <c r="H61" s="76">
        <v>5.0</v>
      </c>
      <c r="I61" s="67">
        <v>0.0</v>
      </c>
      <c r="J61" s="67">
        <v>0.0</v>
      </c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20"/>
      <c r="X61" s="20"/>
      <c r="Y61" s="2"/>
      <c r="Z61" s="2"/>
    </row>
    <row r="62" ht="15.75" customHeight="1">
      <c r="A62" s="34"/>
      <c r="B62" s="72" t="s">
        <v>112</v>
      </c>
      <c r="C62" s="93" t="s">
        <v>121</v>
      </c>
      <c r="D62" s="73">
        <v>10000.0</v>
      </c>
      <c r="E62" s="74">
        <f t="shared" ref="E62:E65" si="9">D62*10</f>
        <v>100000</v>
      </c>
      <c r="F62" s="75" t="s">
        <v>37</v>
      </c>
      <c r="G62" s="60" t="s">
        <v>63</v>
      </c>
      <c r="H62" s="76">
        <v>5.0</v>
      </c>
      <c r="I62" s="67">
        <v>0.0</v>
      </c>
      <c r="J62" s="67">
        <v>0.0</v>
      </c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20"/>
      <c r="X62" s="20"/>
      <c r="Y62" s="2"/>
      <c r="Z62" s="2"/>
    </row>
    <row r="63" ht="15.75" customHeight="1">
      <c r="A63" s="34"/>
      <c r="B63" s="63" t="s">
        <v>113</v>
      </c>
      <c r="C63" s="50" t="s">
        <v>121</v>
      </c>
      <c r="D63" s="64">
        <v>45000.0</v>
      </c>
      <c r="E63" s="65">
        <f t="shared" si="9"/>
        <v>450000</v>
      </c>
      <c r="F63" s="69" t="s">
        <v>37</v>
      </c>
      <c r="G63" s="60" t="s">
        <v>63</v>
      </c>
      <c r="H63" s="70">
        <v>5.0</v>
      </c>
      <c r="I63" s="67">
        <v>0.0</v>
      </c>
      <c r="J63" s="67">
        <v>0.0</v>
      </c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20"/>
      <c r="X63" s="20"/>
      <c r="Y63" s="2"/>
      <c r="Z63" s="2"/>
    </row>
    <row r="64" ht="15.75" customHeight="1">
      <c r="A64" s="34"/>
      <c r="B64" s="63" t="s">
        <v>114</v>
      </c>
      <c r="C64" s="50" t="s">
        <v>121</v>
      </c>
      <c r="D64" s="64">
        <v>6000.0</v>
      </c>
      <c r="E64" s="65">
        <f t="shared" si="9"/>
        <v>60000</v>
      </c>
      <c r="F64" s="69" t="s">
        <v>37</v>
      </c>
      <c r="G64" s="60" t="s">
        <v>63</v>
      </c>
      <c r="H64" s="70">
        <v>5.0</v>
      </c>
      <c r="I64" s="67">
        <v>0.0</v>
      </c>
      <c r="J64" s="67">
        <v>0.0</v>
      </c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20"/>
      <c r="X64" s="20"/>
      <c r="Y64" s="2"/>
      <c r="Z64" s="2"/>
    </row>
    <row r="65" ht="15.75" customHeight="1">
      <c r="A65" s="34"/>
      <c r="B65" s="63" t="s">
        <v>115</v>
      </c>
      <c r="C65" s="50" t="s">
        <v>123</v>
      </c>
      <c r="D65" s="64">
        <v>1000.0</v>
      </c>
      <c r="E65" s="65">
        <f t="shared" si="9"/>
        <v>10000</v>
      </c>
      <c r="F65" s="69" t="s">
        <v>37</v>
      </c>
      <c r="G65" s="60" t="s">
        <v>63</v>
      </c>
      <c r="H65" s="70">
        <v>5.0</v>
      </c>
      <c r="I65" s="67">
        <v>0.0</v>
      </c>
      <c r="J65" s="67">
        <v>0.0</v>
      </c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20"/>
      <c r="X65" s="20"/>
      <c r="Y65" s="2"/>
      <c r="Z65" s="2"/>
    </row>
    <row r="66" ht="15.75" customHeight="1">
      <c r="A66" s="34"/>
      <c r="B66" s="63" t="s">
        <v>117</v>
      </c>
      <c r="C66" s="50" t="s">
        <v>202</v>
      </c>
      <c r="D66" s="64">
        <v>600.0</v>
      </c>
      <c r="E66" s="65">
        <f t="shared" ref="E66:E67" si="10">D66*30</f>
        <v>18000</v>
      </c>
      <c r="F66" s="69" t="s">
        <v>37</v>
      </c>
      <c r="G66" s="60" t="s">
        <v>63</v>
      </c>
      <c r="H66" s="70">
        <v>5.0</v>
      </c>
      <c r="I66" s="67">
        <v>0.0</v>
      </c>
      <c r="J66" s="67">
        <v>0.0</v>
      </c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20"/>
      <c r="X66" s="20"/>
      <c r="Y66" s="2"/>
      <c r="Z66" s="2"/>
    </row>
    <row r="67" ht="15.75" customHeight="1">
      <c r="A67" s="34"/>
      <c r="B67" s="63" t="s">
        <v>119</v>
      </c>
      <c r="C67" s="50" t="s">
        <v>202</v>
      </c>
      <c r="D67" s="64">
        <v>1000.0</v>
      </c>
      <c r="E67" s="65">
        <f t="shared" si="10"/>
        <v>30000</v>
      </c>
      <c r="F67" s="69" t="s">
        <v>37</v>
      </c>
      <c r="G67" s="60" t="s">
        <v>63</v>
      </c>
      <c r="H67" s="70">
        <v>5.0</v>
      </c>
      <c r="I67" s="67">
        <v>0.0</v>
      </c>
      <c r="J67" s="67">
        <v>0.0</v>
      </c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20"/>
      <c r="X67" s="20"/>
      <c r="Y67" s="2"/>
      <c r="Z67" s="2"/>
    </row>
    <row r="68" ht="15.75" customHeight="1">
      <c r="A68" s="34"/>
      <c r="B68" s="63" t="s">
        <v>120</v>
      </c>
      <c r="C68" s="50" t="s">
        <v>121</v>
      </c>
      <c r="D68" s="64">
        <v>1000.0</v>
      </c>
      <c r="E68" s="65">
        <f>D68*10</f>
        <v>10000</v>
      </c>
      <c r="F68" s="69" t="s">
        <v>37</v>
      </c>
      <c r="G68" s="60" t="s">
        <v>63</v>
      </c>
      <c r="H68" s="70">
        <v>5.0</v>
      </c>
      <c r="I68" s="67">
        <v>0.0</v>
      </c>
      <c r="J68" s="67">
        <v>0.0</v>
      </c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20"/>
      <c r="X68" s="20"/>
      <c r="Y68" s="2"/>
      <c r="Z68" s="2"/>
    </row>
    <row r="69" ht="15.75" customHeight="1">
      <c r="A69" s="34"/>
      <c r="B69" s="63" t="s">
        <v>122</v>
      </c>
      <c r="C69" s="50" t="s">
        <v>123</v>
      </c>
      <c r="D69" s="64">
        <v>500.0</v>
      </c>
      <c r="E69" s="65">
        <f t="shared" ref="E69:E70" si="11">D69*10</f>
        <v>5000</v>
      </c>
      <c r="F69" s="69" t="s">
        <v>37</v>
      </c>
      <c r="G69" s="60" t="s">
        <v>63</v>
      </c>
      <c r="H69" s="70">
        <v>10.0</v>
      </c>
      <c r="I69" s="67">
        <v>0.0</v>
      </c>
      <c r="J69" s="67">
        <v>0.0</v>
      </c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20"/>
      <c r="X69" s="20"/>
      <c r="Y69" s="2"/>
      <c r="Z69" s="2"/>
    </row>
    <row r="70" ht="15.75" customHeight="1">
      <c r="A70" s="34"/>
      <c r="B70" s="63" t="s">
        <v>100</v>
      </c>
      <c r="C70" s="50" t="s">
        <v>76</v>
      </c>
      <c r="D70" s="64">
        <v>1500.0</v>
      </c>
      <c r="E70" s="65">
        <f t="shared" si="11"/>
        <v>15000</v>
      </c>
      <c r="F70" s="69" t="s">
        <v>37</v>
      </c>
      <c r="G70" s="60" t="s">
        <v>63</v>
      </c>
      <c r="H70" s="70">
        <v>10.0</v>
      </c>
      <c r="I70" s="67">
        <v>0.0</v>
      </c>
      <c r="J70" s="67">
        <v>0.0</v>
      </c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20"/>
      <c r="X70" s="20"/>
      <c r="Y70" s="2"/>
      <c r="Z70" s="2"/>
    </row>
    <row r="71" ht="15.75" customHeight="1">
      <c r="A71" s="34"/>
      <c r="B71" s="63" t="s">
        <v>124</v>
      </c>
      <c r="C71" s="50" t="s">
        <v>118</v>
      </c>
      <c r="D71" s="64">
        <v>500.0</v>
      </c>
      <c r="E71" s="65">
        <f>D71*10</f>
        <v>5000</v>
      </c>
      <c r="F71" s="69" t="s">
        <v>37</v>
      </c>
      <c r="G71" s="60" t="s">
        <v>63</v>
      </c>
      <c r="H71" s="70">
        <v>5.0</v>
      </c>
      <c r="I71" s="67">
        <v>0.0</v>
      </c>
      <c r="J71" s="67">
        <v>0.0</v>
      </c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20"/>
      <c r="X71" s="20"/>
      <c r="Y71" s="2"/>
      <c r="Z71" s="2"/>
    </row>
    <row r="72" ht="15.75" customHeight="1">
      <c r="A72" s="34"/>
      <c r="B72" s="63" t="s">
        <v>125</v>
      </c>
      <c r="C72" s="50" t="s">
        <v>196</v>
      </c>
      <c r="D72" s="64">
        <v>1500.0</v>
      </c>
      <c r="E72" s="65">
        <f>D72*50</f>
        <v>75000</v>
      </c>
      <c r="F72" s="69" t="s">
        <v>37</v>
      </c>
      <c r="G72" s="60" t="s">
        <v>63</v>
      </c>
      <c r="H72" s="70">
        <v>50.0</v>
      </c>
      <c r="I72" s="67">
        <v>0.0</v>
      </c>
      <c r="J72" s="67">
        <v>0.0</v>
      </c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20"/>
      <c r="X72" s="20"/>
      <c r="Y72" s="2"/>
      <c r="Z72" s="2"/>
    </row>
    <row r="73" ht="15.75" customHeight="1">
      <c r="A73" s="34"/>
      <c r="B73" s="35" t="s">
        <v>126</v>
      </c>
      <c r="C73" s="77" t="s">
        <v>127</v>
      </c>
      <c r="D73" s="37">
        <v>5000.0</v>
      </c>
      <c r="E73" s="45">
        <f>D73*10</f>
        <v>50000</v>
      </c>
      <c r="F73" s="39" t="s">
        <v>37</v>
      </c>
      <c r="G73" s="60" t="s">
        <v>63</v>
      </c>
      <c r="H73" s="40">
        <v>0.0</v>
      </c>
      <c r="I73" s="78">
        <v>20.0</v>
      </c>
      <c r="J73" s="40">
        <v>0.0</v>
      </c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79"/>
      <c r="V73" s="44"/>
      <c r="W73" s="20"/>
      <c r="X73" s="20"/>
    </row>
    <row r="74" ht="15.75" customHeight="1">
      <c r="A74" s="34"/>
      <c r="B74" s="63" t="s">
        <v>203</v>
      </c>
      <c r="C74" s="50" t="s">
        <v>204</v>
      </c>
      <c r="D74" s="64">
        <v>30000.0</v>
      </c>
      <c r="E74" s="65">
        <f>D74*20</f>
        <v>600000</v>
      </c>
      <c r="F74" s="186" t="s">
        <v>37</v>
      </c>
      <c r="G74" s="60" t="s">
        <v>63</v>
      </c>
      <c r="H74" s="187">
        <v>0.0</v>
      </c>
      <c r="I74" s="188">
        <v>20.0</v>
      </c>
      <c r="J74" s="187">
        <v>0.0</v>
      </c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90"/>
      <c r="V74" s="191"/>
      <c r="W74" s="20"/>
      <c r="X74" s="20"/>
    </row>
    <row r="75" ht="15.75" customHeight="1">
      <c r="A75" s="43"/>
      <c r="B75" s="80" t="s">
        <v>128</v>
      </c>
      <c r="C75" s="81"/>
      <c r="D75" s="82"/>
      <c r="E75" s="83"/>
      <c r="F75" s="84"/>
      <c r="G75" s="85"/>
      <c r="H75" s="81"/>
      <c r="I75" s="81"/>
      <c r="J75" s="81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6"/>
      <c r="X75" s="86"/>
      <c r="Y75" s="86"/>
      <c r="Z75" s="86"/>
    </row>
    <row r="76" ht="15.75" customHeight="1">
      <c r="A76" s="34"/>
      <c r="B76" s="35" t="s">
        <v>129</v>
      </c>
      <c r="C76" s="36" t="s">
        <v>130</v>
      </c>
      <c r="D76" s="37">
        <v>7000.0</v>
      </c>
      <c r="E76" s="45">
        <f>D76*30</f>
        <v>210000</v>
      </c>
      <c r="F76" s="59" t="s">
        <v>37</v>
      </c>
      <c r="G76" s="40" t="s">
        <v>44</v>
      </c>
      <c r="H76" s="60">
        <v>0.0</v>
      </c>
      <c r="I76" s="87">
        <v>30.0</v>
      </c>
      <c r="J76" s="60">
        <v>0.0</v>
      </c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20"/>
      <c r="X76" s="20"/>
      <c r="Y76" s="2"/>
      <c r="Z76" s="2"/>
    </row>
    <row r="77" ht="15.75" customHeight="1">
      <c r="A77" s="34"/>
      <c r="B77" s="63" t="s">
        <v>134</v>
      </c>
      <c r="C77" s="50" t="s">
        <v>205</v>
      </c>
      <c r="D77" s="64">
        <v>6000.0</v>
      </c>
      <c r="E77" s="65">
        <f>6000*20</f>
        <v>120000</v>
      </c>
      <c r="F77" s="69" t="s">
        <v>37</v>
      </c>
      <c r="G77" s="40" t="s">
        <v>44</v>
      </c>
      <c r="H77" s="67"/>
      <c r="I77" s="91">
        <v>20.0</v>
      </c>
      <c r="J77" s="67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20"/>
      <c r="X77" s="20"/>
      <c r="Y77" s="2"/>
      <c r="Z77" s="2"/>
    </row>
    <row r="78" ht="15.75" customHeight="1">
      <c r="A78" s="34"/>
      <c r="B78" s="63" t="s">
        <v>135</v>
      </c>
      <c r="C78" s="50" t="s">
        <v>118</v>
      </c>
      <c r="D78" s="64">
        <v>1000.0</v>
      </c>
      <c r="E78" s="65">
        <f>D78*10</f>
        <v>10000</v>
      </c>
      <c r="F78" s="69" t="s">
        <v>37</v>
      </c>
      <c r="G78" s="40" t="s">
        <v>44</v>
      </c>
      <c r="H78" s="67">
        <v>0.0</v>
      </c>
      <c r="I78" s="91">
        <v>10.0</v>
      </c>
      <c r="J78" s="67">
        <v>0.0</v>
      </c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20"/>
      <c r="X78" s="20"/>
      <c r="Y78" s="2"/>
      <c r="Z78" s="2"/>
    </row>
    <row r="79" ht="15.75" customHeight="1">
      <c r="A79" s="34"/>
      <c r="B79" s="63" t="s">
        <v>136</v>
      </c>
      <c r="C79" s="50" t="s">
        <v>49</v>
      </c>
      <c r="D79" s="64">
        <v>700.0</v>
      </c>
      <c r="E79" s="65">
        <f>D79*25</f>
        <v>17500</v>
      </c>
      <c r="F79" s="69" t="s">
        <v>37</v>
      </c>
      <c r="G79" s="40" t="s">
        <v>44</v>
      </c>
      <c r="H79" s="67">
        <v>0.0</v>
      </c>
      <c r="I79" s="91">
        <v>25.0</v>
      </c>
      <c r="J79" s="67">
        <v>0.0</v>
      </c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20"/>
      <c r="X79" s="20"/>
      <c r="Y79" s="2"/>
      <c r="Z79" s="2"/>
    </row>
    <row r="80" ht="15.75" customHeight="1">
      <c r="A80" s="34"/>
      <c r="B80" s="35" t="s">
        <v>137</v>
      </c>
      <c r="C80" s="36" t="s">
        <v>138</v>
      </c>
      <c r="D80" s="37">
        <v>700.0</v>
      </c>
      <c r="E80" s="45">
        <f>D80*15</f>
        <v>10500</v>
      </c>
      <c r="F80" s="59" t="s">
        <v>37</v>
      </c>
      <c r="G80" s="40" t="s">
        <v>44</v>
      </c>
      <c r="H80" s="60">
        <v>0.0</v>
      </c>
      <c r="I80" s="92">
        <v>15.0</v>
      </c>
      <c r="J80" s="60">
        <v>0.0</v>
      </c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20"/>
      <c r="X80" s="20"/>
      <c r="Y80" s="2"/>
      <c r="Z80" s="2"/>
    </row>
    <row r="81" ht="15.75" customHeight="1">
      <c r="A81" s="34"/>
      <c r="B81" s="35" t="s">
        <v>139</v>
      </c>
      <c r="C81" s="36" t="s">
        <v>118</v>
      </c>
      <c r="D81" s="37">
        <v>1000.0</v>
      </c>
      <c r="E81" s="45">
        <f>D81*10</f>
        <v>10000</v>
      </c>
      <c r="F81" s="59" t="s">
        <v>37</v>
      </c>
      <c r="G81" s="40" t="s">
        <v>44</v>
      </c>
      <c r="H81" s="60">
        <v>0.0</v>
      </c>
      <c r="I81" s="92">
        <v>10.0</v>
      </c>
      <c r="J81" s="60">
        <v>0.0</v>
      </c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20"/>
      <c r="X81" s="20"/>
      <c r="Y81" s="2"/>
      <c r="Z81" s="2"/>
    </row>
    <row r="82" ht="15.75" customHeight="1">
      <c r="A82" s="34"/>
      <c r="B82" s="35" t="s">
        <v>140</v>
      </c>
      <c r="C82" s="36" t="s">
        <v>51</v>
      </c>
      <c r="D82" s="37">
        <v>700.0</v>
      </c>
      <c r="E82" s="45">
        <f t="shared" ref="E82:E84" si="12">D82*5</f>
        <v>3500</v>
      </c>
      <c r="F82" s="59" t="s">
        <v>37</v>
      </c>
      <c r="G82" s="40" t="s">
        <v>44</v>
      </c>
      <c r="H82" s="60">
        <v>0.0</v>
      </c>
      <c r="I82" s="92">
        <v>5.0</v>
      </c>
      <c r="J82" s="60">
        <v>0.0</v>
      </c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20"/>
      <c r="X82" s="20"/>
      <c r="Y82" s="2"/>
      <c r="Z82" s="2"/>
    </row>
    <row r="83" ht="15.75" customHeight="1">
      <c r="A83" s="34"/>
      <c r="B83" s="35" t="s">
        <v>141</v>
      </c>
      <c r="C83" s="36" t="s">
        <v>108</v>
      </c>
      <c r="D83" s="37">
        <v>1500.0</v>
      </c>
      <c r="E83" s="45">
        <f t="shared" si="12"/>
        <v>7500</v>
      </c>
      <c r="F83" s="59" t="s">
        <v>37</v>
      </c>
      <c r="G83" s="40" t="s">
        <v>44</v>
      </c>
      <c r="H83" s="60">
        <v>0.0</v>
      </c>
      <c r="I83" s="92">
        <v>5.0</v>
      </c>
      <c r="J83" s="60">
        <v>0.0</v>
      </c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20"/>
      <c r="X83" s="20"/>
      <c r="Y83" s="2"/>
      <c r="Z83" s="2"/>
    </row>
    <row r="84" ht="15.75" customHeight="1">
      <c r="A84" s="34"/>
      <c r="B84" s="35" t="s">
        <v>142</v>
      </c>
      <c r="C84" s="36" t="s">
        <v>143</v>
      </c>
      <c r="D84" s="37">
        <v>500.0</v>
      </c>
      <c r="E84" s="45">
        <f t="shared" si="12"/>
        <v>2500</v>
      </c>
      <c r="F84" s="59" t="s">
        <v>37</v>
      </c>
      <c r="G84" s="40" t="s">
        <v>44</v>
      </c>
      <c r="H84" s="60">
        <v>0.0</v>
      </c>
      <c r="I84" s="92">
        <v>25.0</v>
      </c>
      <c r="J84" s="60">
        <v>0.0</v>
      </c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20"/>
      <c r="X84" s="20"/>
      <c r="Y84" s="2"/>
      <c r="Z84" s="2"/>
    </row>
    <row r="85" ht="15.75" customHeight="1">
      <c r="A85" s="34"/>
      <c r="B85" s="35" t="s">
        <v>144</v>
      </c>
      <c r="C85" s="36" t="s">
        <v>145</v>
      </c>
      <c r="D85" s="37">
        <v>200.0</v>
      </c>
      <c r="E85" s="45">
        <f>D85*50</f>
        <v>10000</v>
      </c>
      <c r="F85" s="59" t="s">
        <v>37</v>
      </c>
      <c r="G85" s="40" t="s">
        <v>44</v>
      </c>
      <c r="H85" s="60">
        <v>0.0</v>
      </c>
      <c r="I85" s="92">
        <v>50.0</v>
      </c>
      <c r="J85" s="60">
        <v>0.0</v>
      </c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20"/>
      <c r="X85" s="20"/>
      <c r="Y85" s="2"/>
      <c r="Z85" s="2"/>
    </row>
    <row r="86" ht="15.75" customHeight="1">
      <c r="A86" s="34"/>
      <c r="B86" s="35" t="s">
        <v>146</v>
      </c>
      <c r="C86" s="36" t="s">
        <v>147</v>
      </c>
      <c r="D86" s="37">
        <v>6500.0</v>
      </c>
      <c r="E86" s="45">
        <f>D86*5</f>
        <v>32500</v>
      </c>
      <c r="F86" s="59" t="s">
        <v>37</v>
      </c>
      <c r="G86" s="40" t="s">
        <v>44</v>
      </c>
      <c r="H86" s="60">
        <v>0.0</v>
      </c>
      <c r="I86" s="92">
        <v>5.0</v>
      </c>
      <c r="J86" s="60">
        <v>0.0</v>
      </c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20"/>
      <c r="X86" s="20"/>
      <c r="Y86" s="2"/>
      <c r="Z86" s="2"/>
    </row>
    <row r="87" ht="15.75" customHeight="1">
      <c r="A87" s="34"/>
      <c r="B87" s="35" t="s">
        <v>148</v>
      </c>
      <c r="C87" s="36" t="s">
        <v>138</v>
      </c>
      <c r="D87" s="37">
        <v>1000.0</v>
      </c>
      <c r="E87" s="45">
        <f>D87*15</f>
        <v>15000</v>
      </c>
      <c r="F87" s="59" t="s">
        <v>37</v>
      </c>
      <c r="G87" s="40" t="s">
        <v>44</v>
      </c>
      <c r="H87" s="60">
        <v>0.0</v>
      </c>
      <c r="I87" s="92">
        <v>15.0</v>
      </c>
      <c r="J87" s="60">
        <v>0.0</v>
      </c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20"/>
      <c r="X87" s="20"/>
      <c r="Y87" s="2"/>
      <c r="Z87" s="2"/>
    </row>
    <row r="88" ht="15.75" customHeight="1">
      <c r="A88" s="34"/>
      <c r="B88" s="72" t="s">
        <v>149</v>
      </c>
      <c r="C88" s="93" t="s">
        <v>150</v>
      </c>
      <c r="D88" s="73">
        <v>980.0</v>
      </c>
      <c r="E88" s="74">
        <f t="shared" ref="E88:E91" si="13">D88*100</f>
        <v>98000</v>
      </c>
      <c r="F88" s="75" t="s">
        <v>37</v>
      </c>
      <c r="G88" s="40" t="s">
        <v>44</v>
      </c>
      <c r="H88" s="94">
        <v>100.0</v>
      </c>
      <c r="I88" s="95">
        <v>0.0</v>
      </c>
      <c r="J88" s="95">
        <v>0.0</v>
      </c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20"/>
      <c r="X88" s="20"/>
      <c r="Y88" s="2"/>
      <c r="Z88" s="2"/>
    </row>
    <row r="89" ht="15.75" customHeight="1">
      <c r="A89" s="34"/>
      <c r="B89" s="72" t="s">
        <v>151</v>
      </c>
      <c r="C89" s="93" t="s">
        <v>150</v>
      </c>
      <c r="D89" s="73">
        <v>980.0</v>
      </c>
      <c r="E89" s="74">
        <f t="shared" si="13"/>
        <v>98000</v>
      </c>
      <c r="F89" s="75" t="s">
        <v>37</v>
      </c>
      <c r="G89" s="40" t="s">
        <v>44</v>
      </c>
      <c r="H89" s="94">
        <v>100.0</v>
      </c>
      <c r="I89" s="95">
        <v>0.0</v>
      </c>
      <c r="J89" s="95">
        <v>0.0</v>
      </c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20"/>
      <c r="X89" s="20"/>
      <c r="Y89" s="2"/>
      <c r="Z89" s="2"/>
    </row>
    <row r="90" ht="15.75" customHeight="1">
      <c r="A90" s="34"/>
      <c r="B90" s="72" t="s">
        <v>152</v>
      </c>
      <c r="C90" s="93" t="s">
        <v>150</v>
      </c>
      <c r="D90" s="73">
        <v>980.0</v>
      </c>
      <c r="E90" s="74">
        <f t="shared" si="13"/>
        <v>98000</v>
      </c>
      <c r="F90" s="75" t="s">
        <v>37</v>
      </c>
      <c r="G90" s="40" t="s">
        <v>44</v>
      </c>
      <c r="H90" s="94">
        <v>100.0</v>
      </c>
      <c r="I90" s="95">
        <v>0.0</v>
      </c>
      <c r="J90" s="95">
        <v>0.0</v>
      </c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20"/>
      <c r="X90" s="20"/>
      <c r="Y90" s="2"/>
      <c r="Z90" s="2"/>
    </row>
    <row r="91" ht="15.75" customHeight="1">
      <c r="A91" s="34"/>
      <c r="B91" s="72" t="s">
        <v>153</v>
      </c>
      <c r="C91" s="93" t="s">
        <v>150</v>
      </c>
      <c r="D91" s="73">
        <v>980.0</v>
      </c>
      <c r="E91" s="74">
        <f t="shared" si="13"/>
        <v>98000</v>
      </c>
      <c r="F91" s="75" t="s">
        <v>37</v>
      </c>
      <c r="G91" s="40" t="s">
        <v>44</v>
      </c>
      <c r="H91" s="94">
        <v>100.0</v>
      </c>
      <c r="I91" s="95">
        <v>0.0</v>
      </c>
      <c r="J91" s="95">
        <v>0.0</v>
      </c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20"/>
      <c r="X91" s="20"/>
      <c r="Y91" s="2"/>
      <c r="Z91" s="2"/>
    </row>
    <row r="92" ht="15.75" customHeight="1">
      <c r="A92" s="34"/>
      <c r="B92" s="72" t="s">
        <v>154</v>
      </c>
      <c r="C92" s="93" t="s">
        <v>155</v>
      </c>
      <c r="D92" s="73">
        <v>8000.0</v>
      </c>
      <c r="E92" s="74">
        <f>8000*7</f>
        <v>56000</v>
      </c>
      <c r="F92" s="75" t="s">
        <v>37</v>
      </c>
      <c r="G92" s="40" t="s">
        <v>44</v>
      </c>
      <c r="H92" s="122">
        <v>8.0</v>
      </c>
      <c r="I92" s="95">
        <v>0.0</v>
      </c>
      <c r="J92" s="95">
        <v>0.0</v>
      </c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20"/>
      <c r="X92" s="20"/>
      <c r="Y92" s="2"/>
      <c r="Z92" s="2"/>
    </row>
    <row r="93" ht="15.75" customHeight="1">
      <c r="A93" s="34"/>
      <c r="B93" s="72" t="s">
        <v>156</v>
      </c>
      <c r="C93" s="93" t="s">
        <v>36</v>
      </c>
      <c r="D93" s="73">
        <v>5000.0</v>
      </c>
      <c r="E93" s="97">
        <v>5000.0</v>
      </c>
      <c r="F93" s="75" t="s">
        <v>37</v>
      </c>
      <c r="G93" s="40" t="s">
        <v>44</v>
      </c>
      <c r="H93" s="122">
        <v>1.0</v>
      </c>
      <c r="I93" s="95">
        <v>0.0</v>
      </c>
      <c r="J93" s="95">
        <v>0.0</v>
      </c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20"/>
      <c r="X93" s="20"/>
      <c r="Y93" s="2"/>
      <c r="Z93" s="2"/>
    </row>
    <row r="94" ht="15.75" customHeight="1">
      <c r="A94" s="34"/>
      <c r="B94" s="72" t="s">
        <v>157</v>
      </c>
      <c r="C94" s="93" t="s">
        <v>158</v>
      </c>
      <c r="D94" s="73">
        <v>15000.0</v>
      </c>
      <c r="E94" s="74">
        <f>15000*10</f>
        <v>150000</v>
      </c>
      <c r="F94" s="75" t="s">
        <v>37</v>
      </c>
      <c r="G94" s="40" t="s">
        <v>44</v>
      </c>
      <c r="H94" s="122">
        <v>2.0</v>
      </c>
      <c r="I94" s="95">
        <v>4.0</v>
      </c>
      <c r="J94" s="95">
        <v>4.0</v>
      </c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20"/>
      <c r="X94" s="20"/>
      <c r="Y94" s="2"/>
      <c r="Z94" s="2"/>
    </row>
    <row r="95" ht="15.75" customHeight="1">
      <c r="A95" s="34"/>
      <c r="B95" s="102" t="s">
        <v>159</v>
      </c>
      <c r="C95" s="55"/>
      <c r="D95" s="56"/>
      <c r="E95" s="55"/>
      <c r="F95" s="57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20"/>
      <c r="X95" s="20"/>
      <c r="Y95" s="2"/>
      <c r="Z95" s="2"/>
    </row>
    <row r="96" ht="15.75" customHeight="1">
      <c r="A96" s="34"/>
      <c r="B96" s="35" t="s">
        <v>160</v>
      </c>
      <c r="C96" s="36" t="s">
        <v>147</v>
      </c>
      <c r="D96" s="37">
        <v>10000.0</v>
      </c>
      <c r="E96" s="45">
        <f>D96*5</f>
        <v>50000</v>
      </c>
      <c r="F96" s="59" t="s">
        <v>37</v>
      </c>
      <c r="G96" s="59" t="s">
        <v>161</v>
      </c>
      <c r="H96" s="60">
        <v>0.0</v>
      </c>
      <c r="I96" s="103">
        <v>5.0</v>
      </c>
      <c r="J96" s="60">
        <v>0.0</v>
      </c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20"/>
      <c r="X96" s="20"/>
      <c r="Y96" s="2"/>
      <c r="Z96" s="2"/>
    </row>
    <row r="97" ht="15.75" customHeight="1">
      <c r="A97" s="34"/>
      <c r="B97" s="63" t="s">
        <v>162</v>
      </c>
      <c r="C97" s="50" t="s">
        <v>163</v>
      </c>
      <c r="D97" s="64">
        <f>2500</f>
        <v>2500</v>
      </c>
      <c r="E97" s="65">
        <f>2500*125</f>
        <v>312500</v>
      </c>
      <c r="F97" s="69" t="s">
        <v>37</v>
      </c>
      <c r="G97" s="59" t="s">
        <v>161</v>
      </c>
      <c r="H97" s="104">
        <v>125.0</v>
      </c>
      <c r="I97" s="60">
        <v>0.0</v>
      </c>
      <c r="J97" s="60">
        <v>0.0</v>
      </c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20"/>
      <c r="X97" s="20"/>
      <c r="Y97" s="2"/>
      <c r="Z97" s="2"/>
    </row>
    <row r="98" ht="15.75" customHeight="1">
      <c r="A98" s="34"/>
      <c r="B98" s="63" t="s">
        <v>164</v>
      </c>
      <c r="C98" s="50" t="s">
        <v>158</v>
      </c>
      <c r="D98" s="64">
        <v>1500.0</v>
      </c>
      <c r="E98" s="65">
        <f>1500*10</f>
        <v>15000</v>
      </c>
      <c r="F98" s="69" t="s">
        <v>37</v>
      </c>
      <c r="G98" s="59" t="s">
        <v>161</v>
      </c>
      <c r="H98" s="128">
        <v>0.0</v>
      </c>
      <c r="I98" s="60">
        <v>5.0</v>
      </c>
      <c r="J98" s="60">
        <v>5.0</v>
      </c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20"/>
      <c r="X98" s="20"/>
      <c r="Y98" s="2"/>
      <c r="Z98" s="2"/>
    </row>
    <row r="99" ht="15.75" customHeight="1">
      <c r="A99" s="34"/>
      <c r="B99" s="108" t="s">
        <v>165</v>
      </c>
      <c r="C99" s="109"/>
      <c r="D99" s="110"/>
      <c r="E99" s="109"/>
      <c r="F99" s="111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20"/>
      <c r="X99" s="20"/>
      <c r="Y99" s="2"/>
      <c r="Z99" s="2"/>
    </row>
    <row r="100" ht="15.75" customHeight="1">
      <c r="A100" s="112"/>
      <c r="B100" s="113" t="s">
        <v>165</v>
      </c>
      <c r="C100" s="114" t="s">
        <v>158</v>
      </c>
      <c r="D100" s="115">
        <v>2000.0</v>
      </c>
      <c r="E100" s="116">
        <f>2000*10</f>
        <v>20000</v>
      </c>
      <c r="F100" s="117" t="s">
        <v>37</v>
      </c>
      <c r="G100" s="59" t="s">
        <v>161</v>
      </c>
      <c r="H100" s="192">
        <v>2.0</v>
      </c>
      <c r="I100" s="193">
        <v>4.0</v>
      </c>
      <c r="J100" s="193">
        <v>4.0</v>
      </c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20"/>
      <c r="X100" s="20"/>
      <c r="Y100" s="2"/>
      <c r="Z100" s="2"/>
    </row>
    <row r="101" ht="15.75" customHeight="1">
      <c r="A101" s="121"/>
      <c r="B101" s="102" t="s">
        <v>166</v>
      </c>
      <c r="C101" s="55"/>
      <c r="D101" s="56"/>
      <c r="E101" s="55"/>
      <c r="F101" s="57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20"/>
      <c r="X101" s="20"/>
      <c r="Y101" s="2"/>
      <c r="Z101" s="2"/>
    </row>
    <row r="102" ht="15.75" customHeight="1">
      <c r="A102" s="112"/>
      <c r="B102" s="113" t="s">
        <v>166</v>
      </c>
      <c r="C102" s="114" t="s">
        <v>167</v>
      </c>
      <c r="D102" s="115">
        <v>150000.0</v>
      </c>
      <c r="E102" s="116">
        <f>D102*3</f>
        <v>450000</v>
      </c>
      <c r="F102" s="117" t="s">
        <v>37</v>
      </c>
      <c r="G102" s="59" t="s">
        <v>161</v>
      </c>
      <c r="H102" s="192">
        <v>0.0</v>
      </c>
      <c r="I102" s="193">
        <v>1.0</v>
      </c>
      <c r="J102" s="193">
        <v>1.0</v>
      </c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20"/>
      <c r="X102" s="20"/>
      <c r="Y102" s="2"/>
      <c r="Z102" s="2"/>
    </row>
    <row r="103" ht="15.75" customHeight="1">
      <c r="A103" s="34"/>
      <c r="B103" s="54" t="s">
        <v>168</v>
      </c>
      <c r="C103" s="55"/>
      <c r="D103" s="56"/>
      <c r="E103" s="55"/>
      <c r="F103" s="57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20"/>
      <c r="X103" s="20"/>
      <c r="Y103" s="2"/>
      <c r="Z103" s="2"/>
    </row>
    <row r="104" ht="15.75" customHeight="1">
      <c r="A104" s="34"/>
      <c r="B104" s="125" t="s">
        <v>169</v>
      </c>
      <c r="C104" s="36" t="s">
        <v>36</v>
      </c>
      <c r="D104" s="58">
        <v>200000.0</v>
      </c>
      <c r="E104" s="58">
        <v>200000.0</v>
      </c>
      <c r="F104" s="59" t="s">
        <v>37</v>
      </c>
      <c r="G104" s="60" t="s">
        <v>63</v>
      </c>
      <c r="H104" s="126">
        <v>1.0</v>
      </c>
      <c r="I104" s="60">
        <v>0.0</v>
      </c>
      <c r="J104" s="60">
        <v>0.0</v>
      </c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20"/>
      <c r="X104" s="20"/>
    </row>
    <row r="105" ht="15.75" customHeight="1">
      <c r="A105" s="34"/>
      <c r="B105" s="125" t="s">
        <v>170</v>
      </c>
      <c r="C105" s="127" t="s">
        <v>36</v>
      </c>
      <c r="D105" s="58">
        <v>200000.0</v>
      </c>
      <c r="E105" s="58">
        <v>200000.0</v>
      </c>
      <c r="F105" s="59" t="s">
        <v>37</v>
      </c>
      <c r="G105" s="60" t="s">
        <v>63</v>
      </c>
      <c r="H105" s="128">
        <v>0.0</v>
      </c>
      <c r="I105" s="129">
        <v>1.0</v>
      </c>
      <c r="J105" s="60">
        <v>0.0</v>
      </c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20"/>
      <c r="X105" s="20"/>
    </row>
    <row r="106" ht="15.75" customHeight="1">
      <c r="A106" s="34"/>
      <c r="B106" s="125" t="s">
        <v>171</v>
      </c>
      <c r="C106" s="36" t="s">
        <v>36</v>
      </c>
      <c r="D106" s="58">
        <v>200000.0</v>
      </c>
      <c r="E106" s="58">
        <v>200000.0</v>
      </c>
      <c r="F106" s="59" t="s">
        <v>37</v>
      </c>
      <c r="G106" s="60" t="s">
        <v>63</v>
      </c>
      <c r="H106" s="130">
        <v>1.0</v>
      </c>
      <c r="I106" s="60">
        <v>0.0</v>
      </c>
      <c r="J106" s="60">
        <v>0.0</v>
      </c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20"/>
      <c r="X106" s="20"/>
    </row>
    <row r="107" ht="15.75" customHeight="1">
      <c r="A107" s="34"/>
      <c r="B107" s="125" t="s">
        <v>172</v>
      </c>
      <c r="C107" s="127" t="s">
        <v>36</v>
      </c>
      <c r="D107" s="58">
        <v>2000000.0</v>
      </c>
      <c r="E107" s="58">
        <v>2000000.0</v>
      </c>
      <c r="F107" s="59" t="s">
        <v>37</v>
      </c>
      <c r="G107" s="60" t="s">
        <v>63</v>
      </c>
      <c r="H107" s="131">
        <v>1.0</v>
      </c>
      <c r="I107" s="60">
        <v>0.0</v>
      </c>
      <c r="J107" s="60">
        <v>0.0</v>
      </c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20"/>
      <c r="X107" s="20"/>
      <c r="Y107" s="2"/>
      <c r="Z107" s="2"/>
    </row>
    <row r="108" ht="15.75" customHeight="1">
      <c r="A108" s="34"/>
      <c r="B108" s="125" t="s">
        <v>173</v>
      </c>
      <c r="C108" s="127" t="s">
        <v>36</v>
      </c>
      <c r="D108" s="58">
        <v>250000.0</v>
      </c>
      <c r="E108" s="58">
        <v>250000.0</v>
      </c>
      <c r="F108" s="59" t="s">
        <v>37</v>
      </c>
      <c r="G108" s="60" t="s">
        <v>63</v>
      </c>
      <c r="H108" s="132">
        <v>1.0</v>
      </c>
      <c r="I108" s="60">
        <v>0.0</v>
      </c>
      <c r="J108" s="60">
        <v>0.0</v>
      </c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20"/>
      <c r="X108" s="20"/>
      <c r="Y108" s="2"/>
      <c r="Z108" s="2"/>
    </row>
    <row r="109" ht="15.75" customHeight="1">
      <c r="A109" s="121"/>
      <c r="B109" s="125" t="s">
        <v>174</v>
      </c>
      <c r="C109" s="127" t="s">
        <v>36</v>
      </c>
      <c r="D109" s="58">
        <v>250000.0</v>
      </c>
      <c r="E109" s="58">
        <v>250000.0</v>
      </c>
      <c r="F109" s="59" t="s">
        <v>37</v>
      </c>
      <c r="G109" s="60" t="s">
        <v>63</v>
      </c>
      <c r="H109" s="133">
        <v>1.0</v>
      </c>
      <c r="I109" s="60">
        <v>0.0</v>
      </c>
      <c r="J109" s="60">
        <v>0.0</v>
      </c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194"/>
      <c r="X109" s="194"/>
      <c r="Y109" s="195"/>
      <c r="Z109" s="195"/>
    </row>
    <row r="110" ht="15.75" hidden="1" customHeight="1">
      <c r="A110" s="134"/>
      <c r="B110" s="125"/>
      <c r="C110" s="135"/>
      <c r="D110" s="116"/>
      <c r="E110" s="136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20"/>
      <c r="X110" s="20"/>
    </row>
    <row r="111" ht="15.75" hidden="1" customHeight="1">
      <c r="A111" s="137"/>
      <c r="B111" s="125"/>
      <c r="C111" s="127"/>
      <c r="D111" s="58"/>
      <c r="E111" s="45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20"/>
      <c r="X111" s="20"/>
    </row>
    <row r="112" ht="15.75" hidden="1" customHeight="1">
      <c r="A112" s="137"/>
      <c r="B112" s="125"/>
      <c r="C112" s="127"/>
      <c r="D112" s="58"/>
      <c r="E112" s="45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20"/>
      <c r="X112" s="20"/>
    </row>
    <row r="113" ht="15.75" hidden="1" customHeight="1">
      <c r="A113" s="137"/>
      <c r="B113" s="125"/>
      <c r="C113" s="127"/>
      <c r="D113" s="58"/>
      <c r="E113" s="45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20"/>
      <c r="X113" s="20"/>
    </row>
    <row r="114" ht="15.75" hidden="1" customHeight="1">
      <c r="A114" s="137"/>
      <c r="B114" s="125"/>
      <c r="C114" s="127"/>
      <c r="D114" s="58"/>
      <c r="E114" s="45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20"/>
      <c r="X114" s="20"/>
    </row>
    <row r="115" ht="15.75" hidden="1" customHeight="1">
      <c r="A115" s="137"/>
      <c r="B115" s="125"/>
      <c r="C115" s="127"/>
      <c r="D115" s="58"/>
      <c r="E115" s="45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20"/>
      <c r="X115" s="20"/>
    </row>
    <row r="116" ht="15.75" hidden="1" customHeight="1">
      <c r="A116" s="138"/>
      <c r="B116" s="139"/>
      <c r="C116" s="140"/>
      <c r="D116" s="141"/>
      <c r="E116" s="142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20"/>
      <c r="X116" s="20"/>
    </row>
    <row r="117" ht="15.75" hidden="1" customHeight="1">
      <c r="A117" s="137"/>
      <c r="B117" s="54" t="s">
        <v>175</v>
      </c>
      <c r="C117" s="55"/>
      <c r="D117" s="56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20"/>
      <c r="X117" s="20"/>
    </row>
    <row r="118" ht="15.75" hidden="1" customHeight="1">
      <c r="A118" s="137"/>
      <c r="B118" s="125"/>
      <c r="C118" s="127"/>
      <c r="D118" s="58"/>
      <c r="E118" s="45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20"/>
      <c r="X118" s="20"/>
    </row>
    <row r="119" ht="15.75" hidden="1" customHeight="1">
      <c r="A119" s="137"/>
      <c r="B119" s="125"/>
      <c r="C119" s="127"/>
      <c r="D119" s="58"/>
      <c r="E119" s="45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20"/>
      <c r="X119" s="20"/>
    </row>
    <row r="120" ht="15.75" hidden="1" customHeight="1">
      <c r="A120" s="137"/>
      <c r="B120" s="125"/>
      <c r="C120" s="127"/>
      <c r="D120" s="58"/>
      <c r="E120" s="45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20"/>
      <c r="X120" s="20"/>
    </row>
    <row r="121" ht="15.75" hidden="1" customHeight="1">
      <c r="A121" s="137"/>
      <c r="B121" s="125"/>
      <c r="C121" s="127"/>
      <c r="D121" s="58"/>
      <c r="E121" s="45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20"/>
      <c r="X121" s="20"/>
    </row>
    <row r="122" ht="15.75" hidden="1" customHeight="1">
      <c r="A122" s="137"/>
      <c r="B122" s="54" t="s">
        <v>176</v>
      </c>
      <c r="C122" s="55"/>
      <c r="D122" s="56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20"/>
      <c r="X122" s="20"/>
    </row>
    <row r="123" ht="15.75" hidden="1" customHeight="1">
      <c r="A123" s="137"/>
      <c r="B123" s="125"/>
      <c r="C123" s="127"/>
      <c r="D123" s="58"/>
      <c r="E123" s="45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20"/>
      <c r="X123" s="20"/>
    </row>
    <row r="124" ht="15.75" hidden="1" customHeight="1">
      <c r="A124" s="137"/>
      <c r="B124" s="125"/>
      <c r="C124" s="127"/>
      <c r="D124" s="58"/>
      <c r="E124" s="45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20"/>
      <c r="X124" s="20"/>
    </row>
    <row r="125" ht="15.75" hidden="1" customHeight="1">
      <c r="A125" s="137"/>
      <c r="B125" s="143"/>
      <c r="C125" s="127"/>
      <c r="D125" s="58"/>
      <c r="E125" s="45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20"/>
      <c r="X125" s="20"/>
    </row>
    <row r="126" ht="15.75" customHeight="1">
      <c r="A126" s="144"/>
      <c r="B126" s="145"/>
      <c r="C126" s="146"/>
      <c r="D126" s="146"/>
      <c r="E126" s="146"/>
      <c r="F126" s="146"/>
      <c r="G126" s="146"/>
      <c r="H126" s="146"/>
      <c r="I126" s="146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96"/>
      <c r="X126" s="196"/>
      <c r="Y126" s="197"/>
      <c r="Z126" s="197"/>
    </row>
    <row r="127" ht="15.75" customHeight="1">
      <c r="A127" s="148"/>
      <c r="B127" s="149"/>
      <c r="C127" s="6"/>
      <c r="D127" s="7"/>
      <c r="E127" s="150"/>
      <c r="F127" s="10"/>
      <c r="G127" s="10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"/>
      <c r="X127" s="2"/>
    </row>
    <row r="128" ht="15.75" customHeight="1">
      <c r="A128" s="151" t="s">
        <v>177</v>
      </c>
      <c r="B128" s="6"/>
      <c r="C128" s="152">
        <f>SUM(E11:E109)</f>
        <v>9445980</v>
      </c>
      <c r="F128" s="10"/>
      <c r="G128" s="10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"/>
      <c r="X128" s="2"/>
    </row>
    <row r="129" ht="15.75" hidden="1" customHeight="1">
      <c r="A129" s="153" t="s">
        <v>178</v>
      </c>
      <c r="B129" s="44"/>
      <c r="C129" s="154">
        <f>PRODUCT(C128,0.1)</f>
        <v>944598</v>
      </c>
      <c r="D129" s="155"/>
      <c r="E129" s="156"/>
      <c r="F129" s="10"/>
      <c r="G129" s="10"/>
      <c r="H129" s="157"/>
      <c r="J129" s="157"/>
      <c r="U129" s="157"/>
      <c r="V129" s="6"/>
      <c r="W129" s="2"/>
      <c r="X129" s="2"/>
    </row>
    <row r="130" ht="15.75" hidden="1" customHeight="1">
      <c r="A130" s="158" t="s">
        <v>179</v>
      </c>
      <c r="B130" s="43"/>
      <c r="C130" s="159">
        <f>PRODUCT(C128,0.1)</f>
        <v>944598</v>
      </c>
      <c r="D130" s="160"/>
      <c r="E130" s="161"/>
      <c r="F130" s="10"/>
      <c r="G130" s="10"/>
      <c r="H130" s="149"/>
      <c r="I130" s="149"/>
      <c r="J130" s="162"/>
      <c r="U130" s="162"/>
      <c r="V130" s="6"/>
      <c r="W130" s="2"/>
      <c r="X130" s="2"/>
    </row>
    <row r="131" ht="15.75" hidden="1" customHeight="1">
      <c r="A131" s="158" t="s">
        <v>180</v>
      </c>
      <c r="B131" s="43"/>
      <c r="C131" s="159">
        <f>SUM(C128:E130)</f>
        <v>11335176</v>
      </c>
      <c r="D131" s="160"/>
      <c r="E131" s="161"/>
      <c r="F131" s="10"/>
      <c r="G131" s="10"/>
      <c r="H131" s="149"/>
      <c r="I131" s="149"/>
      <c r="J131" s="162"/>
      <c r="U131" s="162"/>
      <c r="V131" s="6"/>
      <c r="W131" s="2"/>
      <c r="X131" s="2"/>
    </row>
    <row r="132" ht="15.75" customHeight="1">
      <c r="A132" s="163"/>
      <c r="B132" s="6"/>
      <c r="C132" s="6"/>
      <c r="D132" s="7"/>
      <c r="E132" s="9"/>
      <c r="F132" s="10"/>
      <c r="G132" s="10"/>
      <c r="H132" s="149"/>
      <c r="I132" s="149"/>
      <c r="J132" s="162"/>
      <c r="U132" s="162"/>
      <c r="V132" s="6"/>
      <c r="W132" s="2"/>
      <c r="X132" s="2"/>
    </row>
    <row r="133" ht="15.75" customHeight="1">
      <c r="A133" s="164" t="s">
        <v>181</v>
      </c>
      <c r="B133" s="6"/>
      <c r="C133" s="6"/>
      <c r="D133" s="7"/>
      <c r="E133" s="9"/>
      <c r="F133" s="10"/>
      <c r="G133" s="10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"/>
      <c r="X133" s="2"/>
    </row>
    <row r="134" ht="15.75" customHeight="1">
      <c r="A134" s="165"/>
      <c r="B134" s="6"/>
      <c r="C134" s="6"/>
      <c r="D134" s="7"/>
      <c r="E134" s="9"/>
      <c r="F134" s="10"/>
      <c r="G134" s="10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"/>
      <c r="X134" s="2"/>
    </row>
    <row r="135" ht="15.75" customHeight="1">
      <c r="A135" s="166" t="s">
        <v>182</v>
      </c>
      <c r="B135" s="149"/>
      <c r="C135" s="167" t="s">
        <v>183</v>
      </c>
      <c r="F135" s="149"/>
      <c r="G135" s="149"/>
      <c r="H135" s="6"/>
      <c r="I135" s="167" t="s">
        <v>184</v>
      </c>
      <c r="O135" s="6"/>
      <c r="P135" s="6"/>
      <c r="Q135" s="167" t="s">
        <v>185</v>
      </c>
      <c r="U135" s="6"/>
      <c r="V135" s="6"/>
      <c r="W135" s="2"/>
      <c r="X135" s="168"/>
    </row>
    <row r="136" ht="15.75" customHeight="1">
      <c r="A136" s="166"/>
      <c r="B136" s="149"/>
      <c r="C136" s="167"/>
      <c r="D136" s="169"/>
      <c r="E136" s="167"/>
      <c r="F136" s="149"/>
      <c r="G136" s="149"/>
      <c r="H136" s="6"/>
      <c r="I136" s="167"/>
      <c r="J136" s="167"/>
      <c r="K136" s="167"/>
      <c r="L136" s="167"/>
      <c r="M136" s="167"/>
      <c r="N136" s="167"/>
      <c r="O136" s="167"/>
      <c r="P136" s="167"/>
      <c r="Q136" s="167"/>
      <c r="R136" s="167"/>
      <c r="S136" s="167"/>
      <c r="T136" s="167"/>
      <c r="U136" s="167"/>
      <c r="V136" s="167"/>
      <c r="W136" s="168"/>
      <c r="X136" s="168"/>
    </row>
    <row r="137" ht="15.75" customHeight="1">
      <c r="A137" s="149"/>
      <c r="B137" s="149"/>
      <c r="C137" s="149"/>
      <c r="D137" s="170"/>
      <c r="E137" s="171"/>
      <c r="F137" s="149"/>
      <c r="G137" s="149"/>
      <c r="H137" s="6"/>
      <c r="I137" s="149"/>
      <c r="J137" s="171"/>
      <c r="K137" s="171"/>
      <c r="L137" s="171"/>
      <c r="M137" s="171"/>
      <c r="N137" s="171"/>
      <c r="O137" s="171"/>
      <c r="P137" s="171"/>
      <c r="Q137" s="149"/>
      <c r="R137" s="171"/>
      <c r="S137" s="149"/>
      <c r="T137" s="149"/>
      <c r="U137" s="149"/>
      <c r="V137" s="149"/>
      <c r="W137" s="168"/>
      <c r="X137" s="168"/>
    </row>
    <row r="138" ht="15.75" customHeight="1">
      <c r="A138" s="172" t="s">
        <v>186</v>
      </c>
      <c r="C138" s="167" t="s">
        <v>187</v>
      </c>
      <c r="G138" s="6"/>
      <c r="H138" s="6"/>
      <c r="I138" s="167" t="s">
        <v>188</v>
      </c>
      <c r="O138" s="6"/>
      <c r="P138" s="6"/>
      <c r="Q138" s="167" t="s">
        <v>189</v>
      </c>
      <c r="U138" s="6"/>
      <c r="V138" s="6"/>
      <c r="W138" s="2"/>
      <c r="X138" s="2"/>
    </row>
    <row r="139" ht="15.0" customHeight="1">
      <c r="A139" s="173" t="s">
        <v>190</v>
      </c>
      <c r="C139" s="174" t="s">
        <v>191</v>
      </c>
      <c r="G139" s="175"/>
      <c r="H139" s="6"/>
      <c r="I139" s="176" t="s">
        <v>192</v>
      </c>
      <c r="O139" s="6"/>
      <c r="P139" s="6"/>
      <c r="Q139" s="174" t="s">
        <v>193</v>
      </c>
      <c r="U139" s="6"/>
      <c r="V139" s="6"/>
      <c r="W139" s="168"/>
      <c r="X139" s="168"/>
    </row>
    <row r="140" ht="15.75" customHeight="1">
      <c r="A140" s="6"/>
      <c r="B140" s="6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"/>
      <c r="X140" s="2"/>
    </row>
    <row r="141" ht="15.75" customHeight="1">
      <c r="A141" s="177" t="s">
        <v>194</v>
      </c>
      <c r="B141" s="6"/>
      <c r="C141" s="6" t="s">
        <v>195</v>
      </c>
      <c r="D141" s="7"/>
      <c r="E141" s="6"/>
      <c r="F141" s="6"/>
      <c r="G141" s="6"/>
      <c r="H141" s="6"/>
      <c r="I141" s="6" t="s">
        <v>195</v>
      </c>
      <c r="J141" s="6"/>
      <c r="K141" s="6"/>
      <c r="L141" s="6"/>
      <c r="M141" s="6"/>
      <c r="N141" s="6"/>
      <c r="O141" s="6"/>
      <c r="P141" s="6"/>
      <c r="Q141" s="6" t="s">
        <v>195</v>
      </c>
      <c r="R141" s="6"/>
      <c r="S141" s="6"/>
      <c r="T141" s="6"/>
      <c r="U141" s="6"/>
      <c r="V141" s="6"/>
      <c r="W141" s="2"/>
      <c r="X141" s="2"/>
    </row>
    <row r="142" ht="15.75" customHeight="1">
      <c r="D142" s="178"/>
      <c r="H142" s="179"/>
    </row>
    <row r="143" ht="15.75" customHeight="1">
      <c r="D143" s="178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</row>
    <row r="144" ht="15.75" customHeight="1">
      <c r="D144" s="178"/>
      <c r="H144" s="180"/>
      <c r="I144" s="181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2"/>
    </row>
    <row r="145" ht="15.75" customHeight="1">
      <c r="D145" s="178"/>
      <c r="H145" s="183"/>
    </row>
    <row r="146" ht="15.75" customHeight="1">
      <c r="D146" s="178"/>
      <c r="H146" s="184"/>
    </row>
    <row r="147" ht="15.75" customHeight="1">
      <c r="D147" s="178"/>
    </row>
    <row r="148" ht="15.75" customHeight="1">
      <c r="D148" s="178"/>
    </row>
    <row r="149" ht="15.75" customHeight="1">
      <c r="D149" s="178"/>
    </row>
    <row r="150" ht="15.75" customHeight="1">
      <c r="D150" s="178"/>
    </row>
    <row r="151" ht="15.75" customHeight="1">
      <c r="D151" s="178"/>
    </row>
    <row r="152" ht="15.75" customHeight="1">
      <c r="D152" s="178"/>
    </row>
    <row r="153" ht="15.75" customHeight="1">
      <c r="D153" s="178"/>
    </row>
    <row r="154" ht="15.75" customHeight="1">
      <c r="D154" s="178"/>
    </row>
    <row r="155" ht="15.75" customHeight="1">
      <c r="D155" s="178"/>
    </row>
    <row r="156" ht="15.75" customHeight="1">
      <c r="D156" s="178"/>
    </row>
    <row r="157" ht="15.75" customHeight="1">
      <c r="D157" s="178"/>
    </row>
    <row r="158" ht="15.75" customHeight="1">
      <c r="D158" s="178"/>
    </row>
    <row r="159" ht="15.75" customHeight="1">
      <c r="D159" s="178"/>
    </row>
    <row r="160" ht="15.75" customHeight="1">
      <c r="D160" s="178"/>
    </row>
    <row r="161" ht="15.75" customHeight="1">
      <c r="D161" s="178"/>
    </row>
    <row r="162" ht="15.75" customHeight="1">
      <c r="D162" s="178"/>
    </row>
    <row r="163" ht="15.75" customHeight="1">
      <c r="D163" s="178"/>
    </row>
    <row r="164" ht="15.75" customHeight="1">
      <c r="D164" s="178"/>
    </row>
    <row r="165" ht="15.75" customHeight="1">
      <c r="D165" s="178"/>
    </row>
    <row r="166" ht="15.75" customHeight="1">
      <c r="D166" s="178"/>
    </row>
    <row r="167" ht="15.75" customHeight="1">
      <c r="D167" s="178"/>
    </row>
    <row r="168" ht="15.75" customHeight="1">
      <c r="D168" s="178"/>
    </row>
    <row r="169" ht="15.75" customHeight="1">
      <c r="D169" s="178"/>
    </row>
    <row r="170" ht="15.75" customHeight="1">
      <c r="D170" s="178"/>
    </row>
    <row r="171" ht="15.75" customHeight="1">
      <c r="D171" s="178"/>
    </row>
    <row r="172" ht="15.75" customHeight="1">
      <c r="D172" s="178"/>
    </row>
    <row r="173" ht="15.75" customHeight="1">
      <c r="D173" s="178"/>
    </row>
    <row r="174" ht="15.75" customHeight="1">
      <c r="D174" s="178"/>
    </row>
    <row r="175" ht="15.75" customHeight="1">
      <c r="D175" s="178"/>
    </row>
    <row r="176" ht="15.75" customHeight="1">
      <c r="D176" s="178"/>
    </row>
    <row r="177" ht="15.75" customHeight="1">
      <c r="D177" s="178"/>
    </row>
    <row r="178" ht="15.75" customHeight="1">
      <c r="D178" s="178"/>
    </row>
    <row r="179" ht="15.75" customHeight="1">
      <c r="D179" s="178"/>
    </row>
    <row r="180" ht="15.75" customHeight="1">
      <c r="D180" s="178"/>
    </row>
    <row r="181" ht="15.75" customHeight="1">
      <c r="D181" s="178"/>
    </row>
    <row r="182" ht="15.75" customHeight="1">
      <c r="D182" s="178"/>
    </row>
    <row r="183" ht="15.75" customHeight="1">
      <c r="D183" s="178"/>
    </row>
    <row r="184" ht="15.75" customHeight="1">
      <c r="D184" s="178"/>
    </row>
    <row r="185" ht="15.75" customHeight="1">
      <c r="D185" s="178"/>
    </row>
    <row r="186" ht="15.75" customHeight="1">
      <c r="D186" s="178"/>
    </row>
    <row r="187" ht="15.75" customHeight="1">
      <c r="D187" s="178"/>
    </row>
    <row r="188" ht="15.75" customHeight="1">
      <c r="D188" s="178"/>
    </row>
    <row r="189" ht="15.75" customHeight="1">
      <c r="D189" s="178"/>
    </row>
    <row r="190" ht="15.75" customHeight="1">
      <c r="D190" s="178"/>
    </row>
    <row r="191" ht="15.75" customHeight="1">
      <c r="D191" s="178"/>
    </row>
    <row r="192" ht="15.75" customHeight="1">
      <c r="D192" s="178"/>
    </row>
    <row r="193" ht="15.75" customHeight="1">
      <c r="D193" s="178"/>
    </row>
    <row r="194" ht="15.75" customHeight="1">
      <c r="D194" s="178"/>
    </row>
    <row r="195" ht="15.75" customHeight="1">
      <c r="D195" s="178"/>
    </row>
    <row r="196" ht="15.75" customHeight="1">
      <c r="D196" s="178"/>
    </row>
    <row r="197" ht="15.75" customHeight="1">
      <c r="D197" s="178"/>
    </row>
    <row r="198" ht="15.75" customHeight="1">
      <c r="D198" s="178"/>
    </row>
    <row r="199" ht="15.75" customHeight="1">
      <c r="D199" s="178"/>
    </row>
    <row r="200" ht="15.75" customHeight="1">
      <c r="D200" s="178"/>
    </row>
    <row r="201" ht="15.75" customHeight="1">
      <c r="D201" s="178"/>
    </row>
    <row r="202" ht="15.75" customHeight="1">
      <c r="D202" s="178"/>
    </row>
    <row r="203" ht="15.75" customHeight="1">
      <c r="D203" s="178"/>
    </row>
    <row r="204" ht="15.75" customHeight="1">
      <c r="D204" s="178"/>
    </row>
    <row r="205" ht="15.75" customHeight="1">
      <c r="D205" s="178"/>
    </row>
    <row r="206" ht="15.75" customHeight="1">
      <c r="D206" s="178"/>
    </row>
    <row r="207" ht="15.75" customHeight="1">
      <c r="D207" s="178"/>
    </row>
    <row r="208" ht="15.75" customHeight="1">
      <c r="D208" s="178"/>
    </row>
    <row r="209" ht="15.75" customHeight="1">
      <c r="D209" s="178"/>
    </row>
    <row r="210" ht="15.75" customHeight="1">
      <c r="D210" s="178"/>
    </row>
    <row r="211" ht="15.75" customHeight="1">
      <c r="D211" s="178"/>
    </row>
    <row r="212" ht="15.75" customHeight="1">
      <c r="D212" s="178"/>
    </row>
    <row r="213" ht="15.75" customHeight="1">
      <c r="D213" s="178"/>
    </row>
    <row r="214" ht="15.75" customHeight="1">
      <c r="D214" s="178"/>
    </row>
    <row r="215" ht="15.75" customHeight="1">
      <c r="D215" s="178"/>
    </row>
    <row r="216" ht="15.75" customHeight="1">
      <c r="D216" s="178"/>
    </row>
    <row r="217" ht="15.75" customHeight="1">
      <c r="D217" s="178"/>
    </row>
    <row r="218" ht="15.75" customHeight="1">
      <c r="D218" s="178"/>
    </row>
    <row r="219" ht="15.75" customHeight="1">
      <c r="D219" s="178"/>
    </row>
    <row r="220" ht="15.75" customHeight="1">
      <c r="D220" s="178"/>
    </row>
    <row r="221" ht="15.75" customHeight="1">
      <c r="D221" s="178"/>
    </row>
    <row r="222" ht="15.75" customHeight="1">
      <c r="D222" s="178"/>
    </row>
    <row r="223" ht="15.75" customHeight="1">
      <c r="D223" s="178"/>
    </row>
    <row r="224" ht="15.75" customHeight="1">
      <c r="D224" s="178"/>
    </row>
    <row r="225" ht="15.75" customHeight="1">
      <c r="D225" s="178"/>
    </row>
    <row r="226" ht="15.75" customHeight="1">
      <c r="D226" s="178"/>
    </row>
    <row r="227" ht="15.75" customHeight="1">
      <c r="D227" s="178"/>
    </row>
    <row r="228" ht="15.75" customHeight="1">
      <c r="D228" s="178"/>
    </row>
    <row r="229" ht="15.75" customHeight="1">
      <c r="D229" s="178"/>
    </row>
    <row r="230" ht="15.75" customHeight="1">
      <c r="D230" s="178"/>
    </row>
    <row r="231" ht="15.75" customHeight="1">
      <c r="D231" s="178"/>
    </row>
    <row r="232" ht="15.75" customHeight="1">
      <c r="D232" s="178"/>
    </row>
    <row r="233" ht="15.75" customHeight="1">
      <c r="D233" s="178"/>
    </row>
    <row r="234" ht="15.75" customHeight="1">
      <c r="D234" s="178"/>
    </row>
    <row r="235" ht="15.75" customHeight="1">
      <c r="D235" s="178"/>
    </row>
    <row r="236" ht="15.75" customHeight="1">
      <c r="D236" s="178"/>
    </row>
    <row r="237" ht="15.75" customHeight="1">
      <c r="D237" s="178"/>
    </row>
    <row r="238" ht="15.75" customHeight="1">
      <c r="D238" s="178"/>
    </row>
    <row r="239" ht="15.75" customHeight="1">
      <c r="D239" s="178"/>
    </row>
    <row r="240" ht="15.75" customHeight="1">
      <c r="D240" s="178"/>
    </row>
    <row r="241" ht="15.75" customHeight="1">
      <c r="D241" s="178"/>
    </row>
    <row r="242" ht="15.75" customHeight="1">
      <c r="D242" s="178"/>
    </row>
    <row r="243" ht="15.75" customHeight="1">
      <c r="D243" s="178"/>
    </row>
    <row r="244" ht="15.75" customHeight="1">
      <c r="D244" s="178"/>
    </row>
    <row r="245" ht="15.75" customHeight="1">
      <c r="D245" s="178"/>
    </row>
    <row r="246" ht="15.75" customHeight="1">
      <c r="D246" s="178"/>
    </row>
    <row r="247" ht="15.75" customHeight="1">
      <c r="D247" s="178"/>
    </row>
    <row r="248" ht="15.75" customHeight="1">
      <c r="D248" s="178"/>
    </row>
    <row r="249" ht="15.75" customHeight="1">
      <c r="D249" s="178"/>
    </row>
    <row r="250" ht="15.75" customHeight="1">
      <c r="D250" s="178"/>
    </row>
    <row r="251" ht="15.75" customHeight="1">
      <c r="D251" s="178"/>
    </row>
    <row r="252" ht="15.75" customHeight="1">
      <c r="D252" s="178"/>
    </row>
    <row r="253" ht="15.75" customHeight="1">
      <c r="D253" s="178"/>
    </row>
    <row r="254" ht="15.75" customHeight="1">
      <c r="D254" s="178"/>
    </row>
    <row r="255" ht="15.75" customHeight="1">
      <c r="D255" s="178"/>
    </row>
    <row r="256" ht="15.75" customHeight="1">
      <c r="D256" s="178"/>
    </row>
    <row r="257" ht="15.75" customHeight="1">
      <c r="D257" s="178"/>
    </row>
    <row r="258" ht="15.75" customHeight="1">
      <c r="D258" s="178"/>
    </row>
    <row r="259" ht="15.75" customHeight="1">
      <c r="D259" s="178"/>
    </row>
    <row r="260" ht="15.75" customHeight="1">
      <c r="D260" s="178"/>
    </row>
    <row r="261" ht="15.75" customHeight="1">
      <c r="D261" s="178"/>
    </row>
    <row r="262" ht="15.75" customHeight="1">
      <c r="D262" s="178"/>
    </row>
    <row r="263" ht="15.75" customHeight="1">
      <c r="D263" s="178"/>
    </row>
    <row r="264" ht="15.75" customHeight="1">
      <c r="D264" s="178"/>
    </row>
    <row r="265" ht="15.75" customHeight="1">
      <c r="D265" s="178"/>
    </row>
    <row r="266" ht="15.75" customHeight="1">
      <c r="D266" s="178"/>
    </row>
    <row r="267" ht="15.75" customHeight="1">
      <c r="D267" s="178"/>
    </row>
    <row r="268" ht="15.75" customHeight="1">
      <c r="D268" s="178"/>
    </row>
    <row r="269" ht="15.75" customHeight="1">
      <c r="D269" s="178"/>
    </row>
    <row r="270" ht="15.75" customHeight="1">
      <c r="D270" s="178"/>
    </row>
    <row r="271" ht="15.75" customHeight="1">
      <c r="D271" s="178"/>
    </row>
    <row r="272" ht="15.75" customHeight="1">
      <c r="D272" s="178"/>
    </row>
    <row r="273" ht="15.75" customHeight="1">
      <c r="D273" s="178"/>
    </row>
    <row r="274" ht="15.75" customHeight="1">
      <c r="D274" s="178"/>
    </row>
    <row r="275" ht="15.75" customHeight="1">
      <c r="D275" s="178"/>
    </row>
    <row r="276" ht="15.75" customHeight="1">
      <c r="D276" s="178"/>
    </row>
    <row r="277" ht="15.75" customHeight="1">
      <c r="D277" s="178"/>
    </row>
    <row r="278" ht="15.75" customHeight="1">
      <c r="D278" s="178"/>
    </row>
    <row r="279" ht="15.75" customHeight="1">
      <c r="D279" s="178"/>
    </row>
    <row r="280" ht="15.75" customHeight="1">
      <c r="D280" s="178"/>
    </row>
    <row r="281" ht="15.75" customHeight="1">
      <c r="D281" s="178"/>
    </row>
    <row r="282" ht="15.75" customHeight="1">
      <c r="D282" s="178"/>
    </row>
    <row r="283" ht="15.75" customHeight="1">
      <c r="D283" s="178"/>
    </row>
    <row r="284" ht="15.75" customHeight="1">
      <c r="D284" s="178"/>
    </row>
    <row r="285" ht="15.75" customHeight="1">
      <c r="D285" s="178"/>
    </row>
    <row r="286" ht="15.75" customHeight="1">
      <c r="D286" s="178"/>
    </row>
    <row r="287" ht="15.75" customHeight="1">
      <c r="D287" s="178"/>
    </row>
    <row r="288" ht="15.75" customHeight="1">
      <c r="D288" s="178"/>
    </row>
    <row r="289" ht="15.75" customHeight="1">
      <c r="D289" s="178"/>
    </row>
    <row r="290" ht="15.75" customHeight="1">
      <c r="D290" s="178"/>
    </row>
    <row r="291" ht="15.75" customHeight="1">
      <c r="D291" s="178"/>
    </row>
    <row r="292" ht="15.75" customHeight="1">
      <c r="D292" s="178"/>
    </row>
    <row r="293" ht="15.75" customHeight="1">
      <c r="D293" s="178"/>
    </row>
    <row r="294" ht="15.75" customHeight="1">
      <c r="D294" s="178"/>
    </row>
    <row r="295" ht="15.75" customHeight="1">
      <c r="D295" s="178"/>
    </row>
    <row r="296" ht="15.75" customHeight="1">
      <c r="D296" s="178"/>
    </row>
    <row r="297" ht="15.75" customHeight="1">
      <c r="D297" s="178"/>
    </row>
    <row r="298" ht="15.75" customHeight="1">
      <c r="D298" s="178"/>
    </row>
    <row r="299" ht="15.75" customHeight="1">
      <c r="D299" s="178"/>
    </row>
    <row r="300" ht="15.75" customHeight="1">
      <c r="D300" s="178"/>
    </row>
    <row r="301" ht="15.75" customHeight="1">
      <c r="D301" s="178"/>
    </row>
    <row r="302" ht="15.75" customHeight="1">
      <c r="D302" s="178"/>
    </row>
    <row r="303" ht="15.75" customHeight="1">
      <c r="D303" s="178"/>
    </row>
    <row r="304" ht="15.75" customHeight="1">
      <c r="D304" s="178"/>
    </row>
    <row r="305" ht="15.75" customHeight="1">
      <c r="D305" s="178"/>
    </row>
    <row r="306" ht="15.75" customHeight="1">
      <c r="D306" s="178"/>
    </row>
    <row r="307" ht="15.75" customHeight="1">
      <c r="D307" s="178"/>
    </row>
    <row r="308" ht="15.75" customHeight="1">
      <c r="D308" s="178"/>
    </row>
    <row r="309" ht="15.75" customHeight="1">
      <c r="D309" s="178"/>
    </row>
    <row r="310" ht="15.75" customHeight="1">
      <c r="D310" s="178"/>
    </row>
    <row r="311" ht="15.75" customHeight="1">
      <c r="D311" s="178"/>
    </row>
    <row r="312" ht="15.75" customHeight="1">
      <c r="D312" s="178"/>
    </row>
    <row r="313" ht="15.75" customHeight="1">
      <c r="D313" s="178"/>
    </row>
    <row r="314" ht="15.75" customHeight="1">
      <c r="D314" s="178"/>
    </row>
    <row r="315" ht="15.75" customHeight="1">
      <c r="D315" s="178"/>
    </row>
    <row r="316" ht="15.75" customHeight="1">
      <c r="D316" s="178"/>
    </row>
    <row r="317" ht="15.75" customHeight="1">
      <c r="D317" s="178"/>
    </row>
    <row r="318" ht="15.75" customHeight="1">
      <c r="D318" s="178"/>
    </row>
    <row r="319" ht="15.75" customHeight="1">
      <c r="D319" s="178"/>
    </row>
    <row r="320" ht="15.75" customHeight="1">
      <c r="D320" s="178"/>
    </row>
    <row r="321" ht="15.75" customHeight="1">
      <c r="D321" s="178"/>
    </row>
    <row r="322" ht="15.75" customHeight="1">
      <c r="D322" s="178"/>
    </row>
    <row r="323" ht="15.75" customHeight="1">
      <c r="D323" s="178"/>
    </row>
    <row r="324" ht="15.75" customHeight="1">
      <c r="D324" s="178"/>
    </row>
    <row r="325" ht="15.75" customHeight="1">
      <c r="D325" s="178"/>
    </row>
    <row r="326" ht="15.75" customHeight="1">
      <c r="D326" s="178"/>
    </row>
    <row r="327" ht="15.75" customHeight="1">
      <c r="D327" s="178"/>
    </row>
    <row r="328" ht="15.75" customHeight="1">
      <c r="D328" s="178"/>
    </row>
    <row r="329" ht="15.75" customHeight="1">
      <c r="D329" s="178"/>
    </row>
    <row r="330" ht="15.75" customHeight="1">
      <c r="D330" s="178"/>
    </row>
    <row r="331" ht="15.75" customHeight="1">
      <c r="D331" s="178"/>
    </row>
    <row r="332" ht="15.75" customHeight="1">
      <c r="D332" s="178"/>
    </row>
    <row r="333" ht="15.75" customHeight="1">
      <c r="D333" s="178"/>
    </row>
    <row r="334" ht="15.75" customHeight="1">
      <c r="D334" s="178"/>
    </row>
    <row r="335" ht="15.75" customHeight="1">
      <c r="D335" s="178"/>
    </row>
    <row r="336" ht="15.75" customHeight="1">
      <c r="D336" s="178"/>
    </row>
    <row r="337" ht="15.75" customHeight="1">
      <c r="D337" s="178"/>
    </row>
    <row r="338" ht="15.75" customHeight="1">
      <c r="D338" s="178"/>
    </row>
    <row r="339" ht="15.75" customHeight="1">
      <c r="D339" s="178"/>
    </row>
    <row r="340" ht="15.75" customHeight="1">
      <c r="D340" s="178"/>
    </row>
    <row r="341" ht="15.75" customHeight="1">
      <c r="D341" s="178"/>
    </row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</sheetData>
  <mergeCells count="34">
    <mergeCell ref="A1:V1"/>
    <mergeCell ref="A2:V2"/>
    <mergeCell ref="A3:V3"/>
    <mergeCell ref="A8:A9"/>
    <mergeCell ref="B8:B9"/>
    <mergeCell ref="D8:D9"/>
    <mergeCell ref="E8:E9"/>
    <mergeCell ref="H8:V8"/>
    <mergeCell ref="C131:E131"/>
    <mergeCell ref="C135:E135"/>
    <mergeCell ref="A138:B138"/>
    <mergeCell ref="C138:F138"/>
    <mergeCell ref="A139:B139"/>
    <mergeCell ref="C139:F139"/>
    <mergeCell ref="F8:F9"/>
    <mergeCell ref="G8:G9"/>
    <mergeCell ref="B126:I126"/>
    <mergeCell ref="C128:E128"/>
    <mergeCell ref="C129:E129"/>
    <mergeCell ref="H129:I129"/>
    <mergeCell ref="C130:E130"/>
    <mergeCell ref="I138:N138"/>
    <mergeCell ref="I139:N139"/>
    <mergeCell ref="Q139:T139"/>
    <mergeCell ref="H142:T142"/>
    <mergeCell ref="H145:T145"/>
    <mergeCell ref="H146:T146"/>
    <mergeCell ref="J129:T129"/>
    <mergeCell ref="J130:T130"/>
    <mergeCell ref="J131:T131"/>
    <mergeCell ref="J132:T132"/>
    <mergeCell ref="I135:N135"/>
    <mergeCell ref="Q135:T135"/>
    <mergeCell ref="Q138:T138"/>
  </mergeCells>
  <printOptions horizontalCentered="1"/>
  <pageMargins bottom="0.5" footer="0.0" header="0.0" left="0.7" right="0.7" top="0.5"/>
  <pageSetup fitToHeight="0" paperSize="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55.25"/>
    <col customWidth="1" min="3" max="3" width="11.63"/>
    <col customWidth="1" min="4" max="5" width="11.75"/>
    <col customWidth="1" min="6" max="6" width="23.25"/>
    <col customWidth="1" min="7" max="7" width="10.38"/>
    <col customWidth="1" min="8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1" t="s">
        <v>0</v>
      </c>
      <c r="W1" s="2"/>
      <c r="X1" s="2"/>
    </row>
    <row r="2">
      <c r="A2" s="3" t="s">
        <v>1</v>
      </c>
      <c r="W2" s="2"/>
      <c r="X2" s="2"/>
    </row>
    <row r="3">
      <c r="A3" s="4"/>
      <c r="W3" s="2"/>
      <c r="X3" s="2"/>
    </row>
    <row r="4">
      <c r="A4" s="5" t="s">
        <v>2</v>
      </c>
      <c r="B4" s="6"/>
      <c r="C4" s="6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"/>
      <c r="X4" s="2"/>
    </row>
    <row r="5">
      <c r="A5" s="8"/>
      <c r="B5" s="6"/>
      <c r="C5" s="6"/>
      <c r="D5" s="7"/>
      <c r="E5" s="9"/>
      <c r="F5" s="10"/>
      <c r="G5" s="10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"/>
      <c r="X5" s="2"/>
    </row>
    <row r="6">
      <c r="A6" s="5" t="s">
        <v>3</v>
      </c>
      <c r="B6" s="6"/>
      <c r="C6" s="6"/>
      <c r="D6" s="7"/>
      <c r="E6" s="9"/>
      <c r="F6" s="10"/>
      <c r="G6" s="10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"/>
      <c r="X6" s="2"/>
    </row>
    <row r="7">
      <c r="A7" s="8" t="s">
        <v>4</v>
      </c>
      <c r="B7" s="6"/>
      <c r="C7" s="6"/>
      <c r="D7" s="7"/>
      <c r="E7" s="9"/>
      <c r="F7" s="10"/>
      <c r="G7" s="10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"/>
      <c r="X7" s="2"/>
    </row>
    <row r="8" ht="22.5" customHeight="1">
      <c r="A8" s="11" t="s">
        <v>5</v>
      </c>
      <c r="B8" s="12" t="s">
        <v>6</v>
      </c>
      <c r="C8" s="13" t="s">
        <v>7</v>
      </c>
      <c r="D8" s="14" t="s">
        <v>8</v>
      </c>
      <c r="E8" s="15" t="s">
        <v>9</v>
      </c>
      <c r="F8" s="16" t="s">
        <v>10</v>
      </c>
      <c r="G8" s="12" t="s">
        <v>11</v>
      </c>
      <c r="H8" s="17" t="s">
        <v>12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9"/>
      <c r="W8" s="20"/>
      <c r="X8" s="20"/>
    </row>
    <row r="9">
      <c r="A9" s="21"/>
      <c r="B9" s="22"/>
      <c r="C9" s="23" t="s">
        <v>13</v>
      </c>
      <c r="D9" s="22"/>
      <c r="E9" s="22"/>
      <c r="F9" s="22"/>
      <c r="G9" s="22"/>
      <c r="H9" s="24" t="s">
        <v>14</v>
      </c>
      <c r="I9" s="24" t="s">
        <v>15</v>
      </c>
      <c r="J9" s="24" t="s">
        <v>16</v>
      </c>
      <c r="K9" s="24" t="s">
        <v>17</v>
      </c>
      <c r="L9" s="24" t="s">
        <v>18</v>
      </c>
      <c r="M9" s="24" t="s">
        <v>19</v>
      </c>
      <c r="N9" s="24" t="s">
        <v>20</v>
      </c>
      <c r="O9" s="24" t="s">
        <v>21</v>
      </c>
      <c r="P9" s="24" t="s">
        <v>22</v>
      </c>
      <c r="Q9" s="24" t="s">
        <v>23</v>
      </c>
      <c r="R9" s="24" t="s">
        <v>24</v>
      </c>
      <c r="S9" s="24" t="s">
        <v>25</v>
      </c>
      <c r="T9" s="24" t="s">
        <v>26</v>
      </c>
      <c r="U9" s="25" t="str">
        <f>$V$9</f>
        <v>REMARKS</v>
      </c>
      <c r="V9" s="24" t="s">
        <v>27</v>
      </c>
      <c r="W9" s="20"/>
      <c r="X9" s="20"/>
    </row>
    <row r="10">
      <c r="A10" s="198"/>
      <c r="B10" s="27" t="s">
        <v>206</v>
      </c>
      <c r="C10" s="28"/>
      <c r="D10" s="29"/>
      <c r="E10" s="30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2"/>
      <c r="V10" s="33"/>
      <c r="W10" s="20"/>
      <c r="X10" s="20"/>
    </row>
    <row r="11" ht="15.75" customHeight="1">
      <c r="A11" s="137"/>
      <c r="B11" s="35" t="s">
        <v>29</v>
      </c>
      <c r="C11" s="36" t="s">
        <v>167</v>
      </c>
      <c r="D11" s="37">
        <v>20000.0</v>
      </c>
      <c r="E11" s="38">
        <f>D11*3</f>
        <v>60000</v>
      </c>
      <c r="F11" s="40" t="s">
        <v>37</v>
      </c>
      <c r="G11" s="42"/>
      <c r="H11" s="41">
        <v>3.0</v>
      </c>
      <c r="I11" s="40">
        <v>0.0</v>
      </c>
      <c r="J11" s="40">
        <v>0.0</v>
      </c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3"/>
      <c r="V11" s="44"/>
      <c r="W11" s="20"/>
      <c r="X11" s="20"/>
    </row>
    <row r="12" ht="15.75" customHeight="1">
      <c r="A12" s="137"/>
      <c r="B12" s="35" t="s">
        <v>33</v>
      </c>
      <c r="C12" s="36" t="s">
        <v>34</v>
      </c>
      <c r="D12" s="37">
        <v>49995.0</v>
      </c>
      <c r="E12" s="45">
        <f>D12*4</f>
        <v>199980</v>
      </c>
      <c r="F12" s="40" t="s">
        <v>37</v>
      </c>
      <c r="G12" s="42"/>
      <c r="H12" s="41">
        <v>4.0</v>
      </c>
      <c r="I12" s="40">
        <v>0.0</v>
      </c>
      <c r="J12" s="40">
        <v>0.0</v>
      </c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3"/>
      <c r="V12" s="44"/>
      <c r="W12" s="20"/>
      <c r="X12" s="20"/>
    </row>
    <row r="13">
      <c r="A13" s="198"/>
      <c r="B13" s="27" t="s">
        <v>41</v>
      </c>
      <c r="C13" s="28"/>
      <c r="D13" s="29"/>
      <c r="E13" s="30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2"/>
      <c r="V13" s="33"/>
      <c r="W13" s="20"/>
      <c r="X13" s="20"/>
    </row>
    <row r="14" ht="15.75" customHeight="1">
      <c r="A14" s="137"/>
      <c r="B14" s="35" t="s">
        <v>42</v>
      </c>
      <c r="C14" s="36" t="s">
        <v>207</v>
      </c>
      <c r="D14" s="37">
        <v>1700.0</v>
      </c>
      <c r="E14" s="45">
        <f t="shared" ref="E14:E16" si="1">D14*100</f>
        <v>170000</v>
      </c>
      <c r="F14" s="40" t="s">
        <v>37</v>
      </c>
      <c r="G14" s="42"/>
      <c r="H14" s="40">
        <v>0.0</v>
      </c>
      <c r="I14" s="52">
        <v>100.0</v>
      </c>
      <c r="J14" s="40">
        <v>0.0</v>
      </c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3"/>
      <c r="V14" s="44"/>
      <c r="W14" s="20"/>
      <c r="X14" s="20"/>
    </row>
    <row r="15" ht="15.75" customHeight="1">
      <c r="A15" s="137"/>
      <c r="B15" s="35" t="s">
        <v>45</v>
      </c>
      <c r="C15" s="36" t="s">
        <v>207</v>
      </c>
      <c r="D15" s="37">
        <v>1700.0</v>
      </c>
      <c r="E15" s="45">
        <f t="shared" si="1"/>
        <v>170000</v>
      </c>
      <c r="F15" s="40" t="s">
        <v>37</v>
      </c>
      <c r="G15" s="42"/>
      <c r="H15" s="40">
        <v>0.0</v>
      </c>
      <c r="I15" s="52">
        <v>100.0</v>
      </c>
      <c r="J15" s="40">
        <v>0.0</v>
      </c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3"/>
      <c r="V15" s="44"/>
      <c r="W15" s="20"/>
      <c r="X15" s="20"/>
    </row>
    <row r="16" ht="15.75" customHeight="1">
      <c r="A16" s="137"/>
      <c r="B16" s="35" t="s">
        <v>46</v>
      </c>
      <c r="C16" s="36" t="s">
        <v>208</v>
      </c>
      <c r="D16" s="37">
        <v>4000.0</v>
      </c>
      <c r="E16" s="45">
        <f t="shared" si="1"/>
        <v>400000</v>
      </c>
      <c r="F16" s="40" t="s">
        <v>37</v>
      </c>
      <c r="G16" s="42"/>
      <c r="H16" s="40">
        <v>0.0</v>
      </c>
      <c r="I16" s="52">
        <v>100.0</v>
      </c>
      <c r="J16" s="40">
        <v>0.0</v>
      </c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3"/>
      <c r="V16" s="44"/>
      <c r="W16" s="20"/>
      <c r="X16" s="20"/>
    </row>
    <row r="17" ht="15.75" customHeight="1">
      <c r="A17" s="137"/>
      <c r="B17" s="35" t="s">
        <v>48</v>
      </c>
      <c r="C17" s="36" t="s">
        <v>49</v>
      </c>
      <c r="D17" s="37">
        <v>8000.0</v>
      </c>
      <c r="E17" s="45">
        <f>D17*25</f>
        <v>200000</v>
      </c>
      <c r="F17" s="40" t="s">
        <v>37</v>
      </c>
      <c r="G17" s="42"/>
      <c r="H17" s="40">
        <v>0.0</v>
      </c>
      <c r="I17" s="53">
        <v>25.0</v>
      </c>
      <c r="J17" s="40">
        <v>0.0</v>
      </c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3"/>
      <c r="V17" s="44"/>
      <c r="W17" s="20"/>
      <c r="X17" s="20"/>
    </row>
    <row r="18" ht="15.75" customHeight="1">
      <c r="A18" s="137"/>
      <c r="B18" s="35" t="s">
        <v>50</v>
      </c>
      <c r="C18" s="36" t="s">
        <v>118</v>
      </c>
      <c r="D18" s="37">
        <v>1500.0</v>
      </c>
      <c r="E18" s="45">
        <f>D18*10</f>
        <v>15000</v>
      </c>
      <c r="F18" s="40" t="s">
        <v>37</v>
      </c>
      <c r="G18" s="42"/>
      <c r="H18" s="40">
        <v>0.0</v>
      </c>
      <c r="I18" s="52">
        <v>10.0</v>
      </c>
      <c r="J18" s="40">
        <v>0.0</v>
      </c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3"/>
      <c r="V18" s="44"/>
      <c r="W18" s="20"/>
      <c r="X18" s="20"/>
    </row>
    <row r="19" ht="15.75" customHeight="1">
      <c r="A19" s="137"/>
      <c r="B19" s="35" t="s">
        <v>52</v>
      </c>
      <c r="C19" s="36" t="s">
        <v>209</v>
      </c>
      <c r="D19" s="37">
        <v>100.0</v>
      </c>
      <c r="E19" s="45">
        <f>100*100</f>
        <v>10000</v>
      </c>
      <c r="F19" s="40" t="s">
        <v>37</v>
      </c>
      <c r="G19" s="42"/>
      <c r="H19" s="40">
        <v>0.0</v>
      </c>
      <c r="I19" s="52">
        <v>100.0</v>
      </c>
      <c r="J19" s="40">
        <v>0.0</v>
      </c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3"/>
      <c r="V19" s="44"/>
      <c r="W19" s="20"/>
      <c r="X19" s="20"/>
    </row>
    <row r="20" ht="15.75" customHeight="1">
      <c r="A20" s="137"/>
      <c r="B20" s="35" t="s">
        <v>53</v>
      </c>
      <c r="C20" s="36" t="s">
        <v>209</v>
      </c>
      <c r="D20" s="37">
        <v>150.0</v>
      </c>
      <c r="E20" s="45">
        <f>150*100</f>
        <v>15000</v>
      </c>
      <c r="F20" s="40" t="s">
        <v>37</v>
      </c>
      <c r="G20" s="42"/>
      <c r="H20" s="40">
        <v>0.0</v>
      </c>
      <c r="I20" s="52">
        <v>100.0</v>
      </c>
      <c r="J20" s="40">
        <v>0.0</v>
      </c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3"/>
      <c r="V20" s="44"/>
      <c r="W20" s="20"/>
      <c r="X20" s="20"/>
    </row>
    <row r="21" ht="15.75" customHeight="1">
      <c r="A21" s="137"/>
      <c r="B21" s="54" t="s">
        <v>60</v>
      </c>
      <c r="C21" s="55"/>
      <c r="D21" s="56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20"/>
      <c r="X21" s="20"/>
      <c r="Y21" s="2"/>
      <c r="Z21" s="2"/>
    </row>
    <row r="22" ht="15.75" customHeight="1">
      <c r="A22" s="137"/>
      <c r="B22" s="35" t="s">
        <v>61</v>
      </c>
      <c r="C22" s="36" t="s">
        <v>210</v>
      </c>
      <c r="D22" s="58">
        <v>2000.0</v>
      </c>
      <c r="E22" s="45">
        <f>D22*25</f>
        <v>50000</v>
      </c>
      <c r="F22" s="60" t="s">
        <v>37</v>
      </c>
      <c r="G22" s="43"/>
      <c r="H22" s="61">
        <v>25.0</v>
      </c>
      <c r="I22" s="60">
        <v>0.0</v>
      </c>
      <c r="J22" s="60">
        <v>0.0</v>
      </c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20"/>
      <c r="X22" s="20"/>
      <c r="Y22" s="2"/>
      <c r="Z22" s="2"/>
    </row>
    <row r="23" ht="15.75" customHeight="1">
      <c r="A23" s="137"/>
      <c r="B23" s="35" t="s">
        <v>61</v>
      </c>
      <c r="C23" s="36" t="s">
        <v>211</v>
      </c>
      <c r="D23" s="37">
        <v>2000.0</v>
      </c>
      <c r="E23" s="45">
        <f>D23*2</f>
        <v>4000</v>
      </c>
      <c r="F23" s="60" t="s">
        <v>37</v>
      </c>
      <c r="G23" s="43"/>
      <c r="H23" s="131">
        <v>2.0</v>
      </c>
      <c r="I23" s="60">
        <v>0.0</v>
      </c>
      <c r="J23" s="60">
        <v>0.0</v>
      </c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20"/>
      <c r="X23" s="20"/>
      <c r="Y23" s="2"/>
      <c r="Z23" s="2"/>
    </row>
    <row r="24" ht="15.75" customHeight="1">
      <c r="A24" s="137"/>
      <c r="B24" s="62" t="s">
        <v>64</v>
      </c>
      <c r="C24" s="36" t="s">
        <v>212</v>
      </c>
      <c r="D24" s="58">
        <v>350.0</v>
      </c>
      <c r="E24" s="45">
        <f>D24*75</f>
        <v>26250</v>
      </c>
      <c r="F24" s="60" t="s">
        <v>37</v>
      </c>
      <c r="G24" s="43"/>
      <c r="H24" s="61">
        <v>75.0</v>
      </c>
      <c r="I24" s="60">
        <v>0.0</v>
      </c>
      <c r="J24" s="60">
        <v>0.0</v>
      </c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20"/>
      <c r="X24" s="20"/>
      <c r="Y24" s="2"/>
      <c r="Z24" s="2"/>
    </row>
    <row r="25" ht="15.75" customHeight="1">
      <c r="A25" s="137"/>
      <c r="B25" s="62" t="s">
        <v>64</v>
      </c>
      <c r="C25" s="36" t="s">
        <v>213</v>
      </c>
      <c r="D25" s="58">
        <v>350.0</v>
      </c>
      <c r="E25" s="38">
        <v>700.0</v>
      </c>
      <c r="F25" s="60" t="s">
        <v>37</v>
      </c>
      <c r="G25" s="43"/>
      <c r="H25" s="131">
        <v>2.0</v>
      </c>
      <c r="I25" s="60">
        <v>0.0</v>
      </c>
      <c r="J25" s="60">
        <v>0.0</v>
      </c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20"/>
      <c r="X25" s="20"/>
      <c r="Y25" s="2"/>
      <c r="Z25" s="2"/>
    </row>
    <row r="26" ht="15.75" customHeight="1">
      <c r="A26" s="137"/>
      <c r="B26" s="62" t="s">
        <v>66</v>
      </c>
      <c r="C26" s="36" t="s">
        <v>214</v>
      </c>
      <c r="D26" s="58">
        <v>500.0</v>
      </c>
      <c r="E26" s="45">
        <f>D26*150</f>
        <v>75000</v>
      </c>
      <c r="F26" s="60" t="s">
        <v>37</v>
      </c>
      <c r="G26" s="43"/>
      <c r="H26" s="61">
        <v>150.0</v>
      </c>
      <c r="I26" s="60">
        <v>0.0</v>
      </c>
      <c r="J26" s="60">
        <v>0.0</v>
      </c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20"/>
      <c r="X26" s="20"/>
      <c r="Y26" s="2"/>
      <c r="Z26" s="2"/>
    </row>
    <row r="27" ht="15.75" customHeight="1">
      <c r="A27" s="137"/>
      <c r="B27" s="62" t="s">
        <v>66</v>
      </c>
      <c r="C27" s="36" t="s">
        <v>215</v>
      </c>
      <c r="D27" s="58">
        <v>500.0</v>
      </c>
      <c r="E27" s="45">
        <f>D27*5</f>
        <v>2500</v>
      </c>
      <c r="F27" s="60" t="s">
        <v>37</v>
      </c>
      <c r="G27" s="43"/>
      <c r="H27" s="131">
        <v>5.0</v>
      </c>
      <c r="I27" s="60">
        <v>0.0</v>
      </c>
      <c r="J27" s="60">
        <v>0.0</v>
      </c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20"/>
      <c r="X27" s="20"/>
      <c r="Y27" s="2"/>
      <c r="Z27" s="2"/>
    </row>
    <row r="28" ht="15.75" customHeight="1">
      <c r="A28" s="137"/>
      <c r="B28" s="62" t="s">
        <v>68</v>
      </c>
      <c r="C28" s="127" t="s">
        <v>216</v>
      </c>
      <c r="D28" s="37">
        <v>600.0</v>
      </c>
      <c r="E28" s="45">
        <f>D28*30</f>
        <v>18000</v>
      </c>
      <c r="F28" s="60" t="s">
        <v>37</v>
      </c>
      <c r="G28" s="43"/>
      <c r="H28" s="61">
        <v>50.0</v>
      </c>
      <c r="I28" s="60">
        <v>0.0</v>
      </c>
      <c r="J28" s="60">
        <v>0.0</v>
      </c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20"/>
      <c r="X28" s="20"/>
      <c r="Y28" s="2"/>
      <c r="Z28" s="2"/>
    </row>
    <row r="29" ht="15.75" customHeight="1">
      <c r="A29" s="137"/>
      <c r="B29" s="62" t="s">
        <v>68</v>
      </c>
      <c r="C29" s="36" t="s">
        <v>217</v>
      </c>
      <c r="D29" s="37">
        <v>600.0</v>
      </c>
      <c r="E29" s="45">
        <f>D29*5</f>
        <v>3000</v>
      </c>
      <c r="F29" s="60" t="s">
        <v>37</v>
      </c>
      <c r="G29" s="43"/>
      <c r="H29" s="131">
        <v>5.0</v>
      </c>
      <c r="I29" s="60">
        <v>0.0</v>
      </c>
      <c r="J29" s="60">
        <v>0.0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20"/>
      <c r="X29" s="20"/>
      <c r="Y29" s="2"/>
      <c r="Z29" s="2"/>
    </row>
    <row r="30" ht="15.75" customHeight="1">
      <c r="A30" s="137"/>
      <c r="B30" s="62" t="s">
        <v>70</v>
      </c>
      <c r="C30" s="127" t="s">
        <v>216</v>
      </c>
      <c r="D30" s="58">
        <v>200.0</v>
      </c>
      <c r="E30" s="45">
        <f>D30*30</f>
        <v>6000</v>
      </c>
      <c r="F30" s="60" t="s">
        <v>37</v>
      </c>
      <c r="G30" s="43"/>
      <c r="H30" s="61">
        <v>50.0</v>
      </c>
      <c r="I30" s="60">
        <v>0.0</v>
      </c>
      <c r="J30" s="60">
        <v>0.0</v>
      </c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20"/>
      <c r="X30" s="20"/>
      <c r="Y30" s="2"/>
      <c r="Z30" s="2"/>
    </row>
    <row r="31" ht="15.75" customHeight="1">
      <c r="A31" s="137"/>
      <c r="B31" s="62" t="s">
        <v>70</v>
      </c>
      <c r="C31" s="36" t="s">
        <v>217</v>
      </c>
      <c r="D31" s="58">
        <v>200.0</v>
      </c>
      <c r="E31" s="45">
        <f>D31*5</f>
        <v>1000</v>
      </c>
      <c r="F31" s="60" t="s">
        <v>37</v>
      </c>
      <c r="G31" s="43"/>
      <c r="H31" s="131">
        <v>5.0</v>
      </c>
      <c r="I31" s="60">
        <v>0.0</v>
      </c>
      <c r="J31" s="60">
        <v>0.0</v>
      </c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20"/>
      <c r="X31" s="20"/>
      <c r="Y31" s="2"/>
      <c r="Z31" s="2"/>
    </row>
    <row r="32" ht="15.75" customHeight="1">
      <c r="A32" s="137"/>
      <c r="B32" s="62" t="s">
        <v>71</v>
      </c>
      <c r="C32" s="127" t="s">
        <v>216</v>
      </c>
      <c r="D32" s="37">
        <v>900.0</v>
      </c>
      <c r="E32" s="45">
        <f>D32*30</f>
        <v>27000</v>
      </c>
      <c r="F32" s="60" t="s">
        <v>37</v>
      </c>
      <c r="G32" s="43"/>
      <c r="H32" s="61">
        <v>50.0</v>
      </c>
      <c r="I32" s="60">
        <v>0.0</v>
      </c>
      <c r="J32" s="60">
        <v>0.0</v>
      </c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20"/>
      <c r="X32" s="20"/>
      <c r="Y32" s="2"/>
      <c r="Z32" s="2"/>
    </row>
    <row r="33" ht="15.75" customHeight="1">
      <c r="A33" s="137"/>
      <c r="B33" s="62" t="s">
        <v>71</v>
      </c>
      <c r="C33" s="36" t="s">
        <v>217</v>
      </c>
      <c r="D33" s="37">
        <v>900.0</v>
      </c>
      <c r="E33" s="45">
        <f>D33*5</f>
        <v>4500</v>
      </c>
      <c r="F33" s="60" t="s">
        <v>37</v>
      </c>
      <c r="G33" s="43"/>
      <c r="H33" s="131">
        <v>5.0</v>
      </c>
      <c r="I33" s="60">
        <v>0.0</v>
      </c>
      <c r="J33" s="60">
        <v>0.0</v>
      </c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20"/>
      <c r="X33" s="20"/>
      <c r="Y33" s="2"/>
      <c r="Z33" s="2"/>
    </row>
    <row r="34" ht="15.75" customHeight="1">
      <c r="A34" s="137"/>
      <c r="B34" s="35" t="s">
        <v>72</v>
      </c>
      <c r="C34" s="36" t="s">
        <v>73</v>
      </c>
      <c r="D34" s="37">
        <v>3000.0</v>
      </c>
      <c r="E34" s="45">
        <f t="shared" ref="E34:E36" si="2">D34*4</f>
        <v>12000</v>
      </c>
      <c r="F34" s="60" t="s">
        <v>37</v>
      </c>
      <c r="G34" s="43"/>
      <c r="H34" s="61">
        <v>4.0</v>
      </c>
      <c r="I34" s="60">
        <v>0.0</v>
      </c>
      <c r="J34" s="60">
        <v>0.0</v>
      </c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20"/>
      <c r="X34" s="20"/>
      <c r="Y34" s="2"/>
      <c r="Z34" s="2"/>
    </row>
    <row r="35" ht="15.75" customHeight="1">
      <c r="A35" s="137"/>
      <c r="B35" s="35" t="s">
        <v>74</v>
      </c>
      <c r="C35" s="36" t="s">
        <v>73</v>
      </c>
      <c r="D35" s="37">
        <v>3000.0</v>
      </c>
      <c r="E35" s="45">
        <f t="shared" si="2"/>
        <v>12000</v>
      </c>
      <c r="F35" s="60" t="s">
        <v>37</v>
      </c>
      <c r="G35" s="43"/>
      <c r="H35" s="61">
        <v>4.0</v>
      </c>
      <c r="I35" s="60">
        <v>0.0</v>
      </c>
      <c r="J35" s="60">
        <v>0.0</v>
      </c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20"/>
      <c r="X35" s="20"/>
      <c r="Y35" s="2"/>
      <c r="Z35" s="2"/>
    </row>
    <row r="36" ht="15.75" customHeight="1">
      <c r="A36" s="137"/>
      <c r="B36" s="35" t="s">
        <v>75</v>
      </c>
      <c r="C36" s="36" t="s">
        <v>73</v>
      </c>
      <c r="D36" s="37">
        <v>5000.0</v>
      </c>
      <c r="E36" s="45">
        <f t="shared" si="2"/>
        <v>20000</v>
      </c>
      <c r="F36" s="60" t="s">
        <v>37</v>
      </c>
      <c r="G36" s="43"/>
      <c r="H36" s="61">
        <v>4.0</v>
      </c>
      <c r="I36" s="60">
        <v>0.0</v>
      </c>
      <c r="J36" s="60">
        <v>0.0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20"/>
      <c r="X36" s="20"/>
      <c r="Y36" s="2"/>
      <c r="Z36" s="2"/>
    </row>
    <row r="37" ht="15.75" customHeight="1">
      <c r="A37" s="137"/>
      <c r="B37" s="35" t="s">
        <v>77</v>
      </c>
      <c r="C37" s="36" t="s">
        <v>78</v>
      </c>
      <c r="D37" s="37">
        <v>2000.0</v>
      </c>
      <c r="E37" s="45">
        <f>D37*8</f>
        <v>16000</v>
      </c>
      <c r="F37" s="60" t="s">
        <v>37</v>
      </c>
      <c r="G37" s="43"/>
      <c r="H37" s="61">
        <v>8.0</v>
      </c>
      <c r="I37" s="60">
        <v>0.0</v>
      </c>
      <c r="J37" s="60">
        <v>0.0</v>
      </c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20"/>
      <c r="X37" s="20"/>
      <c r="Y37" s="2"/>
      <c r="Z37" s="2"/>
    </row>
    <row r="38" ht="15.75" customHeight="1">
      <c r="A38" s="137"/>
      <c r="B38" s="63" t="s">
        <v>100</v>
      </c>
      <c r="C38" s="50" t="s">
        <v>76</v>
      </c>
      <c r="D38" s="64">
        <v>1500.0</v>
      </c>
      <c r="E38" s="65">
        <f>D38*10</f>
        <v>15000</v>
      </c>
      <c r="F38" s="67" t="s">
        <v>37</v>
      </c>
      <c r="G38" s="68"/>
      <c r="H38" s="70">
        <v>10.0</v>
      </c>
      <c r="I38" s="67">
        <v>0.0</v>
      </c>
      <c r="J38" s="67">
        <v>0.0</v>
      </c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20"/>
      <c r="X38" s="20"/>
      <c r="Y38" s="2"/>
      <c r="Z38" s="2"/>
    </row>
    <row r="39" ht="15.75" customHeight="1">
      <c r="A39" s="137"/>
      <c r="B39" s="35" t="s">
        <v>82</v>
      </c>
      <c r="C39" s="36" t="s">
        <v>216</v>
      </c>
      <c r="D39" s="37">
        <v>450.0</v>
      </c>
      <c r="E39" s="45">
        <f>D39*50</f>
        <v>22500</v>
      </c>
      <c r="F39" s="60" t="s">
        <v>37</v>
      </c>
      <c r="G39" s="43"/>
      <c r="H39" s="61">
        <v>50.0</v>
      </c>
      <c r="I39" s="60">
        <v>0.0</v>
      </c>
      <c r="J39" s="60">
        <v>0.0</v>
      </c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20"/>
      <c r="X39" s="20"/>
      <c r="Y39" s="2"/>
      <c r="Z39" s="2"/>
    </row>
    <row r="40" ht="15.75" customHeight="1">
      <c r="A40" s="137"/>
      <c r="B40" s="35" t="s">
        <v>82</v>
      </c>
      <c r="C40" s="36" t="s">
        <v>217</v>
      </c>
      <c r="D40" s="37">
        <v>450.0</v>
      </c>
      <c r="E40" s="45">
        <f>D40*5</f>
        <v>2250</v>
      </c>
      <c r="F40" s="60" t="s">
        <v>37</v>
      </c>
      <c r="G40" s="43"/>
      <c r="H40" s="131">
        <v>5.0</v>
      </c>
      <c r="I40" s="60">
        <v>0.0</v>
      </c>
      <c r="J40" s="60">
        <v>0.0</v>
      </c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20"/>
      <c r="X40" s="20"/>
      <c r="Y40" s="2"/>
      <c r="Z40" s="2"/>
    </row>
    <row r="41" ht="15.75" customHeight="1">
      <c r="A41" s="137"/>
      <c r="B41" s="35" t="s">
        <v>84</v>
      </c>
      <c r="C41" s="36" t="s">
        <v>216</v>
      </c>
      <c r="D41" s="37">
        <v>450.0</v>
      </c>
      <c r="E41" s="45">
        <f>D41*50</f>
        <v>22500</v>
      </c>
      <c r="F41" s="60" t="s">
        <v>37</v>
      </c>
      <c r="G41" s="43"/>
      <c r="H41" s="61">
        <v>50.0</v>
      </c>
      <c r="I41" s="60">
        <v>0.0</v>
      </c>
      <c r="J41" s="60">
        <v>0.0</v>
      </c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20"/>
      <c r="X41" s="20"/>
      <c r="Y41" s="2"/>
      <c r="Z41" s="2"/>
    </row>
    <row r="42" ht="15.75" customHeight="1">
      <c r="A42" s="137"/>
      <c r="B42" s="35" t="s">
        <v>84</v>
      </c>
      <c r="C42" s="36" t="s">
        <v>217</v>
      </c>
      <c r="D42" s="37">
        <v>450.0</v>
      </c>
      <c r="E42" s="45">
        <f>D42*5</f>
        <v>2250</v>
      </c>
      <c r="F42" s="60" t="s">
        <v>37</v>
      </c>
      <c r="G42" s="43"/>
      <c r="H42" s="131">
        <v>5.0</v>
      </c>
      <c r="I42" s="60">
        <v>0.0</v>
      </c>
      <c r="J42" s="60">
        <v>0.0</v>
      </c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20"/>
      <c r="X42" s="20"/>
      <c r="Y42" s="2"/>
      <c r="Z42" s="2"/>
    </row>
    <row r="43" ht="15.75" customHeight="1">
      <c r="A43" s="137"/>
      <c r="B43" s="35" t="s">
        <v>86</v>
      </c>
      <c r="C43" s="36" t="s">
        <v>218</v>
      </c>
      <c r="D43" s="37">
        <v>500.0</v>
      </c>
      <c r="E43" s="45">
        <f t="shared" ref="E43:E44" si="3">D43*10</f>
        <v>5000</v>
      </c>
      <c r="F43" s="60" t="s">
        <v>37</v>
      </c>
      <c r="G43" s="43"/>
      <c r="H43" s="61">
        <v>10.0</v>
      </c>
      <c r="I43" s="60">
        <v>0.0</v>
      </c>
      <c r="J43" s="60">
        <v>0.0</v>
      </c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20"/>
      <c r="X43" s="20"/>
      <c r="Y43" s="2"/>
      <c r="Z43" s="2"/>
    </row>
    <row r="44" ht="15.75" customHeight="1">
      <c r="A44" s="137"/>
      <c r="B44" s="35" t="s">
        <v>88</v>
      </c>
      <c r="C44" s="36" t="s">
        <v>218</v>
      </c>
      <c r="D44" s="37">
        <v>800.0</v>
      </c>
      <c r="E44" s="45">
        <f t="shared" si="3"/>
        <v>8000</v>
      </c>
      <c r="F44" s="60" t="s">
        <v>37</v>
      </c>
      <c r="G44" s="43"/>
      <c r="H44" s="61">
        <v>10.0</v>
      </c>
      <c r="I44" s="60">
        <v>0.0</v>
      </c>
      <c r="J44" s="60">
        <v>0.0</v>
      </c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20"/>
      <c r="X44" s="20"/>
      <c r="Y44" s="2"/>
      <c r="Z44" s="2"/>
    </row>
    <row r="45">
      <c r="A45" s="137"/>
      <c r="B45" s="35" t="s">
        <v>219</v>
      </c>
      <c r="C45" s="36" t="s">
        <v>76</v>
      </c>
      <c r="D45" s="37">
        <v>900.0</v>
      </c>
      <c r="E45" s="45">
        <f>D45*10</f>
        <v>9000</v>
      </c>
      <c r="F45" s="60" t="s">
        <v>37</v>
      </c>
      <c r="G45" s="43"/>
      <c r="H45" s="61">
        <v>10.0</v>
      </c>
      <c r="I45" s="60">
        <v>0.0</v>
      </c>
      <c r="J45" s="60">
        <v>0.0</v>
      </c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20"/>
      <c r="X45" s="20"/>
      <c r="Y45" s="2"/>
      <c r="Z45" s="2"/>
    </row>
    <row r="46" ht="15.75" customHeight="1">
      <c r="A46" s="137"/>
      <c r="B46" s="35" t="s">
        <v>95</v>
      </c>
      <c r="C46" s="36" t="s">
        <v>62</v>
      </c>
      <c r="D46" s="37">
        <v>5500.0</v>
      </c>
      <c r="E46" s="45">
        <f>D46*10</f>
        <v>55000</v>
      </c>
      <c r="F46" s="60" t="s">
        <v>37</v>
      </c>
      <c r="G46" s="43"/>
      <c r="H46" s="61">
        <v>10.0</v>
      </c>
      <c r="I46" s="60">
        <v>0.0</v>
      </c>
      <c r="J46" s="60">
        <v>0.0</v>
      </c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20"/>
      <c r="X46" s="20"/>
      <c r="Y46" s="2"/>
      <c r="Z46" s="2"/>
    </row>
    <row r="47" ht="15.75" customHeight="1">
      <c r="A47" s="137"/>
      <c r="B47" s="63" t="s">
        <v>96</v>
      </c>
      <c r="C47" s="50" t="s">
        <v>220</v>
      </c>
      <c r="D47" s="64">
        <v>700.0</v>
      </c>
      <c r="E47" s="65">
        <f>D47*12</f>
        <v>8400</v>
      </c>
      <c r="F47" s="60" t="s">
        <v>37</v>
      </c>
      <c r="G47" s="68"/>
      <c r="H47" s="66">
        <v>12.0</v>
      </c>
      <c r="I47" s="67">
        <v>0.0</v>
      </c>
      <c r="J47" s="67">
        <v>0.0</v>
      </c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20"/>
      <c r="X47" s="20"/>
      <c r="Y47" s="2"/>
      <c r="Z47" s="2"/>
    </row>
    <row r="48" ht="15.75" customHeight="1">
      <c r="A48" s="137"/>
      <c r="B48" s="63" t="s">
        <v>97</v>
      </c>
      <c r="C48" s="50" t="s">
        <v>62</v>
      </c>
      <c r="D48" s="64">
        <v>2500.0</v>
      </c>
      <c r="E48" s="65">
        <f>D48*10</f>
        <v>25000</v>
      </c>
      <c r="F48" s="60" t="s">
        <v>37</v>
      </c>
      <c r="G48" s="68"/>
      <c r="H48" s="66">
        <v>10.0</v>
      </c>
      <c r="I48" s="67">
        <v>0.0</v>
      </c>
      <c r="J48" s="67">
        <v>0.0</v>
      </c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20"/>
      <c r="X48" s="20"/>
      <c r="Y48" s="2"/>
      <c r="Z48" s="2"/>
    </row>
    <row r="49" ht="15.75" customHeight="1">
      <c r="A49" s="137"/>
      <c r="B49" s="63" t="s">
        <v>98</v>
      </c>
      <c r="C49" s="50" t="s">
        <v>99</v>
      </c>
      <c r="D49" s="64">
        <v>4500.0</v>
      </c>
      <c r="E49" s="65">
        <f>D49*30</f>
        <v>135000</v>
      </c>
      <c r="F49" s="60" t="s">
        <v>37</v>
      </c>
      <c r="G49" s="68"/>
      <c r="H49" s="66">
        <v>30.0</v>
      </c>
      <c r="I49" s="67">
        <v>0.0</v>
      </c>
      <c r="J49" s="67">
        <v>0.0</v>
      </c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20"/>
      <c r="X49" s="20"/>
      <c r="Y49" s="2"/>
      <c r="Z49" s="2"/>
    </row>
    <row r="50" ht="15.75" customHeight="1">
      <c r="A50" s="137"/>
      <c r="B50" s="63" t="s">
        <v>101</v>
      </c>
      <c r="C50" s="50" t="s">
        <v>221</v>
      </c>
      <c r="D50" s="64">
        <v>12000.0</v>
      </c>
      <c r="E50" s="65">
        <f t="shared" ref="E50:E54" si="4">D50*5</f>
        <v>60000</v>
      </c>
      <c r="F50" s="67" t="s">
        <v>37</v>
      </c>
      <c r="G50" s="68"/>
      <c r="H50" s="70">
        <v>5.0</v>
      </c>
      <c r="I50" s="67">
        <v>0.0</v>
      </c>
      <c r="J50" s="67">
        <v>0.0</v>
      </c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20"/>
      <c r="X50" s="20"/>
      <c r="Y50" s="2"/>
      <c r="Z50" s="2"/>
    </row>
    <row r="51" ht="15.75" customHeight="1">
      <c r="A51" s="137"/>
      <c r="B51" s="63" t="s">
        <v>106</v>
      </c>
      <c r="C51" s="50" t="s">
        <v>221</v>
      </c>
      <c r="D51" s="64">
        <v>8000.0</v>
      </c>
      <c r="E51" s="65">
        <f t="shared" si="4"/>
        <v>40000</v>
      </c>
      <c r="F51" s="67" t="s">
        <v>37</v>
      </c>
      <c r="G51" s="68"/>
      <c r="H51" s="70">
        <v>5.0</v>
      </c>
      <c r="I51" s="67">
        <v>0.0</v>
      </c>
      <c r="J51" s="67">
        <v>0.0</v>
      </c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20"/>
      <c r="X51" s="20"/>
      <c r="Y51" s="2"/>
      <c r="Z51" s="2"/>
    </row>
    <row r="52" ht="15.75" customHeight="1">
      <c r="A52" s="137"/>
      <c r="B52" s="63" t="s">
        <v>107</v>
      </c>
      <c r="C52" s="50" t="s">
        <v>108</v>
      </c>
      <c r="D52" s="64">
        <v>2500.0</v>
      </c>
      <c r="E52" s="65">
        <f t="shared" si="4"/>
        <v>12500</v>
      </c>
      <c r="F52" s="67" t="s">
        <v>37</v>
      </c>
      <c r="G52" s="68"/>
      <c r="H52" s="70">
        <v>5.0</v>
      </c>
      <c r="I52" s="67">
        <v>0.0</v>
      </c>
      <c r="J52" s="67">
        <v>0.0</v>
      </c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20"/>
      <c r="X52" s="20"/>
      <c r="Y52" s="2"/>
      <c r="Z52" s="2"/>
    </row>
    <row r="53" ht="15.75" customHeight="1">
      <c r="A53" s="137"/>
      <c r="B53" s="63" t="s">
        <v>109</v>
      </c>
      <c r="C53" s="50" t="s">
        <v>108</v>
      </c>
      <c r="D53" s="64">
        <v>900.0</v>
      </c>
      <c r="E53" s="65">
        <f t="shared" si="4"/>
        <v>4500</v>
      </c>
      <c r="F53" s="67" t="s">
        <v>37</v>
      </c>
      <c r="G53" s="68"/>
      <c r="H53" s="70">
        <v>5.0</v>
      </c>
      <c r="I53" s="67">
        <v>0.0</v>
      </c>
      <c r="J53" s="67">
        <v>0.0</v>
      </c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20"/>
      <c r="X53" s="20"/>
      <c r="Y53" s="2"/>
      <c r="Z53" s="2"/>
    </row>
    <row r="54" ht="15.75" customHeight="1">
      <c r="A54" s="137"/>
      <c r="B54" s="63" t="s">
        <v>110</v>
      </c>
      <c r="C54" s="50" t="s">
        <v>108</v>
      </c>
      <c r="D54" s="64">
        <v>2400.0</v>
      </c>
      <c r="E54" s="65">
        <f t="shared" si="4"/>
        <v>12000</v>
      </c>
      <c r="F54" s="67" t="s">
        <v>37</v>
      </c>
      <c r="G54" s="68"/>
      <c r="H54" s="70">
        <v>5.0</v>
      </c>
      <c r="I54" s="67">
        <v>0.0</v>
      </c>
      <c r="J54" s="67">
        <v>0.0</v>
      </c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20"/>
      <c r="X54" s="20"/>
      <c r="Y54" s="2"/>
      <c r="Z54" s="2"/>
    </row>
    <row r="55" ht="15.75" customHeight="1">
      <c r="A55" s="137"/>
      <c r="B55" s="63" t="s">
        <v>111</v>
      </c>
      <c r="C55" s="50" t="s">
        <v>108</v>
      </c>
      <c r="D55" s="64">
        <v>1000.0</v>
      </c>
      <c r="E55" s="65">
        <f>D55*60</f>
        <v>60000</v>
      </c>
      <c r="F55" s="67" t="s">
        <v>37</v>
      </c>
      <c r="G55" s="68"/>
      <c r="H55" s="70">
        <v>5.0</v>
      </c>
      <c r="I55" s="67">
        <v>0.0</v>
      </c>
      <c r="J55" s="67">
        <v>0.0</v>
      </c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20"/>
      <c r="X55" s="20"/>
      <c r="Y55" s="2"/>
      <c r="Z55" s="2"/>
    </row>
    <row r="56" ht="15.75" customHeight="1">
      <c r="A56" s="137"/>
      <c r="B56" s="63" t="s">
        <v>112</v>
      </c>
      <c r="C56" s="50" t="s">
        <v>108</v>
      </c>
      <c r="D56" s="64">
        <v>1000.0</v>
      </c>
      <c r="E56" s="65">
        <f>D56*36</f>
        <v>36000</v>
      </c>
      <c r="F56" s="67" t="s">
        <v>37</v>
      </c>
      <c r="G56" s="68"/>
      <c r="H56" s="70">
        <v>5.0</v>
      </c>
      <c r="I56" s="67">
        <v>0.0</v>
      </c>
      <c r="J56" s="67">
        <v>0.0</v>
      </c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20"/>
      <c r="X56" s="20"/>
      <c r="Y56" s="2"/>
      <c r="Z56" s="2"/>
    </row>
    <row r="57" ht="15.75" customHeight="1">
      <c r="A57" s="137"/>
      <c r="B57" s="63" t="s">
        <v>113</v>
      </c>
      <c r="C57" s="50" t="s">
        <v>108</v>
      </c>
      <c r="D57" s="64">
        <v>45000.0</v>
      </c>
      <c r="E57" s="65">
        <f t="shared" ref="E57:E58" si="5">D57*5</f>
        <v>225000</v>
      </c>
      <c r="F57" s="67" t="s">
        <v>37</v>
      </c>
      <c r="G57" s="68"/>
      <c r="H57" s="70">
        <v>5.0</v>
      </c>
      <c r="I57" s="67">
        <v>0.0</v>
      </c>
      <c r="J57" s="67">
        <v>0.0</v>
      </c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20"/>
      <c r="X57" s="20"/>
      <c r="Y57" s="2"/>
      <c r="Z57" s="2"/>
    </row>
    <row r="58" ht="15.75" customHeight="1">
      <c r="A58" s="137"/>
      <c r="B58" s="63" t="s">
        <v>114</v>
      </c>
      <c r="C58" s="50" t="s">
        <v>108</v>
      </c>
      <c r="D58" s="64">
        <v>6000.0</v>
      </c>
      <c r="E58" s="65">
        <f t="shared" si="5"/>
        <v>30000</v>
      </c>
      <c r="F58" s="67" t="s">
        <v>37</v>
      </c>
      <c r="G58" s="68"/>
      <c r="H58" s="70">
        <v>5.0</v>
      </c>
      <c r="I58" s="67">
        <v>0.0</v>
      </c>
      <c r="J58" s="67">
        <v>0.0</v>
      </c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20"/>
      <c r="X58" s="20"/>
      <c r="Y58" s="2"/>
      <c r="Z58" s="2"/>
    </row>
    <row r="59" ht="15.75" customHeight="1">
      <c r="A59" s="137"/>
      <c r="B59" s="63" t="s">
        <v>115</v>
      </c>
      <c r="C59" s="50" t="s">
        <v>123</v>
      </c>
      <c r="D59" s="64">
        <v>1000.0</v>
      </c>
      <c r="E59" s="65">
        <f>D59*10</f>
        <v>10000</v>
      </c>
      <c r="F59" s="67" t="s">
        <v>37</v>
      </c>
      <c r="G59" s="68"/>
      <c r="H59" s="70">
        <v>5.0</v>
      </c>
      <c r="I59" s="67">
        <v>0.0</v>
      </c>
      <c r="J59" s="67">
        <v>0.0</v>
      </c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20"/>
      <c r="X59" s="20"/>
      <c r="Y59" s="2"/>
      <c r="Z59" s="2"/>
    </row>
    <row r="60" ht="15.75" customHeight="1">
      <c r="A60" s="137"/>
      <c r="B60" s="63" t="s">
        <v>117</v>
      </c>
      <c r="C60" s="50" t="s">
        <v>202</v>
      </c>
      <c r="D60" s="64">
        <v>600.0</v>
      </c>
      <c r="E60" s="65">
        <f t="shared" ref="E60:E61" si="6">D60*30</f>
        <v>18000</v>
      </c>
      <c r="F60" s="67" t="s">
        <v>37</v>
      </c>
      <c r="G60" s="68"/>
      <c r="H60" s="70">
        <v>5.0</v>
      </c>
      <c r="I60" s="67">
        <v>0.0</v>
      </c>
      <c r="J60" s="67">
        <v>0.0</v>
      </c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20"/>
      <c r="X60" s="20"/>
      <c r="Y60" s="2"/>
      <c r="Z60" s="2"/>
    </row>
    <row r="61" ht="15.75" customHeight="1">
      <c r="A61" s="137"/>
      <c r="B61" s="63" t="s">
        <v>119</v>
      </c>
      <c r="C61" s="50" t="s">
        <v>202</v>
      </c>
      <c r="D61" s="64">
        <v>1000.0</v>
      </c>
      <c r="E61" s="65">
        <f t="shared" si="6"/>
        <v>30000</v>
      </c>
      <c r="F61" s="67" t="s">
        <v>37</v>
      </c>
      <c r="G61" s="68"/>
      <c r="H61" s="70">
        <v>5.0</v>
      </c>
      <c r="I61" s="67">
        <v>0.0</v>
      </c>
      <c r="J61" s="67">
        <v>0.0</v>
      </c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20"/>
      <c r="X61" s="20"/>
      <c r="Y61" s="2"/>
      <c r="Z61" s="2"/>
    </row>
    <row r="62" ht="15.75" customHeight="1">
      <c r="A62" s="137"/>
      <c r="B62" s="63" t="s">
        <v>120</v>
      </c>
      <c r="C62" s="50" t="s">
        <v>108</v>
      </c>
      <c r="D62" s="64">
        <v>1000.0</v>
      </c>
      <c r="E62" s="65">
        <f>D62*5</f>
        <v>5000</v>
      </c>
      <c r="F62" s="67" t="s">
        <v>37</v>
      </c>
      <c r="G62" s="68"/>
      <c r="H62" s="70">
        <v>5.0</v>
      </c>
      <c r="I62" s="67">
        <v>0.0</v>
      </c>
      <c r="J62" s="67">
        <v>0.0</v>
      </c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20"/>
      <c r="X62" s="20"/>
      <c r="Y62" s="2"/>
      <c r="Z62" s="2"/>
    </row>
    <row r="63" ht="15.75" customHeight="1">
      <c r="A63" s="137"/>
      <c r="B63" s="63" t="s">
        <v>122</v>
      </c>
      <c r="C63" s="50" t="s">
        <v>123</v>
      </c>
      <c r="D63" s="64">
        <v>500.0</v>
      </c>
      <c r="E63" s="65">
        <f>D63*10</f>
        <v>5000</v>
      </c>
      <c r="F63" s="67" t="s">
        <v>37</v>
      </c>
      <c r="G63" s="68"/>
      <c r="H63" s="70">
        <v>10.0</v>
      </c>
      <c r="I63" s="67">
        <v>0.0</v>
      </c>
      <c r="J63" s="67">
        <v>0.0</v>
      </c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20"/>
      <c r="X63" s="20"/>
      <c r="Y63" s="2"/>
      <c r="Z63" s="2"/>
    </row>
    <row r="64" ht="15.75" customHeight="1">
      <c r="A64" s="137"/>
      <c r="B64" s="63" t="s">
        <v>124</v>
      </c>
      <c r="C64" s="50" t="s">
        <v>51</v>
      </c>
      <c r="D64" s="64">
        <v>500.0</v>
      </c>
      <c r="E64" s="65">
        <f>D64*5</f>
        <v>2500</v>
      </c>
      <c r="F64" s="67" t="s">
        <v>37</v>
      </c>
      <c r="G64" s="68"/>
      <c r="H64" s="70">
        <v>5.0</v>
      </c>
      <c r="I64" s="67">
        <v>0.0</v>
      </c>
      <c r="J64" s="67">
        <v>0.0</v>
      </c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20"/>
      <c r="X64" s="20"/>
      <c r="Y64" s="2"/>
      <c r="Z64" s="2"/>
    </row>
    <row r="65" ht="15.75" customHeight="1">
      <c r="A65" s="137"/>
      <c r="B65" s="63" t="s">
        <v>125</v>
      </c>
      <c r="C65" s="50" t="s">
        <v>196</v>
      </c>
      <c r="D65" s="64">
        <v>1500.0</v>
      </c>
      <c r="E65" s="65">
        <f>D65*50</f>
        <v>75000</v>
      </c>
      <c r="F65" s="67" t="s">
        <v>37</v>
      </c>
      <c r="G65" s="68"/>
      <c r="H65" s="70">
        <v>50.0</v>
      </c>
      <c r="I65" s="67">
        <v>0.0</v>
      </c>
      <c r="J65" s="67">
        <v>0.0</v>
      </c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20"/>
      <c r="X65" s="20"/>
      <c r="Y65" s="2"/>
      <c r="Z65" s="2"/>
    </row>
    <row r="66" ht="15.75" customHeight="1">
      <c r="A66" s="137"/>
      <c r="B66" s="35" t="s">
        <v>126</v>
      </c>
      <c r="C66" s="36" t="s">
        <v>222</v>
      </c>
      <c r="D66" s="37">
        <v>5000.0</v>
      </c>
      <c r="E66" s="45">
        <f t="shared" ref="E66:E67" si="7">D66*20</f>
        <v>100000</v>
      </c>
      <c r="F66" s="40" t="s">
        <v>37</v>
      </c>
      <c r="G66" s="42"/>
      <c r="H66" s="40">
        <v>0.0</v>
      </c>
      <c r="I66" s="78">
        <v>20.0</v>
      </c>
      <c r="J66" s="40">
        <v>0.0</v>
      </c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79"/>
      <c r="V66" s="44"/>
      <c r="W66" s="20"/>
      <c r="X66" s="20"/>
    </row>
    <row r="67" ht="15.75" customHeight="1">
      <c r="A67" s="137"/>
      <c r="B67" s="63" t="s">
        <v>203</v>
      </c>
      <c r="C67" s="50" t="s">
        <v>204</v>
      </c>
      <c r="D67" s="64">
        <v>30000.0</v>
      </c>
      <c r="E67" s="65">
        <f t="shared" si="7"/>
        <v>600000</v>
      </c>
      <c r="F67" s="187" t="s">
        <v>37</v>
      </c>
      <c r="G67" s="189"/>
      <c r="H67" s="187">
        <v>0.0</v>
      </c>
      <c r="I67" s="188">
        <v>20.0</v>
      </c>
      <c r="J67" s="187">
        <v>0.0</v>
      </c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90"/>
      <c r="V67" s="191"/>
      <c r="W67" s="20"/>
      <c r="X67" s="20"/>
    </row>
    <row r="68" ht="15.75" customHeight="1">
      <c r="A68" s="199"/>
      <c r="B68" s="80" t="s">
        <v>128</v>
      </c>
      <c r="C68" s="81"/>
      <c r="D68" s="82"/>
      <c r="E68" s="83"/>
      <c r="F68" s="81"/>
      <c r="G68" s="85"/>
      <c r="H68" s="81"/>
      <c r="I68" s="81"/>
      <c r="J68" s="81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6"/>
      <c r="X68" s="86"/>
      <c r="Y68" s="86"/>
      <c r="Z68" s="86"/>
    </row>
    <row r="69" ht="15.75" customHeight="1">
      <c r="A69" s="137"/>
      <c r="B69" s="35" t="s">
        <v>223</v>
      </c>
      <c r="C69" s="36" t="s">
        <v>130</v>
      </c>
      <c r="D69" s="37">
        <v>7000.0</v>
      </c>
      <c r="E69" s="45">
        <f>D69*30</f>
        <v>210000</v>
      </c>
      <c r="F69" s="60" t="s">
        <v>37</v>
      </c>
      <c r="G69" s="43"/>
      <c r="H69" s="60">
        <v>0.0</v>
      </c>
      <c r="I69" s="87">
        <v>30.0</v>
      </c>
      <c r="J69" s="60">
        <v>0.0</v>
      </c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20"/>
      <c r="X69" s="20"/>
      <c r="Y69" s="2"/>
      <c r="Z69" s="2"/>
    </row>
    <row r="70" ht="15.75" customHeight="1">
      <c r="A70" s="137"/>
      <c r="B70" s="63" t="s">
        <v>135</v>
      </c>
      <c r="C70" s="50" t="s">
        <v>118</v>
      </c>
      <c r="D70" s="64">
        <v>1000.0</v>
      </c>
      <c r="E70" s="65">
        <f>D70*10</f>
        <v>10000</v>
      </c>
      <c r="F70" s="67" t="s">
        <v>37</v>
      </c>
      <c r="G70" s="68"/>
      <c r="H70" s="67">
        <v>0.0</v>
      </c>
      <c r="I70" s="91">
        <v>10.0</v>
      </c>
      <c r="J70" s="67">
        <v>0.0</v>
      </c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20"/>
      <c r="X70" s="20"/>
      <c r="Y70" s="2"/>
      <c r="Z70" s="2"/>
    </row>
    <row r="71" ht="15.75" customHeight="1">
      <c r="A71" s="137"/>
      <c r="B71" s="63" t="s">
        <v>136</v>
      </c>
      <c r="C71" s="50" t="s">
        <v>49</v>
      </c>
      <c r="D71" s="64">
        <v>700.0</v>
      </c>
      <c r="E71" s="65">
        <f>D71*25</f>
        <v>17500</v>
      </c>
      <c r="F71" s="67" t="s">
        <v>37</v>
      </c>
      <c r="G71" s="68"/>
      <c r="H71" s="67">
        <v>0.0</v>
      </c>
      <c r="I71" s="91">
        <v>25.0</v>
      </c>
      <c r="J71" s="67">
        <v>0.0</v>
      </c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20"/>
      <c r="X71" s="20"/>
      <c r="Y71" s="2"/>
      <c r="Z71" s="2"/>
    </row>
    <row r="72" ht="15.75" customHeight="1">
      <c r="A72" s="137"/>
      <c r="B72" s="35" t="s">
        <v>137</v>
      </c>
      <c r="C72" s="36" t="s">
        <v>138</v>
      </c>
      <c r="D72" s="37">
        <v>700.0</v>
      </c>
      <c r="E72" s="45">
        <f>D72*15</f>
        <v>10500</v>
      </c>
      <c r="F72" s="60" t="s">
        <v>37</v>
      </c>
      <c r="G72" s="43"/>
      <c r="H72" s="60">
        <v>0.0</v>
      </c>
      <c r="I72" s="92">
        <v>15.0</v>
      </c>
      <c r="J72" s="60">
        <v>0.0</v>
      </c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20"/>
      <c r="X72" s="20"/>
      <c r="Y72" s="2"/>
      <c r="Z72" s="2"/>
    </row>
    <row r="73" ht="15.75" customHeight="1">
      <c r="A73" s="137"/>
      <c r="B73" s="35" t="s">
        <v>139</v>
      </c>
      <c r="C73" s="36" t="s">
        <v>118</v>
      </c>
      <c r="D73" s="37">
        <v>1000.0</v>
      </c>
      <c r="E73" s="45">
        <f>D73*10</f>
        <v>10000</v>
      </c>
      <c r="F73" s="60" t="s">
        <v>37</v>
      </c>
      <c r="G73" s="43"/>
      <c r="H73" s="60">
        <v>0.0</v>
      </c>
      <c r="I73" s="92">
        <v>10.0</v>
      </c>
      <c r="J73" s="60">
        <v>0.0</v>
      </c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20"/>
      <c r="X73" s="20"/>
      <c r="Y73" s="2"/>
      <c r="Z73" s="2"/>
    </row>
    <row r="74" ht="15.75" customHeight="1">
      <c r="A74" s="137"/>
      <c r="B74" s="35" t="s">
        <v>140</v>
      </c>
      <c r="C74" s="36" t="s">
        <v>51</v>
      </c>
      <c r="D74" s="37">
        <v>700.0</v>
      </c>
      <c r="E74" s="45">
        <f t="shared" ref="E74:E76" si="8">D74*5</f>
        <v>3500</v>
      </c>
      <c r="F74" s="60" t="s">
        <v>37</v>
      </c>
      <c r="G74" s="43"/>
      <c r="H74" s="60">
        <v>0.0</v>
      </c>
      <c r="I74" s="92">
        <v>5.0</v>
      </c>
      <c r="J74" s="60">
        <v>0.0</v>
      </c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20"/>
      <c r="X74" s="20"/>
      <c r="Y74" s="2"/>
      <c r="Z74" s="2"/>
    </row>
    <row r="75" ht="15.75" customHeight="1">
      <c r="A75" s="137"/>
      <c r="B75" s="35" t="s">
        <v>141</v>
      </c>
      <c r="C75" s="36" t="s">
        <v>108</v>
      </c>
      <c r="D75" s="37">
        <v>1500.0</v>
      </c>
      <c r="E75" s="45">
        <f t="shared" si="8"/>
        <v>7500</v>
      </c>
      <c r="F75" s="60" t="s">
        <v>37</v>
      </c>
      <c r="G75" s="43"/>
      <c r="H75" s="60">
        <v>0.0</v>
      </c>
      <c r="I75" s="92">
        <v>5.0</v>
      </c>
      <c r="J75" s="60">
        <v>0.0</v>
      </c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20"/>
      <c r="X75" s="20"/>
      <c r="Y75" s="2"/>
      <c r="Z75" s="2"/>
    </row>
    <row r="76" ht="15.75" customHeight="1">
      <c r="A76" s="137"/>
      <c r="B76" s="35" t="s">
        <v>142</v>
      </c>
      <c r="C76" s="36" t="s">
        <v>143</v>
      </c>
      <c r="D76" s="37">
        <v>500.0</v>
      </c>
      <c r="E76" s="45">
        <f t="shared" si="8"/>
        <v>2500</v>
      </c>
      <c r="F76" s="60" t="s">
        <v>37</v>
      </c>
      <c r="G76" s="43"/>
      <c r="H76" s="60">
        <v>0.0</v>
      </c>
      <c r="I76" s="92">
        <v>25.0</v>
      </c>
      <c r="J76" s="60">
        <v>0.0</v>
      </c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20"/>
      <c r="X76" s="20"/>
      <c r="Y76" s="2"/>
      <c r="Z76" s="2"/>
    </row>
    <row r="77" ht="15.75" customHeight="1">
      <c r="A77" s="137"/>
      <c r="B77" s="35" t="s">
        <v>144</v>
      </c>
      <c r="C77" s="36" t="s">
        <v>145</v>
      </c>
      <c r="D77" s="37">
        <v>200.0</v>
      </c>
      <c r="E77" s="45">
        <f>D77*50</f>
        <v>10000</v>
      </c>
      <c r="F77" s="60" t="s">
        <v>37</v>
      </c>
      <c r="G77" s="43"/>
      <c r="H77" s="60">
        <v>0.0</v>
      </c>
      <c r="I77" s="92">
        <v>50.0</v>
      </c>
      <c r="J77" s="60">
        <v>0.0</v>
      </c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20"/>
      <c r="X77" s="20"/>
      <c r="Y77" s="2"/>
      <c r="Z77" s="2"/>
    </row>
    <row r="78" ht="15.75" customHeight="1">
      <c r="A78" s="137"/>
      <c r="B78" s="35" t="s">
        <v>146</v>
      </c>
      <c r="C78" s="36" t="s">
        <v>147</v>
      </c>
      <c r="D78" s="37">
        <v>6500.0</v>
      </c>
      <c r="E78" s="45">
        <f>D78*5</f>
        <v>32500</v>
      </c>
      <c r="F78" s="60" t="s">
        <v>37</v>
      </c>
      <c r="G78" s="43"/>
      <c r="H78" s="60">
        <v>0.0</v>
      </c>
      <c r="I78" s="92">
        <v>5.0</v>
      </c>
      <c r="J78" s="60">
        <v>0.0</v>
      </c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20"/>
      <c r="X78" s="20"/>
      <c r="Y78" s="2"/>
      <c r="Z78" s="2"/>
    </row>
    <row r="79" ht="15.75" customHeight="1">
      <c r="A79" s="137"/>
      <c r="B79" s="35" t="s">
        <v>148</v>
      </c>
      <c r="C79" s="36" t="s">
        <v>138</v>
      </c>
      <c r="D79" s="37">
        <v>1000.0</v>
      </c>
      <c r="E79" s="45">
        <f>D79*15</f>
        <v>15000</v>
      </c>
      <c r="F79" s="60" t="s">
        <v>37</v>
      </c>
      <c r="G79" s="43"/>
      <c r="H79" s="60">
        <v>0.0</v>
      </c>
      <c r="I79" s="92">
        <v>15.0</v>
      </c>
      <c r="J79" s="60">
        <v>0.0</v>
      </c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20"/>
      <c r="X79" s="20"/>
      <c r="Y79" s="2"/>
      <c r="Z79" s="2"/>
    </row>
    <row r="80" ht="15.75" customHeight="1">
      <c r="A80" s="137"/>
      <c r="B80" s="35" t="s">
        <v>224</v>
      </c>
      <c r="C80" s="36" t="s">
        <v>158</v>
      </c>
      <c r="D80" s="37">
        <v>10000.0</v>
      </c>
      <c r="E80" s="45"/>
      <c r="F80" s="60"/>
      <c r="G80" s="43"/>
      <c r="H80" s="60"/>
      <c r="I80" s="92"/>
      <c r="J80" s="60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20"/>
      <c r="X80" s="20"/>
      <c r="Y80" s="2"/>
      <c r="Z80" s="2"/>
    </row>
    <row r="81" ht="15.75" customHeight="1">
      <c r="A81" s="137"/>
      <c r="B81" s="35" t="s">
        <v>225</v>
      </c>
      <c r="C81" s="36" t="s">
        <v>36</v>
      </c>
      <c r="D81" s="37">
        <v>5000.0</v>
      </c>
      <c r="E81" s="38">
        <v>5000.0</v>
      </c>
      <c r="F81" s="60" t="s">
        <v>226</v>
      </c>
      <c r="G81" s="43"/>
      <c r="H81" s="60"/>
      <c r="I81" s="92"/>
      <c r="J81" s="60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20"/>
      <c r="X81" s="20"/>
      <c r="Y81" s="2"/>
      <c r="Z81" s="2"/>
    </row>
    <row r="82" ht="15.75" customHeight="1">
      <c r="A82" s="137"/>
      <c r="B82" s="102" t="s">
        <v>159</v>
      </c>
      <c r="C82" s="55"/>
      <c r="D82" s="56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20"/>
      <c r="X82" s="20"/>
      <c r="Y82" s="2"/>
      <c r="Z82" s="2"/>
    </row>
    <row r="83" ht="15.75" customHeight="1">
      <c r="A83" s="137"/>
      <c r="B83" s="35" t="s">
        <v>160</v>
      </c>
      <c r="C83" s="36" t="s">
        <v>147</v>
      </c>
      <c r="D83" s="37">
        <v>10000.0</v>
      </c>
      <c r="E83" s="45">
        <f>D83*5</f>
        <v>50000</v>
      </c>
      <c r="F83" s="60" t="s">
        <v>37</v>
      </c>
      <c r="G83" s="43"/>
      <c r="H83" s="60">
        <v>0.0</v>
      </c>
      <c r="I83" s="103">
        <v>5.0</v>
      </c>
      <c r="J83" s="60">
        <v>0.0</v>
      </c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20"/>
      <c r="X83" s="20"/>
      <c r="Y83" s="2"/>
      <c r="Z83" s="2"/>
    </row>
    <row r="84" ht="15.75" customHeight="1">
      <c r="A84" s="137"/>
      <c r="B84" s="63" t="s">
        <v>149</v>
      </c>
      <c r="C84" s="50" t="s">
        <v>150</v>
      </c>
      <c r="D84" s="64">
        <v>980.0</v>
      </c>
      <c r="E84" s="65">
        <f t="shared" ref="E84:E87" si="9">D84*100</f>
        <v>98000</v>
      </c>
      <c r="F84" s="67" t="s">
        <v>37</v>
      </c>
      <c r="G84" s="43"/>
      <c r="H84" s="200">
        <v>100.0</v>
      </c>
      <c r="I84" s="60">
        <v>0.0</v>
      </c>
      <c r="J84" s="60">
        <v>0.0</v>
      </c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20"/>
      <c r="X84" s="20"/>
      <c r="Y84" s="2"/>
      <c r="Z84" s="2"/>
    </row>
    <row r="85" ht="15.75" customHeight="1">
      <c r="A85" s="137"/>
      <c r="B85" s="63" t="s">
        <v>151</v>
      </c>
      <c r="C85" s="50" t="s">
        <v>150</v>
      </c>
      <c r="D85" s="64">
        <v>980.0</v>
      </c>
      <c r="E85" s="65">
        <f t="shared" si="9"/>
        <v>98000</v>
      </c>
      <c r="F85" s="67" t="s">
        <v>37</v>
      </c>
      <c r="G85" s="43"/>
      <c r="H85" s="200">
        <v>100.0</v>
      </c>
      <c r="I85" s="60">
        <v>0.0</v>
      </c>
      <c r="J85" s="60">
        <v>0.0</v>
      </c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20"/>
      <c r="X85" s="20"/>
      <c r="Y85" s="2"/>
      <c r="Z85" s="2"/>
    </row>
    <row r="86" ht="15.75" customHeight="1">
      <c r="A86" s="137"/>
      <c r="B86" s="63" t="s">
        <v>152</v>
      </c>
      <c r="C86" s="50" t="s">
        <v>150</v>
      </c>
      <c r="D86" s="64">
        <v>980.0</v>
      </c>
      <c r="E86" s="65">
        <f t="shared" si="9"/>
        <v>98000</v>
      </c>
      <c r="F86" s="67" t="s">
        <v>37</v>
      </c>
      <c r="G86" s="43"/>
      <c r="H86" s="200">
        <v>100.0</v>
      </c>
      <c r="I86" s="60">
        <v>0.0</v>
      </c>
      <c r="J86" s="60">
        <v>0.0</v>
      </c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20"/>
      <c r="X86" s="20"/>
      <c r="Y86" s="2"/>
      <c r="Z86" s="2"/>
    </row>
    <row r="87" ht="15.75" customHeight="1">
      <c r="A87" s="137"/>
      <c r="B87" s="63" t="s">
        <v>153</v>
      </c>
      <c r="C87" s="50" t="s">
        <v>150</v>
      </c>
      <c r="D87" s="64">
        <v>980.0</v>
      </c>
      <c r="E87" s="65">
        <f t="shared" si="9"/>
        <v>98000</v>
      </c>
      <c r="F87" s="67" t="s">
        <v>37</v>
      </c>
      <c r="G87" s="43"/>
      <c r="H87" s="200">
        <v>100.0</v>
      </c>
      <c r="I87" s="60">
        <v>0.0</v>
      </c>
      <c r="J87" s="60">
        <v>0.0</v>
      </c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20"/>
      <c r="X87" s="20"/>
      <c r="Y87" s="2"/>
      <c r="Z87" s="2"/>
    </row>
    <row r="88" ht="15.75" customHeight="1">
      <c r="A88" s="137"/>
      <c r="B88" s="63" t="s">
        <v>162</v>
      </c>
      <c r="C88" s="50" t="s">
        <v>163</v>
      </c>
      <c r="D88" s="64">
        <f>2500</f>
        <v>2500</v>
      </c>
      <c r="E88" s="65">
        <f>2500*125</f>
        <v>312500</v>
      </c>
      <c r="F88" s="67" t="s">
        <v>37</v>
      </c>
      <c r="G88" s="43"/>
      <c r="H88" s="128">
        <v>0.0</v>
      </c>
      <c r="I88" s="104">
        <v>125.0</v>
      </c>
      <c r="J88" s="60">
        <v>0.0</v>
      </c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20"/>
      <c r="X88" s="20"/>
      <c r="Y88" s="2"/>
      <c r="Z88" s="2"/>
    </row>
    <row r="89" ht="15.75" customHeight="1">
      <c r="A89" s="137"/>
      <c r="B89" s="54" t="s">
        <v>168</v>
      </c>
      <c r="C89" s="55"/>
      <c r="D89" s="56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20"/>
      <c r="X89" s="20"/>
      <c r="Y89" s="2"/>
      <c r="Z89" s="2"/>
    </row>
    <row r="90" ht="15.75" customHeight="1">
      <c r="A90" s="137"/>
      <c r="B90" s="125" t="s">
        <v>169</v>
      </c>
      <c r="C90" s="127" t="s">
        <v>36</v>
      </c>
      <c r="D90" s="58">
        <v>200000.0</v>
      </c>
      <c r="E90" s="58">
        <v>200000.0</v>
      </c>
      <c r="F90" s="60" t="s">
        <v>37</v>
      </c>
      <c r="G90" s="43"/>
      <c r="H90" s="126">
        <v>1.0</v>
      </c>
      <c r="I90" s="60">
        <v>0.0</v>
      </c>
      <c r="J90" s="60">
        <v>0.0</v>
      </c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20"/>
      <c r="X90" s="20"/>
    </row>
    <row r="91" ht="15.75" customHeight="1">
      <c r="A91" s="137"/>
      <c r="B91" s="125" t="s">
        <v>170</v>
      </c>
      <c r="C91" s="127" t="s">
        <v>36</v>
      </c>
      <c r="D91" s="58">
        <v>200000.0</v>
      </c>
      <c r="E91" s="58">
        <v>200000.0</v>
      </c>
      <c r="F91" s="60" t="s">
        <v>37</v>
      </c>
      <c r="G91" s="43"/>
      <c r="H91" s="128">
        <v>0.0</v>
      </c>
      <c r="I91" s="129">
        <v>1.0</v>
      </c>
      <c r="J91" s="60">
        <v>0.0</v>
      </c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20"/>
      <c r="X91" s="20"/>
    </row>
    <row r="92" ht="15.75" customHeight="1">
      <c r="A92" s="137"/>
      <c r="B92" s="125" t="s">
        <v>171</v>
      </c>
      <c r="C92" s="127" t="s">
        <v>36</v>
      </c>
      <c r="D92" s="58">
        <v>200000.0</v>
      </c>
      <c r="E92" s="58">
        <v>200000.0</v>
      </c>
      <c r="F92" s="60" t="s">
        <v>37</v>
      </c>
      <c r="G92" s="43"/>
      <c r="H92" s="130">
        <v>1.0</v>
      </c>
      <c r="I92" s="60">
        <v>0.0</v>
      </c>
      <c r="J92" s="60">
        <v>0.0</v>
      </c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20"/>
      <c r="X92" s="20"/>
    </row>
    <row r="93" ht="15.75" customHeight="1">
      <c r="A93" s="137"/>
      <c r="B93" s="125" t="s">
        <v>172</v>
      </c>
      <c r="C93" s="127" t="s">
        <v>36</v>
      </c>
      <c r="D93" s="58">
        <v>2000000.0</v>
      </c>
      <c r="E93" s="58">
        <v>2000000.0</v>
      </c>
      <c r="F93" s="60" t="s">
        <v>37</v>
      </c>
      <c r="G93" s="43"/>
      <c r="H93" s="131">
        <v>1.0</v>
      </c>
      <c r="I93" s="60">
        <v>0.0</v>
      </c>
      <c r="J93" s="60">
        <v>0.0</v>
      </c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20"/>
      <c r="X93" s="20"/>
      <c r="Y93" s="2"/>
      <c r="Z93" s="2"/>
    </row>
    <row r="94" ht="15.75" customHeight="1">
      <c r="A94" s="137"/>
      <c r="B94" s="125" t="s">
        <v>173</v>
      </c>
      <c r="C94" s="127" t="s">
        <v>36</v>
      </c>
      <c r="D94" s="58">
        <v>250000.0</v>
      </c>
      <c r="E94" s="58">
        <v>250000.0</v>
      </c>
      <c r="F94" s="60" t="s">
        <v>37</v>
      </c>
      <c r="G94" s="43"/>
      <c r="H94" s="132">
        <v>1.0</v>
      </c>
      <c r="I94" s="60">
        <v>0.0</v>
      </c>
      <c r="J94" s="60">
        <v>0.0</v>
      </c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20"/>
      <c r="X94" s="20"/>
      <c r="Y94" s="2"/>
      <c r="Z94" s="2"/>
    </row>
    <row r="95" ht="15.75" customHeight="1">
      <c r="A95" s="138"/>
      <c r="B95" s="125" t="s">
        <v>174</v>
      </c>
      <c r="C95" s="127" t="s">
        <v>36</v>
      </c>
      <c r="D95" s="58">
        <v>250000.0</v>
      </c>
      <c r="E95" s="58">
        <v>250000.0</v>
      </c>
      <c r="F95" s="60" t="s">
        <v>37</v>
      </c>
      <c r="G95" s="43"/>
      <c r="H95" s="133">
        <v>1.0</v>
      </c>
      <c r="I95" s="60">
        <v>0.0</v>
      </c>
      <c r="J95" s="60">
        <v>0.0</v>
      </c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194"/>
      <c r="X95" s="194"/>
      <c r="Y95" s="195"/>
      <c r="Z95" s="195"/>
    </row>
    <row r="96" ht="15.75" hidden="1" customHeight="1">
      <c r="A96" s="134"/>
      <c r="B96" s="125"/>
      <c r="C96" s="135"/>
      <c r="D96" s="116"/>
      <c r="E96" s="136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20"/>
      <c r="X96" s="20"/>
    </row>
    <row r="97" ht="15.75" hidden="1" customHeight="1">
      <c r="A97" s="137"/>
      <c r="B97" s="125"/>
      <c r="C97" s="127"/>
      <c r="D97" s="58"/>
      <c r="E97" s="45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20"/>
      <c r="X97" s="20"/>
    </row>
    <row r="98" ht="15.75" hidden="1" customHeight="1">
      <c r="A98" s="137"/>
      <c r="B98" s="125"/>
      <c r="C98" s="127"/>
      <c r="D98" s="58"/>
      <c r="E98" s="45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20"/>
      <c r="X98" s="20"/>
    </row>
    <row r="99" ht="15.75" hidden="1" customHeight="1">
      <c r="A99" s="137"/>
      <c r="B99" s="125"/>
      <c r="C99" s="127"/>
      <c r="D99" s="58"/>
      <c r="E99" s="45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20"/>
      <c r="X99" s="20"/>
    </row>
    <row r="100" ht="15.75" hidden="1" customHeight="1">
      <c r="A100" s="137"/>
      <c r="B100" s="125"/>
      <c r="C100" s="127"/>
      <c r="D100" s="58"/>
      <c r="E100" s="45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20"/>
      <c r="X100" s="20"/>
    </row>
    <row r="101" ht="15.75" hidden="1" customHeight="1">
      <c r="A101" s="137"/>
      <c r="B101" s="125"/>
      <c r="C101" s="127"/>
      <c r="D101" s="58"/>
      <c r="E101" s="45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20"/>
      <c r="X101" s="20"/>
    </row>
    <row r="102" ht="15.75" hidden="1" customHeight="1">
      <c r="A102" s="138"/>
      <c r="B102" s="139"/>
      <c r="C102" s="140"/>
      <c r="D102" s="141"/>
      <c r="E102" s="142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20"/>
      <c r="X102" s="20"/>
    </row>
    <row r="103" ht="15.75" hidden="1" customHeight="1">
      <c r="A103" s="137"/>
      <c r="B103" s="54" t="s">
        <v>175</v>
      </c>
      <c r="C103" s="55"/>
      <c r="D103" s="56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20"/>
      <c r="X103" s="20"/>
    </row>
    <row r="104" ht="15.75" hidden="1" customHeight="1">
      <c r="A104" s="137"/>
      <c r="B104" s="125"/>
      <c r="C104" s="127"/>
      <c r="D104" s="58"/>
      <c r="E104" s="45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20"/>
      <c r="X104" s="20"/>
    </row>
    <row r="105" ht="15.75" hidden="1" customHeight="1">
      <c r="A105" s="137"/>
      <c r="B105" s="125"/>
      <c r="C105" s="127"/>
      <c r="D105" s="58"/>
      <c r="E105" s="45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20"/>
      <c r="X105" s="20"/>
    </row>
    <row r="106" ht="15.75" hidden="1" customHeight="1">
      <c r="A106" s="137"/>
      <c r="B106" s="125"/>
      <c r="C106" s="127"/>
      <c r="D106" s="58"/>
      <c r="E106" s="45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20"/>
      <c r="X106" s="20"/>
    </row>
    <row r="107" ht="15.75" hidden="1" customHeight="1">
      <c r="A107" s="137"/>
      <c r="B107" s="125"/>
      <c r="C107" s="127"/>
      <c r="D107" s="58"/>
      <c r="E107" s="45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20"/>
      <c r="X107" s="20"/>
    </row>
    <row r="108" ht="15.75" hidden="1" customHeight="1">
      <c r="A108" s="137"/>
      <c r="B108" s="54" t="s">
        <v>176</v>
      </c>
      <c r="C108" s="55"/>
      <c r="D108" s="56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20"/>
      <c r="X108" s="20"/>
    </row>
    <row r="109" ht="15.75" hidden="1" customHeight="1">
      <c r="A109" s="137"/>
      <c r="B109" s="125"/>
      <c r="C109" s="127"/>
      <c r="D109" s="58"/>
      <c r="E109" s="45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20"/>
      <c r="X109" s="20"/>
    </row>
    <row r="110" ht="15.75" hidden="1" customHeight="1">
      <c r="A110" s="137"/>
      <c r="B110" s="125"/>
      <c r="C110" s="127"/>
      <c r="D110" s="58"/>
      <c r="E110" s="45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20"/>
      <c r="X110" s="20"/>
    </row>
    <row r="111" ht="15.75" hidden="1" customHeight="1">
      <c r="A111" s="137"/>
      <c r="B111" s="143"/>
      <c r="C111" s="127"/>
      <c r="D111" s="58"/>
      <c r="E111" s="45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20"/>
      <c r="X111" s="20"/>
    </row>
    <row r="112" ht="15.75" customHeight="1">
      <c r="A112" s="144"/>
      <c r="B112" s="145"/>
      <c r="C112" s="146"/>
      <c r="D112" s="146"/>
      <c r="E112" s="146"/>
      <c r="F112" s="146"/>
      <c r="G112" s="146"/>
      <c r="H112" s="146"/>
      <c r="I112" s="146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96"/>
      <c r="X112" s="196"/>
      <c r="Y112" s="197"/>
      <c r="Z112" s="197"/>
    </row>
    <row r="113" ht="15.75" customHeight="1">
      <c r="A113" s="148"/>
      <c r="B113" s="149"/>
      <c r="C113" s="6"/>
      <c r="D113" s="7"/>
      <c r="E113" s="150"/>
      <c r="F113" s="10"/>
      <c r="G113" s="10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"/>
      <c r="X113" s="2"/>
    </row>
    <row r="114" ht="15.75" customHeight="1">
      <c r="A114" s="151" t="s">
        <v>177</v>
      </c>
      <c r="B114" s="6"/>
      <c r="C114" s="152">
        <f>SUM(E11:E95)</f>
        <v>7341830</v>
      </c>
      <c r="F114" s="10"/>
      <c r="G114" s="10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"/>
      <c r="X114" s="2"/>
    </row>
    <row r="115" ht="15.75" hidden="1" customHeight="1">
      <c r="A115" s="153" t="s">
        <v>178</v>
      </c>
      <c r="B115" s="44"/>
      <c r="C115" s="154">
        <f>PRODUCT(C114,0.1)</f>
        <v>734183</v>
      </c>
      <c r="D115" s="155"/>
      <c r="E115" s="156"/>
      <c r="F115" s="10"/>
      <c r="G115" s="10"/>
      <c r="H115" s="157"/>
      <c r="J115" s="157"/>
      <c r="U115" s="157"/>
      <c r="V115" s="6"/>
      <c r="W115" s="2"/>
      <c r="X115" s="2"/>
    </row>
    <row r="116" ht="15.75" hidden="1" customHeight="1">
      <c r="A116" s="158" t="s">
        <v>179</v>
      </c>
      <c r="B116" s="43"/>
      <c r="C116" s="159">
        <f>PRODUCT(C114,0.1)</f>
        <v>734183</v>
      </c>
      <c r="D116" s="160"/>
      <c r="E116" s="161"/>
      <c r="F116" s="10"/>
      <c r="G116" s="10"/>
      <c r="H116" s="149"/>
      <c r="I116" s="149"/>
      <c r="J116" s="162"/>
      <c r="U116" s="162"/>
      <c r="V116" s="6"/>
      <c r="W116" s="2"/>
      <c r="X116" s="2"/>
    </row>
    <row r="117" ht="15.75" hidden="1" customHeight="1">
      <c r="A117" s="158" t="s">
        <v>180</v>
      </c>
      <c r="B117" s="43"/>
      <c r="C117" s="159">
        <f>SUM(C114:E116)</f>
        <v>8810196</v>
      </c>
      <c r="D117" s="160"/>
      <c r="E117" s="161"/>
      <c r="F117" s="10"/>
      <c r="G117" s="10"/>
      <c r="H117" s="149"/>
      <c r="I117" s="149"/>
      <c r="J117" s="162"/>
      <c r="U117" s="162"/>
      <c r="V117" s="6"/>
      <c r="W117" s="2"/>
      <c r="X117" s="2"/>
    </row>
    <row r="118" ht="15.75" customHeight="1">
      <c r="A118" s="163"/>
      <c r="B118" s="6"/>
      <c r="C118" s="6"/>
      <c r="D118" s="7"/>
      <c r="E118" s="9"/>
      <c r="F118" s="10"/>
      <c r="G118" s="10"/>
      <c r="H118" s="149"/>
      <c r="I118" s="149"/>
      <c r="J118" s="162"/>
      <c r="U118" s="162"/>
      <c r="V118" s="6"/>
      <c r="W118" s="2"/>
      <c r="X118" s="2"/>
    </row>
    <row r="119" ht="15.75" customHeight="1">
      <c r="A119" s="164" t="s">
        <v>181</v>
      </c>
      <c r="B119" s="6"/>
      <c r="C119" s="6"/>
      <c r="D119" s="7"/>
      <c r="E119" s="9"/>
      <c r="F119" s="10"/>
      <c r="G119" s="10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"/>
      <c r="X119" s="2"/>
    </row>
    <row r="120" ht="15.75" customHeight="1">
      <c r="A120" s="165"/>
      <c r="B120" s="6"/>
      <c r="C120" s="6"/>
      <c r="D120" s="7"/>
      <c r="E120" s="9"/>
      <c r="F120" s="10"/>
      <c r="G120" s="10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"/>
      <c r="X120" s="2"/>
    </row>
    <row r="121" ht="15.75" customHeight="1">
      <c r="A121" s="166" t="s">
        <v>182</v>
      </c>
      <c r="B121" s="149"/>
      <c r="C121" s="167" t="s">
        <v>183</v>
      </c>
      <c r="F121" s="149"/>
      <c r="G121" s="149"/>
      <c r="H121" s="6"/>
      <c r="I121" s="167" t="s">
        <v>184</v>
      </c>
      <c r="O121" s="6"/>
      <c r="P121" s="6"/>
      <c r="Q121" s="167" t="s">
        <v>185</v>
      </c>
      <c r="U121" s="6"/>
      <c r="V121" s="6"/>
      <c r="W121" s="2"/>
      <c r="X121" s="168"/>
    </row>
    <row r="122" ht="15.75" customHeight="1">
      <c r="A122" s="166"/>
      <c r="B122" s="149"/>
      <c r="C122" s="167"/>
      <c r="D122" s="169"/>
      <c r="E122" s="167"/>
      <c r="F122" s="149"/>
      <c r="G122" s="149"/>
      <c r="H122" s="6"/>
      <c r="I122" s="167"/>
      <c r="J122" s="167"/>
      <c r="K122" s="167"/>
      <c r="L122" s="167"/>
      <c r="M122" s="167"/>
      <c r="N122" s="167"/>
      <c r="O122" s="167"/>
      <c r="P122" s="167"/>
      <c r="Q122" s="167"/>
      <c r="R122" s="167"/>
      <c r="S122" s="167"/>
      <c r="T122" s="167"/>
      <c r="U122" s="167"/>
      <c r="V122" s="167"/>
      <c r="W122" s="168"/>
      <c r="X122" s="168"/>
    </row>
    <row r="123" ht="15.75" customHeight="1">
      <c r="A123" s="149"/>
      <c r="B123" s="149"/>
      <c r="C123" s="149"/>
      <c r="D123" s="170"/>
      <c r="E123" s="171"/>
      <c r="F123" s="149"/>
      <c r="G123" s="149"/>
      <c r="H123" s="6"/>
      <c r="I123" s="149"/>
      <c r="J123" s="171"/>
      <c r="K123" s="171"/>
      <c r="L123" s="171"/>
      <c r="M123" s="171"/>
      <c r="N123" s="171"/>
      <c r="O123" s="171"/>
      <c r="P123" s="171"/>
      <c r="Q123" s="149"/>
      <c r="R123" s="171"/>
      <c r="S123" s="149"/>
      <c r="T123" s="149"/>
      <c r="U123" s="149"/>
      <c r="V123" s="149"/>
      <c r="W123" s="168"/>
      <c r="X123" s="168"/>
    </row>
    <row r="124" ht="15.75" customHeight="1">
      <c r="A124" s="201" t="s">
        <v>227</v>
      </c>
      <c r="C124" s="167" t="s">
        <v>187</v>
      </c>
      <c r="G124" s="6"/>
      <c r="H124" s="6"/>
      <c r="I124" s="167" t="s">
        <v>188</v>
      </c>
      <c r="O124" s="6"/>
      <c r="P124" s="6"/>
      <c r="Q124" s="167" t="s">
        <v>189</v>
      </c>
      <c r="U124" s="6"/>
      <c r="V124" s="6"/>
      <c r="W124" s="2"/>
      <c r="X124" s="2"/>
    </row>
    <row r="125" ht="15.0" customHeight="1">
      <c r="A125" s="173" t="s">
        <v>190</v>
      </c>
      <c r="C125" s="174" t="s">
        <v>191</v>
      </c>
      <c r="G125" s="175"/>
      <c r="H125" s="6"/>
      <c r="I125" s="176" t="s">
        <v>192</v>
      </c>
      <c r="O125" s="6"/>
      <c r="P125" s="6"/>
      <c r="Q125" s="174" t="s">
        <v>193</v>
      </c>
      <c r="U125" s="6"/>
      <c r="V125" s="6"/>
      <c r="W125" s="168"/>
      <c r="X125" s="168"/>
    </row>
    <row r="126" ht="15.75" customHeight="1">
      <c r="A126" s="6"/>
      <c r="B126" s="6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"/>
      <c r="X126" s="2"/>
    </row>
    <row r="127" ht="15.75" customHeight="1">
      <c r="A127" s="6" t="s">
        <v>228</v>
      </c>
      <c r="B127" s="6"/>
      <c r="C127" s="6" t="s">
        <v>195</v>
      </c>
      <c r="D127" s="7"/>
      <c r="E127" s="6"/>
      <c r="F127" s="6"/>
      <c r="G127" s="6"/>
      <c r="H127" s="6"/>
      <c r="I127" s="6" t="s">
        <v>195</v>
      </c>
      <c r="J127" s="6"/>
      <c r="K127" s="6"/>
      <c r="L127" s="6"/>
      <c r="M127" s="6"/>
      <c r="N127" s="6"/>
      <c r="O127" s="6"/>
      <c r="P127" s="6"/>
      <c r="Q127" s="6" t="s">
        <v>195</v>
      </c>
      <c r="R127" s="6"/>
      <c r="S127" s="6"/>
      <c r="T127" s="6"/>
      <c r="U127" s="6"/>
      <c r="V127" s="6"/>
      <c r="W127" s="2"/>
      <c r="X127" s="2"/>
    </row>
    <row r="128" ht="15.75" customHeight="1">
      <c r="D128" s="178"/>
      <c r="H128" s="179"/>
    </row>
    <row r="129" ht="15.75" customHeight="1">
      <c r="D129" s="178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</row>
    <row r="130" ht="15.75" customHeight="1">
      <c r="D130" s="178"/>
      <c r="H130" s="180"/>
      <c r="I130" s="181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2"/>
    </row>
    <row r="131" ht="15.75" customHeight="1">
      <c r="D131" s="178"/>
      <c r="H131" s="183"/>
    </row>
    <row r="132" ht="15.75" customHeight="1">
      <c r="D132" s="178"/>
      <c r="H132" s="184"/>
    </row>
    <row r="133" ht="15.75" customHeight="1">
      <c r="D133" s="178"/>
    </row>
    <row r="134" ht="15.75" customHeight="1">
      <c r="D134" s="178"/>
    </row>
    <row r="135" ht="15.75" customHeight="1">
      <c r="D135" s="178"/>
    </row>
    <row r="136" ht="15.75" customHeight="1">
      <c r="D136" s="178"/>
    </row>
    <row r="137" ht="15.75" customHeight="1">
      <c r="D137" s="178"/>
    </row>
    <row r="138" ht="15.75" customHeight="1">
      <c r="D138" s="178"/>
    </row>
    <row r="139" ht="15.75" customHeight="1">
      <c r="D139" s="178"/>
    </row>
    <row r="140" ht="15.75" customHeight="1">
      <c r="D140" s="178"/>
    </row>
    <row r="141" ht="15.75" customHeight="1">
      <c r="D141" s="178"/>
    </row>
    <row r="142" ht="15.75" customHeight="1">
      <c r="D142" s="178"/>
    </row>
    <row r="143" ht="15.75" customHeight="1">
      <c r="D143" s="178"/>
    </row>
    <row r="144" ht="15.75" customHeight="1">
      <c r="D144" s="178"/>
    </row>
    <row r="145" ht="15.75" customHeight="1">
      <c r="D145" s="178"/>
    </row>
    <row r="146" ht="15.75" customHeight="1">
      <c r="D146" s="178"/>
    </row>
    <row r="147" ht="15.75" customHeight="1">
      <c r="D147" s="178"/>
    </row>
    <row r="148" ht="15.75" customHeight="1">
      <c r="D148" s="178"/>
    </row>
    <row r="149" ht="15.75" customHeight="1">
      <c r="D149" s="178"/>
    </row>
    <row r="150" ht="15.75" customHeight="1">
      <c r="D150" s="178"/>
    </row>
    <row r="151" ht="15.75" customHeight="1">
      <c r="D151" s="178"/>
    </row>
    <row r="152" ht="15.75" customHeight="1">
      <c r="D152" s="178"/>
    </row>
    <row r="153" ht="15.75" customHeight="1">
      <c r="D153" s="178"/>
    </row>
    <row r="154" ht="15.75" customHeight="1">
      <c r="D154" s="178"/>
    </row>
    <row r="155" ht="15.75" customHeight="1">
      <c r="D155" s="178"/>
    </row>
    <row r="156" ht="15.75" customHeight="1">
      <c r="D156" s="178"/>
    </row>
    <row r="157" ht="15.75" customHeight="1">
      <c r="D157" s="178"/>
    </row>
    <row r="158" ht="15.75" customHeight="1">
      <c r="D158" s="178"/>
    </row>
    <row r="159" ht="15.75" customHeight="1">
      <c r="D159" s="178"/>
    </row>
    <row r="160" ht="15.75" customHeight="1">
      <c r="D160" s="178"/>
    </row>
    <row r="161" ht="15.75" customHeight="1">
      <c r="D161" s="178"/>
    </row>
    <row r="162" ht="15.75" customHeight="1">
      <c r="D162" s="178"/>
    </row>
    <row r="163" ht="15.75" customHeight="1">
      <c r="D163" s="178"/>
    </row>
    <row r="164" ht="15.75" customHeight="1">
      <c r="D164" s="178"/>
    </row>
    <row r="165" ht="15.75" customHeight="1">
      <c r="D165" s="178"/>
    </row>
    <row r="166" ht="15.75" customHeight="1">
      <c r="D166" s="178"/>
    </row>
    <row r="167" ht="15.75" customHeight="1">
      <c r="D167" s="178"/>
    </row>
    <row r="168" ht="15.75" customHeight="1">
      <c r="D168" s="178"/>
    </row>
    <row r="169" ht="15.75" customHeight="1">
      <c r="D169" s="178"/>
    </row>
    <row r="170" ht="15.75" customHeight="1">
      <c r="D170" s="178"/>
    </row>
    <row r="171" ht="15.75" customHeight="1">
      <c r="D171" s="178"/>
    </row>
    <row r="172" ht="15.75" customHeight="1">
      <c r="D172" s="178"/>
    </row>
    <row r="173" ht="15.75" customHeight="1">
      <c r="D173" s="178"/>
    </row>
    <row r="174" ht="15.75" customHeight="1">
      <c r="D174" s="178"/>
    </row>
    <row r="175" ht="15.75" customHeight="1">
      <c r="D175" s="178"/>
    </row>
    <row r="176" ht="15.75" customHeight="1">
      <c r="D176" s="178"/>
    </row>
    <row r="177" ht="15.75" customHeight="1">
      <c r="D177" s="178"/>
    </row>
    <row r="178" ht="15.75" customHeight="1">
      <c r="D178" s="178"/>
    </row>
    <row r="179" ht="15.75" customHeight="1">
      <c r="D179" s="178"/>
    </row>
    <row r="180" ht="15.75" customHeight="1">
      <c r="D180" s="178"/>
    </row>
    <row r="181" ht="15.75" customHeight="1">
      <c r="D181" s="178"/>
    </row>
    <row r="182" ht="15.75" customHeight="1">
      <c r="D182" s="178"/>
    </row>
    <row r="183" ht="15.75" customHeight="1">
      <c r="D183" s="178"/>
    </row>
    <row r="184" ht="15.75" customHeight="1">
      <c r="D184" s="178"/>
    </row>
    <row r="185" ht="15.75" customHeight="1">
      <c r="D185" s="178"/>
    </row>
    <row r="186" ht="15.75" customHeight="1">
      <c r="D186" s="178"/>
    </row>
    <row r="187" ht="15.75" customHeight="1">
      <c r="D187" s="178"/>
    </row>
    <row r="188" ht="15.75" customHeight="1">
      <c r="D188" s="178"/>
    </row>
    <row r="189" ht="15.75" customHeight="1">
      <c r="D189" s="178"/>
    </row>
    <row r="190" ht="15.75" customHeight="1">
      <c r="D190" s="178"/>
    </row>
    <row r="191" ht="15.75" customHeight="1">
      <c r="D191" s="178"/>
    </row>
    <row r="192" ht="15.75" customHeight="1">
      <c r="D192" s="178"/>
    </row>
    <row r="193" ht="15.75" customHeight="1">
      <c r="D193" s="178"/>
    </row>
    <row r="194" ht="15.75" customHeight="1">
      <c r="D194" s="178"/>
    </row>
    <row r="195" ht="15.75" customHeight="1">
      <c r="D195" s="178"/>
    </row>
    <row r="196" ht="15.75" customHeight="1">
      <c r="D196" s="178"/>
    </row>
    <row r="197" ht="15.75" customHeight="1">
      <c r="D197" s="178"/>
    </row>
    <row r="198" ht="15.75" customHeight="1">
      <c r="D198" s="178"/>
    </row>
    <row r="199" ht="15.75" customHeight="1">
      <c r="D199" s="178"/>
    </row>
    <row r="200" ht="15.75" customHeight="1">
      <c r="D200" s="178"/>
    </row>
    <row r="201" ht="15.75" customHeight="1">
      <c r="D201" s="178"/>
    </row>
    <row r="202" ht="15.75" customHeight="1">
      <c r="D202" s="178"/>
    </row>
    <row r="203" ht="15.75" customHeight="1">
      <c r="D203" s="178"/>
    </row>
    <row r="204" ht="15.75" customHeight="1">
      <c r="D204" s="178"/>
    </row>
    <row r="205" ht="15.75" customHeight="1">
      <c r="D205" s="178"/>
    </row>
    <row r="206" ht="15.75" customHeight="1">
      <c r="D206" s="178"/>
    </row>
    <row r="207" ht="15.75" customHeight="1">
      <c r="D207" s="178"/>
    </row>
    <row r="208" ht="15.75" customHeight="1">
      <c r="D208" s="178"/>
    </row>
    <row r="209" ht="15.75" customHeight="1">
      <c r="D209" s="178"/>
    </row>
    <row r="210" ht="15.75" customHeight="1">
      <c r="D210" s="178"/>
    </row>
    <row r="211" ht="15.75" customHeight="1">
      <c r="D211" s="178"/>
    </row>
    <row r="212" ht="15.75" customHeight="1">
      <c r="D212" s="178"/>
    </row>
    <row r="213" ht="15.75" customHeight="1">
      <c r="D213" s="178"/>
    </row>
    <row r="214" ht="15.75" customHeight="1">
      <c r="D214" s="178"/>
    </row>
    <row r="215" ht="15.75" customHeight="1">
      <c r="D215" s="178"/>
    </row>
    <row r="216" ht="15.75" customHeight="1">
      <c r="D216" s="178"/>
    </row>
    <row r="217" ht="15.75" customHeight="1">
      <c r="D217" s="178"/>
    </row>
    <row r="218" ht="15.75" customHeight="1">
      <c r="D218" s="178"/>
    </row>
    <row r="219" ht="15.75" customHeight="1">
      <c r="D219" s="178"/>
    </row>
    <row r="220" ht="15.75" customHeight="1">
      <c r="D220" s="178"/>
    </row>
    <row r="221" ht="15.75" customHeight="1">
      <c r="D221" s="178"/>
    </row>
    <row r="222" ht="15.75" customHeight="1">
      <c r="D222" s="178"/>
    </row>
    <row r="223" ht="15.75" customHeight="1">
      <c r="D223" s="178"/>
    </row>
    <row r="224" ht="15.75" customHeight="1">
      <c r="D224" s="178"/>
    </row>
    <row r="225" ht="15.75" customHeight="1">
      <c r="D225" s="178"/>
    </row>
    <row r="226" ht="15.75" customHeight="1">
      <c r="D226" s="178"/>
    </row>
    <row r="227" ht="15.75" customHeight="1">
      <c r="D227" s="178"/>
    </row>
    <row r="228" ht="15.75" customHeight="1">
      <c r="D228" s="178"/>
    </row>
    <row r="229" ht="15.75" customHeight="1">
      <c r="D229" s="178"/>
    </row>
    <row r="230" ht="15.75" customHeight="1">
      <c r="D230" s="178"/>
    </row>
    <row r="231" ht="15.75" customHeight="1">
      <c r="D231" s="178"/>
    </row>
    <row r="232" ht="15.75" customHeight="1">
      <c r="D232" s="178"/>
    </row>
    <row r="233" ht="15.75" customHeight="1">
      <c r="D233" s="178"/>
    </row>
    <row r="234" ht="15.75" customHeight="1">
      <c r="D234" s="178"/>
    </row>
    <row r="235" ht="15.75" customHeight="1">
      <c r="D235" s="178"/>
    </row>
    <row r="236" ht="15.75" customHeight="1">
      <c r="D236" s="178"/>
    </row>
    <row r="237" ht="15.75" customHeight="1">
      <c r="D237" s="178"/>
    </row>
    <row r="238" ht="15.75" customHeight="1">
      <c r="D238" s="178"/>
    </row>
    <row r="239" ht="15.75" customHeight="1">
      <c r="D239" s="178"/>
    </row>
    <row r="240" ht="15.75" customHeight="1">
      <c r="D240" s="178"/>
    </row>
    <row r="241" ht="15.75" customHeight="1">
      <c r="D241" s="178"/>
    </row>
    <row r="242" ht="15.75" customHeight="1">
      <c r="D242" s="178"/>
    </row>
    <row r="243" ht="15.75" customHeight="1">
      <c r="D243" s="178"/>
    </row>
    <row r="244" ht="15.75" customHeight="1">
      <c r="D244" s="178"/>
    </row>
    <row r="245" ht="15.75" customHeight="1">
      <c r="D245" s="178"/>
    </row>
    <row r="246" ht="15.75" customHeight="1">
      <c r="D246" s="178"/>
    </row>
    <row r="247" ht="15.75" customHeight="1">
      <c r="D247" s="178"/>
    </row>
    <row r="248" ht="15.75" customHeight="1">
      <c r="D248" s="178"/>
    </row>
    <row r="249" ht="15.75" customHeight="1">
      <c r="D249" s="178"/>
    </row>
    <row r="250" ht="15.75" customHeight="1">
      <c r="D250" s="178"/>
    </row>
    <row r="251" ht="15.75" customHeight="1">
      <c r="D251" s="178"/>
    </row>
    <row r="252" ht="15.75" customHeight="1">
      <c r="D252" s="178"/>
    </row>
    <row r="253" ht="15.75" customHeight="1">
      <c r="D253" s="178"/>
    </row>
    <row r="254" ht="15.75" customHeight="1">
      <c r="D254" s="178"/>
    </row>
    <row r="255" ht="15.75" customHeight="1">
      <c r="D255" s="178"/>
    </row>
    <row r="256" ht="15.75" customHeight="1">
      <c r="D256" s="178"/>
    </row>
    <row r="257" ht="15.75" customHeight="1">
      <c r="D257" s="178"/>
    </row>
    <row r="258" ht="15.75" customHeight="1">
      <c r="D258" s="178"/>
    </row>
    <row r="259" ht="15.75" customHeight="1">
      <c r="D259" s="178"/>
    </row>
    <row r="260" ht="15.75" customHeight="1">
      <c r="D260" s="178"/>
    </row>
    <row r="261" ht="15.75" customHeight="1">
      <c r="D261" s="178"/>
    </row>
    <row r="262" ht="15.75" customHeight="1">
      <c r="D262" s="178"/>
    </row>
    <row r="263" ht="15.75" customHeight="1">
      <c r="D263" s="178"/>
    </row>
    <row r="264" ht="15.75" customHeight="1">
      <c r="D264" s="178"/>
    </row>
    <row r="265" ht="15.75" customHeight="1">
      <c r="D265" s="178"/>
    </row>
    <row r="266" ht="15.75" customHeight="1">
      <c r="D266" s="178"/>
    </row>
    <row r="267" ht="15.75" customHeight="1">
      <c r="D267" s="178"/>
    </row>
    <row r="268" ht="15.75" customHeight="1">
      <c r="D268" s="178"/>
    </row>
    <row r="269" ht="15.75" customHeight="1">
      <c r="D269" s="178"/>
    </row>
    <row r="270" ht="15.75" customHeight="1">
      <c r="D270" s="178"/>
    </row>
    <row r="271" ht="15.75" customHeight="1">
      <c r="D271" s="178"/>
    </row>
    <row r="272" ht="15.75" customHeight="1">
      <c r="D272" s="178"/>
    </row>
    <row r="273" ht="15.75" customHeight="1">
      <c r="D273" s="178"/>
    </row>
    <row r="274" ht="15.75" customHeight="1">
      <c r="D274" s="178"/>
    </row>
    <row r="275" ht="15.75" customHeight="1">
      <c r="D275" s="178"/>
    </row>
    <row r="276" ht="15.75" customHeight="1">
      <c r="D276" s="178"/>
    </row>
    <row r="277" ht="15.75" customHeight="1">
      <c r="D277" s="178"/>
    </row>
    <row r="278" ht="15.75" customHeight="1">
      <c r="D278" s="178"/>
    </row>
    <row r="279" ht="15.75" customHeight="1">
      <c r="D279" s="178"/>
    </row>
    <row r="280" ht="15.75" customHeight="1">
      <c r="D280" s="178"/>
    </row>
    <row r="281" ht="15.75" customHeight="1">
      <c r="D281" s="178"/>
    </row>
    <row r="282" ht="15.75" customHeight="1">
      <c r="D282" s="178"/>
    </row>
    <row r="283" ht="15.75" customHeight="1">
      <c r="D283" s="178"/>
    </row>
    <row r="284" ht="15.75" customHeight="1">
      <c r="D284" s="178"/>
    </row>
    <row r="285" ht="15.75" customHeight="1">
      <c r="D285" s="178"/>
    </row>
    <row r="286" ht="15.75" customHeight="1">
      <c r="D286" s="178"/>
    </row>
    <row r="287" ht="15.75" customHeight="1">
      <c r="D287" s="178"/>
    </row>
    <row r="288" ht="15.75" customHeight="1">
      <c r="D288" s="178"/>
    </row>
    <row r="289" ht="15.75" customHeight="1">
      <c r="D289" s="178"/>
    </row>
    <row r="290" ht="15.75" customHeight="1">
      <c r="D290" s="178"/>
    </row>
    <row r="291" ht="15.75" customHeight="1">
      <c r="D291" s="178"/>
    </row>
    <row r="292" ht="15.75" customHeight="1">
      <c r="D292" s="178"/>
    </row>
    <row r="293" ht="15.75" customHeight="1">
      <c r="D293" s="178"/>
    </row>
    <row r="294" ht="15.75" customHeight="1">
      <c r="D294" s="178"/>
    </row>
    <row r="295" ht="15.75" customHeight="1">
      <c r="D295" s="178"/>
    </row>
    <row r="296" ht="15.75" customHeight="1">
      <c r="D296" s="178"/>
    </row>
    <row r="297" ht="15.75" customHeight="1">
      <c r="D297" s="178"/>
    </row>
    <row r="298" ht="15.75" customHeight="1">
      <c r="D298" s="178"/>
    </row>
    <row r="299" ht="15.75" customHeight="1">
      <c r="D299" s="178"/>
    </row>
    <row r="300" ht="15.75" customHeight="1">
      <c r="D300" s="178"/>
    </row>
    <row r="301" ht="15.75" customHeight="1">
      <c r="D301" s="178"/>
    </row>
    <row r="302" ht="15.75" customHeight="1">
      <c r="D302" s="178"/>
    </row>
    <row r="303" ht="15.75" customHeight="1">
      <c r="D303" s="178"/>
    </row>
    <row r="304" ht="15.75" customHeight="1">
      <c r="D304" s="178"/>
    </row>
    <row r="305" ht="15.75" customHeight="1">
      <c r="D305" s="178"/>
    </row>
    <row r="306" ht="15.75" customHeight="1">
      <c r="D306" s="178"/>
    </row>
    <row r="307" ht="15.75" customHeight="1">
      <c r="D307" s="178"/>
    </row>
    <row r="308" ht="15.75" customHeight="1">
      <c r="D308" s="178"/>
    </row>
    <row r="309" ht="15.75" customHeight="1">
      <c r="D309" s="178"/>
    </row>
    <row r="310" ht="15.75" customHeight="1">
      <c r="D310" s="178"/>
    </row>
    <row r="311" ht="15.75" customHeight="1">
      <c r="D311" s="178"/>
    </row>
    <row r="312" ht="15.75" customHeight="1">
      <c r="D312" s="178"/>
    </row>
    <row r="313" ht="15.75" customHeight="1">
      <c r="D313" s="178"/>
    </row>
    <row r="314" ht="15.75" customHeight="1">
      <c r="D314" s="178"/>
    </row>
    <row r="315" ht="15.75" customHeight="1">
      <c r="D315" s="178"/>
    </row>
    <row r="316" ht="15.75" customHeight="1">
      <c r="D316" s="178"/>
    </row>
    <row r="317" ht="15.75" customHeight="1">
      <c r="D317" s="178"/>
    </row>
    <row r="318" ht="15.75" customHeight="1">
      <c r="D318" s="178"/>
    </row>
    <row r="319" ht="15.75" customHeight="1">
      <c r="D319" s="178"/>
    </row>
    <row r="320" ht="15.75" customHeight="1">
      <c r="D320" s="178"/>
    </row>
    <row r="321" ht="15.75" customHeight="1">
      <c r="D321" s="178"/>
    </row>
    <row r="322" ht="15.75" customHeight="1">
      <c r="D322" s="178"/>
    </row>
    <row r="323" ht="15.75" customHeight="1">
      <c r="D323" s="178"/>
    </row>
    <row r="324" ht="15.75" customHeight="1">
      <c r="D324" s="178"/>
    </row>
    <row r="325" ht="15.75" customHeight="1">
      <c r="D325" s="178"/>
    </row>
    <row r="326" ht="15.75" customHeight="1">
      <c r="D326" s="178"/>
    </row>
    <row r="327" ht="15.75" customHeight="1">
      <c r="D327" s="178"/>
    </row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</sheetData>
  <mergeCells count="34">
    <mergeCell ref="A1:V1"/>
    <mergeCell ref="A2:V2"/>
    <mergeCell ref="A3:V3"/>
    <mergeCell ref="A8:A9"/>
    <mergeCell ref="B8:B9"/>
    <mergeCell ref="D8:D9"/>
    <mergeCell ref="E8:E9"/>
    <mergeCell ref="H8:V8"/>
    <mergeCell ref="C117:E117"/>
    <mergeCell ref="C121:E121"/>
    <mergeCell ref="A124:B124"/>
    <mergeCell ref="C124:F124"/>
    <mergeCell ref="A125:B125"/>
    <mergeCell ref="C125:F125"/>
    <mergeCell ref="F8:F9"/>
    <mergeCell ref="G8:G9"/>
    <mergeCell ref="B112:I112"/>
    <mergeCell ref="C114:E114"/>
    <mergeCell ref="C115:E115"/>
    <mergeCell ref="H115:I115"/>
    <mergeCell ref="C116:E116"/>
    <mergeCell ref="I124:N124"/>
    <mergeCell ref="I125:N125"/>
    <mergeCell ref="Q125:T125"/>
    <mergeCell ref="H128:T128"/>
    <mergeCell ref="H131:T131"/>
    <mergeCell ref="H132:T132"/>
    <mergeCell ref="J115:T115"/>
    <mergeCell ref="J116:T116"/>
    <mergeCell ref="J117:T117"/>
    <mergeCell ref="J118:T118"/>
    <mergeCell ref="I121:N121"/>
    <mergeCell ref="Q121:T121"/>
    <mergeCell ref="Q124:T124"/>
  </mergeCells>
  <printOptions horizontalCentered="1"/>
  <pageMargins bottom="0.7480314960629921" footer="0.0" header="0.0" left="1.141732283464567" right="0.11811023622047245" top="0.7480314960629921"/>
  <pageSetup paperSize="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55.25"/>
    <col customWidth="1" min="3" max="3" width="11.63"/>
    <col customWidth="1" min="4" max="5" width="11.75"/>
    <col customWidth="1" min="6" max="6" width="23.25"/>
    <col customWidth="1" min="7" max="7" width="10.38"/>
    <col customWidth="1" min="8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1" t="s">
        <v>0</v>
      </c>
      <c r="W1" s="2"/>
      <c r="X1" s="2"/>
    </row>
    <row r="2">
      <c r="A2" s="202" t="s">
        <v>1</v>
      </c>
      <c r="W2" s="2"/>
      <c r="X2" s="2"/>
    </row>
    <row r="3">
      <c r="A3" s="203"/>
      <c r="W3" s="2"/>
      <c r="X3" s="2"/>
    </row>
    <row r="4">
      <c r="A4" s="5" t="s">
        <v>2</v>
      </c>
      <c r="B4" s="6"/>
      <c r="C4" s="6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2"/>
    </row>
    <row r="5">
      <c r="A5" s="8"/>
      <c r="B5" s="6"/>
      <c r="C5" s="2"/>
      <c r="D5" s="204"/>
      <c r="E5" s="205"/>
      <c r="F5" s="206"/>
      <c r="G5" s="20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5" t="s">
        <v>3</v>
      </c>
      <c r="B6" s="6"/>
      <c r="C6" s="2"/>
      <c r="D6" s="204"/>
      <c r="E6" s="205"/>
      <c r="F6" s="206"/>
      <c r="G6" s="20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8" t="s">
        <v>4</v>
      </c>
      <c r="B7" s="6"/>
      <c r="C7" s="2"/>
      <c r="D7" s="204"/>
      <c r="E7" s="205"/>
      <c r="F7" s="206"/>
      <c r="G7" s="20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22.5" customHeight="1">
      <c r="A8" s="11" t="s">
        <v>5</v>
      </c>
      <c r="B8" s="12" t="s">
        <v>6</v>
      </c>
      <c r="C8" s="13" t="s">
        <v>7</v>
      </c>
      <c r="D8" s="14" t="s">
        <v>8</v>
      </c>
      <c r="E8" s="15" t="s">
        <v>9</v>
      </c>
      <c r="F8" s="16" t="s">
        <v>10</v>
      </c>
      <c r="G8" s="12" t="s">
        <v>11</v>
      </c>
      <c r="H8" s="17" t="s">
        <v>12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9"/>
      <c r="W8" s="20"/>
      <c r="X8" s="20"/>
    </row>
    <row r="9">
      <c r="A9" s="21"/>
      <c r="B9" s="22"/>
      <c r="C9" s="23" t="s">
        <v>13</v>
      </c>
      <c r="D9" s="22"/>
      <c r="E9" s="22"/>
      <c r="F9" s="22"/>
      <c r="G9" s="22"/>
      <c r="H9" s="24" t="s">
        <v>14</v>
      </c>
      <c r="I9" s="24" t="s">
        <v>15</v>
      </c>
      <c r="J9" s="24" t="s">
        <v>16</v>
      </c>
      <c r="K9" s="24" t="s">
        <v>17</v>
      </c>
      <c r="L9" s="24" t="s">
        <v>18</v>
      </c>
      <c r="M9" s="24" t="s">
        <v>19</v>
      </c>
      <c r="N9" s="24" t="s">
        <v>20</v>
      </c>
      <c r="O9" s="24" t="s">
        <v>21</v>
      </c>
      <c r="P9" s="24" t="s">
        <v>22</v>
      </c>
      <c r="Q9" s="24" t="s">
        <v>23</v>
      </c>
      <c r="R9" s="24" t="s">
        <v>24</v>
      </c>
      <c r="S9" s="24" t="s">
        <v>25</v>
      </c>
      <c r="T9" s="24" t="s">
        <v>26</v>
      </c>
      <c r="U9" s="207" t="str">
        <f>$V$9</f>
        <v>REMARKS</v>
      </c>
      <c r="V9" s="24" t="s">
        <v>27</v>
      </c>
      <c r="W9" s="20"/>
      <c r="X9" s="20"/>
    </row>
    <row r="10">
      <c r="A10" s="198"/>
      <c r="B10" s="27" t="s">
        <v>206</v>
      </c>
      <c r="C10" s="28"/>
      <c r="D10" s="29"/>
      <c r="E10" s="30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208"/>
      <c r="V10" s="33"/>
      <c r="W10" s="20"/>
      <c r="X10" s="20"/>
    </row>
    <row r="11" ht="15.75" customHeight="1">
      <c r="A11" s="137"/>
      <c r="B11" s="209" t="s">
        <v>29</v>
      </c>
      <c r="C11" s="36" t="s">
        <v>167</v>
      </c>
      <c r="D11" s="37">
        <v>20000.0</v>
      </c>
      <c r="E11" s="38">
        <f>D11*3</f>
        <v>60000</v>
      </c>
      <c r="F11" s="210" t="s">
        <v>37</v>
      </c>
      <c r="G11" s="211"/>
      <c r="H11" s="210">
        <v>3.0</v>
      </c>
      <c r="I11" s="210">
        <v>0.0</v>
      </c>
      <c r="J11" s="210">
        <v>0.0</v>
      </c>
      <c r="K11" s="210"/>
      <c r="L11" s="211"/>
      <c r="M11" s="211"/>
      <c r="N11" s="211"/>
      <c r="O11" s="211"/>
      <c r="P11" s="211"/>
      <c r="Q11" s="211"/>
      <c r="R11" s="211"/>
      <c r="S11" s="211"/>
      <c r="T11" s="211"/>
      <c r="U11" s="212"/>
      <c r="V11" s="213"/>
      <c r="W11" s="20"/>
      <c r="X11" s="20"/>
    </row>
    <row r="12" ht="15.75" customHeight="1">
      <c r="A12" s="137"/>
      <c r="B12" s="209" t="s">
        <v>33</v>
      </c>
      <c r="C12" s="36" t="s">
        <v>34</v>
      </c>
      <c r="D12" s="37">
        <v>49995.0</v>
      </c>
      <c r="E12" s="45">
        <f>D12*4</f>
        <v>199980</v>
      </c>
      <c r="F12" s="210" t="s">
        <v>37</v>
      </c>
      <c r="G12" s="211"/>
      <c r="H12" s="210">
        <v>4.0</v>
      </c>
      <c r="I12" s="210">
        <v>0.0</v>
      </c>
      <c r="J12" s="210">
        <v>0.0</v>
      </c>
      <c r="K12" s="210"/>
      <c r="L12" s="211"/>
      <c r="M12" s="211"/>
      <c r="N12" s="211"/>
      <c r="O12" s="211"/>
      <c r="P12" s="211"/>
      <c r="Q12" s="211"/>
      <c r="R12" s="211"/>
      <c r="S12" s="211"/>
      <c r="T12" s="211"/>
      <c r="U12" s="212"/>
      <c r="V12" s="213"/>
      <c r="W12" s="20"/>
      <c r="X12" s="20"/>
    </row>
    <row r="13">
      <c r="A13" s="198"/>
      <c r="B13" s="27" t="s">
        <v>41</v>
      </c>
      <c r="C13" s="28"/>
      <c r="D13" s="29"/>
      <c r="E13" s="30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208"/>
      <c r="V13" s="33"/>
      <c r="W13" s="20"/>
      <c r="X13" s="20"/>
    </row>
    <row r="14" ht="15.75" customHeight="1">
      <c r="A14" s="137"/>
      <c r="B14" s="209" t="s">
        <v>42</v>
      </c>
      <c r="C14" s="36" t="s">
        <v>207</v>
      </c>
      <c r="D14" s="37">
        <v>1700.0</v>
      </c>
      <c r="E14" s="45">
        <f t="shared" ref="E14:E16" si="1">D14*100</f>
        <v>170000</v>
      </c>
      <c r="F14" s="210" t="s">
        <v>37</v>
      </c>
      <c r="G14" s="211"/>
      <c r="H14" s="210">
        <v>100.0</v>
      </c>
      <c r="I14" s="210">
        <v>0.0</v>
      </c>
      <c r="J14" s="210">
        <v>0.0</v>
      </c>
      <c r="K14" s="210"/>
      <c r="L14" s="211"/>
      <c r="M14" s="211"/>
      <c r="N14" s="211"/>
      <c r="O14" s="211"/>
      <c r="P14" s="211"/>
      <c r="Q14" s="211"/>
      <c r="R14" s="211"/>
      <c r="S14" s="211"/>
      <c r="T14" s="211"/>
      <c r="U14" s="212"/>
      <c r="V14" s="213"/>
      <c r="W14" s="20"/>
      <c r="X14" s="20"/>
    </row>
    <row r="15" ht="15.75" customHeight="1">
      <c r="A15" s="137"/>
      <c r="B15" s="209" t="s">
        <v>45</v>
      </c>
      <c r="C15" s="36" t="s">
        <v>207</v>
      </c>
      <c r="D15" s="37">
        <v>1700.0</v>
      </c>
      <c r="E15" s="45">
        <f t="shared" si="1"/>
        <v>170000</v>
      </c>
      <c r="F15" s="210" t="s">
        <v>37</v>
      </c>
      <c r="G15" s="211"/>
      <c r="H15" s="210">
        <v>100.0</v>
      </c>
      <c r="I15" s="210">
        <v>0.0</v>
      </c>
      <c r="J15" s="210">
        <v>0.0</v>
      </c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2"/>
      <c r="V15" s="213"/>
      <c r="W15" s="20"/>
      <c r="X15" s="20"/>
    </row>
    <row r="16" ht="15.75" customHeight="1">
      <c r="A16" s="137"/>
      <c r="B16" s="209" t="s">
        <v>46</v>
      </c>
      <c r="C16" s="36" t="s">
        <v>208</v>
      </c>
      <c r="D16" s="37">
        <v>4000.0</v>
      </c>
      <c r="E16" s="45">
        <f t="shared" si="1"/>
        <v>400000</v>
      </c>
      <c r="F16" s="210" t="s">
        <v>37</v>
      </c>
      <c r="G16" s="211"/>
      <c r="H16" s="210">
        <v>100.0</v>
      </c>
      <c r="I16" s="210">
        <v>0.0</v>
      </c>
      <c r="J16" s="210">
        <v>0.0</v>
      </c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2"/>
      <c r="V16" s="213"/>
      <c r="W16" s="20"/>
      <c r="X16" s="20"/>
    </row>
    <row r="17" ht="15.75" customHeight="1">
      <c r="A17" s="137"/>
      <c r="B17" s="209" t="s">
        <v>48</v>
      </c>
      <c r="C17" s="36" t="s">
        <v>49</v>
      </c>
      <c r="D17" s="37">
        <v>8000.0</v>
      </c>
      <c r="E17" s="45">
        <f>D17*25</f>
        <v>200000</v>
      </c>
      <c r="F17" s="210" t="s">
        <v>37</v>
      </c>
      <c r="G17" s="211"/>
      <c r="H17" s="210">
        <v>0.0</v>
      </c>
      <c r="I17" s="210">
        <v>25.0</v>
      </c>
      <c r="J17" s="210">
        <v>0.0</v>
      </c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2"/>
      <c r="V17" s="213"/>
      <c r="W17" s="20"/>
      <c r="X17" s="20"/>
    </row>
    <row r="18" ht="15.75" customHeight="1">
      <c r="A18" s="137"/>
      <c r="B18" s="209" t="s">
        <v>50</v>
      </c>
      <c r="C18" s="36" t="s">
        <v>118</v>
      </c>
      <c r="D18" s="37">
        <v>1500.0</v>
      </c>
      <c r="E18" s="45">
        <f>D18*10</f>
        <v>15000</v>
      </c>
      <c r="F18" s="210" t="s">
        <v>37</v>
      </c>
      <c r="G18" s="211"/>
      <c r="H18" s="210">
        <v>10.0</v>
      </c>
      <c r="I18" s="210">
        <v>0.0</v>
      </c>
      <c r="J18" s="210">
        <v>0.0</v>
      </c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2"/>
      <c r="V18" s="213"/>
      <c r="W18" s="20"/>
      <c r="X18" s="20"/>
    </row>
    <row r="19" ht="15.75" customHeight="1">
      <c r="A19" s="137"/>
      <c r="B19" s="209" t="s">
        <v>52</v>
      </c>
      <c r="C19" s="36" t="s">
        <v>209</v>
      </c>
      <c r="D19" s="37">
        <v>100.0</v>
      </c>
      <c r="E19" s="45">
        <f>100*100</f>
        <v>10000</v>
      </c>
      <c r="F19" s="210" t="s">
        <v>37</v>
      </c>
      <c r="G19" s="211"/>
      <c r="H19" s="210">
        <v>100.0</v>
      </c>
      <c r="I19" s="210">
        <v>0.0</v>
      </c>
      <c r="J19" s="210">
        <v>0.0</v>
      </c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2"/>
      <c r="V19" s="213"/>
      <c r="W19" s="20"/>
      <c r="X19" s="20"/>
    </row>
    <row r="20" ht="15.75" customHeight="1">
      <c r="A20" s="137"/>
      <c r="B20" s="209" t="s">
        <v>53</v>
      </c>
      <c r="C20" s="36" t="s">
        <v>209</v>
      </c>
      <c r="D20" s="37">
        <v>150.0</v>
      </c>
      <c r="E20" s="45">
        <f>150*100</f>
        <v>15000</v>
      </c>
      <c r="F20" s="210" t="s">
        <v>37</v>
      </c>
      <c r="G20" s="211"/>
      <c r="H20" s="210">
        <v>100.0</v>
      </c>
      <c r="I20" s="210">
        <v>0.0</v>
      </c>
      <c r="J20" s="210">
        <v>0.0</v>
      </c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2"/>
      <c r="V20" s="213"/>
      <c r="W20" s="20"/>
      <c r="X20" s="20"/>
    </row>
    <row r="21" ht="15.75" customHeight="1">
      <c r="A21" s="137"/>
      <c r="B21" s="54" t="s">
        <v>60</v>
      </c>
      <c r="C21" s="214"/>
      <c r="D21" s="215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214"/>
      <c r="S21" s="214"/>
      <c r="T21" s="214"/>
      <c r="U21" s="214"/>
      <c r="V21" s="214"/>
      <c r="W21" s="20"/>
      <c r="X21" s="20"/>
      <c r="Y21" s="2"/>
      <c r="Z21" s="2"/>
    </row>
    <row r="22" ht="15.75" customHeight="1">
      <c r="A22" s="137"/>
      <c r="B22" s="209" t="s">
        <v>61</v>
      </c>
      <c r="C22" s="36" t="s">
        <v>210</v>
      </c>
      <c r="D22" s="58">
        <v>2000.0</v>
      </c>
      <c r="E22" s="45">
        <f>D22*25</f>
        <v>50000</v>
      </c>
      <c r="F22" s="216" t="s">
        <v>37</v>
      </c>
      <c r="G22" s="217"/>
      <c r="H22" s="216">
        <v>25.0</v>
      </c>
      <c r="I22" s="216">
        <v>0.0</v>
      </c>
      <c r="J22" s="216">
        <v>0.0</v>
      </c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7"/>
      <c r="W22" s="20"/>
      <c r="X22" s="20"/>
      <c r="Y22" s="2"/>
      <c r="Z22" s="2"/>
    </row>
    <row r="23" ht="15.75" customHeight="1">
      <c r="A23" s="137"/>
      <c r="B23" s="209" t="s">
        <v>61</v>
      </c>
      <c r="C23" s="36" t="s">
        <v>211</v>
      </c>
      <c r="D23" s="37">
        <v>2000.0</v>
      </c>
      <c r="E23" s="45">
        <f>D23*2</f>
        <v>4000</v>
      </c>
      <c r="F23" s="216" t="s">
        <v>37</v>
      </c>
      <c r="G23" s="217"/>
      <c r="H23" s="216">
        <v>2.0</v>
      </c>
      <c r="I23" s="216">
        <v>0.0</v>
      </c>
      <c r="J23" s="216">
        <v>0.0</v>
      </c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0"/>
      <c r="X23" s="20"/>
      <c r="Y23" s="2"/>
      <c r="Z23" s="2"/>
    </row>
    <row r="24" ht="15.75" customHeight="1">
      <c r="A24" s="137"/>
      <c r="B24" s="218" t="s">
        <v>64</v>
      </c>
      <c r="C24" s="36" t="s">
        <v>212</v>
      </c>
      <c r="D24" s="58">
        <v>350.0</v>
      </c>
      <c r="E24" s="45">
        <f>D24*75</f>
        <v>26250</v>
      </c>
      <c r="F24" s="216" t="s">
        <v>37</v>
      </c>
      <c r="G24" s="217"/>
      <c r="H24" s="216">
        <v>75.0</v>
      </c>
      <c r="I24" s="216">
        <v>0.0</v>
      </c>
      <c r="J24" s="216">
        <v>0.0</v>
      </c>
      <c r="K24" s="217"/>
      <c r="L24" s="217"/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0"/>
      <c r="X24" s="20"/>
      <c r="Y24" s="2"/>
      <c r="Z24" s="2"/>
    </row>
    <row r="25" ht="15.75" customHeight="1">
      <c r="A25" s="137"/>
      <c r="B25" s="218" t="s">
        <v>64</v>
      </c>
      <c r="C25" s="36" t="s">
        <v>213</v>
      </c>
      <c r="D25" s="58">
        <v>350.0</v>
      </c>
      <c r="E25" s="38">
        <v>700.0</v>
      </c>
      <c r="F25" s="216" t="s">
        <v>37</v>
      </c>
      <c r="G25" s="217"/>
      <c r="H25" s="216">
        <v>2.0</v>
      </c>
      <c r="I25" s="216">
        <v>0.0</v>
      </c>
      <c r="J25" s="216">
        <v>0.0</v>
      </c>
      <c r="K25" s="217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0"/>
      <c r="X25" s="20"/>
      <c r="Y25" s="2"/>
      <c r="Z25" s="2"/>
    </row>
    <row r="26" ht="15.75" customHeight="1">
      <c r="A26" s="137"/>
      <c r="B26" s="218" t="s">
        <v>66</v>
      </c>
      <c r="C26" s="36" t="s">
        <v>214</v>
      </c>
      <c r="D26" s="58">
        <v>500.0</v>
      </c>
      <c r="E26" s="45">
        <f>D26*150</f>
        <v>75000</v>
      </c>
      <c r="F26" s="216" t="s">
        <v>37</v>
      </c>
      <c r="G26" s="217"/>
      <c r="H26" s="216">
        <v>150.0</v>
      </c>
      <c r="I26" s="216">
        <v>0.0</v>
      </c>
      <c r="J26" s="216">
        <v>0.0</v>
      </c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7"/>
      <c r="W26" s="20"/>
      <c r="X26" s="20"/>
      <c r="Y26" s="2"/>
      <c r="Z26" s="2"/>
    </row>
    <row r="27" ht="15.75" customHeight="1">
      <c r="A27" s="137"/>
      <c r="B27" s="218" t="s">
        <v>66</v>
      </c>
      <c r="C27" s="36" t="s">
        <v>215</v>
      </c>
      <c r="D27" s="58">
        <v>500.0</v>
      </c>
      <c r="E27" s="45">
        <f>D27*5</f>
        <v>2500</v>
      </c>
      <c r="F27" s="216" t="s">
        <v>37</v>
      </c>
      <c r="G27" s="217"/>
      <c r="H27" s="216">
        <v>5.0</v>
      </c>
      <c r="I27" s="216">
        <v>0.0</v>
      </c>
      <c r="J27" s="216">
        <v>0.0</v>
      </c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0"/>
      <c r="X27" s="20"/>
      <c r="Y27" s="2"/>
      <c r="Z27" s="2"/>
    </row>
    <row r="28" ht="15.75" customHeight="1">
      <c r="A28" s="137"/>
      <c r="B28" s="218" t="s">
        <v>68</v>
      </c>
      <c r="C28" s="127" t="s">
        <v>216</v>
      </c>
      <c r="D28" s="58">
        <v>200.0</v>
      </c>
      <c r="E28" s="45">
        <f>D28*30</f>
        <v>6000</v>
      </c>
      <c r="F28" s="216" t="s">
        <v>37</v>
      </c>
      <c r="G28" s="217"/>
      <c r="H28" s="216">
        <v>50.0</v>
      </c>
      <c r="I28" s="216">
        <v>0.0</v>
      </c>
      <c r="J28" s="216">
        <v>0.0</v>
      </c>
      <c r="K28" s="217"/>
      <c r="L28" s="217"/>
      <c r="M28" s="217"/>
      <c r="N28" s="217"/>
      <c r="O28" s="217"/>
      <c r="P28" s="217"/>
      <c r="Q28" s="217"/>
      <c r="R28" s="217"/>
      <c r="S28" s="217"/>
      <c r="T28" s="217"/>
      <c r="U28" s="217"/>
      <c r="V28" s="217"/>
      <c r="W28" s="20"/>
      <c r="X28" s="20"/>
      <c r="Y28" s="2"/>
      <c r="Z28" s="2"/>
    </row>
    <row r="29" ht="15.75" customHeight="1">
      <c r="A29" s="137"/>
      <c r="B29" s="218" t="s">
        <v>68</v>
      </c>
      <c r="C29" s="36" t="s">
        <v>217</v>
      </c>
      <c r="D29" s="58">
        <v>200.0</v>
      </c>
      <c r="E29" s="45">
        <f>D29*5</f>
        <v>1000</v>
      </c>
      <c r="F29" s="216" t="s">
        <v>37</v>
      </c>
      <c r="G29" s="217"/>
      <c r="H29" s="216">
        <v>5.0</v>
      </c>
      <c r="I29" s="216">
        <v>0.0</v>
      </c>
      <c r="J29" s="216">
        <v>0.0</v>
      </c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0"/>
      <c r="X29" s="20"/>
      <c r="Y29" s="2"/>
      <c r="Z29" s="2"/>
    </row>
    <row r="30" ht="15.75" customHeight="1">
      <c r="A30" s="137"/>
      <c r="B30" s="218" t="s">
        <v>70</v>
      </c>
      <c r="C30" s="127" t="s">
        <v>216</v>
      </c>
      <c r="D30" s="58">
        <v>200.0</v>
      </c>
      <c r="E30" s="45">
        <f>D30*30</f>
        <v>6000</v>
      </c>
      <c r="F30" s="216" t="s">
        <v>37</v>
      </c>
      <c r="G30" s="217"/>
      <c r="H30" s="216">
        <v>50.0</v>
      </c>
      <c r="I30" s="216">
        <v>0.0</v>
      </c>
      <c r="J30" s="216">
        <v>0.0</v>
      </c>
      <c r="K30" s="217"/>
      <c r="L30" s="217"/>
      <c r="M30" s="217"/>
      <c r="N30" s="217"/>
      <c r="O30" s="217"/>
      <c r="P30" s="217"/>
      <c r="Q30" s="217"/>
      <c r="R30" s="217"/>
      <c r="S30" s="217"/>
      <c r="T30" s="217"/>
      <c r="U30" s="217"/>
      <c r="V30" s="217"/>
      <c r="W30" s="20"/>
      <c r="X30" s="20"/>
      <c r="Y30" s="2"/>
      <c r="Z30" s="2"/>
    </row>
    <row r="31" ht="15.75" customHeight="1">
      <c r="A31" s="137"/>
      <c r="B31" s="218" t="s">
        <v>70</v>
      </c>
      <c r="C31" s="36" t="s">
        <v>217</v>
      </c>
      <c r="D31" s="58">
        <v>200.0</v>
      </c>
      <c r="E31" s="45">
        <f>D31*5</f>
        <v>1000</v>
      </c>
      <c r="F31" s="216" t="s">
        <v>37</v>
      </c>
      <c r="G31" s="217"/>
      <c r="H31" s="216">
        <v>5.0</v>
      </c>
      <c r="I31" s="216">
        <v>0.0</v>
      </c>
      <c r="J31" s="216">
        <v>0.0</v>
      </c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0"/>
      <c r="X31" s="20"/>
      <c r="Y31" s="2"/>
      <c r="Z31" s="2"/>
    </row>
    <row r="32" ht="15.75" customHeight="1">
      <c r="A32" s="137"/>
      <c r="B32" s="218" t="s">
        <v>71</v>
      </c>
      <c r="C32" s="127" t="s">
        <v>216</v>
      </c>
      <c r="D32" s="58">
        <v>200.0</v>
      </c>
      <c r="E32" s="45">
        <f>D32*30</f>
        <v>6000</v>
      </c>
      <c r="F32" s="216" t="s">
        <v>37</v>
      </c>
      <c r="G32" s="217"/>
      <c r="H32" s="216">
        <v>50.0</v>
      </c>
      <c r="I32" s="216">
        <v>0.0</v>
      </c>
      <c r="J32" s="216">
        <v>0.0</v>
      </c>
      <c r="K32" s="217"/>
      <c r="L32" s="217"/>
      <c r="M32" s="217"/>
      <c r="N32" s="217"/>
      <c r="O32" s="217"/>
      <c r="P32" s="217"/>
      <c r="Q32" s="217"/>
      <c r="R32" s="217"/>
      <c r="S32" s="217"/>
      <c r="T32" s="217"/>
      <c r="U32" s="217"/>
      <c r="V32" s="217"/>
      <c r="W32" s="20"/>
      <c r="X32" s="20"/>
      <c r="Y32" s="2"/>
      <c r="Z32" s="2"/>
    </row>
    <row r="33" ht="15.75" customHeight="1">
      <c r="A33" s="137"/>
      <c r="B33" s="218" t="s">
        <v>71</v>
      </c>
      <c r="C33" s="36" t="s">
        <v>217</v>
      </c>
      <c r="D33" s="58">
        <v>200.0</v>
      </c>
      <c r="E33" s="45">
        <f>D33*5</f>
        <v>1000</v>
      </c>
      <c r="F33" s="216" t="s">
        <v>37</v>
      </c>
      <c r="G33" s="217"/>
      <c r="H33" s="216">
        <v>5.0</v>
      </c>
      <c r="I33" s="216">
        <v>0.0</v>
      </c>
      <c r="J33" s="216">
        <v>0.0</v>
      </c>
      <c r="K33" s="217"/>
      <c r="L33" s="217"/>
      <c r="M33" s="217"/>
      <c r="N33" s="217"/>
      <c r="O33" s="217"/>
      <c r="P33" s="217"/>
      <c r="Q33" s="217"/>
      <c r="R33" s="217"/>
      <c r="S33" s="217"/>
      <c r="T33" s="217"/>
      <c r="U33" s="217"/>
      <c r="V33" s="217"/>
      <c r="W33" s="20"/>
      <c r="X33" s="20"/>
      <c r="Y33" s="2"/>
      <c r="Z33" s="2"/>
    </row>
    <row r="34" ht="15.75" customHeight="1">
      <c r="A34" s="137"/>
      <c r="B34" s="209" t="s">
        <v>72</v>
      </c>
      <c r="C34" s="36" t="s">
        <v>73</v>
      </c>
      <c r="D34" s="37">
        <v>3000.0</v>
      </c>
      <c r="E34" s="45">
        <f t="shared" ref="E34:E36" si="2">D34*4</f>
        <v>12000</v>
      </c>
      <c r="F34" s="216" t="s">
        <v>37</v>
      </c>
      <c r="G34" s="217"/>
      <c r="H34" s="216">
        <v>4.0</v>
      </c>
      <c r="I34" s="216">
        <v>0.0</v>
      </c>
      <c r="J34" s="216">
        <v>0.0</v>
      </c>
      <c r="K34" s="217"/>
      <c r="L34" s="217"/>
      <c r="M34" s="217"/>
      <c r="N34" s="217"/>
      <c r="O34" s="217"/>
      <c r="P34" s="217"/>
      <c r="Q34" s="217"/>
      <c r="R34" s="217"/>
      <c r="S34" s="217"/>
      <c r="T34" s="217"/>
      <c r="U34" s="217"/>
      <c r="V34" s="217"/>
      <c r="W34" s="20"/>
      <c r="X34" s="20"/>
      <c r="Y34" s="2"/>
      <c r="Z34" s="2"/>
    </row>
    <row r="35" ht="15.75" customHeight="1">
      <c r="A35" s="137"/>
      <c r="B35" s="209" t="s">
        <v>74</v>
      </c>
      <c r="C35" s="36" t="s">
        <v>73</v>
      </c>
      <c r="D35" s="37">
        <v>3000.0</v>
      </c>
      <c r="E35" s="45">
        <f t="shared" si="2"/>
        <v>12000</v>
      </c>
      <c r="F35" s="216" t="s">
        <v>37</v>
      </c>
      <c r="G35" s="217"/>
      <c r="H35" s="216">
        <v>4.0</v>
      </c>
      <c r="I35" s="216">
        <v>0.0</v>
      </c>
      <c r="J35" s="216">
        <v>0.0</v>
      </c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0"/>
      <c r="X35" s="20"/>
      <c r="Y35" s="2"/>
      <c r="Z35" s="2"/>
    </row>
    <row r="36" ht="15.75" customHeight="1">
      <c r="A36" s="137"/>
      <c r="B36" s="209" t="s">
        <v>75</v>
      </c>
      <c r="C36" s="36" t="s">
        <v>73</v>
      </c>
      <c r="D36" s="37">
        <v>5000.0</v>
      </c>
      <c r="E36" s="45">
        <f t="shared" si="2"/>
        <v>20000</v>
      </c>
      <c r="F36" s="216" t="s">
        <v>37</v>
      </c>
      <c r="G36" s="217"/>
      <c r="H36" s="216">
        <v>4.0</v>
      </c>
      <c r="I36" s="216">
        <v>0.0</v>
      </c>
      <c r="J36" s="216">
        <v>0.0</v>
      </c>
      <c r="K36" s="217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0"/>
      <c r="X36" s="20"/>
      <c r="Y36" s="2"/>
      <c r="Z36" s="2"/>
    </row>
    <row r="37" ht="15.75" customHeight="1">
      <c r="A37" s="137"/>
      <c r="B37" s="209" t="s">
        <v>77</v>
      </c>
      <c r="C37" s="36" t="s">
        <v>78</v>
      </c>
      <c r="D37" s="37">
        <v>2000.0</v>
      </c>
      <c r="E37" s="45">
        <f>D37*8</f>
        <v>16000</v>
      </c>
      <c r="F37" s="216" t="s">
        <v>37</v>
      </c>
      <c r="G37" s="217"/>
      <c r="H37" s="216">
        <v>8.0</v>
      </c>
      <c r="I37" s="216">
        <v>0.0</v>
      </c>
      <c r="J37" s="216">
        <v>0.0</v>
      </c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0"/>
      <c r="X37" s="20"/>
      <c r="Y37" s="2"/>
      <c r="Z37" s="2"/>
    </row>
    <row r="38" ht="15.75" customHeight="1">
      <c r="A38" s="137"/>
      <c r="B38" s="209" t="s">
        <v>86</v>
      </c>
      <c r="C38" s="36" t="s">
        <v>218</v>
      </c>
      <c r="D38" s="37">
        <v>500.0</v>
      </c>
      <c r="E38" s="45">
        <f t="shared" ref="E38:E42" si="3">D38*10</f>
        <v>5000</v>
      </c>
      <c r="F38" s="216" t="s">
        <v>37</v>
      </c>
      <c r="G38" s="217"/>
      <c r="H38" s="216">
        <v>10.0</v>
      </c>
      <c r="I38" s="216">
        <v>0.0</v>
      </c>
      <c r="J38" s="216">
        <v>0.0</v>
      </c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0"/>
      <c r="X38" s="20"/>
      <c r="Y38" s="2"/>
      <c r="Z38" s="2"/>
    </row>
    <row r="39" ht="15.75" customHeight="1">
      <c r="A39" s="137"/>
      <c r="B39" s="209" t="s">
        <v>88</v>
      </c>
      <c r="C39" s="36" t="s">
        <v>218</v>
      </c>
      <c r="D39" s="37">
        <v>800.0</v>
      </c>
      <c r="E39" s="45">
        <f t="shared" si="3"/>
        <v>8000</v>
      </c>
      <c r="F39" s="216" t="s">
        <v>37</v>
      </c>
      <c r="G39" s="217"/>
      <c r="H39" s="216">
        <v>10.0</v>
      </c>
      <c r="I39" s="216">
        <v>0.0</v>
      </c>
      <c r="J39" s="216">
        <v>0.0</v>
      </c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0"/>
      <c r="X39" s="20"/>
      <c r="Y39" s="2"/>
      <c r="Z39" s="2"/>
    </row>
    <row r="40" ht="15.75" customHeight="1">
      <c r="A40" s="137"/>
      <c r="B40" s="209" t="s">
        <v>95</v>
      </c>
      <c r="C40" s="36" t="s">
        <v>62</v>
      </c>
      <c r="D40" s="37">
        <v>5500.0</v>
      </c>
      <c r="E40" s="45">
        <f t="shared" si="3"/>
        <v>55000</v>
      </c>
      <c r="F40" s="216" t="s">
        <v>37</v>
      </c>
      <c r="G40" s="217"/>
      <c r="H40" s="216">
        <v>10.0</v>
      </c>
      <c r="I40" s="216">
        <v>0.0</v>
      </c>
      <c r="J40" s="216">
        <v>0.0</v>
      </c>
      <c r="K40" s="217"/>
      <c r="L40" s="217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0"/>
      <c r="X40" s="20"/>
      <c r="Y40" s="2"/>
      <c r="Z40" s="2"/>
    </row>
    <row r="41" ht="15.75" customHeight="1">
      <c r="A41" s="137"/>
      <c r="B41" s="219" t="s">
        <v>96</v>
      </c>
      <c r="C41" s="50" t="s">
        <v>65</v>
      </c>
      <c r="D41" s="64">
        <v>700.0</v>
      </c>
      <c r="E41" s="65">
        <f t="shared" si="3"/>
        <v>7000</v>
      </c>
      <c r="F41" s="216" t="s">
        <v>37</v>
      </c>
      <c r="G41" s="220"/>
      <c r="H41" s="221">
        <v>10.0</v>
      </c>
      <c r="I41" s="221">
        <v>0.0</v>
      </c>
      <c r="J41" s="221">
        <v>0.0</v>
      </c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0"/>
      <c r="X41" s="20"/>
      <c r="Y41" s="2"/>
      <c r="Z41" s="2"/>
    </row>
    <row r="42" ht="15.75" customHeight="1">
      <c r="A42" s="137"/>
      <c r="B42" s="219" t="s">
        <v>97</v>
      </c>
      <c r="C42" s="50" t="s">
        <v>62</v>
      </c>
      <c r="D42" s="64">
        <v>2500.0</v>
      </c>
      <c r="E42" s="65">
        <f t="shared" si="3"/>
        <v>25000</v>
      </c>
      <c r="F42" s="216" t="s">
        <v>37</v>
      </c>
      <c r="G42" s="220"/>
      <c r="H42" s="221">
        <v>10.0</v>
      </c>
      <c r="I42" s="221">
        <v>0.0</v>
      </c>
      <c r="J42" s="221">
        <v>0.0</v>
      </c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0"/>
      <c r="X42" s="20"/>
      <c r="Y42" s="2"/>
      <c r="Z42" s="2"/>
    </row>
    <row r="43" ht="15.75" customHeight="1">
      <c r="A43" s="137"/>
      <c r="B43" s="219" t="s">
        <v>98</v>
      </c>
      <c r="C43" s="50" t="s">
        <v>99</v>
      </c>
      <c r="D43" s="64">
        <v>4500.0</v>
      </c>
      <c r="E43" s="65">
        <f>D43*30</f>
        <v>135000</v>
      </c>
      <c r="F43" s="216" t="s">
        <v>37</v>
      </c>
      <c r="G43" s="220"/>
      <c r="H43" s="221">
        <v>30.0</v>
      </c>
      <c r="I43" s="221">
        <v>0.0</v>
      </c>
      <c r="J43" s="221">
        <v>0.0</v>
      </c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0"/>
      <c r="X43" s="20"/>
      <c r="Y43" s="2"/>
      <c r="Z43" s="2"/>
    </row>
    <row r="44" ht="15.75" customHeight="1">
      <c r="A44" s="137"/>
      <c r="B44" s="219" t="s">
        <v>101</v>
      </c>
      <c r="C44" s="50" t="s">
        <v>221</v>
      </c>
      <c r="D44" s="64">
        <v>12000.0</v>
      </c>
      <c r="E44" s="65">
        <f t="shared" ref="E44:E48" si="4">D44*5</f>
        <v>60000</v>
      </c>
      <c r="F44" s="221" t="s">
        <v>37</v>
      </c>
      <c r="G44" s="220"/>
      <c r="H44" s="221">
        <v>5.0</v>
      </c>
      <c r="I44" s="221">
        <v>0.0</v>
      </c>
      <c r="J44" s="221">
        <v>0.0</v>
      </c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0"/>
      <c r="X44" s="20"/>
      <c r="Y44" s="2"/>
      <c r="Z44" s="2"/>
    </row>
    <row r="45" ht="15.75" customHeight="1">
      <c r="A45" s="137"/>
      <c r="B45" s="219" t="s">
        <v>106</v>
      </c>
      <c r="C45" s="50" t="s">
        <v>221</v>
      </c>
      <c r="D45" s="64">
        <v>8000.0</v>
      </c>
      <c r="E45" s="65">
        <f t="shared" si="4"/>
        <v>40000</v>
      </c>
      <c r="F45" s="221" t="s">
        <v>37</v>
      </c>
      <c r="G45" s="220"/>
      <c r="H45" s="221">
        <v>5.0</v>
      </c>
      <c r="I45" s="221">
        <v>0.0</v>
      </c>
      <c r="J45" s="221">
        <v>0.0</v>
      </c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0"/>
      <c r="X45" s="20"/>
      <c r="Y45" s="2"/>
      <c r="Z45" s="2"/>
    </row>
    <row r="46" ht="15.75" customHeight="1">
      <c r="A46" s="137"/>
      <c r="B46" s="219" t="s">
        <v>107</v>
      </c>
      <c r="C46" s="50" t="s">
        <v>108</v>
      </c>
      <c r="D46" s="64">
        <v>2500.0</v>
      </c>
      <c r="E46" s="65">
        <f t="shared" si="4"/>
        <v>12500</v>
      </c>
      <c r="F46" s="221" t="s">
        <v>37</v>
      </c>
      <c r="G46" s="220"/>
      <c r="H46" s="221">
        <v>5.0</v>
      </c>
      <c r="I46" s="221">
        <v>0.0</v>
      </c>
      <c r="J46" s="221">
        <v>0.0</v>
      </c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0"/>
      <c r="X46" s="20"/>
      <c r="Y46" s="2"/>
      <c r="Z46" s="2"/>
    </row>
    <row r="47" ht="15.75" customHeight="1">
      <c r="A47" s="137"/>
      <c r="B47" s="219" t="s">
        <v>109</v>
      </c>
      <c r="C47" s="50" t="s">
        <v>108</v>
      </c>
      <c r="D47" s="64">
        <v>900.0</v>
      </c>
      <c r="E47" s="65">
        <f t="shared" si="4"/>
        <v>4500</v>
      </c>
      <c r="F47" s="221" t="s">
        <v>37</v>
      </c>
      <c r="G47" s="220"/>
      <c r="H47" s="221">
        <v>5.0</v>
      </c>
      <c r="I47" s="221">
        <v>0.0</v>
      </c>
      <c r="J47" s="221">
        <v>0.0</v>
      </c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0"/>
      <c r="X47" s="20"/>
      <c r="Y47" s="2"/>
      <c r="Z47" s="2"/>
    </row>
    <row r="48" ht="15.75" customHeight="1">
      <c r="A48" s="137"/>
      <c r="B48" s="219" t="s">
        <v>110</v>
      </c>
      <c r="C48" s="50" t="s">
        <v>108</v>
      </c>
      <c r="D48" s="64">
        <v>2400.0</v>
      </c>
      <c r="E48" s="65">
        <f t="shared" si="4"/>
        <v>12000</v>
      </c>
      <c r="F48" s="221" t="s">
        <v>37</v>
      </c>
      <c r="G48" s="220"/>
      <c r="H48" s="221">
        <v>5.0</v>
      </c>
      <c r="I48" s="221">
        <v>0.0</v>
      </c>
      <c r="J48" s="221">
        <v>0.0</v>
      </c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0"/>
      <c r="X48" s="20"/>
      <c r="Y48" s="2"/>
      <c r="Z48" s="2"/>
    </row>
    <row r="49" ht="15.75" customHeight="1">
      <c r="A49" s="137"/>
      <c r="B49" s="219" t="s">
        <v>111</v>
      </c>
      <c r="C49" s="50" t="s">
        <v>108</v>
      </c>
      <c r="D49" s="64">
        <v>1000.0</v>
      </c>
      <c r="E49" s="65">
        <f>D49*60</f>
        <v>60000</v>
      </c>
      <c r="F49" s="221" t="s">
        <v>37</v>
      </c>
      <c r="G49" s="220"/>
      <c r="H49" s="221">
        <v>5.0</v>
      </c>
      <c r="I49" s="221">
        <v>0.0</v>
      </c>
      <c r="J49" s="221">
        <v>0.0</v>
      </c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0"/>
      <c r="X49" s="20"/>
      <c r="Y49" s="2"/>
      <c r="Z49" s="2"/>
    </row>
    <row r="50" ht="15.75" customHeight="1">
      <c r="A50" s="137"/>
      <c r="B50" s="219" t="s">
        <v>112</v>
      </c>
      <c r="C50" s="50" t="s">
        <v>108</v>
      </c>
      <c r="D50" s="64">
        <v>1000.0</v>
      </c>
      <c r="E50" s="65">
        <f>D50*36</f>
        <v>36000</v>
      </c>
      <c r="F50" s="221" t="s">
        <v>37</v>
      </c>
      <c r="G50" s="220"/>
      <c r="H50" s="221">
        <v>5.0</v>
      </c>
      <c r="I50" s="221">
        <v>0.0</v>
      </c>
      <c r="J50" s="221">
        <v>0.0</v>
      </c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0"/>
      <c r="X50" s="20"/>
      <c r="Y50" s="2"/>
      <c r="Z50" s="2"/>
    </row>
    <row r="51" ht="15.75" customHeight="1">
      <c r="A51" s="137"/>
      <c r="B51" s="219" t="s">
        <v>113</v>
      </c>
      <c r="C51" s="50" t="s">
        <v>108</v>
      </c>
      <c r="D51" s="64">
        <v>45000.0</v>
      </c>
      <c r="E51" s="65">
        <f t="shared" ref="E51:E52" si="5">D51*5</f>
        <v>225000</v>
      </c>
      <c r="F51" s="221" t="s">
        <v>37</v>
      </c>
      <c r="G51" s="220"/>
      <c r="H51" s="221">
        <v>5.0</v>
      </c>
      <c r="I51" s="221">
        <v>0.0</v>
      </c>
      <c r="J51" s="221">
        <v>0.0</v>
      </c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0"/>
      <c r="X51" s="20"/>
      <c r="Y51" s="2"/>
      <c r="Z51" s="2"/>
    </row>
    <row r="52" ht="15.75" customHeight="1">
      <c r="A52" s="137"/>
      <c r="B52" s="219" t="s">
        <v>114</v>
      </c>
      <c r="C52" s="50" t="s">
        <v>108</v>
      </c>
      <c r="D52" s="64">
        <v>6000.0</v>
      </c>
      <c r="E52" s="65">
        <f t="shared" si="5"/>
        <v>30000</v>
      </c>
      <c r="F52" s="221" t="s">
        <v>37</v>
      </c>
      <c r="G52" s="220"/>
      <c r="H52" s="221">
        <v>5.0</v>
      </c>
      <c r="I52" s="221">
        <v>0.0</v>
      </c>
      <c r="J52" s="221">
        <v>0.0</v>
      </c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0"/>
      <c r="X52" s="20"/>
      <c r="Y52" s="2"/>
      <c r="Z52" s="2"/>
    </row>
    <row r="53" ht="15.75" customHeight="1">
      <c r="A53" s="137"/>
      <c r="B53" s="219" t="s">
        <v>115</v>
      </c>
      <c r="C53" s="50" t="s">
        <v>123</v>
      </c>
      <c r="D53" s="64">
        <v>1000.0</v>
      </c>
      <c r="E53" s="65">
        <f>D53*10</f>
        <v>10000</v>
      </c>
      <c r="F53" s="221" t="s">
        <v>37</v>
      </c>
      <c r="G53" s="220"/>
      <c r="H53" s="221">
        <v>5.0</v>
      </c>
      <c r="I53" s="221">
        <v>0.0</v>
      </c>
      <c r="J53" s="221">
        <v>0.0</v>
      </c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0"/>
      <c r="X53" s="20"/>
      <c r="Y53" s="2"/>
      <c r="Z53" s="2"/>
    </row>
    <row r="54" ht="15.75" customHeight="1">
      <c r="A54" s="137"/>
      <c r="B54" s="219" t="s">
        <v>117</v>
      </c>
      <c r="C54" s="50" t="s">
        <v>202</v>
      </c>
      <c r="D54" s="64">
        <v>600.0</v>
      </c>
      <c r="E54" s="65">
        <f t="shared" ref="E54:E55" si="6">D54*30</f>
        <v>18000</v>
      </c>
      <c r="F54" s="221" t="s">
        <v>37</v>
      </c>
      <c r="G54" s="220"/>
      <c r="H54" s="221">
        <v>5.0</v>
      </c>
      <c r="I54" s="221">
        <v>0.0</v>
      </c>
      <c r="J54" s="221">
        <v>0.0</v>
      </c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0"/>
      <c r="X54" s="20"/>
      <c r="Y54" s="2"/>
      <c r="Z54" s="2"/>
    </row>
    <row r="55" ht="15.75" customHeight="1">
      <c r="A55" s="137"/>
      <c r="B55" s="219" t="s">
        <v>119</v>
      </c>
      <c r="C55" s="50" t="s">
        <v>202</v>
      </c>
      <c r="D55" s="64">
        <v>1000.0</v>
      </c>
      <c r="E55" s="65">
        <f t="shared" si="6"/>
        <v>30000</v>
      </c>
      <c r="F55" s="221" t="s">
        <v>37</v>
      </c>
      <c r="G55" s="220"/>
      <c r="H55" s="221">
        <v>5.0</v>
      </c>
      <c r="I55" s="221">
        <v>0.0</v>
      </c>
      <c r="J55" s="221">
        <v>0.0</v>
      </c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0"/>
      <c r="X55" s="20"/>
      <c r="Y55" s="2"/>
      <c r="Z55" s="2"/>
    </row>
    <row r="56" ht="15.75" customHeight="1">
      <c r="A56" s="222"/>
      <c r="B56" s="223" t="s">
        <v>128</v>
      </c>
      <c r="C56" s="224"/>
      <c r="D56" s="225"/>
      <c r="E56" s="226"/>
      <c r="F56" s="224"/>
      <c r="G56" s="227"/>
      <c r="H56" s="224"/>
      <c r="I56" s="224"/>
      <c r="J56" s="224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86"/>
      <c r="X56" s="86"/>
      <c r="Y56" s="86"/>
      <c r="Z56" s="86"/>
    </row>
    <row r="57" ht="15.75" customHeight="1">
      <c r="A57" s="137"/>
      <c r="B57" s="209" t="s">
        <v>223</v>
      </c>
      <c r="C57" s="36" t="s">
        <v>130</v>
      </c>
      <c r="D57" s="37">
        <v>7000.0</v>
      </c>
      <c r="E57" s="45">
        <f>D57*30</f>
        <v>210000</v>
      </c>
      <c r="F57" s="216" t="s">
        <v>37</v>
      </c>
      <c r="G57" s="217"/>
      <c r="H57" s="216">
        <v>30.0</v>
      </c>
      <c r="I57" s="216">
        <v>0.0</v>
      </c>
      <c r="J57" s="216">
        <v>0.0</v>
      </c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0"/>
      <c r="X57" s="20"/>
      <c r="Y57" s="2"/>
      <c r="Z57" s="2"/>
    </row>
    <row r="58" ht="15.75" customHeight="1">
      <c r="A58" s="137"/>
      <c r="B58" s="219" t="s">
        <v>149</v>
      </c>
      <c r="C58" s="50" t="s">
        <v>150</v>
      </c>
      <c r="D58" s="64">
        <v>980.0</v>
      </c>
      <c r="E58" s="65">
        <f t="shared" ref="E58:E61" si="7">D58*100</f>
        <v>98000</v>
      </c>
      <c r="F58" s="221" t="s">
        <v>37</v>
      </c>
      <c r="G58" s="220"/>
      <c r="H58" s="221">
        <v>100.0</v>
      </c>
      <c r="I58" s="221">
        <v>0.0</v>
      </c>
      <c r="J58" s="221">
        <v>0.0</v>
      </c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0"/>
      <c r="X58" s="20"/>
      <c r="Y58" s="2"/>
      <c r="Z58" s="2"/>
    </row>
    <row r="59" ht="15.75" customHeight="1">
      <c r="A59" s="137"/>
      <c r="B59" s="219" t="s">
        <v>151</v>
      </c>
      <c r="C59" s="50" t="s">
        <v>150</v>
      </c>
      <c r="D59" s="64">
        <v>980.0</v>
      </c>
      <c r="E59" s="65">
        <f t="shared" si="7"/>
        <v>98000</v>
      </c>
      <c r="F59" s="221" t="s">
        <v>37</v>
      </c>
      <c r="G59" s="220"/>
      <c r="H59" s="221">
        <v>100.0</v>
      </c>
      <c r="I59" s="221">
        <v>0.0</v>
      </c>
      <c r="J59" s="221">
        <v>0.0</v>
      </c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0"/>
      <c r="X59" s="20"/>
      <c r="Y59" s="2"/>
      <c r="Z59" s="2"/>
    </row>
    <row r="60" ht="15.75" customHeight="1">
      <c r="A60" s="137"/>
      <c r="B60" s="219" t="s">
        <v>152</v>
      </c>
      <c r="C60" s="50" t="s">
        <v>150</v>
      </c>
      <c r="D60" s="64">
        <v>980.0</v>
      </c>
      <c r="E60" s="65">
        <f t="shared" si="7"/>
        <v>98000</v>
      </c>
      <c r="F60" s="221" t="s">
        <v>37</v>
      </c>
      <c r="G60" s="220"/>
      <c r="H60" s="221">
        <v>100.0</v>
      </c>
      <c r="I60" s="221">
        <v>0.0</v>
      </c>
      <c r="J60" s="221">
        <v>0.0</v>
      </c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0"/>
      <c r="X60" s="20"/>
      <c r="Y60" s="2"/>
      <c r="Z60" s="2"/>
    </row>
    <row r="61" ht="15.75" customHeight="1">
      <c r="A61" s="137"/>
      <c r="B61" s="219" t="s">
        <v>153</v>
      </c>
      <c r="C61" s="50" t="s">
        <v>150</v>
      </c>
      <c r="D61" s="64">
        <v>980.0</v>
      </c>
      <c r="E61" s="65">
        <f t="shared" si="7"/>
        <v>98000</v>
      </c>
      <c r="F61" s="221" t="s">
        <v>37</v>
      </c>
      <c r="G61" s="220"/>
      <c r="H61" s="221">
        <v>100.0</v>
      </c>
      <c r="I61" s="221">
        <v>0.0</v>
      </c>
      <c r="J61" s="221">
        <v>0.0</v>
      </c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0"/>
      <c r="X61" s="20"/>
      <c r="Y61" s="2"/>
      <c r="Z61" s="2"/>
    </row>
    <row r="62" ht="15.75" customHeight="1">
      <c r="A62" s="137"/>
      <c r="B62" s="219" t="s">
        <v>135</v>
      </c>
      <c r="C62" s="50" t="s">
        <v>118</v>
      </c>
      <c r="D62" s="64">
        <v>1000.0</v>
      </c>
      <c r="E62" s="65">
        <f>D62*10</f>
        <v>10000</v>
      </c>
      <c r="F62" s="221" t="s">
        <v>37</v>
      </c>
      <c r="G62" s="220"/>
      <c r="H62" s="221">
        <v>10.0</v>
      </c>
      <c r="I62" s="221">
        <v>0.0</v>
      </c>
      <c r="J62" s="221">
        <v>0.0</v>
      </c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0"/>
      <c r="X62" s="20"/>
      <c r="Y62" s="2"/>
      <c r="Z62" s="2"/>
    </row>
    <row r="63" ht="15.75" customHeight="1">
      <c r="A63" s="137"/>
      <c r="B63" s="219" t="s">
        <v>136</v>
      </c>
      <c r="C63" s="50" t="s">
        <v>49</v>
      </c>
      <c r="D63" s="64">
        <v>700.0</v>
      </c>
      <c r="E63" s="65">
        <f>D63*25</f>
        <v>17500</v>
      </c>
      <c r="F63" s="221" t="s">
        <v>37</v>
      </c>
      <c r="G63" s="220"/>
      <c r="H63" s="221">
        <v>25.0</v>
      </c>
      <c r="I63" s="221">
        <v>0.0</v>
      </c>
      <c r="J63" s="221">
        <v>0.0</v>
      </c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0"/>
      <c r="X63" s="20"/>
      <c r="Y63" s="2"/>
      <c r="Z63" s="2"/>
    </row>
    <row r="64" ht="15.75" customHeight="1">
      <c r="A64" s="137"/>
      <c r="B64" s="209" t="s">
        <v>137</v>
      </c>
      <c r="C64" s="36" t="s">
        <v>138</v>
      </c>
      <c r="D64" s="37">
        <v>700.0</v>
      </c>
      <c r="E64" s="45">
        <f>D64*15</f>
        <v>10500</v>
      </c>
      <c r="F64" s="216" t="s">
        <v>37</v>
      </c>
      <c r="G64" s="217"/>
      <c r="H64" s="216">
        <v>15.0</v>
      </c>
      <c r="I64" s="216">
        <v>0.0</v>
      </c>
      <c r="J64" s="216">
        <v>0.0</v>
      </c>
      <c r="K64" s="217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7"/>
      <c r="W64" s="20"/>
      <c r="X64" s="20"/>
      <c r="Y64" s="2"/>
      <c r="Z64" s="2"/>
    </row>
    <row r="65" ht="15.75" customHeight="1">
      <c r="A65" s="137"/>
      <c r="B65" s="209" t="s">
        <v>139</v>
      </c>
      <c r="C65" s="36" t="s">
        <v>118</v>
      </c>
      <c r="D65" s="37">
        <v>1000.0</v>
      </c>
      <c r="E65" s="45">
        <f>D65*10</f>
        <v>10000</v>
      </c>
      <c r="F65" s="216" t="s">
        <v>37</v>
      </c>
      <c r="G65" s="217"/>
      <c r="H65" s="216">
        <v>10.0</v>
      </c>
      <c r="I65" s="216">
        <v>0.0</v>
      </c>
      <c r="J65" s="216">
        <v>0.0</v>
      </c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0"/>
      <c r="X65" s="20"/>
      <c r="Y65" s="2"/>
      <c r="Z65" s="2"/>
    </row>
    <row r="66" ht="15.75" customHeight="1">
      <c r="A66" s="137"/>
      <c r="B66" s="209" t="s">
        <v>140</v>
      </c>
      <c r="C66" s="36" t="s">
        <v>51</v>
      </c>
      <c r="D66" s="37">
        <v>700.0</v>
      </c>
      <c r="E66" s="45">
        <f t="shared" ref="E66:E68" si="8">D66*5</f>
        <v>3500</v>
      </c>
      <c r="F66" s="216" t="s">
        <v>37</v>
      </c>
      <c r="G66" s="217"/>
      <c r="H66" s="216">
        <v>5.0</v>
      </c>
      <c r="I66" s="216">
        <v>0.0</v>
      </c>
      <c r="J66" s="216">
        <v>0.0</v>
      </c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0"/>
      <c r="X66" s="20"/>
      <c r="Y66" s="2"/>
      <c r="Z66" s="2"/>
    </row>
    <row r="67" ht="15.75" customHeight="1">
      <c r="A67" s="137"/>
      <c r="B67" s="209" t="s">
        <v>141</v>
      </c>
      <c r="C67" s="36" t="s">
        <v>108</v>
      </c>
      <c r="D67" s="37">
        <v>1500.0</v>
      </c>
      <c r="E67" s="45">
        <f t="shared" si="8"/>
        <v>7500</v>
      </c>
      <c r="F67" s="216" t="s">
        <v>37</v>
      </c>
      <c r="G67" s="217"/>
      <c r="H67" s="216">
        <v>5.0</v>
      </c>
      <c r="I67" s="216">
        <v>0.0</v>
      </c>
      <c r="J67" s="216">
        <v>0.0</v>
      </c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0"/>
      <c r="X67" s="20"/>
      <c r="Y67" s="2"/>
      <c r="Z67" s="2"/>
    </row>
    <row r="68" ht="15.75" customHeight="1">
      <c r="A68" s="137"/>
      <c r="B68" s="209" t="s">
        <v>142</v>
      </c>
      <c r="C68" s="36" t="s">
        <v>143</v>
      </c>
      <c r="D68" s="37">
        <v>500.0</v>
      </c>
      <c r="E68" s="45">
        <f t="shared" si="8"/>
        <v>2500</v>
      </c>
      <c r="F68" s="216" t="s">
        <v>37</v>
      </c>
      <c r="G68" s="217"/>
      <c r="H68" s="216">
        <v>25.0</v>
      </c>
      <c r="I68" s="216">
        <v>0.0</v>
      </c>
      <c r="J68" s="216">
        <v>0.0</v>
      </c>
      <c r="K68" s="217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0"/>
      <c r="X68" s="20"/>
      <c r="Y68" s="2"/>
      <c r="Z68" s="2"/>
    </row>
    <row r="69" ht="15.75" customHeight="1">
      <c r="A69" s="137"/>
      <c r="B69" s="209" t="s">
        <v>144</v>
      </c>
      <c r="C69" s="36" t="s">
        <v>145</v>
      </c>
      <c r="D69" s="37">
        <v>200.0</v>
      </c>
      <c r="E69" s="45">
        <f>D69*50</f>
        <v>10000</v>
      </c>
      <c r="F69" s="216" t="s">
        <v>37</v>
      </c>
      <c r="G69" s="217"/>
      <c r="H69" s="216">
        <v>50.0</v>
      </c>
      <c r="I69" s="216">
        <v>0.0</v>
      </c>
      <c r="J69" s="216">
        <v>0.0</v>
      </c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0"/>
      <c r="X69" s="20"/>
      <c r="Y69" s="2"/>
      <c r="Z69" s="2"/>
    </row>
    <row r="70" ht="15.75" customHeight="1">
      <c r="A70" s="137"/>
      <c r="B70" s="209" t="s">
        <v>146</v>
      </c>
      <c r="C70" s="36" t="s">
        <v>147</v>
      </c>
      <c r="D70" s="37">
        <v>6500.0</v>
      </c>
      <c r="E70" s="45">
        <f>D70*5</f>
        <v>32500</v>
      </c>
      <c r="F70" s="216" t="s">
        <v>37</v>
      </c>
      <c r="G70" s="217"/>
      <c r="H70" s="216">
        <v>5.0</v>
      </c>
      <c r="I70" s="216">
        <v>0.0</v>
      </c>
      <c r="J70" s="216">
        <v>0.0</v>
      </c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0"/>
      <c r="X70" s="20"/>
      <c r="Y70" s="2"/>
      <c r="Z70" s="2"/>
    </row>
    <row r="71" ht="15.75" customHeight="1">
      <c r="A71" s="137"/>
      <c r="B71" s="209" t="s">
        <v>148</v>
      </c>
      <c r="C71" s="36" t="s">
        <v>138</v>
      </c>
      <c r="D71" s="37">
        <v>1000.0</v>
      </c>
      <c r="E71" s="45">
        <f>D71*15</f>
        <v>15000</v>
      </c>
      <c r="F71" s="216" t="s">
        <v>37</v>
      </c>
      <c r="G71" s="217"/>
      <c r="H71" s="216">
        <v>15.0</v>
      </c>
      <c r="I71" s="216">
        <v>0.0</v>
      </c>
      <c r="J71" s="216">
        <v>0.0</v>
      </c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  <c r="W71" s="20"/>
      <c r="X71" s="20"/>
      <c r="Y71" s="2"/>
      <c r="Z71" s="2"/>
    </row>
    <row r="72" ht="15.75" customHeight="1">
      <c r="A72" s="137"/>
      <c r="B72" s="54" t="s">
        <v>168</v>
      </c>
      <c r="C72" s="214"/>
      <c r="D72" s="215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214"/>
      <c r="S72" s="214"/>
      <c r="T72" s="214"/>
      <c r="U72" s="214"/>
      <c r="V72" s="214"/>
      <c r="W72" s="20"/>
      <c r="X72" s="20"/>
      <c r="Y72" s="2"/>
      <c r="Z72" s="2"/>
    </row>
    <row r="73" ht="15.75" customHeight="1">
      <c r="A73" s="137"/>
      <c r="B73" s="125" t="s">
        <v>169</v>
      </c>
      <c r="C73" s="127" t="s">
        <v>36</v>
      </c>
      <c r="D73" s="58">
        <v>200000.0</v>
      </c>
      <c r="E73" s="58">
        <v>200000.0</v>
      </c>
      <c r="F73" s="216" t="s">
        <v>37</v>
      </c>
      <c r="G73" s="217"/>
      <c r="H73" s="217">
        <v>1.0</v>
      </c>
      <c r="I73" s="216">
        <v>0.0</v>
      </c>
      <c r="J73" s="216">
        <v>0.0</v>
      </c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  <c r="W73" s="20"/>
      <c r="X73" s="20"/>
    </row>
    <row r="74" ht="15.75" customHeight="1">
      <c r="A74" s="137"/>
      <c r="B74" s="125" t="s">
        <v>170</v>
      </c>
      <c r="C74" s="127" t="s">
        <v>36</v>
      </c>
      <c r="D74" s="58">
        <v>200000.0</v>
      </c>
      <c r="E74" s="58">
        <v>200000.0</v>
      </c>
      <c r="F74" s="216" t="s">
        <v>37</v>
      </c>
      <c r="G74" s="217"/>
      <c r="H74" s="217">
        <v>9.0</v>
      </c>
      <c r="I74" s="216">
        <v>0.0</v>
      </c>
      <c r="J74" s="216">
        <v>0.0</v>
      </c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0"/>
      <c r="X74" s="20"/>
    </row>
    <row r="75" ht="15.75" customHeight="1">
      <c r="A75" s="137"/>
      <c r="B75" s="125" t="s">
        <v>171</v>
      </c>
      <c r="C75" s="127" t="s">
        <v>36</v>
      </c>
      <c r="D75" s="58">
        <v>200000.0</v>
      </c>
      <c r="E75" s="58">
        <v>200000.0</v>
      </c>
      <c r="F75" s="216" t="s">
        <v>37</v>
      </c>
      <c r="G75" s="217"/>
      <c r="H75" s="217">
        <v>2.0</v>
      </c>
      <c r="I75" s="216">
        <v>0.0</v>
      </c>
      <c r="J75" s="216">
        <v>0.0</v>
      </c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/>
      <c r="V75" s="217"/>
      <c r="W75" s="20"/>
      <c r="X75" s="20"/>
    </row>
    <row r="76" ht="15.75" customHeight="1">
      <c r="A76" s="137"/>
      <c r="B76" s="125" t="s">
        <v>172</v>
      </c>
      <c r="C76" s="127" t="s">
        <v>36</v>
      </c>
      <c r="D76" s="58">
        <v>2000000.0</v>
      </c>
      <c r="E76" s="58">
        <v>2000000.0</v>
      </c>
      <c r="F76" s="216" t="s">
        <v>37</v>
      </c>
      <c r="G76" s="217"/>
      <c r="H76" s="217">
        <v>32.0</v>
      </c>
      <c r="I76" s="216">
        <v>0.0</v>
      </c>
      <c r="J76" s="216">
        <v>0.0</v>
      </c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  <c r="W76" s="20"/>
      <c r="X76" s="20"/>
      <c r="Y76" s="2"/>
      <c r="Z76" s="2"/>
    </row>
    <row r="77" ht="15.75" customHeight="1">
      <c r="A77" s="137"/>
      <c r="B77" s="125" t="s">
        <v>173</v>
      </c>
      <c r="C77" s="127" t="s">
        <v>36</v>
      </c>
      <c r="D77" s="58">
        <v>250000.0</v>
      </c>
      <c r="E77" s="58">
        <v>250000.0</v>
      </c>
      <c r="F77" s="216" t="s">
        <v>37</v>
      </c>
      <c r="G77" s="217"/>
      <c r="H77" s="217">
        <v>30.0</v>
      </c>
      <c r="I77" s="216">
        <v>0.0</v>
      </c>
      <c r="J77" s="216">
        <v>0.0</v>
      </c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0"/>
      <c r="X77" s="20"/>
      <c r="Y77" s="2"/>
      <c r="Z77" s="2"/>
    </row>
    <row r="78" ht="15.75" customHeight="1">
      <c r="A78" s="138"/>
      <c r="B78" s="125" t="s">
        <v>174</v>
      </c>
      <c r="C78" s="127" t="s">
        <v>36</v>
      </c>
      <c r="D78" s="58">
        <v>250000.0</v>
      </c>
      <c r="E78" s="58">
        <v>250000.0</v>
      </c>
      <c r="F78" s="216" t="s">
        <v>37</v>
      </c>
      <c r="G78" s="217"/>
      <c r="H78" s="217">
        <v>30.0</v>
      </c>
      <c r="I78" s="216">
        <v>0.0</v>
      </c>
      <c r="J78" s="216">
        <v>0.0</v>
      </c>
      <c r="K78" s="217"/>
      <c r="L78" s="217"/>
      <c r="M78" s="217"/>
      <c r="N78" s="217"/>
      <c r="O78" s="217"/>
      <c r="P78" s="217"/>
      <c r="Q78" s="217"/>
      <c r="R78" s="217"/>
      <c r="S78" s="217"/>
      <c r="T78" s="217"/>
      <c r="U78" s="217"/>
      <c r="V78" s="217"/>
      <c r="W78" s="194"/>
      <c r="X78" s="194"/>
      <c r="Y78" s="195"/>
      <c r="Z78" s="195"/>
    </row>
    <row r="79" ht="15.75" hidden="1" customHeight="1">
      <c r="A79" s="134"/>
      <c r="B79" s="125"/>
      <c r="C79" s="135"/>
      <c r="D79" s="116"/>
      <c r="E79" s="136"/>
      <c r="F79" s="213"/>
      <c r="G79" s="213"/>
      <c r="H79" s="213"/>
      <c r="I79" s="213"/>
      <c r="J79" s="213"/>
      <c r="K79" s="213"/>
      <c r="L79" s="213"/>
      <c r="M79" s="213"/>
      <c r="N79" s="213"/>
      <c r="O79" s="213"/>
      <c r="P79" s="213"/>
      <c r="Q79" s="213"/>
      <c r="R79" s="213"/>
      <c r="S79" s="213"/>
      <c r="T79" s="213"/>
      <c r="U79" s="213"/>
      <c r="V79" s="213"/>
      <c r="W79" s="20"/>
      <c r="X79" s="20"/>
    </row>
    <row r="80" ht="15.75" hidden="1" customHeight="1">
      <c r="A80" s="137"/>
      <c r="B80" s="125"/>
      <c r="C80" s="127"/>
      <c r="D80" s="58"/>
      <c r="E80" s="45"/>
      <c r="F80" s="217"/>
      <c r="G80" s="217"/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0"/>
      <c r="X80" s="20"/>
    </row>
    <row r="81" ht="15.75" hidden="1" customHeight="1">
      <c r="A81" s="137"/>
      <c r="B81" s="125"/>
      <c r="C81" s="127"/>
      <c r="D81" s="58"/>
      <c r="E81" s="45"/>
      <c r="F81" s="217"/>
      <c r="G81" s="217"/>
      <c r="H81" s="217"/>
      <c r="I81" s="217"/>
      <c r="J81" s="217"/>
      <c r="K81" s="217"/>
      <c r="L81" s="217"/>
      <c r="M81" s="217"/>
      <c r="N81" s="217"/>
      <c r="O81" s="217"/>
      <c r="P81" s="217"/>
      <c r="Q81" s="217"/>
      <c r="R81" s="217"/>
      <c r="S81" s="217"/>
      <c r="T81" s="217"/>
      <c r="U81" s="217"/>
      <c r="V81" s="217"/>
      <c r="W81" s="20"/>
      <c r="X81" s="20"/>
    </row>
    <row r="82" ht="15.75" hidden="1" customHeight="1">
      <c r="A82" s="137"/>
      <c r="B82" s="125"/>
      <c r="C82" s="127"/>
      <c r="D82" s="58"/>
      <c r="E82" s="45"/>
      <c r="F82" s="217"/>
      <c r="G82" s="217"/>
      <c r="H82" s="217"/>
      <c r="I82" s="217"/>
      <c r="J82" s="217"/>
      <c r="K82" s="217"/>
      <c r="L82" s="217"/>
      <c r="M82" s="217"/>
      <c r="N82" s="217"/>
      <c r="O82" s="217"/>
      <c r="P82" s="217"/>
      <c r="Q82" s="217"/>
      <c r="R82" s="217"/>
      <c r="S82" s="217"/>
      <c r="T82" s="217"/>
      <c r="U82" s="217"/>
      <c r="V82" s="217"/>
      <c r="W82" s="20"/>
      <c r="X82" s="20"/>
    </row>
    <row r="83" ht="15.75" hidden="1" customHeight="1">
      <c r="A83" s="137"/>
      <c r="B83" s="125"/>
      <c r="C83" s="127"/>
      <c r="D83" s="58"/>
      <c r="E83" s="45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0"/>
      <c r="X83" s="20"/>
    </row>
    <row r="84" ht="15.75" hidden="1" customHeight="1">
      <c r="A84" s="137"/>
      <c r="B84" s="125"/>
      <c r="C84" s="127"/>
      <c r="D84" s="58"/>
      <c r="E84" s="45"/>
      <c r="F84" s="217"/>
      <c r="G84" s="217"/>
      <c r="H84" s="217"/>
      <c r="I84" s="217"/>
      <c r="J84" s="217"/>
      <c r="K84" s="217"/>
      <c r="L84" s="217"/>
      <c r="M84" s="217"/>
      <c r="N84" s="217"/>
      <c r="O84" s="217"/>
      <c r="P84" s="217"/>
      <c r="Q84" s="217"/>
      <c r="R84" s="217"/>
      <c r="S84" s="217"/>
      <c r="T84" s="217"/>
      <c r="U84" s="217"/>
      <c r="V84" s="217"/>
      <c r="W84" s="20"/>
      <c r="X84" s="20"/>
    </row>
    <row r="85" ht="15.75" hidden="1" customHeight="1">
      <c r="A85" s="138"/>
      <c r="B85" s="139"/>
      <c r="C85" s="140"/>
      <c r="D85" s="141"/>
      <c r="E85" s="142"/>
      <c r="F85" s="217"/>
      <c r="G85" s="217"/>
      <c r="H85" s="217"/>
      <c r="I85" s="217"/>
      <c r="J85" s="217"/>
      <c r="K85" s="217"/>
      <c r="L85" s="217"/>
      <c r="M85" s="217"/>
      <c r="N85" s="217"/>
      <c r="O85" s="217"/>
      <c r="P85" s="217"/>
      <c r="Q85" s="217"/>
      <c r="R85" s="217"/>
      <c r="S85" s="217"/>
      <c r="T85" s="217"/>
      <c r="U85" s="217"/>
      <c r="V85" s="217"/>
      <c r="W85" s="20"/>
      <c r="X85" s="20"/>
    </row>
    <row r="86" ht="15.75" hidden="1" customHeight="1">
      <c r="A86" s="137"/>
      <c r="B86" s="54" t="s">
        <v>175</v>
      </c>
      <c r="C86" s="214"/>
      <c r="D86" s="215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214"/>
      <c r="S86" s="214"/>
      <c r="T86" s="214"/>
      <c r="U86" s="214"/>
      <c r="V86" s="214"/>
      <c r="W86" s="20"/>
      <c r="X86" s="20"/>
    </row>
    <row r="87" ht="15.75" hidden="1" customHeight="1">
      <c r="A87" s="137"/>
      <c r="B87" s="125"/>
      <c r="C87" s="127"/>
      <c r="D87" s="58"/>
      <c r="E87" s="45"/>
      <c r="F87" s="217"/>
      <c r="G87" s="217"/>
      <c r="H87" s="217"/>
      <c r="I87" s="217"/>
      <c r="J87" s="217"/>
      <c r="K87" s="217"/>
      <c r="L87" s="217"/>
      <c r="M87" s="217"/>
      <c r="N87" s="217"/>
      <c r="O87" s="217"/>
      <c r="P87" s="217"/>
      <c r="Q87" s="217"/>
      <c r="R87" s="217"/>
      <c r="S87" s="217"/>
      <c r="T87" s="217"/>
      <c r="U87" s="217"/>
      <c r="V87" s="217"/>
      <c r="W87" s="20"/>
      <c r="X87" s="20"/>
    </row>
    <row r="88" ht="15.75" hidden="1" customHeight="1">
      <c r="A88" s="137"/>
      <c r="B88" s="125"/>
      <c r="C88" s="127"/>
      <c r="D88" s="58"/>
      <c r="E88" s="45"/>
      <c r="F88" s="217"/>
      <c r="G88" s="217"/>
      <c r="H88" s="217"/>
      <c r="I88" s="217"/>
      <c r="J88" s="217"/>
      <c r="K88" s="217"/>
      <c r="L88" s="217"/>
      <c r="M88" s="217"/>
      <c r="N88" s="217"/>
      <c r="O88" s="217"/>
      <c r="P88" s="217"/>
      <c r="Q88" s="217"/>
      <c r="R88" s="217"/>
      <c r="S88" s="217"/>
      <c r="T88" s="217"/>
      <c r="U88" s="217"/>
      <c r="V88" s="217"/>
      <c r="W88" s="20"/>
      <c r="X88" s="20"/>
    </row>
    <row r="89" ht="15.75" hidden="1" customHeight="1">
      <c r="A89" s="137"/>
      <c r="B89" s="125"/>
      <c r="C89" s="127"/>
      <c r="D89" s="58"/>
      <c r="E89" s="45"/>
      <c r="F89" s="217"/>
      <c r="G89" s="217"/>
      <c r="H89" s="217"/>
      <c r="I89" s="217"/>
      <c r="J89" s="217"/>
      <c r="K89" s="217"/>
      <c r="L89" s="217"/>
      <c r="M89" s="217"/>
      <c r="N89" s="217"/>
      <c r="O89" s="217"/>
      <c r="P89" s="217"/>
      <c r="Q89" s="217"/>
      <c r="R89" s="217"/>
      <c r="S89" s="217"/>
      <c r="T89" s="217"/>
      <c r="U89" s="217"/>
      <c r="V89" s="217"/>
      <c r="W89" s="20"/>
      <c r="X89" s="20"/>
    </row>
    <row r="90" ht="15.75" hidden="1" customHeight="1">
      <c r="A90" s="137"/>
      <c r="B90" s="125"/>
      <c r="C90" s="127"/>
      <c r="D90" s="58"/>
      <c r="E90" s="45"/>
      <c r="F90" s="217"/>
      <c r="G90" s="217"/>
      <c r="H90" s="217"/>
      <c r="I90" s="217"/>
      <c r="J90" s="217"/>
      <c r="K90" s="217"/>
      <c r="L90" s="217"/>
      <c r="M90" s="217"/>
      <c r="N90" s="217"/>
      <c r="O90" s="217"/>
      <c r="P90" s="217"/>
      <c r="Q90" s="217"/>
      <c r="R90" s="217"/>
      <c r="S90" s="217"/>
      <c r="T90" s="217"/>
      <c r="U90" s="217"/>
      <c r="V90" s="217"/>
      <c r="W90" s="20"/>
      <c r="X90" s="20"/>
    </row>
    <row r="91" ht="15.75" hidden="1" customHeight="1">
      <c r="A91" s="137"/>
      <c r="B91" s="54" t="s">
        <v>176</v>
      </c>
      <c r="C91" s="214"/>
      <c r="D91" s="215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214"/>
      <c r="S91" s="214"/>
      <c r="T91" s="214"/>
      <c r="U91" s="214"/>
      <c r="V91" s="214"/>
      <c r="W91" s="20"/>
      <c r="X91" s="20"/>
    </row>
    <row r="92" ht="15.75" hidden="1" customHeight="1">
      <c r="A92" s="137"/>
      <c r="B92" s="125"/>
      <c r="C92" s="127"/>
      <c r="D92" s="58"/>
      <c r="E92" s="45"/>
      <c r="F92" s="217"/>
      <c r="G92" s="217"/>
      <c r="H92" s="217"/>
      <c r="I92" s="217"/>
      <c r="J92" s="217"/>
      <c r="K92" s="217"/>
      <c r="L92" s="217"/>
      <c r="M92" s="217"/>
      <c r="N92" s="217"/>
      <c r="O92" s="217"/>
      <c r="P92" s="217"/>
      <c r="Q92" s="217"/>
      <c r="R92" s="217"/>
      <c r="S92" s="217"/>
      <c r="T92" s="217"/>
      <c r="U92" s="217"/>
      <c r="V92" s="217"/>
      <c r="W92" s="20"/>
      <c r="X92" s="20"/>
    </row>
    <row r="93" ht="15.75" hidden="1" customHeight="1">
      <c r="A93" s="137"/>
      <c r="B93" s="125"/>
      <c r="C93" s="127"/>
      <c r="D93" s="58"/>
      <c r="E93" s="45"/>
      <c r="F93" s="217"/>
      <c r="G93" s="217"/>
      <c r="H93" s="217"/>
      <c r="I93" s="217"/>
      <c r="J93" s="217"/>
      <c r="K93" s="217"/>
      <c r="L93" s="217"/>
      <c r="M93" s="217"/>
      <c r="N93" s="217"/>
      <c r="O93" s="217"/>
      <c r="P93" s="217"/>
      <c r="Q93" s="217"/>
      <c r="R93" s="217"/>
      <c r="S93" s="217"/>
      <c r="T93" s="217"/>
      <c r="U93" s="217"/>
      <c r="V93" s="217"/>
      <c r="W93" s="20"/>
      <c r="X93" s="20"/>
    </row>
    <row r="94" ht="15.75" hidden="1" customHeight="1">
      <c r="A94" s="137"/>
      <c r="B94" s="143"/>
      <c r="C94" s="127"/>
      <c r="D94" s="58"/>
      <c r="E94" s="45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0"/>
      <c r="X94" s="20"/>
    </row>
    <row r="95" ht="15.75" customHeight="1">
      <c r="A95" s="144"/>
      <c r="B95" s="145"/>
      <c r="C95" s="146"/>
      <c r="D95" s="146"/>
      <c r="E95" s="146"/>
      <c r="F95" s="146"/>
      <c r="G95" s="146"/>
      <c r="H95" s="146"/>
      <c r="I95" s="146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6"/>
      <c r="X95" s="196"/>
      <c r="Y95" s="197"/>
      <c r="Z95" s="197"/>
    </row>
    <row r="96" ht="15.75" customHeight="1">
      <c r="A96" s="148"/>
      <c r="B96" s="149"/>
      <c r="C96" s="2"/>
      <c r="D96" s="204"/>
      <c r="E96" s="228"/>
      <c r="F96" s="206"/>
      <c r="G96" s="206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5.75" customHeight="1">
      <c r="A97" s="151" t="s">
        <v>177</v>
      </c>
      <c r="B97" s="6"/>
      <c r="C97" s="229">
        <f>SUM(E11:E78)</f>
        <v>6073430</v>
      </c>
      <c r="F97" s="206"/>
      <c r="G97" s="206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5.75" hidden="1" customHeight="1">
      <c r="A98" s="153" t="s">
        <v>178</v>
      </c>
      <c r="B98" s="44"/>
      <c r="C98" s="230">
        <f>PRODUCT(C97,0.1)</f>
        <v>607343</v>
      </c>
      <c r="D98" s="155"/>
      <c r="E98" s="156"/>
      <c r="F98" s="206"/>
      <c r="G98" s="206"/>
      <c r="H98" s="231"/>
      <c r="J98" s="231"/>
      <c r="U98" s="231"/>
      <c r="V98" s="2"/>
      <c r="W98" s="2"/>
      <c r="X98" s="2"/>
    </row>
    <row r="99" ht="15.75" hidden="1" customHeight="1">
      <c r="A99" s="158" t="s">
        <v>179</v>
      </c>
      <c r="B99" s="43"/>
      <c r="C99" s="232">
        <f>PRODUCT(C97,0.1)</f>
        <v>607343</v>
      </c>
      <c r="D99" s="160"/>
      <c r="E99" s="161"/>
      <c r="F99" s="206"/>
      <c r="G99" s="206"/>
      <c r="H99" s="168"/>
      <c r="I99" s="168"/>
      <c r="J99" s="233"/>
      <c r="U99" s="233"/>
      <c r="V99" s="2"/>
      <c r="W99" s="2"/>
      <c r="X99" s="2"/>
    </row>
    <row r="100" ht="15.75" hidden="1" customHeight="1">
      <c r="A100" s="158" t="s">
        <v>180</v>
      </c>
      <c r="B100" s="43"/>
      <c r="C100" s="232">
        <f>SUM(C97:E99)</f>
        <v>7288116</v>
      </c>
      <c r="D100" s="160"/>
      <c r="E100" s="161"/>
      <c r="F100" s="206"/>
      <c r="G100" s="206"/>
      <c r="H100" s="168"/>
      <c r="I100" s="168"/>
      <c r="J100" s="233"/>
      <c r="U100" s="233"/>
      <c r="V100" s="2"/>
      <c r="W100" s="2"/>
      <c r="X100" s="2"/>
    </row>
    <row r="101" ht="15.75" customHeight="1">
      <c r="A101" s="163"/>
      <c r="B101" s="6"/>
      <c r="C101" s="2"/>
      <c r="D101" s="204"/>
      <c r="E101" s="205"/>
      <c r="F101" s="206"/>
      <c r="G101" s="206"/>
      <c r="H101" s="168"/>
      <c r="I101" s="168"/>
      <c r="J101" s="233"/>
      <c r="U101" s="233"/>
      <c r="V101" s="2"/>
      <c r="W101" s="2"/>
      <c r="X101" s="2"/>
    </row>
    <row r="102" ht="15.75" customHeight="1">
      <c r="A102" s="164" t="s">
        <v>181</v>
      </c>
      <c r="B102" s="6"/>
      <c r="C102" s="2"/>
      <c r="D102" s="204"/>
      <c r="E102" s="205"/>
      <c r="F102" s="206"/>
      <c r="G102" s="206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5.75" customHeight="1">
      <c r="A103" s="165"/>
      <c r="B103" s="6"/>
      <c r="C103" s="2"/>
      <c r="D103" s="204"/>
      <c r="E103" s="205"/>
      <c r="F103" s="206"/>
      <c r="G103" s="206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5.75" customHeight="1">
      <c r="A104" s="166" t="s">
        <v>182</v>
      </c>
      <c r="B104" s="149"/>
      <c r="C104" s="167" t="s">
        <v>183</v>
      </c>
      <c r="F104" s="168"/>
      <c r="G104" s="168"/>
      <c r="H104" s="2"/>
      <c r="I104" s="167" t="s">
        <v>184</v>
      </c>
      <c r="O104" s="2"/>
      <c r="P104" s="2"/>
      <c r="Q104" s="167" t="s">
        <v>185</v>
      </c>
      <c r="U104" s="2"/>
      <c r="V104" s="2"/>
      <c r="W104" s="2"/>
      <c r="X104" s="168"/>
    </row>
    <row r="105" ht="15.75" customHeight="1">
      <c r="A105" s="166"/>
      <c r="B105" s="149"/>
      <c r="C105" s="167"/>
      <c r="D105" s="169"/>
      <c r="E105" s="167"/>
      <c r="F105" s="168"/>
      <c r="G105" s="168"/>
      <c r="H105" s="2"/>
      <c r="I105" s="167"/>
      <c r="J105" s="167"/>
      <c r="K105" s="167"/>
      <c r="L105" s="167"/>
      <c r="M105" s="167"/>
      <c r="N105" s="167"/>
      <c r="O105" s="167"/>
      <c r="P105" s="167"/>
      <c r="Q105" s="167"/>
      <c r="R105" s="167"/>
      <c r="S105" s="167"/>
      <c r="T105" s="167"/>
      <c r="U105" s="167"/>
      <c r="V105" s="167"/>
      <c r="W105" s="168"/>
      <c r="X105" s="168"/>
    </row>
    <row r="106" ht="15.75" customHeight="1">
      <c r="A106" s="149"/>
      <c r="B106" s="149"/>
      <c r="C106" s="168"/>
      <c r="D106" s="234"/>
      <c r="E106" s="235"/>
      <c r="F106" s="168"/>
      <c r="G106" s="168"/>
      <c r="H106" s="2"/>
      <c r="I106" s="168"/>
      <c r="J106" s="235"/>
      <c r="K106" s="235"/>
      <c r="L106" s="235"/>
      <c r="M106" s="235"/>
      <c r="N106" s="235"/>
      <c r="O106" s="235"/>
      <c r="P106" s="235"/>
      <c r="Q106" s="168"/>
      <c r="R106" s="235"/>
      <c r="S106" s="168"/>
      <c r="T106" s="168"/>
      <c r="U106" s="168"/>
      <c r="V106" s="168"/>
      <c r="W106" s="168"/>
      <c r="X106" s="168"/>
    </row>
    <row r="107" ht="15.75" customHeight="1">
      <c r="A107" s="201" t="s">
        <v>227</v>
      </c>
      <c r="C107" s="236" t="s">
        <v>187</v>
      </c>
      <c r="G107" s="2"/>
      <c r="H107" s="2"/>
      <c r="I107" s="236" t="s">
        <v>188</v>
      </c>
      <c r="O107" s="2"/>
      <c r="P107" s="2"/>
      <c r="Q107" s="236" t="s">
        <v>189</v>
      </c>
      <c r="U107" s="2"/>
      <c r="V107" s="2"/>
      <c r="W107" s="2"/>
      <c r="X107" s="2"/>
    </row>
    <row r="108" ht="15.0" customHeight="1">
      <c r="A108" s="173" t="s">
        <v>190</v>
      </c>
      <c r="C108" s="174" t="s">
        <v>191</v>
      </c>
      <c r="G108" s="237"/>
      <c r="H108" s="2"/>
      <c r="I108" s="176" t="s">
        <v>192</v>
      </c>
      <c r="O108" s="2"/>
      <c r="P108" s="2"/>
      <c r="Q108" s="174" t="s">
        <v>193</v>
      </c>
      <c r="U108" s="2"/>
      <c r="V108" s="2"/>
      <c r="W108" s="168"/>
      <c r="X108" s="168"/>
    </row>
    <row r="109" ht="15.75" customHeight="1">
      <c r="A109" s="2"/>
      <c r="B109" s="2"/>
      <c r="C109" s="2"/>
      <c r="D109" s="204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5.75" customHeight="1">
      <c r="A110" s="2" t="s">
        <v>228</v>
      </c>
      <c r="B110" s="2"/>
      <c r="C110" s="2" t="s">
        <v>195</v>
      </c>
      <c r="D110" s="204"/>
      <c r="E110" s="2"/>
      <c r="F110" s="2"/>
      <c r="G110" s="2"/>
      <c r="H110" s="2"/>
      <c r="I110" s="2" t="s">
        <v>195</v>
      </c>
      <c r="J110" s="2"/>
      <c r="K110" s="2"/>
      <c r="L110" s="2"/>
      <c r="M110" s="2"/>
      <c r="N110" s="2"/>
      <c r="O110" s="2"/>
      <c r="P110" s="2"/>
      <c r="Q110" s="2" t="s">
        <v>195</v>
      </c>
      <c r="R110" s="2"/>
      <c r="S110" s="2"/>
      <c r="T110" s="2"/>
      <c r="U110" s="2"/>
      <c r="V110" s="2"/>
      <c r="W110" s="2"/>
      <c r="X110" s="2"/>
    </row>
    <row r="111" ht="15.75" customHeight="1">
      <c r="D111" s="178"/>
      <c r="H111" s="179"/>
    </row>
    <row r="112" ht="15.75" customHeight="1">
      <c r="D112" s="178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</row>
    <row r="113" ht="15.75" customHeight="1">
      <c r="D113" s="178"/>
      <c r="H113" s="180"/>
      <c r="I113" s="181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2"/>
    </row>
    <row r="114" ht="15.75" customHeight="1">
      <c r="D114" s="178"/>
      <c r="H114" s="183"/>
    </row>
    <row r="115" ht="15.75" customHeight="1">
      <c r="D115" s="178"/>
      <c r="H115" s="184"/>
    </row>
    <row r="116" ht="15.75" customHeight="1">
      <c r="D116" s="178"/>
    </row>
    <row r="117" ht="15.75" customHeight="1">
      <c r="D117" s="178"/>
    </row>
    <row r="118" ht="15.75" customHeight="1">
      <c r="D118" s="178"/>
    </row>
    <row r="119" ht="15.75" customHeight="1">
      <c r="D119" s="178"/>
    </row>
    <row r="120" ht="15.75" customHeight="1">
      <c r="D120" s="178"/>
    </row>
    <row r="121" ht="15.75" customHeight="1">
      <c r="D121" s="178"/>
    </row>
    <row r="122" ht="15.75" customHeight="1">
      <c r="D122" s="178"/>
    </row>
    <row r="123" ht="15.75" customHeight="1">
      <c r="D123" s="178"/>
    </row>
    <row r="124" ht="15.75" customHeight="1">
      <c r="D124" s="178"/>
    </row>
    <row r="125" ht="15.75" customHeight="1">
      <c r="D125" s="178"/>
    </row>
    <row r="126" ht="15.75" customHeight="1">
      <c r="D126" s="178"/>
    </row>
    <row r="127" ht="15.75" customHeight="1">
      <c r="D127" s="178"/>
    </row>
    <row r="128" ht="15.75" customHeight="1">
      <c r="D128" s="178"/>
    </row>
    <row r="129" ht="15.75" customHeight="1">
      <c r="D129" s="178"/>
    </row>
    <row r="130" ht="15.75" customHeight="1">
      <c r="D130" s="178"/>
    </row>
    <row r="131" ht="15.75" customHeight="1">
      <c r="D131" s="178"/>
    </row>
    <row r="132" ht="15.75" customHeight="1">
      <c r="D132" s="178"/>
    </row>
    <row r="133" ht="15.75" customHeight="1">
      <c r="D133" s="178"/>
    </row>
    <row r="134" ht="15.75" customHeight="1">
      <c r="D134" s="178"/>
    </row>
    <row r="135" ht="15.75" customHeight="1">
      <c r="D135" s="178"/>
    </row>
    <row r="136" ht="15.75" customHeight="1">
      <c r="D136" s="178"/>
    </row>
    <row r="137" ht="15.75" customHeight="1">
      <c r="D137" s="178"/>
    </row>
    <row r="138" ht="15.75" customHeight="1">
      <c r="D138" s="178"/>
    </row>
    <row r="139" ht="15.75" customHeight="1">
      <c r="D139" s="178"/>
    </row>
    <row r="140" ht="15.75" customHeight="1">
      <c r="D140" s="178"/>
    </row>
    <row r="141" ht="15.75" customHeight="1">
      <c r="D141" s="178"/>
    </row>
    <row r="142" ht="15.75" customHeight="1">
      <c r="D142" s="178"/>
    </row>
    <row r="143" ht="15.75" customHeight="1">
      <c r="D143" s="178"/>
    </row>
    <row r="144" ht="15.75" customHeight="1">
      <c r="D144" s="178"/>
    </row>
    <row r="145" ht="15.75" customHeight="1">
      <c r="D145" s="178"/>
    </row>
    <row r="146" ht="15.75" customHeight="1">
      <c r="D146" s="178"/>
    </row>
    <row r="147" ht="15.75" customHeight="1">
      <c r="D147" s="178"/>
    </row>
    <row r="148" ht="15.75" customHeight="1">
      <c r="D148" s="178"/>
    </row>
    <row r="149" ht="15.75" customHeight="1">
      <c r="D149" s="178"/>
    </row>
    <row r="150" ht="15.75" customHeight="1">
      <c r="D150" s="178"/>
    </row>
    <row r="151" ht="15.75" customHeight="1">
      <c r="D151" s="178"/>
    </row>
    <row r="152" ht="15.75" customHeight="1">
      <c r="D152" s="178"/>
    </row>
    <row r="153" ht="15.75" customHeight="1">
      <c r="D153" s="178"/>
    </row>
    <row r="154" ht="15.75" customHeight="1">
      <c r="D154" s="178"/>
    </row>
    <row r="155" ht="15.75" customHeight="1">
      <c r="D155" s="178"/>
    </row>
    <row r="156" ht="15.75" customHeight="1">
      <c r="D156" s="178"/>
    </row>
    <row r="157" ht="15.75" customHeight="1">
      <c r="D157" s="178"/>
    </row>
    <row r="158" ht="15.75" customHeight="1">
      <c r="D158" s="178"/>
    </row>
    <row r="159" ht="15.75" customHeight="1">
      <c r="D159" s="178"/>
    </row>
    <row r="160" ht="15.75" customHeight="1">
      <c r="D160" s="178"/>
    </row>
    <row r="161" ht="15.75" customHeight="1">
      <c r="D161" s="178"/>
    </row>
    <row r="162" ht="15.75" customHeight="1">
      <c r="D162" s="178"/>
    </row>
    <row r="163" ht="15.75" customHeight="1">
      <c r="D163" s="178"/>
    </row>
    <row r="164" ht="15.75" customHeight="1">
      <c r="D164" s="178"/>
    </row>
    <row r="165" ht="15.75" customHeight="1">
      <c r="D165" s="178"/>
    </row>
    <row r="166" ht="15.75" customHeight="1">
      <c r="D166" s="178"/>
    </row>
    <row r="167" ht="15.75" customHeight="1">
      <c r="D167" s="178"/>
    </row>
    <row r="168" ht="15.75" customHeight="1">
      <c r="D168" s="178"/>
    </row>
    <row r="169" ht="15.75" customHeight="1">
      <c r="D169" s="178"/>
    </row>
    <row r="170" ht="15.75" customHeight="1">
      <c r="D170" s="178"/>
    </row>
    <row r="171" ht="15.75" customHeight="1">
      <c r="D171" s="178"/>
    </row>
    <row r="172" ht="15.75" customHeight="1">
      <c r="D172" s="178"/>
    </row>
    <row r="173" ht="15.75" customHeight="1">
      <c r="D173" s="178"/>
    </row>
    <row r="174" ht="15.75" customHeight="1">
      <c r="D174" s="178"/>
    </row>
    <row r="175" ht="15.75" customHeight="1">
      <c r="D175" s="178"/>
    </row>
    <row r="176" ht="15.75" customHeight="1">
      <c r="D176" s="178"/>
    </row>
    <row r="177" ht="15.75" customHeight="1">
      <c r="D177" s="178"/>
    </row>
    <row r="178" ht="15.75" customHeight="1">
      <c r="D178" s="178"/>
    </row>
    <row r="179" ht="15.75" customHeight="1">
      <c r="D179" s="178"/>
    </row>
    <row r="180" ht="15.75" customHeight="1">
      <c r="D180" s="178"/>
    </row>
    <row r="181" ht="15.75" customHeight="1">
      <c r="D181" s="178"/>
    </row>
    <row r="182" ht="15.75" customHeight="1">
      <c r="D182" s="178"/>
    </row>
    <row r="183" ht="15.75" customHeight="1">
      <c r="D183" s="178"/>
    </row>
    <row r="184" ht="15.75" customHeight="1">
      <c r="D184" s="178"/>
    </row>
    <row r="185" ht="15.75" customHeight="1">
      <c r="D185" s="178"/>
    </row>
    <row r="186" ht="15.75" customHeight="1">
      <c r="D186" s="178"/>
    </row>
    <row r="187" ht="15.75" customHeight="1">
      <c r="D187" s="178"/>
    </row>
    <row r="188" ht="15.75" customHeight="1">
      <c r="D188" s="178"/>
    </row>
    <row r="189" ht="15.75" customHeight="1">
      <c r="D189" s="178"/>
    </row>
    <row r="190" ht="15.75" customHeight="1">
      <c r="D190" s="178"/>
    </row>
    <row r="191" ht="15.75" customHeight="1">
      <c r="D191" s="178"/>
    </row>
    <row r="192" ht="15.75" customHeight="1">
      <c r="D192" s="178"/>
    </row>
    <row r="193" ht="15.75" customHeight="1">
      <c r="D193" s="178"/>
    </row>
    <row r="194" ht="15.75" customHeight="1">
      <c r="D194" s="178"/>
    </row>
    <row r="195" ht="15.75" customHeight="1">
      <c r="D195" s="178"/>
    </row>
    <row r="196" ht="15.75" customHeight="1">
      <c r="D196" s="178"/>
    </row>
    <row r="197" ht="15.75" customHeight="1">
      <c r="D197" s="178"/>
    </row>
    <row r="198" ht="15.75" customHeight="1">
      <c r="D198" s="178"/>
    </row>
    <row r="199" ht="15.75" customHeight="1">
      <c r="D199" s="178"/>
    </row>
    <row r="200" ht="15.75" customHeight="1">
      <c r="D200" s="178"/>
    </row>
    <row r="201" ht="15.75" customHeight="1">
      <c r="D201" s="178"/>
    </row>
    <row r="202" ht="15.75" customHeight="1">
      <c r="D202" s="178"/>
    </row>
    <row r="203" ht="15.75" customHeight="1">
      <c r="D203" s="178"/>
    </row>
    <row r="204" ht="15.75" customHeight="1">
      <c r="D204" s="178"/>
    </row>
    <row r="205" ht="15.75" customHeight="1">
      <c r="D205" s="178"/>
    </row>
    <row r="206" ht="15.75" customHeight="1">
      <c r="D206" s="178"/>
    </row>
    <row r="207" ht="15.75" customHeight="1">
      <c r="D207" s="178"/>
    </row>
    <row r="208" ht="15.75" customHeight="1">
      <c r="D208" s="178"/>
    </row>
    <row r="209" ht="15.75" customHeight="1">
      <c r="D209" s="178"/>
    </row>
    <row r="210" ht="15.75" customHeight="1">
      <c r="D210" s="178"/>
    </row>
    <row r="211" ht="15.75" customHeight="1">
      <c r="D211" s="178"/>
    </row>
    <row r="212" ht="15.75" customHeight="1">
      <c r="D212" s="178"/>
    </row>
    <row r="213" ht="15.75" customHeight="1">
      <c r="D213" s="178"/>
    </row>
    <row r="214" ht="15.75" customHeight="1">
      <c r="D214" s="178"/>
    </row>
    <row r="215" ht="15.75" customHeight="1">
      <c r="D215" s="178"/>
    </row>
    <row r="216" ht="15.75" customHeight="1">
      <c r="D216" s="178"/>
    </row>
    <row r="217" ht="15.75" customHeight="1">
      <c r="D217" s="178"/>
    </row>
    <row r="218" ht="15.75" customHeight="1">
      <c r="D218" s="178"/>
    </row>
    <row r="219" ht="15.75" customHeight="1">
      <c r="D219" s="178"/>
    </row>
    <row r="220" ht="15.75" customHeight="1">
      <c r="D220" s="178"/>
    </row>
    <row r="221" ht="15.75" customHeight="1">
      <c r="D221" s="178"/>
    </row>
    <row r="222" ht="15.75" customHeight="1">
      <c r="D222" s="178"/>
    </row>
    <row r="223" ht="15.75" customHeight="1">
      <c r="D223" s="178"/>
    </row>
    <row r="224" ht="15.75" customHeight="1">
      <c r="D224" s="178"/>
    </row>
    <row r="225" ht="15.75" customHeight="1">
      <c r="D225" s="178"/>
    </row>
    <row r="226" ht="15.75" customHeight="1">
      <c r="D226" s="178"/>
    </row>
    <row r="227" ht="15.75" customHeight="1">
      <c r="D227" s="178"/>
    </row>
    <row r="228" ht="15.75" customHeight="1">
      <c r="D228" s="178"/>
    </row>
    <row r="229" ht="15.75" customHeight="1">
      <c r="D229" s="178"/>
    </row>
    <row r="230" ht="15.75" customHeight="1">
      <c r="D230" s="178"/>
    </row>
    <row r="231" ht="15.75" customHeight="1">
      <c r="D231" s="178"/>
    </row>
    <row r="232" ht="15.75" customHeight="1">
      <c r="D232" s="178"/>
    </row>
    <row r="233" ht="15.75" customHeight="1">
      <c r="D233" s="178"/>
    </row>
    <row r="234" ht="15.75" customHeight="1">
      <c r="D234" s="178"/>
    </row>
    <row r="235" ht="15.75" customHeight="1">
      <c r="D235" s="178"/>
    </row>
    <row r="236" ht="15.75" customHeight="1">
      <c r="D236" s="178"/>
    </row>
    <row r="237" ht="15.75" customHeight="1">
      <c r="D237" s="178"/>
    </row>
    <row r="238" ht="15.75" customHeight="1">
      <c r="D238" s="178"/>
    </row>
    <row r="239" ht="15.75" customHeight="1">
      <c r="D239" s="178"/>
    </row>
    <row r="240" ht="15.75" customHeight="1">
      <c r="D240" s="178"/>
    </row>
    <row r="241" ht="15.75" customHeight="1">
      <c r="D241" s="178"/>
    </row>
    <row r="242" ht="15.75" customHeight="1">
      <c r="D242" s="178"/>
    </row>
    <row r="243" ht="15.75" customHeight="1">
      <c r="D243" s="178"/>
    </row>
    <row r="244" ht="15.75" customHeight="1">
      <c r="D244" s="178"/>
    </row>
    <row r="245" ht="15.75" customHeight="1">
      <c r="D245" s="178"/>
    </row>
    <row r="246" ht="15.75" customHeight="1">
      <c r="D246" s="178"/>
    </row>
    <row r="247" ht="15.75" customHeight="1">
      <c r="D247" s="178"/>
    </row>
    <row r="248" ht="15.75" customHeight="1">
      <c r="D248" s="178"/>
    </row>
    <row r="249" ht="15.75" customHeight="1">
      <c r="D249" s="178"/>
    </row>
    <row r="250" ht="15.75" customHeight="1">
      <c r="D250" s="178"/>
    </row>
    <row r="251" ht="15.75" customHeight="1">
      <c r="D251" s="178"/>
    </row>
    <row r="252" ht="15.75" customHeight="1">
      <c r="D252" s="178"/>
    </row>
    <row r="253" ht="15.75" customHeight="1">
      <c r="D253" s="178"/>
    </row>
    <row r="254" ht="15.75" customHeight="1">
      <c r="D254" s="178"/>
    </row>
    <row r="255" ht="15.75" customHeight="1">
      <c r="D255" s="178"/>
    </row>
    <row r="256" ht="15.75" customHeight="1">
      <c r="D256" s="178"/>
    </row>
    <row r="257" ht="15.75" customHeight="1">
      <c r="D257" s="178"/>
    </row>
    <row r="258" ht="15.75" customHeight="1">
      <c r="D258" s="178"/>
    </row>
    <row r="259" ht="15.75" customHeight="1">
      <c r="D259" s="178"/>
    </row>
    <row r="260" ht="15.75" customHeight="1">
      <c r="D260" s="178"/>
    </row>
    <row r="261" ht="15.75" customHeight="1">
      <c r="D261" s="178"/>
    </row>
    <row r="262" ht="15.75" customHeight="1">
      <c r="D262" s="178"/>
    </row>
    <row r="263" ht="15.75" customHeight="1">
      <c r="D263" s="178"/>
    </row>
    <row r="264" ht="15.75" customHeight="1">
      <c r="D264" s="178"/>
    </row>
    <row r="265" ht="15.75" customHeight="1">
      <c r="D265" s="178"/>
    </row>
    <row r="266" ht="15.75" customHeight="1">
      <c r="D266" s="178"/>
    </row>
    <row r="267" ht="15.75" customHeight="1">
      <c r="D267" s="178"/>
    </row>
    <row r="268" ht="15.75" customHeight="1">
      <c r="D268" s="178"/>
    </row>
    <row r="269" ht="15.75" customHeight="1">
      <c r="D269" s="178"/>
    </row>
    <row r="270" ht="15.75" customHeight="1">
      <c r="D270" s="178"/>
    </row>
    <row r="271" ht="15.75" customHeight="1">
      <c r="D271" s="178"/>
    </row>
    <row r="272" ht="15.75" customHeight="1">
      <c r="D272" s="178"/>
    </row>
    <row r="273" ht="15.75" customHeight="1">
      <c r="D273" s="178"/>
    </row>
    <row r="274" ht="15.75" customHeight="1">
      <c r="D274" s="178"/>
    </row>
    <row r="275" ht="15.75" customHeight="1">
      <c r="D275" s="178"/>
    </row>
    <row r="276" ht="15.75" customHeight="1">
      <c r="D276" s="178"/>
    </row>
    <row r="277" ht="15.75" customHeight="1">
      <c r="D277" s="178"/>
    </row>
    <row r="278" ht="15.75" customHeight="1">
      <c r="D278" s="178"/>
    </row>
    <row r="279" ht="15.75" customHeight="1">
      <c r="D279" s="178"/>
    </row>
    <row r="280" ht="15.75" customHeight="1">
      <c r="D280" s="178"/>
    </row>
    <row r="281" ht="15.75" customHeight="1">
      <c r="D281" s="178"/>
    </row>
    <row r="282" ht="15.75" customHeight="1">
      <c r="D282" s="178"/>
    </row>
    <row r="283" ht="15.75" customHeight="1">
      <c r="D283" s="178"/>
    </row>
    <row r="284" ht="15.75" customHeight="1">
      <c r="D284" s="178"/>
    </row>
    <row r="285" ht="15.75" customHeight="1">
      <c r="D285" s="178"/>
    </row>
    <row r="286" ht="15.75" customHeight="1">
      <c r="D286" s="178"/>
    </row>
    <row r="287" ht="15.75" customHeight="1">
      <c r="D287" s="178"/>
    </row>
    <row r="288" ht="15.75" customHeight="1">
      <c r="D288" s="178"/>
    </row>
    <row r="289" ht="15.75" customHeight="1">
      <c r="D289" s="178"/>
    </row>
    <row r="290" ht="15.75" customHeight="1">
      <c r="D290" s="178"/>
    </row>
    <row r="291" ht="15.75" customHeight="1">
      <c r="D291" s="178"/>
    </row>
    <row r="292" ht="15.75" customHeight="1">
      <c r="D292" s="178"/>
    </row>
    <row r="293" ht="15.75" customHeight="1">
      <c r="D293" s="178"/>
    </row>
    <row r="294" ht="15.75" customHeight="1">
      <c r="D294" s="178"/>
    </row>
    <row r="295" ht="15.75" customHeight="1">
      <c r="D295" s="178"/>
    </row>
    <row r="296" ht="15.75" customHeight="1">
      <c r="D296" s="178"/>
    </row>
    <row r="297" ht="15.75" customHeight="1">
      <c r="D297" s="178"/>
    </row>
    <row r="298" ht="15.75" customHeight="1">
      <c r="D298" s="178"/>
    </row>
    <row r="299" ht="15.75" customHeight="1">
      <c r="D299" s="178"/>
    </row>
    <row r="300" ht="15.75" customHeight="1">
      <c r="D300" s="178"/>
    </row>
    <row r="301" ht="15.75" customHeight="1">
      <c r="D301" s="178"/>
    </row>
    <row r="302" ht="15.75" customHeight="1">
      <c r="D302" s="178"/>
    </row>
    <row r="303" ht="15.75" customHeight="1">
      <c r="D303" s="178"/>
    </row>
    <row r="304" ht="15.75" customHeight="1">
      <c r="D304" s="178"/>
    </row>
    <row r="305" ht="15.75" customHeight="1">
      <c r="D305" s="178"/>
    </row>
    <row r="306" ht="15.75" customHeight="1">
      <c r="D306" s="178"/>
    </row>
    <row r="307" ht="15.75" customHeight="1">
      <c r="D307" s="178"/>
    </row>
    <row r="308" ht="15.75" customHeight="1">
      <c r="D308" s="178"/>
    </row>
    <row r="309" ht="15.75" customHeight="1">
      <c r="D309" s="178"/>
    </row>
    <row r="310" ht="15.75" customHeight="1">
      <c r="D310" s="178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</sheetData>
  <mergeCells count="34">
    <mergeCell ref="A1:V1"/>
    <mergeCell ref="A2:V2"/>
    <mergeCell ref="A3:V3"/>
    <mergeCell ref="A8:A9"/>
    <mergeCell ref="B8:B9"/>
    <mergeCell ref="D8:D9"/>
    <mergeCell ref="E8:E9"/>
    <mergeCell ref="H8:V8"/>
    <mergeCell ref="C100:E100"/>
    <mergeCell ref="C104:E104"/>
    <mergeCell ref="A107:B107"/>
    <mergeCell ref="C107:F107"/>
    <mergeCell ref="A108:B108"/>
    <mergeCell ref="C108:F108"/>
    <mergeCell ref="F8:F9"/>
    <mergeCell ref="G8:G9"/>
    <mergeCell ref="B95:I95"/>
    <mergeCell ref="C97:E97"/>
    <mergeCell ref="C98:E98"/>
    <mergeCell ref="H98:I98"/>
    <mergeCell ref="C99:E99"/>
    <mergeCell ref="I107:N107"/>
    <mergeCell ref="I108:N108"/>
    <mergeCell ref="Q108:T108"/>
    <mergeCell ref="H111:T111"/>
    <mergeCell ref="H114:T114"/>
    <mergeCell ref="H115:T115"/>
    <mergeCell ref="J98:T98"/>
    <mergeCell ref="J99:T99"/>
    <mergeCell ref="J100:T100"/>
    <mergeCell ref="J101:T101"/>
    <mergeCell ref="I104:N104"/>
    <mergeCell ref="Q104:T104"/>
    <mergeCell ref="Q107:T107"/>
  </mergeCells>
  <printOptions horizontalCentered="1"/>
  <pageMargins bottom="0.7480314960629921" footer="0.0" header="0.0" left="1.141732283464567" right="0.11811023622047245" top="0.7480314960629921"/>
  <pageSetup paperSize="5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