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TRI\Documents\ALIE\DOST PTRI\RYPIC NL\PPMP\Quarter 1\"/>
    </mc:Choice>
  </mc:AlternateContent>
  <xr:revisionPtr revIDLastSave="0" documentId="8_{FEC39241-6D3B-4868-81C7-C02C9842E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YPIC Q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q1NQ4kk9sID13q6fWseuMNAh5ISeNKVAj8ApEqZtI8="/>
    </ext>
  </extLst>
</workbook>
</file>

<file path=xl/calcChain.xml><?xml version="1.0" encoding="utf-8"?>
<calcChain xmlns="http://schemas.openxmlformats.org/spreadsheetml/2006/main">
  <c r="F47" i="1" l="1"/>
  <c r="D79" i="1"/>
  <c r="D78" i="1"/>
  <c r="F55" i="1"/>
  <c r="F54" i="1"/>
  <c r="F44" i="1"/>
  <c r="F41" i="1"/>
  <c r="F39" i="1"/>
  <c r="F37" i="1"/>
  <c r="D80" i="1" l="1"/>
  <c r="F76" i="1"/>
</calcChain>
</file>

<file path=xl/sharedStrings.xml><?xml version="1.0" encoding="utf-8"?>
<sst xmlns="http://schemas.openxmlformats.org/spreadsheetml/2006/main" count="240" uniqueCount="202">
  <si>
    <t xml:space="preserve">  PROJECT PROCUREMENT MANAGEMENT PLAN (PPMP) 2024</t>
  </si>
  <si>
    <t>For 1st Quarter of CY 2024</t>
  </si>
  <si>
    <t>END-USER/UNIT: TSD-MPU</t>
  </si>
  <si>
    <t>Charged to: Establishment of Regional Yarn Production and Innovation Center - Northern Luzon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</si>
  <si>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</si>
  <si>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</si>
  <si>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</si>
  <si>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</si>
  <si>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</si>
  <si>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</si>
  <si>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</si>
  <si>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</si>
  <si>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</si>
  <si>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</si>
  <si>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</si>
  <si>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</si>
  <si>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</si>
  <si>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</si>
  <si>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</si>
  <si>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</si>
  <si>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</si>
  <si>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</si>
  <si>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</si>
  <si>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</si>
  <si>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</si>
  <si>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</si>
  <si>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</si>
  <si>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</si>
  <si>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</si>
  <si>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</si>
  <si>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</si>
  <si>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</si>
  <si>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</si>
  <si>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</si>
  <si>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</si>
  <si>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</si>
  <si>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</si>
  <si>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</si>
  <si>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</si>
  <si>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</si>
  <si>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</si>
  <si>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</si>
  <si>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</si>
  <si>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</si>
  <si>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</si>
  <si>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</si>
  <si>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</si>
  <si>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</si>
  <si>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</si>
  <si>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</si>
  <si>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</si>
  <si>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</si>
  <si>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</si>
  <si>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</si>
  <si>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</si>
  <si>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</si>
  <si>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</si>
  <si>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</si>
  <si>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</si>
  <si>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</si>
  <si>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</si>
  <si>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</si>
  <si>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</si>
  <si>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</si>
  <si>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</si>
  <si>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</si>
  <si>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</si>
  <si>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</si>
  <si>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</si>
  <si>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</si>
  <si>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</si>
  <si>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</si>
  <si>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</si>
  <si>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</si>
  <si>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</si>
  <si>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</si>
  <si>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</si>
  <si>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</si>
  <si>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</si>
  <si>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OS-062</t>
  </si>
  <si>
    <t>15 reams Bond Paper, multicopy, A4, 80 gsm</t>
  </si>
  <si>
    <t>1 Lot</t>
  </si>
  <si>
    <t>Shopping</t>
  </si>
  <si>
    <t>15-30 working days</t>
  </si>
  <si>
    <t>OS-057</t>
  </si>
  <si>
    <t>5 reams Bond Paper, multicopy, legal, 80 gsm</t>
  </si>
  <si>
    <t>OS-098</t>
  </si>
  <si>
    <t>10 packs Brown envelope, long, 5pcs/pack</t>
  </si>
  <si>
    <t>OS-087</t>
  </si>
  <si>
    <t xml:space="preserve">10 packs Expanding envelope w/ garter, long, 5pcs/pack </t>
  </si>
  <si>
    <t>OS-078</t>
  </si>
  <si>
    <t xml:space="preserve">10 packs Folder, long, white, 5pcs/pack </t>
  </si>
  <si>
    <t>30 pieces Folder, expandable, long</t>
  </si>
  <si>
    <t>20 pieces Signpen, blue liquid gel ink, 0.5mm</t>
  </si>
  <si>
    <t>OS-260</t>
  </si>
  <si>
    <t>50 pieces Ballpen, blue</t>
  </si>
  <si>
    <t>OSMI-013</t>
  </si>
  <si>
    <t>50 pieces Rags, small, round</t>
  </si>
  <si>
    <t>OS-292</t>
  </si>
  <si>
    <t xml:space="preserve">20 pieces Rags, rectangular, colored </t>
  </si>
  <si>
    <t>OS-045</t>
  </si>
  <si>
    <t>20 pieces Permanent markers, blue</t>
  </si>
  <si>
    <t>OS-172</t>
  </si>
  <si>
    <t>10 pieces Whiteboard markers, blue</t>
  </si>
  <si>
    <t>5 pieces Extendable Plastic Handle Whisk Broom (90cm-145cm)</t>
  </si>
  <si>
    <t>20 rolls Tape, transparent, 2 inches x 100m</t>
  </si>
  <si>
    <t>OS-272</t>
  </si>
  <si>
    <t>20 rolls Tape, transparent, 1 inch x 100m</t>
  </si>
  <si>
    <t>OS-171</t>
  </si>
  <si>
    <t>10 boxes Pencil w/ eraser, #2, 12 pcs/box</t>
  </si>
  <si>
    <t>5 boxes Staple wire, No. 35</t>
  </si>
  <si>
    <t>OS-267</t>
  </si>
  <si>
    <t>2 pieces Tape dispenser, 1 inch</t>
  </si>
  <si>
    <t>OS-217</t>
  </si>
  <si>
    <t>15 pieces Record Book, 300 pages</t>
  </si>
  <si>
    <t>OS-132</t>
  </si>
  <si>
    <t>5 pairs Scissors, heavy duty,  215mm/8.5"</t>
  </si>
  <si>
    <t>10 pairs Spring yarn scissors</t>
  </si>
  <si>
    <t>OS-011</t>
  </si>
  <si>
    <t>5 pieces HP 206A Black Original Laser Jet Toner Cartridge</t>
  </si>
  <si>
    <t>Negotiated Procurement-Small Value Procurement</t>
  </si>
  <si>
    <t>30-45 working days</t>
  </si>
  <si>
    <t>OS-014</t>
  </si>
  <si>
    <t>3 pieces HP 206A Cyan Original Laser Jet Toner Cartridge</t>
  </si>
  <si>
    <t>OS-012</t>
  </si>
  <si>
    <t>2 pieces HP 206A Magenta Original Laser Jet Toner Cartridge</t>
  </si>
  <si>
    <t>OS-013</t>
  </si>
  <si>
    <t>2 pieces HP 206A Yellow Original Laser Jet Toner Cartridge</t>
  </si>
  <si>
    <t xml:space="preserve">Laser Color Printer </t>
  </si>
  <si>
    <t>1 unit</t>
  </si>
  <si>
    <t>Water Dispenser, Hot and Cold</t>
  </si>
  <si>
    <t>Steel closet/locker, 9 doors, W=40CM, L=90CM, H=101CM</t>
  </si>
  <si>
    <t>Wet and Dry Vacuum Cleaner, 30L capacity</t>
  </si>
  <si>
    <t>Push Cart, 300 kgs. capacity</t>
  </si>
  <si>
    <t>2 units</t>
  </si>
  <si>
    <t>50203080 00</t>
  </si>
  <si>
    <t>Medical, Dental,  and Laboratory Supplies Expenses</t>
  </si>
  <si>
    <t>Ginned Cotton</t>
  </si>
  <si>
    <t>3,000 kilos</t>
  </si>
  <si>
    <t>Negotiated Procurement-Small Value Procurement / Direct Contracting (if with MOA)</t>
  </si>
  <si>
    <t>Opened Bamboo Fiber</t>
  </si>
  <si>
    <t>OSMI-042</t>
  </si>
  <si>
    <t>10 gallons 70% Isopropyl alcohol, 3.2L/gallon</t>
  </si>
  <si>
    <t>MDL-154</t>
  </si>
  <si>
    <t>100 packs KF94 Facemask, 10pcs/pack</t>
  </si>
  <si>
    <t>OSMI-008</t>
  </si>
  <si>
    <t xml:space="preserve">10 liters Bleach </t>
  </si>
  <si>
    <t>OSMI-328</t>
  </si>
  <si>
    <t xml:space="preserve">10 kilos Detergent powder </t>
  </si>
  <si>
    <t>MDL-198</t>
  </si>
  <si>
    <t>50 packs Interfolded Paper Towel, white, 150 pulls/pack</t>
  </si>
  <si>
    <t>OSMI-329</t>
  </si>
  <si>
    <t xml:space="preserve">10 units Handwash, 500ml/unit </t>
  </si>
  <si>
    <t>10 packs Multipurpose Plastic Resealable Bag, 29x40cm, 100 pcs/pack</t>
  </si>
  <si>
    <t>5 packs Multipurpose Plastic Resealable Bag, 20x30cm, 100 pcs/pack</t>
  </si>
  <si>
    <t>5 boxes Adhesive Antiseptic Bandage, 100 pcs/box</t>
  </si>
  <si>
    <t>MDL-269</t>
  </si>
  <si>
    <t xml:space="preserve">5 boxes Loperamide, 2mg Capsule, 10 pcs/pack </t>
  </si>
  <si>
    <t>MDL-266</t>
  </si>
  <si>
    <t>5 boxes Paracetamol, 500mg,100 tablets/box</t>
  </si>
  <si>
    <t>MDL-263</t>
  </si>
  <si>
    <t>5 bottles Povidone Iodine 10% Wound Solution, 25mL</t>
  </si>
  <si>
    <t>MDL-120</t>
  </si>
  <si>
    <t>5 packs Triangular Bandage, 96x96x136cm</t>
  </si>
  <si>
    <t>MDL-276</t>
  </si>
  <si>
    <t>5 bottles Hydrogen Peroxide (Agua Oxigenada), 12mL</t>
  </si>
  <si>
    <t>MDL-273</t>
  </si>
  <si>
    <t>10 pcs Micropore Surgical Tape, 1 inch x 10 yards, 2.5cm x 9.1 m</t>
  </si>
  <si>
    <t>50203210 03</t>
  </si>
  <si>
    <t>Semi- Expendable - ICT Equipment (Indirect Cost)</t>
  </si>
  <si>
    <t>Wi-Fi Multi-Functional Integrated Ink Tank Printer</t>
  </si>
  <si>
    <t>2 lots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</si>
  <si>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</si>
  <si>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</si>
  <si>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</si>
  <si>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</si>
  <si>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</si>
  <si>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</si>
  <si>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</si>
  <si>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</si>
  <si>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</si>
  <si>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 xml:space="preserve">ENGR. DANIEL LEON J. LAVIN  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</si>
  <si>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</si>
  <si>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</si>
  <si>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</si>
  <si>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</si>
  <si>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</si>
  <si>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</si>
  <si>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</si>
  <si>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r>
      <rPr>
        <sz val="12"/>
        <color theme="1"/>
        <rFont val="Arial"/>
        <family val="2"/>
      </rPr>
      <t xml:space="preserve">Date: </t>
    </r>
    <r>
      <rPr>
        <u/>
        <sz val="12"/>
        <color theme="1"/>
        <rFont val="Arial"/>
        <family val="2"/>
      </rPr>
      <t xml:space="preserve">  16 January 2024</t>
    </r>
    <r>
      <rPr>
        <sz val="12"/>
        <color theme="1"/>
        <rFont val="Arial"/>
        <family val="2"/>
      </rPr>
      <t xml:space="preserve">   </t>
    </r>
  </si>
  <si>
    <t>Date: _____________</t>
  </si>
  <si>
    <t>100 kilos Opened Pineapple Fiber</t>
  </si>
  <si>
    <t>100 kilos Opened Banana/Abaca Fiber</t>
  </si>
  <si>
    <t>100 kilos</t>
  </si>
  <si>
    <t>Other Professional Services</t>
  </si>
  <si>
    <t>Dyeing Service</t>
  </si>
  <si>
    <t>12 kgs 100% Cotton Yarn (Sun-Dried Tomato 19-1531 TCX)</t>
  </si>
  <si>
    <t>12 kgs 70% Cotton / 30% Bamboo Yarn (Sun-Dried Tomato 19-1531 TCX)</t>
  </si>
  <si>
    <t>12 kgs 70% Cotton / 30% Pineapple Yarn (Sun-Dried Tomato 19-1531 TCX)</t>
  </si>
  <si>
    <t>12 kgs 100% Cotton Yarn  (Lime Green 14-0452 TCX)</t>
  </si>
  <si>
    <t>12 kgs 70% Cotton / 30% Bamboo Yarn  (Lime Green 14-0452 TCX)</t>
  </si>
  <si>
    <t>12 kgs 70% Cotton / 30% Pineapple Yarn (Lime Green 14-0452 TCX)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</si>
</sst>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4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u/>
      <sz val="12"/>
      <color theme="1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7E6E6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0" borderId="10" xfId="0" quotePrefix="1" applyFont="1" applyBorder="1" applyAlignment="1">
      <alignment horizontal="center" vertical="center" wrapText="1"/>
    </xf>
    <xf numFmtId="0" fontId="6" fillId="0" borderId="8" xfId="0" quotePrefix="1" applyFont="1" applyBorder="1" applyAlignment="1">
      <alignment horizontal="center" vertical="center" wrapText="1"/>
    </xf>
    <xf numFmtId="4" fontId="6" fillId="0" borderId="8" xfId="0" quotePrefix="1" applyNumberFormat="1" applyFont="1" applyBorder="1" applyAlignment="1">
      <alignment horizontal="center" vertical="center" wrapText="1"/>
    </xf>
    <xf numFmtId="164" fontId="6" fillId="0" borderId="8" xfId="0" quotePrefix="1" applyNumberFormat="1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4" fontId="6" fillId="2" borderId="14" xfId="0" applyNumberFormat="1" applyFont="1" applyFill="1" applyBorder="1" applyAlignment="1">
      <alignment horizontal="right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4" fontId="8" fillId="0" borderId="17" xfId="0" applyNumberFormat="1" applyFont="1" applyBorder="1" applyAlignment="1">
      <alignment horizontal="right"/>
    </xf>
    <xf numFmtId="0" fontId="8" fillId="0" borderId="19" xfId="0" applyFont="1" applyBorder="1" applyAlignment="1">
      <alignment horizontal="center" vertical="center" wrapText="1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/>
    <xf numFmtId="4" fontId="8" fillId="0" borderId="19" xfId="0" applyNumberFormat="1" applyFont="1" applyBorder="1" applyAlignment="1">
      <alignment horizontal="right"/>
    </xf>
    <xf numFmtId="0" fontId="7" fillId="0" borderId="20" xfId="0" applyFont="1" applyBorder="1"/>
    <xf numFmtId="0" fontId="10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4" fontId="8" fillId="0" borderId="19" xfId="0" applyNumberFormat="1" applyFont="1" applyBorder="1" applyAlignment="1">
      <alignment horizontal="right" vertical="center" wrapText="1"/>
    </xf>
    <xf numFmtId="0" fontId="8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49" fontId="8" fillId="0" borderId="23" xfId="0" applyNumberFormat="1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/>
    </xf>
    <xf numFmtId="0" fontId="8" fillId="0" borderId="17" xfId="0" applyFont="1" applyBorder="1" applyAlignment="1">
      <alignment horizontal="center"/>
    </xf>
    <xf numFmtId="0" fontId="8" fillId="0" borderId="17" xfId="0" applyFont="1" applyBorder="1" applyAlignment="1">
      <alignment wrapText="1"/>
    </xf>
    <xf numFmtId="0" fontId="8" fillId="0" borderId="18" xfId="0" applyFont="1" applyBorder="1" applyAlignment="1">
      <alignment horizontal="center" vertical="center" wrapText="1"/>
    </xf>
    <xf numFmtId="49" fontId="8" fillId="0" borderId="23" xfId="0" applyNumberFormat="1" applyFont="1" applyBorder="1" applyAlignment="1">
      <alignment vertical="center" wrapText="1"/>
    </xf>
    <xf numFmtId="49" fontId="8" fillId="0" borderId="17" xfId="0" applyNumberFormat="1" applyFont="1" applyBorder="1" applyAlignment="1">
      <alignment horizontal="center"/>
    </xf>
    <xf numFmtId="49" fontId="8" fillId="0" borderId="23" xfId="0" applyNumberFormat="1" applyFont="1" applyBorder="1" applyAlignment="1">
      <alignment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8" fillId="3" borderId="25" xfId="0" applyFont="1" applyFill="1" applyBorder="1" applyAlignment="1">
      <alignment horizontal="center" vertical="center" wrapText="1"/>
    </xf>
    <xf numFmtId="4" fontId="8" fillId="3" borderId="26" xfId="0" applyNumberFormat="1" applyFont="1" applyFill="1" applyBorder="1" applyAlignment="1">
      <alignment horizontal="right" vertical="center" wrapText="1"/>
    </xf>
    <xf numFmtId="164" fontId="8" fillId="3" borderId="2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/>
    </xf>
    <xf numFmtId="3" fontId="8" fillId="3" borderId="17" xfId="0" applyNumberFormat="1" applyFont="1" applyFill="1" applyBorder="1" applyAlignment="1">
      <alignment horizontal="center" vertical="center"/>
    </xf>
    <xf numFmtId="0" fontId="8" fillId="3" borderId="17" xfId="0" applyFont="1" applyFill="1" applyBorder="1"/>
    <xf numFmtId="0" fontId="6" fillId="4" borderId="2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left" vertical="center" wrapText="1"/>
    </xf>
    <xf numFmtId="0" fontId="8" fillId="4" borderId="25" xfId="0" applyFont="1" applyFill="1" applyBorder="1" applyAlignment="1">
      <alignment horizontal="center" vertical="center" wrapText="1"/>
    </xf>
    <xf numFmtId="4" fontId="8" fillId="4" borderId="26" xfId="0" applyNumberFormat="1" applyFont="1" applyFill="1" applyBorder="1" applyAlignment="1">
      <alignment horizontal="right" vertical="center" wrapText="1"/>
    </xf>
    <xf numFmtId="164" fontId="8" fillId="4" borderId="26" xfId="0" applyNumberFormat="1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vertical="center"/>
    </xf>
    <xf numFmtId="3" fontId="8" fillId="4" borderId="17" xfId="0" applyNumberFormat="1" applyFont="1" applyFill="1" applyBorder="1" applyAlignment="1">
      <alignment horizontal="center" vertical="center"/>
    </xf>
    <xf numFmtId="0" fontId="8" fillId="4" borderId="17" xfId="0" applyFont="1" applyFill="1" applyBorder="1"/>
    <xf numFmtId="0" fontId="8" fillId="4" borderId="27" xfId="0" applyFont="1" applyFill="1" applyBorder="1"/>
    <xf numFmtId="0" fontId="2" fillId="4" borderId="27" xfId="0" applyFont="1" applyFill="1" applyBorder="1"/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left" wrapText="1"/>
    </xf>
    <xf numFmtId="4" fontId="8" fillId="0" borderId="17" xfId="0" applyNumberFormat="1" applyFont="1" applyBorder="1" applyAlignment="1">
      <alignment horizontal="right" vertical="center" wrapText="1"/>
    </xf>
    <xf numFmtId="0" fontId="8" fillId="0" borderId="17" xfId="0" applyFont="1" applyBorder="1" applyAlignment="1">
      <alignment horizontal="center" vertical="top" wrapText="1"/>
    </xf>
    <xf numFmtId="0" fontId="8" fillId="0" borderId="17" xfId="0" applyFont="1" applyBorder="1" applyAlignment="1">
      <alignment vertical="top" wrapText="1"/>
    </xf>
    <xf numFmtId="4" fontId="8" fillId="0" borderId="17" xfId="0" applyNumberFormat="1" applyFont="1" applyBorder="1"/>
    <xf numFmtId="0" fontId="6" fillId="3" borderId="28" xfId="0" applyFont="1" applyFill="1" applyBorder="1" applyAlignment="1">
      <alignment horizontal="center" vertical="center" wrapText="1"/>
    </xf>
    <xf numFmtId="49" fontId="8" fillId="3" borderId="17" xfId="0" applyNumberFormat="1" applyFont="1" applyFill="1" applyBorder="1" applyAlignment="1">
      <alignment horizontal="center"/>
    </xf>
    <xf numFmtId="49" fontId="6" fillId="3" borderId="29" xfId="0" applyNumberFormat="1" applyFont="1" applyFill="1" applyBorder="1" applyAlignment="1">
      <alignment wrapText="1"/>
    </xf>
    <xf numFmtId="0" fontId="8" fillId="3" borderId="2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3" fillId="0" borderId="30" xfId="0" applyNumberFormat="1" applyFont="1" applyBorder="1"/>
    <xf numFmtId="0" fontId="14" fillId="0" borderId="0" xfId="0" applyFont="1" applyAlignment="1">
      <alignment vertical="center"/>
    </xf>
    <xf numFmtId="0" fontId="6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7" fillId="0" borderId="0" xfId="0" applyFont="1"/>
    <xf numFmtId="4" fontId="20" fillId="0" borderId="0" xfId="0" applyNumberFormat="1" applyFont="1" applyAlignment="1">
      <alignment horizontal="right"/>
    </xf>
    <xf numFmtId="0" fontId="6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vertical="top" wrapText="1"/>
    </xf>
    <xf numFmtId="4" fontId="8" fillId="0" borderId="26" xfId="0" applyNumberFormat="1" applyFont="1" applyBorder="1"/>
    <xf numFmtId="0" fontId="7" fillId="0" borderId="29" xfId="0" applyFont="1" applyBorder="1"/>
    <xf numFmtId="0" fontId="6" fillId="0" borderId="24" xfId="0" applyFont="1" applyBorder="1" applyAlignment="1">
      <alignment horizontal="center" vertical="center" wrapText="1"/>
    </xf>
    <xf numFmtId="49" fontId="8" fillId="0" borderId="29" xfId="0" applyNumberFormat="1" applyFont="1" applyBorder="1" applyAlignment="1">
      <alignment wrapText="1"/>
    </xf>
    <xf numFmtId="0" fontId="8" fillId="0" borderId="25" xfId="0" applyFont="1" applyBorder="1" applyAlignment="1">
      <alignment horizontal="center" vertical="center" wrapText="1"/>
    </xf>
    <xf numFmtId="4" fontId="8" fillId="0" borderId="26" xfId="0" applyNumberFormat="1" applyFont="1" applyBorder="1" applyAlignment="1">
      <alignment horizontal="right" vertical="center" wrapText="1"/>
    </xf>
    <xf numFmtId="164" fontId="8" fillId="0" borderId="26" xfId="0" applyNumberFormat="1" applyFont="1" applyBorder="1" applyAlignment="1">
      <alignment horizontal="center" vertical="center" wrapText="1"/>
    </xf>
    <xf numFmtId="49" fontId="23" fillId="5" borderId="29" xfId="0" applyNumberFormat="1" applyFont="1" applyFill="1" applyBorder="1"/>
    <xf numFmtId="0" fontId="10" fillId="6" borderId="36" xfId="0" applyFont="1" applyFill="1" applyBorder="1" applyAlignment="1">
      <alignment horizontal="left"/>
    </xf>
    <xf numFmtId="0" fontId="10" fillId="6" borderId="36" xfId="0" applyFont="1" applyFill="1" applyBorder="1" applyAlignment="1">
      <alignment wrapText="1"/>
    </xf>
    <xf numFmtId="0" fontId="10" fillId="6" borderId="37" xfId="0" applyFont="1" applyFill="1" applyBorder="1" applyAlignment="1">
      <alignment wrapText="1"/>
    </xf>
    <xf numFmtId="0" fontId="10" fillId="6" borderId="38" xfId="0" applyFont="1" applyFill="1" applyBorder="1"/>
    <xf numFmtId="0" fontId="7" fillId="0" borderId="2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/>
    <xf numFmtId="164" fontId="12" fillId="0" borderId="0" xfId="0" applyNumberFormat="1" applyFont="1" applyAlignment="1">
      <alignment horizontal="center"/>
    </xf>
    <xf numFmtId="0" fontId="8" fillId="0" borderId="19" xfId="0" applyFont="1" applyBorder="1" applyAlignment="1">
      <alignment vertical="center"/>
    </xf>
    <xf numFmtId="0" fontId="7" fillId="0" borderId="20" xfId="0" applyFont="1" applyBorder="1"/>
    <xf numFmtId="0" fontId="7" fillId="0" borderId="23" xfId="0" applyFont="1" applyBorder="1"/>
    <xf numFmtId="0" fontId="8" fillId="0" borderId="19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0" fontId="7" fillId="0" borderId="32" xfId="0" applyFont="1" applyBorder="1"/>
    <xf numFmtId="0" fontId="7" fillId="0" borderId="22" xfId="0" applyFont="1" applyBorder="1"/>
    <xf numFmtId="0" fontId="8" fillId="0" borderId="0" xfId="0" applyFont="1" applyAlignment="1">
      <alignment horizontal="left"/>
    </xf>
    <xf numFmtId="164" fontId="8" fillId="0" borderId="19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/>
    </xf>
    <xf numFmtId="0" fontId="7" fillId="0" borderId="34" xfId="0" applyFont="1" applyBorder="1"/>
    <xf numFmtId="0" fontId="7" fillId="0" borderId="35" xfId="0" applyFont="1" applyBorder="1"/>
    <xf numFmtId="0" fontId="19" fillId="0" borderId="0" xfId="0" applyFont="1" applyAlignment="1">
      <alignment horizontal="left" vertical="center"/>
    </xf>
    <xf numFmtId="4" fontId="22" fillId="0" borderId="20" xfId="0" applyNumberFormat="1" applyFont="1" applyBorder="1" applyAlignment="1">
      <alignment horizontal="right" vertical="center"/>
    </xf>
    <xf numFmtId="0" fontId="22" fillId="0" borderId="20" xfId="0" applyFont="1" applyBorder="1" applyAlignment="1">
      <alignment horizontal="right" vertical="center"/>
    </xf>
    <xf numFmtId="0" fontId="22" fillId="0" borderId="39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7" fillId="0" borderId="12" xfId="0" applyFont="1" applyBorder="1"/>
    <xf numFmtId="4" fontId="8" fillId="0" borderId="1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984"/>
  <sheetViews>
    <sheetView tabSelected="1" topLeftCell="A37" workbookViewId="0">
      <selection activeCell="G48" sqref="G48:G53"/>
    </sheetView>
  </sheetViews>
  <sheetFormatPr defaultColWidth="12.59765625" defaultRowHeight="15" customHeight="1" x14ac:dyDescent="0.25"/>
  <cols>
    <col min="1" max="1" width="10.69921875" customWidth="1"/>
    <col min="2" max="2" width="11.09765625" customWidth="1"/>
    <col min="3" max="3" width="51.296875" customWidth="1"/>
    <col min="4" max="4" width="11.59765625" customWidth="1"/>
    <col min="5" max="5" width="10.09765625" customWidth="1"/>
    <col min="6" max="6" width="16.8984375" customWidth="1"/>
    <col min="7" max="7" width="28.19921875" customWidth="1"/>
    <col min="8" max="8" width="13.69921875" customWidth="1"/>
    <col min="9" max="13" width="7.59765625" customWidth="1"/>
    <col min="14" max="34" width="0.3984375" customWidth="1"/>
    <col min="35" max="35" width="22.59765625" customWidth="1"/>
    <col min="36" max="37" width="7.59765625" customWidth="1"/>
  </cols>
  <sheetData>
    <row r="1" spans="1:39" ht="15.6" x14ac:dyDescent="0.25">
      <c r="A1" s="149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"/>
      <c r="AK1" s="1"/>
    </row>
    <row r="2" spans="1:39" ht="13.8" x14ac:dyDescent="0.25">
      <c r="A2" s="150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"/>
      <c r="AK2" s="1"/>
    </row>
    <row r="3" spans="1:39" ht="13.8" x14ac:dyDescent="0.25">
      <c r="A3" s="151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"/>
      <c r="AK3" s="1"/>
    </row>
    <row r="4" spans="1:39" ht="15.6" x14ac:dyDescent="0.25">
      <c r="A4" s="2" t="s">
        <v>2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</row>
    <row r="5" spans="1:39" ht="15.6" x14ac:dyDescent="0.25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6" x14ac:dyDescent="0.25">
      <c r="A6" s="2" t="s">
        <v>3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6" x14ac:dyDescent="0.25">
      <c r="A7" s="5" t="s">
        <v>4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5">
      <c r="A8" s="152" t="s">
        <v>5</v>
      </c>
      <c r="B8" s="144" t="s">
        <v>6</v>
      </c>
      <c r="C8" s="144" t="s">
        <v>7</v>
      </c>
      <c r="D8" s="9" t="s">
        <v>8</v>
      </c>
      <c r="E8" s="154" t="s">
        <v>9</v>
      </c>
      <c r="F8" s="155" t="s">
        <v>10</v>
      </c>
      <c r="G8" s="144" t="s">
        <v>11</v>
      </c>
      <c r="H8" s="144" t="s">
        <v>12</v>
      </c>
      <c r="I8" s="146" t="s">
        <v>13</v>
      </c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8"/>
      <c r="AJ8" s="10"/>
      <c r="AK8" s="10"/>
      <c r="AL8" s="11"/>
      <c r="AM8" s="11"/>
    </row>
    <row r="9" spans="1:39" ht="24" x14ac:dyDescent="0.25">
      <c r="A9" s="153"/>
      <c r="B9" s="145"/>
      <c r="C9" s="145"/>
      <c r="D9" s="12" t="s">
        <v>14</v>
      </c>
      <c r="E9" s="145"/>
      <c r="F9" s="145"/>
      <c r="G9" s="145"/>
      <c r="H9" s="145"/>
      <c r="I9" s="12" t="s">
        <v>15</v>
      </c>
      <c r="J9" s="12" t="s">
        <v>16</v>
      </c>
      <c r="K9" s="12" t="s">
        <v>17</v>
      </c>
      <c r="L9" s="13" t="s">
        <v>18</v>
      </c>
      <c r="M9" s="13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12" t="s">
        <v>25</v>
      </c>
      <c r="T9" s="12" t="s">
        <v>26</v>
      </c>
      <c r="U9" s="12" t="s">
        <v>27</v>
      </c>
      <c r="V9" s="12" t="s">
        <v>28</v>
      </c>
      <c r="W9" s="12" t="s">
        <v>29</v>
      </c>
      <c r="X9" s="12" t="s">
        <v>30</v>
      </c>
      <c r="Y9" s="12" t="s">
        <v>31</v>
      </c>
      <c r="Z9" s="12" t="s">
        <v>32</v>
      </c>
      <c r="AA9" s="12" t="s">
        <v>33</v>
      </c>
      <c r="AB9" s="12" t="s">
        <v>34</v>
      </c>
      <c r="AC9" s="12" t="s">
        <v>35</v>
      </c>
      <c r="AD9" s="12" t="s">
        <v>36</v>
      </c>
      <c r="AE9" s="12" t="s">
        <v>37</v>
      </c>
      <c r="AF9" s="12" t="s">
        <v>38</v>
      </c>
      <c r="AG9" s="12" t="s">
        <v>39</v>
      </c>
      <c r="AH9" s="12" t="s">
        <v>40</v>
      </c>
      <c r="AI9" s="14" t="s">
        <v>41</v>
      </c>
      <c r="AJ9" s="15"/>
      <c r="AK9" s="10"/>
      <c r="AL9" s="11"/>
      <c r="AM9" s="11"/>
    </row>
    <row r="10" spans="1:39" ht="48" x14ac:dyDescent="0.25">
      <c r="A10" s="16" t="s">
        <v>42</v>
      </c>
      <c r="B10" s="17" t="s">
        <v>43</v>
      </c>
      <c r="C10" s="17" t="s">
        <v>44</v>
      </c>
      <c r="D10" s="17" t="s">
        <v>45</v>
      </c>
      <c r="E10" s="18" t="s">
        <v>46</v>
      </c>
      <c r="F10" s="19" t="s">
        <v>47</v>
      </c>
      <c r="G10" s="17" t="s">
        <v>48</v>
      </c>
      <c r="H10" s="17" t="s">
        <v>49</v>
      </c>
      <c r="I10" s="17" t="s">
        <v>50</v>
      </c>
      <c r="J10" s="17" t="s">
        <v>51</v>
      </c>
      <c r="K10" s="17" t="s">
        <v>52</v>
      </c>
      <c r="L10" s="17" t="s">
        <v>53</v>
      </c>
      <c r="M10" s="17" t="s">
        <v>54</v>
      </c>
      <c r="N10" s="17" t="s">
        <v>55</v>
      </c>
      <c r="O10" s="17" t="s">
        <v>56</v>
      </c>
      <c r="P10" s="17" t="s">
        <v>57</v>
      </c>
      <c r="Q10" s="17" t="s">
        <v>58</v>
      </c>
      <c r="R10" s="17" t="s">
        <v>59</v>
      </c>
      <c r="S10" s="17" t="s">
        <v>60</v>
      </c>
      <c r="T10" s="17" t="s">
        <v>61</v>
      </c>
      <c r="U10" s="17" t="s">
        <v>62</v>
      </c>
      <c r="V10" s="17" t="s">
        <v>63</v>
      </c>
      <c r="W10" s="17" t="s">
        <v>64</v>
      </c>
      <c r="X10" s="17" t="s">
        <v>65</v>
      </c>
      <c r="Y10" s="17" t="s">
        <v>66</v>
      </c>
      <c r="Z10" s="17" t="s">
        <v>67</v>
      </c>
      <c r="AA10" s="17" t="s">
        <v>68</v>
      </c>
      <c r="AB10" s="17" t="s">
        <v>69</v>
      </c>
      <c r="AC10" s="17" t="s">
        <v>70</v>
      </c>
      <c r="AD10" s="17" t="s">
        <v>71</v>
      </c>
      <c r="AE10" s="17" t="s">
        <v>72</v>
      </c>
      <c r="AF10" s="17" t="s">
        <v>73</v>
      </c>
      <c r="AG10" s="17" t="s">
        <v>74</v>
      </c>
      <c r="AH10" s="17" t="s">
        <v>75</v>
      </c>
      <c r="AI10" s="20" t="s">
        <v>76</v>
      </c>
      <c r="AJ10" s="10"/>
      <c r="AK10" s="10"/>
      <c r="AL10" s="11"/>
      <c r="AM10" s="11"/>
    </row>
    <row r="11" spans="1:39" ht="18.75" customHeight="1" x14ac:dyDescent="0.25">
      <c r="A11" s="21" t="s">
        <v>77</v>
      </c>
      <c r="B11" s="22"/>
      <c r="C11" s="23" t="s">
        <v>78</v>
      </c>
      <c r="D11" s="24"/>
      <c r="E11" s="25"/>
      <c r="F11" s="26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7"/>
      <c r="AJ11" s="28"/>
      <c r="AK11" s="28"/>
    </row>
    <row r="12" spans="1:39" ht="13.5" customHeight="1" x14ac:dyDescent="0.25">
      <c r="A12" s="29"/>
      <c r="B12" s="30" t="s">
        <v>79</v>
      </c>
      <c r="C12" s="31" t="s">
        <v>80</v>
      </c>
      <c r="D12" s="156" t="s">
        <v>81</v>
      </c>
      <c r="E12" s="32">
        <v>260</v>
      </c>
      <c r="F12" s="158">
        <v>20315</v>
      </c>
      <c r="G12" s="130" t="s">
        <v>82</v>
      </c>
      <c r="H12" s="127" t="s">
        <v>83</v>
      </c>
      <c r="I12" s="34">
        <v>15</v>
      </c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28"/>
      <c r="AK12" s="28"/>
    </row>
    <row r="13" spans="1:39" ht="13.5" customHeight="1" x14ac:dyDescent="0.25">
      <c r="A13" s="29"/>
      <c r="B13" s="30" t="s">
        <v>84</v>
      </c>
      <c r="C13" s="31" t="s">
        <v>85</v>
      </c>
      <c r="D13" s="157"/>
      <c r="E13" s="36">
        <v>280</v>
      </c>
      <c r="F13" s="128"/>
      <c r="G13" s="128"/>
      <c r="H13" s="128"/>
      <c r="I13" s="34">
        <v>5</v>
      </c>
      <c r="J13" s="3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28"/>
      <c r="AK13" s="28"/>
    </row>
    <row r="14" spans="1:39" ht="13.5" customHeight="1" x14ac:dyDescent="0.25">
      <c r="A14" s="29"/>
      <c r="B14" s="38" t="s">
        <v>86</v>
      </c>
      <c r="C14" s="39" t="s">
        <v>87</v>
      </c>
      <c r="D14" s="157"/>
      <c r="E14" s="40">
        <v>30</v>
      </c>
      <c r="F14" s="128"/>
      <c r="G14" s="128"/>
      <c r="H14" s="128"/>
      <c r="I14" s="34">
        <v>10</v>
      </c>
      <c r="J14" s="34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28"/>
      <c r="AK14" s="28"/>
    </row>
    <row r="15" spans="1:39" ht="13.5" customHeight="1" x14ac:dyDescent="0.25">
      <c r="A15" s="29"/>
      <c r="B15" s="30" t="s">
        <v>88</v>
      </c>
      <c r="C15" s="31" t="s">
        <v>89</v>
      </c>
      <c r="D15" s="157"/>
      <c r="E15" s="40">
        <v>150</v>
      </c>
      <c r="F15" s="128"/>
      <c r="G15" s="128"/>
      <c r="H15" s="128"/>
      <c r="I15" s="34">
        <v>10</v>
      </c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28"/>
      <c r="AK15" s="28"/>
    </row>
    <row r="16" spans="1:39" ht="13.5" customHeight="1" x14ac:dyDescent="0.25">
      <c r="A16" s="29"/>
      <c r="B16" s="30" t="s">
        <v>90</v>
      </c>
      <c r="C16" s="31" t="s">
        <v>91</v>
      </c>
      <c r="D16" s="157"/>
      <c r="E16" s="40">
        <v>50</v>
      </c>
      <c r="F16" s="128"/>
      <c r="G16" s="128"/>
      <c r="H16" s="128"/>
      <c r="I16" s="34">
        <v>10</v>
      </c>
      <c r="J16" s="3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28"/>
      <c r="AK16" s="28"/>
    </row>
    <row r="17" spans="1:37" ht="13.5" customHeight="1" x14ac:dyDescent="0.25">
      <c r="A17" s="29"/>
      <c r="B17" s="30"/>
      <c r="C17" s="31" t="s">
        <v>92</v>
      </c>
      <c r="D17" s="157"/>
      <c r="E17" s="40">
        <v>30</v>
      </c>
      <c r="F17" s="128"/>
      <c r="G17" s="128"/>
      <c r="H17" s="128"/>
      <c r="I17" s="34">
        <v>30</v>
      </c>
      <c r="J17" s="34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28"/>
      <c r="AK17" s="28"/>
    </row>
    <row r="18" spans="1:37" ht="13.5" customHeight="1" x14ac:dyDescent="0.25">
      <c r="A18" s="29"/>
      <c r="B18" s="30"/>
      <c r="C18" s="31" t="s">
        <v>93</v>
      </c>
      <c r="D18" s="157"/>
      <c r="E18" s="40">
        <v>50</v>
      </c>
      <c r="F18" s="128"/>
      <c r="G18" s="128"/>
      <c r="H18" s="128"/>
      <c r="I18" s="34">
        <v>20</v>
      </c>
      <c r="J18" s="3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28"/>
      <c r="AK18" s="28"/>
    </row>
    <row r="19" spans="1:37" ht="13.5" customHeight="1" x14ac:dyDescent="0.25">
      <c r="A19" s="29"/>
      <c r="B19" s="30" t="s">
        <v>94</v>
      </c>
      <c r="C19" s="31" t="s">
        <v>95</v>
      </c>
      <c r="D19" s="157"/>
      <c r="E19" s="40">
        <v>20</v>
      </c>
      <c r="F19" s="128"/>
      <c r="G19" s="128"/>
      <c r="H19" s="128"/>
      <c r="I19" s="34">
        <v>50</v>
      </c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28"/>
      <c r="AK19" s="28"/>
    </row>
    <row r="20" spans="1:37" ht="13.5" customHeight="1" x14ac:dyDescent="0.25">
      <c r="A20" s="29"/>
      <c r="B20" s="30" t="s">
        <v>96</v>
      </c>
      <c r="C20" s="31" t="s">
        <v>97</v>
      </c>
      <c r="D20" s="157"/>
      <c r="E20" s="40">
        <v>5</v>
      </c>
      <c r="F20" s="128"/>
      <c r="G20" s="128"/>
      <c r="H20" s="128"/>
      <c r="I20" s="34">
        <v>50</v>
      </c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28"/>
      <c r="AK20" s="28"/>
    </row>
    <row r="21" spans="1:37" ht="13.5" customHeight="1" x14ac:dyDescent="0.25">
      <c r="A21" s="29"/>
      <c r="B21" s="30" t="s">
        <v>98</v>
      </c>
      <c r="C21" s="31" t="s">
        <v>99</v>
      </c>
      <c r="D21" s="157"/>
      <c r="E21" s="40">
        <v>100</v>
      </c>
      <c r="F21" s="128"/>
      <c r="G21" s="128"/>
      <c r="H21" s="128"/>
      <c r="I21" s="34">
        <v>20</v>
      </c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28"/>
      <c r="AK21" s="28"/>
    </row>
    <row r="22" spans="1:37" ht="13.5" customHeight="1" x14ac:dyDescent="0.25">
      <c r="A22" s="29"/>
      <c r="B22" s="30" t="s">
        <v>100</v>
      </c>
      <c r="C22" s="31" t="s">
        <v>101</v>
      </c>
      <c r="D22" s="157"/>
      <c r="E22" s="40">
        <v>50</v>
      </c>
      <c r="F22" s="128"/>
      <c r="G22" s="128"/>
      <c r="H22" s="128"/>
      <c r="I22" s="34">
        <v>20</v>
      </c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28"/>
      <c r="AK22" s="28"/>
    </row>
    <row r="23" spans="1:37" ht="13.5" customHeight="1" x14ac:dyDescent="0.25">
      <c r="A23" s="29"/>
      <c r="B23" s="30" t="s">
        <v>102</v>
      </c>
      <c r="C23" s="31" t="s">
        <v>103</v>
      </c>
      <c r="D23" s="157"/>
      <c r="E23" s="40">
        <v>50</v>
      </c>
      <c r="F23" s="128"/>
      <c r="G23" s="128"/>
      <c r="H23" s="128"/>
      <c r="I23" s="34">
        <v>10</v>
      </c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28"/>
      <c r="AK23" s="28"/>
    </row>
    <row r="24" spans="1:37" ht="15" customHeight="1" x14ac:dyDescent="0.25">
      <c r="A24" s="29"/>
      <c r="B24" s="30"/>
      <c r="C24" s="31" t="s">
        <v>104</v>
      </c>
      <c r="D24" s="157"/>
      <c r="E24" s="40">
        <v>150</v>
      </c>
      <c r="F24" s="128"/>
      <c r="G24" s="128"/>
      <c r="H24" s="128"/>
      <c r="I24" s="34">
        <v>5</v>
      </c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28"/>
      <c r="AK24" s="28"/>
    </row>
    <row r="25" spans="1:37" ht="15" customHeight="1" x14ac:dyDescent="0.25">
      <c r="A25" s="29"/>
      <c r="B25" s="41"/>
      <c r="C25" s="31" t="s">
        <v>105</v>
      </c>
      <c r="D25" s="157"/>
      <c r="E25" s="40">
        <v>50</v>
      </c>
      <c r="F25" s="128"/>
      <c r="G25" s="128"/>
      <c r="H25" s="128"/>
      <c r="I25" s="34">
        <v>20</v>
      </c>
      <c r="J25" s="34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28"/>
      <c r="AK25" s="28"/>
    </row>
    <row r="26" spans="1:37" ht="15" customHeight="1" x14ac:dyDescent="0.25">
      <c r="A26" s="29"/>
      <c r="B26" s="41" t="s">
        <v>106</v>
      </c>
      <c r="C26" s="31" t="s">
        <v>107</v>
      </c>
      <c r="D26" s="157"/>
      <c r="E26" s="40">
        <v>30</v>
      </c>
      <c r="F26" s="128"/>
      <c r="G26" s="128"/>
      <c r="H26" s="128"/>
      <c r="I26" s="34">
        <v>20</v>
      </c>
      <c r="J26" s="34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28"/>
      <c r="AK26" s="28"/>
    </row>
    <row r="27" spans="1:37" ht="15" customHeight="1" x14ac:dyDescent="0.25">
      <c r="A27" s="29"/>
      <c r="B27" s="41" t="s">
        <v>108</v>
      </c>
      <c r="C27" s="31" t="s">
        <v>109</v>
      </c>
      <c r="D27" s="157"/>
      <c r="E27" s="40">
        <v>120</v>
      </c>
      <c r="F27" s="128"/>
      <c r="G27" s="128"/>
      <c r="H27" s="128"/>
      <c r="I27" s="34">
        <v>10</v>
      </c>
      <c r="J27" s="34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28"/>
      <c r="AK27" s="28"/>
    </row>
    <row r="28" spans="1:37" ht="15" customHeight="1" x14ac:dyDescent="0.25">
      <c r="A28" s="29"/>
      <c r="B28" s="41"/>
      <c r="C28" s="31" t="s">
        <v>110</v>
      </c>
      <c r="D28" s="157"/>
      <c r="E28" s="40">
        <v>35</v>
      </c>
      <c r="F28" s="128"/>
      <c r="G28" s="128"/>
      <c r="H28" s="128"/>
      <c r="I28" s="34">
        <v>5</v>
      </c>
      <c r="J28" s="34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28"/>
      <c r="AK28" s="28"/>
    </row>
    <row r="29" spans="1:37" ht="15" customHeight="1" x14ac:dyDescent="0.25">
      <c r="A29" s="29"/>
      <c r="B29" s="30" t="s">
        <v>111</v>
      </c>
      <c r="C29" s="31" t="s">
        <v>112</v>
      </c>
      <c r="D29" s="157"/>
      <c r="E29" s="40">
        <v>120</v>
      </c>
      <c r="F29" s="128"/>
      <c r="G29" s="128"/>
      <c r="H29" s="128"/>
      <c r="I29" s="34">
        <v>2</v>
      </c>
      <c r="J29" s="3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28"/>
      <c r="AK29" s="28"/>
    </row>
    <row r="30" spans="1:37" ht="15.75" customHeight="1" x14ac:dyDescent="0.25">
      <c r="A30" s="29"/>
      <c r="B30" s="42" t="s">
        <v>113</v>
      </c>
      <c r="C30" s="43" t="s">
        <v>114</v>
      </c>
      <c r="D30" s="157"/>
      <c r="E30" s="40">
        <v>80</v>
      </c>
      <c r="F30" s="128"/>
      <c r="G30" s="128"/>
      <c r="H30" s="128"/>
      <c r="I30" s="34">
        <v>15</v>
      </c>
      <c r="J30" s="3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28"/>
      <c r="AK30" s="28"/>
    </row>
    <row r="31" spans="1:37" ht="15.75" customHeight="1" x14ac:dyDescent="0.25">
      <c r="A31" s="29"/>
      <c r="B31" s="30" t="s">
        <v>115</v>
      </c>
      <c r="C31" s="31" t="s">
        <v>116</v>
      </c>
      <c r="D31" s="157"/>
      <c r="E31" s="40">
        <v>100</v>
      </c>
      <c r="F31" s="128"/>
      <c r="G31" s="128"/>
      <c r="H31" s="128"/>
      <c r="I31" s="34">
        <v>5</v>
      </c>
      <c r="J31" s="3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28"/>
      <c r="AK31" s="28"/>
    </row>
    <row r="32" spans="1:37" ht="13.5" customHeight="1" x14ac:dyDescent="0.25">
      <c r="A32" s="44"/>
      <c r="B32" s="41"/>
      <c r="C32" s="31" t="s">
        <v>117</v>
      </c>
      <c r="D32" s="134"/>
      <c r="E32" s="40">
        <v>40</v>
      </c>
      <c r="F32" s="129"/>
      <c r="G32" s="129"/>
      <c r="H32" s="129"/>
      <c r="I32" s="34">
        <v>10</v>
      </c>
      <c r="J32" s="34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28"/>
      <c r="AK32" s="28"/>
    </row>
    <row r="33" spans="1:39" ht="15.75" customHeight="1" x14ac:dyDescent="0.25">
      <c r="A33" s="29"/>
      <c r="B33" s="30" t="s">
        <v>118</v>
      </c>
      <c r="C33" s="31" t="s">
        <v>119</v>
      </c>
      <c r="D33" s="130" t="s">
        <v>81</v>
      </c>
      <c r="E33" s="40">
        <v>6100</v>
      </c>
      <c r="F33" s="136">
        <v>76000</v>
      </c>
      <c r="G33" s="130" t="s">
        <v>120</v>
      </c>
      <c r="H33" s="127" t="s">
        <v>121</v>
      </c>
      <c r="I33" s="34">
        <v>5</v>
      </c>
      <c r="J33" s="34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28"/>
      <c r="AK33" s="28"/>
    </row>
    <row r="34" spans="1:39" ht="15.75" customHeight="1" x14ac:dyDescent="0.25">
      <c r="A34" s="29"/>
      <c r="B34" s="30" t="s">
        <v>122</v>
      </c>
      <c r="C34" s="31" t="s">
        <v>123</v>
      </c>
      <c r="D34" s="128"/>
      <c r="E34" s="40">
        <v>6500</v>
      </c>
      <c r="F34" s="128"/>
      <c r="G34" s="128"/>
      <c r="H34" s="128"/>
      <c r="I34" s="34">
        <v>3</v>
      </c>
      <c r="J34" s="34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28"/>
      <c r="AK34" s="28"/>
    </row>
    <row r="35" spans="1:39" ht="15.75" customHeight="1" x14ac:dyDescent="0.25">
      <c r="A35" s="29"/>
      <c r="B35" s="30" t="s">
        <v>124</v>
      </c>
      <c r="C35" s="31" t="s">
        <v>125</v>
      </c>
      <c r="D35" s="128"/>
      <c r="E35" s="40">
        <v>6500</v>
      </c>
      <c r="F35" s="128"/>
      <c r="G35" s="128"/>
      <c r="H35" s="128"/>
      <c r="I35" s="34">
        <v>2</v>
      </c>
      <c r="J35" s="34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28"/>
      <c r="AK35" s="28"/>
    </row>
    <row r="36" spans="1:39" ht="15.75" customHeight="1" x14ac:dyDescent="0.25">
      <c r="A36" s="29"/>
      <c r="B36" s="30" t="s">
        <v>126</v>
      </c>
      <c r="C36" s="31" t="s">
        <v>127</v>
      </c>
      <c r="D36" s="129"/>
      <c r="E36" s="40">
        <v>6500</v>
      </c>
      <c r="F36" s="129"/>
      <c r="G36" s="129"/>
      <c r="H36" s="129"/>
      <c r="I36" s="34">
        <v>2</v>
      </c>
      <c r="J36" s="34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28"/>
      <c r="AK36" s="28"/>
    </row>
    <row r="37" spans="1:39" ht="13.5" customHeight="1" x14ac:dyDescent="0.25">
      <c r="A37" s="44"/>
      <c r="B37" s="42"/>
      <c r="C37" s="46" t="s">
        <v>128</v>
      </c>
      <c r="D37" s="33" t="s">
        <v>129</v>
      </c>
      <c r="E37" s="40">
        <v>38000</v>
      </c>
      <c r="F37" s="45">
        <f>E37*1</f>
        <v>38000</v>
      </c>
      <c r="G37" s="30" t="s">
        <v>82</v>
      </c>
      <c r="H37" s="47" t="s">
        <v>121</v>
      </c>
      <c r="I37" s="34">
        <v>1</v>
      </c>
      <c r="J37" s="34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28"/>
      <c r="AK37" s="28"/>
    </row>
    <row r="38" spans="1:39" ht="13.5" customHeight="1" x14ac:dyDescent="0.25">
      <c r="A38" s="44"/>
      <c r="B38" s="42"/>
      <c r="C38" s="43" t="s">
        <v>130</v>
      </c>
      <c r="D38" s="33" t="s">
        <v>129</v>
      </c>
      <c r="E38" s="40">
        <v>12000</v>
      </c>
      <c r="F38" s="45">
        <v>12000</v>
      </c>
      <c r="G38" s="30" t="s">
        <v>82</v>
      </c>
      <c r="H38" s="47" t="s">
        <v>83</v>
      </c>
      <c r="I38" s="34"/>
      <c r="J38" s="34">
        <v>1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28"/>
      <c r="AK38" s="28"/>
    </row>
    <row r="39" spans="1:39" ht="13.5" customHeight="1" x14ac:dyDescent="0.25">
      <c r="A39" s="29"/>
      <c r="B39" s="48"/>
      <c r="C39" s="49" t="s">
        <v>131</v>
      </c>
      <c r="D39" s="50" t="s">
        <v>129</v>
      </c>
      <c r="E39" s="40">
        <v>12000</v>
      </c>
      <c r="F39" s="45">
        <f>E39</f>
        <v>12000</v>
      </c>
      <c r="G39" s="30" t="s">
        <v>82</v>
      </c>
      <c r="H39" s="47" t="s">
        <v>83</v>
      </c>
      <c r="I39" s="34"/>
      <c r="J39" s="34">
        <v>1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28"/>
      <c r="AK39" s="28"/>
    </row>
    <row r="40" spans="1:39" ht="13.5" customHeight="1" x14ac:dyDescent="0.25">
      <c r="A40" s="29"/>
      <c r="B40" s="42"/>
      <c r="C40" s="51" t="s">
        <v>132</v>
      </c>
      <c r="D40" s="33" t="s">
        <v>129</v>
      </c>
      <c r="E40" s="40">
        <v>6500</v>
      </c>
      <c r="F40" s="45">
        <v>6500</v>
      </c>
      <c r="G40" s="30" t="s">
        <v>82</v>
      </c>
      <c r="H40" s="47" t="s">
        <v>83</v>
      </c>
      <c r="I40" s="34"/>
      <c r="J40" s="34">
        <v>1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28"/>
      <c r="AK40" s="28"/>
    </row>
    <row r="41" spans="1:39" ht="13.5" customHeight="1" x14ac:dyDescent="0.25">
      <c r="A41" s="29"/>
      <c r="B41" s="52"/>
      <c r="C41" s="53" t="s">
        <v>133</v>
      </c>
      <c r="D41" s="33" t="s">
        <v>134</v>
      </c>
      <c r="E41" s="40">
        <v>4500</v>
      </c>
      <c r="F41" s="45">
        <f>E41*2</f>
        <v>9000</v>
      </c>
      <c r="G41" s="30" t="s">
        <v>82</v>
      </c>
      <c r="H41" s="47" t="s">
        <v>83</v>
      </c>
      <c r="I41" s="34"/>
      <c r="J41" s="34">
        <v>2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28"/>
      <c r="AK41" s="28"/>
    </row>
    <row r="42" spans="1:39" ht="13.5" customHeight="1" x14ac:dyDescent="0.25">
      <c r="A42" s="111"/>
      <c r="B42" s="52"/>
      <c r="C42" s="112"/>
      <c r="D42" s="113"/>
      <c r="E42" s="114"/>
      <c r="F42" s="115"/>
      <c r="G42" s="30"/>
      <c r="H42" s="47"/>
      <c r="I42" s="34"/>
      <c r="J42" s="34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28"/>
      <c r="AK42" s="28"/>
    </row>
    <row r="43" spans="1:39" ht="13.5" customHeight="1" x14ac:dyDescent="0.25">
      <c r="A43" s="54" t="s">
        <v>135</v>
      </c>
      <c r="B43" s="55"/>
      <c r="C43" s="56" t="s">
        <v>136</v>
      </c>
      <c r="D43" s="57"/>
      <c r="E43" s="58"/>
      <c r="F43" s="59"/>
      <c r="G43" s="60"/>
      <c r="H43" s="61"/>
      <c r="I43" s="62"/>
      <c r="J43" s="62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28"/>
      <c r="AK43" s="28"/>
    </row>
    <row r="44" spans="1:39" ht="42" customHeight="1" x14ac:dyDescent="0.25">
      <c r="A44" s="64"/>
      <c r="B44" s="65"/>
      <c r="C44" s="66" t="s">
        <v>137</v>
      </c>
      <c r="D44" s="67" t="s">
        <v>138</v>
      </c>
      <c r="E44" s="68">
        <v>125</v>
      </c>
      <c r="F44" s="69">
        <f>E44*3000</f>
        <v>375000</v>
      </c>
      <c r="G44" s="30" t="s">
        <v>139</v>
      </c>
      <c r="H44" s="70" t="s">
        <v>121</v>
      </c>
      <c r="I44" s="71">
        <v>3000</v>
      </c>
      <c r="J44" s="71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3"/>
      <c r="AK44" s="73"/>
      <c r="AL44" s="74"/>
      <c r="AM44" s="74"/>
    </row>
    <row r="45" spans="1:39" ht="18" customHeight="1" x14ac:dyDescent="0.25">
      <c r="A45" s="29"/>
      <c r="B45" s="30"/>
      <c r="C45" s="75" t="s">
        <v>191</v>
      </c>
      <c r="D45" s="130" t="s">
        <v>81</v>
      </c>
      <c r="E45" s="40">
        <v>1600</v>
      </c>
      <c r="F45" s="136">
        <v>320000</v>
      </c>
      <c r="G45" s="130" t="s">
        <v>139</v>
      </c>
      <c r="H45" s="127" t="s">
        <v>121</v>
      </c>
      <c r="I45" s="34">
        <v>42</v>
      </c>
      <c r="J45" s="34"/>
      <c r="K45" s="41">
        <v>58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28"/>
      <c r="AK45" s="28"/>
    </row>
    <row r="46" spans="1:39" ht="18.75" customHeight="1" x14ac:dyDescent="0.25">
      <c r="A46" s="29"/>
      <c r="B46" s="30"/>
      <c r="C46" s="75" t="s">
        <v>192</v>
      </c>
      <c r="D46" s="129"/>
      <c r="E46" s="40">
        <v>1600</v>
      </c>
      <c r="F46" s="129"/>
      <c r="G46" s="129"/>
      <c r="H46" s="129"/>
      <c r="I46" s="34">
        <v>49</v>
      </c>
      <c r="J46" s="34"/>
      <c r="K46" s="41">
        <v>51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28"/>
      <c r="AK46" s="28"/>
    </row>
    <row r="47" spans="1:39" ht="36.75" customHeight="1" x14ac:dyDescent="0.25">
      <c r="A47" s="29"/>
      <c r="B47" s="30"/>
      <c r="C47" s="75" t="s">
        <v>140</v>
      </c>
      <c r="D47" s="50" t="s">
        <v>193</v>
      </c>
      <c r="E47" s="40">
        <v>1600</v>
      </c>
      <c r="F47" s="45">
        <f>E47*100</f>
        <v>160000</v>
      </c>
      <c r="G47" s="30" t="s">
        <v>139</v>
      </c>
      <c r="H47" s="47" t="s">
        <v>121</v>
      </c>
      <c r="I47" s="34"/>
      <c r="J47" s="34">
        <v>50</v>
      </c>
      <c r="K47" s="41">
        <v>50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28"/>
      <c r="AK47" s="28"/>
    </row>
    <row r="48" spans="1:39" ht="13.5" customHeight="1" x14ac:dyDescent="0.25">
      <c r="A48" s="29"/>
      <c r="B48" s="30" t="s">
        <v>141</v>
      </c>
      <c r="C48" s="75" t="s">
        <v>142</v>
      </c>
      <c r="D48" s="130" t="s">
        <v>81</v>
      </c>
      <c r="E48" s="40">
        <v>390</v>
      </c>
      <c r="F48" s="136">
        <v>14500</v>
      </c>
      <c r="G48" s="130" t="s">
        <v>82</v>
      </c>
      <c r="H48" s="127" t="s">
        <v>121</v>
      </c>
      <c r="I48" s="34"/>
      <c r="J48" s="34">
        <v>10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28"/>
      <c r="AK48" s="28"/>
    </row>
    <row r="49" spans="1:37" ht="13.5" customHeight="1" x14ac:dyDescent="0.25">
      <c r="A49" s="29"/>
      <c r="B49" s="30" t="s">
        <v>143</v>
      </c>
      <c r="C49" s="75" t="s">
        <v>144</v>
      </c>
      <c r="D49" s="128"/>
      <c r="E49" s="40">
        <v>60</v>
      </c>
      <c r="F49" s="128"/>
      <c r="G49" s="128"/>
      <c r="H49" s="128"/>
      <c r="I49" s="34"/>
      <c r="J49" s="34">
        <v>100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28"/>
      <c r="AK49" s="28"/>
    </row>
    <row r="50" spans="1:37" ht="13.5" customHeight="1" x14ac:dyDescent="0.25">
      <c r="A50" s="29"/>
      <c r="B50" s="30" t="s">
        <v>145</v>
      </c>
      <c r="C50" s="75" t="s">
        <v>146</v>
      </c>
      <c r="D50" s="128"/>
      <c r="E50" s="40">
        <v>55</v>
      </c>
      <c r="F50" s="128"/>
      <c r="G50" s="128"/>
      <c r="H50" s="128"/>
      <c r="I50" s="34"/>
      <c r="J50" s="34">
        <v>10</v>
      </c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28"/>
      <c r="AK50" s="28"/>
    </row>
    <row r="51" spans="1:37" ht="13.5" customHeight="1" x14ac:dyDescent="0.25">
      <c r="A51" s="29"/>
      <c r="B51" s="30" t="s">
        <v>147</v>
      </c>
      <c r="C51" s="75" t="s">
        <v>148</v>
      </c>
      <c r="D51" s="128"/>
      <c r="E51" s="40">
        <v>130</v>
      </c>
      <c r="F51" s="128"/>
      <c r="G51" s="128"/>
      <c r="H51" s="128"/>
      <c r="I51" s="34"/>
      <c r="J51" s="34">
        <v>10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28"/>
      <c r="AK51" s="28"/>
    </row>
    <row r="52" spans="1:37" ht="13.5" customHeight="1" x14ac:dyDescent="0.25">
      <c r="A52" s="29"/>
      <c r="B52" s="30" t="s">
        <v>149</v>
      </c>
      <c r="C52" s="75" t="s">
        <v>150</v>
      </c>
      <c r="D52" s="128"/>
      <c r="E52" s="40">
        <v>55</v>
      </c>
      <c r="F52" s="128"/>
      <c r="G52" s="128"/>
      <c r="H52" s="128"/>
      <c r="I52" s="34"/>
      <c r="J52" s="34">
        <v>50</v>
      </c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28"/>
      <c r="AK52" s="28"/>
    </row>
    <row r="53" spans="1:37" ht="13.5" customHeight="1" x14ac:dyDescent="0.25">
      <c r="A53" s="29"/>
      <c r="B53" s="30" t="s">
        <v>151</v>
      </c>
      <c r="C53" s="75" t="s">
        <v>152</v>
      </c>
      <c r="D53" s="129"/>
      <c r="E53" s="40">
        <v>120</v>
      </c>
      <c r="F53" s="129"/>
      <c r="G53" s="129"/>
      <c r="H53" s="129"/>
      <c r="I53" s="34"/>
      <c r="J53" s="34">
        <v>10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28"/>
      <c r="AK53" s="28"/>
    </row>
    <row r="54" spans="1:37" ht="13.5" customHeight="1" x14ac:dyDescent="0.25">
      <c r="A54" s="44"/>
      <c r="B54" s="52"/>
      <c r="C54" s="53" t="s">
        <v>133</v>
      </c>
      <c r="D54" s="33" t="s">
        <v>134</v>
      </c>
      <c r="E54" s="40">
        <v>4500</v>
      </c>
      <c r="F54" s="45">
        <f>E54*2</f>
        <v>9000</v>
      </c>
      <c r="G54" s="30" t="s">
        <v>82</v>
      </c>
      <c r="H54" s="47" t="s">
        <v>83</v>
      </c>
      <c r="I54" s="34"/>
      <c r="J54" s="34">
        <v>2</v>
      </c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28"/>
      <c r="AK54" s="28"/>
    </row>
    <row r="55" spans="1:37" ht="13.8" x14ac:dyDescent="0.25">
      <c r="A55" s="44"/>
      <c r="B55" s="76"/>
      <c r="C55" s="77" t="s">
        <v>153</v>
      </c>
      <c r="D55" s="130" t="s">
        <v>81</v>
      </c>
      <c r="E55" s="40">
        <v>700</v>
      </c>
      <c r="F55" s="136">
        <f>7000+2500</f>
        <v>9500</v>
      </c>
      <c r="G55" s="130" t="s">
        <v>82</v>
      </c>
      <c r="H55" s="127" t="s">
        <v>83</v>
      </c>
      <c r="I55" s="34"/>
      <c r="J55" s="34">
        <v>10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28"/>
      <c r="AK55" s="28"/>
    </row>
    <row r="56" spans="1:37" ht="13.8" x14ac:dyDescent="0.25">
      <c r="A56" s="44"/>
      <c r="B56" s="76"/>
      <c r="C56" s="49" t="s">
        <v>154</v>
      </c>
      <c r="D56" s="129"/>
      <c r="E56" s="78">
        <v>500</v>
      </c>
      <c r="F56" s="128"/>
      <c r="G56" s="129"/>
      <c r="H56" s="129"/>
      <c r="I56" s="34"/>
      <c r="J56" s="34">
        <v>5</v>
      </c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28"/>
      <c r="AK56" s="28"/>
    </row>
    <row r="57" spans="1:37" ht="15.75" customHeight="1" x14ac:dyDescent="0.25">
      <c r="A57" s="44"/>
      <c r="B57" s="79"/>
      <c r="C57" s="80" t="s">
        <v>155</v>
      </c>
      <c r="D57" s="130" t="s">
        <v>81</v>
      </c>
      <c r="E57" s="81">
        <v>200</v>
      </c>
      <c r="F57" s="136">
        <v>4350</v>
      </c>
      <c r="G57" s="130" t="s">
        <v>82</v>
      </c>
      <c r="H57" s="127" t="s">
        <v>83</v>
      </c>
      <c r="I57" s="34"/>
      <c r="J57" s="34">
        <v>5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28"/>
      <c r="AK57" s="28"/>
    </row>
    <row r="58" spans="1:37" ht="15.75" customHeight="1" x14ac:dyDescent="0.25">
      <c r="A58" s="44"/>
      <c r="B58" s="79" t="s">
        <v>156</v>
      </c>
      <c r="C58" s="80" t="s">
        <v>157</v>
      </c>
      <c r="D58" s="128"/>
      <c r="E58" s="81">
        <v>200</v>
      </c>
      <c r="F58" s="128"/>
      <c r="G58" s="128"/>
      <c r="H58" s="128"/>
      <c r="I58" s="34"/>
      <c r="J58" s="34">
        <v>5</v>
      </c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28"/>
      <c r="AK58" s="28"/>
    </row>
    <row r="59" spans="1:37" ht="15.75" customHeight="1" x14ac:dyDescent="0.25">
      <c r="A59" s="44"/>
      <c r="B59" s="79" t="s">
        <v>158</v>
      </c>
      <c r="C59" s="80" t="s">
        <v>159</v>
      </c>
      <c r="D59" s="128"/>
      <c r="E59" s="81">
        <v>200</v>
      </c>
      <c r="F59" s="128"/>
      <c r="G59" s="128"/>
      <c r="H59" s="128"/>
      <c r="I59" s="34"/>
      <c r="J59" s="34">
        <v>5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28"/>
      <c r="AK59" s="28"/>
    </row>
    <row r="60" spans="1:37" ht="15.75" customHeight="1" x14ac:dyDescent="0.25">
      <c r="A60" s="44"/>
      <c r="B60" s="79" t="s">
        <v>160</v>
      </c>
      <c r="C60" s="80" t="s">
        <v>161</v>
      </c>
      <c r="D60" s="128"/>
      <c r="E60" s="81">
        <v>120</v>
      </c>
      <c r="F60" s="128"/>
      <c r="G60" s="128"/>
      <c r="H60" s="128"/>
      <c r="I60" s="34"/>
      <c r="J60" s="34">
        <v>5</v>
      </c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28"/>
      <c r="AK60" s="28"/>
    </row>
    <row r="61" spans="1:37" ht="15.75" customHeight="1" x14ac:dyDescent="0.25">
      <c r="A61" s="44"/>
      <c r="B61" s="79" t="s">
        <v>162</v>
      </c>
      <c r="C61" s="80" t="s">
        <v>163</v>
      </c>
      <c r="D61" s="128"/>
      <c r="E61" s="81">
        <v>45</v>
      </c>
      <c r="F61" s="128"/>
      <c r="G61" s="128"/>
      <c r="H61" s="128"/>
      <c r="I61" s="34"/>
      <c r="J61" s="34">
        <v>5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28"/>
      <c r="AK61" s="28"/>
    </row>
    <row r="62" spans="1:37" ht="15.75" customHeight="1" x14ac:dyDescent="0.25">
      <c r="A62" s="44"/>
      <c r="B62" s="79" t="s">
        <v>164</v>
      </c>
      <c r="C62" s="80" t="s">
        <v>165</v>
      </c>
      <c r="D62" s="128"/>
      <c r="E62" s="81">
        <v>45</v>
      </c>
      <c r="F62" s="128"/>
      <c r="G62" s="128"/>
      <c r="H62" s="128"/>
      <c r="I62" s="34"/>
      <c r="J62" s="34">
        <v>5</v>
      </c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28"/>
      <c r="AK62" s="28"/>
    </row>
    <row r="63" spans="1:37" ht="13.5" customHeight="1" x14ac:dyDescent="0.25">
      <c r="A63" s="44"/>
      <c r="B63" s="79" t="s">
        <v>166</v>
      </c>
      <c r="C63" s="80" t="s">
        <v>167</v>
      </c>
      <c r="D63" s="129"/>
      <c r="E63" s="81">
        <v>30</v>
      </c>
      <c r="F63" s="129"/>
      <c r="G63" s="129"/>
      <c r="H63" s="129"/>
      <c r="I63" s="34"/>
      <c r="J63" s="34">
        <v>10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28"/>
      <c r="AK63" s="28"/>
    </row>
    <row r="64" spans="1:37" ht="13.5" customHeight="1" x14ac:dyDescent="0.25">
      <c r="A64" s="107"/>
      <c r="B64" s="79"/>
      <c r="C64" s="108"/>
      <c r="D64" s="37"/>
      <c r="E64" s="109"/>
      <c r="F64" s="37"/>
      <c r="G64" s="110"/>
      <c r="H64" s="110"/>
      <c r="I64" s="34"/>
      <c r="J64" s="34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28"/>
      <c r="AK64" s="28"/>
    </row>
    <row r="65" spans="1:37" ht="13.5" customHeight="1" x14ac:dyDescent="0.25">
      <c r="A65" s="82"/>
      <c r="B65" s="83"/>
      <c r="C65" s="84" t="s">
        <v>194</v>
      </c>
      <c r="D65" s="85"/>
      <c r="E65" s="58"/>
      <c r="F65" s="59"/>
      <c r="G65" s="60"/>
      <c r="H65" s="61"/>
      <c r="I65" s="62"/>
      <c r="J65" s="62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28"/>
      <c r="AK65" s="28"/>
    </row>
    <row r="66" spans="1:37" ht="13.5" customHeight="1" x14ac:dyDescent="0.25">
      <c r="A66" s="107"/>
      <c r="B66" s="79"/>
      <c r="C66" s="116" t="s">
        <v>195</v>
      </c>
      <c r="D66" s="130" t="s">
        <v>81</v>
      </c>
      <c r="E66" s="109">
        <v>720</v>
      </c>
      <c r="F66" s="141">
        <v>51840</v>
      </c>
      <c r="G66" s="121"/>
      <c r="H66" s="121"/>
      <c r="I66" s="34">
        <v>12</v>
      </c>
      <c r="J66" s="34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28"/>
      <c r="AK66" s="28"/>
    </row>
    <row r="67" spans="1:37" ht="13.5" customHeight="1" x14ac:dyDescent="0.25">
      <c r="A67" s="107"/>
      <c r="B67" s="79"/>
      <c r="C67" s="117" t="s">
        <v>196</v>
      </c>
      <c r="D67" s="128"/>
      <c r="E67" s="109">
        <v>720</v>
      </c>
      <c r="F67" s="142"/>
      <c r="G67" s="122"/>
      <c r="H67" s="122"/>
      <c r="I67" s="34">
        <v>12</v>
      </c>
      <c r="J67" s="34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28"/>
      <c r="AK67" s="28"/>
    </row>
    <row r="68" spans="1:37" ht="13.5" customHeight="1" x14ac:dyDescent="0.25">
      <c r="A68" s="107"/>
      <c r="B68" s="79"/>
      <c r="C68" s="118" t="s">
        <v>197</v>
      </c>
      <c r="D68" s="128"/>
      <c r="E68" s="109">
        <v>720</v>
      </c>
      <c r="F68" s="142"/>
      <c r="G68" s="122"/>
      <c r="H68" s="122"/>
      <c r="I68" s="34">
        <v>12</v>
      </c>
      <c r="J68" s="34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28"/>
      <c r="AK68" s="28"/>
    </row>
    <row r="69" spans="1:37" ht="13.5" customHeight="1" x14ac:dyDescent="0.25">
      <c r="A69" s="107"/>
      <c r="B69" s="79"/>
      <c r="C69" s="119" t="s">
        <v>198</v>
      </c>
      <c r="D69" s="128"/>
      <c r="E69" s="109">
        <v>720</v>
      </c>
      <c r="F69" s="142"/>
      <c r="G69" s="122"/>
      <c r="H69" s="122"/>
      <c r="I69" s="34">
        <v>12</v>
      </c>
      <c r="J69" s="34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28"/>
      <c r="AK69" s="28"/>
    </row>
    <row r="70" spans="1:37" ht="13.5" customHeight="1" x14ac:dyDescent="0.25">
      <c r="A70" s="107"/>
      <c r="B70" s="79"/>
      <c r="C70" s="120" t="s">
        <v>199</v>
      </c>
      <c r="D70" s="128"/>
      <c r="E70" s="109">
        <v>720</v>
      </c>
      <c r="F70" s="142"/>
      <c r="G70" s="122"/>
      <c r="H70" s="122"/>
      <c r="I70" s="34">
        <v>12</v>
      </c>
      <c r="J70" s="34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28"/>
      <c r="AK70" s="28"/>
    </row>
    <row r="71" spans="1:37" ht="13.5" customHeight="1" x14ac:dyDescent="0.25">
      <c r="A71" s="107"/>
      <c r="B71" s="79"/>
      <c r="C71" s="120" t="s">
        <v>200</v>
      </c>
      <c r="D71" s="128"/>
      <c r="E71" s="109">
        <v>720</v>
      </c>
      <c r="F71" s="142"/>
      <c r="G71" s="122"/>
      <c r="H71" s="122"/>
      <c r="I71" s="34">
        <v>12</v>
      </c>
      <c r="J71" s="34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28"/>
      <c r="AK71" s="28"/>
    </row>
    <row r="72" spans="1:37" ht="13.5" customHeight="1" x14ac:dyDescent="0.25">
      <c r="A72" s="107"/>
      <c r="B72" s="79"/>
      <c r="C72" s="120" t="s">
        <v>201</v>
      </c>
      <c r="D72" s="129"/>
      <c r="E72" s="109">
        <v>720</v>
      </c>
      <c r="F72" s="143"/>
      <c r="G72" s="123"/>
      <c r="H72" s="123"/>
      <c r="I72" s="34">
        <v>12</v>
      </c>
      <c r="J72" s="34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28"/>
      <c r="AK72" s="28"/>
    </row>
    <row r="73" spans="1:37" ht="13.5" customHeight="1" x14ac:dyDescent="0.25">
      <c r="A73" s="107"/>
      <c r="B73" s="79"/>
      <c r="C73" s="108"/>
      <c r="D73" s="37"/>
      <c r="E73" s="109"/>
      <c r="F73" s="37"/>
      <c r="G73" s="110"/>
      <c r="H73" s="110"/>
      <c r="I73" s="34"/>
      <c r="J73" s="34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28"/>
      <c r="AK73" s="28"/>
    </row>
    <row r="74" spans="1:37" ht="13.5" customHeight="1" x14ac:dyDescent="0.25">
      <c r="A74" s="82" t="s">
        <v>168</v>
      </c>
      <c r="B74" s="83"/>
      <c r="C74" s="84" t="s">
        <v>169</v>
      </c>
      <c r="D74" s="85"/>
      <c r="E74" s="58"/>
      <c r="F74" s="59"/>
      <c r="G74" s="60"/>
      <c r="H74" s="61"/>
      <c r="I74" s="62"/>
      <c r="J74" s="62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28"/>
      <c r="AK74" s="28"/>
    </row>
    <row r="75" spans="1:37" ht="13.5" customHeight="1" x14ac:dyDescent="0.25">
      <c r="A75" s="86"/>
      <c r="B75" s="41"/>
      <c r="C75" s="75" t="s">
        <v>170</v>
      </c>
      <c r="D75" s="30" t="s">
        <v>171</v>
      </c>
      <c r="E75" s="78">
        <v>16650</v>
      </c>
      <c r="F75" s="87">
        <v>33300</v>
      </c>
      <c r="G75" s="30" t="s">
        <v>82</v>
      </c>
      <c r="H75" s="47" t="s">
        <v>121</v>
      </c>
      <c r="I75" s="34">
        <v>2</v>
      </c>
      <c r="J75" s="34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28"/>
      <c r="AK75" s="28"/>
    </row>
    <row r="76" spans="1:37" ht="15.75" customHeight="1" x14ac:dyDescent="0.25">
      <c r="A76" s="88" t="s">
        <v>172</v>
      </c>
      <c r="B76" s="89"/>
      <c r="C76" s="89"/>
      <c r="D76" s="1"/>
      <c r="E76" s="6"/>
      <c r="F76" s="90">
        <f>SUM(F12:F75)</f>
        <v>1151305</v>
      </c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 x14ac:dyDescent="0.3">
      <c r="A77" s="91"/>
      <c r="B77" s="3"/>
      <c r="C77" s="3"/>
      <c r="D77" s="131"/>
      <c r="E77" s="125"/>
      <c r="F77" s="125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hidden="1" customHeight="1" x14ac:dyDescent="0.3">
      <c r="A78" s="92" t="s">
        <v>173</v>
      </c>
      <c r="B78" s="93"/>
      <c r="C78" s="93"/>
      <c r="D78" s="132">
        <f>PRODUCT(D77,0.1)</f>
        <v>0.1</v>
      </c>
      <c r="E78" s="133"/>
      <c r="F78" s="134"/>
      <c r="G78" s="8"/>
      <c r="H78" s="8"/>
      <c r="I78" s="135"/>
      <c r="J78" s="125"/>
      <c r="K78" s="13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94"/>
      <c r="AI78" s="1"/>
      <c r="AJ78" s="1"/>
      <c r="AK78" s="1"/>
    </row>
    <row r="79" spans="1:37" ht="15.75" hidden="1" customHeight="1" x14ac:dyDescent="0.3">
      <c r="A79" s="95" t="s">
        <v>174</v>
      </c>
      <c r="B79" s="96"/>
      <c r="C79" s="96"/>
      <c r="D79" s="137">
        <f>PRODUCT(D77,0.1)</f>
        <v>0.1</v>
      </c>
      <c r="E79" s="138"/>
      <c r="F79" s="139"/>
      <c r="G79" s="8"/>
      <c r="H79" s="8"/>
      <c r="I79" s="97"/>
      <c r="J79" s="97"/>
      <c r="K79" s="126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98"/>
      <c r="AI79" s="1"/>
      <c r="AJ79" s="1"/>
      <c r="AK79" s="1"/>
    </row>
    <row r="80" spans="1:37" ht="15.75" hidden="1" customHeight="1" x14ac:dyDescent="0.3">
      <c r="A80" s="95" t="s">
        <v>175</v>
      </c>
      <c r="B80" s="96"/>
      <c r="C80" s="96"/>
      <c r="D80" s="137">
        <f>SUM(D77:F79)</f>
        <v>0.2</v>
      </c>
      <c r="E80" s="138"/>
      <c r="F80" s="139"/>
      <c r="G80" s="8"/>
      <c r="H80" s="8"/>
      <c r="I80" s="97"/>
      <c r="J80" s="97"/>
      <c r="K80" s="126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98"/>
      <c r="AI80" s="1"/>
      <c r="AJ80" s="1"/>
      <c r="AK80" s="1"/>
    </row>
    <row r="81" spans="1:37" ht="15.75" customHeight="1" x14ac:dyDescent="0.25">
      <c r="A81" s="99"/>
      <c r="B81" s="3"/>
      <c r="C81" s="3"/>
      <c r="D81" s="1"/>
      <c r="E81" s="6"/>
      <c r="F81" s="7"/>
      <c r="G81" s="8"/>
      <c r="H81" s="8"/>
      <c r="I81" s="97"/>
      <c r="J81" s="97"/>
      <c r="K81" s="126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98"/>
      <c r="AI81" s="1"/>
      <c r="AJ81" s="1"/>
      <c r="AK81" s="1"/>
    </row>
    <row r="82" spans="1:37" ht="15.75" customHeight="1" x14ac:dyDescent="0.25">
      <c r="A82" s="100" t="s">
        <v>176</v>
      </c>
      <c r="B82" s="3"/>
      <c r="C82" s="3"/>
      <c r="D82" s="1"/>
      <c r="E82" s="6"/>
      <c r="F82" s="7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5">
      <c r="A83" s="10"/>
      <c r="B83" s="3"/>
      <c r="C83" s="3"/>
      <c r="D83" s="1"/>
      <c r="E83" s="101"/>
      <c r="F83" s="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25">
      <c r="A84" s="102" t="s">
        <v>177</v>
      </c>
      <c r="B84" s="103"/>
      <c r="C84" s="103"/>
      <c r="D84" s="104" t="s">
        <v>178</v>
      </c>
      <c r="E84" s="101"/>
      <c r="F84" s="7"/>
      <c r="G84" s="104" t="s">
        <v>179</v>
      </c>
      <c r="H84" s="1"/>
      <c r="I84" s="1"/>
      <c r="J84" s="104" t="s">
        <v>180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 x14ac:dyDescent="0.25">
      <c r="A85" s="102"/>
      <c r="B85" s="103"/>
      <c r="C85" s="103"/>
      <c r="D85" s="1"/>
      <c r="E85" s="101"/>
      <c r="F85" s="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 x14ac:dyDescent="0.25">
      <c r="A86" s="103"/>
      <c r="B86" s="103"/>
      <c r="C86" s="103"/>
      <c r="D86" s="1"/>
      <c r="E86" s="101"/>
      <c r="F86" s="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25">
      <c r="A87" s="140" t="s">
        <v>181</v>
      </c>
      <c r="B87" s="125"/>
      <c r="C87" s="125"/>
      <c r="D87" s="104" t="s">
        <v>182</v>
      </c>
      <c r="E87" s="101"/>
      <c r="F87" s="7"/>
      <c r="G87" s="104" t="s">
        <v>183</v>
      </c>
      <c r="H87" s="1"/>
      <c r="I87" s="1"/>
      <c r="J87" s="104" t="s">
        <v>184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" customHeight="1" x14ac:dyDescent="0.25">
      <c r="A88" s="124" t="s">
        <v>185</v>
      </c>
      <c r="B88" s="125"/>
      <c r="C88" s="125"/>
      <c r="D88" s="1" t="s">
        <v>186</v>
      </c>
      <c r="E88" s="101"/>
      <c r="F88" s="7"/>
      <c r="G88" s="1" t="s">
        <v>187</v>
      </c>
      <c r="H88" s="1"/>
      <c r="I88" s="1"/>
      <c r="J88" s="1" t="s">
        <v>188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5">
      <c r="A89" s="105"/>
      <c r="B89" s="105"/>
      <c r="C89" s="105"/>
      <c r="D89" s="1"/>
      <c r="E89" s="101"/>
      <c r="F89" s="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5">
      <c r="A90" s="105" t="s">
        <v>189</v>
      </c>
      <c r="B90" s="105"/>
      <c r="C90" s="105"/>
      <c r="D90" s="1" t="s">
        <v>190</v>
      </c>
      <c r="E90" s="101"/>
      <c r="F90" s="7"/>
      <c r="G90" s="1" t="s">
        <v>190</v>
      </c>
      <c r="H90" s="1"/>
      <c r="I90" s="1"/>
      <c r="J90" s="1" t="s">
        <v>190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5">
      <c r="D91" s="1"/>
      <c r="E91" s="101"/>
      <c r="F91" s="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5">
      <c r="D92" s="1"/>
      <c r="E92" s="101"/>
      <c r="F92" s="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5">
      <c r="D93" s="1"/>
      <c r="E93" s="101"/>
      <c r="F93" s="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5">
      <c r="D94" s="1"/>
      <c r="E94" s="101"/>
      <c r="F94" s="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5">
      <c r="D95" s="1"/>
      <c r="E95" s="6"/>
      <c r="F95" s="7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5">
      <c r="D96" s="1"/>
      <c r="E96" s="6"/>
      <c r="F96" s="7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4:37" ht="15.75" customHeight="1" x14ac:dyDescent="0.25">
      <c r="D97" s="1"/>
      <c r="E97" s="6"/>
      <c r="F97" s="7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4:37" ht="15.75" customHeight="1" x14ac:dyDescent="0.3">
      <c r="E98" s="106"/>
    </row>
    <row r="99" spans="4:37" ht="15.75" customHeight="1" x14ac:dyDescent="0.3">
      <c r="E99" s="106"/>
    </row>
    <row r="100" spans="4:37" ht="15.75" customHeight="1" x14ac:dyDescent="0.3">
      <c r="E100" s="106"/>
    </row>
    <row r="101" spans="4:37" ht="15.75" customHeight="1" x14ac:dyDescent="0.3">
      <c r="E101" s="106"/>
    </row>
    <row r="102" spans="4:37" ht="15.75" customHeight="1" x14ac:dyDescent="0.3">
      <c r="E102" s="106"/>
    </row>
    <row r="103" spans="4:37" ht="15.75" customHeight="1" x14ac:dyDescent="0.3">
      <c r="E103" s="106"/>
    </row>
    <row r="104" spans="4:37" ht="15.75" customHeight="1" x14ac:dyDescent="0.3">
      <c r="E104" s="106"/>
    </row>
    <row r="105" spans="4:37" ht="15.75" customHeight="1" x14ac:dyDescent="0.3">
      <c r="E105" s="106"/>
    </row>
    <row r="106" spans="4:37" ht="15.75" customHeight="1" x14ac:dyDescent="0.3">
      <c r="E106" s="106"/>
    </row>
    <row r="107" spans="4:37" ht="15.75" customHeight="1" x14ac:dyDescent="0.3">
      <c r="E107" s="106"/>
    </row>
    <row r="108" spans="4:37" ht="15.75" customHeight="1" x14ac:dyDescent="0.3">
      <c r="E108" s="106"/>
    </row>
    <row r="109" spans="4:37" ht="15.75" customHeight="1" x14ac:dyDescent="0.3">
      <c r="E109" s="106"/>
    </row>
    <row r="110" spans="4:37" ht="15.75" customHeight="1" x14ac:dyDescent="0.3">
      <c r="E110" s="106"/>
    </row>
    <row r="111" spans="4:37" ht="15.75" customHeight="1" x14ac:dyDescent="0.3">
      <c r="E111" s="106"/>
    </row>
    <row r="112" spans="4:37" ht="15.75" customHeight="1" x14ac:dyDescent="0.3">
      <c r="E112" s="106"/>
    </row>
    <row r="113" spans="5:5" ht="15.75" customHeight="1" x14ac:dyDescent="0.3">
      <c r="E113" s="106"/>
    </row>
    <row r="114" spans="5:5" ht="15.75" customHeight="1" x14ac:dyDescent="0.3">
      <c r="E114" s="106"/>
    </row>
    <row r="115" spans="5:5" ht="15.75" customHeight="1" x14ac:dyDescent="0.3">
      <c r="E115" s="106"/>
    </row>
    <row r="116" spans="5:5" ht="15.75" customHeight="1" x14ac:dyDescent="0.3">
      <c r="E116" s="106"/>
    </row>
    <row r="117" spans="5:5" ht="15.75" customHeight="1" x14ac:dyDescent="0.3">
      <c r="E117" s="106"/>
    </row>
    <row r="118" spans="5:5" ht="15.75" customHeight="1" x14ac:dyDescent="0.3">
      <c r="E118" s="106"/>
    </row>
    <row r="119" spans="5:5" ht="15.75" customHeight="1" x14ac:dyDescent="0.3">
      <c r="E119" s="106"/>
    </row>
    <row r="120" spans="5:5" ht="15.75" customHeight="1" x14ac:dyDescent="0.3">
      <c r="E120" s="106"/>
    </row>
    <row r="121" spans="5:5" ht="15.75" customHeight="1" x14ac:dyDescent="0.3">
      <c r="E121" s="106"/>
    </row>
    <row r="122" spans="5:5" ht="15.75" customHeight="1" x14ac:dyDescent="0.3">
      <c r="E122" s="106"/>
    </row>
    <row r="123" spans="5:5" ht="15.75" customHeight="1" x14ac:dyDescent="0.3">
      <c r="E123" s="106"/>
    </row>
    <row r="124" spans="5:5" ht="15.75" customHeight="1" x14ac:dyDescent="0.3">
      <c r="E124" s="106"/>
    </row>
    <row r="125" spans="5:5" ht="15.75" customHeight="1" x14ac:dyDescent="0.3">
      <c r="E125" s="106"/>
    </row>
    <row r="126" spans="5:5" ht="15.75" customHeight="1" x14ac:dyDescent="0.3">
      <c r="E126" s="106"/>
    </row>
    <row r="127" spans="5:5" ht="15.75" customHeight="1" x14ac:dyDescent="0.3">
      <c r="E127" s="106"/>
    </row>
    <row r="128" spans="5:5" ht="15.75" customHeight="1" x14ac:dyDescent="0.3">
      <c r="E128" s="106"/>
    </row>
    <row r="129" spans="5:5" ht="15.75" customHeight="1" x14ac:dyDescent="0.3">
      <c r="E129" s="106"/>
    </row>
    <row r="130" spans="5:5" ht="15.75" customHeight="1" x14ac:dyDescent="0.3">
      <c r="E130" s="106"/>
    </row>
    <row r="131" spans="5:5" ht="15.75" customHeight="1" x14ac:dyDescent="0.3">
      <c r="E131" s="106"/>
    </row>
    <row r="132" spans="5:5" ht="15.75" customHeight="1" x14ac:dyDescent="0.3">
      <c r="E132" s="106"/>
    </row>
    <row r="133" spans="5:5" ht="15.75" customHeight="1" x14ac:dyDescent="0.3">
      <c r="E133" s="106"/>
    </row>
    <row r="134" spans="5:5" ht="15.75" customHeight="1" x14ac:dyDescent="0.3">
      <c r="E134" s="106"/>
    </row>
    <row r="135" spans="5:5" ht="15.75" customHeight="1" x14ac:dyDescent="0.3">
      <c r="E135" s="106"/>
    </row>
    <row r="136" spans="5:5" ht="15.75" customHeight="1" x14ac:dyDescent="0.3">
      <c r="E136" s="106"/>
    </row>
    <row r="137" spans="5:5" ht="15.75" customHeight="1" x14ac:dyDescent="0.3">
      <c r="E137" s="106"/>
    </row>
    <row r="138" spans="5:5" ht="15.75" customHeight="1" x14ac:dyDescent="0.3">
      <c r="E138" s="106"/>
    </row>
    <row r="139" spans="5:5" ht="15.75" customHeight="1" x14ac:dyDescent="0.3">
      <c r="E139" s="106"/>
    </row>
    <row r="140" spans="5:5" ht="15.75" customHeight="1" x14ac:dyDescent="0.3">
      <c r="E140" s="106"/>
    </row>
    <row r="141" spans="5:5" ht="15.75" customHeight="1" x14ac:dyDescent="0.3">
      <c r="E141" s="106"/>
    </row>
    <row r="142" spans="5:5" ht="15.75" customHeight="1" x14ac:dyDescent="0.3">
      <c r="E142" s="106"/>
    </row>
    <row r="143" spans="5:5" ht="15.75" customHeight="1" x14ac:dyDescent="0.3">
      <c r="E143" s="106"/>
    </row>
    <row r="144" spans="5:5" ht="15.75" customHeight="1" x14ac:dyDescent="0.3">
      <c r="E144" s="106"/>
    </row>
    <row r="145" spans="5:5" ht="15.75" customHeight="1" x14ac:dyDescent="0.3">
      <c r="E145" s="106"/>
    </row>
    <row r="146" spans="5:5" ht="15.75" customHeight="1" x14ac:dyDescent="0.3">
      <c r="E146" s="106"/>
    </row>
    <row r="147" spans="5:5" ht="15.75" customHeight="1" x14ac:dyDescent="0.3">
      <c r="E147" s="106"/>
    </row>
    <row r="148" spans="5:5" ht="15.75" customHeight="1" x14ac:dyDescent="0.3">
      <c r="E148" s="106"/>
    </row>
    <row r="149" spans="5:5" ht="15.75" customHeight="1" x14ac:dyDescent="0.3">
      <c r="E149" s="106"/>
    </row>
    <row r="150" spans="5:5" ht="15.75" customHeight="1" x14ac:dyDescent="0.3">
      <c r="E150" s="106"/>
    </row>
    <row r="151" spans="5:5" ht="15.75" customHeight="1" x14ac:dyDescent="0.3">
      <c r="E151" s="106"/>
    </row>
    <row r="152" spans="5:5" ht="15.75" customHeight="1" x14ac:dyDescent="0.3">
      <c r="E152" s="106"/>
    </row>
    <row r="153" spans="5:5" ht="15.75" customHeight="1" x14ac:dyDescent="0.3">
      <c r="E153" s="106"/>
    </row>
    <row r="154" spans="5:5" ht="15.75" customHeight="1" x14ac:dyDescent="0.3">
      <c r="E154" s="106"/>
    </row>
    <row r="155" spans="5:5" ht="15.75" customHeight="1" x14ac:dyDescent="0.3">
      <c r="E155" s="106"/>
    </row>
    <row r="156" spans="5:5" ht="15.75" customHeight="1" x14ac:dyDescent="0.3">
      <c r="E156" s="106"/>
    </row>
    <row r="157" spans="5:5" ht="15.75" customHeight="1" x14ac:dyDescent="0.3">
      <c r="E157" s="106"/>
    </row>
    <row r="158" spans="5:5" ht="15.75" customHeight="1" x14ac:dyDescent="0.3">
      <c r="E158" s="106"/>
    </row>
    <row r="159" spans="5:5" ht="15.75" customHeight="1" x14ac:dyDescent="0.3">
      <c r="E159" s="106"/>
    </row>
    <row r="160" spans="5:5" ht="15.75" customHeight="1" x14ac:dyDescent="0.3">
      <c r="E160" s="106"/>
    </row>
    <row r="161" spans="5:5" ht="15.75" customHeight="1" x14ac:dyDescent="0.3">
      <c r="E161" s="106"/>
    </row>
    <row r="162" spans="5:5" ht="15.75" customHeight="1" x14ac:dyDescent="0.3">
      <c r="E162" s="106"/>
    </row>
    <row r="163" spans="5:5" ht="15.75" customHeight="1" x14ac:dyDescent="0.3">
      <c r="E163" s="106"/>
    </row>
    <row r="164" spans="5:5" ht="15.75" customHeight="1" x14ac:dyDescent="0.3">
      <c r="E164" s="106"/>
    </row>
    <row r="165" spans="5:5" ht="15.75" customHeight="1" x14ac:dyDescent="0.3">
      <c r="E165" s="106"/>
    </row>
    <row r="166" spans="5:5" ht="15.75" customHeight="1" x14ac:dyDescent="0.3">
      <c r="E166" s="106"/>
    </row>
    <row r="167" spans="5:5" ht="15.75" customHeight="1" x14ac:dyDescent="0.3">
      <c r="E167" s="106"/>
    </row>
    <row r="168" spans="5:5" ht="15.75" customHeight="1" x14ac:dyDescent="0.3">
      <c r="E168" s="106"/>
    </row>
    <row r="169" spans="5:5" ht="15.75" customHeight="1" x14ac:dyDescent="0.3">
      <c r="E169" s="106"/>
    </row>
    <row r="170" spans="5:5" ht="15.75" customHeight="1" x14ac:dyDescent="0.3">
      <c r="E170" s="106"/>
    </row>
    <row r="171" spans="5:5" ht="15.75" customHeight="1" x14ac:dyDescent="0.3">
      <c r="E171" s="106"/>
    </row>
    <row r="172" spans="5:5" ht="15.75" customHeight="1" x14ac:dyDescent="0.3">
      <c r="E172" s="106"/>
    </row>
    <row r="173" spans="5:5" ht="15.75" customHeight="1" x14ac:dyDescent="0.3">
      <c r="E173" s="106"/>
    </row>
    <row r="174" spans="5:5" ht="15.75" customHeight="1" x14ac:dyDescent="0.3">
      <c r="E174" s="106"/>
    </row>
    <row r="175" spans="5:5" ht="15.75" customHeight="1" x14ac:dyDescent="0.3">
      <c r="E175" s="106"/>
    </row>
    <row r="176" spans="5:5" ht="15.75" customHeight="1" x14ac:dyDescent="0.3">
      <c r="E176" s="106"/>
    </row>
    <row r="177" spans="5:5" ht="15.75" customHeight="1" x14ac:dyDescent="0.3">
      <c r="E177" s="106"/>
    </row>
    <row r="178" spans="5:5" ht="15.75" customHeight="1" x14ac:dyDescent="0.3">
      <c r="E178" s="106"/>
    </row>
    <row r="179" spans="5:5" ht="15.75" customHeight="1" x14ac:dyDescent="0.3">
      <c r="E179" s="106"/>
    </row>
    <row r="180" spans="5:5" ht="15.75" customHeight="1" x14ac:dyDescent="0.3">
      <c r="E180" s="106"/>
    </row>
    <row r="181" spans="5:5" ht="15.75" customHeight="1" x14ac:dyDescent="0.3">
      <c r="E181" s="106"/>
    </row>
    <row r="182" spans="5:5" ht="15.75" customHeight="1" x14ac:dyDescent="0.3">
      <c r="E182" s="106"/>
    </row>
    <row r="183" spans="5:5" ht="15.75" customHeight="1" x14ac:dyDescent="0.3">
      <c r="E183" s="106"/>
    </row>
    <row r="184" spans="5:5" ht="15.75" customHeight="1" x14ac:dyDescent="0.3">
      <c r="E184" s="106"/>
    </row>
    <row r="185" spans="5:5" ht="15.75" customHeight="1" x14ac:dyDescent="0.3">
      <c r="E185" s="106"/>
    </row>
    <row r="186" spans="5:5" ht="15.75" customHeight="1" x14ac:dyDescent="0.3">
      <c r="E186" s="106"/>
    </row>
    <row r="187" spans="5:5" ht="15.75" customHeight="1" x14ac:dyDescent="0.3">
      <c r="E187" s="106"/>
    </row>
    <row r="188" spans="5:5" ht="15.75" customHeight="1" x14ac:dyDescent="0.3">
      <c r="E188" s="106"/>
    </row>
    <row r="189" spans="5:5" ht="15.75" customHeight="1" x14ac:dyDescent="0.3">
      <c r="E189" s="106"/>
    </row>
    <row r="190" spans="5:5" ht="15.75" customHeight="1" x14ac:dyDescent="0.3">
      <c r="E190" s="106"/>
    </row>
    <row r="191" spans="5:5" ht="15.75" customHeight="1" x14ac:dyDescent="0.3">
      <c r="E191" s="106"/>
    </row>
    <row r="192" spans="5:5" ht="15.75" customHeight="1" x14ac:dyDescent="0.3">
      <c r="E192" s="106"/>
    </row>
    <row r="193" spans="5:5" ht="15.75" customHeight="1" x14ac:dyDescent="0.3">
      <c r="E193" s="106"/>
    </row>
    <row r="194" spans="5:5" ht="15.75" customHeight="1" x14ac:dyDescent="0.3">
      <c r="E194" s="106"/>
    </row>
    <row r="195" spans="5:5" ht="15.75" customHeight="1" x14ac:dyDescent="0.3">
      <c r="E195" s="106"/>
    </row>
    <row r="196" spans="5:5" ht="15.75" customHeight="1" x14ac:dyDescent="0.3">
      <c r="E196" s="106"/>
    </row>
    <row r="197" spans="5:5" ht="15.75" customHeight="1" x14ac:dyDescent="0.3">
      <c r="E197" s="106"/>
    </row>
    <row r="198" spans="5:5" ht="15.75" customHeight="1" x14ac:dyDescent="0.3">
      <c r="E198" s="106"/>
    </row>
    <row r="199" spans="5:5" ht="15.75" customHeight="1" x14ac:dyDescent="0.3">
      <c r="E199" s="106"/>
    </row>
    <row r="200" spans="5:5" ht="15.75" customHeight="1" x14ac:dyDescent="0.3">
      <c r="E200" s="106"/>
    </row>
    <row r="201" spans="5:5" ht="15.75" customHeight="1" x14ac:dyDescent="0.3">
      <c r="E201" s="106"/>
    </row>
    <row r="202" spans="5:5" ht="15.75" customHeight="1" x14ac:dyDescent="0.3">
      <c r="E202" s="106"/>
    </row>
    <row r="203" spans="5:5" ht="15.75" customHeight="1" x14ac:dyDescent="0.3">
      <c r="E203" s="106"/>
    </row>
    <row r="204" spans="5:5" ht="15.75" customHeight="1" x14ac:dyDescent="0.3">
      <c r="E204" s="106"/>
    </row>
    <row r="205" spans="5:5" ht="15.75" customHeight="1" x14ac:dyDescent="0.3">
      <c r="E205" s="106"/>
    </row>
    <row r="206" spans="5:5" ht="15.75" customHeight="1" x14ac:dyDescent="0.3">
      <c r="E206" s="106"/>
    </row>
    <row r="207" spans="5:5" ht="15.75" customHeight="1" x14ac:dyDescent="0.3">
      <c r="E207" s="106"/>
    </row>
    <row r="208" spans="5:5" ht="15.75" customHeight="1" x14ac:dyDescent="0.3">
      <c r="E208" s="106"/>
    </row>
    <row r="209" spans="5:5" ht="15.75" customHeight="1" x14ac:dyDescent="0.3">
      <c r="E209" s="106"/>
    </row>
    <row r="210" spans="5:5" ht="15.75" customHeight="1" x14ac:dyDescent="0.3">
      <c r="E210" s="106"/>
    </row>
    <row r="211" spans="5:5" ht="15.75" customHeight="1" x14ac:dyDescent="0.3">
      <c r="E211" s="106"/>
    </row>
    <row r="212" spans="5:5" ht="15.75" customHeight="1" x14ac:dyDescent="0.3">
      <c r="E212" s="106"/>
    </row>
    <row r="213" spans="5:5" ht="15.75" customHeight="1" x14ac:dyDescent="0.3">
      <c r="E213" s="106"/>
    </row>
    <row r="214" spans="5:5" ht="15.75" customHeight="1" x14ac:dyDescent="0.3">
      <c r="E214" s="106"/>
    </row>
    <row r="215" spans="5:5" ht="15.75" customHeight="1" x14ac:dyDescent="0.3">
      <c r="E215" s="106"/>
    </row>
    <row r="216" spans="5:5" ht="15.75" customHeight="1" x14ac:dyDescent="0.3">
      <c r="E216" s="106"/>
    </row>
    <row r="217" spans="5:5" ht="15.75" customHeight="1" x14ac:dyDescent="0.3">
      <c r="E217" s="106"/>
    </row>
    <row r="218" spans="5:5" ht="15.75" customHeight="1" x14ac:dyDescent="0.3">
      <c r="E218" s="106"/>
    </row>
    <row r="219" spans="5:5" ht="15.75" customHeight="1" x14ac:dyDescent="0.3">
      <c r="E219" s="106"/>
    </row>
    <row r="220" spans="5:5" ht="15.75" customHeight="1" x14ac:dyDescent="0.3">
      <c r="E220" s="106"/>
    </row>
    <row r="221" spans="5:5" ht="15.75" customHeight="1" x14ac:dyDescent="0.3">
      <c r="E221" s="106"/>
    </row>
    <row r="222" spans="5:5" ht="15.75" customHeight="1" x14ac:dyDescent="0.3">
      <c r="E222" s="106"/>
    </row>
    <row r="223" spans="5:5" ht="15.75" customHeight="1" x14ac:dyDescent="0.3">
      <c r="E223" s="106"/>
    </row>
    <row r="224" spans="5:5" ht="15.75" customHeight="1" x14ac:dyDescent="0.3">
      <c r="E224" s="106"/>
    </row>
    <row r="225" spans="5:5" ht="15.75" customHeight="1" x14ac:dyDescent="0.3">
      <c r="E225" s="106"/>
    </row>
    <row r="226" spans="5:5" ht="15.75" customHeight="1" x14ac:dyDescent="0.3">
      <c r="E226" s="106"/>
    </row>
    <row r="227" spans="5:5" ht="15.75" customHeight="1" x14ac:dyDescent="0.3">
      <c r="E227" s="106"/>
    </row>
    <row r="228" spans="5:5" ht="15.75" customHeight="1" x14ac:dyDescent="0.3">
      <c r="E228" s="106"/>
    </row>
    <row r="229" spans="5:5" ht="15.75" customHeight="1" x14ac:dyDescent="0.3">
      <c r="E229" s="106"/>
    </row>
    <row r="230" spans="5:5" ht="15.75" customHeight="1" x14ac:dyDescent="0.3">
      <c r="E230" s="106"/>
    </row>
    <row r="231" spans="5:5" ht="15.75" customHeight="1" x14ac:dyDescent="0.3">
      <c r="E231" s="106"/>
    </row>
    <row r="232" spans="5:5" ht="15.75" customHeight="1" x14ac:dyDescent="0.3">
      <c r="E232" s="106"/>
    </row>
    <row r="233" spans="5:5" ht="15.75" customHeight="1" x14ac:dyDescent="0.3">
      <c r="E233" s="106"/>
    </row>
    <row r="234" spans="5:5" ht="15.75" customHeight="1" x14ac:dyDescent="0.3">
      <c r="E234" s="106"/>
    </row>
    <row r="235" spans="5:5" ht="15.75" customHeight="1" x14ac:dyDescent="0.3">
      <c r="E235" s="106"/>
    </row>
    <row r="236" spans="5:5" ht="15.75" customHeight="1" x14ac:dyDescent="0.3">
      <c r="E236" s="106"/>
    </row>
    <row r="237" spans="5:5" ht="15.75" customHeight="1" x14ac:dyDescent="0.3">
      <c r="E237" s="106"/>
    </row>
    <row r="238" spans="5:5" ht="15.75" customHeight="1" x14ac:dyDescent="0.3">
      <c r="E238" s="106"/>
    </row>
    <row r="239" spans="5:5" ht="15.75" customHeight="1" x14ac:dyDescent="0.3">
      <c r="E239" s="106"/>
    </row>
    <row r="240" spans="5:5" ht="15.75" customHeight="1" x14ac:dyDescent="0.3">
      <c r="E240" s="106"/>
    </row>
    <row r="241" spans="5:5" ht="15.75" customHeight="1" x14ac:dyDescent="0.3">
      <c r="E241" s="106"/>
    </row>
    <row r="242" spans="5:5" ht="15.75" customHeight="1" x14ac:dyDescent="0.3">
      <c r="E242" s="106"/>
    </row>
    <row r="243" spans="5:5" ht="15.75" customHeight="1" x14ac:dyDescent="0.3">
      <c r="E243" s="106"/>
    </row>
    <row r="244" spans="5:5" ht="15.75" customHeight="1" x14ac:dyDescent="0.3">
      <c r="E244" s="106"/>
    </row>
    <row r="245" spans="5:5" ht="15.75" customHeight="1" x14ac:dyDescent="0.3">
      <c r="E245" s="106"/>
    </row>
    <row r="246" spans="5:5" ht="15.75" customHeight="1" x14ac:dyDescent="0.3">
      <c r="E246" s="106"/>
    </row>
    <row r="247" spans="5:5" ht="15.75" customHeight="1" x14ac:dyDescent="0.3">
      <c r="E247" s="106"/>
    </row>
    <row r="248" spans="5:5" ht="15.75" customHeight="1" x14ac:dyDescent="0.3">
      <c r="E248" s="106"/>
    </row>
    <row r="249" spans="5:5" ht="15.75" customHeight="1" x14ac:dyDescent="0.3">
      <c r="E249" s="106"/>
    </row>
    <row r="250" spans="5:5" ht="15.75" customHeight="1" x14ac:dyDescent="0.3">
      <c r="E250" s="106"/>
    </row>
    <row r="251" spans="5:5" ht="15.75" customHeight="1" x14ac:dyDescent="0.3">
      <c r="E251" s="106"/>
    </row>
    <row r="252" spans="5:5" ht="15.75" customHeight="1" x14ac:dyDescent="0.3">
      <c r="E252" s="106"/>
    </row>
    <row r="253" spans="5:5" ht="15.75" customHeight="1" x14ac:dyDescent="0.3">
      <c r="E253" s="106"/>
    </row>
    <row r="254" spans="5:5" ht="15.75" customHeight="1" x14ac:dyDescent="0.3">
      <c r="E254" s="106"/>
    </row>
    <row r="255" spans="5:5" ht="15.75" customHeight="1" x14ac:dyDescent="0.3">
      <c r="E255" s="106"/>
    </row>
    <row r="256" spans="5:5" ht="15.75" customHeight="1" x14ac:dyDescent="0.3">
      <c r="E256" s="106"/>
    </row>
    <row r="257" spans="5:5" ht="15.75" customHeight="1" x14ac:dyDescent="0.3">
      <c r="E257" s="106"/>
    </row>
    <row r="258" spans="5:5" ht="15.75" customHeight="1" x14ac:dyDescent="0.3">
      <c r="E258" s="106"/>
    </row>
    <row r="259" spans="5:5" ht="15.75" customHeight="1" x14ac:dyDescent="0.3">
      <c r="E259" s="106"/>
    </row>
    <row r="260" spans="5:5" ht="15.75" customHeight="1" x14ac:dyDescent="0.3">
      <c r="E260" s="106"/>
    </row>
    <row r="261" spans="5:5" ht="15.75" customHeight="1" x14ac:dyDescent="0.3">
      <c r="E261" s="106"/>
    </row>
    <row r="262" spans="5:5" ht="15.75" customHeight="1" x14ac:dyDescent="0.3">
      <c r="E262" s="106"/>
    </row>
    <row r="263" spans="5:5" ht="15.75" customHeight="1" x14ac:dyDescent="0.3">
      <c r="E263" s="106"/>
    </row>
    <row r="264" spans="5:5" ht="15.75" customHeight="1" x14ac:dyDescent="0.3">
      <c r="E264" s="106"/>
    </row>
    <row r="265" spans="5:5" ht="15.75" customHeight="1" x14ac:dyDescent="0.3">
      <c r="E265" s="106"/>
    </row>
    <row r="266" spans="5:5" ht="15.75" customHeight="1" x14ac:dyDescent="0.3">
      <c r="E266" s="106"/>
    </row>
    <row r="267" spans="5:5" ht="15.75" customHeight="1" x14ac:dyDescent="0.3">
      <c r="E267" s="106"/>
    </row>
    <row r="268" spans="5:5" ht="15.75" customHeight="1" x14ac:dyDescent="0.3">
      <c r="E268" s="106"/>
    </row>
    <row r="269" spans="5:5" ht="15.75" customHeight="1" x14ac:dyDescent="0.3">
      <c r="E269" s="106"/>
    </row>
    <row r="270" spans="5:5" ht="15.75" customHeight="1" x14ac:dyDescent="0.3">
      <c r="E270" s="106"/>
    </row>
    <row r="271" spans="5:5" ht="15.75" customHeight="1" x14ac:dyDescent="0.3">
      <c r="E271" s="106"/>
    </row>
    <row r="272" spans="5:5" ht="15.75" customHeight="1" x14ac:dyDescent="0.3">
      <c r="E272" s="106"/>
    </row>
    <row r="273" spans="5:5" ht="15.75" customHeight="1" x14ac:dyDescent="0.3">
      <c r="E273" s="106"/>
    </row>
    <row r="274" spans="5:5" ht="15.75" customHeight="1" x14ac:dyDescent="0.3">
      <c r="E274" s="106"/>
    </row>
    <row r="275" spans="5:5" ht="15.75" customHeight="1" x14ac:dyDescent="0.3">
      <c r="E275" s="106"/>
    </row>
    <row r="276" spans="5:5" ht="15.75" customHeight="1" x14ac:dyDescent="0.3">
      <c r="E276" s="106"/>
    </row>
    <row r="277" spans="5:5" ht="15.75" customHeight="1" x14ac:dyDescent="0.3">
      <c r="E277" s="106"/>
    </row>
    <row r="278" spans="5:5" ht="15.75" customHeight="1" x14ac:dyDescent="0.3">
      <c r="E278" s="106"/>
    </row>
    <row r="279" spans="5:5" ht="15.75" customHeight="1" x14ac:dyDescent="0.3">
      <c r="E279" s="106"/>
    </row>
    <row r="280" spans="5:5" ht="15.75" customHeight="1" x14ac:dyDescent="0.3">
      <c r="E280" s="106"/>
    </row>
    <row r="281" spans="5:5" ht="15.75" customHeight="1" x14ac:dyDescent="0.3">
      <c r="E281" s="106"/>
    </row>
    <row r="282" spans="5:5" ht="15.75" customHeight="1" x14ac:dyDescent="0.3">
      <c r="E282" s="106"/>
    </row>
    <row r="283" spans="5:5" ht="15.75" customHeight="1" x14ac:dyDescent="0.3">
      <c r="E283" s="106"/>
    </row>
    <row r="284" spans="5:5" ht="15.75" customHeight="1" x14ac:dyDescent="0.3">
      <c r="E284" s="106"/>
    </row>
    <row r="285" spans="5:5" ht="15.75" customHeight="1" x14ac:dyDescent="0.3">
      <c r="E285" s="106"/>
    </row>
    <row r="286" spans="5:5" ht="15.75" customHeight="1" x14ac:dyDescent="0.3">
      <c r="E286" s="106"/>
    </row>
    <row r="287" spans="5:5" ht="15.75" customHeight="1" x14ac:dyDescent="0.3">
      <c r="E287" s="106"/>
    </row>
    <row r="288" spans="5:5" ht="15.75" customHeight="1" x14ac:dyDescent="0.3">
      <c r="E288" s="106"/>
    </row>
    <row r="289" spans="5:5" ht="15.75" customHeight="1" x14ac:dyDescent="0.3">
      <c r="E289" s="106"/>
    </row>
    <row r="290" spans="5:5" ht="15.75" customHeight="1" x14ac:dyDescent="0.3">
      <c r="E290" s="106"/>
    </row>
    <row r="291" spans="5:5" ht="15.75" customHeight="1" x14ac:dyDescent="0.25"/>
    <row r="292" spans="5:5" ht="15.75" customHeight="1" x14ac:dyDescent="0.25"/>
    <row r="293" spans="5:5" ht="15.75" customHeight="1" x14ac:dyDescent="0.25"/>
    <row r="294" spans="5:5" ht="15.75" customHeight="1" x14ac:dyDescent="0.25"/>
    <row r="295" spans="5:5" ht="15.75" customHeight="1" x14ac:dyDescent="0.25"/>
    <row r="296" spans="5:5" ht="15.75" customHeight="1" x14ac:dyDescent="0.25"/>
    <row r="297" spans="5:5" ht="15.75" customHeight="1" x14ac:dyDescent="0.25"/>
    <row r="298" spans="5:5" ht="15.75" customHeight="1" x14ac:dyDescent="0.25"/>
    <row r="299" spans="5:5" ht="15.75" customHeight="1" x14ac:dyDescent="0.25"/>
    <row r="300" spans="5:5" ht="15.75" customHeight="1" x14ac:dyDescent="0.25"/>
    <row r="301" spans="5:5" ht="15.75" customHeight="1" x14ac:dyDescent="0.25"/>
    <row r="302" spans="5:5" ht="15.75" customHeight="1" x14ac:dyDescent="0.25"/>
    <row r="303" spans="5:5" ht="15.75" customHeight="1" x14ac:dyDescent="0.25"/>
    <row r="304" spans="5:5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50">
    <mergeCell ref="G45:G46"/>
    <mergeCell ref="D48:D53"/>
    <mergeCell ref="G48:G53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A87:C87"/>
    <mergeCell ref="D66:D72"/>
    <mergeCell ref="F66:F72"/>
    <mergeCell ref="G66:G72"/>
    <mergeCell ref="H8:H9"/>
    <mergeCell ref="G55:G56"/>
    <mergeCell ref="D12:D32"/>
    <mergeCell ref="F12:F32"/>
    <mergeCell ref="G12:G32"/>
    <mergeCell ref="F33:F36"/>
    <mergeCell ref="G33:G36"/>
    <mergeCell ref="F48:F53"/>
    <mergeCell ref="F55:F56"/>
    <mergeCell ref="D33:D36"/>
    <mergeCell ref="D45:D46"/>
    <mergeCell ref="F45:F46"/>
    <mergeCell ref="K79:AG79"/>
    <mergeCell ref="F57:F63"/>
    <mergeCell ref="G57:G63"/>
    <mergeCell ref="D79:F79"/>
    <mergeCell ref="D80:F80"/>
    <mergeCell ref="H66:H72"/>
    <mergeCell ref="A88:C88"/>
    <mergeCell ref="K80:AG80"/>
    <mergeCell ref="K81:AG81"/>
    <mergeCell ref="H12:H32"/>
    <mergeCell ref="H33:H36"/>
    <mergeCell ref="H45:H46"/>
    <mergeCell ref="H48:H53"/>
    <mergeCell ref="H55:H56"/>
    <mergeCell ref="H57:H63"/>
    <mergeCell ref="D55:D56"/>
    <mergeCell ref="D57:D63"/>
    <mergeCell ref="D77:F77"/>
    <mergeCell ref="D78:F78"/>
    <mergeCell ref="I78:J78"/>
    <mergeCell ref="K78:AG78"/>
  </mergeCells>
  <pageMargins left="0.7" right="0.48936170212765956" top="0.97872340425531912" bottom="0.8936170212765957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RYPIC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Alie Pablo</cp:lastModifiedBy>
  <dcterms:created xsi:type="dcterms:W3CDTF">2024-01-03T07:55:13Z</dcterms:created>
  <dcterms:modified xsi:type="dcterms:W3CDTF">2024-02-16T05:50:23Z</dcterms:modified>
</cp:coreProperties>
</file>